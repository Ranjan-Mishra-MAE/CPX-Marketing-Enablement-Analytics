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1024" documentId="11_F25DC773A252ABDACC104889E99E5C265BDE58EE" xr6:coauthVersionLast="47" xr6:coauthVersionMax="47" xr10:uidLastSave="{29BE7077-A423-4C66-A6C5-809E25F95384}"/>
  <bookViews>
    <workbookView xWindow="-120" yWindow="-120" windowWidth="29040" windowHeight="15720" activeTab="1" xr2:uid="{00000000-000D-0000-FFFF-FFFF00000000}"/>
  </bookViews>
  <sheets>
    <sheet name="Summary by RFM" sheetId="1" r:id="rId1"/>
    <sheet name="YoY 24vs25" sheetId="4" r:id="rId2"/>
    <sheet name="Summary by Signup behavior" sheetId="2" r:id="rId3"/>
    <sheet name="Incremental Spe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N8" i="4"/>
  <c r="N9" i="4"/>
  <c r="N10" i="4"/>
  <c r="N11" i="4"/>
  <c r="N12" i="4"/>
  <c r="N13" i="4"/>
  <c r="N14" i="4"/>
  <c r="N15" i="4"/>
  <c r="N17" i="4"/>
  <c r="N24" i="4"/>
  <c r="AC45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W6" i="4"/>
  <c r="W7" i="4"/>
  <c r="W8" i="4"/>
  <c r="W9" i="4"/>
  <c r="W10" i="4"/>
  <c r="W11" i="4"/>
  <c r="W12" i="4"/>
  <c r="W13" i="4"/>
  <c r="W14" i="4"/>
  <c r="W15" i="4"/>
  <c r="W16" i="4"/>
  <c r="W17" i="4"/>
  <c r="W5" i="4"/>
  <c r="AF54" i="4"/>
  <c r="AC54" i="4"/>
  <c r="Z54" i="4"/>
  <c r="W54" i="4"/>
  <c r="AF53" i="4"/>
  <c r="AC53" i="4"/>
  <c r="Z53" i="4"/>
  <c r="W53" i="4"/>
  <c r="AF52" i="4"/>
  <c r="AC52" i="4"/>
  <c r="Z52" i="4"/>
  <c r="W52" i="4"/>
  <c r="AF51" i="4"/>
  <c r="AC51" i="4"/>
  <c r="Z51" i="4"/>
  <c r="W51" i="4"/>
  <c r="AF50" i="4"/>
  <c r="AC50" i="4"/>
  <c r="Z50" i="4"/>
  <c r="W50" i="4"/>
  <c r="AF49" i="4"/>
  <c r="AC49" i="4"/>
  <c r="Z49" i="4"/>
  <c r="W49" i="4"/>
  <c r="AF48" i="4"/>
  <c r="AC48" i="4"/>
  <c r="Z48" i="4"/>
  <c r="W48" i="4"/>
  <c r="AF47" i="4"/>
  <c r="AC47" i="4"/>
  <c r="Z47" i="4"/>
  <c r="W47" i="4"/>
  <c r="AF46" i="4"/>
  <c r="AC46" i="4"/>
  <c r="Z46" i="4"/>
  <c r="W46" i="4"/>
  <c r="AF45" i="4"/>
  <c r="Z45" i="4"/>
  <c r="W45" i="4"/>
  <c r="Q69" i="4"/>
  <c r="N69" i="4"/>
  <c r="K69" i="4"/>
  <c r="H69" i="4"/>
  <c r="E69" i="4"/>
  <c r="Q68" i="4"/>
  <c r="N68" i="4"/>
  <c r="K68" i="4"/>
  <c r="H68" i="4"/>
  <c r="E68" i="4"/>
  <c r="Q67" i="4"/>
  <c r="N67" i="4"/>
  <c r="K67" i="4"/>
  <c r="H67" i="4"/>
  <c r="E67" i="4"/>
  <c r="Q66" i="4"/>
  <c r="N66" i="4"/>
  <c r="K66" i="4"/>
  <c r="H66" i="4"/>
  <c r="E66" i="4"/>
  <c r="Q65" i="4"/>
  <c r="N65" i="4"/>
  <c r="K65" i="4"/>
  <c r="H65" i="4"/>
  <c r="E65" i="4"/>
  <c r="Q64" i="4"/>
  <c r="N64" i="4"/>
  <c r="K64" i="4"/>
  <c r="H64" i="4"/>
  <c r="E64" i="4"/>
  <c r="Q63" i="4"/>
  <c r="N63" i="4"/>
  <c r="K63" i="4"/>
  <c r="H63" i="4"/>
  <c r="E63" i="4"/>
  <c r="Q62" i="4"/>
  <c r="N62" i="4"/>
  <c r="K62" i="4"/>
  <c r="H62" i="4"/>
  <c r="E62" i="4"/>
  <c r="Q61" i="4"/>
  <c r="N61" i="4"/>
  <c r="K61" i="4"/>
  <c r="H61" i="4"/>
  <c r="E61" i="4"/>
  <c r="Q60" i="4"/>
  <c r="N60" i="4"/>
  <c r="K60" i="4"/>
  <c r="H60" i="4"/>
  <c r="E60" i="4"/>
  <c r="Q54" i="4"/>
  <c r="N54" i="4"/>
  <c r="K54" i="4"/>
  <c r="H54" i="4"/>
  <c r="E54" i="4"/>
  <c r="Q53" i="4"/>
  <c r="N53" i="4"/>
  <c r="K53" i="4"/>
  <c r="H53" i="4"/>
  <c r="E53" i="4"/>
  <c r="Q52" i="4"/>
  <c r="N52" i="4"/>
  <c r="K52" i="4"/>
  <c r="H52" i="4"/>
  <c r="E52" i="4"/>
  <c r="Q51" i="4"/>
  <c r="N51" i="4"/>
  <c r="K51" i="4"/>
  <c r="H51" i="4"/>
  <c r="E51" i="4"/>
  <c r="Q50" i="4"/>
  <c r="N50" i="4"/>
  <c r="K50" i="4"/>
  <c r="H50" i="4"/>
  <c r="E50" i="4"/>
  <c r="Q49" i="4"/>
  <c r="N49" i="4"/>
  <c r="K49" i="4"/>
  <c r="H49" i="4"/>
  <c r="E49" i="4"/>
  <c r="Q48" i="4"/>
  <c r="N48" i="4"/>
  <c r="K48" i="4"/>
  <c r="H48" i="4"/>
  <c r="E48" i="4"/>
  <c r="Q47" i="4"/>
  <c r="N47" i="4"/>
  <c r="K47" i="4"/>
  <c r="H47" i="4"/>
  <c r="E47" i="4"/>
  <c r="Q46" i="4"/>
  <c r="N46" i="4"/>
  <c r="K46" i="4"/>
  <c r="H46" i="4"/>
  <c r="E46" i="4"/>
  <c r="Q45" i="4"/>
  <c r="N45" i="4"/>
  <c r="K45" i="4"/>
  <c r="H45" i="4"/>
  <c r="E45" i="4"/>
  <c r="Q35" i="4"/>
  <c r="N35" i="4"/>
  <c r="K35" i="4"/>
  <c r="H35" i="4"/>
  <c r="E35" i="4"/>
  <c r="Q33" i="4"/>
  <c r="N33" i="4"/>
  <c r="K33" i="4"/>
  <c r="H33" i="4"/>
  <c r="E33" i="4"/>
  <c r="Q32" i="4"/>
  <c r="N32" i="4"/>
  <c r="K32" i="4"/>
  <c r="H32" i="4"/>
  <c r="E32" i="4"/>
  <c r="Q31" i="4"/>
  <c r="N31" i="4"/>
  <c r="K31" i="4"/>
  <c r="H31" i="4"/>
  <c r="E31" i="4"/>
  <c r="Q30" i="4"/>
  <c r="N30" i="4"/>
  <c r="K30" i="4"/>
  <c r="H30" i="4"/>
  <c r="E30" i="4"/>
  <c r="Q29" i="4"/>
  <c r="N29" i="4"/>
  <c r="K29" i="4"/>
  <c r="H29" i="4"/>
  <c r="E29" i="4"/>
  <c r="Q28" i="4"/>
  <c r="N28" i="4"/>
  <c r="K28" i="4"/>
  <c r="H28" i="4"/>
  <c r="E28" i="4"/>
  <c r="Q27" i="4"/>
  <c r="N27" i="4"/>
  <c r="K27" i="4"/>
  <c r="H27" i="4"/>
  <c r="E27" i="4"/>
  <c r="Q26" i="4"/>
  <c r="N26" i="4"/>
  <c r="K26" i="4"/>
  <c r="H26" i="4"/>
  <c r="E26" i="4"/>
  <c r="Q25" i="4"/>
  <c r="N25" i="4"/>
  <c r="K25" i="4"/>
  <c r="H25" i="4"/>
  <c r="E25" i="4"/>
  <c r="Q24" i="4"/>
  <c r="K24" i="4"/>
  <c r="H24" i="4"/>
  <c r="E24" i="4"/>
  <c r="Q17" i="4"/>
  <c r="K17" i="4"/>
  <c r="H17" i="4"/>
  <c r="E17" i="4"/>
  <c r="Q15" i="4"/>
  <c r="K15" i="4"/>
  <c r="H15" i="4"/>
  <c r="E15" i="4"/>
  <c r="Q14" i="4"/>
  <c r="K14" i="4"/>
  <c r="H14" i="4"/>
  <c r="E14" i="4"/>
  <c r="Q13" i="4"/>
  <c r="K13" i="4"/>
  <c r="H13" i="4"/>
  <c r="E13" i="4"/>
  <c r="Q12" i="4"/>
  <c r="K12" i="4"/>
  <c r="H12" i="4"/>
  <c r="E12" i="4"/>
  <c r="Q11" i="4"/>
  <c r="K11" i="4"/>
  <c r="H11" i="4"/>
  <c r="E11" i="4"/>
  <c r="Q10" i="4"/>
  <c r="K10" i="4"/>
  <c r="H10" i="4"/>
  <c r="E10" i="4"/>
  <c r="Q9" i="4"/>
  <c r="K9" i="4"/>
  <c r="H9" i="4"/>
  <c r="E9" i="4"/>
  <c r="Q8" i="4"/>
  <c r="K8" i="4"/>
  <c r="H8" i="4"/>
  <c r="E8" i="4"/>
  <c r="Q7" i="4"/>
  <c r="K7" i="4"/>
  <c r="H7" i="4"/>
  <c r="E7" i="4"/>
  <c r="D28" i="3"/>
  <c r="C28" i="3"/>
  <c r="F57" i="3" l="1"/>
  <c r="F56" i="3"/>
  <c r="F55" i="3"/>
  <c r="F54" i="3"/>
  <c r="F53" i="3"/>
  <c r="D57" i="3"/>
  <c r="D56" i="3"/>
  <c r="D55" i="3"/>
  <c r="D54" i="3"/>
  <c r="D53" i="3"/>
  <c r="D73" i="3"/>
  <c r="D74" i="3"/>
  <c r="E74" i="3" s="1"/>
  <c r="D75" i="3"/>
  <c r="D76" i="3"/>
  <c r="D77" i="3"/>
  <c r="C77" i="3"/>
  <c r="C76" i="3"/>
  <c r="C75" i="3"/>
  <c r="C74" i="3"/>
  <c r="C73" i="3"/>
  <c r="D63" i="3"/>
  <c r="D64" i="3"/>
  <c r="D65" i="3"/>
  <c r="D66" i="3"/>
  <c r="D67" i="3"/>
  <c r="C67" i="3"/>
  <c r="C66" i="3"/>
  <c r="C65" i="3"/>
  <c r="C64" i="3"/>
  <c r="C63" i="3"/>
  <c r="F47" i="3"/>
  <c r="F46" i="3"/>
  <c r="F45" i="3"/>
  <c r="F44" i="3"/>
  <c r="F43" i="3"/>
  <c r="D47" i="3"/>
  <c r="D46" i="3"/>
  <c r="D45" i="3"/>
  <c r="D43" i="3"/>
  <c r="D44" i="3"/>
  <c r="C47" i="3"/>
  <c r="C57" i="3" s="1"/>
  <c r="C46" i="3"/>
  <c r="C56" i="3" s="1"/>
  <c r="C45" i="3"/>
  <c r="C55" i="3" s="1"/>
  <c r="C44" i="3"/>
  <c r="C54" i="3" s="1"/>
  <c r="C43" i="3"/>
  <c r="C53" i="3" s="1"/>
  <c r="E37" i="3"/>
  <c r="E36" i="3"/>
  <c r="E76" i="3" l="1"/>
  <c r="E75" i="3"/>
  <c r="E73" i="3"/>
  <c r="E77" i="3"/>
  <c r="E66" i="3"/>
  <c r="H46" i="3" s="1"/>
  <c r="E67" i="3"/>
  <c r="H57" i="3" s="1"/>
  <c r="E65" i="3"/>
  <c r="H55" i="3" s="1"/>
  <c r="E64" i="3"/>
  <c r="H54" i="3" s="1"/>
  <c r="E63" i="3"/>
  <c r="H43" i="3" s="1"/>
  <c r="H56" i="3" l="1"/>
  <c r="H53" i="3"/>
  <c r="H47" i="3"/>
  <c r="H45" i="3"/>
  <c r="H44" i="3"/>
  <c r="M39" i="2" l="1"/>
  <c r="J39" i="2"/>
  <c r="G39" i="2"/>
  <c r="D39" i="2"/>
  <c r="M38" i="2"/>
  <c r="J38" i="2"/>
  <c r="G38" i="2"/>
  <c r="D38" i="2"/>
  <c r="M37" i="2"/>
  <c r="J37" i="2"/>
  <c r="G37" i="2"/>
  <c r="D37" i="2"/>
  <c r="M36" i="2"/>
  <c r="J36" i="2"/>
  <c r="G36" i="2"/>
  <c r="D36" i="2"/>
  <c r="M35" i="2"/>
  <c r="J35" i="2"/>
  <c r="G35" i="2"/>
  <c r="D35" i="2"/>
  <c r="M34" i="2"/>
  <c r="J34" i="2"/>
  <c r="G34" i="2"/>
  <c r="D34" i="2"/>
  <c r="M33" i="2"/>
  <c r="J33" i="2"/>
  <c r="G33" i="2"/>
  <c r="D33" i="2"/>
  <c r="M32" i="2"/>
  <c r="J32" i="2"/>
  <c r="G32" i="2"/>
  <c r="D32" i="2"/>
  <c r="M31" i="2"/>
  <c r="J31" i="2"/>
  <c r="G31" i="2"/>
  <c r="D31" i="2"/>
  <c r="Q47" i="1"/>
  <c r="N47" i="1"/>
  <c r="K47" i="1"/>
  <c r="H47" i="1"/>
  <c r="E47" i="1"/>
  <c r="Q46" i="1"/>
  <c r="N46" i="1"/>
  <c r="K46" i="1"/>
  <c r="H46" i="1"/>
  <c r="E46" i="1"/>
  <c r="Q45" i="1"/>
  <c r="N45" i="1"/>
  <c r="K45" i="1"/>
  <c r="H45" i="1"/>
  <c r="E45" i="1"/>
  <c r="Q44" i="1"/>
  <c r="N44" i="1"/>
  <c r="K44" i="1"/>
  <c r="H44" i="1"/>
  <c r="E44" i="1"/>
  <c r="Q43" i="1"/>
  <c r="N43" i="1"/>
  <c r="K43" i="1"/>
  <c r="H43" i="1"/>
  <c r="E43" i="1"/>
  <c r="Q42" i="1"/>
  <c r="N42" i="1"/>
  <c r="K42" i="1"/>
  <c r="H42" i="1"/>
  <c r="E42" i="1"/>
  <c r="Q41" i="1"/>
  <c r="N41" i="1"/>
  <c r="K41" i="1"/>
  <c r="H41" i="1"/>
  <c r="E41" i="1"/>
  <c r="Q40" i="1"/>
  <c r="N40" i="1"/>
  <c r="K40" i="1"/>
  <c r="H40" i="1"/>
  <c r="E40" i="1"/>
  <c r="Q39" i="1"/>
  <c r="N39" i="1"/>
  <c r="K39" i="1"/>
  <c r="H39" i="1"/>
  <c r="E39" i="1"/>
  <c r="Q32" i="1"/>
  <c r="N32" i="1"/>
  <c r="K32" i="1"/>
  <c r="H32" i="1"/>
  <c r="E32" i="1"/>
  <c r="Q31" i="1"/>
  <c r="N31" i="1"/>
  <c r="K31" i="1"/>
  <c r="H31" i="1"/>
  <c r="E31" i="1"/>
  <c r="Q30" i="1"/>
  <c r="N30" i="1"/>
  <c r="K30" i="1"/>
  <c r="H30" i="1"/>
  <c r="E30" i="1"/>
  <c r="Q29" i="1"/>
  <c r="N29" i="1"/>
  <c r="K29" i="1"/>
  <c r="H29" i="1"/>
  <c r="E29" i="1"/>
  <c r="Q28" i="1"/>
  <c r="N28" i="1"/>
  <c r="K28" i="1"/>
  <c r="H28" i="1"/>
  <c r="E28" i="1"/>
  <c r="Q27" i="1"/>
  <c r="N27" i="1"/>
  <c r="K27" i="1"/>
  <c r="H27" i="1"/>
  <c r="E27" i="1"/>
  <c r="Q26" i="1"/>
  <c r="N26" i="1"/>
  <c r="K26" i="1"/>
  <c r="H26" i="1"/>
  <c r="E26" i="1"/>
  <c r="Q25" i="1"/>
  <c r="N25" i="1"/>
  <c r="K25" i="1"/>
  <c r="H25" i="1"/>
  <c r="E25" i="1"/>
  <c r="Q24" i="1"/>
  <c r="N24" i="1"/>
  <c r="K24" i="1"/>
  <c r="H24" i="1"/>
  <c r="E24" i="1"/>
  <c r="Q17" i="1"/>
  <c r="N17" i="1"/>
  <c r="K17" i="1"/>
  <c r="H17" i="1"/>
  <c r="E17" i="1"/>
  <c r="Q15" i="1"/>
  <c r="N15" i="1"/>
  <c r="K15" i="1"/>
  <c r="H15" i="1"/>
  <c r="E15" i="1"/>
  <c r="Q14" i="1"/>
  <c r="N14" i="1"/>
  <c r="K14" i="1"/>
  <c r="H14" i="1"/>
  <c r="E14" i="1"/>
  <c r="Q13" i="1"/>
  <c r="N13" i="1"/>
  <c r="K13" i="1"/>
  <c r="H13" i="1"/>
  <c r="E13" i="1"/>
  <c r="Q12" i="1"/>
  <c r="N12" i="1"/>
  <c r="K12" i="1"/>
  <c r="H12" i="1"/>
  <c r="E12" i="1"/>
  <c r="Q11" i="1"/>
  <c r="N11" i="1"/>
  <c r="K11" i="1"/>
  <c r="H11" i="1"/>
  <c r="E11" i="1"/>
  <c r="Q10" i="1"/>
  <c r="N10" i="1"/>
  <c r="K10" i="1"/>
  <c r="H10" i="1"/>
  <c r="E10" i="1"/>
  <c r="Q9" i="1"/>
  <c r="N9" i="1"/>
  <c r="K9" i="1"/>
  <c r="H9" i="1"/>
  <c r="E9" i="1"/>
  <c r="Q8" i="1"/>
  <c r="N8" i="1"/>
  <c r="K8" i="1"/>
  <c r="H8" i="1"/>
  <c r="E8" i="1"/>
  <c r="Q7" i="1"/>
  <c r="N7" i="1"/>
  <c r="K7" i="1"/>
  <c r="H7" i="1"/>
  <c r="E7" i="1"/>
  <c r="E45" i="3" l="1"/>
  <c r="G45" i="3" s="1"/>
  <c r="I45" i="3" s="1"/>
  <c r="J45" i="3" s="1"/>
  <c r="E43" i="3"/>
  <c r="G43" i="3" s="1"/>
  <c r="I43" i="3" s="1"/>
  <c r="J43" i="3" s="1"/>
  <c r="E46" i="3"/>
  <c r="G46" i="3" s="1"/>
  <c r="I46" i="3" s="1"/>
  <c r="J46" i="3" s="1"/>
  <c r="E47" i="3"/>
  <c r="G47" i="3" s="1"/>
  <c r="I47" i="3" s="1"/>
  <c r="J47" i="3" s="1"/>
  <c r="E44" i="3"/>
  <c r="G44" i="3" s="1"/>
  <c r="I44" i="3" s="1"/>
  <c r="J44" i="3" s="1"/>
  <c r="E55" i="3"/>
  <c r="G55" i="3" s="1"/>
  <c r="I55" i="3" s="1"/>
  <c r="J55" i="3" s="1"/>
  <c r="E56" i="3"/>
  <c r="G56" i="3" s="1"/>
  <c r="I56" i="3" s="1"/>
  <c r="J56" i="3" s="1"/>
  <c r="E57" i="3"/>
  <c r="G57" i="3" s="1"/>
  <c r="I57" i="3" s="1"/>
  <c r="J57" i="3" s="1"/>
  <c r="E53" i="3"/>
  <c r="G53" i="3" s="1"/>
  <c r="I53" i="3" s="1"/>
  <c r="J53" i="3" s="1"/>
  <c r="E54" i="3"/>
  <c r="G54" i="3" s="1"/>
  <c r="I54" i="3" s="1"/>
  <c r="J54" i="3" s="1"/>
</calcChain>
</file>

<file path=xl/sharedStrings.xml><?xml version="1.0" encoding="utf-8"?>
<sst xmlns="http://schemas.openxmlformats.org/spreadsheetml/2006/main" count="424" uniqueCount="79">
  <si>
    <t>Champions</t>
  </si>
  <si>
    <t>Potential Loyalist</t>
  </si>
  <si>
    <t>Value Conscious Loyals</t>
  </si>
  <si>
    <t>Total Top 3 Segements</t>
  </si>
  <si>
    <t>Total All Scene+ Members</t>
  </si>
  <si>
    <t>Is Cineclub</t>
  </si>
  <si>
    <t>% Change</t>
  </si>
  <si>
    <t>No</t>
  </si>
  <si>
    <t>Yes</t>
  </si>
  <si>
    <t>No of Members</t>
  </si>
  <si>
    <t>-</t>
  </si>
  <si>
    <t>Avg Frequency</t>
  </si>
  <si>
    <t>Avg Total Spend per visit</t>
  </si>
  <si>
    <t>Avg Ticket Spend per visit</t>
  </si>
  <si>
    <t>Avg Concession Spend per visit</t>
  </si>
  <si>
    <t>Total Spend per person in a year</t>
  </si>
  <si>
    <t>Ticket Spend per person in a year</t>
  </si>
  <si>
    <t>Concession Spend per person in a year</t>
  </si>
  <si>
    <t>Concession Incidence</t>
  </si>
  <si>
    <t>Total Tickets per Visit</t>
  </si>
  <si>
    <t>$9.99 Tickets per Visit (Member+Companion)</t>
  </si>
  <si>
    <t>Uptake Premium Experiences</t>
  </si>
  <si>
    <t>Uptake Companion Experience</t>
  </si>
  <si>
    <t>Time Period - FY 2025</t>
  </si>
  <si>
    <t>Cineclub Member who visited in both years
(2019 and 2024)</t>
  </si>
  <si>
    <t>Total All Cineclub Members</t>
  </si>
  <si>
    <t>Cineclub Member who visited in both years
(2019 and 2025)</t>
  </si>
  <si>
    <t>NOT a Cineclub Member who visited in both years (2019 and 2025)</t>
  </si>
  <si>
    <t>2024 vs 2025 (CC MEMBER)</t>
  </si>
  <si>
    <t>2024 vs 2025 (NOT CC MEMBER)</t>
  </si>
  <si>
    <t>Segmentation of monthly plan members based on number of times they signed up for Cineclub</t>
  </si>
  <si>
    <t>Program lovers</t>
  </si>
  <si>
    <t>Seasonal goers</t>
  </si>
  <si>
    <t>Samplers</t>
  </si>
  <si>
    <t>One time subscribers</t>
  </si>
  <si>
    <t>Signed up only once and renewed 5 or more times without cancelling</t>
  </si>
  <si>
    <t>Signed up only once and renewed between 1 and 4 times without cancelling</t>
  </si>
  <si>
    <t>Signed up 2 or more times (cancelled at least once), may or may not have renewed thereafter</t>
  </si>
  <si>
    <t>Signed up only once and cancelled</t>
  </si>
  <si>
    <t>123833 (76%)</t>
  </si>
  <si>
    <t>14235 (9%)</t>
  </si>
  <si>
    <t>7154 (4%)</t>
  </si>
  <si>
    <t>Program Lovers</t>
  </si>
  <si>
    <t>Seasonal Goers</t>
  </si>
  <si>
    <t>One Time Subscribers</t>
  </si>
  <si>
    <t>No of members</t>
  </si>
  <si>
    <t>2024 Factoring Inflation</t>
  </si>
  <si>
    <t>2024 Actual</t>
  </si>
  <si>
    <t>% Incremental Spend per Visit</t>
  </si>
  <si>
    <t>Incremental Visits</t>
  </si>
  <si>
    <t>Total Incremental Spend per Member</t>
  </si>
  <si>
    <t>Total Incremental Spend</t>
  </si>
  <si>
    <t>Calendar Year</t>
  </si>
  <si>
    <t>BPP - Paid Tickets</t>
  </si>
  <si>
    <t>CPP - Paid Tickets</t>
  </si>
  <si>
    <t>2019</t>
  </si>
  <si>
    <t>2023</t>
  </si>
  <si>
    <t>Inflation Factor</t>
  </si>
  <si>
    <t>% Incremental Spend</t>
  </si>
  <si>
    <t>Ticket Spend per visit (2024)</t>
  </si>
  <si>
    <t>Concession Spend per visit (2024)</t>
  </si>
  <si>
    <t>No CineClub</t>
  </si>
  <si>
    <t>All inclusive</t>
  </si>
  <si>
    <t>Ticket Revenue</t>
  </si>
  <si>
    <t>Concession Revenue</t>
  </si>
  <si>
    <t>Tickets Sold</t>
  </si>
  <si>
    <t>2025 Factoring Inflation</t>
  </si>
  <si>
    <t>2025 Actual</t>
  </si>
  <si>
    <t>Frequency</t>
  </si>
  <si>
    <t>Ticket Spend per Visit (2025)</t>
  </si>
  <si>
    <t>Concession Spend per Visit (2025)</t>
  </si>
  <si>
    <t>Time Period - YoY 2024/25 (CC - NO)</t>
  </si>
  <si>
    <t>Time Period - YoY 2024/25 (CC - YES)</t>
  </si>
  <si>
    <t>Is Not Cineclub</t>
  </si>
  <si>
    <t>Visitation Overlap with 2019 Incrementality Comparison 2024 vs 2025 (RFM Segments)</t>
  </si>
  <si>
    <t>Visitation Overlap with 2019 Incrementality Comparison 2024 vs 2025 (SignUp Behaviour)</t>
  </si>
  <si>
    <t>Time Period - YoY 2024/25 (SignUp Behaviour)</t>
  </si>
  <si>
    <t>Cineclub Member who visited in both years
(2019 and 2024/2025)</t>
  </si>
  <si>
    <t>17883 (11%)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</si>
</sst>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&quot;$&quot;#,##0.0"/>
    <numFmt numFmtId="166" formatCode="&quot;$&quot;#,##0"/>
    <numFmt numFmtId="167" formatCode="0.0%"/>
    <numFmt numFmtId="168" formatCode="&quot;$&quot;#,##0.00;\(&quot;$&quot;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0" fillId="2" borderId="0" xfId="0" applyFill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164" fontId="0" fillId="2" borderId="4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9" fontId="1" fillId="2" borderId="5" xfId="2" applyFon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9" fontId="0" fillId="2" borderId="4" xfId="2" applyFont="1" applyFill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2" fontId="0" fillId="2" borderId="4" xfId="2" applyNumberFormat="1" applyFont="1" applyFill="1" applyBorder="1" applyAlignment="1">
      <alignment horizontal="center"/>
    </xf>
    <xf numFmtId="2" fontId="0" fillId="2" borderId="0" xfId="2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9" fontId="0" fillId="2" borderId="6" xfId="2" applyFont="1" applyFill="1" applyBorder="1" applyAlignment="1">
      <alignment horizontal="center"/>
    </xf>
    <xf numFmtId="9" fontId="0" fillId="2" borderId="7" xfId="2" applyFont="1" applyFill="1" applyBorder="1" applyAlignment="1">
      <alignment horizontal="center"/>
    </xf>
    <xf numFmtId="9" fontId="1" fillId="2" borderId="8" xfId="2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9" fontId="0" fillId="3" borderId="4" xfId="2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2" fontId="0" fillId="3" borderId="4" xfId="2" applyNumberFormat="1" applyFont="1" applyFill="1" applyBorder="1" applyAlignment="1">
      <alignment horizontal="center"/>
    </xf>
    <xf numFmtId="2" fontId="0" fillId="3" borderId="0" xfId="2" applyNumberFormat="1" applyFont="1" applyFill="1" applyBorder="1" applyAlignment="1">
      <alignment horizontal="center"/>
    </xf>
    <xf numFmtId="9" fontId="0" fillId="3" borderId="6" xfId="2" applyFont="1" applyFill="1" applyBorder="1" applyAlignment="1">
      <alignment horizontal="center"/>
    </xf>
    <xf numFmtId="9" fontId="0" fillId="3" borderId="7" xfId="2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3" fontId="0" fillId="2" borderId="0" xfId="0" applyNumberFormat="1" applyFill="1" applyAlignment="1">
      <alignment horizontal="center"/>
    </xf>
    <xf numFmtId="0" fontId="0" fillId="2" borderId="5" xfId="0" applyFill="1" applyBorder="1"/>
    <xf numFmtId="0" fontId="0" fillId="2" borderId="10" xfId="0" applyFill="1" applyBorder="1"/>
    <xf numFmtId="0" fontId="0" fillId="2" borderId="11" xfId="0" applyFill="1" applyBorder="1"/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9" fontId="1" fillId="2" borderId="5" xfId="2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9" fontId="0" fillId="2" borderId="0" xfId="2" applyFon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9" fontId="1" fillId="2" borderId="8" xfId="2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 applyAlignment="1">
      <alignment horizontal="center" wrapText="1"/>
    </xf>
    <xf numFmtId="164" fontId="0" fillId="2" borderId="5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9" fontId="0" fillId="2" borderId="5" xfId="2" applyFont="1" applyFill="1" applyBorder="1" applyAlignment="1">
      <alignment horizontal="center"/>
    </xf>
    <xf numFmtId="2" fontId="0" fillId="2" borderId="5" xfId="2" applyNumberFormat="1" applyFont="1" applyFill="1" applyBorder="1" applyAlignment="1">
      <alignment horizontal="center"/>
    </xf>
    <xf numFmtId="9" fontId="0" fillId="2" borderId="8" xfId="2" applyFont="1" applyFill="1" applyBorder="1" applyAlignment="1">
      <alignment horizontal="center"/>
    </xf>
    <xf numFmtId="9" fontId="0" fillId="0" borderId="0" xfId="2" applyFont="1"/>
    <xf numFmtId="3" fontId="0" fillId="2" borderId="2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15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44" fontId="0" fillId="3" borderId="15" xfId="1" applyFont="1" applyFill="1" applyBorder="1" applyAlignment="1">
      <alignment horizontal="center"/>
    </xf>
    <xf numFmtId="9" fontId="0" fillId="3" borderId="15" xfId="2" applyFon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167" fontId="2" fillId="2" borderId="15" xfId="2" applyNumberFormat="1" applyFont="1" applyFill="1" applyBorder="1" applyAlignment="1">
      <alignment horizontal="center"/>
    </xf>
    <xf numFmtId="44" fontId="0" fillId="2" borderId="15" xfId="1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3" fontId="0" fillId="0" borderId="15" xfId="0" applyNumberFormat="1" applyBorder="1" applyAlignment="1">
      <alignment horizontal="center" vertical="center"/>
    </xf>
    <xf numFmtId="44" fontId="0" fillId="0" borderId="15" xfId="1" applyFont="1" applyBorder="1" applyAlignment="1">
      <alignment horizontal="center" vertical="center"/>
    </xf>
    <xf numFmtId="44" fontId="0" fillId="0" borderId="15" xfId="1" applyFont="1" applyBorder="1" applyAlignment="1">
      <alignment horizontal="center"/>
    </xf>
    <xf numFmtId="44" fontId="0" fillId="0" borderId="15" xfId="1" applyFont="1" applyBorder="1"/>
    <xf numFmtId="9" fontId="0" fillId="0" borderId="15" xfId="2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/>
    <xf numFmtId="166" fontId="2" fillId="3" borderId="15" xfId="0" applyNumberFormat="1" applyFont="1" applyFill="1" applyBorder="1" applyAlignment="1">
      <alignment horizontal="center"/>
    </xf>
    <xf numFmtId="166" fontId="0" fillId="3" borderId="15" xfId="1" applyNumberFormat="1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/>
    </xf>
    <xf numFmtId="166" fontId="0" fillId="3" borderId="15" xfId="1" applyNumberFormat="1" applyFont="1" applyFill="1" applyBorder="1" applyAlignment="1">
      <alignment horizontal="center"/>
    </xf>
    <xf numFmtId="166" fontId="2" fillId="3" borderId="15" xfId="1" applyNumberFormat="1" applyFont="1" applyFill="1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166" fontId="2" fillId="0" borderId="15" xfId="1" applyNumberFormat="1" applyFont="1" applyBorder="1" applyAlignment="1">
      <alignment horizontal="center"/>
    </xf>
    <xf numFmtId="0" fontId="0" fillId="0" borderId="16" xfId="0" applyBorder="1"/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9" fontId="1" fillId="2" borderId="3" xfId="2" applyFont="1" applyFill="1" applyBorder="1" applyAlignment="1">
      <alignment horizontal="center"/>
    </xf>
    <xf numFmtId="0" fontId="2" fillId="0" borderId="15" xfId="0" applyFont="1" applyBorder="1"/>
    <xf numFmtId="166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0" fillId="0" borderId="15" xfId="1" applyNumberFormat="1" applyFont="1" applyBorder="1" applyAlignment="1">
      <alignment horizontal="center" vertical="center"/>
    </xf>
    <xf numFmtId="166" fontId="2" fillId="0" borderId="15" xfId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3" fontId="0" fillId="2" borderId="4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7"/>
  <sheetViews>
    <sheetView topLeftCell="A6" zoomScale="85" zoomScaleNormal="85" workbookViewId="0">
      <selection activeCell="O31" sqref="O31"/>
    </sheetView>
  </sheetViews>
  <sheetFormatPr defaultRowHeight="15" x14ac:dyDescent="0.25"/>
  <cols>
    <col min="2" max="2" width="63" bestFit="1" customWidth="1"/>
    <col min="3" max="3" width="8.85546875" bestFit="1" customWidth="1"/>
    <col min="4" max="4" width="8.140625" bestFit="1" customWidth="1"/>
    <col min="5" max="5" width="11.140625" bestFit="1" customWidth="1"/>
    <col min="6" max="6" width="9.28515625" bestFit="1" customWidth="1"/>
    <col min="7" max="7" width="8.7109375" bestFit="1" customWidth="1"/>
    <col min="8" max="8" width="11.140625" bestFit="1" customWidth="1"/>
    <col min="9" max="9" width="8.140625" bestFit="1" customWidth="1"/>
    <col min="10" max="10" width="7.28515625" bestFit="1" customWidth="1"/>
    <col min="11" max="11" width="11.140625" bestFit="1" customWidth="1"/>
    <col min="12" max="12" width="9.28515625" bestFit="1" customWidth="1"/>
    <col min="13" max="13" width="8.5703125" bestFit="1" customWidth="1"/>
    <col min="14" max="15" width="11.140625" bestFit="1" customWidth="1"/>
    <col min="16" max="16" width="10" bestFit="1" customWidth="1"/>
    <col min="17" max="17" width="11.140625" bestFit="1" customWidth="1"/>
    <col min="20" max="20" width="48.7109375" bestFit="1" customWidth="1"/>
    <col min="23" max="23" width="11.140625" bestFit="1" customWidth="1"/>
    <col min="26" max="26" width="11.140625" bestFit="1" customWidth="1"/>
    <col min="29" max="29" width="11.140625" bestFit="1" customWidth="1"/>
    <col min="32" max="35" width="11.140625" bestFit="1" customWidth="1"/>
  </cols>
  <sheetData>
    <row r="1" spans="2:17" x14ac:dyDescent="0.25"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2:17" ht="15.75" thickBot="1" x14ac:dyDescent="0.3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2:17" ht="21" x14ac:dyDescent="0.35">
      <c r="B3" s="27"/>
      <c r="C3" s="131" t="s">
        <v>0</v>
      </c>
      <c r="D3" s="132"/>
      <c r="E3" s="133"/>
      <c r="F3" s="131" t="s">
        <v>1</v>
      </c>
      <c r="G3" s="132"/>
      <c r="H3" s="133"/>
      <c r="I3" s="131" t="s">
        <v>2</v>
      </c>
      <c r="J3" s="132"/>
      <c r="K3" s="133"/>
      <c r="L3" s="131" t="s">
        <v>3</v>
      </c>
      <c r="M3" s="132"/>
      <c r="N3" s="133"/>
      <c r="O3" s="131" t="s">
        <v>4</v>
      </c>
      <c r="P3" s="132"/>
      <c r="Q3" s="133"/>
    </row>
    <row r="4" spans="2:17" ht="21" x14ac:dyDescent="0.35">
      <c r="B4" s="26" t="s">
        <v>23</v>
      </c>
      <c r="C4" s="134" t="s">
        <v>5</v>
      </c>
      <c r="D4" s="135"/>
      <c r="E4" s="136" t="s">
        <v>6</v>
      </c>
      <c r="F4" s="134" t="s">
        <v>5</v>
      </c>
      <c r="G4" s="135"/>
      <c r="H4" s="136" t="s">
        <v>6</v>
      </c>
      <c r="I4" s="134" t="s">
        <v>5</v>
      </c>
      <c r="J4" s="135"/>
      <c r="K4" s="136" t="s">
        <v>6</v>
      </c>
      <c r="L4" s="134" t="s">
        <v>5</v>
      </c>
      <c r="M4" s="135"/>
      <c r="N4" s="136" t="s">
        <v>6</v>
      </c>
      <c r="O4" s="134" t="s">
        <v>5</v>
      </c>
      <c r="P4" s="135"/>
      <c r="Q4" s="136" t="s">
        <v>6</v>
      </c>
    </row>
    <row r="5" spans="2:17" ht="15.75" thickBot="1" x14ac:dyDescent="0.3">
      <c r="B5" s="1"/>
      <c r="C5" s="3" t="s">
        <v>7</v>
      </c>
      <c r="D5" s="4" t="s">
        <v>8</v>
      </c>
      <c r="E5" s="137"/>
      <c r="F5" s="3" t="s">
        <v>7</v>
      </c>
      <c r="G5" s="4" t="s">
        <v>8</v>
      </c>
      <c r="H5" s="137"/>
      <c r="I5" s="3" t="s">
        <v>7</v>
      </c>
      <c r="J5" s="4" t="s">
        <v>8</v>
      </c>
      <c r="K5" s="137"/>
      <c r="L5" s="3" t="s">
        <v>7</v>
      </c>
      <c r="M5" s="4" t="s">
        <v>8</v>
      </c>
      <c r="N5" s="137"/>
      <c r="O5" s="3" t="s">
        <v>7</v>
      </c>
      <c r="P5" s="4" t="s">
        <v>8</v>
      </c>
      <c r="Q5" s="137"/>
    </row>
    <row r="6" spans="2:17" x14ac:dyDescent="0.25">
      <c r="B6" s="5" t="s">
        <v>9</v>
      </c>
      <c r="C6" s="6">
        <v>159430</v>
      </c>
      <c r="D6" s="7">
        <v>79346</v>
      </c>
      <c r="E6" s="8" t="s">
        <v>10</v>
      </c>
      <c r="F6" s="6">
        <v>613487</v>
      </c>
      <c r="G6" s="7">
        <v>87485</v>
      </c>
      <c r="H6" s="7" t="s">
        <v>10</v>
      </c>
      <c r="I6" s="6">
        <v>85775</v>
      </c>
      <c r="J6" s="7">
        <v>14678</v>
      </c>
      <c r="K6" s="8" t="s">
        <v>10</v>
      </c>
      <c r="L6" s="6">
        <v>858692</v>
      </c>
      <c r="M6" s="7">
        <v>181509</v>
      </c>
      <c r="N6" s="8" t="s">
        <v>10</v>
      </c>
      <c r="O6" s="6">
        <v>3635558</v>
      </c>
      <c r="P6" s="7">
        <v>217835</v>
      </c>
      <c r="Q6" s="8" t="s">
        <v>10</v>
      </c>
    </row>
    <row r="7" spans="2:17" x14ac:dyDescent="0.25">
      <c r="B7" s="9" t="s">
        <v>11</v>
      </c>
      <c r="C7" s="10">
        <v>10.7550837358088</v>
      </c>
      <c r="D7" s="11">
        <v>14.954780329191101</v>
      </c>
      <c r="E7" s="12">
        <f>(D7/C7)-1</f>
        <v>0.39048478808207787</v>
      </c>
      <c r="F7" s="10">
        <v>5.7829179754420199</v>
      </c>
      <c r="G7" s="11">
        <v>9.93105103732068</v>
      </c>
      <c r="H7" s="12">
        <f t="shared" ref="H7:H15" si="0">(G7/F7)-1</f>
        <v>0.71730795413220361</v>
      </c>
      <c r="I7" s="10">
        <v>10.1239871757505</v>
      </c>
      <c r="J7" s="11">
        <v>17.6312849162011</v>
      </c>
      <c r="K7" s="12">
        <f t="shared" ref="K7:K15" si="1">(J7/I7)-1</f>
        <v>0.74153568254535807</v>
      </c>
      <c r="L7" s="10">
        <v>7.1397113283924796</v>
      </c>
      <c r="M7" s="11">
        <v>12.749847115019</v>
      </c>
      <c r="N7" s="12">
        <f t="shared" ref="N7:N15" si="2">(M7/L7)-1</f>
        <v>0.785765072085856</v>
      </c>
      <c r="O7" s="10">
        <v>2.9415630282889098</v>
      </c>
      <c r="P7" s="11">
        <v>10.9966947460233</v>
      </c>
      <c r="Q7" s="12">
        <f t="shared" ref="Q7:Q15" si="3">(P7/O7)-1</f>
        <v>2.7383848791504608</v>
      </c>
    </row>
    <row r="8" spans="2:17" x14ac:dyDescent="0.25">
      <c r="B8" s="9" t="s">
        <v>12</v>
      </c>
      <c r="C8" s="13">
        <v>50.613064999999999</v>
      </c>
      <c r="D8" s="14">
        <v>47.386639000000002</v>
      </c>
      <c r="E8" s="12">
        <f t="shared" ref="E8:E9" si="4">(D8/C8)-1</f>
        <v>-6.3746900133394346E-2</v>
      </c>
      <c r="F8" s="13">
        <v>42.870542999999998</v>
      </c>
      <c r="G8" s="14">
        <v>34.377079000000002</v>
      </c>
      <c r="H8" s="12">
        <f t="shared" si="0"/>
        <v>-0.19811888083619555</v>
      </c>
      <c r="I8" s="13">
        <v>13.792513</v>
      </c>
      <c r="J8" s="14">
        <v>15.792555999999999</v>
      </c>
      <c r="K8" s="12">
        <f t="shared" si="1"/>
        <v>0.14500932498667929</v>
      </c>
      <c r="L8" s="13">
        <v>40.917301999999999</v>
      </c>
      <c r="M8" s="14">
        <v>38.969417</v>
      </c>
      <c r="N8" s="12">
        <f t="shared" si="2"/>
        <v>-4.7605411520045937E-2</v>
      </c>
      <c r="O8" s="13">
        <v>41.945338</v>
      </c>
      <c r="P8" s="14">
        <v>39.245077999999999</v>
      </c>
      <c r="Q8" s="12">
        <f t="shared" si="3"/>
        <v>-6.4375688187326086E-2</v>
      </c>
    </row>
    <row r="9" spans="2:17" x14ac:dyDescent="0.25">
      <c r="B9" s="9" t="s">
        <v>13</v>
      </c>
      <c r="C9" s="13">
        <v>29.841093000000001</v>
      </c>
      <c r="D9" s="14">
        <v>27.665523</v>
      </c>
      <c r="E9" s="12">
        <f t="shared" si="4"/>
        <v>-7.2905171402401381E-2</v>
      </c>
      <c r="F9" s="13">
        <v>26.408159000000001</v>
      </c>
      <c r="G9" s="14">
        <v>22.353574999999999</v>
      </c>
      <c r="H9" s="12">
        <f t="shared" si="0"/>
        <v>-0.15353527673019551</v>
      </c>
      <c r="I9" s="13">
        <v>8.0132899999999996</v>
      </c>
      <c r="J9" s="14">
        <v>12.184673999999999</v>
      </c>
      <c r="K9" s="12">
        <f t="shared" si="1"/>
        <v>0.52055822265261842</v>
      </c>
      <c r="L9" s="13">
        <v>24.762792000000001</v>
      </c>
      <c r="M9" s="14">
        <v>23.940092</v>
      </c>
      <c r="N9" s="12">
        <f t="shared" si="2"/>
        <v>-3.3223232662940472E-2</v>
      </c>
      <c r="O9" s="13">
        <v>25.475662</v>
      </c>
      <c r="P9" s="14">
        <v>24.179378</v>
      </c>
      <c r="Q9" s="12">
        <f t="shared" si="3"/>
        <v>-5.0883231218878611E-2</v>
      </c>
    </row>
    <row r="10" spans="2:17" x14ac:dyDescent="0.25">
      <c r="B10" s="9" t="s">
        <v>14</v>
      </c>
      <c r="C10" s="13">
        <v>20.771971000000001</v>
      </c>
      <c r="D10" s="14">
        <v>19.721115999999999</v>
      </c>
      <c r="E10" s="12">
        <f>(D10/C10)-1</f>
        <v>-5.0590047521248849E-2</v>
      </c>
      <c r="F10" s="13">
        <v>16.462384</v>
      </c>
      <c r="G10" s="14">
        <v>12.023504000000001</v>
      </c>
      <c r="H10" s="12">
        <f t="shared" si="0"/>
        <v>-0.26963773898118271</v>
      </c>
      <c r="I10" s="13">
        <v>5.7792240000000001</v>
      </c>
      <c r="J10" s="14">
        <v>3.607882</v>
      </c>
      <c r="K10" s="12">
        <f t="shared" si="1"/>
        <v>-0.37571514791605243</v>
      </c>
      <c r="L10" s="13">
        <v>16.154509999999998</v>
      </c>
      <c r="M10" s="14">
        <v>15.029324000000001</v>
      </c>
      <c r="N10" s="12">
        <f t="shared" si="2"/>
        <v>-6.9651509083221819E-2</v>
      </c>
      <c r="O10" s="13">
        <v>16.469676</v>
      </c>
      <c r="P10" s="14">
        <v>15.0657</v>
      </c>
      <c r="Q10" s="12">
        <f t="shared" si="3"/>
        <v>-8.5246121417324794E-2</v>
      </c>
    </row>
    <row r="11" spans="2:17" x14ac:dyDescent="0.25">
      <c r="B11" s="9" t="s">
        <v>15</v>
      </c>
      <c r="C11" s="15">
        <v>544.34774900000002</v>
      </c>
      <c r="D11" s="16">
        <v>708.65677000000005</v>
      </c>
      <c r="E11" s="12">
        <f>(D11/C11)-1</f>
        <v>0.30184568835242853</v>
      </c>
      <c r="F11" s="15">
        <v>247.916832</v>
      </c>
      <c r="G11" s="16">
        <v>341.40052400000002</v>
      </c>
      <c r="H11" s="12">
        <f t="shared" si="0"/>
        <v>0.37707682550574062</v>
      </c>
      <c r="I11" s="15">
        <v>139.63522900000001</v>
      </c>
      <c r="J11" s="16">
        <v>278.44305900000001</v>
      </c>
      <c r="K11" s="12">
        <f t="shared" si="1"/>
        <v>0.99407456838846864</v>
      </c>
      <c r="L11" s="15">
        <v>292.13772499999999</v>
      </c>
      <c r="M11" s="16">
        <v>496.854107</v>
      </c>
      <c r="N11" s="12">
        <f t="shared" si="2"/>
        <v>0.70075298217647175</v>
      </c>
      <c r="O11" s="15">
        <v>123.384855</v>
      </c>
      <c r="P11" s="16">
        <v>431.56613900000002</v>
      </c>
      <c r="Q11" s="12">
        <f t="shared" si="3"/>
        <v>2.4977237603431961</v>
      </c>
    </row>
    <row r="12" spans="2:17" x14ac:dyDescent="0.25">
      <c r="B12" s="9" t="s">
        <v>16</v>
      </c>
      <c r="C12" s="15">
        <v>320.94345800000002</v>
      </c>
      <c r="D12" s="16">
        <v>413.73181299999999</v>
      </c>
      <c r="E12" s="12">
        <f>(D12/C12)-1</f>
        <v>0.28911122095531216</v>
      </c>
      <c r="F12" s="15">
        <v>152.71621500000001</v>
      </c>
      <c r="G12" s="16">
        <v>221.994495</v>
      </c>
      <c r="H12" s="12">
        <f t="shared" si="0"/>
        <v>0.45364063010597788</v>
      </c>
      <c r="I12" s="15">
        <v>81.126444000000006</v>
      </c>
      <c r="J12" s="16">
        <v>214.83146300000001</v>
      </c>
      <c r="K12" s="12">
        <f t="shared" si="1"/>
        <v>1.6481064916391501</v>
      </c>
      <c r="L12" s="15">
        <v>176.79918900000001</v>
      </c>
      <c r="M12" s="16">
        <v>305.23251800000003</v>
      </c>
      <c r="N12" s="12">
        <f t="shared" si="2"/>
        <v>0.72643618857324066</v>
      </c>
      <c r="O12" s="15">
        <v>74.938265999999999</v>
      </c>
      <c r="P12" s="16">
        <v>265.893235</v>
      </c>
      <c r="Q12" s="12">
        <f t="shared" si="3"/>
        <v>2.5481636978362965</v>
      </c>
    </row>
    <row r="13" spans="2:17" x14ac:dyDescent="0.25">
      <c r="B13" s="9" t="s">
        <v>17</v>
      </c>
      <c r="C13" s="15">
        <v>223.404291</v>
      </c>
      <c r="D13" s="16">
        <v>294.92495700000001</v>
      </c>
      <c r="E13" s="12">
        <f>(D13/C13)-1</f>
        <v>0.32014007286905688</v>
      </c>
      <c r="F13" s="15">
        <v>95.200616999999994</v>
      </c>
      <c r="G13" s="16">
        <v>119.406029</v>
      </c>
      <c r="H13" s="12">
        <f t="shared" si="0"/>
        <v>0.25425688154941284</v>
      </c>
      <c r="I13" s="15">
        <v>58.508785000000003</v>
      </c>
      <c r="J13" s="16">
        <v>63.611595999999999</v>
      </c>
      <c r="K13" s="12">
        <f t="shared" si="1"/>
        <v>8.7214441386878727E-2</v>
      </c>
      <c r="L13" s="15">
        <v>115.338536</v>
      </c>
      <c r="M13" s="16">
        <v>191.621589</v>
      </c>
      <c r="N13" s="12">
        <f t="shared" si="2"/>
        <v>0.66138391942134578</v>
      </c>
      <c r="O13" s="15">
        <v>48.446589000000003</v>
      </c>
      <c r="P13" s="16">
        <v>165.67290399999999</v>
      </c>
      <c r="Q13" s="12">
        <f t="shared" si="3"/>
        <v>2.4197021383693285</v>
      </c>
    </row>
    <row r="14" spans="2:17" x14ac:dyDescent="0.25">
      <c r="B14" s="9" t="s">
        <v>18</v>
      </c>
      <c r="C14" s="17">
        <v>0.72861980902592405</v>
      </c>
      <c r="D14" s="18">
        <v>0.79147936713405098</v>
      </c>
      <c r="E14" s="12">
        <f>(D14/C14)-1</f>
        <v>8.6272095994977871E-2</v>
      </c>
      <c r="F14" s="17">
        <v>0.63693501083082305</v>
      </c>
      <c r="G14" s="18">
        <v>0.62721076220796501</v>
      </c>
      <c r="H14" s="12">
        <f t="shared" si="0"/>
        <v>-1.5267254048688006E-2</v>
      </c>
      <c r="I14" s="17">
        <v>0.55221934971239695</v>
      </c>
      <c r="J14" s="18">
        <v>0.35934650221026898</v>
      </c>
      <c r="K14" s="12">
        <f t="shared" si="1"/>
        <v>-0.3492685426589609</v>
      </c>
      <c r="L14" s="17">
        <v>0.65057831644840503</v>
      </c>
      <c r="M14" s="18">
        <v>0.68148423739916597</v>
      </c>
      <c r="N14" s="12">
        <f t="shared" si="2"/>
        <v>4.7505304387457148E-2</v>
      </c>
      <c r="O14" s="17">
        <v>0.63497815596327101</v>
      </c>
      <c r="P14" s="18">
        <v>0.67891244497414904</v>
      </c>
      <c r="Q14" s="12">
        <f t="shared" si="3"/>
        <v>6.9190236858194032E-2</v>
      </c>
    </row>
    <row r="15" spans="2:17" x14ac:dyDescent="0.25">
      <c r="B15" s="9" t="s">
        <v>19</v>
      </c>
      <c r="C15" s="19">
        <v>2.017865</v>
      </c>
      <c r="D15" s="20">
        <v>2.1606920000000001</v>
      </c>
      <c r="E15" s="12">
        <f t="shared" ref="E15" si="5">(D15/C15)-1</f>
        <v>7.0781246515500218E-2</v>
      </c>
      <c r="F15" s="19">
        <v>1.867902</v>
      </c>
      <c r="G15" s="20">
        <v>1.854179</v>
      </c>
      <c r="H15" s="12">
        <f t="shared" si="0"/>
        <v>-7.3467451718558507E-3</v>
      </c>
      <c r="I15" s="19">
        <v>0.82133500000000004</v>
      </c>
      <c r="J15" s="20">
        <v>1.1477329999999999</v>
      </c>
      <c r="K15" s="12">
        <f t="shared" si="1"/>
        <v>0.39739935592663134</v>
      </c>
      <c r="L15" s="19">
        <v>1.761606</v>
      </c>
      <c r="M15" s="20">
        <v>1.932342</v>
      </c>
      <c r="N15" s="12">
        <f t="shared" si="2"/>
        <v>9.6920650815222054E-2</v>
      </c>
      <c r="O15" s="19">
        <v>1.807666</v>
      </c>
      <c r="P15" s="20">
        <v>1.9493769999999999</v>
      </c>
      <c r="Q15" s="12">
        <f t="shared" si="3"/>
        <v>7.8394460038524683E-2</v>
      </c>
    </row>
    <row r="16" spans="2:17" x14ac:dyDescent="0.25">
      <c r="B16" s="9" t="s">
        <v>20</v>
      </c>
      <c r="C16" s="19" t="s">
        <v>10</v>
      </c>
      <c r="D16" s="20">
        <v>1.334301</v>
      </c>
      <c r="E16" s="12" t="s">
        <v>10</v>
      </c>
      <c r="F16" s="19" t="s">
        <v>10</v>
      </c>
      <c r="G16" s="20">
        <v>1.2957339999999999</v>
      </c>
      <c r="H16" s="12" t="s">
        <v>10</v>
      </c>
      <c r="I16" s="19" t="s">
        <v>10</v>
      </c>
      <c r="J16" s="20">
        <v>0.78968799999999995</v>
      </c>
      <c r="K16" s="12" t="s">
        <v>10</v>
      </c>
      <c r="L16" s="19" t="s">
        <v>10</v>
      </c>
      <c r="M16" s="20">
        <v>1.2589189999999999</v>
      </c>
      <c r="N16" s="12" t="s">
        <v>10</v>
      </c>
      <c r="O16" s="19" t="s">
        <v>10</v>
      </c>
      <c r="P16" s="20">
        <v>1.2779860000000001</v>
      </c>
      <c r="Q16" s="12" t="s">
        <v>10</v>
      </c>
    </row>
    <row r="17" spans="2:17" x14ac:dyDescent="0.25">
      <c r="B17" s="9" t="s">
        <v>21</v>
      </c>
      <c r="C17" s="17">
        <v>0.27412700000000001</v>
      </c>
      <c r="D17" s="18">
        <v>0.32791799999999999</v>
      </c>
      <c r="E17" s="12">
        <f t="shared" ref="E17" si="6">(D17/C17)-1</f>
        <v>0.19622656651843839</v>
      </c>
      <c r="F17" s="17">
        <v>0.23661399999999999</v>
      </c>
      <c r="G17" s="18">
        <v>0.27303899999999998</v>
      </c>
      <c r="H17" s="12">
        <f>(G17/F17)-1</f>
        <v>0.15394270837735724</v>
      </c>
      <c r="I17" s="17">
        <v>0.123656</v>
      </c>
      <c r="J17" s="18">
        <v>0.19678499999999999</v>
      </c>
      <c r="K17" s="12">
        <f>(J17/I17)-1</f>
        <v>0.591390632076082</v>
      </c>
      <c r="L17" s="17">
        <v>0.241173</v>
      </c>
      <c r="M17" s="18">
        <v>0.29943799999999998</v>
      </c>
      <c r="N17" s="12">
        <f>(M17/L17)-1</f>
        <v>0.24159006190576893</v>
      </c>
      <c r="O17" s="17">
        <v>0.22933799999999999</v>
      </c>
      <c r="P17" s="18">
        <v>0.29877199999999998</v>
      </c>
      <c r="Q17" s="12">
        <f>(P17/O17)-1</f>
        <v>0.30275837410285256</v>
      </c>
    </row>
    <row r="18" spans="2:17" ht="15.75" thickBot="1" x14ac:dyDescent="0.3">
      <c r="B18" s="21" t="s">
        <v>22</v>
      </c>
      <c r="C18" s="22" t="s">
        <v>10</v>
      </c>
      <c r="D18" s="23">
        <v>0.95410200000000001</v>
      </c>
      <c r="E18" s="24" t="s">
        <v>10</v>
      </c>
      <c r="F18" s="22" t="s">
        <v>10</v>
      </c>
      <c r="G18" s="23">
        <v>0.55740000000000001</v>
      </c>
      <c r="H18" s="24" t="s">
        <v>10</v>
      </c>
      <c r="I18" s="22" t="s">
        <v>10</v>
      </c>
      <c r="J18" s="23">
        <v>0.744726</v>
      </c>
      <c r="K18" s="24" t="s">
        <v>10</v>
      </c>
      <c r="L18" s="22" t="s">
        <v>10</v>
      </c>
      <c r="M18" s="23">
        <v>0.76547299999999996</v>
      </c>
      <c r="N18" s="24" t="s">
        <v>10</v>
      </c>
      <c r="O18" s="22" t="s">
        <v>10</v>
      </c>
      <c r="P18" s="23">
        <v>0.733097</v>
      </c>
      <c r="Q18" s="24" t="s">
        <v>10</v>
      </c>
    </row>
    <row r="20" spans="2:17" ht="15.75" thickBot="1" x14ac:dyDescent="0.3"/>
    <row r="21" spans="2:17" x14ac:dyDescent="0.25">
      <c r="B21" s="138" t="s">
        <v>26</v>
      </c>
      <c r="C21" s="131" t="s">
        <v>0</v>
      </c>
      <c r="D21" s="132"/>
      <c r="E21" s="132"/>
      <c r="F21" s="131" t="s">
        <v>1</v>
      </c>
      <c r="G21" s="132"/>
      <c r="H21" s="133"/>
      <c r="I21" s="131" t="s">
        <v>2</v>
      </c>
      <c r="J21" s="132"/>
      <c r="K21" s="133"/>
      <c r="L21" s="131" t="s">
        <v>3</v>
      </c>
      <c r="M21" s="132"/>
      <c r="N21" s="133"/>
      <c r="O21" s="131" t="s">
        <v>25</v>
      </c>
      <c r="P21" s="132"/>
      <c r="Q21" s="133"/>
    </row>
    <row r="22" spans="2:17" ht="15.75" thickBot="1" x14ac:dyDescent="0.3">
      <c r="B22" s="139"/>
      <c r="C22" s="3">
        <v>2019</v>
      </c>
      <c r="D22" s="4">
        <v>2025</v>
      </c>
      <c r="E22" s="4" t="s">
        <v>6</v>
      </c>
      <c r="F22" s="3">
        <v>2019</v>
      </c>
      <c r="G22" s="4">
        <v>2025</v>
      </c>
      <c r="H22" s="45" t="s">
        <v>6</v>
      </c>
      <c r="I22" s="3">
        <v>2019</v>
      </c>
      <c r="J22" s="4">
        <v>2025</v>
      </c>
      <c r="K22" s="45" t="s">
        <v>6</v>
      </c>
      <c r="L22" s="3">
        <v>2019</v>
      </c>
      <c r="M22" s="4">
        <v>2025</v>
      </c>
      <c r="N22" s="45" t="s">
        <v>6</v>
      </c>
      <c r="O22" s="3">
        <v>2019</v>
      </c>
      <c r="P22" s="4">
        <v>2025</v>
      </c>
      <c r="Q22" s="45" t="s">
        <v>6</v>
      </c>
    </row>
    <row r="23" spans="2:17" x14ac:dyDescent="0.25">
      <c r="B23" s="46" t="s">
        <v>9</v>
      </c>
      <c r="C23" s="140">
        <v>51246</v>
      </c>
      <c r="D23" s="141"/>
      <c r="E23" s="48"/>
      <c r="F23" s="140">
        <v>47464</v>
      </c>
      <c r="G23" s="141"/>
      <c r="H23" s="48"/>
      <c r="I23" s="140">
        <v>6673</v>
      </c>
      <c r="J23" s="141"/>
      <c r="K23" s="48"/>
      <c r="L23" s="140">
        <v>105383</v>
      </c>
      <c r="M23" s="141"/>
      <c r="N23" s="48"/>
      <c r="O23" s="140">
        <v>119397</v>
      </c>
      <c r="P23" s="141"/>
      <c r="Q23" s="48"/>
    </row>
    <row r="24" spans="2:17" x14ac:dyDescent="0.25">
      <c r="B24" s="49" t="s">
        <v>11</v>
      </c>
      <c r="C24" s="10">
        <v>11.458006478554401</v>
      </c>
      <c r="D24" s="11">
        <v>15.4887015571947</v>
      </c>
      <c r="E24" s="12">
        <f>(D24/C24)-1</f>
        <v>0.35177978701482049</v>
      </c>
      <c r="F24" s="10">
        <v>9.2387493679420096</v>
      </c>
      <c r="G24" s="11">
        <v>10.632395078375099</v>
      </c>
      <c r="H24" s="12">
        <f>(G24/F24)-1</f>
        <v>0.15084787506726505</v>
      </c>
      <c r="I24" s="10">
        <v>13.8066836505319</v>
      </c>
      <c r="J24" s="11">
        <v>20.612767870523001</v>
      </c>
      <c r="K24" s="12">
        <f>(J24/I24)-1</f>
        <v>0.49295575912821743</v>
      </c>
      <c r="L24" s="10">
        <v>10.6071852196274</v>
      </c>
      <c r="M24" s="11">
        <v>13.625907404419999</v>
      </c>
      <c r="N24" s="12">
        <f>(M24/L24)-1</f>
        <v>0.28459220069116875</v>
      </c>
      <c r="O24" s="10">
        <v>10.0218849719842</v>
      </c>
      <c r="P24" s="11">
        <v>12.305861956330499</v>
      </c>
      <c r="Q24" s="12">
        <f>(P24/O24)-1</f>
        <v>0.2278989422380191</v>
      </c>
    </row>
    <row r="25" spans="2:17" x14ac:dyDescent="0.25">
      <c r="B25" s="49" t="s">
        <v>12</v>
      </c>
      <c r="C25" s="13">
        <v>35.566110999999999</v>
      </c>
      <c r="D25" s="14">
        <v>48.170690999999998</v>
      </c>
      <c r="E25" s="12">
        <f t="shared" ref="E25:E32" si="7">(D25/C25)-1</f>
        <v>0.35439860152266855</v>
      </c>
      <c r="F25" s="13">
        <v>30.093135</v>
      </c>
      <c r="G25" s="14">
        <v>34.894474000000002</v>
      </c>
      <c r="H25" s="12">
        <f t="shared" ref="H25:H32" si="8">(G25/F25)-1</f>
        <v>0.15954931249269988</v>
      </c>
      <c r="I25" s="13">
        <v>18.387280000000001</v>
      </c>
      <c r="J25" s="14">
        <v>15.989915999999999</v>
      </c>
      <c r="K25" s="12">
        <f t="shared" ref="K25:K32" si="9">(J25/I25)-1</f>
        <v>-0.13038165514420841</v>
      </c>
      <c r="L25" s="13">
        <v>32.003216999999999</v>
      </c>
      <c r="M25" s="14">
        <v>40.422203000000003</v>
      </c>
      <c r="N25" s="12">
        <f t="shared" ref="N25:N32" si="10">(M25/L25)-1</f>
        <v>0.26306686605912155</v>
      </c>
      <c r="O25" s="13">
        <v>32.126106999999998</v>
      </c>
      <c r="P25" s="14">
        <v>40.664960999999998</v>
      </c>
      <c r="Q25" s="12">
        <f t="shared" ref="Q25:Q32" si="11">(P25/O25)-1</f>
        <v>0.26579174376777126</v>
      </c>
    </row>
    <row r="26" spans="2:17" x14ac:dyDescent="0.25">
      <c r="B26" s="49" t="s">
        <v>13</v>
      </c>
      <c r="C26" s="13">
        <v>21.348051999999999</v>
      </c>
      <c r="D26" s="14">
        <v>27.555337000000002</v>
      </c>
      <c r="E26" s="12">
        <f t="shared" si="7"/>
        <v>0.29076587409474186</v>
      </c>
      <c r="F26" s="13">
        <v>19.166442</v>
      </c>
      <c r="G26" s="14">
        <v>21.967309</v>
      </c>
      <c r="H26" s="12">
        <f t="shared" si="8"/>
        <v>0.14613390424785155</v>
      </c>
      <c r="I26" s="13">
        <v>13.809232</v>
      </c>
      <c r="J26" s="14">
        <v>12.051337999999999</v>
      </c>
      <c r="K26" s="12">
        <f t="shared" si="9"/>
        <v>-0.12729846236199094</v>
      </c>
      <c r="L26" s="13">
        <v>19.870868999999999</v>
      </c>
      <c r="M26" s="14">
        <v>24.106311000000002</v>
      </c>
      <c r="N26" s="12">
        <f t="shared" si="10"/>
        <v>0.21314830267362761</v>
      </c>
      <c r="O26" s="13">
        <v>19.965464999999998</v>
      </c>
      <c r="P26" s="14">
        <v>24.280961000000001</v>
      </c>
      <c r="Q26" s="12">
        <f t="shared" si="11"/>
        <v>0.21614803361704849</v>
      </c>
    </row>
    <row r="27" spans="2:17" x14ac:dyDescent="0.25">
      <c r="B27" s="49" t="s">
        <v>14</v>
      </c>
      <c r="C27" s="13">
        <v>14.218059</v>
      </c>
      <c r="D27" s="14">
        <v>20.615352999999999</v>
      </c>
      <c r="E27" s="12">
        <f t="shared" si="7"/>
        <v>0.4499414441872831</v>
      </c>
      <c r="F27" s="13">
        <v>10.926693</v>
      </c>
      <c r="G27" s="14">
        <v>12.927163999999999</v>
      </c>
      <c r="H27" s="12">
        <f t="shared" si="8"/>
        <v>0.18308110239758713</v>
      </c>
      <c r="I27" s="13">
        <v>4.5780479999999999</v>
      </c>
      <c r="J27" s="14">
        <v>3.9385780000000001</v>
      </c>
      <c r="K27" s="12">
        <f t="shared" si="9"/>
        <v>-0.13968180324889556</v>
      </c>
      <c r="L27" s="13">
        <v>12.132346999999999</v>
      </c>
      <c r="M27" s="14">
        <v>16.315892000000002</v>
      </c>
      <c r="N27" s="12">
        <f t="shared" si="10"/>
        <v>0.34482569613282599</v>
      </c>
      <c r="O27" s="13">
        <v>12.160641</v>
      </c>
      <c r="P27" s="14">
        <v>16.384</v>
      </c>
      <c r="Q27" s="12">
        <f t="shared" si="11"/>
        <v>0.34729739986568142</v>
      </c>
    </row>
    <row r="28" spans="2:17" x14ac:dyDescent="0.25">
      <c r="B28" s="49" t="s">
        <v>15</v>
      </c>
      <c r="C28" s="15">
        <v>407.51673</v>
      </c>
      <c r="D28" s="16">
        <v>746.10145199999999</v>
      </c>
      <c r="E28" s="12">
        <f t="shared" si="7"/>
        <v>0.83084864270480385</v>
      </c>
      <c r="F28" s="15">
        <v>278.02293600000002</v>
      </c>
      <c r="G28" s="16">
        <v>371.01182999999997</v>
      </c>
      <c r="H28" s="12">
        <f t="shared" si="8"/>
        <v>0.33446482990885307</v>
      </c>
      <c r="I28" s="15">
        <v>253.86736099999999</v>
      </c>
      <c r="J28" s="16">
        <v>329.59642700000001</v>
      </c>
      <c r="K28" s="12">
        <f t="shared" si="9"/>
        <v>0.29830170251779631</v>
      </c>
      <c r="L28" s="15">
        <v>339.46404899999999</v>
      </c>
      <c r="M28" s="16">
        <v>550.78919199999996</v>
      </c>
      <c r="N28" s="12">
        <f t="shared" si="10"/>
        <v>0.62252584219897744</v>
      </c>
      <c r="O28" s="15">
        <v>321.96414499999997</v>
      </c>
      <c r="P28" s="16">
        <v>500.41739100000001</v>
      </c>
      <c r="Q28" s="12">
        <f t="shared" si="11"/>
        <v>0.55426434518042389</v>
      </c>
    </row>
    <row r="29" spans="2:17" x14ac:dyDescent="0.25">
      <c r="B29" s="49" t="s">
        <v>16</v>
      </c>
      <c r="C29" s="15">
        <v>244.606121</v>
      </c>
      <c r="D29" s="16">
        <v>426.79639500000002</v>
      </c>
      <c r="E29" s="12">
        <f t="shared" si="7"/>
        <v>0.74483121376999395</v>
      </c>
      <c r="F29" s="15">
        <v>177.07395600000001</v>
      </c>
      <c r="G29" s="16">
        <v>233.565111</v>
      </c>
      <c r="H29" s="12">
        <f t="shared" si="8"/>
        <v>0.31902576909729174</v>
      </c>
      <c r="I29" s="15">
        <v>190.65970200000001</v>
      </c>
      <c r="J29" s="16">
        <v>248.41144</v>
      </c>
      <c r="K29" s="12">
        <f t="shared" si="9"/>
        <v>0.30290479526711933</v>
      </c>
      <c r="L29" s="15">
        <v>210.77399299999999</v>
      </c>
      <c r="M29" s="16">
        <v>328.47036100000003</v>
      </c>
      <c r="N29" s="12">
        <f t="shared" si="10"/>
        <v>0.55840080801619596</v>
      </c>
      <c r="O29" s="15">
        <v>200.09159700000001</v>
      </c>
      <c r="P29" s="16">
        <v>298.79815100000002</v>
      </c>
      <c r="Q29" s="12">
        <f t="shared" si="11"/>
        <v>0.49330684286557025</v>
      </c>
    </row>
    <row r="30" spans="2:17" x14ac:dyDescent="0.25">
      <c r="B30" s="49" t="s">
        <v>17</v>
      </c>
      <c r="C30" s="15">
        <v>162.91060899999999</v>
      </c>
      <c r="D30" s="16">
        <v>319.30505699999998</v>
      </c>
      <c r="E30" s="12">
        <f t="shared" si="7"/>
        <v>0.96000161659207839</v>
      </c>
      <c r="F30" s="15">
        <v>100.94898000000001</v>
      </c>
      <c r="G30" s="16">
        <v>137.446719</v>
      </c>
      <c r="H30" s="12">
        <f t="shared" si="8"/>
        <v>0.36154638709573872</v>
      </c>
      <c r="I30" s="15">
        <v>63.207659</v>
      </c>
      <c r="J30" s="16">
        <v>81.184987000000007</v>
      </c>
      <c r="K30" s="12">
        <f t="shared" si="9"/>
        <v>0.28441692485399606</v>
      </c>
      <c r="L30" s="15">
        <v>128.690056</v>
      </c>
      <c r="M30" s="16">
        <v>222.31883199999999</v>
      </c>
      <c r="N30" s="12">
        <f t="shared" si="10"/>
        <v>0.72755253133155828</v>
      </c>
      <c r="O30" s="15">
        <v>121.87254799999999</v>
      </c>
      <c r="P30" s="16">
        <v>201.61923999999999</v>
      </c>
      <c r="Q30" s="12">
        <f t="shared" si="11"/>
        <v>0.65434499654507916</v>
      </c>
    </row>
    <row r="31" spans="2:17" x14ac:dyDescent="0.25">
      <c r="B31" s="49" t="s">
        <v>18</v>
      </c>
      <c r="C31" s="17">
        <v>0.68175865199079599</v>
      </c>
      <c r="D31" s="18">
        <v>0.81080815487304303</v>
      </c>
      <c r="E31" s="12">
        <f t="shared" si="7"/>
        <v>0.18928913113960633</v>
      </c>
      <c r="F31" s="17">
        <v>0.60073704470613898</v>
      </c>
      <c r="G31" s="18">
        <v>0.66848110395992499</v>
      </c>
      <c r="H31" s="12">
        <f t="shared" si="8"/>
        <v>0.11276824003241592</v>
      </c>
      <c r="I31" s="17">
        <v>0.38706421221725301</v>
      </c>
      <c r="J31" s="18">
        <v>0.39627332805036702</v>
      </c>
      <c r="K31" s="12">
        <f t="shared" si="9"/>
        <v>2.3792217266382254E-2</v>
      </c>
      <c r="L31" s="17">
        <v>0.62568559970012905</v>
      </c>
      <c r="M31" s="18">
        <v>0.72107937732730898</v>
      </c>
      <c r="N31" s="12">
        <f t="shared" si="10"/>
        <v>0.15246279868499313</v>
      </c>
      <c r="O31" s="17">
        <v>0.62371268854730499</v>
      </c>
      <c r="P31" s="18">
        <v>0.72017643980090895</v>
      </c>
      <c r="Q31" s="12">
        <f t="shared" si="11"/>
        <v>0.15466055609399021</v>
      </c>
    </row>
    <row r="32" spans="2:17" ht="15.75" thickBot="1" x14ac:dyDescent="0.3">
      <c r="B32" s="50" t="s">
        <v>19</v>
      </c>
      <c r="C32" s="51">
        <v>1.9684680000000001</v>
      </c>
      <c r="D32" s="52">
        <v>2.1520800000000002</v>
      </c>
      <c r="E32" s="24">
        <f t="shared" si="7"/>
        <v>9.3276598857588766E-2</v>
      </c>
      <c r="F32" s="51">
        <v>1.8114399999999999</v>
      </c>
      <c r="G32" s="52">
        <v>1.826058</v>
      </c>
      <c r="H32" s="24">
        <f t="shared" si="8"/>
        <v>8.0698229033255853E-3</v>
      </c>
      <c r="I32" s="51">
        <v>1.386304</v>
      </c>
      <c r="J32" s="52">
        <v>1.1562060000000001</v>
      </c>
      <c r="K32" s="24">
        <f t="shared" si="9"/>
        <v>-0.16597946770693872</v>
      </c>
      <c r="L32" s="51">
        <v>1.8588849999999999</v>
      </c>
      <c r="M32" s="52">
        <v>1.942105</v>
      </c>
      <c r="N32" s="24">
        <f t="shared" si="10"/>
        <v>4.4768772678245305E-2</v>
      </c>
      <c r="O32" s="51">
        <v>1.867796</v>
      </c>
      <c r="P32" s="52">
        <v>1.9543269999999999</v>
      </c>
      <c r="Q32" s="24">
        <f t="shared" si="11"/>
        <v>4.6327864499120741E-2</v>
      </c>
    </row>
    <row r="35" spans="2:17" ht="15.75" thickBot="1" x14ac:dyDescent="0.3"/>
    <row r="36" spans="2:17" x14ac:dyDescent="0.25">
      <c r="B36" s="138" t="s">
        <v>27</v>
      </c>
      <c r="C36" s="131" t="s">
        <v>0</v>
      </c>
      <c r="D36" s="132"/>
      <c r="E36" s="132"/>
      <c r="F36" s="131" t="s">
        <v>1</v>
      </c>
      <c r="G36" s="132"/>
      <c r="H36" s="133"/>
      <c r="I36" s="131" t="s">
        <v>2</v>
      </c>
      <c r="J36" s="132"/>
      <c r="K36" s="133"/>
      <c r="L36" s="131" t="s">
        <v>3</v>
      </c>
      <c r="M36" s="132"/>
      <c r="N36" s="133"/>
      <c r="O36" s="131" t="s">
        <v>4</v>
      </c>
      <c r="P36" s="132"/>
      <c r="Q36" s="133"/>
    </row>
    <row r="37" spans="2:17" ht="15.75" thickBot="1" x14ac:dyDescent="0.3">
      <c r="B37" s="139"/>
      <c r="C37" s="3">
        <v>2019</v>
      </c>
      <c r="D37" s="4">
        <v>2025</v>
      </c>
      <c r="E37" s="4" t="s">
        <v>6</v>
      </c>
      <c r="F37" s="3">
        <v>2019</v>
      </c>
      <c r="G37" s="4">
        <v>2025</v>
      </c>
      <c r="H37" s="45" t="s">
        <v>6</v>
      </c>
      <c r="I37" s="3">
        <v>2019</v>
      </c>
      <c r="J37" s="4">
        <v>2025</v>
      </c>
      <c r="K37" s="45" t="s">
        <v>6</v>
      </c>
      <c r="L37" s="3">
        <v>2019</v>
      </c>
      <c r="M37" s="4">
        <v>2025</v>
      </c>
      <c r="N37" s="45" t="s">
        <v>6</v>
      </c>
      <c r="O37" s="3">
        <v>2019</v>
      </c>
      <c r="P37" s="4">
        <v>2025</v>
      </c>
      <c r="Q37" s="45" t="s">
        <v>6</v>
      </c>
    </row>
    <row r="38" spans="2:17" x14ac:dyDescent="0.25">
      <c r="B38" s="46" t="s">
        <v>9</v>
      </c>
      <c r="C38" s="140">
        <v>98616</v>
      </c>
      <c r="D38" s="141"/>
      <c r="E38" s="48"/>
      <c r="F38" s="140">
        <v>330487</v>
      </c>
      <c r="G38" s="141"/>
      <c r="H38" s="48"/>
      <c r="I38" s="140">
        <v>40655</v>
      </c>
      <c r="J38" s="141"/>
      <c r="K38" s="48"/>
      <c r="L38" s="140">
        <v>469758</v>
      </c>
      <c r="M38" s="141"/>
      <c r="N38" s="48"/>
      <c r="O38" s="140">
        <v>1617212</v>
      </c>
      <c r="P38" s="141"/>
      <c r="Q38" s="48"/>
    </row>
    <row r="39" spans="2:17" x14ac:dyDescent="0.25">
      <c r="B39" s="49" t="s">
        <v>11</v>
      </c>
      <c r="C39" s="10">
        <v>10.118662286038701</v>
      </c>
      <c r="D39" s="11">
        <v>10.9206518212054</v>
      </c>
      <c r="E39" s="12">
        <f>(D39/C39)-1</f>
        <v>7.9258454575882986E-2</v>
      </c>
      <c r="F39" s="10">
        <v>7.3976283484675598</v>
      </c>
      <c r="G39" s="11">
        <v>5.8778136507638701</v>
      </c>
      <c r="H39" s="12">
        <f>(G39/F39)-1</f>
        <v>-0.20544620871884212</v>
      </c>
      <c r="I39" s="10">
        <v>10.466461689829</v>
      </c>
      <c r="J39" s="11">
        <v>9.8882056327634906</v>
      </c>
      <c r="K39" s="12">
        <f>(J39/I39)-1</f>
        <v>-5.5248475960834154E-2</v>
      </c>
      <c r="L39" s="10">
        <v>8.2344441180352401</v>
      </c>
      <c r="M39" s="11">
        <v>7.2835310947338803</v>
      </c>
      <c r="N39" s="12">
        <f>(M39/L39)-1</f>
        <v>-0.11547992914526573</v>
      </c>
      <c r="O39" s="10">
        <v>5.87722821745077</v>
      </c>
      <c r="P39" s="11">
        <v>3.33958503894356</v>
      </c>
      <c r="Q39" s="12">
        <f>(P39/O39)-1</f>
        <v>-0.4317755044754592</v>
      </c>
    </row>
    <row r="40" spans="2:17" x14ac:dyDescent="0.25">
      <c r="B40" s="49" t="s">
        <v>12</v>
      </c>
      <c r="C40" s="13">
        <v>35.471665999999999</v>
      </c>
      <c r="D40" s="14">
        <v>51.829070999999999</v>
      </c>
      <c r="E40" s="12">
        <f t="shared" ref="E40:E47" si="12">(D40/C40)-1</f>
        <v>0.46114002652144959</v>
      </c>
      <c r="F40" s="13">
        <v>32.051462000000001</v>
      </c>
      <c r="G40" s="14">
        <v>44.584130999999999</v>
      </c>
      <c r="H40" s="12">
        <f t="shared" ref="H40:H47" si="13">(G40/F40)-1</f>
        <v>0.39101707747372028</v>
      </c>
      <c r="I40" s="13">
        <v>17.445815</v>
      </c>
      <c r="J40" s="14">
        <v>14.507692</v>
      </c>
      <c r="K40" s="12">
        <f t="shared" ref="K40:K47" si="14">(J40/I40)-1</f>
        <v>-0.16841420134284346</v>
      </c>
      <c r="L40" s="13">
        <v>31.327089000000001</v>
      </c>
      <c r="M40" s="14">
        <v>43.330750999999999</v>
      </c>
      <c r="N40" s="12">
        <f t="shared" ref="N40:N47" si="15">(M40/L40)-1</f>
        <v>0.38317195702415874</v>
      </c>
      <c r="O40" s="13">
        <v>31.422136999999999</v>
      </c>
      <c r="P40" s="14">
        <v>44.224853000000003</v>
      </c>
      <c r="Q40" s="12">
        <f t="shared" ref="Q40:Q47" si="16">(P40/O40)-1</f>
        <v>0.40744256191105022</v>
      </c>
    </row>
    <row r="41" spans="2:17" x14ac:dyDescent="0.25">
      <c r="B41" s="49" t="s">
        <v>13</v>
      </c>
      <c r="C41" s="13">
        <v>21.077123</v>
      </c>
      <c r="D41" s="14">
        <v>30.266403</v>
      </c>
      <c r="E41" s="12">
        <f t="shared" si="12"/>
        <v>0.43598360174678485</v>
      </c>
      <c r="F41" s="13">
        <v>19.866827000000001</v>
      </c>
      <c r="G41" s="14">
        <v>27.212014</v>
      </c>
      <c r="H41" s="12">
        <f t="shared" si="13"/>
        <v>0.36972119402861869</v>
      </c>
      <c r="I41" s="13">
        <v>12.529021</v>
      </c>
      <c r="J41" s="14">
        <v>9.3608130000000003</v>
      </c>
      <c r="K41" s="12">
        <f t="shared" si="14"/>
        <v>-0.25286955780503517</v>
      </c>
      <c r="L41" s="13">
        <v>19.371860000000002</v>
      </c>
      <c r="M41" s="14">
        <v>26.076007000000001</v>
      </c>
      <c r="N41" s="12">
        <f t="shared" si="15"/>
        <v>0.3460765770555847</v>
      </c>
      <c r="O41" s="13">
        <v>19.598378</v>
      </c>
      <c r="P41" s="14">
        <v>26.930607999999999</v>
      </c>
      <c r="Q41" s="12">
        <f t="shared" si="16"/>
        <v>0.37412432804388196</v>
      </c>
    </row>
    <row r="42" spans="2:17" x14ac:dyDescent="0.25">
      <c r="B42" s="49" t="s">
        <v>14</v>
      </c>
      <c r="C42" s="13">
        <v>14.394543000000001</v>
      </c>
      <c r="D42" s="14">
        <v>21.562667999999999</v>
      </c>
      <c r="E42" s="12">
        <f t="shared" si="12"/>
        <v>0.49797517017386372</v>
      </c>
      <c r="F42" s="13">
        <v>12.184635</v>
      </c>
      <c r="G42" s="14">
        <v>17.372116999999999</v>
      </c>
      <c r="H42" s="12">
        <f t="shared" si="13"/>
        <v>0.42573963028026696</v>
      </c>
      <c r="I42" s="13">
        <v>4.9167940000000003</v>
      </c>
      <c r="J42" s="14">
        <v>5.1468790000000002</v>
      </c>
      <c r="K42" s="12">
        <f t="shared" si="14"/>
        <v>4.6795737222263156E-2</v>
      </c>
      <c r="L42" s="13">
        <v>11.95523</v>
      </c>
      <c r="M42" s="14">
        <v>17.254745</v>
      </c>
      <c r="N42" s="12">
        <f t="shared" si="15"/>
        <v>0.44328005400147052</v>
      </c>
      <c r="O42" s="13">
        <v>11.823759000000001</v>
      </c>
      <c r="P42" s="14">
        <v>17.294243999999999</v>
      </c>
      <c r="Q42" s="12">
        <f t="shared" si="16"/>
        <v>0.46266885175856487</v>
      </c>
    </row>
    <row r="43" spans="2:17" x14ac:dyDescent="0.25">
      <c r="B43" s="49" t="s">
        <v>15</v>
      </c>
      <c r="C43" s="15">
        <v>358.92580800000002</v>
      </c>
      <c r="D43" s="16">
        <v>566.00723600000003</v>
      </c>
      <c r="E43" s="12">
        <f t="shared" si="12"/>
        <v>0.5769477239708547</v>
      </c>
      <c r="F43" s="15">
        <v>237.104804</v>
      </c>
      <c r="G43" s="16">
        <v>262.05721299999999</v>
      </c>
      <c r="H43" s="12">
        <f t="shared" si="13"/>
        <v>0.10523788881139673</v>
      </c>
      <c r="I43" s="15">
        <v>182.59595400000001</v>
      </c>
      <c r="J43" s="16">
        <v>143.45504</v>
      </c>
      <c r="K43" s="12">
        <f t="shared" si="14"/>
        <v>-0.21435805746276293</v>
      </c>
      <c r="L43" s="15">
        <v>257.96116599999999</v>
      </c>
      <c r="M43" s="16">
        <v>315.60087600000003</v>
      </c>
      <c r="N43" s="12">
        <f t="shared" si="15"/>
        <v>0.22344336123833486</v>
      </c>
      <c r="O43" s="15">
        <v>184.67506900000001</v>
      </c>
      <c r="P43" s="16">
        <v>147.692656</v>
      </c>
      <c r="Q43" s="12">
        <f t="shared" si="16"/>
        <v>-0.20025666269007869</v>
      </c>
    </row>
    <row r="44" spans="2:17" x14ac:dyDescent="0.25">
      <c r="B44" s="49" t="s">
        <v>16</v>
      </c>
      <c r="C44" s="15">
        <v>213.27228500000001</v>
      </c>
      <c r="D44" s="16">
        <v>330.52884499999999</v>
      </c>
      <c r="E44" s="12">
        <f t="shared" si="12"/>
        <v>0.54979745727392548</v>
      </c>
      <c r="F44" s="15">
        <v>146.96740500000001</v>
      </c>
      <c r="G44" s="16">
        <v>159.94714500000001</v>
      </c>
      <c r="H44" s="12">
        <f t="shared" si="13"/>
        <v>8.8317133993078167E-2</v>
      </c>
      <c r="I44" s="15">
        <v>131.13451699999999</v>
      </c>
      <c r="J44" s="16">
        <v>92.561644000000001</v>
      </c>
      <c r="K44" s="12">
        <f t="shared" si="14"/>
        <v>-0.29414736777503048</v>
      </c>
      <c r="L44" s="15">
        <v>159.51649599999999</v>
      </c>
      <c r="M44" s="16">
        <v>189.92540500000001</v>
      </c>
      <c r="N44" s="12">
        <f t="shared" si="15"/>
        <v>0.19063175133937271</v>
      </c>
      <c r="O44" s="15">
        <v>115.184139</v>
      </c>
      <c r="P44" s="16">
        <v>89.937056999999996</v>
      </c>
      <c r="Q44" s="12">
        <f t="shared" si="16"/>
        <v>-0.21918887634346951</v>
      </c>
    </row>
    <row r="45" spans="2:17" x14ac:dyDescent="0.25">
      <c r="B45" s="49" t="s">
        <v>17</v>
      </c>
      <c r="C45" s="15">
        <v>145.65352300000001</v>
      </c>
      <c r="D45" s="16">
        <v>235.47839099999999</v>
      </c>
      <c r="E45" s="12">
        <f t="shared" si="12"/>
        <v>0.61670233681886288</v>
      </c>
      <c r="F45" s="15">
        <v>90.137399000000002</v>
      </c>
      <c r="G45" s="16">
        <v>102.110068</v>
      </c>
      <c r="H45" s="12">
        <f t="shared" si="13"/>
        <v>0.13282687466941434</v>
      </c>
      <c r="I45" s="15">
        <v>51.461436999999997</v>
      </c>
      <c r="J45" s="16">
        <v>50.893397</v>
      </c>
      <c r="K45" s="12">
        <f t="shared" si="14"/>
        <v>-1.1038168250140368E-2</v>
      </c>
      <c r="L45" s="15">
        <v>98.444670000000002</v>
      </c>
      <c r="M45" s="16">
        <v>125.675471</v>
      </c>
      <c r="N45" s="12">
        <f t="shared" si="15"/>
        <v>0.27661021160414268</v>
      </c>
      <c r="O45" s="15">
        <v>69.490930000000006</v>
      </c>
      <c r="P45" s="16">
        <v>57.755600000000001</v>
      </c>
      <c r="Q45" s="12">
        <f t="shared" si="16"/>
        <v>-0.1688757079521026</v>
      </c>
    </row>
    <row r="46" spans="2:17" x14ac:dyDescent="0.25">
      <c r="B46" s="49" t="s">
        <v>18</v>
      </c>
      <c r="C46" s="17">
        <v>0.69097730948768399</v>
      </c>
      <c r="D46" s="18">
        <v>0.74487790066586101</v>
      </c>
      <c r="E46" s="12">
        <f t="shared" si="12"/>
        <v>7.8006311405711681E-2</v>
      </c>
      <c r="F46" s="17">
        <v>0.62830719643981903</v>
      </c>
      <c r="G46" s="18">
        <v>0.65951297810445098</v>
      </c>
      <c r="H46" s="12">
        <f t="shared" si="13"/>
        <v>4.9666439985811772E-2</v>
      </c>
      <c r="I46" s="17">
        <v>0.40261660015886602</v>
      </c>
      <c r="J46" s="18">
        <v>0.465337495802291</v>
      </c>
      <c r="K46" s="12">
        <f t="shared" si="14"/>
        <v>0.15578318335278851</v>
      </c>
      <c r="L46" s="17">
        <v>0.61964724641667501</v>
      </c>
      <c r="M46" s="18">
        <v>0.66356802300279605</v>
      </c>
      <c r="N46" s="12">
        <f t="shared" si="15"/>
        <v>7.0880290100711507E-2</v>
      </c>
      <c r="O46" s="17">
        <v>0.60670420308890605</v>
      </c>
      <c r="P46" s="18">
        <v>0.64529181418292803</v>
      </c>
      <c r="Q46" s="12">
        <f t="shared" si="16"/>
        <v>6.36020170909668E-2</v>
      </c>
    </row>
    <row r="47" spans="2:17" ht="15.75" thickBot="1" x14ac:dyDescent="0.3">
      <c r="B47" s="50" t="s">
        <v>19</v>
      </c>
      <c r="C47" s="51">
        <v>1.991061</v>
      </c>
      <c r="D47" s="52">
        <v>2.0440239999999998</v>
      </c>
      <c r="E47" s="24">
        <f t="shared" si="12"/>
        <v>2.6600390445094213E-2</v>
      </c>
      <c r="F47" s="51">
        <v>1.916749</v>
      </c>
      <c r="G47" s="52">
        <v>1.9119409999999999</v>
      </c>
      <c r="H47" s="24">
        <f t="shared" si="13"/>
        <v>-2.5084139863905675E-3</v>
      </c>
      <c r="I47" s="51">
        <v>1.401378</v>
      </c>
      <c r="J47" s="52">
        <v>0.97245300000000001</v>
      </c>
      <c r="K47" s="24">
        <f t="shared" si="14"/>
        <v>-0.30607373599414289</v>
      </c>
      <c r="L47" s="51">
        <v>1.879227</v>
      </c>
      <c r="M47" s="52">
        <v>1.8431310000000001</v>
      </c>
      <c r="N47" s="24">
        <f t="shared" si="15"/>
        <v>-1.9207897715390332E-2</v>
      </c>
      <c r="O47" s="51">
        <v>1.911832</v>
      </c>
      <c r="P47" s="52">
        <v>1.890951</v>
      </c>
      <c r="Q47" s="24">
        <f t="shared" si="16"/>
        <v>-1.0921984776905092E-2</v>
      </c>
    </row>
  </sheetData>
  <mergeCells count="37">
    <mergeCell ref="O36:Q36"/>
    <mergeCell ref="C38:D38"/>
    <mergeCell ref="F38:G38"/>
    <mergeCell ref="I38:J38"/>
    <mergeCell ref="L38:M38"/>
    <mergeCell ref="O38:P38"/>
    <mergeCell ref="B36:B37"/>
    <mergeCell ref="C36:E36"/>
    <mergeCell ref="F36:H36"/>
    <mergeCell ref="I36:K36"/>
    <mergeCell ref="L36:N36"/>
    <mergeCell ref="O21:Q21"/>
    <mergeCell ref="C23:D23"/>
    <mergeCell ref="F23:G23"/>
    <mergeCell ref="I23:J23"/>
    <mergeCell ref="L23:M23"/>
    <mergeCell ref="O23:P23"/>
    <mergeCell ref="B21:B22"/>
    <mergeCell ref="C21:E21"/>
    <mergeCell ref="F21:H21"/>
    <mergeCell ref="I21:K21"/>
    <mergeCell ref="L21:N21"/>
    <mergeCell ref="L4:M4"/>
    <mergeCell ref="N4:N5"/>
    <mergeCell ref="O4:P4"/>
    <mergeCell ref="Q4:Q5"/>
    <mergeCell ref="C4:D4"/>
    <mergeCell ref="E4:E5"/>
    <mergeCell ref="F4:G4"/>
    <mergeCell ref="H4:H5"/>
    <mergeCell ref="I4:J4"/>
    <mergeCell ref="K4:K5"/>
    <mergeCell ref="C3:E3"/>
    <mergeCell ref="F3:H3"/>
    <mergeCell ref="I3:K3"/>
    <mergeCell ref="L3:N3"/>
    <mergeCell ref="O3:Q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3" id="{267AA474-8966-43F0-AB25-45D20C895C0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E6:E18</xm:sqref>
        </x14:conditionalFormatting>
        <x14:conditionalFormatting xmlns:xm="http://schemas.microsoft.com/office/excel/2006/main">
          <x14:cfRule type="iconSet" priority="47" id="{7BA4A6FD-571E-4E2B-896E-07449B34490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E24:E32</xm:sqref>
        </x14:conditionalFormatting>
        <x14:conditionalFormatting xmlns:xm="http://schemas.microsoft.com/office/excel/2006/main">
          <x14:cfRule type="iconSet" priority="37" id="{81151CBC-BFE9-4BA3-AA10-6BB635F6C24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E39:E47</xm:sqref>
        </x14:conditionalFormatting>
        <x14:conditionalFormatting xmlns:xm="http://schemas.microsoft.com/office/excel/2006/main">
          <x14:cfRule type="iconSet" priority="54" id="{FE35852B-87D5-4D8A-8A76-CD78122E9E4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H7:H18</xm:sqref>
        </x14:conditionalFormatting>
        <x14:conditionalFormatting xmlns:xm="http://schemas.microsoft.com/office/excel/2006/main">
          <x14:cfRule type="iconSet" priority="46" id="{54AA6E24-2178-4286-A5E9-013BFAB380E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H24:H32</xm:sqref>
        </x14:conditionalFormatting>
        <x14:conditionalFormatting xmlns:xm="http://schemas.microsoft.com/office/excel/2006/main">
          <x14:cfRule type="iconSet" priority="36" id="{EB32D32D-0934-40CC-B889-325A923CAE9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H39:H47</xm:sqref>
        </x14:conditionalFormatting>
        <x14:conditionalFormatting xmlns:xm="http://schemas.microsoft.com/office/excel/2006/main">
          <x14:cfRule type="iconSet" priority="55" id="{F8EE224A-3704-4D45-9CE6-D8510D9228D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K7:K18</xm:sqref>
        </x14:conditionalFormatting>
        <x14:conditionalFormatting xmlns:xm="http://schemas.microsoft.com/office/excel/2006/main">
          <x14:cfRule type="iconSet" priority="45" id="{374AEF5E-E084-4A4C-960F-9DD4E8CF82E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K24:K32</xm:sqref>
        </x14:conditionalFormatting>
        <x14:conditionalFormatting xmlns:xm="http://schemas.microsoft.com/office/excel/2006/main">
          <x14:cfRule type="iconSet" priority="35" id="{1C561EEE-22EC-478E-85DB-272DAF05A9F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K39:K47</xm:sqref>
        </x14:conditionalFormatting>
        <x14:conditionalFormatting xmlns:xm="http://schemas.microsoft.com/office/excel/2006/main">
          <x14:cfRule type="iconSet" priority="56" id="{FF1E6CC2-7F6A-45CC-857B-E54D81E1AD7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N7:N18</xm:sqref>
        </x14:conditionalFormatting>
        <x14:conditionalFormatting xmlns:xm="http://schemas.microsoft.com/office/excel/2006/main">
          <x14:cfRule type="iconSet" priority="44" id="{A201938C-27BB-4C39-A844-0D750173978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N24:N32</xm:sqref>
        </x14:conditionalFormatting>
        <x14:conditionalFormatting xmlns:xm="http://schemas.microsoft.com/office/excel/2006/main">
          <x14:cfRule type="iconSet" priority="34" id="{3ABC6585-3ED9-4B7D-BFA2-F32943AEEF5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N39:N47</xm:sqref>
        </x14:conditionalFormatting>
        <x14:conditionalFormatting xmlns:xm="http://schemas.microsoft.com/office/excel/2006/main">
          <x14:cfRule type="iconSet" priority="57" id="{2B90D837-45B2-4973-9F35-70B1D1C16CD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Q7:Q18</xm:sqref>
        </x14:conditionalFormatting>
        <x14:conditionalFormatting xmlns:xm="http://schemas.microsoft.com/office/excel/2006/main">
          <x14:cfRule type="iconSet" priority="43" id="{7E2726C4-BCD0-433D-A735-884D001E8CE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Q24:Q32</xm:sqref>
        </x14:conditionalFormatting>
        <x14:conditionalFormatting xmlns:xm="http://schemas.microsoft.com/office/excel/2006/main">
          <x14:cfRule type="iconSet" priority="33" id="{05ECE6E5-13F5-41A3-960E-A61A6EAC3F5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Q39:Q47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3C8D-CCA0-4B24-A3C7-25F438E54DF6}">
  <dimension ref="B2:AF69"/>
  <sheetViews>
    <sheetView tabSelected="1" topLeftCell="A25" zoomScale="70" zoomScaleNormal="70" workbookViewId="0">
      <selection activeCell="S21" sqref="S21"/>
    </sheetView>
  </sheetViews>
  <sheetFormatPr defaultRowHeight="15" x14ac:dyDescent="0.25"/>
  <cols>
    <col min="2" max="2" width="50.85546875" bestFit="1" customWidth="1"/>
    <col min="3" max="3" width="9.42578125" bestFit="1" customWidth="1"/>
    <col min="4" max="4" width="8.85546875" bestFit="1" customWidth="1"/>
    <col min="5" max="5" width="11.140625" bestFit="1" customWidth="1"/>
    <col min="6" max="6" width="9.28515625" bestFit="1" customWidth="1"/>
    <col min="7" max="7" width="8.85546875" bestFit="1" customWidth="1"/>
    <col min="8" max="8" width="11.140625" bestFit="1" customWidth="1"/>
    <col min="9" max="10" width="8.140625" bestFit="1" customWidth="1"/>
    <col min="11" max="11" width="11.140625" bestFit="1" customWidth="1"/>
    <col min="12" max="13" width="9.28515625" bestFit="1" customWidth="1"/>
    <col min="14" max="17" width="11.140625" bestFit="1" customWidth="1"/>
    <col min="20" max="20" width="63.7109375" bestFit="1" customWidth="1"/>
    <col min="21" max="21" width="15.28515625" bestFit="1" customWidth="1"/>
    <col min="22" max="23" width="16.28515625" bestFit="1" customWidth="1"/>
    <col min="24" max="24" width="21.42578125" bestFit="1" customWidth="1"/>
    <col min="25" max="25" width="11.42578125" bestFit="1" customWidth="1"/>
    <col min="26" max="26" width="11.140625" bestFit="1" customWidth="1"/>
    <col min="27" max="27" width="11.42578125" bestFit="1" customWidth="1"/>
    <col min="28" max="28" width="12.140625" customWidth="1"/>
    <col min="29" max="29" width="11.140625" bestFit="1" customWidth="1"/>
    <col min="30" max="30" width="11" bestFit="1" customWidth="1"/>
    <col min="32" max="32" width="11.140625" bestFit="1" customWidth="1"/>
  </cols>
  <sheetData>
    <row r="2" spans="2:32" ht="15.75" thickBot="1" x14ac:dyDescent="0.3"/>
    <row r="3" spans="2:32" ht="21.75" customHeight="1" x14ac:dyDescent="0.35">
      <c r="B3" s="27"/>
      <c r="C3" s="131" t="s">
        <v>0</v>
      </c>
      <c r="D3" s="132"/>
      <c r="E3" s="133"/>
      <c r="F3" s="131" t="s">
        <v>1</v>
      </c>
      <c r="G3" s="132"/>
      <c r="H3" s="133"/>
      <c r="I3" s="131" t="s">
        <v>2</v>
      </c>
      <c r="J3" s="132"/>
      <c r="K3" s="133"/>
      <c r="L3" s="131" t="s">
        <v>3</v>
      </c>
      <c r="M3" s="132"/>
      <c r="N3" s="133"/>
      <c r="O3" s="131" t="s">
        <v>4</v>
      </c>
      <c r="P3" s="132"/>
      <c r="Q3" s="133"/>
      <c r="T3" s="26" t="s">
        <v>76</v>
      </c>
      <c r="U3" s="142" t="s">
        <v>31</v>
      </c>
      <c r="V3" s="143"/>
      <c r="W3" s="144"/>
      <c r="X3" s="142" t="s">
        <v>43</v>
      </c>
      <c r="Y3" s="143"/>
      <c r="Z3" s="144"/>
      <c r="AA3" s="142" t="s">
        <v>33</v>
      </c>
      <c r="AB3" s="143"/>
      <c r="AC3" s="144"/>
      <c r="AD3" s="142" t="s">
        <v>44</v>
      </c>
      <c r="AE3" s="143"/>
      <c r="AF3" s="144"/>
    </row>
    <row r="4" spans="2:32" ht="21.75" thickBot="1" x14ac:dyDescent="0.4">
      <c r="B4" s="26" t="s">
        <v>71</v>
      </c>
      <c r="C4" s="134" t="s">
        <v>73</v>
      </c>
      <c r="D4" s="135"/>
      <c r="E4" s="136" t="s">
        <v>6</v>
      </c>
      <c r="F4" s="134" t="s">
        <v>73</v>
      </c>
      <c r="G4" s="135"/>
      <c r="H4" s="136" t="s">
        <v>6</v>
      </c>
      <c r="I4" s="134" t="s">
        <v>73</v>
      </c>
      <c r="J4" s="135"/>
      <c r="K4" s="136" t="s">
        <v>6</v>
      </c>
      <c r="L4" s="134" t="s">
        <v>73</v>
      </c>
      <c r="M4" s="135"/>
      <c r="N4" s="136" t="s">
        <v>6</v>
      </c>
      <c r="O4" s="134" t="s">
        <v>73</v>
      </c>
      <c r="P4" s="135"/>
      <c r="Q4" s="136" t="s">
        <v>6</v>
      </c>
      <c r="T4" s="26"/>
      <c r="U4" s="121">
        <v>2024</v>
      </c>
      <c r="V4" s="122">
        <v>2025</v>
      </c>
      <c r="W4" s="58" t="s">
        <v>6</v>
      </c>
      <c r="X4" s="121">
        <v>2024</v>
      </c>
      <c r="Y4" s="122">
        <v>2025</v>
      </c>
      <c r="Z4" s="58" t="s">
        <v>6</v>
      </c>
      <c r="AA4" s="123">
        <v>2024</v>
      </c>
      <c r="AB4" s="122">
        <v>2025</v>
      </c>
      <c r="AC4" s="58" t="s">
        <v>6</v>
      </c>
      <c r="AD4" s="121">
        <v>2024</v>
      </c>
      <c r="AE4" s="122">
        <v>2025</v>
      </c>
      <c r="AF4" s="58" t="s">
        <v>6</v>
      </c>
    </row>
    <row r="5" spans="2:32" ht="15.75" thickBot="1" x14ac:dyDescent="0.3">
      <c r="B5" s="1"/>
      <c r="C5" s="30">
        <v>2024</v>
      </c>
      <c r="D5" s="4">
        <v>2025</v>
      </c>
      <c r="E5" s="137"/>
      <c r="F5" s="30">
        <v>2024</v>
      </c>
      <c r="G5" s="4">
        <v>2025</v>
      </c>
      <c r="H5" s="137"/>
      <c r="I5" s="30">
        <v>2024</v>
      </c>
      <c r="J5" s="4">
        <v>2025</v>
      </c>
      <c r="K5" s="137"/>
      <c r="L5" s="30">
        <v>2024</v>
      </c>
      <c r="M5" s="4">
        <v>2025</v>
      </c>
      <c r="N5" s="137"/>
      <c r="O5" s="30">
        <v>2024</v>
      </c>
      <c r="P5" s="4">
        <v>2025</v>
      </c>
      <c r="Q5" s="137"/>
      <c r="T5" s="5" t="s">
        <v>9</v>
      </c>
      <c r="U5" s="31">
        <v>103928</v>
      </c>
      <c r="V5" s="7">
        <v>123833</v>
      </c>
      <c r="W5" s="124">
        <f>(V5/U5)-1</f>
        <v>0.19152682626433681</v>
      </c>
      <c r="X5" s="31">
        <v>19810</v>
      </c>
      <c r="Y5" s="7">
        <v>17883</v>
      </c>
      <c r="Z5" s="124">
        <f>(Y5/X5)-1</f>
        <v>-9.7274103987884941E-2</v>
      </c>
      <c r="AA5" s="31">
        <v>11244</v>
      </c>
      <c r="AB5" s="7">
        <v>14235</v>
      </c>
      <c r="AC5" s="124">
        <f>(AB5/AA5)-1</f>
        <v>0.26600853788687306</v>
      </c>
      <c r="AD5" s="31">
        <v>6893</v>
      </c>
      <c r="AE5" s="7">
        <v>7154</v>
      </c>
      <c r="AF5" s="124">
        <f>(AE5/AD5)-1</f>
        <v>3.7864500217612118E-2</v>
      </c>
    </row>
    <row r="6" spans="2:32" x14ac:dyDescent="0.25">
      <c r="B6" s="5" t="s">
        <v>9</v>
      </c>
      <c r="C6" s="31">
        <v>163664</v>
      </c>
      <c r="D6" s="7">
        <v>159430</v>
      </c>
      <c r="E6" s="8" t="s">
        <v>10</v>
      </c>
      <c r="F6" s="31">
        <v>642559</v>
      </c>
      <c r="G6" s="7">
        <v>613487</v>
      </c>
      <c r="H6" s="7" t="s">
        <v>10</v>
      </c>
      <c r="I6" s="31">
        <v>79849</v>
      </c>
      <c r="J6" s="7">
        <v>85775</v>
      </c>
      <c r="K6" s="8" t="s">
        <v>10</v>
      </c>
      <c r="L6" s="31">
        <v>886072</v>
      </c>
      <c r="M6" s="7">
        <v>858692</v>
      </c>
      <c r="N6" s="8" t="s">
        <v>10</v>
      </c>
      <c r="O6" s="31">
        <v>3734524</v>
      </c>
      <c r="P6" s="7">
        <v>3635558</v>
      </c>
      <c r="Q6" s="8" t="s">
        <v>10</v>
      </c>
      <c r="T6" s="9" t="s">
        <v>11</v>
      </c>
      <c r="U6" s="33">
        <v>11.694971518743746</v>
      </c>
      <c r="V6" s="11">
        <v>11.787915983623099</v>
      </c>
      <c r="W6" s="12">
        <f t="shared" ref="W6:W17" si="0">(V6/U6)-1</f>
        <v>7.9473870227380061E-3</v>
      </c>
      <c r="X6" s="33">
        <v>6.2909136799596164</v>
      </c>
      <c r="Y6" s="11">
        <v>6.7131353799697999</v>
      </c>
      <c r="Z6" s="12">
        <f t="shared" ref="Z6:Z17" si="1">(Y6/X6)-1</f>
        <v>6.7116117227171035E-2</v>
      </c>
      <c r="AA6" s="33">
        <v>9.3036286019210248</v>
      </c>
      <c r="AB6" s="11">
        <v>9.3025641025640997</v>
      </c>
      <c r="AC6" s="12">
        <f t="shared" ref="AC6:AC17" si="2">(AB6/AA6)-1</f>
        <v>-1.1441765385011848E-4</v>
      </c>
      <c r="AD6" s="33">
        <v>3.8156100391701728</v>
      </c>
      <c r="AE6" s="11">
        <v>4.3554654738607699</v>
      </c>
      <c r="AF6" s="12">
        <f t="shared" ref="AF6:AF17" si="3">(AE6/AD6)-1</f>
        <v>0.14148600856706151</v>
      </c>
    </row>
    <row r="7" spans="2:32" x14ac:dyDescent="0.25">
      <c r="B7" s="9" t="s">
        <v>11</v>
      </c>
      <c r="C7" s="33">
        <v>10.559622152703099</v>
      </c>
      <c r="D7" s="11">
        <v>10.7550837358088</v>
      </c>
      <c r="E7" s="12">
        <f>(D7/C7)-1</f>
        <v>1.8510281928569405E-2</v>
      </c>
      <c r="F7" s="33">
        <v>5.68668869317837</v>
      </c>
      <c r="G7" s="11">
        <v>5.7829179754420199</v>
      </c>
      <c r="H7" s="12">
        <f t="shared" ref="H7:H15" si="4">(G7/F7)-1</f>
        <v>1.6921848101002057E-2</v>
      </c>
      <c r="I7" s="33">
        <v>9.4204811581860763</v>
      </c>
      <c r="J7" s="11">
        <v>10.1239871757505</v>
      </c>
      <c r="K7" s="12">
        <f t="shared" ref="K7:K15" si="5">(J7/I7)-1</f>
        <v>7.4678353021607746E-2</v>
      </c>
      <c r="L7" s="33">
        <v>6.9232285863902705</v>
      </c>
      <c r="M7" s="11">
        <v>7.1397113283924796</v>
      </c>
      <c r="N7" s="12">
        <f t="shared" ref="N7:N15" si="6">(M7/L7)-1</f>
        <v>3.1269044391770029E-2</v>
      </c>
      <c r="O7" s="33">
        <v>2.8923501361887083</v>
      </c>
      <c r="P7" s="11">
        <v>2.9415630282889098</v>
      </c>
      <c r="Q7" s="12">
        <f t="shared" ref="Q7:Q15" si="7">(P7/O7)-1</f>
        <v>1.7014845984397287E-2</v>
      </c>
      <c r="T7" s="9" t="s">
        <v>12</v>
      </c>
      <c r="U7" s="35">
        <v>40.165048093891983</v>
      </c>
      <c r="V7" s="14">
        <v>39.543649044037402</v>
      </c>
      <c r="W7" s="12">
        <f t="shared" si="0"/>
        <v>-1.5471139195500694E-2</v>
      </c>
      <c r="X7" s="35">
        <v>40.569081309229766</v>
      </c>
      <c r="Y7" s="14">
        <v>37.380729356690097</v>
      </c>
      <c r="Z7" s="12">
        <f t="shared" si="1"/>
        <v>-7.8590686543702826E-2</v>
      </c>
      <c r="AA7" s="35">
        <v>38.419309626230742</v>
      </c>
      <c r="AB7" s="14">
        <v>36.637735195058198</v>
      </c>
      <c r="AC7" s="12">
        <f t="shared" si="2"/>
        <v>-4.6371849169204671E-2</v>
      </c>
      <c r="AD7" s="35">
        <v>41.189877190980503</v>
      </c>
      <c r="AE7" s="14">
        <v>38.055360890914301</v>
      </c>
      <c r="AF7" s="12">
        <f t="shared" si="3"/>
        <v>-7.6099190233870795E-2</v>
      </c>
    </row>
    <row r="8" spans="2:32" x14ac:dyDescent="0.25">
      <c r="B8" s="9" t="s">
        <v>12</v>
      </c>
      <c r="C8" s="35">
        <v>51.021932427975443</v>
      </c>
      <c r="D8" s="14">
        <v>50.613064999999999</v>
      </c>
      <c r="E8" s="12">
        <f t="shared" ref="E8:E9" si="8">(D8/C8)-1</f>
        <v>-8.0135621784340749E-3</v>
      </c>
      <c r="F8" s="35">
        <v>43.151793421132211</v>
      </c>
      <c r="G8" s="14">
        <v>42.870542999999998</v>
      </c>
      <c r="H8" s="12">
        <f t="shared" si="4"/>
        <v>-6.5176994705040681E-3</v>
      </c>
      <c r="I8" s="35">
        <v>14.282694212832483</v>
      </c>
      <c r="J8" s="14">
        <v>13.792513</v>
      </c>
      <c r="K8" s="12">
        <f t="shared" si="5"/>
        <v>-3.4319940308746077E-2</v>
      </c>
      <c r="L8" s="35">
        <v>41.829042459840515</v>
      </c>
      <c r="M8" s="14">
        <v>40.917301999999999</v>
      </c>
      <c r="N8" s="12">
        <f t="shared" si="6"/>
        <v>-2.1796828381043243E-2</v>
      </c>
      <c r="O8" s="35">
        <v>42.608893301526784</v>
      </c>
      <c r="P8" s="14">
        <v>41.945338</v>
      </c>
      <c r="Q8" s="12">
        <f t="shared" si="7"/>
        <v>-1.5573164429103059E-2</v>
      </c>
      <c r="T8" s="9" t="s">
        <v>13</v>
      </c>
      <c r="U8" s="35">
        <v>22.880368345491146</v>
      </c>
      <c r="V8" s="14">
        <v>24.1739572373851</v>
      </c>
      <c r="W8" s="12">
        <f t="shared" si="0"/>
        <v>5.6537065853175861E-2</v>
      </c>
      <c r="X8" s="35">
        <v>23.489703666257526</v>
      </c>
      <c r="Y8" s="14">
        <v>24.099396339888798</v>
      </c>
      <c r="Z8" s="12">
        <f t="shared" si="1"/>
        <v>2.5955741387537534E-2</v>
      </c>
      <c r="AA8" s="35">
        <v>23.056527100659078</v>
      </c>
      <c r="AB8" s="14">
        <v>24.168978115418799</v>
      </c>
      <c r="AC8" s="12">
        <f t="shared" si="2"/>
        <v>4.824885421395142E-2</v>
      </c>
      <c r="AD8" s="35">
        <v>25.13431200334432</v>
      </c>
      <c r="AE8" s="14">
        <v>25.5065464231843</v>
      </c>
      <c r="AF8" s="12">
        <f t="shared" si="3"/>
        <v>1.4809811376195636E-2</v>
      </c>
    </row>
    <row r="9" spans="2:32" x14ac:dyDescent="0.25">
      <c r="B9" s="9" t="s">
        <v>13</v>
      </c>
      <c r="C9" s="35">
        <v>30.241765013915973</v>
      </c>
      <c r="D9" s="14">
        <v>29.841093000000001</v>
      </c>
      <c r="E9" s="12">
        <f t="shared" si="8"/>
        <v>-1.3248962609543447E-2</v>
      </c>
      <c r="F9" s="35">
        <v>27.095139075098665</v>
      </c>
      <c r="G9" s="14">
        <v>26.408159000000001</v>
      </c>
      <c r="H9" s="12">
        <f t="shared" si="4"/>
        <v>-2.5354366080003632E-2</v>
      </c>
      <c r="I9" s="35">
        <v>9.182335991257828</v>
      </c>
      <c r="J9" s="14">
        <v>8.0132899999999996</v>
      </c>
      <c r="K9" s="12">
        <f t="shared" si="5"/>
        <v>-0.1273146607106117</v>
      </c>
      <c r="L9" s="35">
        <v>25.785133166158033</v>
      </c>
      <c r="M9" s="14">
        <v>24.762792000000001</v>
      </c>
      <c r="N9" s="12">
        <f t="shared" si="6"/>
        <v>-3.9648473388526617E-2</v>
      </c>
      <c r="O9" s="35">
        <v>26.440622131025439</v>
      </c>
      <c r="P9" s="14">
        <v>25.475662</v>
      </c>
      <c r="Q9" s="12">
        <f t="shared" si="7"/>
        <v>-3.6495364074401015E-2</v>
      </c>
      <c r="T9" s="9" t="s">
        <v>14</v>
      </c>
      <c r="U9" s="35">
        <v>15.63242657978401</v>
      </c>
      <c r="V9" s="14">
        <v>15.3696918066523</v>
      </c>
      <c r="W9" s="12">
        <f t="shared" si="0"/>
        <v>-1.6807037077115172E-2</v>
      </c>
      <c r="X9" s="35">
        <v>15.133559134348992</v>
      </c>
      <c r="Y9" s="14">
        <v>13.281333016801099</v>
      </c>
      <c r="Z9" s="12">
        <f t="shared" si="1"/>
        <v>-0.1223919701310614</v>
      </c>
      <c r="AA9" s="35">
        <v>13.829647643628689</v>
      </c>
      <c r="AB9" s="14">
        <v>12.4687570796393</v>
      </c>
      <c r="AC9" s="12">
        <f t="shared" si="2"/>
        <v>-9.8403849400772736E-2</v>
      </c>
      <c r="AD9" s="35">
        <v>13.929889357819109</v>
      </c>
      <c r="AE9" s="14">
        <v>12.548814467730001</v>
      </c>
      <c r="AF9" s="12">
        <f t="shared" si="3"/>
        <v>-9.9144713544611518E-2</v>
      </c>
    </row>
    <row r="10" spans="2:32" x14ac:dyDescent="0.25">
      <c r="B10" s="9" t="s">
        <v>14</v>
      </c>
      <c r="C10" s="35">
        <v>20.78016741405947</v>
      </c>
      <c r="D10" s="14">
        <v>20.771971000000001</v>
      </c>
      <c r="E10" s="12">
        <f>(D10/C10)-1</f>
        <v>-3.9443445743958527E-4</v>
      </c>
      <c r="F10" s="35">
        <v>16.056654346033547</v>
      </c>
      <c r="G10" s="14">
        <v>16.462384</v>
      </c>
      <c r="H10" s="12">
        <f t="shared" si="4"/>
        <v>2.5268629766989958E-2</v>
      </c>
      <c r="I10" s="35">
        <v>5.1003582215746546</v>
      </c>
      <c r="J10" s="14">
        <v>5.7792240000000001</v>
      </c>
      <c r="K10" s="12">
        <f t="shared" si="5"/>
        <v>0.13310158795390592</v>
      </c>
      <c r="L10" s="35">
        <v>16.043909293682479</v>
      </c>
      <c r="M10" s="14">
        <v>16.154509999999998</v>
      </c>
      <c r="N10" s="12">
        <f t="shared" si="6"/>
        <v>6.8936257549816471E-3</v>
      </c>
      <c r="O10" s="35">
        <v>16.168271170501345</v>
      </c>
      <c r="P10" s="14">
        <v>16.469676</v>
      </c>
      <c r="Q10" s="12">
        <f t="shared" si="7"/>
        <v>1.864174755112713E-2</v>
      </c>
      <c r="T10" s="9" t="s">
        <v>15</v>
      </c>
      <c r="U10" s="37">
        <v>469.72909350703952</v>
      </c>
      <c r="V10" s="16">
        <v>466.13721261699101</v>
      </c>
      <c r="W10" s="12">
        <f t="shared" si="0"/>
        <v>-7.6467073036315947E-3</v>
      </c>
      <c r="X10" s="37">
        <v>255.2165885916275</v>
      </c>
      <c r="Y10" s="16">
        <v>250.941896773472</v>
      </c>
      <c r="Z10" s="12">
        <f t="shared" si="1"/>
        <v>-1.6749271047562853E-2</v>
      </c>
      <c r="AA10" s="37">
        <v>357.43898790466011</v>
      </c>
      <c r="AB10" s="16">
        <v>340.82488022479799</v>
      </c>
      <c r="AC10" s="12">
        <f t="shared" si="2"/>
        <v>-4.6480961064867432E-2</v>
      </c>
      <c r="AD10" s="37">
        <v>157.16450892209173</v>
      </c>
      <c r="AE10" s="16">
        <v>165.74881045568901</v>
      </c>
      <c r="AF10" s="12">
        <f t="shared" si="3"/>
        <v>5.4619847651816933E-2</v>
      </c>
    </row>
    <row r="11" spans="2:32" x14ac:dyDescent="0.25">
      <c r="B11" s="9" t="s">
        <v>15</v>
      </c>
      <c r="C11" s="37">
        <v>538.77232794017016</v>
      </c>
      <c r="D11" s="16">
        <v>544.34774900000002</v>
      </c>
      <c r="E11" s="12">
        <f>(D11/C11)-1</f>
        <v>1.0348380513798494E-2</v>
      </c>
      <c r="F11" s="37">
        <v>245.39081573832129</v>
      </c>
      <c r="G11" s="16">
        <v>247.916832</v>
      </c>
      <c r="H11" s="12">
        <f t="shared" si="4"/>
        <v>1.0293850053346709E-2</v>
      </c>
      <c r="I11" s="37">
        <v>134.54985172012172</v>
      </c>
      <c r="J11" s="16">
        <v>139.63522900000001</v>
      </c>
      <c r="K11" s="12">
        <f t="shared" si="5"/>
        <v>3.7795487805192263E-2</v>
      </c>
      <c r="L11" s="37">
        <v>289.59202249930024</v>
      </c>
      <c r="M11" s="16">
        <v>292.13772499999999</v>
      </c>
      <c r="N11" s="12">
        <f t="shared" si="6"/>
        <v>8.7906513402173925E-3</v>
      </c>
      <c r="O11" s="37">
        <v>123.23983834352114</v>
      </c>
      <c r="P11" s="16">
        <v>123.384855</v>
      </c>
      <c r="Q11" s="12">
        <f t="shared" si="7"/>
        <v>1.1767027482998405E-3</v>
      </c>
      <c r="T11" s="9" t="s">
        <v>16</v>
      </c>
      <c r="U11" s="37">
        <v>267.58525613888492</v>
      </c>
      <c r="V11" s="16">
        <v>284.960576905994</v>
      </c>
      <c r="W11" s="12">
        <f t="shared" si="0"/>
        <v>6.4933774819382339E-2</v>
      </c>
      <c r="X11" s="37">
        <v>147.77169813225703</v>
      </c>
      <c r="Y11" s="16">
        <v>161.782510205222</v>
      </c>
      <c r="Z11" s="12">
        <f t="shared" si="1"/>
        <v>9.4813907196391378E-2</v>
      </c>
      <c r="AA11" s="37">
        <v>214.50936499465905</v>
      </c>
      <c r="AB11" s="16">
        <v>224.83346821215301</v>
      </c>
      <c r="AC11" s="12">
        <f t="shared" si="2"/>
        <v>4.8128916039404723E-2</v>
      </c>
      <c r="AD11" s="37">
        <v>95.902733207595958</v>
      </c>
      <c r="AE11" s="16">
        <v>111.092882303606</v>
      </c>
      <c r="AF11" s="12">
        <f t="shared" si="3"/>
        <v>0.15839120104250504</v>
      </c>
    </row>
    <row r="12" spans="2:32" x14ac:dyDescent="0.25">
      <c r="B12" s="9" t="s">
        <v>16</v>
      </c>
      <c r="C12" s="37">
        <v>319.34161177778867</v>
      </c>
      <c r="D12" s="16">
        <v>320.94345800000002</v>
      </c>
      <c r="E12" s="12">
        <f>(D12/C12)-1</f>
        <v>5.0160898646869345E-3</v>
      </c>
      <c r="F12" s="37">
        <v>154.081621018459</v>
      </c>
      <c r="G12" s="16">
        <v>152.71621500000001</v>
      </c>
      <c r="H12" s="12">
        <f t="shared" si="4"/>
        <v>-8.8615761531702919E-3</v>
      </c>
      <c r="I12" s="37">
        <v>86.502023193778243</v>
      </c>
      <c r="J12" s="16">
        <v>81.126444000000006</v>
      </c>
      <c r="K12" s="12">
        <f t="shared" si="5"/>
        <v>-6.2143970687669192E-2</v>
      </c>
      <c r="L12" s="37">
        <v>178.51637103982515</v>
      </c>
      <c r="M12" s="16">
        <v>176.79918900000001</v>
      </c>
      <c r="N12" s="12">
        <f t="shared" si="6"/>
        <v>-9.6191852311520165E-3</v>
      </c>
      <c r="O12" s="37">
        <v>76.475537021585609</v>
      </c>
      <c r="P12" s="16">
        <v>74.938265999999999</v>
      </c>
      <c r="Q12" s="12">
        <f t="shared" si="7"/>
        <v>-2.0101474032823141E-2</v>
      </c>
      <c r="T12" s="9" t="s">
        <v>17</v>
      </c>
      <c r="U12" s="37">
        <v>182.82078361942672</v>
      </c>
      <c r="V12" s="16">
        <v>181.176635710998</v>
      </c>
      <c r="W12" s="12">
        <f t="shared" si="0"/>
        <v>-8.993222082732677E-3</v>
      </c>
      <c r="X12" s="37">
        <v>95.203914184753884</v>
      </c>
      <c r="Y12" s="16">
        <v>89.159386568249104</v>
      </c>
      <c r="Z12" s="12">
        <f t="shared" si="1"/>
        <v>-6.3490326718864676E-2</v>
      </c>
      <c r="AA12" s="37">
        <v>128.66590537175358</v>
      </c>
      <c r="AB12" s="16">
        <v>115.99141201264401</v>
      </c>
      <c r="AC12" s="12">
        <f t="shared" si="2"/>
        <v>-9.8507007917048806E-2</v>
      </c>
      <c r="AD12" s="37">
        <v>53.151025678224336</v>
      </c>
      <c r="AE12" s="16">
        <v>54.655928152082701</v>
      </c>
      <c r="AF12" s="12">
        <f t="shared" si="3"/>
        <v>2.831370523250154E-2</v>
      </c>
    </row>
    <row r="13" spans="2:32" x14ac:dyDescent="0.25">
      <c r="B13" s="9" t="s">
        <v>17</v>
      </c>
      <c r="C13" s="37">
        <v>219.43071616238146</v>
      </c>
      <c r="D13" s="16">
        <v>223.404291</v>
      </c>
      <c r="E13" s="12">
        <f>(D13/C13)-1</f>
        <v>1.8108562498050818E-2</v>
      </c>
      <c r="F13" s="37">
        <v>91.309194719862305</v>
      </c>
      <c r="G13" s="16">
        <v>95.200616999999994</v>
      </c>
      <c r="H13" s="12">
        <f t="shared" si="4"/>
        <v>4.2618076876886457E-2</v>
      </c>
      <c r="I13" s="37">
        <v>48.047828526343473</v>
      </c>
      <c r="J13" s="16">
        <v>58.508785000000003</v>
      </c>
      <c r="K13" s="12">
        <f t="shared" si="5"/>
        <v>0.21771965132453475</v>
      </c>
      <c r="L13" s="37">
        <v>111.07565145947508</v>
      </c>
      <c r="M13" s="16">
        <v>115.338536</v>
      </c>
      <c r="N13" s="12">
        <f t="shared" si="6"/>
        <v>3.8378208765943667E-2</v>
      </c>
      <c r="O13" s="37">
        <v>46.764301321935541</v>
      </c>
      <c r="P13" s="16">
        <v>48.446589000000003</v>
      </c>
      <c r="Q13" s="12">
        <f t="shared" si="7"/>
        <v>3.5973758412068069E-2</v>
      </c>
      <c r="T13" s="9" t="s">
        <v>18</v>
      </c>
      <c r="U13" s="39">
        <v>0.70709581343305072</v>
      </c>
      <c r="V13" s="18">
        <v>0.69238621035490699</v>
      </c>
      <c r="W13" s="12">
        <f t="shared" si="0"/>
        <v>-2.0802842837841951E-2</v>
      </c>
      <c r="X13" s="39">
        <v>0.65077874870609764</v>
      </c>
      <c r="Y13" s="18">
        <v>0.60765841184163305</v>
      </c>
      <c r="Z13" s="12">
        <f t="shared" si="1"/>
        <v>-6.6259595830684415E-2</v>
      </c>
      <c r="AA13" s="39">
        <v>0.62144154478539337</v>
      </c>
      <c r="AB13" s="18">
        <v>0.57882376040234995</v>
      </c>
      <c r="AC13" s="12">
        <f t="shared" si="2"/>
        <v>-6.8578910986327624E-2</v>
      </c>
      <c r="AD13" s="39">
        <v>0.58583323827991329</v>
      </c>
      <c r="AE13" s="18">
        <v>0.57254725761417202</v>
      </c>
      <c r="AF13" s="12">
        <f t="shared" si="3"/>
        <v>-2.2678775797615569E-2</v>
      </c>
    </row>
    <row r="14" spans="2:32" x14ac:dyDescent="0.25">
      <c r="B14" s="9" t="s">
        <v>18</v>
      </c>
      <c r="C14" s="39">
        <v>0.72877510516540045</v>
      </c>
      <c r="D14" s="18">
        <v>0.72861980902592405</v>
      </c>
      <c r="E14" s="12">
        <f>(D14/C14)-1</f>
        <v>-2.1309199281871471E-4</v>
      </c>
      <c r="F14" s="39">
        <v>0.62376776564415259</v>
      </c>
      <c r="G14" s="18">
        <v>0.63693501083082305</v>
      </c>
      <c r="H14" s="12">
        <f t="shared" si="4"/>
        <v>2.1109210690092084E-2</v>
      </c>
      <c r="I14" s="39">
        <v>0.47833202165335487</v>
      </c>
      <c r="J14" s="18">
        <v>0.55221934971239695</v>
      </c>
      <c r="K14" s="12">
        <f t="shared" si="5"/>
        <v>0.15446870523878053</v>
      </c>
      <c r="L14" s="39">
        <v>0.63551737645527839</v>
      </c>
      <c r="M14" s="18">
        <v>0.65057831644840503</v>
      </c>
      <c r="N14" s="12">
        <f t="shared" si="6"/>
        <v>2.369870683494435E-2</v>
      </c>
      <c r="O14" s="39">
        <v>0.61992717527325469</v>
      </c>
      <c r="P14" s="18">
        <v>0.63497815596327101</v>
      </c>
      <c r="Q14" s="12">
        <f t="shared" si="7"/>
        <v>2.4278627055479562E-2</v>
      </c>
      <c r="T14" s="9" t="s">
        <v>19</v>
      </c>
      <c r="U14" s="41">
        <v>1.9870696499607137</v>
      </c>
      <c r="V14" s="20">
        <v>1.9548485921740399</v>
      </c>
      <c r="W14" s="12">
        <f t="shared" si="0"/>
        <v>-1.621536405999191E-2</v>
      </c>
      <c r="X14" s="41">
        <v>1.9620535535174084</v>
      </c>
      <c r="Y14" s="20">
        <v>1.8386185871004801</v>
      </c>
      <c r="Z14" s="12">
        <f t="shared" si="1"/>
        <v>-6.2911109737878612E-2</v>
      </c>
      <c r="AA14" s="41">
        <v>2.0182678520217952</v>
      </c>
      <c r="AB14" s="20">
        <v>1.96067118756702</v>
      </c>
      <c r="AC14" s="12">
        <f t="shared" si="2"/>
        <v>-2.8537671249669772E-2</v>
      </c>
      <c r="AD14" s="41">
        <v>2.1147484886506218</v>
      </c>
      <c r="AE14" s="20">
        <v>1.9432587695368899</v>
      </c>
      <c r="AF14" s="12">
        <f t="shared" si="3"/>
        <v>-8.1092252830101796E-2</v>
      </c>
    </row>
    <row r="15" spans="2:32" x14ac:dyDescent="0.25">
      <c r="B15" s="9" t="s">
        <v>19</v>
      </c>
      <c r="C15" s="41">
        <v>2.0805546715425609</v>
      </c>
      <c r="D15" s="20">
        <v>2.017865</v>
      </c>
      <c r="E15" s="12">
        <f t="shared" ref="E15" si="9">(D15/C15)-1</f>
        <v>-3.0131230099366579E-2</v>
      </c>
      <c r="F15" s="41">
        <v>1.9419660413575903</v>
      </c>
      <c r="G15" s="20">
        <v>1.867902</v>
      </c>
      <c r="H15" s="12">
        <f t="shared" si="4"/>
        <v>-3.8138690265569042E-2</v>
      </c>
      <c r="I15" s="41">
        <v>0.92732805470769031</v>
      </c>
      <c r="J15" s="20">
        <v>0.82133500000000004</v>
      </c>
      <c r="K15" s="12">
        <f t="shared" si="5"/>
        <v>-0.11429941558395007</v>
      </c>
      <c r="L15" s="41">
        <v>1.8565938525504775</v>
      </c>
      <c r="M15" s="20">
        <v>1.761606</v>
      </c>
      <c r="N15" s="12">
        <f t="shared" si="6"/>
        <v>-5.1162429747350968E-2</v>
      </c>
      <c r="O15" s="41">
        <v>1.8929881458690516</v>
      </c>
      <c r="P15" s="20">
        <v>1.807666</v>
      </c>
      <c r="Q15" s="12">
        <f t="shared" si="7"/>
        <v>-4.5072731202910443E-2</v>
      </c>
      <c r="T15" s="9" t="s">
        <v>20</v>
      </c>
      <c r="U15" s="41">
        <v>1.3172510253530629</v>
      </c>
      <c r="V15" s="20">
        <v>1.36422551247385</v>
      </c>
      <c r="W15" s="12">
        <f t="shared" si="0"/>
        <v>3.5660998713739067E-2</v>
      </c>
      <c r="X15" s="41">
        <v>0.84462739622702065</v>
      </c>
      <c r="Y15" s="20">
        <v>0.86435764799960002</v>
      </c>
      <c r="Z15" s="12">
        <f t="shared" si="1"/>
        <v>2.3359710874540696E-2</v>
      </c>
      <c r="AA15" s="41">
        <v>1.1427588184685977</v>
      </c>
      <c r="AB15" s="20">
        <v>1.2087644047061601</v>
      </c>
      <c r="AC15" s="12">
        <f t="shared" si="2"/>
        <v>5.7759857260183622E-2</v>
      </c>
      <c r="AD15" s="41">
        <v>0.71445952625375464</v>
      </c>
      <c r="AE15" s="20">
        <v>0.75859302288263397</v>
      </c>
      <c r="AF15" s="12">
        <f t="shared" si="3"/>
        <v>6.1771863915499825E-2</v>
      </c>
    </row>
    <row r="16" spans="2:32" x14ac:dyDescent="0.25">
      <c r="B16" s="9" t="s">
        <v>20</v>
      </c>
      <c r="C16" s="41" t="s">
        <v>10</v>
      </c>
      <c r="D16" s="20" t="s">
        <v>10</v>
      </c>
      <c r="E16" s="12" t="s">
        <v>10</v>
      </c>
      <c r="F16" s="41" t="s">
        <v>10</v>
      </c>
      <c r="G16" s="20" t="s">
        <v>10</v>
      </c>
      <c r="H16" s="12" t="s">
        <v>10</v>
      </c>
      <c r="I16" s="41" t="s">
        <v>10</v>
      </c>
      <c r="J16" s="20" t="s">
        <v>10</v>
      </c>
      <c r="K16" s="12" t="s">
        <v>10</v>
      </c>
      <c r="L16" s="41" t="s">
        <v>10</v>
      </c>
      <c r="M16" s="20" t="s">
        <v>10</v>
      </c>
      <c r="N16" s="12" t="s">
        <v>10</v>
      </c>
      <c r="O16" s="41" t="s">
        <v>10</v>
      </c>
      <c r="P16" s="20" t="s">
        <v>10</v>
      </c>
      <c r="Q16" s="12" t="s">
        <v>10</v>
      </c>
      <c r="T16" s="9" t="s">
        <v>21</v>
      </c>
      <c r="U16" s="39">
        <v>0.29579645852811043</v>
      </c>
      <c r="V16" s="18">
        <v>0.30106600288692298</v>
      </c>
      <c r="W16" s="12">
        <f t="shared" si="0"/>
        <v>1.7814764872554401E-2</v>
      </c>
      <c r="X16" s="39">
        <v>0.26154418711173455</v>
      </c>
      <c r="Y16" s="18">
        <v>0.284327316878692</v>
      </c>
      <c r="Z16" s="12">
        <f t="shared" si="1"/>
        <v>8.7110059751487556E-2</v>
      </c>
      <c r="AA16" s="39">
        <v>0.25769782741520669</v>
      </c>
      <c r="AB16" s="18">
        <v>0.28173673912708502</v>
      </c>
      <c r="AC16" s="12">
        <f t="shared" si="2"/>
        <v>9.3283330918993324E-2</v>
      </c>
      <c r="AD16" s="39">
        <v>0.23626393383674937</v>
      </c>
      <c r="AE16" s="18">
        <v>0.27864574731626701</v>
      </c>
      <c r="AF16" s="12">
        <f t="shared" si="3"/>
        <v>0.17938333960358954</v>
      </c>
    </row>
    <row r="17" spans="2:32" ht="15.75" thickBot="1" x14ac:dyDescent="0.3">
      <c r="B17" s="9" t="s">
        <v>21</v>
      </c>
      <c r="C17" s="39">
        <v>0.26956119807201817</v>
      </c>
      <c r="D17" s="18">
        <v>0.27412700000000001</v>
      </c>
      <c r="E17" s="12">
        <f t="shared" ref="E17" si="10">(D17/C17)-1</f>
        <v>1.6937904864045006E-2</v>
      </c>
      <c r="F17" s="39">
        <v>0.22552680323922972</v>
      </c>
      <c r="G17" s="18">
        <v>0.23661399999999999</v>
      </c>
      <c r="H17" s="12">
        <f>(G17/F17)-1</f>
        <v>4.9161326288163831E-2</v>
      </c>
      <c r="I17" s="39">
        <v>0.10525825351838074</v>
      </c>
      <c r="J17" s="18">
        <v>0.123656</v>
      </c>
      <c r="K17" s="12">
        <f>(J17/I17)-1</f>
        <v>0.17478673516473031</v>
      </c>
      <c r="L17" s="39">
        <v>0.23206280034938251</v>
      </c>
      <c r="M17" s="18">
        <v>0.241173</v>
      </c>
      <c r="N17" s="12">
        <f>(M17/L17)-1</f>
        <v>3.9257475290747301E-2</v>
      </c>
      <c r="O17" s="39">
        <v>0.22734761635916259</v>
      </c>
      <c r="P17" s="18">
        <v>0.22933799999999999</v>
      </c>
      <c r="Q17" s="12">
        <f>(P17/O17)-1</f>
        <v>8.754803207142503E-3</v>
      </c>
      <c r="T17" s="21" t="s">
        <v>22</v>
      </c>
      <c r="U17" s="43">
        <v>0.62166216439324651</v>
      </c>
      <c r="V17" s="23">
        <v>0.68741256430310305</v>
      </c>
      <c r="W17" s="24">
        <f t="shared" si="0"/>
        <v>0.10576548433509725</v>
      </c>
      <c r="X17" s="43">
        <v>0.95716038823398164</v>
      </c>
      <c r="Y17" s="23">
        <v>0.96212536636097101</v>
      </c>
      <c r="Z17" s="24">
        <f t="shared" si="1"/>
        <v>5.1871955714235529E-3</v>
      </c>
      <c r="AA17" s="43">
        <v>0.90660287081339708</v>
      </c>
      <c r="AB17" s="23">
        <v>1.0389142231166999</v>
      </c>
      <c r="AC17" s="24">
        <f t="shared" si="2"/>
        <v>0.14594190749097691</v>
      </c>
      <c r="AD17" s="43">
        <v>0.98762428601650099</v>
      </c>
      <c r="AE17" s="23">
        <v>1.02631804543506</v>
      </c>
      <c r="AF17" s="24">
        <f t="shared" si="3"/>
        <v>3.9178622849208145E-2</v>
      </c>
    </row>
    <row r="18" spans="2:32" ht="15.75" thickBot="1" x14ac:dyDescent="0.3">
      <c r="B18" s="21" t="s">
        <v>22</v>
      </c>
      <c r="C18" s="43" t="s">
        <v>10</v>
      </c>
      <c r="D18" s="23" t="s">
        <v>10</v>
      </c>
      <c r="E18" s="24" t="s">
        <v>10</v>
      </c>
      <c r="F18" s="43" t="s">
        <v>10</v>
      </c>
      <c r="G18" s="23" t="s">
        <v>10</v>
      </c>
      <c r="H18" s="24" t="s">
        <v>10</v>
      </c>
      <c r="I18" s="43" t="s">
        <v>10</v>
      </c>
      <c r="J18" s="23" t="s">
        <v>10</v>
      </c>
      <c r="K18" s="24" t="s">
        <v>10</v>
      </c>
      <c r="L18" s="43" t="s">
        <v>10</v>
      </c>
      <c r="M18" s="23" t="s">
        <v>10</v>
      </c>
      <c r="N18" s="24" t="s">
        <v>10</v>
      </c>
      <c r="O18" s="43" t="s">
        <v>10</v>
      </c>
      <c r="P18" s="23" t="s">
        <v>10</v>
      </c>
      <c r="Q18" s="24" t="s">
        <v>10</v>
      </c>
    </row>
    <row r="20" spans="2:32" ht="15.75" thickBot="1" x14ac:dyDescent="0.3"/>
    <row r="21" spans="2:32" ht="21.75" thickBot="1" x14ac:dyDescent="0.4">
      <c r="B21" s="27"/>
      <c r="C21" s="131" t="s">
        <v>0</v>
      </c>
      <c r="D21" s="132"/>
      <c r="E21" s="133"/>
      <c r="F21" s="131" t="s">
        <v>1</v>
      </c>
      <c r="G21" s="132"/>
      <c r="H21" s="133"/>
      <c r="I21" s="131" t="s">
        <v>2</v>
      </c>
      <c r="J21" s="132"/>
      <c r="K21" s="133"/>
      <c r="L21" s="131" t="s">
        <v>3</v>
      </c>
      <c r="M21" s="132"/>
      <c r="N21" s="133"/>
      <c r="O21" s="131" t="s">
        <v>4</v>
      </c>
      <c r="P21" s="132"/>
      <c r="Q21" s="133"/>
    </row>
    <row r="22" spans="2:32" ht="21.75" thickBot="1" x14ac:dyDescent="0.4">
      <c r="B22" s="26" t="s">
        <v>72</v>
      </c>
      <c r="C22" s="134" t="s">
        <v>5</v>
      </c>
      <c r="D22" s="135"/>
      <c r="E22" s="136" t="s">
        <v>6</v>
      </c>
      <c r="F22" s="134" t="s">
        <v>5</v>
      </c>
      <c r="G22" s="135"/>
      <c r="H22" s="136" t="s">
        <v>6</v>
      </c>
      <c r="I22" s="134" t="s">
        <v>5</v>
      </c>
      <c r="J22" s="135"/>
      <c r="K22" s="136" t="s">
        <v>6</v>
      </c>
      <c r="L22" s="134" t="s">
        <v>5</v>
      </c>
      <c r="M22" s="135"/>
      <c r="N22" s="136" t="s">
        <v>6</v>
      </c>
      <c r="O22" s="134" t="s">
        <v>5</v>
      </c>
      <c r="P22" s="135"/>
      <c r="Q22" s="136" t="s">
        <v>6</v>
      </c>
      <c r="AD22" s="120"/>
    </row>
    <row r="23" spans="2:32" ht="15.75" thickBot="1" x14ac:dyDescent="0.3">
      <c r="B23" s="1"/>
      <c r="C23" s="30">
        <v>2024</v>
      </c>
      <c r="D23" s="4">
        <v>2025</v>
      </c>
      <c r="E23" s="137"/>
      <c r="F23" s="30">
        <v>2024</v>
      </c>
      <c r="G23" s="4">
        <v>2025</v>
      </c>
      <c r="H23" s="137"/>
      <c r="I23" s="30">
        <v>2024</v>
      </c>
      <c r="J23" s="4">
        <v>2025</v>
      </c>
      <c r="K23" s="137"/>
      <c r="L23" s="30">
        <v>2024</v>
      </c>
      <c r="M23" s="4">
        <v>2025</v>
      </c>
      <c r="N23" s="137"/>
      <c r="O23" s="30">
        <v>2024</v>
      </c>
      <c r="P23" s="4">
        <v>2025</v>
      </c>
      <c r="Q23" s="137"/>
    </row>
    <row r="24" spans="2:32" x14ac:dyDescent="0.25">
      <c r="B24" s="5" t="s">
        <v>9</v>
      </c>
      <c r="C24" s="32">
        <v>64244</v>
      </c>
      <c r="D24" s="7">
        <v>79346</v>
      </c>
      <c r="E24" s="12">
        <f>(D24/C24)-1</f>
        <v>0.23507253595666522</v>
      </c>
      <c r="F24" s="32">
        <v>67845</v>
      </c>
      <c r="G24" s="7">
        <v>87485</v>
      </c>
      <c r="H24" s="12">
        <f t="shared" ref="H24:H33" si="11">(G24/F24)-1</f>
        <v>0.28948338123664241</v>
      </c>
      <c r="I24" s="32">
        <v>10312</v>
      </c>
      <c r="J24" s="7">
        <v>14678</v>
      </c>
      <c r="K24" s="12">
        <f t="shared" ref="K24:K33" si="12">(J24/I24)-1</f>
        <v>0.42339022498060519</v>
      </c>
      <c r="L24" s="32">
        <v>142401</v>
      </c>
      <c r="M24" s="7">
        <v>181509</v>
      </c>
      <c r="N24" s="12">
        <f t="shared" ref="N24:N33" si="13">(M24/L24)-1</f>
        <v>0.27463290285882813</v>
      </c>
      <c r="O24" s="32">
        <v>173439</v>
      </c>
      <c r="P24" s="7">
        <v>217835</v>
      </c>
      <c r="Q24" s="12">
        <f t="shared" ref="Q24:Q33" si="14">(P24/O24)-1</f>
        <v>0.25597472310149394</v>
      </c>
    </row>
    <row r="25" spans="2:32" x14ac:dyDescent="0.25">
      <c r="B25" s="9" t="s">
        <v>11</v>
      </c>
      <c r="C25" s="34">
        <v>14.607667642114439</v>
      </c>
      <c r="D25" s="11">
        <v>14.954780329191101</v>
      </c>
      <c r="E25" s="12">
        <f>(D25/C25)-1</f>
        <v>2.3762362040324891E-2</v>
      </c>
      <c r="F25" s="34">
        <v>9.5644631144520602</v>
      </c>
      <c r="G25" s="11">
        <v>9.93105103732068</v>
      </c>
      <c r="H25" s="12">
        <f t="shared" si="11"/>
        <v>3.8328123437968875E-2</v>
      </c>
      <c r="I25" s="34">
        <v>17.174844840961985</v>
      </c>
      <c r="J25" s="11">
        <v>17.6312849162011</v>
      </c>
      <c r="K25" s="12">
        <f t="shared" si="12"/>
        <v>2.6576081441533894E-2</v>
      </c>
      <c r="L25" s="34">
        <v>12.390804839853653</v>
      </c>
      <c r="M25" s="11">
        <v>12.749847115019</v>
      </c>
      <c r="N25" s="12">
        <f t="shared" si="13"/>
        <v>2.8976509581567056E-2</v>
      </c>
      <c r="O25" s="34">
        <v>10.564261786564728</v>
      </c>
      <c r="P25" s="11">
        <v>10.9966947460233</v>
      </c>
      <c r="Q25" s="12">
        <f t="shared" si="14"/>
        <v>4.093357095793726E-2</v>
      </c>
    </row>
    <row r="26" spans="2:32" x14ac:dyDescent="0.25">
      <c r="B26" s="9" t="s">
        <v>12</v>
      </c>
      <c r="C26" s="36">
        <v>47.80282483443532</v>
      </c>
      <c r="D26" s="14">
        <v>47.386639000000002</v>
      </c>
      <c r="E26" s="12">
        <f t="shared" ref="E26:E27" si="15">(D26/C26)-1</f>
        <v>-8.7063021040445498E-3</v>
      </c>
      <c r="F26" s="36">
        <v>35.08005594073672</v>
      </c>
      <c r="G26" s="14">
        <v>34.377079000000002</v>
      </c>
      <c r="H26" s="12">
        <f t="shared" si="11"/>
        <v>-2.0039219490536442E-2</v>
      </c>
      <c r="I26" s="36">
        <v>15.926293709452478</v>
      </c>
      <c r="J26" s="14">
        <v>15.792555999999999</v>
      </c>
      <c r="K26" s="12">
        <f t="shared" si="12"/>
        <v>-8.3972901600517513E-3</v>
      </c>
      <c r="L26" s="36">
        <v>39.924295074478749</v>
      </c>
      <c r="M26" s="14">
        <v>38.969417</v>
      </c>
      <c r="N26" s="12">
        <f t="shared" si="13"/>
        <v>-2.3917218142422425E-2</v>
      </c>
      <c r="O26" s="36">
        <v>40.188411683963203</v>
      </c>
      <c r="P26" s="14">
        <v>39.245077999999999</v>
      </c>
      <c r="Q26" s="12">
        <f t="shared" si="14"/>
        <v>-2.3472778456174459E-2</v>
      </c>
    </row>
    <row r="27" spans="2:32" x14ac:dyDescent="0.25">
      <c r="B27" s="9" t="s">
        <v>13</v>
      </c>
      <c r="C27" s="36">
        <v>27.90963071218119</v>
      </c>
      <c r="D27" s="14">
        <v>27.665523</v>
      </c>
      <c r="E27" s="12">
        <f t="shared" si="15"/>
        <v>-8.7463612363257726E-3</v>
      </c>
      <c r="F27" s="36">
        <v>22.699819725967441</v>
      </c>
      <c r="G27" s="14">
        <v>22.353574999999999</v>
      </c>
      <c r="H27" s="12">
        <f t="shared" si="11"/>
        <v>-1.5253192763084122E-2</v>
      </c>
      <c r="I27" s="36">
        <v>12.254523141377812</v>
      </c>
      <c r="J27" s="14">
        <v>12.184673999999999</v>
      </c>
      <c r="K27" s="12">
        <f t="shared" si="12"/>
        <v>-5.6998661287736008E-3</v>
      </c>
      <c r="L27" s="36">
        <v>24.422291677411195</v>
      </c>
      <c r="M27" s="14">
        <v>23.940092</v>
      </c>
      <c r="N27" s="12">
        <f t="shared" si="13"/>
        <v>-1.9744243651679705E-2</v>
      </c>
      <c r="O27" s="36">
        <v>24.665059055644548</v>
      </c>
      <c r="P27" s="14">
        <v>24.179378</v>
      </c>
      <c r="Q27" s="12">
        <f t="shared" si="14"/>
        <v>-1.9691055859580531E-2</v>
      </c>
    </row>
    <row r="28" spans="2:32" x14ac:dyDescent="0.25">
      <c r="B28" s="9" t="s">
        <v>14</v>
      </c>
      <c r="C28" s="36">
        <v>19.89319412225413</v>
      </c>
      <c r="D28" s="14">
        <v>19.721115999999999</v>
      </c>
      <c r="E28" s="12">
        <f>(D28/C28)-1</f>
        <v>-8.6501001898749985E-3</v>
      </c>
      <c r="F28" s="36">
        <v>12.38023621476928</v>
      </c>
      <c r="G28" s="14">
        <v>12.023504000000001</v>
      </c>
      <c r="H28" s="12">
        <f t="shared" si="11"/>
        <v>-2.8814653337850493E-2</v>
      </c>
      <c r="I28" s="36">
        <v>3.6717705680746668</v>
      </c>
      <c r="J28" s="14">
        <v>3.607882</v>
      </c>
      <c r="K28" s="12">
        <f t="shared" si="12"/>
        <v>-1.7399934688230645E-2</v>
      </c>
      <c r="L28" s="36">
        <v>15.502003397067549</v>
      </c>
      <c r="M28" s="14">
        <v>15.029324000000001</v>
      </c>
      <c r="N28" s="12">
        <f t="shared" si="13"/>
        <v>-3.0491503901809436E-2</v>
      </c>
      <c r="O28" s="36">
        <v>15.523352628318657</v>
      </c>
      <c r="P28" s="14">
        <v>15.0657</v>
      </c>
      <c r="Q28" s="12">
        <f t="shared" si="14"/>
        <v>-2.9481558480078496E-2</v>
      </c>
    </row>
    <row r="29" spans="2:32" x14ac:dyDescent="0.25">
      <c r="B29" s="9" t="s">
        <v>15</v>
      </c>
      <c r="C29" s="38">
        <v>698.28777753564532</v>
      </c>
      <c r="D29" s="16">
        <v>708.65677000000005</v>
      </c>
      <c r="E29" s="12">
        <f>(D29/C29)-1</f>
        <v>1.4849167918917772E-2</v>
      </c>
      <c r="F29" s="38">
        <v>335.52190109809123</v>
      </c>
      <c r="G29" s="16">
        <v>341.40052400000002</v>
      </c>
      <c r="H29" s="12">
        <f t="shared" si="11"/>
        <v>1.7520832120553997E-2</v>
      </c>
      <c r="I29" s="38">
        <v>273.53162335143526</v>
      </c>
      <c r="J29" s="16">
        <v>278.44305900000001</v>
      </c>
      <c r="K29" s="12">
        <f t="shared" si="12"/>
        <v>1.7955641064048011E-2</v>
      </c>
      <c r="L29" s="38">
        <v>494.69414863659659</v>
      </c>
      <c r="M29" s="16">
        <v>496.854107</v>
      </c>
      <c r="N29" s="12">
        <f t="shared" si="13"/>
        <v>4.3662500746297628E-3</v>
      </c>
      <c r="O29" s="38">
        <v>424.56090181562394</v>
      </c>
      <c r="P29" s="16">
        <v>431.56613900000002</v>
      </c>
      <c r="Q29" s="12">
        <f t="shared" si="14"/>
        <v>1.6499958320274732E-2</v>
      </c>
    </row>
    <row r="30" spans="2:32" x14ac:dyDescent="0.25">
      <c r="B30" s="9" t="s">
        <v>16</v>
      </c>
      <c r="C30" s="38">
        <v>407.69460945769254</v>
      </c>
      <c r="D30" s="16">
        <v>413.73181299999999</v>
      </c>
      <c r="E30" s="12">
        <f>(D30/C30)-1</f>
        <v>1.4808151499324573E-2</v>
      </c>
      <c r="F30" s="38">
        <v>217.11158847372687</v>
      </c>
      <c r="G30" s="16">
        <v>221.994495</v>
      </c>
      <c r="H30" s="12">
        <f t="shared" si="11"/>
        <v>2.2490308143381377E-2</v>
      </c>
      <c r="I30" s="38">
        <v>210.46953355314199</v>
      </c>
      <c r="J30" s="16">
        <v>214.83146300000001</v>
      </c>
      <c r="K30" s="12">
        <f t="shared" si="12"/>
        <v>2.072475466268231E-2</v>
      </c>
      <c r="L30" s="38">
        <v>302.61184991678425</v>
      </c>
      <c r="M30" s="16">
        <v>305.23251800000003</v>
      </c>
      <c r="N30" s="12">
        <f t="shared" si="13"/>
        <v>8.6601634534022587E-3</v>
      </c>
      <c r="O30" s="38">
        <v>260.56814084490799</v>
      </c>
      <c r="P30" s="16">
        <v>265.893235</v>
      </c>
      <c r="Q30" s="12">
        <f t="shared" si="14"/>
        <v>2.0436474458562337E-2</v>
      </c>
    </row>
    <row r="31" spans="2:32" x14ac:dyDescent="0.25">
      <c r="B31" s="9" t="s">
        <v>17</v>
      </c>
      <c r="C31" s="38">
        <v>290.59316807795278</v>
      </c>
      <c r="D31" s="16">
        <v>294.92495700000001</v>
      </c>
      <c r="E31" s="12">
        <f>(D31/C31)-1</f>
        <v>1.49067128821323E-2</v>
      </c>
      <c r="F31" s="38">
        <v>118.41031262436437</v>
      </c>
      <c r="G31" s="16">
        <v>119.406029</v>
      </c>
      <c r="H31" s="12">
        <f t="shared" si="11"/>
        <v>8.4090342603382329E-3</v>
      </c>
      <c r="I31" s="38">
        <v>63.06208979829325</v>
      </c>
      <c r="J31" s="16">
        <v>63.611595999999999</v>
      </c>
      <c r="K31" s="12">
        <f t="shared" si="12"/>
        <v>8.7137328221180699E-3</v>
      </c>
      <c r="L31" s="38">
        <v>192.08229871981234</v>
      </c>
      <c r="M31" s="16">
        <v>191.621589</v>
      </c>
      <c r="N31" s="12">
        <f t="shared" si="13"/>
        <v>-2.3985016989221952E-3</v>
      </c>
      <c r="O31" s="38">
        <v>163.99276097071592</v>
      </c>
      <c r="P31" s="16">
        <v>165.67290399999999</v>
      </c>
      <c r="Q31" s="12">
        <f t="shared" si="14"/>
        <v>1.024522679744444E-2</v>
      </c>
    </row>
    <row r="32" spans="2:32" x14ac:dyDescent="0.25">
      <c r="B32" s="9" t="s">
        <v>18</v>
      </c>
      <c r="C32" s="40">
        <v>0.80026106739268266</v>
      </c>
      <c r="D32" s="18">
        <v>0.79147936713405098</v>
      </c>
      <c r="E32" s="12">
        <f>(D32/C32)-1</f>
        <v>-1.0973544280047487E-2</v>
      </c>
      <c r="F32" s="40">
        <v>0.64320289227478455</v>
      </c>
      <c r="G32" s="18">
        <v>0.62721076220796501</v>
      </c>
      <c r="H32" s="12">
        <f t="shared" si="11"/>
        <v>-2.486327449533221E-2</v>
      </c>
      <c r="I32" s="40">
        <v>0.36326062775610224</v>
      </c>
      <c r="J32" s="18">
        <v>0.35934650221026898</v>
      </c>
      <c r="K32" s="12">
        <f t="shared" si="12"/>
        <v>-1.0774978752889353E-2</v>
      </c>
      <c r="L32" s="40">
        <v>0.69863748913975532</v>
      </c>
      <c r="M32" s="18">
        <v>0.68148423739916597</v>
      </c>
      <c r="N32" s="12">
        <f t="shared" si="13"/>
        <v>-2.4552435286160246E-2</v>
      </c>
      <c r="O32" s="40">
        <v>0.69558167394822223</v>
      </c>
      <c r="P32" s="18">
        <v>0.67891244497414904</v>
      </c>
      <c r="Q32" s="12">
        <f t="shared" si="14"/>
        <v>-2.3964445295771242E-2</v>
      </c>
    </row>
    <row r="33" spans="2:32" x14ac:dyDescent="0.25">
      <c r="B33" s="9" t="s">
        <v>19</v>
      </c>
      <c r="C33" s="42">
        <v>2.1843551369005438</v>
      </c>
      <c r="D33" s="20">
        <v>2.1606920000000001</v>
      </c>
      <c r="E33" s="12">
        <f t="shared" ref="E33" si="16">(D33/C33)-1</f>
        <v>-1.0833008104222608E-2</v>
      </c>
      <c r="F33" s="42">
        <v>1.8797998462015006</v>
      </c>
      <c r="G33" s="20">
        <v>1.854179</v>
      </c>
      <c r="H33" s="12">
        <f t="shared" si="11"/>
        <v>-1.3629560749923719E-2</v>
      </c>
      <c r="I33" s="42">
        <v>1.1578763120599411</v>
      </c>
      <c r="J33" s="20">
        <v>1.1477329999999999</v>
      </c>
      <c r="K33" s="12">
        <f t="shared" si="12"/>
        <v>-8.7602725388652436E-3</v>
      </c>
      <c r="L33" s="42">
        <v>1.9693192773098671</v>
      </c>
      <c r="M33" s="20">
        <v>1.932342</v>
      </c>
      <c r="N33" s="12">
        <f t="shared" si="13"/>
        <v>-1.8776679706491661E-2</v>
      </c>
      <c r="O33" s="42">
        <v>1.9868680942336083</v>
      </c>
      <c r="P33" s="20">
        <v>1.9493769999999999</v>
      </c>
      <c r="Q33" s="12">
        <f t="shared" si="14"/>
        <v>-1.8869442990411378E-2</v>
      </c>
    </row>
    <row r="34" spans="2:32" x14ac:dyDescent="0.25">
      <c r="B34" s="9" t="s">
        <v>20</v>
      </c>
      <c r="C34" s="42">
        <v>1.2608318992386423</v>
      </c>
      <c r="D34" s="20">
        <v>1.334301</v>
      </c>
      <c r="E34" s="12" t="s">
        <v>10</v>
      </c>
      <c r="F34" s="42">
        <v>1.2432435764469465</v>
      </c>
      <c r="G34" s="20">
        <v>1.2957339999999999</v>
      </c>
      <c r="H34" s="12" t="s">
        <v>10</v>
      </c>
      <c r="I34" s="42">
        <v>0.77548035933080006</v>
      </c>
      <c r="J34" s="20">
        <v>0.78968799999999995</v>
      </c>
      <c r="K34" s="12" t="s">
        <v>10</v>
      </c>
      <c r="L34" s="42">
        <v>1.2056467038413388</v>
      </c>
      <c r="M34" s="20">
        <v>1.2589189999999999</v>
      </c>
      <c r="N34" s="12" t="s">
        <v>10</v>
      </c>
      <c r="O34" s="42">
        <v>1.2234132257791628</v>
      </c>
      <c r="P34" s="20">
        <v>1.2779860000000001</v>
      </c>
      <c r="Q34" s="12" t="s">
        <v>10</v>
      </c>
    </row>
    <row r="35" spans="2:32" x14ac:dyDescent="0.25">
      <c r="B35" s="9" t="s">
        <v>21</v>
      </c>
      <c r="C35" s="40">
        <v>0.31876820498761171</v>
      </c>
      <c r="D35" s="18">
        <v>0.32791799999999999</v>
      </c>
      <c r="E35" s="12">
        <f t="shared" ref="E35" si="17">(D35/C35)-1</f>
        <v>2.8703599886142461E-2</v>
      </c>
      <c r="F35" s="40">
        <v>0.26409324776767418</v>
      </c>
      <c r="G35" s="18">
        <v>0.27303899999999998</v>
      </c>
      <c r="H35" s="12">
        <f>(G35/F35)-1</f>
        <v>3.3873460635371888E-2</v>
      </c>
      <c r="I35" s="40">
        <v>0.18002321181266701</v>
      </c>
      <c r="J35" s="18">
        <v>0.19678499999999999</v>
      </c>
      <c r="K35" s="12">
        <f>(J35/I35)-1</f>
        <v>9.3109038654278553E-2</v>
      </c>
      <c r="L35" s="40">
        <v>0.29138673376326807</v>
      </c>
      <c r="M35" s="18">
        <v>0.29943799999999998</v>
      </c>
      <c r="N35" s="12">
        <f>(M35/L35)-1</f>
        <v>2.7630860652952727E-2</v>
      </c>
      <c r="O35" s="40">
        <v>0.29085780352918006</v>
      </c>
      <c r="P35" s="18">
        <v>0.29877199999999998</v>
      </c>
      <c r="Q35" s="12">
        <f>(P35/O35)-1</f>
        <v>2.7209847474578552E-2</v>
      </c>
    </row>
    <row r="36" spans="2:32" ht="15.75" thickBot="1" x14ac:dyDescent="0.3">
      <c r="B36" s="21" t="s">
        <v>22</v>
      </c>
      <c r="C36" s="44">
        <v>0.83267557989690721</v>
      </c>
      <c r="D36" s="23">
        <v>0.95410200000000001</v>
      </c>
      <c r="E36" s="24" t="s">
        <v>10</v>
      </c>
      <c r="F36" s="44">
        <v>0.51623282650779034</v>
      </c>
      <c r="G36" s="23">
        <v>0.55740000000000001</v>
      </c>
      <c r="H36" s="24" t="s">
        <v>10</v>
      </c>
      <c r="I36" s="44">
        <v>0.71848450344715409</v>
      </c>
      <c r="J36" s="23">
        <v>0.744726</v>
      </c>
      <c r="K36" s="24" t="s">
        <v>10</v>
      </c>
      <c r="L36" s="44">
        <v>0.69153951541916769</v>
      </c>
      <c r="M36" s="23">
        <v>0.76547299999999996</v>
      </c>
      <c r="N36" s="24" t="s">
        <v>10</v>
      </c>
      <c r="O36" s="44">
        <v>0.66829283177489407</v>
      </c>
      <c r="P36" s="23">
        <v>0.733097</v>
      </c>
      <c r="Q36" s="24" t="s">
        <v>10</v>
      </c>
    </row>
    <row r="39" spans="2:32" ht="15" customHeight="1" x14ac:dyDescent="0.25">
      <c r="B39" s="150" t="s">
        <v>74</v>
      </c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T39" s="151" t="s">
        <v>75</v>
      </c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</row>
    <row r="40" spans="2:32" ht="15" customHeight="1" x14ac:dyDescent="0.25"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</row>
    <row r="41" spans="2:32" ht="15" customHeight="1" x14ac:dyDescent="0.25"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</row>
    <row r="42" spans="2:32" ht="15.75" thickBot="1" x14ac:dyDescent="0.3"/>
    <row r="43" spans="2:32" x14ac:dyDescent="0.25">
      <c r="B43" s="148" t="s">
        <v>28</v>
      </c>
      <c r="C43" s="145" t="s">
        <v>0</v>
      </c>
      <c r="D43" s="146"/>
      <c r="E43" s="146"/>
      <c r="F43" s="145" t="s">
        <v>1</v>
      </c>
      <c r="G43" s="146"/>
      <c r="H43" s="147"/>
      <c r="I43" s="145" t="s">
        <v>2</v>
      </c>
      <c r="J43" s="146"/>
      <c r="K43" s="147"/>
      <c r="L43" s="145" t="s">
        <v>3</v>
      </c>
      <c r="M43" s="146"/>
      <c r="N43" s="147"/>
      <c r="O43" s="145" t="s">
        <v>25</v>
      </c>
      <c r="P43" s="146"/>
      <c r="Q43" s="147"/>
      <c r="T43" s="152" t="s">
        <v>77</v>
      </c>
      <c r="U43" s="145" t="s">
        <v>42</v>
      </c>
      <c r="V43" s="146"/>
      <c r="W43" s="147"/>
      <c r="X43" s="145" t="s">
        <v>43</v>
      </c>
      <c r="Y43" s="146"/>
      <c r="Z43" s="147"/>
      <c r="AA43" s="145" t="s">
        <v>33</v>
      </c>
      <c r="AB43" s="146"/>
      <c r="AC43" s="147"/>
      <c r="AD43" s="145" t="s">
        <v>44</v>
      </c>
      <c r="AE43" s="146"/>
      <c r="AF43" s="147"/>
    </row>
    <row r="44" spans="2:32" ht="15.75" thickBot="1" x14ac:dyDescent="0.3">
      <c r="B44" s="149"/>
      <c r="C44" s="121">
        <v>2024</v>
      </c>
      <c r="D44" s="57">
        <v>2025</v>
      </c>
      <c r="E44" s="57" t="s">
        <v>6</v>
      </c>
      <c r="F44" s="121">
        <v>2024</v>
      </c>
      <c r="G44" s="57">
        <v>2025</v>
      </c>
      <c r="H44" s="58" t="s">
        <v>6</v>
      </c>
      <c r="I44" s="121">
        <v>2024</v>
      </c>
      <c r="J44" s="57">
        <v>2025</v>
      </c>
      <c r="K44" s="58" t="s">
        <v>6</v>
      </c>
      <c r="L44" s="121">
        <v>2024</v>
      </c>
      <c r="M44" s="57">
        <v>2025</v>
      </c>
      <c r="N44" s="58" t="s">
        <v>6</v>
      </c>
      <c r="O44" s="121">
        <v>2024</v>
      </c>
      <c r="P44" s="57">
        <v>2025</v>
      </c>
      <c r="Q44" s="58" t="s">
        <v>6</v>
      </c>
      <c r="T44" s="153"/>
      <c r="U44" s="30">
        <v>2024</v>
      </c>
      <c r="V44" s="4">
        <v>2025</v>
      </c>
      <c r="W44" s="4" t="s">
        <v>6</v>
      </c>
      <c r="X44" s="30">
        <v>2024</v>
      </c>
      <c r="Y44" s="4">
        <v>2025</v>
      </c>
      <c r="Z44" s="45" t="s">
        <v>6</v>
      </c>
      <c r="AA44" s="30">
        <v>2024</v>
      </c>
      <c r="AB44" s="4">
        <v>2025</v>
      </c>
      <c r="AC44" s="45" t="s">
        <v>6</v>
      </c>
      <c r="AD44" s="30">
        <v>2024</v>
      </c>
      <c r="AE44" s="4">
        <v>2025</v>
      </c>
      <c r="AF44" s="45" t="s">
        <v>6</v>
      </c>
    </row>
    <row r="45" spans="2:32" x14ac:dyDescent="0.25">
      <c r="B45" s="46" t="s">
        <v>9</v>
      </c>
      <c r="C45" s="71">
        <v>44918</v>
      </c>
      <c r="D45" s="83">
        <v>51246</v>
      </c>
      <c r="E45" s="59">
        <f>(D45/C45)-1</f>
        <v>0.14087893494812764</v>
      </c>
      <c r="F45" s="71">
        <v>40202</v>
      </c>
      <c r="G45" s="72">
        <v>47464</v>
      </c>
      <c r="H45" s="59">
        <f>(G45/F45)-1</f>
        <v>0.18063777921496449</v>
      </c>
      <c r="I45" s="71">
        <v>5296</v>
      </c>
      <c r="J45" s="72">
        <v>6673</v>
      </c>
      <c r="K45" s="59">
        <f>(J45/I45)-1</f>
        <v>0.2600075528700907</v>
      </c>
      <c r="L45" s="71">
        <v>90416</v>
      </c>
      <c r="M45" s="72">
        <v>105383</v>
      </c>
      <c r="N45" s="59">
        <f>(M45/L45)-1</f>
        <v>0.16553486108653326</v>
      </c>
      <c r="O45" s="71">
        <v>102568</v>
      </c>
      <c r="P45" s="72">
        <v>119397</v>
      </c>
      <c r="Q45" s="59">
        <f>(P45/O45)-1</f>
        <v>0.16407651509242638</v>
      </c>
      <c r="T45" s="46" t="s">
        <v>9</v>
      </c>
      <c r="U45" s="29">
        <v>79346</v>
      </c>
      <c r="V45" s="7">
        <v>84786</v>
      </c>
      <c r="W45" s="12">
        <f t="shared" ref="W45:W54" si="18">(V45/U45)-1</f>
        <v>6.856048193985842E-2</v>
      </c>
      <c r="X45" s="28">
        <v>14181</v>
      </c>
      <c r="Y45" s="47">
        <v>12581</v>
      </c>
      <c r="Z45" s="12">
        <f t="shared" ref="Z45:Z54" si="19">(Y45/X45)-1</f>
        <v>-0.11282702207178619</v>
      </c>
      <c r="AA45" s="29">
        <v>8889</v>
      </c>
      <c r="AB45" s="7">
        <v>9511</v>
      </c>
      <c r="AC45" s="12">
        <f t="shared" ref="AC45:AC54" si="20">(AB45/AA45)-1</f>
        <v>6.9974125323433389E-2</v>
      </c>
      <c r="AD45" s="28">
        <v>7015</v>
      </c>
      <c r="AE45" s="47">
        <v>6903</v>
      </c>
      <c r="AF45" s="12">
        <f t="shared" ref="AF45:AF54" si="21">(AE45/AD45)-1</f>
        <v>-1.5965787598004266E-2</v>
      </c>
    </row>
    <row r="46" spans="2:32" x14ac:dyDescent="0.25">
      <c r="B46" s="49" t="s">
        <v>11</v>
      </c>
      <c r="C46" s="60">
        <v>15.048421568190925</v>
      </c>
      <c r="D46" s="61">
        <v>15.4887015571947</v>
      </c>
      <c r="E46" s="59">
        <f t="shared" ref="E46:E54" si="22">(D46/C46)-1</f>
        <v>2.9257552827628874E-2</v>
      </c>
      <c r="F46" s="60">
        <v>10.256927516043978</v>
      </c>
      <c r="G46" s="61">
        <v>10.632395078375099</v>
      </c>
      <c r="H46" s="59">
        <f t="shared" ref="H46:H54" si="23">(G46/F46)-1</f>
        <v>3.6606241171521559E-2</v>
      </c>
      <c r="I46" s="60">
        <v>20.041540785498491</v>
      </c>
      <c r="J46" s="61">
        <v>20.612767870523001</v>
      </c>
      <c r="K46" s="59">
        <f t="shared" ref="K46:K54" si="24">(J46/I46)-1</f>
        <v>2.8502154157620252E-2</v>
      </c>
      <c r="L46" s="60">
        <v>13.210427357989737</v>
      </c>
      <c r="M46" s="61">
        <v>13.625907404419999</v>
      </c>
      <c r="N46" s="59">
        <f>(M46/L46)-1</f>
        <v>3.1450916398929163E-2</v>
      </c>
      <c r="O46" s="60">
        <v>11.923884642383589</v>
      </c>
      <c r="P46" s="61">
        <v>12.305861956330499</v>
      </c>
      <c r="Q46" s="59">
        <f>(P46/O46)-1</f>
        <v>3.2034636815351902E-2</v>
      </c>
      <c r="T46" s="49" t="s">
        <v>11</v>
      </c>
      <c r="U46" s="34">
        <v>11.571320545459129</v>
      </c>
      <c r="V46" s="11">
        <v>11.6529733682447</v>
      </c>
      <c r="W46" s="12">
        <f t="shared" si="18"/>
        <v>7.0564826602796948E-3</v>
      </c>
      <c r="X46" s="34">
        <v>6.5618785699174955</v>
      </c>
      <c r="Y46" s="11">
        <v>6.6207773626897701</v>
      </c>
      <c r="Z46" s="12">
        <f t="shared" si="19"/>
        <v>8.9759041019583652E-3</v>
      </c>
      <c r="AA46" s="34">
        <v>8.925863426707167</v>
      </c>
      <c r="AB46" s="11">
        <v>8.9157817264220292</v>
      </c>
      <c r="AC46" s="12">
        <f t="shared" si="20"/>
        <v>-1.1294930028811212E-3</v>
      </c>
      <c r="AD46" s="34">
        <v>3.9947255880256591</v>
      </c>
      <c r="AE46" s="11">
        <v>4.3268144285093397</v>
      </c>
      <c r="AF46" s="12">
        <f t="shared" si="21"/>
        <v>8.3131827998180752E-2</v>
      </c>
    </row>
    <row r="47" spans="2:32" x14ac:dyDescent="0.25">
      <c r="B47" s="49" t="s">
        <v>12</v>
      </c>
      <c r="C47" s="62">
        <v>48.422159643165969</v>
      </c>
      <c r="D47" s="63">
        <v>48.170690999999998</v>
      </c>
      <c r="E47" s="59">
        <f t="shared" si="22"/>
        <v>-5.1932554231183259E-3</v>
      </c>
      <c r="F47" s="62">
        <v>35.290298024246624</v>
      </c>
      <c r="G47" s="63">
        <v>34.894474000000002</v>
      </c>
      <c r="H47" s="59">
        <f t="shared" si="23"/>
        <v>-1.121622787018306E-2</v>
      </c>
      <c r="I47" s="62">
        <v>16.083521952138657</v>
      </c>
      <c r="J47" s="63">
        <v>15.989915999999999</v>
      </c>
      <c r="K47" s="59">
        <f t="shared" si="24"/>
        <v>-5.8199909458395149E-3</v>
      </c>
      <c r="L47" s="62">
        <v>41.015025376035815</v>
      </c>
      <c r="M47" s="63">
        <v>40.422203000000003</v>
      </c>
      <c r="N47" s="59">
        <f t="shared" ref="N47:N54" si="25">(M47/L47)-1</f>
        <v>-1.4453785426210786E-2</v>
      </c>
      <c r="O47" s="62">
        <v>41.24090590502594</v>
      </c>
      <c r="P47" s="63">
        <v>40.664960999999998</v>
      </c>
      <c r="Q47" s="59">
        <f t="shared" ref="Q47:Q54" si="26">(P47/O47)-1</f>
        <v>-1.3965379576100778E-2</v>
      </c>
      <c r="T47" s="49" t="s">
        <v>12</v>
      </c>
      <c r="U47" s="36">
        <v>41.0974214442709</v>
      </c>
      <c r="V47" s="14">
        <v>40.864097000000001</v>
      </c>
      <c r="W47" s="12">
        <f t="shared" si="18"/>
        <v>-5.6773499667683858E-3</v>
      </c>
      <c r="X47" s="36">
        <v>41.965148838308941</v>
      </c>
      <c r="Y47" s="14">
        <v>39.685637</v>
      </c>
      <c r="Z47" s="12">
        <f t="shared" si="19"/>
        <v>-5.4319164864441771E-2</v>
      </c>
      <c r="AA47" s="36">
        <v>39.171983690857296</v>
      </c>
      <c r="AB47" s="14">
        <v>37.602964</v>
      </c>
      <c r="AC47" s="12">
        <f t="shared" si="20"/>
        <v>-4.0054639643473111E-2</v>
      </c>
      <c r="AD47" s="36">
        <v>40.82499803732648</v>
      </c>
      <c r="AE47" s="14">
        <v>38.636598999999997</v>
      </c>
      <c r="AF47" s="12">
        <f t="shared" si="21"/>
        <v>-5.3604388059630081E-2</v>
      </c>
    </row>
    <row r="48" spans="2:32" x14ac:dyDescent="0.25">
      <c r="B48" s="49" t="s">
        <v>13</v>
      </c>
      <c r="C48" s="62">
        <v>25.559829290844476</v>
      </c>
      <c r="D48" s="63">
        <v>27.555337000000002</v>
      </c>
      <c r="E48" s="59">
        <f t="shared" si="22"/>
        <v>7.8072028042468711E-2</v>
      </c>
      <c r="F48" s="62">
        <v>20.897404528688796</v>
      </c>
      <c r="G48" s="63">
        <v>21.967309</v>
      </c>
      <c r="H48" s="59">
        <f t="shared" si="23"/>
        <v>5.1197959528533676E-2</v>
      </c>
      <c r="I48" s="62">
        <v>11.921019314113348</v>
      </c>
      <c r="J48" s="63">
        <v>12.051337999999999</v>
      </c>
      <c r="K48" s="59">
        <f t="shared" si="24"/>
        <v>1.0931840847901775E-2</v>
      </c>
      <c r="L48" s="62">
        <v>22.738267380198973</v>
      </c>
      <c r="M48" s="63">
        <v>24.106311000000002</v>
      </c>
      <c r="N48" s="59">
        <f t="shared" si="25"/>
        <v>6.0164813656486071E-2</v>
      </c>
      <c r="O48" s="62">
        <v>22.893568755423352</v>
      </c>
      <c r="P48" s="63">
        <v>24.280961000000001</v>
      </c>
      <c r="Q48" s="59">
        <f t="shared" si="26"/>
        <v>6.0601833615302247E-2</v>
      </c>
      <c r="T48" s="49" t="s">
        <v>13</v>
      </c>
      <c r="U48" s="36">
        <v>22.82727446200898</v>
      </c>
      <c r="V48" s="14">
        <v>22.570198000000001</v>
      </c>
      <c r="W48" s="12">
        <f t="shared" si="18"/>
        <v>-1.1261811498206931E-2</v>
      </c>
      <c r="X48" s="36">
        <v>23.642816644099128</v>
      </c>
      <c r="Y48" s="14">
        <v>22.949780000000001</v>
      </c>
      <c r="Z48" s="12">
        <f t="shared" si="19"/>
        <v>-2.9312778360191638E-2</v>
      </c>
      <c r="AA48" s="36">
        <v>23.055507549595422</v>
      </c>
      <c r="AB48" s="14">
        <v>22.632878000000002</v>
      </c>
      <c r="AC48" s="12">
        <f t="shared" si="20"/>
        <v>-1.8330958391884811E-2</v>
      </c>
      <c r="AD48" s="36">
        <v>24.558116547122005</v>
      </c>
      <c r="AE48" s="14">
        <v>23.679116</v>
      </c>
      <c r="AF48" s="12">
        <f t="shared" si="21"/>
        <v>-3.5792669418901912E-2</v>
      </c>
    </row>
    <row r="49" spans="2:32" x14ac:dyDescent="0.25">
      <c r="B49" s="49" t="s">
        <v>14</v>
      </c>
      <c r="C49" s="62">
        <v>20.591637988297766</v>
      </c>
      <c r="D49" s="63">
        <v>20.615352999999999</v>
      </c>
      <c r="E49" s="59">
        <f t="shared" si="22"/>
        <v>1.151681654257386E-3</v>
      </c>
      <c r="F49" s="62">
        <v>13.031964064421453</v>
      </c>
      <c r="G49" s="63">
        <v>12.927163999999999</v>
      </c>
      <c r="H49" s="59">
        <f t="shared" si="23"/>
        <v>-8.0417705192702416E-3</v>
      </c>
      <c r="I49" s="62">
        <v>3.911476351987945</v>
      </c>
      <c r="J49" s="63">
        <v>3.9385780000000001</v>
      </c>
      <c r="K49" s="59">
        <f t="shared" si="24"/>
        <v>6.9287515948501799E-3</v>
      </c>
      <c r="L49" s="62">
        <v>16.499610853341164</v>
      </c>
      <c r="M49" s="63">
        <v>16.315892000000002</v>
      </c>
      <c r="N49" s="59">
        <f t="shared" si="25"/>
        <v>-1.1134738568937763E-2</v>
      </c>
      <c r="O49" s="62">
        <v>16.549137716892961</v>
      </c>
      <c r="P49" s="63">
        <v>16.384</v>
      </c>
      <c r="Q49" s="59">
        <f t="shared" si="26"/>
        <v>-9.9786296856054779E-3</v>
      </c>
      <c r="T49" s="49" t="s">
        <v>14</v>
      </c>
      <c r="U49" s="36">
        <v>16.529981211974672</v>
      </c>
      <c r="V49" s="14">
        <v>16.616706000000001</v>
      </c>
      <c r="W49" s="12">
        <f t="shared" si="18"/>
        <v>5.2465146156672748E-3</v>
      </c>
      <c r="X49" s="36">
        <v>16.176695144754657</v>
      </c>
      <c r="Y49" s="14">
        <v>14.664221</v>
      </c>
      <c r="Z49" s="12">
        <f t="shared" si="19"/>
        <v>-9.3497103779264901E-2</v>
      </c>
      <c r="AA49" s="36">
        <v>14.468597590179224</v>
      </c>
      <c r="AB49" s="14">
        <v>13.318484</v>
      </c>
      <c r="AC49" s="12">
        <f t="shared" si="20"/>
        <v>-7.9490329523013381E-2</v>
      </c>
      <c r="AD49" s="36">
        <v>14.00444848874139</v>
      </c>
      <c r="AE49" s="14">
        <v>12.978192999999999</v>
      </c>
      <c r="AF49" s="12">
        <f t="shared" si="21"/>
        <v>-7.3280678604832561E-2</v>
      </c>
    </row>
    <row r="50" spans="2:32" x14ac:dyDescent="0.25">
      <c r="B50" s="49" t="s">
        <v>15</v>
      </c>
      <c r="C50" s="64">
        <v>728.67707155260302</v>
      </c>
      <c r="D50" s="65">
        <v>746.10145199999999</v>
      </c>
      <c r="E50" s="59">
        <f t="shared" si="22"/>
        <v>2.3912349005672073E-2</v>
      </c>
      <c r="F50" s="64">
        <v>361.97002885428765</v>
      </c>
      <c r="G50" s="65">
        <v>371.01182999999997</v>
      </c>
      <c r="H50" s="59">
        <f t="shared" si="23"/>
        <v>2.4979419357816779E-2</v>
      </c>
      <c r="I50" s="64">
        <v>322.33856117824718</v>
      </c>
      <c r="J50" s="65">
        <v>329.59642700000001</v>
      </c>
      <c r="K50" s="59">
        <f t="shared" si="24"/>
        <v>2.2516281623964129E-2</v>
      </c>
      <c r="L50" s="64">
        <v>541.82601331622686</v>
      </c>
      <c r="M50" s="65">
        <v>550.78919199999996</v>
      </c>
      <c r="N50" s="59">
        <f t="shared" si="25"/>
        <v>1.6542540342266543E-2</v>
      </c>
      <c r="O50" s="64">
        <v>491.75180455892547</v>
      </c>
      <c r="P50" s="65">
        <v>500.41739100000001</v>
      </c>
      <c r="Q50" s="59">
        <f t="shared" si="26"/>
        <v>1.7621870140053897E-2</v>
      </c>
      <c r="T50" s="49" t="s">
        <v>15</v>
      </c>
      <c r="U50" s="38">
        <v>475.55143712348445</v>
      </c>
      <c r="V50" s="16">
        <v>476.18823800000001</v>
      </c>
      <c r="W50" s="12">
        <f t="shared" si="18"/>
        <v>1.339078860464582E-3</v>
      </c>
      <c r="X50" s="38">
        <v>275.37021084549747</v>
      </c>
      <c r="Y50" s="16">
        <v>262.74976700000002</v>
      </c>
      <c r="Z50" s="12">
        <f t="shared" si="19"/>
        <v>-4.5830824644203849E-2</v>
      </c>
      <c r="AA50" s="38">
        <v>349.64377657779278</v>
      </c>
      <c r="AB50" s="16">
        <v>335.259815</v>
      </c>
      <c r="AC50" s="12">
        <f t="shared" si="20"/>
        <v>-4.1138903482220157E-2</v>
      </c>
      <c r="AD50" s="38">
        <v>163.08466429080539</v>
      </c>
      <c r="AE50" s="16">
        <v>167.173396</v>
      </c>
      <c r="AF50" s="12">
        <f t="shared" si="21"/>
        <v>2.5071221300758006E-2</v>
      </c>
    </row>
    <row r="51" spans="2:32" x14ac:dyDescent="0.25">
      <c r="B51" s="49" t="s">
        <v>16</v>
      </c>
      <c r="C51" s="64">
        <v>384.63508637962218</v>
      </c>
      <c r="D51" s="65">
        <v>426.79639500000002</v>
      </c>
      <c r="E51" s="59">
        <f t="shared" si="22"/>
        <v>0.10961378749198669</v>
      </c>
      <c r="F51" s="64">
        <v>214.34316352421013</v>
      </c>
      <c r="G51" s="65">
        <v>233.565111</v>
      </c>
      <c r="H51" s="59">
        <f t="shared" si="23"/>
        <v>8.9678379098938388E-2</v>
      </c>
      <c r="I51" s="64">
        <v>238.91559478851786</v>
      </c>
      <c r="J51" s="65">
        <v>248.41144</v>
      </c>
      <c r="K51" s="59">
        <f t="shared" si="24"/>
        <v>3.97456064761601E-2</v>
      </c>
      <c r="L51" s="64">
        <v>300.38222947266615</v>
      </c>
      <c r="M51" s="65">
        <v>328.47036100000003</v>
      </c>
      <c r="N51" s="59">
        <f t="shared" si="25"/>
        <v>9.3507966755036698E-2</v>
      </c>
      <c r="O51" s="64">
        <v>272.98027289214531</v>
      </c>
      <c r="P51" s="65">
        <v>298.79815100000002</v>
      </c>
      <c r="Q51" s="59">
        <f t="shared" si="26"/>
        <v>9.4577816317354735E-2</v>
      </c>
      <c r="T51" s="49" t="s">
        <v>16</v>
      </c>
      <c r="U51" s="38">
        <v>264.141709979079</v>
      </c>
      <c r="V51" s="16">
        <v>263.00991499999998</v>
      </c>
      <c r="W51" s="12">
        <f t="shared" si="18"/>
        <v>-4.2848021963992622E-3</v>
      </c>
      <c r="X51" s="38">
        <v>155.14129186940272</v>
      </c>
      <c r="Y51" s="16">
        <v>151.94538600000001</v>
      </c>
      <c r="Z51" s="12">
        <f t="shared" si="19"/>
        <v>-2.0599969427178677E-2</v>
      </c>
      <c r="AA51" s="38">
        <v>205.79031162110473</v>
      </c>
      <c r="AB51" s="16">
        <v>201.78980300000001</v>
      </c>
      <c r="AC51" s="12">
        <f t="shared" si="20"/>
        <v>-1.9439732558791945E-2</v>
      </c>
      <c r="AD51" s="38">
        <v>98.102936564504631</v>
      </c>
      <c r="AE51" s="16">
        <v>102.455141</v>
      </c>
      <c r="AF51" s="12">
        <f t="shared" si="21"/>
        <v>4.4363650955888678E-2</v>
      </c>
    </row>
    <row r="52" spans="2:32" x14ac:dyDescent="0.25">
      <c r="B52" s="49" t="s">
        <v>17</v>
      </c>
      <c r="C52" s="64">
        <v>309.87164922747968</v>
      </c>
      <c r="D52" s="65">
        <v>319.30505699999998</v>
      </c>
      <c r="E52" s="59">
        <f t="shared" si="22"/>
        <v>3.044295209335246E-2</v>
      </c>
      <c r="F52" s="64">
        <v>133.6679108004607</v>
      </c>
      <c r="G52" s="65">
        <v>137.446719</v>
      </c>
      <c r="H52" s="59">
        <f t="shared" si="23"/>
        <v>2.8270122401930164E-2</v>
      </c>
      <c r="I52" s="64">
        <v>78.392012839879243</v>
      </c>
      <c r="J52" s="65">
        <v>81.184987000000007</v>
      </c>
      <c r="K52" s="59">
        <f t="shared" si="24"/>
        <v>3.5628300115543521E-2</v>
      </c>
      <c r="L52" s="64">
        <v>217.9669106131625</v>
      </c>
      <c r="M52" s="65">
        <v>222.31883199999999</v>
      </c>
      <c r="N52" s="59">
        <f t="shared" si="25"/>
        <v>1.9965972700145551E-2</v>
      </c>
      <c r="O52" s="64">
        <v>197.330009067151</v>
      </c>
      <c r="P52" s="65">
        <v>201.61923999999999</v>
      </c>
      <c r="Q52" s="59">
        <f t="shared" si="26"/>
        <v>2.1736333734162949E-2</v>
      </c>
      <c r="T52" s="49" t="s">
        <v>17</v>
      </c>
      <c r="U52" s="38">
        <v>191.2737112141759</v>
      </c>
      <c r="V52" s="16">
        <v>193.634027</v>
      </c>
      <c r="W52" s="12">
        <f t="shared" si="18"/>
        <v>1.2339990534199208E-2</v>
      </c>
      <c r="X52" s="38">
        <v>106.14950920245398</v>
      </c>
      <c r="Y52" s="16">
        <v>97.088544999999996</v>
      </c>
      <c r="Z52" s="12">
        <f t="shared" si="19"/>
        <v>-8.5360396581508735E-2</v>
      </c>
      <c r="AA52" s="38">
        <v>129.14472606592417</v>
      </c>
      <c r="AB52" s="16">
        <v>118.744697</v>
      </c>
      <c r="AC52" s="12">
        <f t="shared" si="20"/>
        <v>-8.0530033108864973E-2</v>
      </c>
      <c r="AD52" s="38">
        <v>55.943928724162504</v>
      </c>
      <c r="AE52" s="16">
        <v>56.154232999999998</v>
      </c>
      <c r="AF52" s="12">
        <f t="shared" si="21"/>
        <v>3.7591974792192673E-3</v>
      </c>
    </row>
    <row r="53" spans="2:32" x14ac:dyDescent="0.25">
      <c r="B53" s="49" t="s">
        <v>18</v>
      </c>
      <c r="C53" s="66">
        <v>0.81525715849662328</v>
      </c>
      <c r="D53" s="67">
        <v>0.81080815487304303</v>
      </c>
      <c r="E53" s="59">
        <f t="shared" si="22"/>
        <v>-5.4571782378267653E-3</v>
      </c>
      <c r="F53" s="66">
        <v>0.67507620971555649</v>
      </c>
      <c r="G53" s="67">
        <v>0.66848110395992499</v>
      </c>
      <c r="H53" s="59">
        <f t="shared" si="23"/>
        <v>-9.7694240453389813E-3</v>
      </c>
      <c r="I53" s="66">
        <v>0.39038062935745244</v>
      </c>
      <c r="J53" s="67">
        <v>0.39627332805036702</v>
      </c>
      <c r="K53" s="59">
        <f t="shared" si="24"/>
        <v>1.5094751762180669E-2</v>
      </c>
      <c r="L53" s="66">
        <v>0.72910767777876384</v>
      </c>
      <c r="M53" s="67">
        <v>0.72107937732730898</v>
      </c>
      <c r="N53" s="59">
        <f t="shared" si="25"/>
        <v>-1.1011131409167429E-2</v>
      </c>
      <c r="O53" s="66">
        <v>0.72783928818185317</v>
      </c>
      <c r="P53" s="67">
        <v>0.72017643980090895</v>
      </c>
      <c r="Q53" s="59">
        <f t="shared" si="26"/>
        <v>-1.0528214820727855E-2</v>
      </c>
      <c r="T53" s="49" t="s">
        <v>18</v>
      </c>
      <c r="U53" s="40">
        <v>0.73089775175409366</v>
      </c>
      <c r="V53" s="18">
        <v>0.72684155711132103</v>
      </c>
      <c r="W53" s="12">
        <f t="shared" si="18"/>
        <v>-5.5496061289531662E-3</v>
      </c>
      <c r="X53" s="40">
        <v>0.66933178584477826</v>
      </c>
      <c r="Y53" s="18">
        <v>0.63819391087207</v>
      </c>
      <c r="Z53" s="12">
        <f t="shared" si="19"/>
        <v>-4.6520837096371337E-2</v>
      </c>
      <c r="AA53" s="40">
        <v>0.64111063497265008</v>
      </c>
      <c r="AB53" s="18">
        <v>0.60977853251255898</v>
      </c>
      <c r="AC53" s="12">
        <f t="shared" si="20"/>
        <v>-4.8871599925070286E-2</v>
      </c>
      <c r="AD53" s="40">
        <v>0.60100631624023126</v>
      </c>
      <c r="AE53" s="18">
        <v>0.58557653676175103</v>
      </c>
      <c r="AF53" s="12">
        <f t="shared" si="21"/>
        <v>-2.5673240133324504E-2</v>
      </c>
    </row>
    <row r="54" spans="2:32" ht="15.75" thickBot="1" x14ac:dyDescent="0.3">
      <c r="B54" s="50" t="s">
        <v>19</v>
      </c>
      <c r="C54" s="68">
        <v>2.1782541478966482</v>
      </c>
      <c r="D54" s="69">
        <v>2.1520800000000002</v>
      </c>
      <c r="E54" s="70">
        <f t="shared" si="22"/>
        <v>-1.2016112959969405E-2</v>
      </c>
      <c r="F54" s="68">
        <v>1.8455483098055288</v>
      </c>
      <c r="G54" s="69">
        <v>1.826058</v>
      </c>
      <c r="H54" s="70">
        <f t="shared" si="23"/>
        <v>-1.0560715047108427E-2</v>
      </c>
      <c r="I54" s="68">
        <v>1.1611644997173545</v>
      </c>
      <c r="J54" s="69">
        <v>1.1562060000000001</v>
      </c>
      <c r="K54" s="70">
        <f t="shared" si="24"/>
        <v>-4.2702818752737848E-3</v>
      </c>
      <c r="L54" s="68">
        <v>1.9730148338041282</v>
      </c>
      <c r="M54" s="69">
        <v>1.942105</v>
      </c>
      <c r="N54" s="70">
        <f t="shared" si="25"/>
        <v>-1.5666295698614552E-2</v>
      </c>
      <c r="O54" s="68">
        <v>1.9852102478395499</v>
      </c>
      <c r="P54" s="69">
        <v>1.9543269999999999</v>
      </c>
      <c r="Q54" s="70">
        <f t="shared" si="26"/>
        <v>-1.5556663518717651E-2</v>
      </c>
      <c r="T54" s="50" t="s">
        <v>19</v>
      </c>
      <c r="U54" s="53">
        <v>1.9800836039898142</v>
      </c>
      <c r="V54" s="52">
        <v>1.9537656000000001</v>
      </c>
      <c r="W54" s="24">
        <f t="shared" si="18"/>
        <v>-1.3291359989438867E-2</v>
      </c>
      <c r="X54" s="53">
        <v>1.9680937950007522</v>
      </c>
      <c r="Y54" s="52">
        <v>1.8862850600000001</v>
      </c>
      <c r="Z54" s="24">
        <f t="shared" si="19"/>
        <v>-4.1567498057540897E-2</v>
      </c>
      <c r="AA54" s="53">
        <v>2.0351012074311208</v>
      </c>
      <c r="AB54" s="52">
        <v>1.9816505099999999</v>
      </c>
      <c r="AC54" s="24">
        <f t="shared" si="20"/>
        <v>-2.6264392766289446E-2</v>
      </c>
      <c r="AD54" s="53">
        <v>2.0795418049459373</v>
      </c>
      <c r="AE54" s="52">
        <v>1.9721775800000001</v>
      </c>
      <c r="AF54" s="24">
        <f t="shared" si="21"/>
        <v>-5.1628788943114512E-2</v>
      </c>
    </row>
    <row r="57" spans="2:32" ht="15.75" thickBot="1" x14ac:dyDescent="0.3"/>
    <row r="58" spans="2:32" x14ac:dyDescent="0.25">
      <c r="B58" s="148" t="s">
        <v>29</v>
      </c>
      <c r="C58" s="145" t="s">
        <v>0</v>
      </c>
      <c r="D58" s="146"/>
      <c r="E58" s="146"/>
      <c r="F58" s="145" t="s">
        <v>1</v>
      </c>
      <c r="G58" s="146"/>
      <c r="H58" s="147"/>
      <c r="I58" s="145" t="s">
        <v>2</v>
      </c>
      <c r="J58" s="146"/>
      <c r="K58" s="147"/>
      <c r="L58" s="145" t="s">
        <v>3</v>
      </c>
      <c r="M58" s="146"/>
      <c r="N58" s="147"/>
      <c r="O58" s="145" t="s">
        <v>25</v>
      </c>
      <c r="P58" s="146"/>
      <c r="Q58" s="147"/>
    </row>
    <row r="59" spans="2:32" ht="15.75" thickBot="1" x14ac:dyDescent="0.3">
      <c r="B59" s="149"/>
      <c r="C59" s="121">
        <v>2024</v>
      </c>
      <c r="D59" s="57">
        <v>2025</v>
      </c>
      <c r="E59" s="57" t="s">
        <v>6</v>
      </c>
      <c r="F59" s="121">
        <v>2024</v>
      </c>
      <c r="G59" s="57">
        <v>2025</v>
      </c>
      <c r="H59" s="58" t="s">
        <v>6</v>
      </c>
      <c r="I59" s="121">
        <v>2024</v>
      </c>
      <c r="J59" s="57">
        <v>2025</v>
      </c>
      <c r="K59" s="58" t="s">
        <v>6</v>
      </c>
      <c r="L59" s="121">
        <v>2024</v>
      </c>
      <c r="M59" s="57">
        <v>2025</v>
      </c>
      <c r="N59" s="58" t="s">
        <v>6</v>
      </c>
      <c r="O59" s="121">
        <v>2024</v>
      </c>
      <c r="P59" s="57">
        <v>2025</v>
      </c>
      <c r="Q59" s="58" t="s">
        <v>6</v>
      </c>
    </row>
    <row r="60" spans="2:32" x14ac:dyDescent="0.25">
      <c r="B60" s="46" t="s">
        <v>9</v>
      </c>
      <c r="C60" s="71">
        <v>103865</v>
      </c>
      <c r="D60" s="83">
        <v>98616</v>
      </c>
      <c r="E60" s="59">
        <f>(D60/C60)-1</f>
        <v>-5.0536754440860698E-2</v>
      </c>
      <c r="F60" s="71">
        <v>385885</v>
      </c>
      <c r="G60" s="72">
        <v>330487</v>
      </c>
      <c r="H60" s="59">
        <f>(G60/F60)-1</f>
        <v>-0.14356090545110589</v>
      </c>
      <c r="I60" s="71">
        <v>43991</v>
      </c>
      <c r="J60" s="72">
        <v>40655</v>
      </c>
      <c r="K60" s="59">
        <f>(J60/I60)-1</f>
        <v>-7.583369325543865E-2</v>
      </c>
      <c r="L60" s="71">
        <v>533741</v>
      </c>
      <c r="M60" s="72">
        <v>469758</v>
      </c>
      <c r="N60" s="59">
        <f>(M60/L60)-1</f>
        <v>-0.11987649440458947</v>
      </c>
      <c r="O60" s="71">
        <v>1867413</v>
      </c>
      <c r="P60" s="72">
        <v>1617212</v>
      </c>
      <c r="Q60" s="59">
        <f>(P60/O60)-1</f>
        <v>-0.13398268085313747</v>
      </c>
    </row>
    <row r="61" spans="2:32" x14ac:dyDescent="0.25">
      <c r="B61" s="49" t="s">
        <v>11</v>
      </c>
      <c r="C61" s="34">
        <v>10.705791946603433</v>
      </c>
      <c r="D61" s="11">
        <v>10.9206518212054</v>
      </c>
      <c r="E61" s="59">
        <f t="shared" ref="E61:E69" si="27">(D61/C61)-1</f>
        <v>2.0069498424180932E-2</v>
      </c>
      <c r="F61" s="34">
        <v>5.7600243595889964</v>
      </c>
      <c r="G61" s="11">
        <v>5.8778136507638701</v>
      </c>
      <c r="H61" s="12">
        <f>(G61/F61)-1</f>
        <v>2.0449443235215581E-2</v>
      </c>
      <c r="I61" s="34">
        <v>9.6336750699006615</v>
      </c>
      <c r="J61" s="11">
        <v>9.8882056327634906</v>
      </c>
      <c r="K61" s="12">
        <f>(J61/I61)-1</f>
        <v>2.6420920470743514E-2</v>
      </c>
      <c r="L61" s="34">
        <v>7.1091144497104324</v>
      </c>
      <c r="M61" s="11">
        <v>7.2835310947338803</v>
      </c>
      <c r="N61" s="12">
        <f>(M61/L61)-1</f>
        <v>2.4534229439864053E-2</v>
      </c>
      <c r="O61" s="34">
        <v>3.2918251077827989</v>
      </c>
      <c r="P61" s="11">
        <v>3.33958503894356</v>
      </c>
      <c r="Q61" s="12">
        <f>(P61/O61)-1</f>
        <v>1.4508647816022568E-2</v>
      </c>
    </row>
    <row r="62" spans="2:32" x14ac:dyDescent="0.25">
      <c r="B62" s="49" t="s">
        <v>12</v>
      </c>
      <c r="C62" s="36">
        <v>51.888897068533936</v>
      </c>
      <c r="D62" s="14">
        <v>51.829070999999999</v>
      </c>
      <c r="E62" s="59">
        <f t="shared" si="27"/>
        <v>-1.1529647364622031E-3</v>
      </c>
      <c r="F62" s="36">
        <v>44.387941658515132</v>
      </c>
      <c r="G62" s="14">
        <v>44.584130999999999</v>
      </c>
      <c r="H62" s="12">
        <f t="shared" ref="H62:H69" si="28">(G62/F62)-1</f>
        <v>4.4198792319363189E-3</v>
      </c>
      <c r="I62" s="36">
        <v>14.650477636594742</v>
      </c>
      <c r="J62" s="14">
        <v>14.507692</v>
      </c>
      <c r="K62" s="12">
        <f t="shared" ref="K62:K69" si="29">(J62/I62)-1</f>
        <v>-9.7461420805887711E-3</v>
      </c>
      <c r="L62" s="36">
        <v>43.493155422665531</v>
      </c>
      <c r="M62" s="14">
        <v>43.330750999999999</v>
      </c>
      <c r="N62" s="12">
        <f t="shared" ref="N62:N69" si="30">(M62/L62)-1</f>
        <v>-3.7340225395763316E-3</v>
      </c>
      <c r="O62" s="36">
        <v>44.244676106850001</v>
      </c>
      <c r="P62" s="14">
        <v>44.224853000000003</v>
      </c>
      <c r="Q62" s="12">
        <f t="shared" ref="Q62:Q69" si="31">(P62/O62)-1</f>
        <v>-4.4803372053459078E-4</v>
      </c>
    </row>
    <row r="63" spans="2:32" x14ac:dyDescent="0.25">
      <c r="B63" s="49" t="s">
        <v>13</v>
      </c>
      <c r="C63" s="36">
        <v>27.273485970229991</v>
      </c>
      <c r="D63" s="14">
        <v>30.266403</v>
      </c>
      <c r="E63" s="59">
        <f t="shared" si="27"/>
        <v>0.10973723832138238</v>
      </c>
      <c r="F63" s="36">
        <v>24.747402586121538</v>
      </c>
      <c r="G63" s="14">
        <v>27.212014</v>
      </c>
      <c r="H63" s="12">
        <f t="shared" si="28"/>
        <v>9.9590710794862369E-2</v>
      </c>
      <c r="I63" s="36">
        <v>9.5492243419580891</v>
      </c>
      <c r="J63" s="14">
        <v>9.3608130000000003</v>
      </c>
      <c r="K63" s="12">
        <f t="shared" si="29"/>
        <v>-1.9730538859604851E-2</v>
      </c>
      <c r="L63" s="36">
        <v>23.877770293082186</v>
      </c>
      <c r="M63" s="14">
        <v>26.076007000000001</v>
      </c>
      <c r="N63" s="12">
        <f t="shared" si="30"/>
        <v>9.2062059393991369E-2</v>
      </c>
      <c r="O63" s="36">
        <v>24.5735013242621</v>
      </c>
      <c r="P63" s="14">
        <v>26.930607999999999</v>
      </c>
      <c r="Q63" s="12">
        <f t="shared" si="31"/>
        <v>9.5920668554084321E-2</v>
      </c>
    </row>
    <row r="64" spans="2:32" x14ac:dyDescent="0.25">
      <c r="B64" s="49" t="s">
        <v>14</v>
      </c>
      <c r="C64" s="36">
        <v>21.545559045622703</v>
      </c>
      <c r="D64" s="14">
        <v>21.562667999999999</v>
      </c>
      <c r="E64" s="59">
        <f t="shared" si="27"/>
        <v>7.9408263861102668E-4</v>
      </c>
      <c r="F64" s="36">
        <v>17.052867408968069</v>
      </c>
      <c r="G64" s="14">
        <v>17.372116999999999</v>
      </c>
      <c r="H64" s="12">
        <f t="shared" si="28"/>
        <v>1.8721167729483179E-2</v>
      </c>
      <c r="I64" s="36">
        <v>4.7475520947622911</v>
      </c>
      <c r="J64" s="14">
        <v>5.1468790000000002</v>
      </c>
      <c r="K64" s="12">
        <f t="shared" si="29"/>
        <v>8.4112169233122147E-2</v>
      </c>
      <c r="L64" s="36">
        <v>17.120575659086068</v>
      </c>
      <c r="M64" s="14">
        <v>17.254745</v>
      </c>
      <c r="N64" s="12">
        <f t="shared" si="30"/>
        <v>7.8367307026108168E-3</v>
      </c>
      <c r="O64" s="36">
        <v>17.067623414378943</v>
      </c>
      <c r="P64" s="14">
        <v>17.294243999999999</v>
      </c>
      <c r="Q64" s="12">
        <f t="shared" si="31"/>
        <v>1.3277805592437408E-2</v>
      </c>
    </row>
    <row r="65" spans="2:17" x14ac:dyDescent="0.25">
      <c r="B65" s="49" t="s">
        <v>15</v>
      </c>
      <c r="C65" s="38">
        <v>555.51173635444513</v>
      </c>
      <c r="D65" s="16">
        <v>566.00723600000003</v>
      </c>
      <c r="E65" s="59">
        <f t="shared" si="27"/>
        <v>1.889338956982578E-2</v>
      </c>
      <c r="F65" s="38">
        <v>255.67562522506236</v>
      </c>
      <c r="G65" s="16">
        <v>262.05721299999999</v>
      </c>
      <c r="H65" s="12">
        <f t="shared" si="28"/>
        <v>2.4959703410601275E-2</v>
      </c>
      <c r="I65" s="38">
        <v>141.13794116979992</v>
      </c>
      <c r="J65" s="16">
        <v>143.45504</v>
      </c>
      <c r="K65" s="12">
        <f t="shared" si="29"/>
        <v>1.6417263926306269E-2</v>
      </c>
      <c r="L65" s="38">
        <v>309.19781967877316</v>
      </c>
      <c r="M65" s="16">
        <v>315.60087600000003</v>
      </c>
      <c r="N65" s="12">
        <f t="shared" si="30"/>
        <v>2.0708607608808549E-2</v>
      </c>
      <c r="O65" s="38">
        <v>145.64573569424655</v>
      </c>
      <c r="P65" s="16">
        <v>147.692656</v>
      </c>
      <c r="Q65" s="12">
        <f t="shared" si="31"/>
        <v>1.4054103925504213E-2</v>
      </c>
    </row>
    <row r="66" spans="2:17" x14ac:dyDescent="0.25">
      <c r="B66" s="49" t="s">
        <v>16</v>
      </c>
      <c r="C66" s="38">
        <v>291.98426645589001</v>
      </c>
      <c r="D66" s="16">
        <v>330.52884499999999</v>
      </c>
      <c r="E66" s="59">
        <f t="shared" si="27"/>
        <v>0.13200909422951024</v>
      </c>
      <c r="F66" s="38">
        <v>142.54564173261579</v>
      </c>
      <c r="G66" s="16">
        <v>159.94714500000001</v>
      </c>
      <c r="H66" s="12">
        <f t="shared" si="28"/>
        <v>0.12207671210338078</v>
      </c>
      <c r="I66" s="38">
        <v>91.994124480010186</v>
      </c>
      <c r="J66" s="16">
        <v>92.561644000000001</v>
      </c>
      <c r="K66" s="12">
        <f t="shared" si="29"/>
        <v>6.1690844192243688E-3</v>
      </c>
      <c r="L66" s="38">
        <v>169.74980181741705</v>
      </c>
      <c r="M66" s="16">
        <v>189.92540500000001</v>
      </c>
      <c r="N66" s="12">
        <f t="shared" si="30"/>
        <v>0.11885494396207807</v>
      </c>
      <c r="O66" s="38">
        <v>80.891668645339834</v>
      </c>
      <c r="P66" s="16">
        <v>89.937056999999996</v>
      </c>
      <c r="Q66" s="12">
        <f t="shared" si="31"/>
        <v>0.11182101329023908</v>
      </c>
    </row>
    <row r="67" spans="2:17" x14ac:dyDescent="0.25">
      <c r="B67" s="49" t="s">
        <v>17</v>
      </c>
      <c r="C67" s="38">
        <v>230.66227251569629</v>
      </c>
      <c r="D67" s="16">
        <v>235.47839099999999</v>
      </c>
      <c r="E67" s="59">
        <f t="shared" si="27"/>
        <v>2.0879524127535687E-2</v>
      </c>
      <c r="F67" s="38">
        <v>98.224931676497391</v>
      </c>
      <c r="G67" s="16">
        <v>102.110068</v>
      </c>
      <c r="H67" s="12">
        <f t="shared" si="28"/>
        <v>3.9553464249771686E-2</v>
      </c>
      <c r="I67" s="38">
        <v>45.736374258366148</v>
      </c>
      <c r="J67" s="16">
        <v>50.893397</v>
      </c>
      <c r="K67" s="12">
        <f t="shared" si="29"/>
        <v>0.11275539054542616</v>
      </c>
      <c r="L67" s="38">
        <v>121.71213180536948</v>
      </c>
      <c r="M67" s="16">
        <v>125.675471</v>
      </c>
      <c r="N67" s="12">
        <f t="shared" si="30"/>
        <v>3.2563222218211729E-2</v>
      </c>
      <c r="O67" s="38">
        <v>56.183631285634192</v>
      </c>
      <c r="P67" s="16">
        <v>57.755600000000001</v>
      </c>
      <c r="Q67" s="12">
        <f t="shared" si="31"/>
        <v>2.7979122715902971E-2</v>
      </c>
    </row>
    <row r="68" spans="2:17" x14ac:dyDescent="0.25">
      <c r="B68" s="49" t="s">
        <v>18</v>
      </c>
      <c r="C68" s="40">
        <v>0.74654782754929183</v>
      </c>
      <c r="D68" s="18">
        <v>0.74487790066586101</v>
      </c>
      <c r="E68" s="59">
        <f t="shared" si="27"/>
        <v>-2.2368652373052633E-3</v>
      </c>
      <c r="F68" s="40">
        <v>0.6537303387266068</v>
      </c>
      <c r="G68" s="18">
        <v>0.65951297810445098</v>
      </c>
      <c r="H68" s="12">
        <f t="shared" si="28"/>
        <v>8.8456035084865103E-3</v>
      </c>
      <c r="I68" s="40">
        <v>0.42867424108354274</v>
      </c>
      <c r="J68" s="18">
        <v>0.465337495802291</v>
      </c>
      <c r="K68" s="12">
        <f t="shared" si="29"/>
        <v>8.5527076751978459E-2</v>
      </c>
      <c r="L68" s="40">
        <v>0.65832694565823924</v>
      </c>
      <c r="M68" s="18">
        <v>0.66356802300279605</v>
      </c>
      <c r="N68" s="12">
        <f t="shared" si="30"/>
        <v>7.9612073896146995E-3</v>
      </c>
      <c r="O68" s="40">
        <v>0.64012166846125151</v>
      </c>
      <c r="P68" s="18">
        <v>0.64529181418292803</v>
      </c>
      <c r="Q68" s="12">
        <f t="shared" si="31"/>
        <v>8.0768172308629538E-3</v>
      </c>
    </row>
    <row r="69" spans="2:17" ht="15.75" thickBot="1" x14ac:dyDescent="0.3">
      <c r="B69" s="50" t="s">
        <v>19</v>
      </c>
      <c r="C69" s="53">
        <v>2.0914369388399652</v>
      </c>
      <c r="D69" s="52">
        <v>2.0440239999999998</v>
      </c>
      <c r="E69" s="70">
        <f t="shared" si="27"/>
        <v>-2.267003033152093E-2</v>
      </c>
      <c r="F69" s="53">
        <v>1.9542967201704948</v>
      </c>
      <c r="G69" s="52">
        <v>1.9119409999999999</v>
      </c>
      <c r="H69" s="24">
        <f t="shared" si="28"/>
        <v>-2.1673126569439094E-2</v>
      </c>
      <c r="I69" s="53">
        <v>1.0147760119869276</v>
      </c>
      <c r="J69" s="52">
        <v>0.97245300000000001</v>
      </c>
      <c r="K69" s="24">
        <f t="shared" si="29"/>
        <v>-4.1706752511876277E-2</v>
      </c>
      <c r="L69" s="53">
        <v>1.8945406267777376</v>
      </c>
      <c r="M69" s="52">
        <v>1.8431310000000001</v>
      </c>
      <c r="N69" s="24">
        <f t="shared" si="30"/>
        <v>-2.7135668695147386E-2</v>
      </c>
      <c r="O69" s="53">
        <v>1.93187301464391</v>
      </c>
      <c r="P69" s="52">
        <v>1.890951</v>
      </c>
      <c r="Q69" s="24">
        <f t="shared" si="31"/>
        <v>-2.1182559274711354E-2</v>
      </c>
    </row>
  </sheetData>
  <mergeCells count="53">
    <mergeCell ref="X43:Z43"/>
    <mergeCell ref="AA43:AC43"/>
    <mergeCell ref="AD43:AF43"/>
    <mergeCell ref="B39:Q41"/>
    <mergeCell ref="T39:AF41"/>
    <mergeCell ref="T43:T44"/>
    <mergeCell ref="U43:W43"/>
    <mergeCell ref="O43:Q43"/>
    <mergeCell ref="B43:B44"/>
    <mergeCell ref="C43:E43"/>
    <mergeCell ref="F43:H43"/>
    <mergeCell ref="I43:K43"/>
    <mergeCell ref="B58:B59"/>
    <mergeCell ref="C58:E58"/>
    <mergeCell ref="F58:H58"/>
    <mergeCell ref="I58:K58"/>
    <mergeCell ref="L58:N58"/>
    <mergeCell ref="O58:Q58"/>
    <mergeCell ref="L22:M22"/>
    <mergeCell ref="N22:N23"/>
    <mergeCell ref="O22:P22"/>
    <mergeCell ref="Q22:Q23"/>
    <mergeCell ref="L43:N43"/>
    <mergeCell ref="C22:D22"/>
    <mergeCell ref="E22:E23"/>
    <mergeCell ref="F22:G22"/>
    <mergeCell ref="H22:H23"/>
    <mergeCell ref="I22:J22"/>
    <mergeCell ref="K22:K23"/>
    <mergeCell ref="K4:K5"/>
    <mergeCell ref="L4:M4"/>
    <mergeCell ref="N4:N5"/>
    <mergeCell ref="O4:P4"/>
    <mergeCell ref="Q4:Q5"/>
    <mergeCell ref="C21:E21"/>
    <mergeCell ref="F21:H21"/>
    <mergeCell ref="I21:K21"/>
    <mergeCell ref="L21:N21"/>
    <mergeCell ref="O21:Q21"/>
    <mergeCell ref="C4:D4"/>
    <mergeCell ref="E4:E5"/>
    <mergeCell ref="F4:G4"/>
    <mergeCell ref="H4:H5"/>
    <mergeCell ref="I4:J4"/>
    <mergeCell ref="U3:W3"/>
    <mergeCell ref="X3:Z3"/>
    <mergeCell ref="AA3:AC3"/>
    <mergeCell ref="AD3:AF3"/>
    <mergeCell ref="C3:E3"/>
    <mergeCell ref="F3:H3"/>
    <mergeCell ref="I3:K3"/>
    <mergeCell ref="L3:N3"/>
    <mergeCell ref="O3:Q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E02D5873-1DEA-49D2-9A75-9948F385693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E6:E18</xm:sqref>
        </x14:conditionalFormatting>
        <x14:conditionalFormatting xmlns:xm="http://schemas.microsoft.com/office/excel/2006/main">
          <x14:cfRule type="iconSet" priority="28" id="{FF761482-069A-4F30-9843-7A59269C4F7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E24:E36</xm:sqref>
        </x14:conditionalFormatting>
        <x14:conditionalFormatting xmlns:xm="http://schemas.microsoft.com/office/excel/2006/main">
          <x14:cfRule type="iconSet" priority="27" id="{81C2839E-0AAE-4C59-A011-B368486E69D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E45:E53</xm:sqref>
        </x14:conditionalFormatting>
        <x14:conditionalFormatting xmlns:xm="http://schemas.microsoft.com/office/excel/2006/main">
          <x14:cfRule type="iconSet" priority="22" id="{F4682D75-6DB7-44CF-B70C-3BAEAE3DBF6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E54</xm:sqref>
        </x14:conditionalFormatting>
        <x14:conditionalFormatting xmlns:xm="http://schemas.microsoft.com/office/excel/2006/main">
          <x14:cfRule type="iconSet" priority="18" id="{889E3561-9116-4056-9FB2-4424D542786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E60:E68</xm:sqref>
        </x14:conditionalFormatting>
        <x14:conditionalFormatting xmlns:xm="http://schemas.microsoft.com/office/excel/2006/main">
          <x14:cfRule type="iconSet" priority="13" id="{B1F79DAD-CD00-4054-BEEF-A32C569DA0F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E69</xm:sqref>
        </x14:conditionalFormatting>
        <x14:conditionalFormatting xmlns:xm="http://schemas.microsoft.com/office/excel/2006/main">
          <x14:cfRule type="iconSet" priority="34" id="{8A104145-D1B4-4F12-8899-EEA54BB00EC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H7:H18</xm:sqref>
        </x14:conditionalFormatting>
        <x14:conditionalFormatting xmlns:xm="http://schemas.microsoft.com/office/excel/2006/main">
          <x14:cfRule type="iconSet" priority="29" id="{DF0FD330-C7D4-4803-AEBD-48044DB9C42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H24:H36</xm:sqref>
        </x14:conditionalFormatting>
        <x14:conditionalFormatting xmlns:xm="http://schemas.microsoft.com/office/excel/2006/main">
          <x14:cfRule type="iconSet" priority="26" id="{3AC2BC35-C3A1-42A9-A62F-AAF5DE4502A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H45:H53</xm:sqref>
        </x14:conditionalFormatting>
        <x14:conditionalFormatting xmlns:xm="http://schemas.microsoft.com/office/excel/2006/main">
          <x14:cfRule type="iconSet" priority="21" id="{9ED75E79-A03E-49C2-89E8-8EB2E03E9FB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H54</xm:sqref>
        </x14:conditionalFormatting>
        <x14:conditionalFormatting xmlns:xm="http://schemas.microsoft.com/office/excel/2006/main">
          <x14:cfRule type="iconSet" priority="17" id="{51A03A97-C360-441B-BEA1-52F9C322FC2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H60</xm:sqref>
        </x14:conditionalFormatting>
        <x14:conditionalFormatting xmlns:xm="http://schemas.microsoft.com/office/excel/2006/main">
          <x14:cfRule type="iconSet" priority="12" id="{2FC1EC13-B7A0-498F-8100-B96C866442C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H61:H69</xm:sqref>
        </x14:conditionalFormatting>
        <x14:conditionalFormatting xmlns:xm="http://schemas.microsoft.com/office/excel/2006/main">
          <x14:cfRule type="iconSet" priority="35" id="{6D3E8C80-AED7-41C0-83E1-CC8B3786CD8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K7:K18</xm:sqref>
        </x14:conditionalFormatting>
        <x14:conditionalFormatting xmlns:xm="http://schemas.microsoft.com/office/excel/2006/main">
          <x14:cfRule type="iconSet" priority="30" id="{01971163-BB98-4C29-B724-C0BFB551E7D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K24:K36</xm:sqref>
        </x14:conditionalFormatting>
        <x14:conditionalFormatting xmlns:xm="http://schemas.microsoft.com/office/excel/2006/main">
          <x14:cfRule type="iconSet" priority="25" id="{1472D4BA-66C4-489C-9C2B-F1054C4CDC5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K45:K53</xm:sqref>
        </x14:conditionalFormatting>
        <x14:conditionalFormatting xmlns:xm="http://schemas.microsoft.com/office/excel/2006/main">
          <x14:cfRule type="iconSet" priority="20" id="{49D1BF26-FC04-462F-8D07-2FADE0134D4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K54</xm:sqref>
        </x14:conditionalFormatting>
        <x14:conditionalFormatting xmlns:xm="http://schemas.microsoft.com/office/excel/2006/main">
          <x14:cfRule type="iconSet" priority="16" id="{85E15F68-B506-40F7-8C78-6660FD9C95F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K60</xm:sqref>
        </x14:conditionalFormatting>
        <x14:conditionalFormatting xmlns:xm="http://schemas.microsoft.com/office/excel/2006/main">
          <x14:cfRule type="iconSet" priority="11" id="{92360FC0-C922-4E68-92D7-A7FCD131F4A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K61:K69</xm:sqref>
        </x14:conditionalFormatting>
        <x14:conditionalFormatting xmlns:xm="http://schemas.microsoft.com/office/excel/2006/main">
          <x14:cfRule type="iconSet" priority="36" id="{3ECCFFDA-ACD9-45C2-B1A7-2F162F0C12C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N7:N18</xm:sqref>
        </x14:conditionalFormatting>
        <x14:conditionalFormatting xmlns:xm="http://schemas.microsoft.com/office/excel/2006/main">
          <x14:cfRule type="iconSet" priority="31" id="{0E5B173C-5CB2-478B-91F7-439600D99F5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N24:N36</xm:sqref>
        </x14:conditionalFormatting>
        <x14:conditionalFormatting xmlns:xm="http://schemas.microsoft.com/office/excel/2006/main">
          <x14:cfRule type="iconSet" priority="24" id="{F913D6D4-7162-4A14-93E1-75C580DF37A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N45:N53</xm:sqref>
        </x14:conditionalFormatting>
        <x14:conditionalFormatting xmlns:xm="http://schemas.microsoft.com/office/excel/2006/main">
          <x14:cfRule type="iconSet" priority="19" id="{6EA1C60D-B574-482E-BF63-9B5D715C8A3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N54</xm:sqref>
        </x14:conditionalFormatting>
        <x14:conditionalFormatting xmlns:xm="http://schemas.microsoft.com/office/excel/2006/main">
          <x14:cfRule type="iconSet" priority="15" id="{14E44401-21B7-4B8B-8A17-B8BE69FB903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N60</xm:sqref>
        </x14:conditionalFormatting>
        <x14:conditionalFormatting xmlns:xm="http://schemas.microsoft.com/office/excel/2006/main">
          <x14:cfRule type="iconSet" priority="10" id="{657D3C8F-9270-4B0E-A39D-D07C8219161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N61:N69</xm:sqref>
        </x14:conditionalFormatting>
        <x14:conditionalFormatting xmlns:xm="http://schemas.microsoft.com/office/excel/2006/main">
          <x14:cfRule type="iconSet" priority="37" id="{DC798C18-21A7-4F97-8A12-51F57B57086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Q7:Q18</xm:sqref>
        </x14:conditionalFormatting>
        <x14:conditionalFormatting xmlns:xm="http://schemas.microsoft.com/office/excel/2006/main">
          <x14:cfRule type="iconSet" priority="32" id="{C1C0BF4E-4BBC-4604-B90C-FCECE2D7A23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Q24:Q36</xm:sqref>
        </x14:conditionalFormatting>
        <x14:conditionalFormatting xmlns:xm="http://schemas.microsoft.com/office/excel/2006/main">
          <x14:cfRule type="iconSet" priority="23" id="{7595847B-A19D-4241-8055-E3508780966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Q45:Q54</xm:sqref>
        </x14:conditionalFormatting>
        <x14:conditionalFormatting xmlns:xm="http://schemas.microsoft.com/office/excel/2006/main">
          <x14:cfRule type="iconSet" priority="14" id="{0DB7830D-46E4-4E57-9EBE-998C95E957E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Q60</xm:sqref>
        </x14:conditionalFormatting>
        <x14:conditionalFormatting xmlns:xm="http://schemas.microsoft.com/office/excel/2006/main">
          <x14:cfRule type="iconSet" priority="9" id="{14175CAA-29D7-4230-B636-86CAAB1FBB5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Q61:Q69</xm:sqref>
        </x14:conditionalFormatting>
        <x14:conditionalFormatting xmlns:xm="http://schemas.microsoft.com/office/excel/2006/main">
          <x14:cfRule type="iconSet" priority="4" id="{AE953689-9F47-47F1-A1CE-E25A565F789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W5:W17</xm:sqref>
        </x14:conditionalFormatting>
        <x14:conditionalFormatting xmlns:xm="http://schemas.microsoft.com/office/excel/2006/main">
          <x14:cfRule type="iconSet" priority="8" id="{690684B4-9BAA-480D-91C4-8047D48AD41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W45:W54</xm:sqref>
        </x14:conditionalFormatting>
        <x14:conditionalFormatting xmlns:xm="http://schemas.microsoft.com/office/excel/2006/main">
          <x14:cfRule type="iconSet" priority="3" id="{382B2600-C2F0-4507-A6F6-6F238F23ADE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Z5:Z17</xm:sqref>
        </x14:conditionalFormatting>
        <x14:conditionalFormatting xmlns:xm="http://schemas.microsoft.com/office/excel/2006/main">
          <x14:cfRule type="iconSet" priority="7" id="{913E8D80-5F34-44F1-88D0-8AD71C4CF63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Z45:Z54</xm:sqref>
        </x14:conditionalFormatting>
        <x14:conditionalFormatting xmlns:xm="http://schemas.microsoft.com/office/excel/2006/main">
          <x14:cfRule type="iconSet" priority="2" id="{D3176790-E280-4227-800D-E00E4B8E2A7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AC5:AC17</xm:sqref>
        </x14:conditionalFormatting>
        <x14:conditionalFormatting xmlns:xm="http://schemas.microsoft.com/office/excel/2006/main">
          <x14:cfRule type="iconSet" priority="6" id="{EB57777C-52BC-4EF2-A045-36961EFE9E0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AC45:AC54</xm:sqref>
        </x14:conditionalFormatting>
        <x14:conditionalFormatting xmlns:xm="http://schemas.microsoft.com/office/excel/2006/main">
          <x14:cfRule type="iconSet" priority="1" id="{C203D11B-0DB0-4671-93D2-89BB7BF08F6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AF5:AF17</xm:sqref>
        </x14:conditionalFormatting>
        <x14:conditionalFormatting xmlns:xm="http://schemas.microsoft.com/office/excel/2006/main">
          <x14:cfRule type="iconSet" priority="5" id="{FE31386F-3EF5-40DA-95A7-00CF4C303DF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AF45:AF54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292D-C1D4-435A-B9B2-2C07C9DC4D35}">
  <dimension ref="A1:M39"/>
  <sheetViews>
    <sheetView zoomScaleNormal="100" workbookViewId="0">
      <selection activeCell="G33" sqref="G33"/>
    </sheetView>
  </sheetViews>
  <sheetFormatPr defaultRowHeight="15" x14ac:dyDescent="0.25"/>
  <cols>
    <col min="1" max="1" width="43" bestFit="1" customWidth="1"/>
    <col min="2" max="2" width="14.7109375" bestFit="1" customWidth="1"/>
    <col min="3" max="3" width="15.42578125" bestFit="1" customWidth="1"/>
    <col min="4" max="4" width="10.5703125" bestFit="1" customWidth="1"/>
    <col min="5" max="5" width="21" bestFit="1" customWidth="1"/>
    <col min="17" max="18" width="12" bestFit="1" customWidth="1"/>
    <col min="19" max="22" width="11" bestFit="1" customWidth="1"/>
    <col min="23" max="26" width="12" bestFit="1" customWidth="1"/>
    <col min="27" max="37" width="10" bestFit="1" customWidth="1"/>
    <col min="38" max="38" width="9" bestFit="1" customWidth="1"/>
    <col min="39" max="40" width="10" bestFit="1" customWidth="1"/>
    <col min="41" max="50" width="11" bestFit="1" customWidth="1"/>
    <col min="51" max="52" width="5" bestFit="1" customWidth="1"/>
    <col min="53" max="61" width="6" bestFit="1" customWidth="1"/>
    <col min="62" max="63" width="7" bestFit="1" customWidth="1"/>
    <col min="64" max="65" width="10" bestFit="1" customWidth="1"/>
    <col min="66" max="67" width="7" bestFit="1" customWidth="1"/>
    <col min="68" max="72" width="11" bestFit="1" customWidth="1"/>
    <col min="73" max="73" width="8" bestFit="1" customWidth="1"/>
    <col min="74" max="75" width="11" bestFit="1" customWidth="1"/>
    <col min="76" max="79" width="12" bestFit="1" customWidth="1"/>
    <col min="80" max="80" width="15.5703125" bestFit="1" customWidth="1"/>
    <col min="81" max="81" width="12.85546875" bestFit="1" customWidth="1"/>
    <col min="82" max="82" width="15.5703125" bestFit="1" customWidth="1"/>
    <col min="83" max="83" width="12.85546875" bestFit="1" customWidth="1"/>
    <col min="84" max="84" width="15.5703125" bestFit="1" customWidth="1"/>
    <col min="85" max="85" width="12.85546875" bestFit="1" customWidth="1"/>
    <col min="86" max="86" width="15.5703125" bestFit="1" customWidth="1"/>
    <col min="87" max="87" width="6.85546875" bestFit="1" customWidth="1"/>
    <col min="88" max="88" width="9.85546875" bestFit="1" customWidth="1"/>
    <col min="89" max="89" width="6.85546875" bestFit="1" customWidth="1"/>
    <col min="90" max="90" width="9.85546875" bestFit="1" customWidth="1"/>
    <col min="91" max="91" width="7.85546875" bestFit="1" customWidth="1"/>
    <col min="92" max="92" width="10.85546875" bestFit="1" customWidth="1"/>
    <col min="93" max="93" width="7.85546875" bestFit="1" customWidth="1"/>
    <col min="94" max="94" width="10.85546875" bestFit="1" customWidth="1"/>
    <col min="95" max="95" width="7.85546875" bestFit="1" customWidth="1"/>
    <col min="96" max="96" width="10.85546875" bestFit="1" customWidth="1"/>
    <col min="97" max="97" width="7.85546875" bestFit="1" customWidth="1"/>
    <col min="98" max="98" width="10.85546875" bestFit="1" customWidth="1"/>
    <col min="99" max="99" width="7.85546875" bestFit="1" customWidth="1"/>
    <col min="100" max="100" width="10.85546875" bestFit="1" customWidth="1"/>
    <col min="101" max="101" width="7.85546875" bestFit="1" customWidth="1"/>
    <col min="102" max="102" width="10.85546875" bestFit="1" customWidth="1"/>
    <col min="103" max="103" width="7.85546875" bestFit="1" customWidth="1"/>
    <col min="104" max="104" width="10.85546875" bestFit="1" customWidth="1"/>
    <col min="105" max="105" width="7.85546875" bestFit="1" customWidth="1"/>
    <col min="106" max="106" width="10.85546875" bestFit="1" customWidth="1"/>
    <col min="107" max="107" width="7.85546875" bestFit="1" customWidth="1"/>
    <col min="108" max="108" width="10.85546875" bestFit="1" customWidth="1"/>
    <col min="109" max="109" width="8.85546875" bestFit="1" customWidth="1"/>
    <col min="110" max="110" width="11.85546875" bestFit="1" customWidth="1"/>
    <col min="111" max="111" width="8.85546875" bestFit="1" customWidth="1"/>
    <col min="112" max="112" width="11.85546875" bestFit="1" customWidth="1"/>
    <col min="113" max="113" width="10.85546875" bestFit="1" customWidth="1"/>
    <col min="114" max="114" width="13.5703125" bestFit="1" customWidth="1"/>
    <col min="115" max="115" width="8.85546875" bestFit="1" customWidth="1"/>
    <col min="116" max="116" width="11.85546875" bestFit="1" customWidth="1"/>
    <col min="117" max="117" width="11" bestFit="1" customWidth="1"/>
    <col min="118" max="118" width="13.5703125" bestFit="1" customWidth="1"/>
    <col min="119" max="119" width="11.85546875" bestFit="1" customWidth="1"/>
    <col min="120" max="120" width="14.5703125" bestFit="1" customWidth="1"/>
    <col min="121" max="121" width="8.85546875" bestFit="1" customWidth="1"/>
    <col min="122" max="123" width="11.85546875" bestFit="1" customWidth="1"/>
    <col min="124" max="124" width="14.5703125" bestFit="1" customWidth="1"/>
    <col min="125" max="125" width="12.85546875" bestFit="1" customWidth="1"/>
    <col min="126" max="126" width="15.5703125" bestFit="1" customWidth="1"/>
    <col min="127" max="127" width="12.85546875" bestFit="1" customWidth="1"/>
    <col min="128" max="128" width="15.5703125" bestFit="1" customWidth="1"/>
    <col min="129" max="129" width="9.85546875" bestFit="1" customWidth="1"/>
    <col min="130" max="131" width="12.85546875" bestFit="1" customWidth="1"/>
    <col min="132" max="132" width="15.5703125" bestFit="1" customWidth="1"/>
    <col min="133" max="133" width="12.85546875" bestFit="1" customWidth="1"/>
    <col min="134" max="134" width="15.5703125" bestFit="1" customWidth="1"/>
    <col min="135" max="135" width="12.85546875" bestFit="1" customWidth="1"/>
    <col min="136" max="136" width="15.5703125" bestFit="1" customWidth="1"/>
    <col min="137" max="137" width="13.85546875" bestFit="1" customWidth="1"/>
    <col min="138" max="138" width="16.5703125" bestFit="1" customWidth="1"/>
    <col min="139" max="139" width="13.85546875" bestFit="1" customWidth="1"/>
    <col min="140" max="140" width="16.5703125" bestFit="1" customWidth="1"/>
    <col min="141" max="141" width="13.85546875" bestFit="1" customWidth="1"/>
    <col min="142" max="142" width="16.5703125" bestFit="1" customWidth="1"/>
    <col min="143" max="143" width="11.28515625" bestFit="1" customWidth="1"/>
  </cols>
  <sheetData>
    <row r="1" spans="1:5" x14ac:dyDescent="0.25">
      <c r="A1" s="1" t="s">
        <v>31</v>
      </c>
      <c r="B1" s="25" t="s">
        <v>35</v>
      </c>
    </row>
    <row r="2" spans="1:5" x14ac:dyDescent="0.25">
      <c r="A2" s="25" t="s">
        <v>32</v>
      </c>
      <c r="B2" s="25" t="s">
        <v>36</v>
      </c>
    </row>
    <row r="3" spans="1:5" x14ac:dyDescent="0.25">
      <c r="A3" s="25" t="s">
        <v>33</v>
      </c>
      <c r="B3" s="25" t="s">
        <v>37</v>
      </c>
    </row>
    <row r="4" spans="1:5" x14ac:dyDescent="0.25">
      <c r="A4" s="25" t="s">
        <v>34</v>
      </c>
      <c r="B4" s="25" t="s">
        <v>38</v>
      </c>
    </row>
    <row r="8" spans="1:5" ht="15.75" thickBot="1" x14ac:dyDescent="0.3"/>
    <row r="9" spans="1:5" ht="15.75" thickBot="1" x14ac:dyDescent="0.3">
      <c r="A9" s="157" t="s">
        <v>23</v>
      </c>
      <c r="B9" s="154" t="s">
        <v>30</v>
      </c>
      <c r="C9" s="155"/>
      <c r="D9" s="155"/>
      <c r="E9" s="156"/>
    </row>
    <row r="10" spans="1:5" ht="15.75" thickBot="1" x14ac:dyDescent="0.3">
      <c r="A10" s="158"/>
      <c r="B10" s="73" t="s">
        <v>31</v>
      </c>
      <c r="C10" s="74" t="s">
        <v>32</v>
      </c>
      <c r="D10" s="75" t="s">
        <v>33</v>
      </c>
      <c r="E10" s="2" t="s">
        <v>34</v>
      </c>
    </row>
    <row r="11" spans="1:5" x14ac:dyDescent="0.25">
      <c r="A11" s="5" t="s">
        <v>9</v>
      </c>
      <c r="B11" s="6" t="s">
        <v>39</v>
      </c>
      <c r="C11" s="7" t="s">
        <v>78</v>
      </c>
      <c r="D11" s="7" t="s">
        <v>40</v>
      </c>
      <c r="E11" s="8" t="s">
        <v>41</v>
      </c>
    </row>
    <row r="12" spans="1:5" x14ac:dyDescent="0.25">
      <c r="A12" s="9" t="s">
        <v>11</v>
      </c>
      <c r="B12" s="10">
        <v>11.787915983623099</v>
      </c>
      <c r="C12" s="11">
        <v>6.7131353799697999</v>
      </c>
      <c r="D12" s="11">
        <v>9.3025641025640997</v>
      </c>
      <c r="E12" s="76">
        <v>4.3554654738607699</v>
      </c>
    </row>
    <row r="13" spans="1:5" x14ac:dyDescent="0.25">
      <c r="A13" s="9" t="s">
        <v>12</v>
      </c>
      <c r="B13" s="13">
        <v>39.543649044037402</v>
      </c>
      <c r="C13" s="14">
        <v>37.3673707007855</v>
      </c>
      <c r="D13" s="14">
        <v>36.637735195058198</v>
      </c>
      <c r="E13" s="77">
        <v>38.055360890914301</v>
      </c>
    </row>
    <row r="14" spans="1:5" x14ac:dyDescent="0.25">
      <c r="A14" s="9" t="s">
        <v>13</v>
      </c>
      <c r="B14" s="13">
        <v>24.1739572373851</v>
      </c>
      <c r="C14" s="14">
        <v>24.085840101290199</v>
      </c>
      <c r="D14" s="14">
        <v>24.168978115418799</v>
      </c>
      <c r="E14" s="77">
        <v>25.5065464231843</v>
      </c>
    </row>
    <row r="15" spans="1:5" x14ac:dyDescent="0.25">
      <c r="A15" s="9" t="s">
        <v>14</v>
      </c>
      <c r="B15" s="13">
        <v>15.3696918066523</v>
      </c>
      <c r="C15" s="14">
        <v>13.2815305994952</v>
      </c>
      <c r="D15" s="14">
        <v>12.4687570796393</v>
      </c>
      <c r="E15" s="77">
        <v>12.548814467730001</v>
      </c>
    </row>
    <row r="16" spans="1:5" x14ac:dyDescent="0.25">
      <c r="A16" s="9" t="s">
        <v>15</v>
      </c>
      <c r="B16" s="15">
        <v>466.13721261699101</v>
      </c>
      <c r="C16" s="16">
        <v>250.85221830789001</v>
      </c>
      <c r="D16" s="16">
        <v>340.82488022479799</v>
      </c>
      <c r="E16" s="78">
        <v>165.74881045568901</v>
      </c>
    </row>
    <row r="17" spans="1:13" x14ac:dyDescent="0.25">
      <c r="A17" s="9" t="s">
        <v>16</v>
      </c>
      <c r="B17" s="15">
        <v>284.960576905994</v>
      </c>
      <c r="C17" s="16">
        <v>161.69150534026701</v>
      </c>
      <c r="D17" s="16">
        <v>224.83346821215301</v>
      </c>
      <c r="E17" s="78">
        <v>111.092882303606</v>
      </c>
    </row>
    <row r="18" spans="1:13" x14ac:dyDescent="0.25">
      <c r="A18" s="9" t="s">
        <v>17</v>
      </c>
      <c r="B18" s="15">
        <v>181.176635710998</v>
      </c>
      <c r="C18" s="16">
        <v>89.1607129676228</v>
      </c>
      <c r="D18" s="16">
        <v>115.99141201264401</v>
      </c>
      <c r="E18" s="78">
        <v>54.655928152082701</v>
      </c>
      <c r="I18" s="72"/>
    </row>
    <row r="19" spans="1:13" x14ac:dyDescent="0.25">
      <c r="A19" s="9" t="s">
        <v>18</v>
      </c>
      <c r="B19" s="17">
        <v>0.69238621035490699</v>
      </c>
      <c r="C19" s="18">
        <v>0.60766674163480505</v>
      </c>
      <c r="D19" s="18">
        <v>0.57882376040234995</v>
      </c>
      <c r="E19" s="79">
        <v>0.57254725761417202</v>
      </c>
    </row>
    <row r="20" spans="1:13" x14ac:dyDescent="0.25">
      <c r="A20" s="9" t="s">
        <v>19</v>
      </c>
      <c r="B20" s="19">
        <v>1.9548485921740399</v>
      </c>
      <c r="C20" s="20">
        <v>1.83782725674921</v>
      </c>
      <c r="D20" s="20">
        <v>1.96067118756702</v>
      </c>
      <c r="E20" s="80">
        <v>1.9432587695368899</v>
      </c>
      <c r="I20" s="82"/>
    </row>
    <row r="21" spans="1:13" x14ac:dyDescent="0.25">
      <c r="A21" s="9" t="s">
        <v>20</v>
      </c>
      <c r="B21" s="19">
        <v>1.36422551247385</v>
      </c>
      <c r="C21" s="20">
        <v>0.86435764799960002</v>
      </c>
      <c r="D21" s="20">
        <v>1.2087644047061601</v>
      </c>
      <c r="E21" s="80">
        <v>0.75859302288263397</v>
      </c>
      <c r="I21" s="82"/>
    </row>
    <row r="22" spans="1:13" x14ac:dyDescent="0.25">
      <c r="A22" s="9" t="s">
        <v>21</v>
      </c>
      <c r="B22" s="17">
        <v>0.30106600288692298</v>
      </c>
      <c r="C22" s="18">
        <v>0.284422547850956</v>
      </c>
      <c r="D22" s="18">
        <v>0.28173673912708502</v>
      </c>
      <c r="E22" s="79">
        <v>0.27864574731626701</v>
      </c>
      <c r="I22" s="82"/>
    </row>
    <row r="23" spans="1:13" ht="15.75" thickBot="1" x14ac:dyDescent="0.3">
      <c r="A23" s="21" t="s">
        <v>22</v>
      </c>
      <c r="B23" s="22">
        <v>0.68741256430310305</v>
      </c>
      <c r="C23" s="23">
        <v>0.96212536636097101</v>
      </c>
      <c r="D23" s="23">
        <v>1.0389142231166999</v>
      </c>
      <c r="E23" s="81">
        <v>1.02631804543506</v>
      </c>
      <c r="I23" s="82"/>
    </row>
    <row r="27" spans="1:13" ht="15.75" thickBot="1" x14ac:dyDescent="0.3"/>
    <row r="28" spans="1:13" x14ac:dyDescent="0.25">
      <c r="A28" s="159" t="s">
        <v>24</v>
      </c>
      <c r="B28" s="145" t="s">
        <v>42</v>
      </c>
      <c r="C28" s="146"/>
      <c r="D28" s="146"/>
      <c r="E28" s="145" t="s">
        <v>43</v>
      </c>
      <c r="F28" s="146"/>
      <c r="G28" s="147"/>
      <c r="H28" s="145" t="s">
        <v>33</v>
      </c>
      <c r="I28" s="146"/>
      <c r="J28" s="147"/>
      <c r="K28" s="145" t="s">
        <v>44</v>
      </c>
      <c r="L28" s="146"/>
      <c r="M28" s="147"/>
    </row>
    <row r="29" spans="1:13" ht="15.75" thickBot="1" x14ac:dyDescent="0.3">
      <c r="A29" s="160"/>
      <c r="B29" s="3">
        <v>2019</v>
      </c>
      <c r="C29" s="4">
        <v>2025</v>
      </c>
      <c r="D29" s="4" t="s">
        <v>6</v>
      </c>
      <c r="E29" s="3">
        <v>2019</v>
      </c>
      <c r="F29" s="4">
        <v>2025</v>
      </c>
      <c r="G29" s="45" t="s">
        <v>6</v>
      </c>
      <c r="H29" s="3">
        <v>2019</v>
      </c>
      <c r="I29" s="4">
        <v>2025</v>
      </c>
      <c r="J29" s="45" t="s">
        <v>6</v>
      </c>
      <c r="K29" s="3">
        <v>2019</v>
      </c>
      <c r="L29" s="4">
        <v>2025</v>
      </c>
      <c r="M29" s="45" t="s">
        <v>6</v>
      </c>
    </row>
    <row r="30" spans="1:13" x14ac:dyDescent="0.25">
      <c r="A30" s="46" t="s">
        <v>9</v>
      </c>
      <c r="B30" s="140">
        <v>84786</v>
      </c>
      <c r="C30" s="141"/>
      <c r="D30" s="48"/>
      <c r="E30" s="140">
        <v>12581</v>
      </c>
      <c r="F30" s="141"/>
      <c r="G30" s="48"/>
      <c r="H30" s="140">
        <v>9511</v>
      </c>
      <c r="I30" s="141"/>
      <c r="J30" s="48"/>
      <c r="K30" s="140">
        <v>6903</v>
      </c>
      <c r="L30" s="141"/>
      <c r="M30" s="48"/>
    </row>
    <row r="31" spans="1:13" x14ac:dyDescent="0.25">
      <c r="A31" s="49" t="s">
        <v>11</v>
      </c>
      <c r="B31" s="10">
        <v>9.8746019389993602</v>
      </c>
      <c r="C31" s="11">
        <v>11.6529733682447</v>
      </c>
      <c r="D31" s="12">
        <f>(C31/B31)-1</f>
        <v>0.1800955056448128</v>
      </c>
      <c r="E31" s="10">
        <v>7.0120022255782501</v>
      </c>
      <c r="F31" s="11">
        <v>6.6207773626897701</v>
      </c>
      <c r="G31" s="12">
        <f>(F31/E31)-1</f>
        <v>-5.5793602212700022E-2</v>
      </c>
      <c r="H31" s="10">
        <v>7.5123541162864003</v>
      </c>
      <c r="I31" s="11">
        <v>8.9157817264220292</v>
      </c>
      <c r="J31" s="12">
        <f>(I31/H31)-1</f>
        <v>0.18681595521343564</v>
      </c>
      <c r="K31" s="10">
        <v>6.0557728523830203</v>
      </c>
      <c r="L31" s="11">
        <v>4.3268144285093397</v>
      </c>
      <c r="M31" s="12">
        <f>(L31/K31)-1</f>
        <v>-0.28550582494079424</v>
      </c>
    </row>
    <row r="32" spans="1:13" x14ac:dyDescent="0.25">
      <c r="A32" s="49" t="s">
        <v>12</v>
      </c>
      <c r="B32" s="13">
        <v>32.190722999999998</v>
      </c>
      <c r="C32" s="14">
        <v>40.864097000000001</v>
      </c>
      <c r="D32" s="12">
        <f t="shared" ref="D32:D39" si="0">(C32/B32)-1</f>
        <v>0.26943706731905337</v>
      </c>
      <c r="E32" s="13">
        <v>29.934719999999999</v>
      </c>
      <c r="F32" s="14">
        <v>39.685637</v>
      </c>
      <c r="G32" s="12">
        <f t="shared" ref="G32:G39" si="1">(F32/E32)-1</f>
        <v>0.32573937554785881</v>
      </c>
      <c r="H32" s="13">
        <v>28.842686</v>
      </c>
      <c r="I32" s="14">
        <v>37.602964</v>
      </c>
      <c r="J32" s="12">
        <f t="shared" ref="J32:J39" si="2">(I32/H32)-1</f>
        <v>0.30372615088622457</v>
      </c>
      <c r="K32" s="13">
        <v>27.997368999999999</v>
      </c>
      <c r="L32" s="14">
        <v>38.636598999999997</v>
      </c>
      <c r="M32" s="12">
        <f t="shared" ref="M32:M39" si="3">(L32/K32)-1</f>
        <v>0.38000820719975503</v>
      </c>
    </row>
    <row r="33" spans="1:13" x14ac:dyDescent="0.25">
      <c r="A33" s="49" t="s">
        <v>13</v>
      </c>
      <c r="B33" s="13">
        <v>18.753765999999999</v>
      </c>
      <c r="C33" s="14">
        <v>22.570198000000001</v>
      </c>
      <c r="D33" s="12">
        <f t="shared" si="0"/>
        <v>0.20350216591163628</v>
      </c>
      <c r="E33" s="13">
        <v>18.438482</v>
      </c>
      <c r="F33" s="14">
        <v>22.949780000000001</v>
      </c>
      <c r="G33" s="12">
        <f t="shared" si="1"/>
        <v>0.24466753824962373</v>
      </c>
      <c r="H33" s="13">
        <v>18.730546</v>
      </c>
      <c r="I33" s="14">
        <v>22.632878000000002</v>
      </c>
      <c r="J33" s="12">
        <f t="shared" si="2"/>
        <v>0.20834053636236782</v>
      </c>
      <c r="K33" s="13">
        <v>18.679867999999999</v>
      </c>
      <c r="L33" s="14">
        <v>23.679116</v>
      </c>
      <c r="M33" s="12">
        <f t="shared" si="3"/>
        <v>0.26762758709001599</v>
      </c>
    </row>
    <row r="34" spans="1:13" x14ac:dyDescent="0.25">
      <c r="A34" s="49" t="s">
        <v>14</v>
      </c>
      <c r="B34" s="13">
        <v>12.31847</v>
      </c>
      <c r="C34" s="14">
        <v>16.616706000000001</v>
      </c>
      <c r="D34" s="12">
        <f t="shared" si="0"/>
        <v>0.34892612475412954</v>
      </c>
      <c r="E34" s="13">
        <v>10.450578999999999</v>
      </c>
      <c r="F34" s="14">
        <v>14.664221</v>
      </c>
      <c r="G34" s="12">
        <f t="shared" si="1"/>
        <v>0.40319699032943546</v>
      </c>
      <c r="H34" s="13">
        <v>9.1283460000000005</v>
      </c>
      <c r="I34" s="14">
        <v>13.318484</v>
      </c>
      <c r="J34" s="12">
        <f t="shared" si="2"/>
        <v>0.45902488796984686</v>
      </c>
      <c r="K34" s="13">
        <v>8.3717129999999997</v>
      </c>
      <c r="L34" s="14">
        <v>12.978192999999999</v>
      </c>
      <c r="M34" s="12">
        <f t="shared" si="3"/>
        <v>0.55024342091039191</v>
      </c>
    </row>
    <row r="35" spans="1:13" x14ac:dyDescent="0.25">
      <c r="A35" s="49" t="s">
        <v>15</v>
      </c>
      <c r="B35" s="15">
        <v>317.87057299999998</v>
      </c>
      <c r="C35" s="16">
        <v>476.18823800000001</v>
      </c>
      <c r="D35" s="12">
        <f t="shared" si="0"/>
        <v>0.49805700321935764</v>
      </c>
      <c r="E35" s="15">
        <v>209.90232499999999</v>
      </c>
      <c r="F35" s="16">
        <v>262.74976700000002</v>
      </c>
      <c r="G35" s="12">
        <f t="shared" si="1"/>
        <v>0.25177158947620049</v>
      </c>
      <c r="H35" s="15">
        <v>216.676467</v>
      </c>
      <c r="I35" s="16">
        <v>335.259815</v>
      </c>
      <c r="J35" s="12">
        <f t="shared" si="2"/>
        <v>0.54728300512671724</v>
      </c>
      <c r="K35" s="15">
        <v>169.54570799999999</v>
      </c>
      <c r="L35" s="16">
        <v>167.173396</v>
      </c>
      <c r="M35" s="12">
        <f t="shared" si="3"/>
        <v>-1.3992167822968415E-2</v>
      </c>
    </row>
    <row r="36" spans="1:13" x14ac:dyDescent="0.25">
      <c r="A36" s="49" t="s">
        <v>16</v>
      </c>
      <c r="B36" s="15">
        <v>185.18597600000001</v>
      </c>
      <c r="C36" s="16">
        <v>263.00991499999998</v>
      </c>
      <c r="D36" s="12">
        <f t="shared" si="0"/>
        <v>0.42024747597517842</v>
      </c>
      <c r="E36" s="15">
        <v>129.29067699999999</v>
      </c>
      <c r="F36" s="16">
        <v>151.94538600000001</v>
      </c>
      <c r="G36" s="12">
        <f t="shared" si="1"/>
        <v>0.17522306732139725</v>
      </c>
      <c r="H36" s="15">
        <v>140.71049600000001</v>
      </c>
      <c r="I36" s="16">
        <v>201.78980300000001</v>
      </c>
      <c r="J36" s="12">
        <f t="shared" si="2"/>
        <v>0.43407783169210057</v>
      </c>
      <c r="K36" s="15">
        <v>113.121036</v>
      </c>
      <c r="L36" s="16">
        <v>102.455141</v>
      </c>
      <c r="M36" s="12">
        <f t="shared" si="3"/>
        <v>-9.4287458612030473E-2</v>
      </c>
    </row>
    <row r="37" spans="1:13" x14ac:dyDescent="0.25">
      <c r="A37" s="49" t="s">
        <v>17</v>
      </c>
      <c r="B37" s="15">
        <v>121.639989</v>
      </c>
      <c r="C37" s="16">
        <v>193.634027</v>
      </c>
      <c r="D37" s="12">
        <f t="shared" si="0"/>
        <v>0.59186159577834219</v>
      </c>
      <c r="E37" s="15">
        <v>73.279487000000003</v>
      </c>
      <c r="F37" s="16">
        <v>97.088544999999996</v>
      </c>
      <c r="G37" s="12">
        <f t="shared" si="1"/>
        <v>0.32490754199739413</v>
      </c>
      <c r="H37" s="15">
        <v>68.575365000000005</v>
      </c>
      <c r="I37" s="16">
        <v>118.744697</v>
      </c>
      <c r="J37" s="12">
        <f t="shared" si="2"/>
        <v>0.73159409359323124</v>
      </c>
      <c r="K37" s="15">
        <v>50.697194000000003</v>
      </c>
      <c r="L37" s="16">
        <v>56.154232999999998</v>
      </c>
      <c r="M37" s="12">
        <f t="shared" si="3"/>
        <v>0.10763986267168946</v>
      </c>
    </row>
    <row r="38" spans="1:13" x14ac:dyDescent="0.25">
      <c r="A38" s="49" t="s">
        <v>18</v>
      </c>
      <c r="B38" s="17">
        <v>0.63160333863654805</v>
      </c>
      <c r="C38" s="18">
        <v>0.72684155711132103</v>
      </c>
      <c r="D38" s="12">
        <f t="shared" si="0"/>
        <v>0.1507880225591669</v>
      </c>
      <c r="E38" s="17">
        <v>0.56083792423314904</v>
      </c>
      <c r="F38" s="18">
        <v>0.63819391087207</v>
      </c>
      <c r="G38" s="12">
        <f t="shared" si="1"/>
        <v>0.13792930773127043</v>
      </c>
      <c r="H38" s="17">
        <v>0.51004898530440801</v>
      </c>
      <c r="I38" s="18">
        <v>0.60977853251255898</v>
      </c>
      <c r="J38" s="12">
        <f t="shared" si="2"/>
        <v>0.19552935126148774</v>
      </c>
      <c r="K38" s="17">
        <v>0.485515393632036</v>
      </c>
      <c r="L38" s="18">
        <v>0.58557653676175103</v>
      </c>
      <c r="M38" s="12">
        <f t="shared" si="3"/>
        <v>0.20609262742665924</v>
      </c>
    </row>
    <row r="39" spans="1:13" ht="15.75" thickBot="1" x14ac:dyDescent="0.3">
      <c r="A39" s="50" t="s">
        <v>19</v>
      </c>
      <c r="B39" s="51">
        <v>1.8554862000000001</v>
      </c>
      <c r="C39" s="52">
        <v>1.9537656000000001</v>
      </c>
      <c r="D39" s="24">
        <f t="shared" si="0"/>
        <v>5.2966925865576275E-2</v>
      </c>
      <c r="E39" s="51">
        <v>1.8310095399999999</v>
      </c>
      <c r="F39" s="52">
        <v>1.8862850600000001</v>
      </c>
      <c r="G39" s="24">
        <f t="shared" si="1"/>
        <v>3.0188548334925791E-2</v>
      </c>
      <c r="H39" s="51">
        <v>1.8706647999999999</v>
      </c>
      <c r="I39" s="52">
        <v>1.9816505099999999</v>
      </c>
      <c r="J39" s="24">
        <f t="shared" si="2"/>
        <v>5.932955492614167E-2</v>
      </c>
      <c r="K39" s="51">
        <v>1.90390642</v>
      </c>
      <c r="L39" s="52">
        <v>1.9721775800000001</v>
      </c>
      <c r="M39" s="24">
        <f t="shared" si="3"/>
        <v>3.5858464094049358E-2</v>
      </c>
    </row>
  </sheetData>
  <mergeCells count="11">
    <mergeCell ref="K30:L30"/>
    <mergeCell ref="A28:A29"/>
    <mergeCell ref="B28:D28"/>
    <mergeCell ref="E28:G28"/>
    <mergeCell ref="H28:J28"/>
    <mergeCell ref="K28:M28"/>
    <mergeCell ref="B9:E9"/>
    <mergeCell ref="A9:A10"/>
    <mergeCell ref="B30:C30"/>
    <mergeCell ref="E30:F30"/>
    <mergeCell ref="H30:I30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5960DC41-F181-47CE-A063-2D34CD2194E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D31:D39</xm:sqref>
        </x14:conditionalFormatting>
        <x14:conditionalFormatting xmlns:xm="http://schemas.microsoft.com/office/excel/2006/main">
          <x14:cfRule type="iconSet" priority="7" id="{F6A5A9BB-467E-4FB6-933C-866D3927001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G31:G39</xm:sqref>
        </x14:conditionalFormatting>
        <x14:conditionalFormatting xmlns:xm="http://schemas.microsoft.com/office/excel/2006/main">
          <x14:cfRule type="iconSet" priority="6" id="{6AB1D051-723B-4C71-91DC-050A98B3901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J31:J39</xm:sqref>
        </x14:conditionalFormatting>
        <x14:conditionalFormatting xmlns:xm="http://schemas.microsoft.com/office/excel/2006/main">
          <x14:cfRule type="iconSet" priority="5" id="{B7A8F8A1-DB6D-43B0-904A-6BFF46DD1F2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0.05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M31:M39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740A-6E53-45CC-A566-AD164DD300E0}">
  <dimension ref="B4:J79"/>
  <sheetViews>
    <sheetView zoomScale="81" zoomScaleNormal="85" workbookViewId="0">
      <selection activeCell="I83" sqref="I83"/>
    </sheetView>
  </sheetViews>
  <sheetFormatPr defaultRowHeight="15" x14ac:dyDescent="0.25"/>
  <cols>
    <col min="2" max="2" width="42" bestFit="1" customWidth="1"/>
    <col min="3" max="3" width="21.140625" customWidth="1"/>
    <col min="4" max="4" width="22.85546875" customWidth="1"/>
    <col min="5" max="5" width="25.140625" customWidth="1"/>
    <col min="6" max="6" width="22.140625" bestFit="1" customWidth="1"/>
    <col min="7" max="7" width="36.28515625" bestFit="1" customWidth="1"/>
    <col min="8" max="8" width="22.140625" bestFit="1" customWidth="1"/>
    <col min="9" max="9" width="43.42578125" customWidth="1"/>
    <col min="10" max="10" width="31.28515625" style="112" bestFit="1" customWidth="1"/>
  </cols>
  <sheetData>
    <row r="4" spans="2:10" ht="15.75" x14ac:dyDescent="0.25">
      <c r="B4" s="89" t="s">
        <v>59</v>
      </c>
    </row>
    <row r="5" spans="2:10" x14ac:dyDescent="0.25">
      <c r="B5" s="90"/>
      <c r="C5" s="91" t="s">
        <v>45</v>
      </c>
      <c r="D5" s="91">
        <v>2019</v>
      </c>
      <c r="E5" s="91" t="s">
        <v>46</v>
      </c>
      <c r="F5" s="91" t="s">
        <v>47</v>
      </c>
      <c r="G5" s="91" t="s">
        <v>48</v>
      </c>
      <c r="H5" s="91" t="s">
        <v>49</v>
      </c>
      <c r="I5" s="91" t="s">
        <v>50</v>
      </c>
      <c r="J5" s="113" t="s">
        <v>51</v>
      </c>
    </row>
    <row r="6" spans="2:10" x14ac:dyDescent="0.25">
      <c r="B6" s="90" t="s">
        <v>0</v>
      </c>
      <c r="C6" s="90">
        <v>44918</v>
      </c>
      <c r="D6" s="92">
        <v>19.89684890802631</v>
      </c>
      <c r="E6" s="92">
        <v>25.219837636318751</v>
      </c>
      <c r="F6" s="92">
        <v>25.559829290844476</v>
      </c>
      <c r="G6" s="93">
        <v>1.348111987985634E-2</v>
      </c>
      <c r="H6" s="90">
        <v>3.1206197960728428</v>
      </c>
      <c r="I6" s="92">
        <v>83.817862328609081</v>
      </c>
      <c r="J6" s="114">
        <v>3764930.7400764627</v>
      </c>
    </row>
    <row r="7" spans="2:10" x14ac:dyDescent="0.25">
      <c r="B7" s="90" t="s">
        <v>1</v>
      </c>
      <c r="C7" s="90">
        <v>40202</v>
      </c>
      <c r="D7" s="92">
        <v>18.095657819935123</v>
      </c>
      <c r="E7" s="92">
        <v>22.936775277870652</v>
      </c>
      <c r="F7" s="92">
        <v>20.897404528688796</v>
      </c>
      <c r="G7" s="93">
        <v>-8.8912705664838443E-2</v>
      </c>
      <c r="H7" s="90">
        <v>0.80585543007810578</v>
      </c>
      <c r="I7" s="92">
        <v>-2.4339530465452874</v>
      </c>
      <c r="J7" s="114">
        <v>-97849.780377213639</v>
      </c>
    </row>
    <row r="8" spans="2:10" x14ac:dyDescent="0.25">
      <c r="B8" s="90" t="s">
        <v>2</v>
      </c>
      <c r="C8" s="90">
        <v>5296</v>
      </c>
      <c r="D8" s="92">
        <v>12.881825481196175</v>
      </c>
      <c r="E8" s="92">
        <v>16.328090372345688</v>
      </c>
      <c r="F8" s="92">
        <v>11.921019314113348</v>
      </c>
      <c r="G8" s="93">
        <v>-0.26990731663859735</v>
      </c>
      <c r="H8" s="90">
        <v>4.9439199395770412</v>
      </c>
      <c r="I8" s="92">
        <v>-7.5997227910976903</v>
      </c>
      <c r="J8" s="114">
        <v>-40248.131901653367</v>
      </c>
    </row>
    <row r="9" spans="2:10" x14ac:dyDescent="0.25">
      <c r="B9" s="90" t="s">
        <v>3</v>
      </c>
      <c r="C9" s="90">
        <v>90416</v>
      </c>
      <c r="D9" s="92">
        <v>18.646182144500212</v>
      </c>
      <c r="E9" s="92">
        <v>23.634580952756927</v>
      </c>
      <c r="F9" s="92">
        <v>22.738267380198973</v>
      </c>
      <c r="G9" s="93">
        <v>-3.7923819100054823E-2</v>
      </c>
      <c r="H9" s="90">
        <v>2.1981950097327907</v>
      </c>
      <c r="I9" s="92">
        <v>40.112732567218814</v>
      </c>
      <c r="J9" s="114">
        <v>3626832.8277976564</v>
      </c>
    </row>
    <row r="10" spans="2:10" x14ac:dyDescent="0.25">
      <c r="B10" s="90" t="s">
        <v>25</v>
      </c>
      <c r="C10" s="90">
        <v>102568</v>
      </c>
      <c r="D10" s="92">
        <v>18.755447333693578</v>
      </c>
      <c r="E10" s="92">
        <v>23.773077774213249</v>
      </c>
      <c r="F10" s="92">
        <v>22.893568755423352</v>
      </c>
      <c r="G10" s="93">
        <v>-3.6996009820146392E-2</v>
      </c>
      <c r="H10" s="90">
        <v>1.5658197488495436</v>
      </c>
      <c r="I10" s="92">
        <v>26.737190587812542</v>
      </c>
      <c r="J10" s="115">
        <v>2742380.1642107568</v>
      </c>
    </row>
    <row r="11" spans="2:10" x14ac:dyDescent="0.25">
      <c r="G11" s="54"/>
    </row>
    <row r="12" spans="2:10" x14ac:dyDescent="0.25">
      <c r="G12" s="54"/>
    </row>
    <row r="13" spans="2:10" x14ac:dyDescent="0.25">
      <c r="G13" s="54"/>
    </row>
    <row r="14" spans="2:10" ht="15.75" x14ac:dyDescent="0.25">
      <c r="B14" s="89" t="s">
        <v>60</v>
      </c>
      <c r="G14" s="54"/>
    </row>
    <row r="15" spans="2:10" x14ac:dyDescent="0.25">
      <c r="B15" s="90"/>
      <c r="C15" s="91" t="s">
        <v>45</v>
      </c>
      <c r="D15" s="91">
        <v>2019</v>
      </c>
      <c r="E15" s="91" t="s">
        <v>46</v>
      </c>
      <c r="F15" s="91" t="s">
        <v>47</v>
      </c>
      <c r="G15" s="91" t="s">
        <v>58</v>
      </c>
      <c r="H15" s="91" t="s">
        <v>49</v>
      </c>
      <c r="I15" s="91" t="s">
        <v>50</v>
      </c>
      <c r="J15" s="113" t="s">
        <v>51</v>
      </c>
    </row>
    <row r="16" spans="2:10" x14ac:dyDescent="0.25">
      <c r="B16" s="90" t="s">
        <v>0</v>
      </c>
      <c r="C16" s="90">
        <v>44918</v>
      </c>
      <c r="D16" s="92">
        <v>14.425412273481815</v>
      </c>
      <c r="E16" s="92">
        <v>20.519330068423173</v>
      </c>
      <c r="F16" s="92">
        <v>20.591637988297766</v>
      </c>
      <c r="G16" s="93">
        <v>3.5238928187946161E-3</v>
      </c>
      <c r="H16" s="90">
        <v>3.1206197960728428</v>
      </c>
      <c r="I16" s="92">
        <v>65.12114767466592</v>
      </c>
      <c r="J16" s="116">
        <v>2925111.7112506437</v>
      </c>
    </row>
    <row r="17" spans="2:10" x14ac:dyDescent="0.25">
      <c r="B17" s="90" t="s">
        <v>1</v>
      </c>
      <c r="C17" s="90">
        <v>40202</v>
      </c>
      <c r="D17" s="92">
        <v>10.86231800332706</v>
      </c>
      <c r="E17" s="92">
        <v>15.451030736097339</v>
      </c>
      <c r="F17" s="92">
        <v>13.031964064421453</v>
      </c>
      <c r="G17" s="93">
        <v>-0.15656344958426371</v>
      </c>
      <c r="H17" s="90">
        <v>0.80585543007810578</v>
      </c>
      <c r="I17" s="92">
        <v>-12.360894488869553</v>
      </c>
      <c r="J17" s="116">
        <v>-496932.68024153379</v>
      </c>
    </row>
    <row r="18" spans="2:10" x14ac:dyDescent="0.25">
      <c r="B18" s="90" t="s">
        <v>2</v>
      </c>
      <c r="C18" s="90">
        <v>5296</v>
      </c>
      <c r="D18" s="92">
        <v>4.4407836712232571</v>
      </c>
      <c r="E18" s="92">
        <v>6.3167626813552582</v>
      </c>
      <c r="F18" s="92">
        <v>3.911476351987945</v>
      </c>
      <c r="G18" s="93">
        <v>-0.38077832755484498</v>
      </c>
      <c r="H18" s="90">
        <v>4.9439199395770412</v>
      </c>
      <c r="I18" s="92">
        <v>-16.976075096888565</v>
      </c>
      <c r="J18" s="116">
        <v>-89905.293713121835</v>
      </c>
    </row>
    <row r="19" spans="2:10" x14ac:dyDescent="0.25">
      <c r="B19" s="90" t="s">
        <v>3</v>
      </c>
      <c r="C19" s="90">
        <v>90416</v>
      </c>
      <c r="D19" s="92">
        <v>12.263933263833778</v>
      </c>
      <c r="E19" s="92">
        <v>17.444748878361189</v>
      </c>
      <c r="F19" s="92">
        <v>16.499610853341164</v>
      </c>
      <c r="G19" s="93">
        <v>-5.4178941273978043E-2</v>
      </c>
      <c r="H19" s="90">
        <v>2.1981950097327907</v>
      </c>
      <c r="I19" s="92">
        <v>25.861282707654336</v>
      </c>
      <c r="J19" s="116">
        <v>2338273.7372952746</v>
      </c>
    </row>
    <row r="20" spans="2:10" x14ac:dyDescent="0.25">
      <c r="B20" s="90" t="s">
        <v>25</v>
      </c>
      <c r="C20" s="90">
        <v>102568</v>
      </c>
      <c r="D20" s="92">
        <v>12.2718397015836</v>
      </c>
      <c r="E20" s="92">
        <v>17.455995337233791</v>
      </c>
      <c r="F20" s="92">
        <v>16.549137716892961</v>
      </c>
      <c r="G20" s="93">
        <v>-5.1951069121019655E-2</v>
      </c>
      <c r="H20" s="90">
        <v>1.5658197488495436</v>
      </c>
      <c r="I20" s="92">
        <v>16.519676582855674</v>
      </c>
      <c r="J20" s="117">
        <v>1694390.1877503407</v>
      </c>
    </row>
    <row r="21" spans="2:10" x14ac:dyDescent="0.25">
      <c r="G21" s="54"/>
    </row>
    <row r="22" spans="2:10" hidden="1" x14ac:dyDescent="0.25">
      <c r="G22" s="54"/>
    </row>
    <row r="23" spans="2:10" hidden="1" x14ac:dyDescent="0.25">
      <c r="B23" s="97" t="s">
        <v>52</v>
      </c>
      <c r="C23" s="97" t="s">
        <v>53</v>
      </c>
      <c r="D23" s="97" t="s">
        <v>54</v>
      </c>
      <c r="G23" s="54"/>
    </row>
    <row r="24" spans="2:10" hidden="1" x14ac:dyDescent="0.25">
      <c r="B24" s="97" t="s">
        <v>55</v>
      </c>
      <c r="C24" s="94">
        <v>10.139415483173615</v>
      </c>
      <c r="D24" s="94">
        <v>6.8268990487286478</v>
      </c>
      <c r="G24" s="54"/>
    </row>
    <row r="25" spans="2:10" hidden="1" x14ac:dyDescent="0.25">
      <c r="B25" s="98" t="s">
        <v>56</v>
      </c>
      <c r="C25" s="95">
        <v>12.300887588007738</v>
      </c>
      <c r="D25" s="95">
        <v>9.1182273242553329</v>
      </c>
      <c r="G25" s="54"/>
    </row>
    <row r="26" spans="2:10" hidden="1" x14ac:dyDescent="0.25">
      <c r="B26" s="98">
        <v>2024</v>
      </c>
      <c r="C26" s="95">
        <v>12.8520055308688</v>
      </c>
      <c r="D26" s="95">
        <v>9.7108763527113968</v>
      </c>
      <c r="G26" s="54"/>
    </row>
    <row r="27" spans="2:10" hidden="1" x14ac:dyDescent="0.25">
      <c r="B27" s="98">
        <v>2025</v>
      </c>
      <c r="C27" s="111">
        <v>13.063944526013525</v>
      </c>
      <c r="D27" s="95">
        <v>9.98</v>
      </c>
      <c r="G27" s="54"/>
    </row>
    <row r="28" spans="2:10" hidden="1" x14ac:dyDescent="0.25">
      <c r="B28" s="97" t="s">
        <v>57</v>
      </c>
      <c r="C28" s="99">
        <f>(C27/C24)-1</f>
        <v>0.28843171952990532</v>
      </c>
      <c r="D28" s="99">
        <f>(D27/D24)-1</f>
        <v>0.46186430014056601</v>
      </c>
      <c r="G28" s="54"/>
    </row>
    <row r="29" spans="2:10" hidden="1" x14ac:dyDescent="0.25">
      <c r="G29" s="54"/>
    </row>
    <row r="30" spans="2:10" hidden="1" x14ac:dyDescent="0.25">
      <c r="G30" s="54"/>
    </row>
    <row r="31" spans="2:10" hidden="1" x14ac:dyDescent="0.25">
      <c r="B31" s="97" t="s">
        <v>61</v>
      </c>
      <c r="C31" s="86"/>
      <c r="D31" s="98" t="s">
        <v>65</v>
      </c>
      <c r="E31" s="84"/>
      <c r="G31" s="54"/>
    </row>
    <row r="32" spans="2:10" hidden="1" x14ac:dyDescent="0.25">
      <c r="B32" s="87" t="s">
        <v>63</v>
      </c>
      <c r="C32" s="100">
        <v>502706033.23000002</v>
      </c>
      <c r="D32" s="96">
        <v>39299835</v>
      </c>
      <c r="E32" s="84"/>
      <c r="G32" s="54"/>
    </row>
    <row r="33" spans="2:10" hidden="1" x14ac:dyDescent="0.25">
      <c r="B33" s="87" t="s">
        <v>64</v>
      </c>
      <c r="C33" s="100">
        <v>387487560.60600001</v>
      </c>
      <c r="D33" s="96"/>
      <c r="E33" s="84"/>
      <c r="G33" s="54"/>
    </row>
    <row r="34" spans="2:10" hidden="1" x14ac:dyDescent="0.25">
      <c r="B34" s="86"/>
      <c r="C34" s="84"/>
      <c r="D34" s="96"/>
      <c r="E34" s="84"/>
      <c r="G34" s="54"/>
    </row>
    <row r="35" spans="2:10" hidden="1" x14ac:dyDescent="0.25">
      <c r="B35" s="97" t="s">
        <v>62</v>
      </c>
      <c r="C35" s="86"/>
      <c r="D35" s="98" t="s">
        <v>65</v>
      </c>
      <c r="E35" s="84"/>
      <c r="G35" s="54"/>
    </row>
    <row r="36" spans="2:10" hidden="1" x14ac:dyDescent="0.25">
      <c r="B36" s="87" t="s">
        <v>63</v>
      </c>
      <c r="C36" s="100">
        <v>553139762.23000002</v>
      </c>
      <c r="D36" s="96">
        <v>43573159</v>
      </c>
      <c r="E36" s="84">
        <f>C36/D36</f>
        <v>12.694506777211172</v>
      </c>
      <c r="G36" s="54"/>
    </row>
    <row r="37" spans="2:10" hidden="1" x14ac:dyDescent="0.25">
      <c r="B37" s="87" t="s">
        <v>64</v>
      </c>
      <c r="C37" s="100">
        <v>422096390.27600002</v>
      </c>
      <c r="D37" s="96"/>
      <c r="E37" s="84">
        <f>C37/D36</f>
        <v>9.6870734177432496</v>
      </c>
      <c r="G37" s="54"/>
    </row>
    <row r="38" spans="2:10" hidden="1" x14ac:dyDescent="0.25">
      <c r="G38" s="54"/>
    </row>
    <row r="39" spans="2:10" x14ac:dyDescent="0.25">
      <c r="G39" s="54"/>
    </row>
    <row r="40" spans="2:10" x14ac:dyDescent="0.25">
      <c r="G40" s="54"/>
    </row>
    <row r="41" spans="2:10" x14ac:dyDescent="0.25">
      <c r="B41" s="88" t="s">
        <v>69</v>
      </c>
      <c r="G41" s="54"/>
    </row>
    <row r="42" spans="2:10" x14ac:dyDescent="0.25">
      <c r="B42" s="85"/>
      <c r="C42" s="87" t="s">
        <v>45</v>
      </c>
      <c r="D42" s="87">
        <v>2019</v>
      </c>
      <c r="E42" s="87" t="s">
        <v>66</v>
      </c>
      <c r="F42" s="125" t="s">
        <v>67</v>
      </c>
      <c r="G42" s="87" t="s">
        <v>48</v>
      </c>
      <c r="H42" s="87" t="s">
        <v>49</v>
      </c>
      <c r="I42" s="87" t="s">
        <v>50</v>
      </c>
      <c r="J42" s="126" t="s">
        <v>51</v>
      </c>
    </row>
    <row r="43" spans="2:10" x14ac:dyDescent="0.25">
      <c r="B43" s="85" t="s">
        <v>0</v>
      </c>
      <c r="C43" s="109">
        <f>'Summary by RFM'!C23</f>
        <v>51246</v>
      </c>
      <c r="D43" s="105">
        <f>'Summary by RFM'!C26</f>
        <v>21.348051999999999</v>
      </c>
      <c r="E43" s="105">
        <f>D43*(1+$C$28)</f>
        <v>27.505507346973832</v>
      </c>
      <c r="F43" s="106">
        <f>'Summary by RFM'!D26</f>
        <v>27.555337000000002</v>
      </c>
      <c r="G43" s="107">
        <f>(F43/E43)-1</f>
        <v>1.8116245738564185E-3</v>
      </c>
      <c r="H43" s="110">
        <f>E63</f>
        <v>4.0306950786402993</v>
      </c>
      <c r="I43" s="104">
        <f>(H43*F43)+(G43*E43*C63)</f>
        <v>111.63810972337288</v>
      </c>
      <c r="J43" s="118">
        <f>I43*C43</f>
        <v>5721006.5708839661</v>
      </c>
    </row>
    <row r="44" spans="2:10" x14ac:dyDescent="0.25">
      <c r="B44" s="85" t="s">
        <v>1</v>
      </c>
      <c r="C44" s="109">
        <f>'Summary by RFM'!F23</f>
        <v>47464</v>
      </c>
      <c r="D44" s="105">
        <f>'Summary by RFM'!F26</f>
        <v>19.166442</v>
      </c>
      <c r="E44" s="105">
        <f t="shared" ref="E44:E47" si="0">D44*(1+$C$28)</f>
        <v>24.694651823330197</v>
      </c>
      <c r="F44" s="106">
        <f>'Summary by RFM'!G26</f>
        <v>21.967309</v>
      </c>
      <c r="G44" s="107">
        <f t="shared" ref="G44:G47" si="1">(F44/E44)-1</f>
        <v>-0.11044265142274845</v>
      </c>
      <c r="H44" s="110">
        <f>E64</f>
        <v>1.3936457104330895</v>
      </c>
      <c r="I44" s="104">
        <f>(H44*F44)+(G44*E44*C64)</f>
        <v>5.4174091724051685</v>
      </c>
      <c r="J44" s="118">
        <f t="shared" ref="J44:J45" si="2">I44*C44</f>
        <v>257131.9089590389</v>
      </c>
    </row>
    <row r="45" spans="2:10" x14ac:dyDescent="0.25">
      <c r="B45" s="85" t="s">
        <v>2</v>
      </c>
      <c r="C45" s="109">
        <f>'Summary by RFM'!I23</f>
        <v>6673</v>
      </c>
      <c r="D45" s="105">
        <f>'Summary by RFM'!I26</f>
        <v>13.809232</v>
      </c>
      <c r="E45" s="105">
        <f t="shared" si="0"/>
        <v>17.792252531147394</v>
      </c>
      <c r="F45" s="106">
        <f>'Summary by RFM'!J26</f>
        <v>12.051337999999999</v>
      </c>
      <c r="G45" s="107">
        <f t="shared" si="1"/>
        <v>-0.32266372799606235</v>
      </c>
      <c r="H45" s="110">
        <f>E65</f>
        <v>6.8060842199911011</v>
      </c>
      <c r="I45" s="104">
        <f>(H45*F45)+(G45*E45*C65)</f>
        <v>2.7594305952853802</v>
      </c>
      <c r="J45" s="118">
        <f t="shared" si="2"/>
        <v>18413.680362339343</v>
      </c>
    </row>
    <row r="46" spans="2:10" x14ac:dyDescent="0.25">
      <c r="B46" s="85" t="s">
        <v>3</v>
      </c>
      <c r="C46" s="109">
        <f>'Summary by RFM'!L23</f>
        <v>105383</v>
      </c>
      <c r="D46" s="105">
        <f>'Summary by RFM'!L26</f>
        <v>19.870868999999999</v>
      </c>
      <c r="E46" s="105">
        <f t="shared" si="0"/>
        <v>25.60225791422349</v>
      </c>
      <c r="F46" s="106">
        <f>'Summary by RFM'!M26</f>
        <v>24.106311000000002</v>
      </c>
      <c r="G46" s="107">
        <f t="shared" si="1"/>
        <v>-5.8430272799978589E-2</v>
      </c>
      <c r="H46" s="110">
        <f>E66</f>
        <v>3.0187221847925994</v>
      </c>
      <c r="I46" s="104">
        <f>(H46*F46)+(G46*E46*C66)</f>
        <v>56.902469811311256</v>
      </c>
      <c r="J46" s="118">
        <f>I46*C46</f>
        <v>5996552.9761254145</v>
      </c>
    </row>
    <row r="47" spans="2:10" x14ac:dyDescent="0.25">
      <c r="B47" s="85" t="s">
        <v>25</v>
      </c>
      <c r="C47" s="109">
        <f>'Summary by RFM'!O23</f>
        <v>119397</v>
      </c>
      <c r="D47" s="105">
        <f>'Summary by RFM'!O26</f>
        <v>19.965464999999998</v>
      </c>
      <c r="E47" s="105">
        <f t="shared" si="0"/>
        <v>25.72413840116414</v>
      </c>
      <c r="F47" s="106">
        <f>'Summary by RFM'!P26</f>
        <v>24.280961000000001</v>
      </c>
      <c r="G47" s="107">
        <f t="shared" si="1"/>
        <v>-5.6102069529326948E-2</v>
      </c>
      <c r="H47" s="110">
        <f>E67</f>
        <v>2.2839769843462996</v>
      </c>
      <c r="I47" s="104">
        <f>(H47*F47)+(G47*E47*C67)</f>
        <v>40.993798173176003</v>
      </c>
      <c r="J47" s="119">
        <f>I47*C47</f>
        <v>4894536.5204826957</v>
      </c>
    </row>
    <row r="48" spans="2:10" x14ac:dyDescent="0.25">
      <c r="G48" s="54"/>
    </row>
    <row r="49" spans="2:10" x14ac:dyDescent="0.25">
      <c r="G49" s="54"/>
    </row>
    <row r="50" spans="2:10" x14ac:dyDescent="0.25">
      <c r="G50" s="54"/>
    </row>
    <row r="51" spans="2:10" x14ac:dyDescent="0.25">
      <c r="B51" s="88" t="s">
        <v>70</v>
      </c>
      <c r="G51" s="54"/>
    </row>
    <row r="52" spans="2:10" x14ac:dyDescent="0.25">
      <c r="B52" s="85"/>
      <c r="C52" s="87" t="s">
        <v>45</v>
      </c>
      <c r="D52" s="127">
        <v>2019</v>
      </c>
      <c r="E52" s="87" t="s">
        <v>66</v>
      </c>
      <c r="F52" s="87" t="s">
        <v>67</v>
      </c>
      <c r="G52" s="87" t="s">
        <v>58</v>
      </c>
      <c r="H52" s="87" t="s">
        <v>49</v>
      </c>
      <c r="I52" s="87" t="s">
        <v>50</v>
      </c>
      <c r="J52" s="128" t="s">
        <v>51</v>
      </c>
    </row>
    <row r="53" spans="2:10" x14ac:dyDescent="0.25">
      <c r="B53" s="85" t="s">
        <v>0</v>
      </c>
      <c r="C53" s="103">
        <f>C43</f>
        <v>51246</v>
      </c>
      <c r="D53" s="104">
        <f>'Summary by RFM'!C27</f>
        <v>14.218059</v>
      </c>
      <c r="E53" s="105">
        <f>D53*(1+$D$28)</f>
        <v>20.784872869392277</v>
      </c>
      <c r="F53" s="106">
        <f>'Summary by RFM'!D27</f>
        <v>20.615352999999999</v>
      </c>
      <c r="G53" s="107">
        <f>(F53/E53)-1</f>
        <v>-8.1559252470537746E-3</v>
      </c>
      <c r="H53" s="108">
        <f>E63</f>
        <v>4.0306950786402993</v>
      </c>
      <c r="I53" s="106">
        <f>(H53*F53)+(G53*E53*C63)</f>
        <v>81.151842119792093</v>
      </c>
      <c r="J53" s="129">
        <f>I53*C53</f>
        <v>4158707.3012708654</v>
      </c>
    </row>
    <row r="54" spans="2:10" x14ac:dyDescent="0.25">
      <c r="B54" s="85" t="s">
        <v>1</v>
      </c>
      <c r="C54" s="103">
        <f>C44</f>
        <v>47464</v>
      </c>
      <c r="D54" s="104">
        <f>'Summary by RFM'!F27</f>
        <v>10.926693</v>
      </c>
      <c r="E54" s="105">
        <f t="shared" ref="E54:E57" si="3">D54*(1+$D$28)</f>
        <v>15.973342415295821</v>
      </c>
      <c r="F54" s="106">
        <f>'Summary by RFM'!G27</f>
        <v>12.927163999999999</v>
      </c>
      <c r="G54" s="107">
        <f t="shared" ref="G54:G56" si="4">(F54/E54)-1</f>
        <v>-0.19070388251233183</v>
      </c>
      <c r="H54" s="108">
        <f>E64</f>
        <v>1.3936457104330895</v>
      </c>
      <c r="I54" s="106">
        <f>(H54*F54)+(G54*E54*C64)</f>
        <v>-10.126992252287803</v>
      </c>
      <c r="J54" s="129">
        <f t="shared" ref="J54:J57" si="5">I54*C54</f>
        <v>-480667.56026258826</v>
      </c>
    </row>
    <row r="55" spans="2:10" x14ac:dyDescent="0.25">
      <c r="B55" s="85" t="s">
        <v>2</v>
      </c>
      <c r="C55" s="103">
        <f>C45</f>
        <v>6673</v>
      </c>
      <c r="D55" s="104">
        <f>'Summary by RFM'!I27</f>
        <v>4.5780479999999999</v>
      </c>
      <c r="E55" s="105">
        <f t="shared" si="3"/>
        <v>6.6924849355299179</v>
      </c>
      <c r="F55" s="106">
        <f>'Summary by RFM'!J27</f>
        <v>3.9385780000000001</v>
      </c>
      <c r="G55" s="107">
        <f t="shared" si="4"/>
        <v>-0.4114924369735411</v>
      </c>
      <c r="H55" s="108">
        <f>E65</f>
        <v>6.8060842199911011</v>
      </c>
      <c r="I55" s="106">
        <f>(H55*F55)+(G55*E55*C65)</f>
        <v>-11.216028286863214</v>
      </c>
      <c r="J55" s="129">
        <f t="shared" si="5"/>
        <v>-74844.556758238221</v>
      </c>
    </row>
    <row r="56" spans="2:10" x14ac:dyDescent="0.25">
      <c r="B56" s="85" t="s">
        <v>3</v>
      </c>
      <c r="C56" s="103">
        <f>C46</f>
        <v>105383</v>
      </c>
      <c r="D56" s="104">
        <f>'Summary by RFM'!L27</f>
        <v>12.132346999999999</v>
      </c>
      <c r="E56" s="105">
        <f t="shared" si="3"/>
        <v>17.735844956217495</v>
      </c>
      <c r="F56" s="106">
        <f>'Summary by RFM'!M27</f>
        <v>16.315892000000002</v>
      </c>
      <c r="G56" s="107">
        <f t="shared" si="4"/>
        <v>-8.0061195828153298E-2</v>
      </c>
      <c r="H56" s="108">
        <f>E66</f>
        <v>3.0187221847925994</v>
      </c>
      <c r="I56" s="106">
        <f>(H56*F56)+(G56*E56*C66)</f>
        <v>34.191441135323664</v>
      </c>
      <c r="J56" s="129">
        <f t="shared" si="5"/>
        <v>3603196.6411638139</v>
      </c>
    </row>
    <row r="57" spans="2:10" x14ac:dyDescent="0.25">
      <c r="B57" s="85" t="s">
        <v>25</v>
      </c>
      <c r="C57" s="103">
        <f>C47</f>
        <v>119397</v>
      </c>
      <c r="D57" s="104">
        <f>'Summary by RFM'!O27</f>
        <v>12.160641</v>
      </c>
      <c r="E57" s="105">
        <f t="shared" si="3"/>
        <v>17.777206944725673</v>
      </c>
      <c r="F57" s="106">
        <f>'Summary by RFM'!P27</f>
        <v>16.384</v>
      </c>
      <c r="G57" s="107">
        <f>(F57/E57)-1</f>
        <v>-7.8370407064368708E-2</v>
      </c>
      <c r="H57" s="108">
        <f>E67</f>
        <v>2.2839769843462996</v>
      </c>
      <c r="I57" s="106">
        <f>(H57*F57)+(G57*E57*C67)</f>
        <v>23.458119169319531</v>
      </c>
      <c r="J57" s="130">
        <f t="shared" si="5"/>
        <v>2800829.054459244</v>
      </c>
    </row>
    <row r="60" spans="2:10" hidden="1" x14ac:dyDescent="0.25"/>
    <row r="61" spans="2:10" hidden="1" x14ac:dyDescent="0.25">
      <c r="B61" s="55" t="s">
        <v>68</v>
      </c>
    </row>
    <row r="62" spans="2:10" hidden="1" x14ac:dyDescent="0.25">
      <c r="C62" s="56">
        <v>2019</v>
      </c>
      <c r="D62" s="56">
        <v>2025</v>
      </c>
      <c r="E62" s="56" t="s">
        <v>49</v>
      </c>
    </row>
    <row r="63" spans="2:10" hidden="1" x14ac:dyDescent="0.25">
      <c r="B63" s="55" t="s">
        <v>0</v>
      </c>
      <c r="C63" s="101">
        <f>'Summary by RFM'!C24</f>
        <v>11.458006478554401</v>
      </c>
      <c r="D63" s="101">
        <f>'Summary by RFM'!D24</f>
        <v>15.4887015571947</v>
      </c>
      <c r="E63" s="101">
        <f>D63-C63</f>
        <v>4.0306950786402993</v>
      </c>
    </row>
    <row r="64" spans="2:10" hidden="1" x14ac:dyDescent="0.25">
      <c r="B64" s="55" t="s">
        <v>1</v>
      </c>
      <c r="C64" s="101">
        <f>'Summary by RFM'!F24</f>
        <v>9.2387493679420096</v>
      </c>
      <c r="D64" s="101">
        <f>'Summary by RFM'!G24</f>
        <v>10.632395078375099</v>
      </c>
      <c r="E64" s="101">
        <f t="shared" ref="E64:E67" si="6">D64-C64</f>
        <v>1.3936457104330895</v>
      </c>
    </row>
    <row r="65" spans="2:5" hidden="1" x14ac:dyDescent="0.25">
      <c r="B65" s="55" t="s">
        <v>2</v>
      </c>
      <c r="C65" s="101">
        <f>'Summary by RFM'!I24</f>
        <v>13.8066836505319</v>
      </c>
      <c r="D65" s="101">
        <f>'Summary by RFM'!J24</f>
        <v>20.612767870523001</v>
      </c>
      <c r="E65" s="101">
        <f t="shared" si="6"/>
        <v>6.8060842199911011</v>
      </c>
    </row>
    <row r="66" spans="2:5" hidden="1" x14ac:dyDescent="0.25">
      <c r="B66" s="55" t="s">
        <v>3</v>
      </c>
      <c r="C66" s="101">
        <f>'Summary by RFM'!L24</f>
        <v>10.6071852196274</v>
      </c>
      <c r="D66" s="101">
        <f>'Summary by RFM'!M24</f>
        <v>13.625907404419999</v>
      </c>
      <c r="E66" s="101">
        <f t="shared" si="6"/>
        <v>3.0187221847925994</v>
      </c>
    </row>
    <row r="67" spans="2:5" hidden="1" x14ac:dyDescent="0.25">
      <c r="B67" s="55" t="s">
        <v>25</v>
      </c>
      <c r="C67" s="101">
        <f>'Summary by RFM'!O24</f>
        <v>10.0218849719842</v>
      </c>
      <c r="D67" s="101">
        <f>'Summary by RFM'!P24</f>
        <v>12.305861956330499</v>
      </c>
      <c r="E67" s="101">
        <f t="shared" si="6"/>
        <v>2.2839769843462996</v>
      </c>
    </row>
    <row r="68" spans="2:5" hidden="1" x14ac:dyDescent="0.25"/>
    <row r="69" spans="2:5" hidden="1" x14ac:dyDescent="0.25"/>
    <row r="70" spans="2:5" hidden="1" x14ac:dyDescent="0.25"/>
    <row r="71" spans="2:5" hidden="1" x14ac:dyDescent="0.25">
      <c r="B71" s="55" t="s">
        <v>18</v>
      </c>
    </row>
    <row r="72" spans="2:5" hidden="1" x14ac:dyDescent="0.25">
      <c r="B72" s="54"/>
      <c r="C72" s="55">
        <v>2019</v>
      </c>
      <c r="D72" s="55">
        <v>2025</v>
      </c>
      <c r="E72" s="55" t="s">
        <v>49</v>
      </c>
    </row>
    <row r="73" spans="2:5" hidden="1" x14ac:dyDescent="0.25">
      <c r="B73" s="55" t="s">
        <v>0</v>
      </c>
      <c r="C73" s="102">
        <f>'Summary by RFM'!C31</f>
        <v>0.68175865199079599</v>
      </c>
      <c r="D73" s="102">
        <f>'Summary by RFM'!D31</f>
        <v>0.81080815487304303</v>
      </c>
      <c r="E73" s="102">
        <f>D73-C73</f>
        <v>0.12904950288224704</v>
      </c>
    </row>
    <row r="74" spans="2:5" hidden="1" x14ac:dyDescent="0.25">
      <c r="B74" s="55" t="s">
        <v>1</v>
      </c>
      <c r="C74" s="102">
        <f>'Summary by RFM'!F31</f>
        <v>0.60073704470613898</v>
      </c>
      <c r="D74" s="102">
        <f>'Summary by RFM'!G31</f>
        <v>0.66848110395992499</v>
      </c>
      <c r="E74" s="102">
        <f>D74-C74</f>
        <v>6.7744059253786015E-2</v>
      </c>
    </row>
    <row r="75" spans="2:5" hidden="1" x14ac:dyDescent="0.25">
      <c r="B75" s="55" t="s">
        <v>2</v>
      </c>
      <c r="C75" s="102">
        <f>'Summary by RFM'!I31</f>
        <v>0.38706421221725301</v>
      </c>
      <c r="D75" s="102">
        <f>'Summary by RFM'!J31</f>
        <v>0.39627332805036702</v>
      </c>
      <c r="E75" s="102">
        <f>D75-C75</f>
        <v>9.2091158331140122E-3</v>
      </c>
    </row>
    <row r="76" spans="2:5" hidden="1" x14ac:dyDescent="0.25">
      <c r="B76" s="55" t="s">
        <v>3</v>
      </c>
      <c r="C76" s="102">
        <f>'Summary by RFM'!L31</f>
        <v>0.62568559970012905</v>
      </c>
      <c r="D76" s="102">
        <f>'Summary by RFM'!M31</f>
        <v>0.72107937732730898</v>
      </c>
      <c r="E76" s="102">
        <f>D76-C76</f>
        <v>9.5393777627179932E-2</v>
      </c>
    </row>
    <row r="77" spans="2:5" hidden="1" x14ac:dyDescent="0.25">
      <c r="B77" s="55" t="s">
        <v>25</v>
      </c>
      <c r="C77" s="102">
        <f>'Summary by RFM'!O31</f>
        <v>0.62371268854730499</v>
      </c>
      <c r="D77" s="102">
        <f>'Summary by RFM'!P31</f>
        <v>0.72017643980090895</v>
      </c>
      <c r="E77" s="102">
        <f>D77-C77</f>
        <v>9.6463751253603958E-2</v>
      </c>
    </row>
    <row r="78" spans="2:5" hidden="1" x14ac:dyDescent="0.25"/>
    <row r="79" spans="2:5" hidden="1" x14ac:dyDescent="0.25"/>
  </sheetData>
  <pageMargins left="0.7" right="0.7" top="0.75" bottom="0.75" header="0.3" footer="0.3"/>
  <ignoredErrors>
    <ignoredError sqref="B24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by RFM</vt:lpstr>
      <vt:lpstr>YoY 24vs25</vt:lpstr>
      <vt:lpstr>Summary by Signup behavior</vt:lpstr>
      <vt:lpstr>Incremental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Mishra</dc:creator>
  <cp:lastModifiedBy>Ranjan Mishra</cp:lastModifiedBy>
  <dcterms:created xsi:type="dcterms:W3CDTF">2015-06-05T18:17:20Z</dcterms:created>
  <dcterms:modified xsi:type="dcterms:W3CDTF">2026-02-03T16:24:55Z</dcterms:modified>
</cp:coreProperties>
</file>