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"/>
    </mc:Choice>
  </mc:AlternateContent>
  <xr:revisionPtr revIDLastSave="526" documentId="11_F25DC773A252ABDACC104889E99E5C265BDE58EE" xr6:coauthVersionLast="47" xr6:coauthVersionMax="47" xr10:uidLastSave="{D774A111-6B81-40E5-8B34-4C0E6339D5AE}"/>
  <bookViews>
    <workbookView xWindow="-120" yWindow="-120" windowWidth="29040" windowHeight="15720" activeTab="1" xr2:uid="{00000000-000D-0000-FFFF-FFFF00000000}"/>
  </bookViews>
  <sheets>
    <sheet name="Overview" sheetId="7" r:id="rId1"/>
    <sheet name="Renewals and Plan Changes" sheetId="8" r:id="rId2"/>
  </sheets>
  <definedNames>
    <definedName name="_xlnm._FilterDatabase" localSheetId="0" hidden="1">'Renewals and Plan Changes'!$A$1:$D$42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7" l="1"/>
  <c r="G7" i="7"/>
  <c r="G8" i="7" s="1"/>
  <c r="G4" i="7"/>
  <c r="H4" i="7"/>
  <c r="G5" i="7"/>
  <c r="H5" i="7"/>
  <c r="G6" i="7"/>
  <c r="H6" i="7"/>
  <c r="C8" i="7"/>
  <c r="N23" i="7"/>
  <c r="N24" i="7"/>
  <c r="N25" i="7"/>
  <c r="N26" i="7"/>
  <c r="N27" i="7"/>
  <c r="N28" i="7"/>
  <c r="N29" i="7"/>
  <c r="N30" i="7"/>
  <c r="N31" i="7"/>
  <c r="N32" i="7"/>
  <c r="N33" i="7"/>
  <c r="N34" i="7"/>
  <c r="K23" i="7"/>
  <c r="K24" i="7"/>
  <c r="K25" i="7"/>
  <c r="K26" i="7"/>
  <c r="K27" i="7"/>
  <c r="K28" i="7"/>
  <c r="K29" i="7"/>
  <c r="K30" i="7"/>
  <c r="K31" i="7"/>
  <c r="K32" i="7"/>
  <c r="K33" i="7"/>
  <c r="K34" i="7"/>
  <c r="H23" i="7"/>
  <c r="H24" i="7"/>
  <c r="H25" i="7"/>
  <c r="H26" i="7"/>
  <c r="H27" i="7"/>
  <c r="H28" i="7"/>
  <c r="H29" i="7"/>
  <c r="H30" i="7"/>
  <c r="H31" i="7"/>
  <c r="H32" i="7"/>
  <c r="H33" i="7"/>
  <c r="H34" i="7"/>
  <c r="E23" i="7"/>
  <c r="E24" i="7"/>
  <c r="E25" i="7"/>
  <c r="E26" i="7"/>
  <c r="E27" i="7"/>
  <c r="E28" i="7"/>
  <c r="E29" i="7"/>
  <c r="E30" i="7"/>
  <c r="E31" i="7"/>
  <c r="E32" i="7"/>
  <c r="E33" i="7"/>
  <c r="E34" i="7"/>
  <c r="N22" i="7"/>
  <c r="N21" i="7"/>
  <c r="N20" i="7"/>
  <c r="N19" i="7"/>
  <c r="N18" i="7"/>
  <c r="N17" i="7"/>
  <c r="N16" i="7"/>
  <c r="N15" i="7"/>
  <c r="N14" i="7"/>
  <c r="K22" i="7"/>
  <c r="K21" i="7"/>
  <c r="K20" i="7"/>
  <c r="K19" i="7"/>
  <c r="K18" i="7"/>
  <c r="K17" i="7"/>
  <c r="K16" i="7"/>
  <c r="K15" i="7"/>
  <c r="K14" i="7"/>
  <c r="H22" i="7"/>
  <c r="H21" i="7"/>
  <c r="H20" i="7"/>
  <c r="H19" i="7"/>
  <c r="H18" i="7"/>
  <c r="H17" i="7"/>
  <c r="H16" i="7"/>
  <c r="H15" i="7"/>
  <c r="H14" i="7"/>
  <c r="E14" i="7"/>
  <c r="E15" i="7"/>
  <c r="E16" i="7"/>
  <c r="E17" i="7"/>
  <c r="E18" i="7"/>
  <c r="E19" i="7"/>
  <c r="E20" i="7"/>
  <c r="E21" i="7"/>
  <c r="E22" i="7"/>
</calcChain>
</file>

<file path=xl/sharedStrings.xml><?xml version="1.0" encoding="utf-8"?>
<sst xmlns="http://schemas.openxmlformats.org/spreadsheetml/2006/main" count="169" uniqueCount="43">
  <si>
    <t>Net_New</t>
  </si>
  <si>
    <t>Renewals</t>
  </si>
  <si>
    <t>Returning</t>
  </si>
  <si>
    <t>gift-plan</t>
  </si>
  <si>
    <t>SignUp Category</t>
  </si>
  <si>
    <t>Members</t>
  </si>
  <si>
    <t>No_of_Visits</t>
  </si>
  <si>
    <t>Visits_with_Concession</t>
  </si>
  <si>
    <t>Net_Revenue</t>
  </si>
  <si>
    <t>Net_Revenue_Concession</t>
  </si>
  <si>
    <t>No_of_Regular_Tickets</t>
  </si>
  <si>
    <t>No_of_Premium_Tickets</t>
  </si>
  <si>
    <t>Member_Tickets</t>
  </si>
  <si>
    <t>Companion_Tickets</t>
  </si>
  <si>
    <t>Avg Frequency</t>
  </si>
  <si>
    <t>Avg Total Spend per visit</t>
  </si>
  <si>
    <t>Avg Ticket Spend per visit</t>
  </si>
  <si>
    <t>Avg Concession Spend per visit</t>
  </si>
  <si>
    <t>Total Spend per person in a year</t>
  </si>
  <si>
    <t>Ticket Spend per person in a year</t>
  </si>
  <si>
    <t>Concession Spend per person in a year</t>
  </si>
  <si>
    <t>Concession Incidence</t>
  </si>
  <si>
    <t>Total Tickets per Visit</t>
  </si>
  <si>
    <t>999 Tickets per Visit</t>
  </si>
  <si>
    <t>Uptake Premium Experiences</t>
  </si>
  <si>
    <t>Uptake Companion Experiences</t>
  </si>
  <si>
    <t>Offer_Category</t>
  </si>
  <si>
    <t>% Change</t>
  </si>
  <si>
    <t>Net_Revenue_Tickets</t>
  </si>
  <si>
    <t>snapshot_plan_id</t>
  </si>
  <si>
    <t>count(DISTINCT CDE_ID)</t>
  </si>
  <si>
    <t>monthly1</t>
  </si>
  <si>
    <t>annual1</t>
  </si>
  <si>
    <t>snapshot_renewal_status</t>
  </si>
  <si>
    <t>Active_Non_Renewing</t>
  </si>
  <si>
    <t>Cancelled_Without_Recognitions_Left</t>
  </si>
  <si>
    <t>Cancelled_With_Recognitions_Left</t>
  </si>
  <si>
    <t>Active_Annnual_Upgrade</t>
  </si>
  <si>
    <t>Active</t>
  </si>
  <si>
    <t>Cancelled</t>
  </si>
  <si>
    <t>Gift Plan</t>
  </si>
  <si>
    <t>Net New</t>
  </si>
  <si>
    <t>Status as of January 1st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</si>
</sst>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10" xfId="0" applyFill="1" applyBorder="1"/>
    <xf numFmtId="9" fontId="0" fillId="3" borderId="6" xfId="1" applyFont="1" applyFill="1" applyBorder="1" applyAlignment="1">
      <alignment horizontal="center"/>
    </xf>
    <xf numFmtId="165" fontId="0" fillId="3" borderId="6" xfId="1" applyNumberFormat="1" applyFont="1" applyFill="1" applyBorder="1" applyAlignment="1">
      <alignment horizontal="center"/>
    </xf>
    <xf numFmtId="0" fontId="0" fillId="3" borderId="11" xfId="0" applyFill="1" applyBorder="1"/>
    <xf numFmtId="164" fontId="0" fillId="3" borderId="0" xfId="0" applyNumberFormat="1" applyFill="1" applyAlignment="1">
      <alignment horizontal="center"/>
    </xf>
    <xf numFmtId="44" fontId="0" fillId="3" borderId="0" xfId="2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12" xfId="0" applyFill="1" applyBorder="1"/>
    <xf numFmtId="2" fontId="0" fillId="3" borderId="8" xfId="0" applyNumberFormat="1" applyFill="1" applyBorder="1" applyAlignment="1">
      <alignment horizontal="center"/>
    </xf>
    <xf numFmtId="9" fontId="0" fillId="3" borderId="9" xfId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44" fontId="0" fillId="4" borderId="5" xfId="2" applyFon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0" fillId="4" borderId="7" xfId="0" applyNumberForma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328C2-7F9B-4299-B188-76B630136197}" name="Table1" displayName="Table1" ref="A1:D42" totalsRowShown="0" headerRowDxfId="5" dataDxfId="4">
  <autoFilter ref="A1:D42" xr:uid="{3CE328C2-7F9B-4299-B188-76B630136197}">
    <filterColumn colId="2">
      <filters>
        <filter val="Cancelled_With_Recognitions_Left"/>
        <filter val="Cancelled_Without_Recognitions_Left"/>
      </filters>
    </filterColumn>
  </autoFilter>
  <tableColumns count="4">
    <tableColumn id="1" xr3:uid="{ED579C46-9650-493F-AD46-B561C3C0B1A7}" name="Offer_Category" dataDxfId="3"/>
    <tableColumn id="2" xr3:uid="{13AE7416-CD78-46B7-BEF3-04C0838DC23D}" name="snapshot_plan_id" dataDxfId="2"/>
    <tableColumn id="3" xr3:uid="{E1682DCF-E67B-4476-A2CC-D8F23259384A}" name="snapshot_renewal_status" dataDxfId="1"/>
    <tableColumn id="4" xr3:uid="{E2C0C859-5C3A-48A4-937A-ED882483919A}" name="count(DISTINCT CDE_I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4D13-2790-44D1-A6D6-D85603F9C2F3}">
  <dimension ref="B2:N34"/>
  <sheetViews>
    <sheetView zoomScale="108" zoomScaleNormal="130" workbookViewId="0">
      <selection activeCell="H7" sqref="H7"/>
    </sheetView>
  </sheetViews>
  <sheetFormatPr defaultRowHeight="15" x14ac:dyDescent="0.25"/>
  <cols>
    <col min="1" max="1" width="13.7109375" bestFit="1" customWidth="1"/>
    <col min="2" max="2" width="32.5703125" bestFit="1" customWidth="1"/>
    <col min="3" max="3" width="15.140625" bestFit="1" customWidth="1"/>
    <col min="4" max="4" width="14.85546875" customWidth="1"/>
    <col min="5" max="5" width="14.5703125" style="5" customWidth="1"/>
    <col min="6" max="14" width="14.5703125" customWidth="1"/>
  </cols>
  <sheetData>
    <row r="2" spans="2:14" x14ac:dyDescent="0.25">
      <c r="F2" t="s">
        <v>42</v>
      </c>
    </row>
    <row r="3" spans="2:14" x14ac:dyDescent="0.25">
      <c r="B3" s="1" t="s">
        <v>4</v>
      </c>
      <c r="C3" s="1" t="s">
        <v>5</v>
      </c>
      <c r="G3" s="29" t="s">
        <v>38</v>
      </c>
      <c r="H3" s="29" t="s">
        <v>39</v>
      </c>
    </row>
    <row r="4" spans="2:14" x14ac:dyDescent="0.25">
      <c r="B4" s="2" t="s">
        <v>0</v>
      </c>
      <c r="C4" s="3">
        <v>7026</v>
      </c>
      <c r="F4" s="2" t="s">
        <v>41</v>
      </c>
      <c r="G4" s="3">
        <f>'Renewals and Plan Changes'!D12+'Renewals and Plan Changes'!D16+'Renewals and Plan Changes'!D17+'Renewals and Plan Changes'!D19+'Renewals and Plan Changes'!D20+'Renewals and Plan Changes'!D21</f>
        <v>5449</v>
      </c>
      <c r="H4" s="3">
        <f>'Renewals and Plan Changes'!D13+'Renewals and Plan Changes'!D14+'Renewals and Plan Changes'!D15+'Renewals and Plan Changes'!D18</f>
        <v>1538</v>
      </c>
    </row>
    <row r="5" spans="2:14" x14ac:dyDescent="0.25">
      <c r="B5" s="2" t="s">
        <v>1</v>
      </c>
      <c r="C5" s="3">
        <v>3651</v>
      </c>
      <c r="F5" s="2" t="s">
        <v>1</v>
      </c>
      <c r="G5" s="3">
        <f>'Renewals and Plan Changes'!D22+'Renewals and Plan Changes'!D23+'Renewals and Plan Changes'!D25+'Renewals and Plan Changes'!D26+'Renewals and Plan Changes'!D28+'Renewals and Plan Changes'!D31</f>
        <v>3066</v>
      </c>
      <c r="H5" s="3">
        <f>'Renewals and Plan Changes'!D24+'Renewals and Plan Changes'!D27+'Renewals and Plan Changes'!D29+'Renewals and Plan Changes'!D30</f>
        <v>566</v>
      </c>
    </row>
    <row r="6" spans="2:14" x14ac:dyDescent="0.25">
      <c r="B6" s="2" t="s">
        <v>2</v>
      </c>
      <c r="C6" s="3">
        <v>5734</v>
      </c>
      <c r="F6" s="2" t="s">
        <v>2</v>
      </c>
      <c r="G6" s="3">
        <f>'Renewals and Plan Changes'!D34+'Renewals and Plan Changes'!D35+'Renewals and Plan Changes'!D36+'Renewals and Plan Changes'!D38+'Renewals and Plan Changes'!D40+'Renewals and Plan Changes'!D41+'Renewals and Plan Changes'!D42</f>
        <v>4599</v>
      </c>
      <c r="H6" s="3">
        <f>'Renewals and Plan Changes'!D32+'Renewals and Plan Changes'!D33+'Renewals and Plan Changes'!D39+'Renewals and Plan Changes'!D37</f>
        <v>1131</v>
      </c>
    </row>
    <row r="7" spans="2:14" x14ac:dyDescent="0.25">
      <c r="B7" s="2" t="s">
        <v>3</v>
      </c>
      <c r="C7" s="3">
        <v>2281</v>
      </c>
      <c r="F7" s="2" t="s">
        <v>40</v>
      </c>
      <c r="G7" s="3">
        <f>SUM('Renewals and Plan Changes'!D5:D8)+'Renewals and Plan Changes'!D10+'Renewals and Plan Changes'!D3+'Renewals and Plan Changes'!D11</f>
        <v>765</v>
      </c>
      <c r="H7" s="3">
        <v>1491</v>
      </c>
    </row>
    <row r="8" spans="2:14" x14ac:dyDescent="0.25">
      <c r="C8" s="4">
        <f>SUM(C4:C7)</f>
        <v>18692</v>
      </c>
      <c r="G8" s="4">
        <f>SUM(G4:G6)</f>
        <v>13114</v>
      </c>
      <c r="H8" s="4">
        <f>SUM(H4:H6)</f>
        <v>3235</v>
      </c>
    </row>
    <row r="11" spans="2:14" ht="15.75" thickBot="1" x14ac:dyDescent="0.3"/>
    <row r="12" spans="2:14" ht="18.75" x14ac:dyDescent="0.3">
      <c r="B12" s="6"/>
      <c r="C12" s="26" t="s">
        <v>0</v>
      </c>
      <c r="D12" s="27"/>
      <c r="E12" s="28"/>
      <c r="F12" s="26" t="s">
        <v>1</v>
      </c>
      <c r="G12" s="27"/>
      <c r="H12" s="28"/>
      <c r="I12" s="26" t="s">
        <v>2</v>
      </c>
      <c r="J12" s="27"/>
      <c r="K12" s="28"/>
      <c r="L12" s="26" t="s">
        <v>3</v>
      </c>
      <c r="M12" s="27"/>
      <c r="N12" s="28"/>
    </row>
    <row r="13" spans="2:14" ht="15.75" thickBot="1" x14ac:dyDescent="0.3">
      <c r="B13" s="6"/>
      <c r="C13" s="20">
        <v>2024</v>
      </c>
      <c r="D13" s="18">
        <v>2025</v>
      </c>
      <c r="E13" s="19" t="s">
        <v>27</v>
      </c>
      <c r="F13" s="20">
        <v>2024</v>
      </c>
      <c r="G13" s="18">
        <v>2025</v>
      </c>
      <c r="H13" s="19" t="s">
        <v>27</v>
      </c>
      <c r="I13" s="20">
        <v>2024</v>
      </c>
      <c r="J13" s="18">
        <v>2025</v>
      </c>
      <c r="K13" s="19" t="s">
        <v>27</v>
      </c>
      <c r="L13" s="20">
        <v>2024</v>
      </c>
      <c r="M13" s="18">
        <v>2025</v>
      </c>
      <c r="N13" s="19" t="s">
        <v>27</v>
      </c>
    </row>
    <row r="14" spans="2:14" ht="15.75" hidden="1" thickBot="1" x14ac:dyDescent="0.3">
      <c r="B14" s="11" t="s">
        <v>6</v>
      </c>
      <c r="C14" s="21">
        <v>42555</v>
      </c>
      <c r="D14" s="7">
        <v>72167</v>
      </c>
      <c r="E14" s="9">
        <f t="shared" ref="E14:E34" si="0">D14/C14-1</f>
        <v>0.69585242627188348</v>
      </c>
      <c r="F14" s="21">
        <v>44111</v>
      </c>
      <c r="G14" s="7">
        <v>43674</v>
      </c>
      <c r="H14" s="10">
        <f t="shared" ref="H14:H34" si="1">G14/F14-1</f>
        <v>-9.9068259617782761E-3</v>
      </c>
      <c r="I14" s="21">
        <v>71704</v>
      </c>
      <c r="J14" s="7">
        <v>78259</v>
      </c>
      <c r="K14" s="10">
        <f t="shared" ref="K14:K34" si="2">J14/I14-1</f>
        <v>9.1417494142586264E-2</v>
      </c>
      <c r="L14" s="21">
        <v>14314</v>
      </c>
      <c r="M14" s="7">
        <v>25763</v>
      </c>
      <c r="N14" s="10">
        <f t="shared" ref="N14:N34" si="3">M14/L14-1</f>
        <v>0.79984630431745152</v>
      </c>
    </row>
    <row r="15" spans="2:14" ht="15.75" hidden="1" thickBot="1" x14ac:dyDescent="0.3">
      <c r="B15" s="11" t="s">
        <v>7</v>
      </c>
      <c r="C15" s="21">
        <v>26902</v>
      </c>
      <c r="D15" s="7">
        <v>47606</v>
      </c>
      <c r="E15" s="9">
        <f t="shared" si="0"/>
        <v>0.76960820756821047</v>
      </c>
      <c r="F15" s="21">
        <v>31003</v>
      </c>
      <c r="G15" s="7">
        <v>30575</v>
      </c>
      <c r="H15" s="10">
        <f t="shared" si="1"/>
        <v>-1.380511563397091E-2</v>
      </c>
      <c r="I15" s="21">
        <v>48460</v>
      </c>
      <c r="J15" s="7">
        <v>52935</v>
      </c>
      <c r="K15" s="10">
        <f t="shared" si="2"/>
        <v>9.2344201403219195E-2</v>
      </c>
      <c r="L15" s="21">
        <v>9266</v>
      </c>
      <c r="M15" s="7">
        <v>17236</v>
      </c>
      <c r="N15" s="10">
        <f t="shared" si="3"/>
        <v>0.86013382257716375</v>
      </c>
    </row>
    <row r="16" spans="2:14" ht="15.75" hidden="1" thickBot="1" x14ac:dyDescent="0.3">
      <c r="B16" s="11" t="s">
        <v>8</v>
      </c>
      <c r="C16" s="22">
        <v>1812070.14</v>
      </c>
      <c r="D16" s="12">
        <v>2681403.04</v>
      </c>
      <c r="E16" s="9">
        <f t="shared" si="0"/>
        <v>0.47974572330848098</v>
      </c>
      <c r="F16" s="22">
        <v>1804535.97</v>
      </c>
      <c r="G16" s="12">
        <v>1755924.15</v>
      </c>
      <c r="H16" s="10">
        <f t="shared" si="1"/>
        <v>-2.6938681637917128E-2</v>
      </c>
      <c r="I16" s="22">
        <v>2757491.56</v>
      </c>
      <c r="J16" s="12">
        <v>2854265.86</v>
      </c>
      <c r="K16" s="10">
        <f t="shared" si="2"/>
        <v>3.5095048486748492E-2</v>
      </c>
      <c r="L16" s="22">
        <v>538468.43000000005</v>
      </c>
      <c r="M16" s="12">
        <v>887443.61</v>
      </c>
      <c r="N16" s="10">
        <f t="shared" si="3"/>
        <v>0.64808846825058963</v>
      </c>
    </row>
    <row r="17" spans="2:14" ht="15.75" hidden="1" thickBot="1" x14ac:dyDescent="0.3">
      <c r="B17" s="11" t="s">
        <v>10</v>
      </c>
      <c r="C17" s="21">
        <v>65756</v>
      </c>
      <c r="D17" s="7">
        <v>108992</v>
      </c>
      <c r="E17" s="9">
        <f t="shared" si="0"/>
        <v>0.65752174706490663</v>
      </c>
      <c r="F17" s="21">
        <v>63709</v>
      </c>
      <c r="G17" s="7">
        <v>61548</v>
      </c>
      <c r="H17" s="10">
        <f t="shared" si="1"/>
        <v>-3.3919854337691735E-2</v>
      </c>
      <c r="I17" s="21">
        <v>101428</v>
      </c>
      <c r="J17" s="7">
        <v>105933</v>
      </c>
      <c r="K17" s="10">
        <f t="shared" si="2"/>
        <v>4.4415743187285583E-2</v>
      </c>
      <c r="L17" s="21">
        <v>18444</v>
      </c>
      <c r="M17" s="7">
        <v>33985</v>
      </c>
      <c r="N17" s="10">
        <f t="shared" si="3"/>
        <v>0.84260464107568867</v>
      </c>
    </row>
    <row r="18" spans="2:14" ht="15.75" hidden="1" thickBot="1" x14ac:dyDescent="0.3">
      <c r="B18" s="11" t="s">
        <v>11</v>
      </c>
      <c r="C18" s="21">
        <v>21931</v>
      </c>
      <c r="D18" s="7">
        <v>36993</v>
      </c>
      <c r="E18" s="9">
        <f t="shared" si="0"/>
        <v>0.68679038803520132</v>
      </c>
      <c r="F18" s="21">
        <v>26482</v>
      </c>
      <c r="G18" s="7">
        <v>25968</v>
      </c>
      <c r="H18" s="10">
        <f t="shared" si="1"/>
        <v>-1.9409410165395324E-2</v>
      </c>
      <c r="I18" s="21">
        <v>42079</v>
      </c>
      <c r="J18" s="7">
        <v>45210</v>
      </c>
      <c r="K18" s="10">
        <f t="shared" si="2"/>
        <v>7.4407661779034573E-2</v>
      </c>
      <c r="L18" s="21">
        <v>7451</v>
      </c>
      <c r="M18" s="7">
        <v>12266</v>
      </c>
      <c r="N18" s="10">
        <f t="shared" si="3"/>
        <v>0.64622198362635896</v>
      </c>
    </row>
    <row r="19" spans="2:14" ht="15.75" hidden="1" thickBot="1" x14ac:dyDescent="0.3">
      <c r="B19" s="11" t="s">
        <v>9</v>
      </c>
      <c r="C19" s="23">
        <v>653858.46</v>
      </c>
      <c r="D19" s="13">
        <v>987378.13</v>
      </c>
      <c r="E19" s="9">
        <f t="shared" si="0"/>
        <v>0.51007930676617708</v>
      </c>
      <c r="F19" s="22">
        <v>699872.27</v>
      </c>
      <c r="G19" s="12">
        <v>695487.58</v>
      </c>
      <c r="H19" s="10">
        <f t="shared" si="1"/>
        <v>-6.2649860380953326E-3</v>
      </c>
      <c r="I19" s="22">
        <v>1022900.47</v>
      </c>
      <c r="J19" s="12">
        <v>1078291.04</v>
      </c>
      <c r="K19" s="10">
        <f t="shared" si="2"/>
        <v>5.4150498141818382E-2</v>
      </c>
      <c r="L19" s="22">
        <v>202399.4</v>
      </c>
      <c r="M19" s="12">
        <v>345120.94</v>
      </c>
      <c r="N19" s="10">
        <f t="shared" si="3"/>
        <v>0.70514803897640022</v>
      </c>
    </row>
    <row r="20" spans="2:14" ht="15.75" hidden="1" thickBot="1" x14ac:dyDescent="0.3">
      <c r="B20" s="11" t="s">
        <v>28</v>
      </c>
      <c r="C20" s="23">
        <v>1050211.7</v>
      </c>
      <c r="D20" s="13">
        <v>1591193.87</v>
      </c>
      <c r="E20" s="9">
        <f t="shared" si="0"/>
        <v>0.51511725683497933</v>
      </c>
      <c r="F20" s="22">
        <v>1021775.62</v>
      </c>
      <c r="G20" s="12">
        <v>984228.19</v>
      </c>
      <c r="H20" s="10">
        <f t="shared" si="1"/>
        <v>-3.6747236149556994E-2</v>
      </c>
      <c r="I20" s="22">
        <v>1611289.15</v>
      </c>
      <c r="J20" s="12">
        <v>1658997.77</v>
      </c>
      <c r="K20" s="10">
        <f t="shared" si="2"/>
        <v>2.9608974900625418E-2</v>
      </c>
      <c r="L20" s="22">
        <v>308940.01</v>
      </c>
      <c r="M20" s="12">
        <v>511091.56</v>
      </c>
      <c r="N20" s="10">
        <f t="shared" si="3"/>
        <v>0.65433917089599358</v>
      </c>
    </row>
    <row r="21" spans="2:14" ht="15.75" hidden="1" thickBot="1" x14ac:dyDescent="0.3">
      <c r="B21" s="11" t="s">
        <v>12</v>
      </c>
      <c r="C21" s="21">
        <v>58347</v>
      </c>
      <c r="D21" s="7">
        <v>60968</v>
      </c>
      <c r="E21" s="9">
        <f t="shared" si="0"/>
        <v>4.492090424529116E-2</v>
      </c>
      <c r="F21" s="21">
        <v>36285</v>
      </c>
      <c r="G21" s="7">
        <v>36440</v>
      </c>
      <c r="H21" s="10">
        <f t="shared" si="1"/>
        <v>4.2717376326306677E-3</v>
      </c>
      <c r="I21" s="21">
        <v>57421</v>
      </c>
      <c r="J21" s="7">
        <v>57562</v>
      </c>
      <c r="K21" s="10">
        <f t="shared" si="2"/>
        <v>2.4555476219501049E-3</v>
      </c>
      <c r="L21" s="21">
        <v>17761</v>
      </c>
      <c r="M21" s="7">
        <v>20304</v>
      </c>
      <c r="N21" s="10">
        <f t="shared" si="3"/>
        <v>0.14317887506334093</v>
      </c>
    </row>
    <row r="22" spans="2:14" ht="15.75" hidden="1" thickBot="1" x14ac:dyDescent="0.3">
      <c r="B22" s="11" t="s">
        <v>13</v>
      </c>
      <c r="C22" s="21">
        <v>34485</v>
      </c>
      <c r="D22" s="7">
        <v>35186</v>
      </c>
      <c r="E22" s="9">
        <f t="shared" si="0"/>
        <v>2.0327678700884366E-2</v>
      </c>
      <c r="F22" s="21">
        <v>22306</v>
      </c>
      <c r="G22" s="7">
        <v>22310</v>
      </c>
      <c r="H22" s="10">
        <f t="shared" si="1"/>
        <v>1.7932394871333912E-4</v>
      </c>
      <c r="I22" s="21">
        <v>40843</v>
      </c>
      <c r="J22" s="7">
        <v>40895</v>
      </c>
      <c r="K22" s="10">
        <f t="shared" si="2"/>
        <v>1.2731679847219901E-3</v>
      </c>
      <c r="L22" s="21">
        <v>11979</v>
      </c>
      <c r="M22" s="7">
        <v>12609</v>
      </c>
      <c r="N22" s="10">
        <f t="shared" si="3"/>
        <v>5.259203606311047E-2</v>
      </c>
    </row>
    <row r="23" spans="2:14" x14ac:dyDescent="0.25">
      <c r="B23" s="8" t="s">
        <v>14</v>
      </c>
      <c r="C23" s="24">
        <v>6.4350521699682401</v>
      </c>
      <c r="D23" s="14">
        <v>10.4468731905037</v>
      </c>
      <c r="E23" s="9">
        <f t="shared" si="0"/>
        <v>0.62343255572320566</v>
      </c>
      <c r="F23" s="24">
        <v>12.22588691796</v>
      </c>
      <c r="G23" s="14">
        <v>12.2404708520179</v>
      </c>
      <c r="H23" s="9">
        <f t="shared" si="1"/>
        <v>1.1928732987440682E-3</v>
      </c>
      <c r="I23" s="24">
        <v>12.555419366135499</v>
      </c>
      <c r="J23" s="14">
        <v>13.761033937049399</v>
      </c>
      <c r="K23" s="9">
        <f t="shared" si="2"/>
        <v>9.6023441014299049E-2</v>
      </c>
      <c r="L23" s="24">
        <v>7.4358441558441504</v>
      </c>
      <c r="M23" s="14">
        <v>11.480837789661299</v>
      </c>
      <c r="N23" s="9">
        <f t="shared" si="3"/>
        <v>0.54398580027232191</v>
      </c>
    </row>
    <row r="24" spans="2:14" x14ac:dyDescent="0.25">
      <c r="B24" s="11" t="s">
        <v>15</v>
      </c>
      <c r="C24" s="22">
        <v>42.581839000000002</v>
      </c>
      <c r="D24" s="12">
        <v>37.155529000000001</v>
      </c>
      <c r="E24" s="9">
        <f t="shared" si="0"/>
        <v>-0.12743249534149992</v>
      </c>
      <c r="F24" s="22">
        <v>40.908979000000002</v>
      </c>
      <c r="G24" s="12">
        <v>40.205250999999997</v>
      </c>
      <c r="H24" s="9">
        <f t="shared" si="1"/>
        <v>-1.7202287057812016E-2</v>
      </c>
      <c r="I24" s="22">
        <v>38.456592999999998</v>
      </c>
      <c r="J24" s="12">
        <v>36.472045999999999</v>
      </c>
      <c r="K24" s="9">
        <f t="shared" si="2"/>
        <v>-5.1604857455781361E-2</v>
      </c>
      <c r="L24" s="22">
        <v>37.618305999999997</v>
      </c>
      <c r="M24" s="12">
        <v>34.446438999999998</v>
      </c>
      <c r="N24" s="9">
        <f t="shared" si="3"/>
        <v>-8.4317114119918046E-2</v>
      </c>
    </row>
    <row r="25" spans="2:14" x14ac:dyDescent="0.25">
      <c r="B25" s="11" t="s">
        <v>16</v>
      </c>
      <c r="C25" s="22">
        <v>27.216818</v>
      </c>
      <c r="D25" s="12">
        <v>23.473678</v>
      </c>
      <c r="E25" s="9">
        <f t="shared" si="0"/>
        <v>-0.13753040491360891</v>
      </c>
      <c r="F25" s="22">
        <v>25.042816999999999</v>
      </c>
      <c r="G25" s="12">
        <v>24.280729000000001</v>
      </c>
      <c r="H25" s="9">
        <f t="shared" si="1"/>
        <v>-3.0431400748565873E-2</v>
      </c>
      <c r="I25" s="22">
        <v>24.190995000000001</v>
      </c>
      <c r="J25" s="12">
        <v>22.693553999999999</v>
      </c>
      <c r="K25" s="9">
        <f t="shared" si="2"/>
        <v>-6.1900761006316696E-2</v>
      </c>
      <c r="L25" s="22">
        <v>23.478345000000001</v>
      </c>
      <c r="M25" s="12">
        <v>21.050446999999998</v>
      </c>
      <c r="N25" s="9">
        <f t="shared" si="3"/>
        <v>-0.10341009981751281</v>
      </c>
    </row>
    <row r="26" spans="2:14" x14ac:dyDescent="0.25">
      <c r="B26" s="11" t="s">
        <v>17</v>
      </c>
      <c r="C26" s="22">
        <v>15.365021</v>
      </c>
      <c r="D26" s="12">
        <v>13.681851</v>
      </c>
      <c r="E26" s="9">
        <f t="shared" si="0"/>
        <v>-0.10954557107341412</v>
      </c>
      <c r="F26" s="22">
        <v>15.866161999999999</v>
      </c>
      <c r="G26" s="12">
        <v>15.924522</v>
      </c>
      <c r="H26" s="9">
        <f t="shared" si="1"/>
        <v>3.6782682541625089E-3</v>
      </c>
      <c r="I26" s="22">
        <v>14.265598000000001</v>
      </c>
      <c r="J26" s="12">
        <v>13.778492</v>
      </c>
      <c r="K26" s="9">
        <f t="shared" si="2"/>
        <v>-3.4145501646688836E-2</v>
      </c>
      <c r="L26" s="22">
        <v>14.139961</v>
      </c>
      <c r="M26" s="12">
        <v>13.395992</v>
      </c>
      <c r="N26" s="9">
        <f t="shared" si="3"/>
        <v>-5.2614642996540062E-2</v>
      </c>
    </row>
    <row r="27" spans="2:14" x14ac:dyDescent="0.25">
      <c r="B27" s="11" t="s">
        <v>18</v>
      </c>
      <c r="C27" s="22">
        <v>274.01635299999998</v>
      </c>
      <c r="D27" s="12">
        <v>388.15909699999997</v>
      </c>
      <c r="E27" s="9">
        <f t="shared" si="0"/>
        <v>0.41655449665808808</v>
      </c>
      <c r="F27" s="22">
        <v>500.14855</v>
      </c>
      <c r="G27" s="12">
        <v>492.13120800000002</v>
      </c>
      <c r="H27" s="9">
        <f t="shared" si="1"/>
        <v>-1.6029921510319234E-2</v>
      </c>
      <c r="I27" s="22">
        <v>482.83865500000002</v>
      </c>
      <c r="J27" s="12">
        <v>501.89306499999998</v>
      </c>
      <c r="K27" s="9">
        <f t="shared" si="2"/>
        <v>3.9463306847294488E-2</v>
      </c>
      <c r="L27" s="22">
        <v>279.72386</v>
      </c>
      <c r="M27" s="12">
        <v>395.47397999999998</v>
      </c>
      <c r="N27" s="9">
        <f t="shared" si="3"/>
        <v>0.41380138254920396</v>
      </c>
    </row>
    <row r="28" spans="2:14" x14ac:dyDescent="0.25">
      <c r="B28" s="11" t="s">
        <v>19</v>
      </c>
      <c r="C28" s="22">
        <v>175.14164199999999</v>
      </c>
      <c r="D28" s="12">
        <v>245.22653600000001</v>
      </c>
      <c r="E28" s="9">
        <f t="shared" si="0"/>
        <v>0.40016122493587236</v>
      </c>
      <c r="F28" s="22">
        <v>306.17064900000003</v>
      </c>
      <c r="G28" s="12">
        <v>297.207559</v>
      </c>
      <c r="H28" s="9">
        <f t="shared" si="1"/>
        <v>-2.9274817913718554E-2</v>
      </c>
      <c r="I28" s="22">
        <v>303.72808400000002</v>
      </c>
      <c r="J28" s="12">
        <v>312.28676300000001</v>
      </c>
      <c r="K28" s="9">
        <f t="shared" si="2"/>
        <v>2.8178754125351091E-2</v>
      </c>
      <c r="L28" s="22">
        <v>174.58131399999999</v>
      </c>
      <c r="M28" s="12">
        <v>241.67676900000001</v>
      </c>
      <c r="N28" s="9">
        <f t="shared" si="3"/>
        <v>0.38432208729967532</v>
      </c>
    </row>
    <row r="29" spans="2:14" x14ac:dyDescent="0.25">
      <c r="B29" s="11" t="s">
        <v>20</v>
      </c>
      <c r="C29" s="22">
        <v>98.874709999999993</v>
      </c>
      <c r="D29" s="12">
        <v>142.93256099999999</v>
      </c>
      <c r="E29" s="9">
        <f t="shared" si="0"/>
        <v>0.44559272032251718</v>
      </c>
      <c r="F29" s="22">
        <v>193.977902</v>
      </c>
      <c r="G29" s="12">
        <v>194.92364900000001</v>
      </c>
      <c r="H29" s="9">
        <f t="shared" si="1"/>
        <v>4.8755398952609053E-3</v>
      </c>
      <c r="I29" s="22">
        <v>179.11057099999999</v>
      </c>
      <c r="J29" s="12">
        <v>189.606302</v>
      </c>
      <c r="K29" s="9">
        <f t="shared" si="2"/>
        <v>5.8599171123183025E-2</v>
      </c>
      <c r="L29" s="22">
        <v>105.142545</v>
      </c>
      <c r="M29" s="12">
        <v>153.79721000000001</v>
      </c>
      <c r="N29" s="9">
        <f t="shared" si="3"/>
        <v>0.46274954634206367</v>
      </c>
    </row>
    <row r="30" spans="2:14" x14ac:dyDescent="0.25">
      <c r="B30" s="11" t="s">
        <v>21</v>
      </c>
      <c r="C30" s="24">
        <v>0.63217013276935696</v>
      </c>
      <c r="D30" s="14">
        <v>0.65966438954092499</v>
      </c>
      <c r="E30" s="9">
        <f t="shared" si="0"/>
        <v>4.3491862943798809E-2</v>
      </c>
      <c r="F30" s="24">
        <v>0.70284056131123696</v>
      </c>
      <c r="G30" s="14">
        <v>0.70007327013783904</v>
      </c>
      <c r="H30" s="9">
        <f t="shared" si="1"/>
        <v>-3.9372957762072724E-3</v>
      </c>
      <c r="I30" s="24">
        <v>0.67583398415708995</v>
      </c>
      <c r="J30" s="14">
        <v>0.67640782529804799</v>
      </c>
      <c r="K30" s="9">
        <f t="shared" si="2"/>
        <v>8.4908595070687376E-4</v>
      </c>
      <c r="L30" s="24">
        <v>0.64733827022495405</v>
      </c>
      <c r="M30" s="14">
        <v>0.66902146489151104</v>
      </c>
      <c r="N30" s="9">
        <f t="shared" si="3"/>
        <v>3.3495925799384541E-2</v>
      </c>
    </row>
    <row r="31" spans="2:14" x14ac:dyDescent="0.25">
      <c r="B31" s="11" t="s">
        <v>22</v>
      </c>
      <c r="C31" s="24">
        <v>2.0605568999999999</v>
      </c>
      <c r="D31" s="14">
        <v>2.0228774999999999</v>
      </c>
      <c r="E31" s="9">
        <f t="shared" si="0"/>
        <v>-1.8286027432680929E-2</v>
      </c>
      <c r="F31" s="24">
        <v>2.0446374</v>
      </c>
      <c r="G31" s="14">
        <v>2.0038467</v>
      </c>
      <c r="H31" s="9">
        <f t="shared" si="1"/>
        <v>-1.9950089927925685E-2</v>
      </c>
      <c r="I31" s="24">
        <v>2.0013806999999999</v>
      </c>
      <c r="J31" s="14">
        <v>1.9313178</v>
      </c>
      <c r="K31" s="9">
        <f t="shared" si="2"/>
        <v>-3.5007282722372524E-2</v>
      </c>
      <c r="L31" s="24">
        <v>1.8090679999999999</v>
      </c>
      <c r="M31" s="14">
        <v>1.7952490000000001</v>
      </c>
      <c r="N31" s="9">
        <f t="shared" si="3"/>
        <v>-7.6387399478625717E-3</v>
      </c>
    </row>
    <row r="32" spans="2:14" x14ac:dyDescent="0.25">
      <c r="B32" s="11" t="s">
        <v>23</v>
      </c>
      <c r="C32" s="24">
        <v>2.1814593000000002</v>
      </c>
      <c r="D32" s="14">
        <v>1.3323818000000001</v>
      </c>
      <c r="E32" s="9">
        <f t="shared" si="0"/>
        <v>-0.38922454340541679</v>
      </c>
      <c r="F32" s="24">
        <v>1.3282628000000001</v>
      </c>
      <c r="G32" s="14">
        <v>1.3451938999999999</v>
      </c>
      <c r="H32" s="9">
        <f t="shared" si="1"/>
        <v>1.2746799804978171E-2</v>
      </c>
      <c r="I32" s="24">
        <v>1.3704117</v>
      </c>
      <c r="J32" s="14">
        <v>1.2580917</v>
      </c>
      <c r="K32" s="9">
        <f t="shared" si="2"/>
        <v>-8.196077135068236E-2</v>
      </c>
      <c r="L32" s="24">
        <v>2.0776862</v>
      </c>
      <c r="M32" s="14">
        <v>1.2775297999999999</v>
      </c>
      <c r="N32" s="9">
        <f t="shared" si="3"/>
        <v>-0.38511898476295414</v>
      </c>
    </row>
    <row r="33" spans="2:14" x14ac:dyDescent="0.25">
      <c r="B33" s="11" t="s">
        <v>24</v>
      </c>
      <c r="C33" s="24">
        <v>0.25010500000000002</v>
      </c>
      <c r="D33" s="14">
        <v>0.25340299999999999</v>
      </c>
      <c r="E33" s="9">
        <f t="shared" si="0"/>
        <v>1.3186461686091722E-2</v>
      </c>
      <c r="F33" s="24">
        <v>0.29362100000000002</v>
      </c>
      <c r="G33" s="14">
        <v>0.29672300000000001</v>
      </c>
      <c r="H33" s="9">
        <f t="shared" si="1"/>
        <v>1.0564639450175495E-2</v>
      </c>
      <c r="I33" s="24">
        <v>0.29321900000000001</v>
      </c>
      <c r="J33" s="14">
        <v>0.29912100000000003</v>
      </c>
      <c r="K33" s="9">
        <f t="shared" si="2"/>
        <v>2.0128300007844047E-2</v>
      </c>
      <c r="L33" s="24">
        <v>0.28773900000000002</v>
      </c>
      <c r="M33" s="14">
        <v>0.26520500000000002</v>
      </c>
      <c r="N33" s="9">
        <f t="shared" si="3"/>
        <v>-7.8314027643107131E-2</v>
      </c>
    </row>
    <row r="34" spans="2:14" ht="15.75" thickBot="1" x14ac:dyDescent="0.3">
      <c r="B34" s="15" t="s">
        <v>25</v>
      </c>
      <c r="C34" s="25">
        <v>0.59103300000000003</v>
      </c>
      <c r="D34" s="16">
        <v>0.57712200000000002</v>
      </c>
      <c r="E34" s="17">
        <f t="shared" si="0"/>
        <v>-2.3536756830836891E-2</v>
      </c>
      <c r="F34" s="25">
        <v>0.61474399999999996</v>
      </c>
      <c r="G34" s="16">
        <v>0.61223899999999998</v>
      </c>
      <c r="H34" s="17">
        <f t="shared" si="1"/>
        <v>-4.0748669364808476E-3</v>
      </c>
      <c r="I34" s="25">
        <v>0.71128999999999998</v>
      </c>
      <c r="J34" s="16">
        <v>0.71045100000000005</v>
      </c>
      <c r="K34" s="17">
        <f t="shared" si="2"/>
        <v>-1.1795470202026204E-3</v>
      </c>
      <c r="L34" s="25">
        <v>0.67445500000000003</v>
      </c>
      <c r="M34" s="16">
        <v>0.62101099999999998</v>
      </c>
      <c r="N34" s="17">
        <f t="shared" si="3"/>
        <v>-7.9240275481685329E-2</v>
      </c>
    </row>
  </sheetData>
  <mergeCells count="4">
    <mergeCell ref="C12:E12"/>
    <mergeCell ref="F12:H12"/>
    <mergeCell ref="I12:K12"/>
    <mergeCell ref="L12:N12"/>
  </mergeCells>
  <pageMargins left="0.7" right="0.7" top="0.75" bottom="0.75" header="0.3" footer="0.3"/>
  <pageSetup orientation="portrait" horizontalDpi="200" verticalDpi="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0E68FBFE-9A9E-45CB-9F79-8F5181A009C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E14:E34</xm:sqref>
        </x14:conditionalFormatting>
        <x14:conditionalFormatting xmlns:xm="http://schemas.microsoft.com/office/excel/2006/main">
          <x14:cfRule type="iconSet" priority="6" id="{2E660CF7-E752-4400-A3F4-705BD5F04BE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H14:H34</xm:sqref>
        </x14:conditionalFormatting>
        <x14:conditionalFormatting xmlns:xm="http://schemas.microsoft.com/office/excel/2006/main">
          <x14:cfRule type="iconSet" priority="7" id="{E61919EE-8D14-42E9-B7AC-BB7D0E7AE2B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K14:K34</xm:sqref>
        </x14:conditionalFormatting>
        <x14:conditionalFormatting xmlns:xm="http://schemas.microsoft.com/office/excel/2006/main">
          <x14:cfRule type="iconSet" priority="8" id="{2D0FF2C5-C3C5-4FD8-8BAA-993663AEE99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N14:N34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B1D6-A16F-4085-9288-6611A4C41B4A}">
  <dimension ref="A1:D42"/>
  <sheetViews>
    <sheetView tabSelected="1" zoomScaleNormal="100" workbookViewId="0">
      <selection activeCell="L47" sqref="L47"/>
    </sheetView>
  </sheetViews>
  <sheetFormatPr defaultRowHeight="15" x14ac:dyDescent="0.25"/>
  <cols>
    <col min="1" max="1" width="15.7109375" customWidth="1"/>
    <col min="2" max="2" width="21.28515625" bestFit="1" customWidth="1"/>
    <col min="3" max="3" width="35.7109375" bestFit="1" customWidth="1"/>
    <col min="4" max="4" width="23.42578125" customWidth="1"/>
  </cols>
  <sheetData>
    <row r="1" spans="1:4" x14ac:dyDescent="0.25">
      <c r="A1" s="5" t="s">
        <v>26</v>
      </c>
      <c r="B1" s="5" t="s">
        <v>29</v>
      </c>
      <c r="C1" s="5" t="s">
        <v>33</v>
      </c>
      <c r="D1" s="5" t="s">
        <v>30</v>
      </c>
    </row>
    <row r="2" spans="1:4" x14ac:dyDescent="0.25">
      <c r="A2" s="5" t="s">
        <v>3</v>
      </c>
      <c r="B2" s="5" t="s">
        <v>32</v>
      </c>
      <c r="C2" s="5" t="s">
        <v>35</v>
      </c>
      <c r="D2" s="5">
        <v>1</v>
      </c>
    </row>
    <row r="3" spans="1:4" hidden="1" x14ac:dyDescent="0.25">
      <c r="A3" s="5" t="s">
        <v>3</v>
      </c>
      <c r="B3" s="5" t="s">
        <v>31</v>
      </c>
      <c r="C3" s="5" t="s">
        <v>37</v>
      </c>
      <c r="D3" s="5">
        <v>1</v>
      </c>
    </row>
    <row r="4" spans="1:4" x14ac:dyDescent="0.25">
      <c r="A4" s="5" t="s">
        <v>3</v>
      </c>
      <c r="B4" s="5" t="s">
        <v>3</v>
      </c>
      <c r="C4" s="5" t="s">
        <v>36</v>
      </c>
      <c r="D4" s="5">
        <v>1082</v>
      </c>
    </row>
    <row r="5" spans="1:4" hidden="1" x14ac:dyDescent="0.25">
      <c r="A5" s="5" t="s">
        <v>3</v>
      </c>
      <c r="B5" s="5" t="s">
        <v>3</v>
      </c>
      <c r="C5" s="5" t="s">
        <v>38</v>
      </c>
      <c r="D5" s="5">
        <v>3</v>
      </c>
    </row>
    <row r="6" spans="1:4" hidden="1" x14ac:dyDescent="0.25">
      <c r="A6" s="5" t="s">
        <v>3</v>
      </c>
      <c r="B6" s="5" t="s">
        <v>32</v>
      </c>
      <c r="C6" s="5" t="s">
        <v>38</v>
      </c>
      <c r="D6" s="5">
        <v>277</v>
      </c>
    </row>
    <row r="7" spans="1:4" hidden="1" x14ac:dyDescent="0.25">
      <c r="A7" s="5" t="s">
        <v>3</v>
      </c>
      <c r="B7" s="5" t="s">
        <v>31</v>
      </c>
      <c r="C7" s="5" t="s">
        <v>34</v>
      </c>
      <c r="D7" s="5">
        <v>3</v>
      </c>
    </row>
    <row r="8" spans="1:4" hidden="1" x14ac:dyDescent="0.25">
      <c r="A8" s="5" t="s">
        <v>3</v>
      </c>
      <c r="B8" s="5" t="s">
        <v>32</v>
      </c>
      <c r="C8" s="5" t="s">
        <v>34</v>
      </c>
      <c r="D8" s="5">
        <v>8</v>
      </c>
    </row>
    <row r="9" spans="1:4" x14ac:dyDescent="0.25">
      <c r="A9" s="5" t="s">
        <v>3</v>
      </c>
      <c r="B9" s="5" t="s">
        <v>3</v>
      </c>
      <c r="C9" s="5" t="s">
        <v>35</v>
      </c>
      <c r="D9" s="5">
        <v>408</v>
      </c>
    </row>
    <row r="10" spans="1:4" hidden="1" x14ac:dyDescent="0.25">
      <c r="A10" s="5" t="s">
        <v>3</v>
      </c>
      <c r="B10" s="5" t="s">
        <v>3</v>
      </c>
      <c r="C10" s="5" t="s">
        <v>34</v>
      </c>
      <c r="D10" s="5">
        <v>454</v>
      </c>
    </row>
    <row r="11" spans="1:4" hidden="1" x14ac:dyDescent="0.25">
      <c r="A11" s="5" t="s">
        <v>3</v>
      </c>
      <c r="B11" s="5" t="s">
        <v>31</v>
      </c>
      <c r="C11" s="5" t="s">
        <v>38</v>
      </c>
      <c r="D11" s="5">
        <v>19</v>
      </c>
    </row>
    <row r="12" spans="1:4" hidden="1" x14ac:dyDescent="0.25">
      <c r="A12" s="5" t="s">
        <v>0</v>
      </c>
      <c r="B12" s="5" t="s">
        <v>3</v>
      </c>
      <c r="C12" s="5" t="s">
        <v>34</v>
      </c>
      <c r="D12" s="5">
        <v>52</v>
      </c>
    </row>
    <row r="13" spans="1:4" x14ac:dyDescent="0.25">
      <c r="A13" s="5" t="s">
        <v>0</v>
      </c>
      <c r="B13" s="5" t="s">
        <v>32</v>
      </c>
      <c r="C13" s="5" t="s">
        <v>35</v>
      </c>
      <c r="D13" s="5">
        <v>363</v>
      </c>
    </row>
    <row r="14" spans="1:4" x14ac:dyDescent="0.25">
      <c r="A14" s="5" t="s">
        <v>0</v>
      </c>
      <c r="B14" s="5" t="s">
        <v>31</v>
      </c>
      <c r="C14" s="5" t="s">
        <v>36</v>
      </c>
      <c r="D14" s="5">
        <v>1</v>
      </c>
    </row>
    <row r="15" spans="1:4" x14ac:dyDescent="0.25">
      <c r="A15" s="5" t="s">
        <v>0</v>
      </c>
      <c r="B15" s="5" t="s">
        <v>31</v>
      </c>
      <c r="C15" s="5" t="s">
        <v>35</v>
      </c>
      <c r="D15" s="5">
        <v>1</v>
      </c>
    </row>
    <row r="16" spans="1:4" hidden="1" x14ac:dyDescent="0.25">
      <c r="A16" s="5" t="s">
        <v>0</v>
      </c>
      <c r="B16" s="5" t="s">
        <v>32</v>
      </c>
      <c r="C16" s="5" t="s">
        <v>38</v>
      </c>
      <c r="D16" s="5">
        <v>5247</v>
      </c>
    </row>
    <row r="17" spans="1:4" hidden="1" x14ac:dyDescent="0.25">
      <c r="A17" s="5" t="s">
        <v>0</v>
      </c>
      <c r="B17" s="5" t="s">
        <v>31</v>
      </c>
      <c r="C17" s="5" t="s">
        <v>38</v>
      </c>
      <c r="D17" s="5">
        <v>15</v>
      </c>
    </row>
    <row r="18" spans="1:4" x14ac:dyDescent="0.25">
      <c r="A18" s="5" t="s">
        <v>0</v>
      </c>
      <c r="B18" s="5" t="s">
        <v>32</v>
      </c>
      <c r="C18" s="5" t="s">
        <v>36</v>
      </c>
      <c r="D18" s="5">
        <v>1173</v>
      </c>
    </row>
    <row r="19" spans="1:4" hidden="1" x14ac:dyDescent="0.25">
      <c r="A19" s="5" t="s">
        <v>0</v>
      </c>
      <c r="B19" s="5" t="s">
        <v>31</v>
      </c>
      <c r="C19" s="5" t="s">
        <v>37</v>
      </c>
      <c r="D19" s="5">
        <v>2</v>
      </c>
    </row>
    <row r="20" spans="1:4" hidden="1" x14ac:dyDescent="0.25">
      <c r="A20" s="5" t="s">
        <v>0</v>
      </c>
      <c r="B20" s="5" t="s">
        <v>32</v>
      </c>
      <c r="C20" s="5" t="s">
        <v>34</v>
      </c>
      <c r="D20" s="5">
        <v>126</v>
      </c>
    </row>
    <row r="21" spans="1:4" hidden="1" x14ac:dyDescent="0.25">
      <c r="A21" s="5" t="s">
        <v>0</v>
      </c>
      <c r="B21" s="5" t="s">
        <v>31</v>
      </c>
      <c r="C21" s="5" t="s">
        <v>34</v>
      </c>
      <c r="D21" s="5">
        <v>7</v>
      </c>
    </row>
    <row r="22" spans="1:4" hidden="1" x14ac:dyDescent="0.25">
      <c r="A22" s="5" t="s">
        <v>1</v>
      </c>
      <c r="B22" s="5" t="s">
        <v>31</v>
      </c>
      <c r="C22" s="5" t="s">
        <v>37</v>
      </c>
      <c r="D22" s="5">
        <v>3</v>
      </c>
    </row>
    <row r="23" spans="1:4" hidden="1" x14ac:dyDescent="0.25">
      <c r="A23" s="5" t="s">
        <v>1</v>
      </c>
      <c r="B23" s="5" t="s">
        <v>31</v>
      </c>
      <c r="C23" s="5" t="s">
        <v>38</v>
      </c>
      <c r="D23" s="5">
        <v>55</v>
      </c>
    </row>
    <row r="24" spans="1:4" x14ac:dyDescent="0.25">
      <c r="A24" s="5" t="s">
        <v>1</v>
      </c>
      <c r="B24" s="5" t="s">
        <v>32</v>
      </c>
      <c r="C24" s="5" t="s">
        <v>36</v>
      </c>
      <c r="D24" s="5">
        <v>393</v>
      </c>
    </row>
    <row r="25" spans="1:4" hidden="1" x14ac:dyDescent="0.25">
      <c r="A25" s="5" t="s">
        <v>1</v>
      </c>
      <c r="B25" s="5" t="s">
        <v>31</v>
      </c>
      <c r="C25" s="5" t="s">
        <v>34</v>
      </c>
      <c r="D25" s="5">
        <v>1</v>
      </c>
    </row>
    <row r="26" spans="1:4" hidden="1" x14ac:dyDescent="0.25">
      <c r="A26" s="5" t="s">
        <v>1</v>
      </c>
      <c r="B26" s="5" t="s">
        <v>3</v>
      </c>
      <c r="C26" s="5" t="s">
        <v>34</v>
      </c>
      <c r="D26" s="5">
        <v>33</v>
      </c>
    </row>
    <row r="27" spans="1:4" x14ac:dyDescent="0.25">
      <c r="A27" s="5" t="s">
        <v>1</v>
      </c>
      <c r="B27" s="5" t="s">
        <v>31</v>
      </c>
      <c r="C27" s="5" t="s">
        <v>35</v>
      </c>
      <c r="D27" s="5">
        <v>4</v>
      </c>
    </row>
    <row r="28" spans="1:4" hidden="1" x14ac:dyDescent="0.25">
      <c r="A28" s="5" t="s">
        <v>1</v>
      </c>
      <c r="B28" s="5" t="s">
        <v>32</v>
      </c>
      <c r="C28" s="5" t="s">
        <v>34</v>
      </c>
      <c r="D28" s="5">
        <v>62</v>
      </c>
    </row>
    <row r="29" spans="1:4" x14ac:dyDescent="0.25">
      <c r="A29" s="5" t="s">
        <v>1</v>
      </c>
      <c r="B29" s="5" t="s">
        <v>31</v>
      </c>
      <c r="C29" s="5" t="s">
        <v>36</v>
      </c>
      <c r="D29" s="5">
        <v>3</v>
      </c>
    </row>
    <row r="30" spans="1:4" x14ac:dyDescent="0.25">
      <c r="A30" s="5" t="s">
        <v>1</v>
      </c>
      <c r="B30" s="5" t="s">
        <v>32</v>
      </c>
      <c r="C30" s="5" t="s">
        <v>35</v>
      </c>
      <c r="D30" s="5">
        <v>166</v>
      </c>
    </row>
    <row r="31" spans="1:4" hidden="1" x14ac:dyDescent="0.25">
      <c r="A31" s="5" t="s">
        <v>1</v>
      </c>
      <c r="B31" s="5" t="s">
        <v>32</v>
      </c>
      <c r="C31" s="5" t="s">
        <v>38</v>
      </c>
      <c r="D31" s="5">
        <v>2912</v>
      </c>
    </row>
    <row r="32" spans="1:4" x14ac:dyDescent="0.25">
      <c r="A32" s="5" t="s">
        <v>2</v>
      </c>
      <c r="B32" s="5" t="s">
        <v>32</v>
      </c>
      <c r="C32" s="5" t="s">
        <v>36</v>
      </c>
      <c r="D32" s="5">
        <v>871</v>
      </c>
    </row>
    <row r="33" spans="1:4" x14ac:dyDescent="0.25">
      <c r="A33" s="5" t="s">
        <v>2</v>
      </c>
      <c r="B33" s="5" t="s">
        <v>31</v>
      </c>
      <c r="C33" s="5" t="s">
        <v>36</v>
      </c>
      <c r="D33" s="5">
        <v>1</v>
      </c>
    </row>
    <row r="34" spans="1:4" hidden="1" x14ac:dyDescent="0.25">
      <c r="A34" s="5" t="s">
        <v>2</v>
      </c>
      <c r="B34" s="5" t="s">
        <v>32</v>
      </c>
      <c r="C34" s="5" t="s">
        <v>38</v>
      </c>
      <c r="D34" s="5">
        <v>4316</v>
      </c>
    </row>
    <row r="35" spans="1:4" hidden="1" x14ac:dyDescent="0.25">
      <c r="A35" s="5" t="s">
        <v>2</v>
      </c>
      <c r="B35" s="5" t="s">
        <v>32</v>
      </c>
      <c r="C35" s="5" t="s">
        <v>37</v>
      </c>
      <c r="D35" s="5">
        <v>1</v>
      </c>
    </row>
    <row r="36" spans="1:4" hidden="1" x14ac:dyDescent="0.25">
      <c r="A36" s="5" t="s">
        <v>2</v>
      </c>
      <c r="B36" s="5" t="s">
        <v>32</v>
      </c>
      <c r="C36" s="5" t="s">
        <v>34</v>
      </c>
      <c r="D36" s="5">
        <v>129</v>
      </c>
    </row>
    <row r="37" spans="1:4" x14ac:dyDescent="0.25">
      <c r="A37" s="5" t="s">
        <v>2</v>
      </c>
      <c r="B37" s="5" t="s">
        <v>31</v>
      </c>
      <c r="C37" s="5" t="s">
        <v>35</v>
      </c>
      <c r="D37" s="5">
        <v>3</v>
      </c>
    </row>
    <row r="38" spans="1:4" hidden="1" x14ac:dyDescent="0.25">
      <c r="A38" s="5" t="s">
        <v>2</v>
      </c>
      <c r="B38" s="5" t="s">
        <v>31</v>
      </c>
      <c r="C38" s="5" t="s">
        <v>37</v>
      </c>
      <c r="D38" s="5">
        <v>9</v>
      </c>
    </row>
    <row r="39" spans="1:4" x14ac:dyDescent="0.25">
      <c r="A39" s="5" t="s">
        <v>2</v>
      </c>
      <c r="B39" s="5" t="s">
        <v>32</v>
      </c>
      <c r="C39" s="5" t="s">
        <v>35</v>
      </c>
      <c r="D39" s="5">
        <v>256</v>
      </c>
    </row>
    <row r="40" spans="1:4" hidden="1" x14ac:dyDescent="0.25">
      <c r="A40" s="5" t="s">
        <v>2</v>
      </c>
      <c r="B40" s="5" t="s">
        <v>31</v>
      </c>
      <c r="C40" s="5" t="s">
        <v>38</v>
      </c>
      <c r="D40" s="5">
        <v>56</v>
      </c>
    </row>
    <row r="41" spans="1:4" hidden="1" x14ac:dyDescent="0.25">
      <c r="A41" s="5" t="s">
        <v>2</v>
      </c>
      <c r="B41" s="5" t="s">
        <v>31</v>
      </c>
      <c r="C41" s="5" t="s">
        <v>34</v>
      </c>
      <c r="D41" s="5">
        <v>11</v>
      </c>
    </row>
    <row r="42" spans="1:4" hidden="1" x14ac:dyDescent="0.25">
      <c r="A42" s="5" t="s">
        <v>2</v>
      </c>
      <c r="B42" s="5" t="s">
        <v>3</v>
      </c>
      <c r="C42" s="5" t="s">
        <v>34</v>
      </c>
      <c r="D42" s="5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Renewals and Plan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Mishra</dc:creator>
  <cp:lastModifiedBy>Ranjan Mishra</cp:lastModifiedBy>
  <dcterms:created xsi:type="dcterms:W3CDTF">2015-06-05T18:17:20Z</dcterms:created>
  <dcterms:modified xsi:type="dcterms:W3CDTF">2026-02-04T18:59:55Z</dcterms:modified>
</cp:coreProperties>
</file>