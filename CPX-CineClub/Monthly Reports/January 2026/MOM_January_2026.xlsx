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5683" documentId="13_ncr:1_{09BAE43D-3A03-4D8E-AF36-A95830A08EA4}" xr6:coauthVersionLast="47" xr6:coauthVersionMax="47" xr10:uidLastSave="{212FD39D-0B6C-4224-9623-2EA4A4A7AB25}"/>
  <bookViews>
    <workbookView xWindow="-120" yWindow="-120" windowWidth="29040" windowHeight="15720" firstSheet="41" activeTab="53" xr2:uid="{881593CA-A1FD-4B88-B8B7-7F30724E44B9}"/>
  </bookViews>
  <sheets>
    <sheet name="AUG 21" sheetId="12" r:id="rId1"/>
    <sheet name="SEP 21" sheetId="14" r:id="rId2"/>
    <sheet name="OCT 21" sheetId="13" r:id="rId3"/>
    <sheet name="NOV 21" sheetId="21" r:id="rId4"/>
    <sheet name="DEC 21" sheetId="20" r:id="rId5"/>
    <sheet name="JAN 22" sheetId="19" r:id="rId6"/>
    <sheet name="FEB 22" sheetId="18" r:id="rId7"/>
    <sheet name="MAR 22" sheetId="17" r:id="rId8"/>
    <sheet name="APR 22" sheetId="16" r:id="rId9"/>
    <sheet name="MAY 22" sheetId="9" r:id="rId10"/>
    <sheet name="JUN 22" sheetId="22" r:id="rId11"/>
    <sheet name="JUL 22" sheetId="23" r:id="rId12"/>
    <sheet name="AUG 22" sheetId="25" r:id="rId13"/>
    <sheet name="SEP 22" sheetId="26" r:id="rId14"/>
    <sheet name="OCT 22" sheetId="28" r:id="rId15"/>
    <sheet name="NOV 22" sheetId="30" r:id="rId16"/>
    <sheet name="DEC 22" sheetId="31" r:id="rId17"/>
    <sheet name="JAN 23" sheetId="32" r:id="rId18"/>
    <sheet name="FEB 23" sheetId="33" r:id="rId19"/>
    <sheet name="MAR 23" sheetId="34" r:id="rId20"/>
    <sheet name="APR 23" sheetId="36" r:id="rId21"/>
    <sheet name="May 23" sheetId="37" r:id="rId22"/>
    <sheet name="JUN 23" sheetId="38" r:id="rId23"/>
    <sheet name="JUL 23" sheetId="39" r:id="rId24"/>
    <sheet name="AUG 23" sheetId="40" r:id="rId25"/>
    <sheet name="SEP 23" sheetId="41" r:id="rId26"/>
    <sheet name="OCT 23" sheetId="42" r:id="rId27"/>
    <sheet name="NOV 23" sheetId="43" r:id="rId28"/>
    <sheet name="DEC 23" sheetId="44" r:id="rId29"/>
    <sheet name="JAN 24" sheetId="45" r:id="rId30"/>
    <sheet name="FEB 24" sheetId="46" r:id="rId31"/>
    <sheet name="MAR 24" sheetId="47" r:id="rId32"/>
    <sheet name="APR 24" sheetId="48" r:id="rId33"/>
    <sheet name="MAY 24" sheetId="49" r:id="rId34"/>
    <sheet name="JUN 24" sheetId="50" r:id="rId35"/>
    <sheet name="JUL 24" sheetId="51" r:id="rId36"/>
    <sheet name="AUG 24" sheetId="52" r:id="rId37"/>
    <sheet name="SEP 24" sheetId="53" r:id="rId38"/>
    <sheet name="Oct 24" sheetId="54" r:id="rId39"/>
    <sheet name="NOV 24" sheetId="55" r:id="rId40"/>
    <sheet name="DEC 24" sheetId="56" r:id="rId41"/>
    <sheet name="JAN 25" sheetId="57" r:id="rId42"/>
    <sheet name="FEB 25" sheetId="58" r:id="rId43"/>
    <sheet name="MAR 25" sheetId="59" r:id="rId44"/>
    <sheet name="APR 25" sheetId="60" r:id="rId45"/>
    <sheet name="MAY 25" sheetId="61" r:id="rId46"/>
    <sheet name="JUN 25" sheetId="62" r:id="rId47"/>
    <sheet name="JUL 25" sheetId="63" r:id="rId48"/>
    <sheet name="AUG 25" sheetId="64" r:id="rId49"/>
    <sheet name="SEP 25" sheetId="65" r:id="rId50"/>
    <sheet name="OCT 25" sheetId="66" r:id="rId51"/>
    <sheet name="NOV 25" sheetId="67" r:id="rId52"/>
    <sheet name="DEC 25" sheetId="68" r:id="rId53"/>
    <sheet name="JAN 26" sheetId="69" r:id="rId54"/>
    <sheet name="MOM" sheetId="35" r:id="rId55"/>
    <sheet name="WIP" sheetId="27" r:id="rId56"/>
    <sheet name="ALT" sheetId="29" r:id="rId5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3" i="69" l="1"/>
  <c r="F104" i="69" s="1"/>
  <c r="F92" i="69"/>
  <c r="Q58" i="69"/>
  <c r="P58" i="69"/>
  <c r="O58" i="69"/>
  <c r="Q54" i="69"/>
  <c r="E124" i="69"/>
  <c r="D124" i="69"/>
  <c r="E123" i="69"/>
  <c r="D123" i="69"/>
  <c r="E120" i="69"/>
  <c r="D120" i="69"/>
  <c r="E117" i="69"/>
  <c r="D117" i="69"/>
  <c r="J113" i="69"/>
  <c r="J112" i="69"/>
  <c r="J111" i="69"/>
  <c r="J110" i="69"/>
  <c r="J109" i="69"/>
  <c r="J108" i="69"/>
  <c r="J107" i="69"/>
  <c r="D103" i="69"/>
  <c r="E113" i="69" s="1"/>
  <c r="J102" i="69"/>
  <c r="I97" i="69"/>
  <c r="F97" i="69"/>
  <c r="I96" i="69"/>
  <c r="F96" i="69"/>
  <c r="I95" i="69"/>
  <c r="F95" i="69"/>
  <c r="I94" i="69"/>
  <c r="F94" i="69"/>
  <c r="I93" i="69"/>
  <c r="F93" i="69"/>
  <c r="I92" i="69"/>
  <c r="I89" i="69"/>
  <c r="F89" i="69"/>
  <c r="I88" i="69"/>
  <c r="F88" i="69"/>
  <c r="I87" i="69"/>
  <c r="F87" i="69"/>
  <c r="I86" i="69"/>
  <c r="F86" i="69"/>
  <c r="I85" i="69"/>
  <c r="F85" i="69"/>
  <c r="I84" i="69"/>
  <c r="F84" i="69"/>
  <c r="I81" i="69"/>
  <c r="F81" i="69"/>
  <c r="I80" i="69"/>
  <c r="F80" i="69"/>
  <c r="I79" i="69"/>
  <c r="F79" i="69"/>
  <c r="I78" i="69"/>
  <c r="F78" i="69"/>
  <c r="I77" i="69"/>
  <c r="F77" i="69"/>
  <c r="I76" i="69"/>
  <c r="F76" i="69"/>
  <c r="I75" i="69"/>
  <c r="F75" i="69"/>
  <c r="I72" i="69"/>
  <c r="F72" i="69"/>
  <c r="I71" i="69"/>
  <c r="F71" i="69"/>
  <c r="I70" i="69"/>
  <c r="F70" i="69"/>
  <c r="I69" i="69"/>
  <c r="F69" i="69"/>
  <c r="I68" i="69"/>
  <c r="F68" i="69"/>
  <c r="W67" i="69"/>
  <c r="I67" i="69"/>
  <c r="F67" i="69"/>
  <c r="I64" i="69"/>
  <c r="F64" i="69"/>
  <c r="I63" i="69"/>
  <c r="F63" i="69"/>
  <c r="AD59" i="69"/>
  <c r="X59" i="69"/>
  <c r="R59" i="69"/>
  <c r="G59" i="69"/>
  <c r="F59" i="69"/>
  <c r="E59" i="69"/>
  <c r="Z57" i="69"/>
  <c r="Q57" i="69"/>
  <c r="P57" i="69"/>
  <c r="O57" i="69"/>
  <c r="D56" i="69"/>
  <c r="O56" i="69" s="1"/>
  <c r="D55" i="69"/>
  <c r="P55" i="69" s="1"/>
  <c r="D54" i="69"/>
  <c r="O54" i="69" s="1"/>
  <c r="D53" i="69"/>
  <c r="P53" i="69" s="1"/>
  <c r="D52" i="69"/>
  <c r="O52" i="69" s="1"/>
  <c r="D51" i="69"/>
  <c r="P51" i="69" s="1"/>
  <c r="D50" i="69"/>
  <c r="O50" i="69" s="1"/>
  <c r="D49" i="69"/>
  <c r="O49" i="69" s="1"/>
  <c r="D48" i="69"/>
  <c r="O48" i="69" s="1"/>
  <c r="D47" i="69"/>
  <c r="P47" i="69" s="1"/>
  <c r="D46" i="69"/>
  <c r="O46" i="69" s="1"/>
  <c r="D45" i="69"/>
  <c r="P45" i="69" s="1"/>
  <c r="D44" i="69"/>
  <c r="O44" i="69" s="1"/>
  <c r="D43" i="69"/>
  <c r="P43" i="69" s="1"/>
  <c r="D42" i="69"/>
  <c r="O42" i="69" s="1"/>
  <c r="D41" i="69"/>
  <c r="P41" i="69" s="1"/>
  <c r="D40" i="69"/>
  <c r="O40" i="69" s="1"/>
  <c r="D39" i="69"/>
  <c r="O39" i="69" s="1"/>
  <c r="D38" i="69"/>
  <c r="O38" i="69" s="1"/>
  <c r="D37" i="69"/>
  <c r="P37" i="69" s="1"/>
  <c r="D36" i="69"/>
  <c r="O36" i="69" s="1"/>
  <c r="D35" i="69"/>
  <c r="P35" i="69" s="1"/>
  <c r="D34" i="69"/>
  <c r="O34" i="69" s="1"/>
  <c r="D33" i="69"/>
  <c r="P33" i="69" s="1"/>
  <c r="D32" i="69"/>
  <c r="O32" i="69" s="1"/>
  <c r="D31" i="69"/>
  <c r="P31" i="69" s="1"/>
  <c r="D30" i="69"/>
  <c r="O30" i="69" s="1"/>
  <c r="D29" i="69"/>
  <c r="O29" i="69" s="1"/>
  <c r="D28" i="69"/>
  <c r="O28" i="69" s="1"/>
  <c r="D27" i="69"/>
  <c r="P27" i="69" s="1"/>
  <c r="D26" i="69"/>
  <c r="O26" i="69" s="1"/>
  <c r="D25" i="69"/>
  <c r="P25" i="69" s="1"/>
  <c r="D24" i="69"/>
  <c r="O24" i="69" s="1"/>
  <c r="D23" i="69"/>
  <c r="P23" i="69" s="1"/>
  <c r="Q22" i="69"/>
  <c r="P22" i="69"/>
  <c r="O22" i="69"/>
  <c r="P20" i="69"/>
  <c r="P19" i="69"/>
  <c r="P18" i="69"/>
  <c r="P17" i="69"/>
  <c r="P16" i="69"/>
  <c r="P15" i="69"/>
  <c r="P14" i="69"/>
  <c r="P13" i="69"/>
  <c r="P12" i="69"/>
  <c r="P11" i="69"/>
  <c r="P10" i="69"/>
  <c r="P9" i="69"/>
  <c r="P8" i="69"/>
  <c r="P7" i="69"/>
  <c r="P6" i="69"/>
  <c r="J109" i="68"/>
  <c r="I74" i="68"/>
  <c r="F74" i="68"/>
  <c r="I67" i="68"/>
  <c r="F67" i="68"/>
  <c r="I66" i="68"/>
  <c r="F70" i="68"/>
  <c r="F66" i="68"/>
  <c r="AD58" i="68"/>
  <c r="Z57" i="68"/>
  <c r="X58" i="68"/>
  <c r="R58" i="68"/>
  <c r="Q57" i="68"/>
  <c r="P57" i="68"/>
  <c r="O57" i="68"/>
  <c r="E58" i="68"/>
  <c r="E123" i="68"/>
  <c r="D123" i="68"/>
  <c r="E122" i="68"/>
  <c r="D122" i="68"/>
  <c r="E119" i="68"/>
  <c r="D119" i="68"/>
  <c r="E116" i="68"/>
  <c r="D116" i="68"/>
  <c r="J112" i="68"/>
  <c r="J111" i="68"/>
  <c r="J110" i="68"/>
  <c r="J108" i="68"/>
  <c r="J107" i="68"/>
  <c r="J106" i="68"/>
  <c r="F102" i="68"/>
  <c r="F103" i="68" s="1"/>
  <c r="D102" i="68"/>
  <c r="E112" i="68" s="1"/>
  <c r="J101" i="68"/>
  <c r="I96" i="68"/>
  <c r="F96" i="68"/>
  <c r="I95" i="68"/>
  <c r="F95" i="68"/>
  <c r="I94" i="68"/>
  <c r="F94" i="68"/>
  <c r="I93" i="68"/>
  <c r="F93" i="68"/>
  <c r="I92" i="68"/>
  <c r="F92" i="68"/>
  <c r="I91" i="68"/>
  <c r="F91" i="68"/>
  <c r="I88" i="68"/>
  <c r="F88" i="68"/>
  <c r="I87" i="68"/>
  <c r="F87" i="68"/>
  <c r="I86" i="68"/>
  <c r="F86" i="68"/>
  <c r="I85" i="68"/>
  <c r="F85" i="68"/>
  <c r="I84" i="68"/>
  <c r="F84" i="68"/>
  <c r="I83" i="68"/>
  <c r="F83" i="68"/>
  <c r="I80" i="68"/>
  <c r="F80" i="68"/>
  <c r="I79" i="68"/>
  <c r="F79" i="68"/>
  <c r="I78" i="68"/>
  <c r="F78" i="68"/>
  <c r="I77" i="68"/>
  <c r="F77" i="68"/>
  <c r="I76" i="68"/>
  <c r="F76" i="68"/>
  <c r="I75" i="68"/>
  <c r="F75" i="68"/>
  <c r="I71" i="68"/>
  <c r="F71" i="68"/>
  <c r="I70" i="68"/>
  <c r="I69" i="68"/>
  <c r="F69" i="68"/>
  <c r="I68" i="68"/>
  <c r="F68" i="68"/>
  <c r="W66" i="68"/>
  <c r="I63" i="68"/>
  <c r="F63" i="68"/>
  <c r="I62" i="68"/>
  <c r="F62" i="68"/>
  <c r="G58" i="68"/>
  <c r="F58" i="68"/>
  <c r="D56" i="68"/>
  <c r="Q56" i="68" s="1"/>
  <c r="D55" i="68"/>
  <c r="Q55" i="68" s="1"/>
  <c r="D54" i="68"/>
  <c r="P54" i="68" s="1"/>
  <c r="D53" i="68"/>
  <c r="Q53" i="68" s="1"/>
  <c r="D52" i="68"/>
  <c r="Q52" i="68" s="1"/>
  <c r="D51" i="68"/>
  <c r="Q51" i="68" s="1"/>
  <c r="D50" i="68"/>
  <c r="Q50" i="68" s="1"/>
  <c r="D49" i="68"/>
  <c r="Q49" i="68" s="1"/>
  <c r="D48" i="68"/>
  <c r="O48" i="68" s="1"/>
  <c r="D47" i="68"/>
  <c r="Q47" i="68" s="1"/>
  <c r="D46" i="68"/>
  <c r="Q46" i="68" s="1"/>
  <c r="D45" i="68"/>
  <c r="Q45" i="68" s="1"/>
  <c r="D44" i="68"/>
  <c r="Q44" i="68" s="1"/>
  <c r="D43" i="68"/>
  <c r="Q43" i="68" s="1"/>
  <c r="D42" i="68"/>
  <c r="Q42" i="68" s="1"/>
  <c r="D41" i="68"/>
  <c r="Q41" i="68" s="1"/>
  <c r="D40" i="68"/>
  <c r="Q40" i="68" s="1"/>
  <c r="D39" i="68"/>
  <c r="Q39" i="68" s="1"/>
  <c r="D38" i="68"/>
  <c r="P38" i="68" s="1"/>
  <c r="D37" i="68"/>
  <c r="Q37" i="68" s="1"/>
  <c r="D36" i="68"/>
  <c r="Q36" i="68" s="1"/>
  <c r="D35" i="68"/>
  <c r="Q35" i="68" s="1"/>
  <c r="D34" i="68"/>
  <c r="Q34" i="68" s="1"/>
  <c r="D33" i="68"/>
  <c r="Q33" i="68" s="1"/>
  <c r="D32" i="68"/>
  <c r="O32" i="68" s="1"/>
  <c r="D31" i="68"/>
  <c r="Q31" i="68" s="1"/>
  <c r="D30" i="68"/>
  <c r="Q30" i="68" s="1"/>
  <c r="D29" i="68"/>
  <c r="Q29" i="68" s="1"/>
  <c r="D28" i="68"/>
  <c r="Q28" i="68" s="1"/>
  <c r="D27" i="68"/>
  <c r="Q27" i="68" s="1"/>
  <c r="D26" i="68"/>
  <c r="P26" i="68" s="1"/>
  <c r="D25" i="68"/>
  <c r="Q25" i="68" s="1"/>
  <c r="D24" i="68"/>
  <c r="Q24" i="68" s="1"/>
  <c r="D23" i="68"/>
  <c r="Q23" i="68" s="1"/>
  <c r="Q22" i="68"/>
  <c r="P22" i="68"/>
  <c r="O22" i="68"/>
  <c r="P20" i="68"/>
  <c r="P19" i="68"/>
  <c r="P18" i="68"/>
  <c r="P17" i="68"/>
  <c r="P16" i="68"/>
  <c r="P15" i="68"/>
  <c r="P14" i="68"/>
  <c r="P13" i="68"/>
  <c r="P12" i="68"/>
  <c r="P11" i="68"/>
  <c r="P10" i="68"/>
  <c r="P9" i="68"/>
  <c r="P8" i="68"/>
  <c r="P7" i="68"/>
  <c r="P6" i="68"/>
  <c r="W65" i="67"/>
  <c r="E115" i="67"/>
  <c r="J106" i="67"/>
  <c r="J105" i="67"/>
  <c r="J107" i="67"/>
  <c r="D56" i="67"/>
  <c r="O56" i="67" s="1"/>
  <c r="D55" i="67"/>
  <c r="Q55" i="67" s="1"/>
  <c r="E122" i="67"/>
  <c r="D122" i="67"/>
  <c r="E121" i="67"/>
  <c r="D121" i="67"/>
  <c r="E118" i="67"/>
  <c r="D118" i="67"/>
  <c r="D115" i="67"/>
  <c r="J111" i="67"/>
  <c r="J110" i="67"/>
  <c r="J109" i="67"/>
  <c r="J108" i="67"/>
  <c r="J100" i="67"/>
  <c r="I95" i="67"/>
  <c r="F95" i="67"/>
  <c r="I94" i="67"/>
  <c r="F94" i="67"/>
  <c r="I93" i="67"/>
  <c r="F93" i="67"/>
  <c r="I92" i="67"/>
  <c r="F92" i="67"/>
  <c r="I91" i="67"/>
  <c r="F91" i="67"/>
  <c r="I90" i="67"/>
  <c r="F90" i="67"/>
  <c r="I87" i="67"/>
  <c r="F87" i="67"/>
  <c r="I86" i="67"/>
  <c r="F86" i="67"/>
  <c r="I85" i="67"/>
  <c r="F85" i="67"/>
  <c r="I84" i="67"/>
  <c r="F84" i="67"/>
  <c r="I83" i="67"/>
  <c r="F83" i="67"/>
  <c r="I82" i="67"/>
  <c r="F82" i="67"/>
  <c r="I79" i="67"/>
  <c r="F79" i="67"/>
  <c r="I78" i="67"/>
  <c r="F78" i="67"/>
  <c r="I77" i="67"/>
  <c r="F77" i="67"/>
  <c r="I76" i="67"/>
  <c r="F76" i="67"/>
  <c r="I75" i="67"/>
  <c r="F75" i="67"/>
  <c r="I74" i="67"/>
  <c r="F74" i="67"/>
  <c r="I73" i="67"/>
  <c r="F73" i="67"/>
  <c r="I70" i="67"/>
  <c r="F70" i="67"/>
  <c r="I69" i="67"/>
  <c r="F69" i="67"/>
  <c r="I68" i="67"/>
  <c r="F68" i="67"/>
  <c r="I67" i="67"/>
  <c r="F67" i="67"/>
  <c r="I66" i="67"/>
  <c r="F66" i="67"/>
  <c r="I65" i="67"/>
  <c r="F65" i="67"/>
  <c r="I62" i="67"/>
  <c r="F62" i="67"/>
  <c r="I61" i="67"/>
  <c r="F61" i="67"/>
  <c r="AD57" i="67"/>
  <c r="X57" i="67"/>
  <c r="R57" i="67"/>
  <c r="G57" i="67"/>
  <c r="F57" i="67"/>
  <c r="E57" i="67"/>
  <c r="D54" i="67"/>
  <c r="Q54" i="67" s="1"/>
  <c r="D53" i="67"/>
  <c r="Q53" i="67" s="1"/>
  <c r="D52" i="67"/>
  <c r="Q52" i="67" s="1"/>
  <c r="D51" i="67"/>
  <c r="O51" i="67" s="1"/>
  <c r="D50" i="67"/>
  <c r="Q50" i="67" s="1"/>
  <c r="D49" i="67"/>
  <c r="Q49" i="67" s="1"/>
  <c r="D48" i="67"/>
  <c r="Q48" i="67" s="1"/>
  <c r="D47" i="67"/>
  <c r="Q47" i="67" s="1"/>
  <c r="D46" i="67"/>
  <c r="Q46" i="67" s="1"/>
  <c r="D45" i="67"/>
  <c r="O45" i="67" s="1"/>
  <c r="D44" i="67"/>
  <c r="Q44" i="67" s="1"/>
  <c r="D43" i="67"/>
  <c r="Q43" i="67" s="1"/>
  <c r="D42" i="67"/>
  <c r="Q42" i="67" s="1"/>
  <c r="D41" i="67"/>
  <c r="P41" i="67" s="1"/>
  <c r="D40" i="67"/>
  <c r="Q40" i="67" s="1"/>
  <c r="D39" i="67"/>
  <c r="Q39" i="67" s="1"/>
  <c r="D38" i="67"/>
  <c r="Q38" i="67" s="1"/>
  <c r="D37" i="67"/>
  <c r="Q37" i="67" s="1"/>
  <c r="D36" i="67"/>
  <c r="Q36" i="67" s="1"/>
  <c r="D35" i="67"/>
  <c r="O35" i="67" s="1"/>
  <c r="D34" i="67"/>
  <c r="Q34" i="67" s="1"/>
  <c r="D33" i="67"/>
  <c r="P33" i="67" s="1"/>
  <c r="D32" i="67"/>
  <c r="Q32" i="67" s="1"/>
  <c r="D31" i="67"/>
  <c r="Q31" i="67" s="1"/>
  <c r="D30" i="67"/>
  <c r="Q30" i="67" s="1"/>
  <c r="D29" i="67"/>
  <c r="Q29" i="67" s="1"/>
  <c r="D28" i="67"/>
  <c r="Q28" i="67" s="1"/>
  <c r="D27" i="67"/>
  <c r="O27" i="67" s="1"/>
  <c r="D26" i="67"/>
  <c r="Q26" i="67" s="1"/>
  <c r="D25" i="67"/>
  <c r="P25" i="67" s="1"/>
  <c r="D24" i="67"/>
  <c r="Q24" i="67" s="1"/>
  <c r="D23" i="67"/>
  <c r="O23" i="67" s="1"/>
  <c r="Q22" i="67"/>
  <c r="P22" i="67"/>
  <c r="O22" i="67"/>
  <c r="P20" i="67"/>
  <c r="P19" i="67"/>
  <c r="P18" i="67"/>
  <c r="P17" i="67"/>
  <c r="P16" i="67"/>
  <c r="P15" i="67"/>
  <c r="P14" i="67"/>
  <c r="P13" i="67"/>
  <c r="P12" i="67"/>
  <c r="P11" i="67"/>
  <c r="P10" i="67"/>
  <c r="P9" i="67"/>
  <c r="P8" i="67"/>
  <c r="P7" i="67"/>
  <c r="P6" i="67"/>
  <c r="E114" i="66"/>
  <c r="D114" i="66"/>
  <c r="G113" i="69" l="1"/>
  <c r="E108" i="69"/>
  <c r="E110" i="69"/>
  <c r="P24" i="69"/>
  <c r="P28" i="69"/>
  <c r="P32" i="69"/>
  <c r="P36" i="69"/>
  <c r="P40" i="69"/>
  <c r="P44" i="69"/>
  <c r="P48" i="69"/>
  <c r="P52" i="69"/>
  <c r="P56" i="69"/>
  <c r="Q24" i="69"/>
  <c r="Q28" i="69"/>
  <c r="Q32" i="69"/>
  <c r="Q36" i="69"/>
  <c r="Q40" i="69"/>
  <c r="Q44" i="69"/>
  <c r="Q48" i="69"/>
  <c r="Q52" i="69"/>
  <c r="Q56" i="69"/>
  <c r="P26" i="69"/>
  <c r="P30" i="69"/>
  <c r="P34" i="69"/>
  <c r="P38" i="69"/>
  <c r="P42" i="69"/>
  <c r="P46" i="69"/>
  <c r="P50" i="69"/>
  <c r="P54" i="69"/>
  <c r="Q26" i="69"/>
  <c r="Q30" i="69"/>
  <c r="Q34" i="69"/>
  <c r="Q38" i="69"/>
  <c r="Q42" i="69"/>
  <c r="Q46" i="69"/>
  <c r="Q50" i="69"/>
  <c r="E112" i="69"/>
  <c r="I113" i="69"/>
  <c r="Q23" i="69"/>
  <c r="Q25" i="69"/>
  <c r="Q27" i="69"/>
  <c r="Q29" i="69"/>
  <c r="Q31" i="69"/>
  <c r="Q33" i="69"/>
  <c r="Q35" i="69"/>
  <c r="Q37" i="69"/>
  <c r="Q39" i="69"/>
  <c r="Q41" i="69"/>
  <c r="Q43" i="69"/>
  <c r="Q45" i="69"/>
  <c r="Q47" i="69"/>
  <c r="Q49" i="69"/>
  <c r="Q51" i="69"/>
  <c r="Q53" i="69"/>
  <c r="Q55" i="69"/>
  <c r="D104" i="69"/>
  <c r="E102" i="69" s="1"/>
  <c r="G108" i="69"/>
  <c r="G110" i="69"/>
  <c r="G112" i="69"/>
  <c r="G107" i="69"/>
  <c r="G109" i="69"/>
  <c r="G111" i="69"/>
  <c r="G103" i="69"/>
  <c r="O23" i="69"/>
  <c r="O27" i="69"/>
  <c r="O31" i="69"/>
  <c r="O35" i="69"/>
  <c r="O37" i="69"/>
  <c r="O41" i="69"/>
  <c r="O45" i="69"/>
  <c r="O47" i="69"/>
  <c r="O51" i="69"/>
  <c r="O53" i="69"/>
  <c r="O55" i="69"/>
  <c r="P29" i="69"/>
  <c r="P39" i="69"/>
  <c r="P49" i="69"/>
  <c r="O25" i="69"/>
  <c r="O33" i="69"/>
  <c r="O43" i="69"/>
  <c r="J103" i="69"/>
  <c r="E107" i="69"/>
  <c r="E109" i="69"/>
  <c r="E111" i="69"/>
  <c r="P48" i="68"/>
  <c r="Q26" i="68"/>
  <c r="O42" i="68"/>
  <c r="P42" i="68"/>
  <c r="Q54" i="68"/>
  <c r="O26" i="68"/>
  <c r="Q48" i="68"/>
  <c r="P32" i="68"/>
  <c r="Q38" i="68"/>
  <c r="Q32" i="68"/>
  <c r="O29" i="67"/>
  <c r="P29" i="67"/>
  <c r="P45" i="67"/>
  <c r="Q45" i="67"/>
  <c r="P35" i="67"/>
  <c r="O41" i="67"/>
  <c r="P51" i="67"/>
  <c r="O25" i="67"/>
  <c r="Q35" i="67"/>
  <c r="Q41" i="67"/>
  <c r="Q51" i="67"/>
  <c r="Q25" i="67"/>
  <c r="P47" i="67"/>
  <c r="G107" i="68"/>
  <c r="G111" i="68"/>
  <c r="G109" i="68"/>
  <c r="E111" i="68"/>
  <c r="J102" i="68"/>
  <c r="E109" i="68"/>
  <c r="D103" i="68"/>
  <c r="E101" i="68" s="1"/>
  <c r="E107" i="68"/>
  <c r="O36" i="68"/>
  <c r="O52" i="68"/>
  <c r="O30" i="68"/>
  <c r="P36" i="68"/>
  <c r="O46" i="68"/>
  <c r="P52" i="68"/>
  <c r="J103" i="68"/>
  <c r="O24" i="68"/>
  <c r="P30" i="68"/>
  <c r="O40" i="68"/>
  <c r="P46" i="68"/>
  <c r="O56" i="68"/>
  <c r="P24" i="68"/>
  <c r="O34" i="68"/>
  <c r="P40" i="68"/>
  <c r="O50" i="68"/>
  <c r="P56" i="68"/>
  <c r="G101" i="68"/>
  <c r="O28" i="68"/>
  <c r="P34" i="68"/>
  <c r="O44" i="68"/>
  <c r="P50" i="68"/>
  <c r="P28" i="68"/>
  <c r="O38" i="68"/>
  <c r="P44" i="68"/>
  <c r="O54" i="68"/>
  <c r="G102" i="68"/>
  <c r="O23" i="68"/>
  <c r="O25" i="68"/>
  <c r="O27" i="68"/>
  <c r="O29" i="68"/>
  <c r="O31" i="68"/>
  <c r="O33" i="68"/>
  <c r="O35" i="68"/>
  <c r="O37" i="68"/>
  <c r="O39" i="68"/>
  <c r="O41" i="68"/>
  <c r="O43" i="68"/>
  <c r="O45" i="68"/>
  <c r="O47" i="68"/>
  <c r="O49" i="68"/>
  <c r="O51" i="68"/>
  <c r="O53" i="68"/>
  <c r="O55" i="68"/>
  <c r="P23" i="68"/>
  <c r="P25" i="68"/>
  <c r="P27" i="68"/>
  <c r="P29" i="68"/>
  <c r="P31" i="68"/>
  <c r="P33" i="68"/>
  <c r="P35" i="68"/>
  <c r="P37" i="68"/>
  <c r="P39" i="68"/>
  <c r="P41" i="68"/>
  <c r="P43" i="68"/>
  <c r="P45" i="68"/>
  <c r="P47" i="68"/>
  <c r="P49" i="68"/>
  <c r="P51" i="68"/>
  <c r="P53" i="68"/>
  <c r="P55" i="68"/>
  <c r="E102" i="68"/>
  <c r="I102" i="68" s="1"/>
  <c r="E106" i="68"/>
  <c r="E108" i="68"/>
  <c r="E110" i="68"/>
  <c r="G106" i="68"/>
  <c r="G108" i="68"/>
  <c r="G110" i="68"/>
  <c r="G112" i="68"/>
  <c r="I112" i="68" s="1"/>
  <c r="D101" i="67"/>
  <c r="E109" i="67" s="1"/>
  <c r="F101" i="67"/>
  <c r="G111" i="67" s="1"/>
  <c r="G110" i="67"/>
  <c r="O55" i="67"/>
  <c r="P55" i="67"/>
  <c r="O39" i="67"/>
  <c r="P23" i="67"/>
  <c r="O49" i="67"/>
  <c r="P56" i="67"/>
  <c r="Q23" i="67"/>
  <c r="O43" i="67"/>
  <c r="P49" i="67"/>
  <c r="Q56" i="67"/>
  <c r="P27" i="67"/>
  <c r="Q33" i="67"/>
  <c r="O37" i="67"/>
  <c r="P43" i="67"/>
  <c r="O53" i="67"/>
  <c r="Q27" i="67"/>
  <c r="O31" i="67"/>
  <c r="P37" i="67"/>
  <c r="O47" i="67"/>
  <c r="P53" i="67"/>
  <c r="O33" i="67"/>
  <c r="P39" i="67"/>
  <c r="P31" i="67"/>
  <c r="F102" i="67"/>
  <c r="G101" i="67" s="1"/>
  <c r="O24" i="67"/>
  <c r="O26" i="67"/>
  <c r="O28" i="67"/>
  <c r="O30" i="67"/>
  <c r="O32" i="67"/>
  <c r="O34" i="67"/>
  <c r="O36" i="67"/>
  <c r="O38" i="67"/>
  <c r="O40" i="67"/>
  <c r="O42" i="67"/>
  <c r="O44" i="67"/>
  <c r="O46" i="67"/>
  <c r="O48" i="67"/>
  <c r="O50" i="67"/>
  <c r="O52" i="67"/>
  <c r="O54" i="67"/>
  <c r="P24" i="67"/>
  <c r="P26" i="67"/>
  <c r="P28" i="67"/>
  <c r="P30" i="67"/>
  <c r="P32" i="67"/>
  <c r="P34" i="67"/>
  <c r="P36" i="67"/>
  <c r="P38" i="67"/>
  <c r="P40" i="67"/>
  <c r="P42" i="67"/>
  <c r="P44" i="67"/>
  <c r="P46" i="67"/>
  <c r="P48" i="67"/>
  <c r="P50" i="67"/>
  <c r="P52" i="67"/>
  <c r="P54" i="67"/>
  <c r="G105" i="67"/>
  <c r="G107" i="67"/>
  <c r="D54" i="66"/>
  <c r="Q54" i="66" s="1"/>
  <c r="D55" i="66"/>
  <c r="Q55" i="66"/>
  <c r="E121" i="66"/>
  <c r="D121" i="66"/>
  <c r="E120" i="66"/>
  <c r="D120" i="66"/>
  <c r="E117" i="66"/>
  <c r="D117" i="66"/>
  <c r="J110" i="66"/>
  <c r="J109" i="66"/>
  <c r="J108" i="66"/>
  <c r="J107" i="66"/>
  <c r="J106" i="66"/>
  <c r="J105" i="66"/>
  <c r="J104" i="66"/>
  <c r="F100" i="66"/>
  <c r="G110" i="66" s="1"/>
  <c r="D100" i="66"/>
  <c r="E110" i="66" s="1"/>
  <c r="J99" i="66"/>
  <c r="I94" i="66"/>
  <c r="F94" i="66"/>
  <c r="I93" i="66"/>
  <c r="F93" i="66"/>
  <c r="I92" i="66"/>
  <c r="F92" i="66"/>
  <c r="I91" i="66"/>
  <c r="F91" i="66"/>
  <c r="I90" i="66"/>
  <c r="F90" i="66"/>
  <c r="I89" i="66"/>
  <c r="F89" i="66"/>
  <c r="I86" i="66"/>
  <c r="F86" i="66"/>
  <c r="I85" i="66"/>
  <c r="F85" i="66"/>
  <c r="I84" i="66"/>
  <c r="F84" i="66"/>
  <c r="I83" i="66"/>
  <c r="F83" i="66"/>
  <c r="I82" i="66"/>
  <c r="F82" i="66"/>
  <c r="I81" i="66"/>
  <c r="F81" i="66"/>
  <c r="I78" i="66"/>
  <c r="F78" i="66"/>
  <c r="I77" i="66"/>
  <c r="F77" i="66"/>
  <c r="I76" i="66"/>
  <c r="F76" i="66"/>
  <c r="I75" i="66"/>
  <c r="F75" i="66"/>
  <c r="I74" i="66"/>
  <c r="F74" i="66"/>
  <c r="I73" i="66"/>
  <c r="F73" i="66"/>
  <c r="I72" i="66"/>
  <c r="F72" i="66"/>
  <c r="I69" i="66"/>
  <c r="F69" i="66"/>
  <c r="I68" i="66"/>
  <c r="F68" i="66"/>
  <c r="I67" i="66"/>
  <c r="F67" i="66"/>
  <c r="I66" i="66"/>
  <c r="F66" i="66"/>
  <c r="I65" i="66"/>
  <c r="F65" i="66"/>
  <c r="I64" i="66"/>
  <c r="F64" i="66"/>
  <c r="I61" i="66"/>
  <c r="F61" i="66"/>
  <c r="I60" i="66"/>
  <c r="F60" i="66"/>
  <c r="AD56" i="66"/>
  <c r="X56" i="66"/>
  <c r="R56" i="66"/>
  <c r="G56" i="66"/>
  <c r="F56" i="66"/>
  <c r="E56" i="66"/>
  <c r="D53" i="66"/>
  <c r="O53" i="66" s="1"/>
  <c r="Q52" i="66"/>
  <c r="P52" i="66"/>
  <c r="O52" i="66"/>
  <c r="D52" i="66"/>
  <c r="D51" i="66"/>
  <c r="Q51" i="66" s="1"/>
  <c r="Q50" i="66"/>
  <c r="P50" i="66"/>
  <c r="O50" i="66"/>
  <c r="D50" i="66"/>
  <c r="D49" i="66"/>
  <c r="Q49" i="66" s="1"/>
  <c r="Q48" i="66"/>
  <c r="D48" i="66"/>
  <c r="P48" i="66" s="1"/>
  <c r="D47" i="66"/>
  <c r="O47" i="66" s="1"/>
  <c r="D46" i="66"/>
  <c r="Q46" i="66" s="1"/>
  <c r="D45" i="66"/>
  <c r="Q45" i="66" s="1"/>
  <c r="D44" i="66"/>
  <c r="P44" i="66" s="1"/>
  <c r="D43" i="66"/>
  <c r="P43" i="66" s="1"/>
  <c r="Q42" i="66"/>
  <c r="P42" i="66"/>
  <c r="O42" i="66"/>
  <c r="D42" i="66"/>
  <c r="D41" i="66"/>
  <c r="Q41" i="66" s="1"/>
  <c r="P40" i="66"/>
  <c r="D40" i="66"/>
  <c r="Q40" i="66" s="1"/>
  <c r="D39" i="66"/>
  <c r="P39" i="66" s="1"/>
  <c r="D38" i="66"/>
  <c r="Q38" i="66" s="1"/>
  <c r="D37" i="66"/>
  <c r="Q37" i="66" s="1"/>
  <c r="Q36" i="66"/>
  <c r="P36" i="66"/>
  <c r="O36" i="66"/>
  <c r="D36" i="66"/>
  <c r="D35" i="66"/>
  <c r="P35" i="66" s="1"/>
  <c r="Q34" i="66"/>
  <c r="P34" i="66"/>
  <c r="O34" i="66"/>
  <c r="D34" i="66"/>
  <c r="D33" i="66"/>
  <c r="Q33" i="66" s="1"/>
  <c r="Q32" i="66"/>
  <c r="D32" i="66"/>
  <c r="P32" i="66" s="1"/>
  <c r="D31" i="66"/>
  <c r="O31" i="66" s="1"/>
  <c r="D30" i="66"/>
  <c r="Q30" i="66" s="1"/>
  <c r="D29" i="66"/>
  <c r="P29" i="66" s="1"/>
  <c r="D28" i="66"/>
  <c r="P28" i="66" s="1"/>
  <c r="D27" i="66"/>
  <c r="O27" i="66" s="1"/>
  <c r="Q26" i="66"/>
  <c r="P26" i="66"/>
  <c r="O26" i="66"/>
  <c r="D26" i="66"/>
  <c r="D25" i="66"/>
  <c r="P25" i="66" s="1"/>
  <c r="P24" i="66"/>
  <c r="D24" i="66"/>
  <c r="Q24" i="66" s="1"/>
  <c r="D23" i="66"/>
  <c r="O23" i="66" s="1"/>
  <c r="Q22" i="66"/>
  <c r="P22" i="66"/>
  <c r="O22" i="66"/>
  <c r="P20" i="66"/>
  <c r="P19" i="66"/>
  <c r="P18" i="66"/>
  <c r="P17" i="66"/>
  <c r="P16" i="66"/>
  <c r="P15" i="66"/>
  <c r="P14" i="66"/>
  <c r="P13" i="66"/>
  <c r="P12" i="66"/>
  <c r="P11" i="66"/>
  <c r="P10" i="66"/>
  <c r="P9" i="66"/>
  <c r="P8" i="66"/>
  <c r="P7" i="66"/>
  <c r="P6" i="66"/>
  <c r="P54" i="65"/>
  <c r="E113" i="65"/>
  <c r="D113" i="65"/>
  <c r="I108" i="69" l="1"/>
  <c r="I110" i="69"/>
  <c r="E103" i="69"/>
  <c r="I112" i="69"/>
  <c r="I109" i="69"/>
  <c r="I107" i="69"/>
  <c r="I103" i="69"/>
  <c r="J104" i="69"/>
  <c r="G102" i="69"/>
  <c r="I102" i="69" s="1"/>
  <c r="I111" i="69"/>
  <c r="I111" i="68"/>
  <c r="G109" i="67"/>
  <c r="I109" i="67" s="1"/>
  <c r="E107" i="67"/>
  <c r="I107" i="67" s="1"/>
  <c r="E105" i="67"/>
  <c r="E108" i="67"/>
  <c r="J101" i="67"/>
  <c r="E110" i="67"/>
  <c r="I109" i="68"/>
  <c r="I101" i="68"/>
  <c r="I107" i="68"/>
  <c r="I108" i="68"/>
  <c r="I106" i="68"/>
  <c r="I110" i="68"/>
  <c r="D102" i="67"/>
  <c r="E100" i="67" s="1"/>
  <c r="E111" i="67"/>
  <c r="I111" i="67" s="1"/>
  <c r="E106" i="67"/>
  <c r="I110" i="67"/>
  <c r="G108" i="67"/>
  <c r="G106" i="67"/>
  <c r="G100" i="67"/>
  <c r="I105" i="67"/>
  <c r="E109" i="66"/>
  <c r="E105" i="66"/>
  <c r="I110" i="66"/>
  <c r="G107" i="66"/>
  <c r="G105" i="66"/>
  <c r="E107" i="66"/>
  <c r="I107" i="66" s="1"/>
  <c r="J100" i="66"/>
  <c r="D101" i="66"/>
  <c r="E99" i="66" s="1"/>
  <c r="O54" i="66"/>
  <c r="P54" i="66"/>
  <c r="O30" i="66"/>
  <c r="O46" i="66"/>
  <c r="O24" i="66"/>
  <c r="P30" i="66"/>
  <c r="O40" i="66"/>
  <c r="P46" i="66"/>
  <c r="F101" i="66"/>
  <c r="G100" i="66" s="1"/>
  <c r="O28" i="66"/>
  <c r="O55" i="66"/>
  <c r="G109" i="66"/>
  <c r="O44" i="66"/>
  <c r="O38" i="66"/>
  <c r="Q28" i="66"/>
  <c r="O32" i="66"/>
  <c r="P38" i="66"/>
  <c r="Q44" i="66"/>
  <c r="O48" i="66"/>
  <c r="P55" i="66"/>
  <c r="E104" i="66"/>
  <c r="E106" i="66"/>
  <c r="E108" i="66"/>
  <c r="O25" i="66"/>
  <c r="O29" i="66"/>
  <c r="O33" i="66"/>
  <c r="O37" i="66"/>
  <c r="O41" i="66"/>
  <c r="O45" i="66"/>
  <c r="O49" i="66"/>
  <c r="O51" i="66"/>
  <c r="P23" i="66"/>
  <c r="P27" i="66"/>
  <c r="P31" i="66"/>
  <c r="P33" i="66"/>
  <c r="P37" i="66"/>
  <c r="P41" i="66"/>
  <c r="P45" i="66"/>
  <c r="P47" i="66"/>
  <c r="P49" i="66"/>
  <c r="P51" i="66"/>
  <c r="P53" i="66"/>
  <c r="G106" i="66"/>
  <c r="Q23" i="66"/>
  <c r="Q25" i="66"/>
  <c r="Q27" i="66"/>
  <c r="Q29" i="66"/>
  <c r="Q31" i="66"/>
  <c r="Q35" i="66"/>
  <c r="Q39" i="66"/>
  <c r="Q43" i="66"/>
  <c r="Q47" i="66"/>
  <c r="Q53" i="66"/>
  <c r="O35" i="66"/>
  <c r="O39" i="66"/>
  <c r="O43" i="66"/>
  <c r="G104" i="66"/>
  <c r="G108" i="66"/>
  <c r="D53" i="65"/>
  <c r="D54" i="65"/>
  <c r="O53" i="65"/>
  <c r="Q53" i="65"/>
  <c r="E120" i="65"/>
  <c r="D120" i="65"/>
  <c r="E119" i="65"/>
  <c r="D119" i="65"/>
  <c r="E116" i="65"/>
  <c r="D116" i="65"/>
  <c r="J109" i="65"/>
  <c r="J108" i="65"/>
  <c r="J107" i="65"/>
  <c r="J106" i="65"/>
  <c r="J105" i="65"/>
  <c r="J104" i="65"/>
  <c r="J103" i="65"/>
  <c r="F99" i="65"/>
  <c r="G107" i="65" s="1"/>
  <c r="D99" i="65"/>
  <c r="E109" i="65" s="1"/>
  <c r="J98" i="65"/>
  <c r="I93" i="65"/>
  <c r="F93" i="65"/>
  <c r="I92" i="65"/>
  <c r="F92" i="65"/>
  <c r="I91" i="65"/>
  <c r="F91" i="65"/>
  <c r="I90" i="65"/>
  <c r="F90" i="65"/>
  <c r="I89" i="65"/>
  <c r="F89" i="65"/>
  <c r="I88" i="65"/>
  <c r="F88" i="65"/>
  <c r="I85" i="65"/>
  <c r="F85" i="65"/>
  <c r="I84" i="65"/>
  <c r="F84" i="65"/>
  <c r="I83" i="65"/>
  <c r="F83" i="65"/>
  <c r="I82" i="65"/>
  <c r="F82" i="65"/>
  <c r="I81" i="65"/>
  <c r="F81" i="65"/>
  <c r="I80" i="65"/>
  <c r="F80" i="65"/>
  <c r="I77" i="65"/>
  <c r="F77" i="65"/>
  <c r="I76" i="65"/>
  <c r="F76" i="65"/>
  <c r="I75" i="65"/>
  <c r="F75" i="65"/>
  <c r="I74" i="65"/>
  <c r="F74" i="65"/>
  <c r="I73" i="65"/>
  <c r="F73" i="65"/>
  <c r="I72" i="65"/>
  <c r="F72" i="65"/>
  <c r="I71" i="65"/>
  <c r="F71" i="65"/>
  <c r="I68" i="65"/>
  <c r="F68" i="65"/>
  <c r="I67" i="65"/>
  <c r="F67" i="65"/>
  <c r="I66" i="65"/>
  <c r="F66" i="65"/>
  <c r="I65" i="65"/>
  <c r="F65" i="65"/>
  <c r="I64" i="65"/>
  <c r="F64" i="65"/>
  <c r="I63" i="65"/>
  <c r="F63" i="65"/>
  <c r="I60" i="65"/>
  <c r="F60" i="65"/>
  <c r="I59" i="65"/>
  <c r="F59" i="65"/>
  <c r="AD55" i="65"/>
  <c r="X55" i="65"/>
  <c r="R55" i="65"/>
  <c r="G55" i="65"/>
  <c r="F55" i="65"/>
  <c r="E55" i="65"/>
  <c r="Q54" i="65"/>
  <c r="P52" i="65"/>
  <c r="O52" i="65"/>
  <c r="D52" i="65"/>
  <c r="Q52" i="65" s="1"/>
  <c r="Q51" i="65"/>
  <c r="O51" i="65"/>
  <c r="D51" i="65"/>
  <c r="P51" i="65" s="1"/>
  <c r="D50" i="65"/>
  <c r="Q50" i="65" s="1"/>
  <c r="P49" i="65"/>
  <c r="D49" i="65"/>
  <c r="Q49" i="65" s="1"/>
  <c r="D48" i="65"/>
  <c r="Q48" i="65" s="1"/>
  <c r="Q47" i="65"/>
  <c r="O47" i="65"/>
  <c r="D47" i="65"/>
  <c r="P47" i="65" s="1"/>
  <c r="P46" i="65"/>
  <c r="D46" i="65"/>
  <c r="Q46" i="65" s="1"/>
  <c r="Q45" i="65"/>
  <c r="P45" i="65"/>
  <c r="D45" i="65"/>
  <c r="O45" i="65" s="1"/>
  <c r="P44" i="65"/>
  <c r="O44" i="65"/>
  <c r="D44" i="65"/>
  <c r="Q44" i="65" s="1"/>
  <c r="Q43" i="65"/>
  <c r="P43" i="65"/>
  <c r="O43" i="65"/>
  <c r="D43" i="65"/>
  <c r="D42" i="65"/>
  <c r="Q42" i="65" s="1"/>
  <c r="D41" i="65"/>
  <c r="Q41" i="65" s="1"/>
  <c r="O40" i="65"/>
  <c r="D40" i="65"/>
  <c r="Q40" i="65" s="1"/>
  <c r="D39" i="65"/>
  <c r="Q39" i="65" s="1"/>
  <c r="P38" i="65"/>
  <c r="D38" i="65"/>
  <c r="Q38" i="65" s="1"/>
  <c r="P37" i="65"/>
  <c r="D37" i="65"/>
  <c r="Q37" i="65" s="1"/>
  <c r="P36" i="65"/>
  <c r="O36" i="65"/>
  <c r="D36" i="65"/>
  <c r="Q36" i="65" s="1"/>
  <c r="Q35" i="65"/>
  <c r="P35" i="65"/>
  <c r="O35" i="65"/>
  <c r="D35" i="65"/>
  <c r="Q34" i="65"/>
  <c r="P34" i="65"/>
  <c r="O34" i="65"/>
  <c r="D34" i="65"/>
  <c r="Q33" i="65"/>
  <c r="P33" i="65"/>
  <c r="O33" i="65"/>
  <c r="D33" i="65"/>
  <c r="Q32" i="65"/>
  <c r="P32" i="65"/>
  <c r="O32" i="65"/>
  <c r="D32" i="65"/>
  <c r="Q31" i="65"/>
  <c r="P31" i="65"/>
  <c r="O31" i="65"/>
  <c r="D31" i="65"/>
  <c r="Q30" i="65"/>
  <c r="P30" i="65"/>
  <c r="O30" i="65"/>
  <c r="D30" i="65"/>
  <c r="Q29" i="65"/>
  <c r="P29" i="65"/>
  <c r="O29" i="65"/>
  <c r="D29" i="65"/>
  <c r="Q28" i="65"/>
  <c r="P28" i="65"/>
  <c r="O28" i="65"/>
  <c r="D28" i="65"/>
  <c r="Q27" i="65"/>
  <c r="P27" i="65"/>
  <c r="O27" i="65"/>
  <c r="D27" i="65"/>
  <c r="Q26" i="65"/>
  <c r="P26" i="65"/>
  <c r="O26" i="65"/>
  <c r="D26" i="65"/>
  <c r="Q25" i="65"/>
  <c r="P25" i="65"/>
  <c r="O25" i="65"/>
  <c r="D25" i="65"/>
  <c r="Q24" i="65"/>
  <c r="P24" i="65"/>
  <c r="O24" i="65"/>
  <c r="D24" i="65"/>
  <c r="Q23" i="65"/>
  <c r="P23" i="65"/>
  <c r="O23" i="65"/>
  <c r="D23" i="65"/>
  <c r="Q22" i="65"/>
  <c r="P22" i="65"/>
  <c r="O22" i="65"/>
  <c r="P20" i="65"/>
  <c r="P19" i="65"/>
  <c r="P18" i="65"/>
  <c r="P17" i="65"/>
  <c r="P16" i="65"/>
  <c r="P15" i="65"/>
  <c r="P14" i="65"/>
  <c r="P13" i="65"/>
  <c r="P12" i="65"/>
  <c r="P11" i="65"/>
  <c r="P10" i="65"/>
  <c r="P9" i="65"/>
  <c r="P8" i="65"/>
  <c r="P7" i="65"/>
  <c r="P6" i="65"/>
  <c r="E112" i="64"/>
  <c r="D112" i="64"/>
  <c r="J108" i="64"/>
  <c r="J104" i="64"/>
  <c r="J103" i="64"/>
  <c r="D98" i="64"/>
  <c r="E108" i="64" s="1"/>
  <c r="J105" i="64"/>
  <c r="Q53" i="64"/>
  <c r="P53" i="64"/>
  <c r="O53" i="64"/>
  <c r="D53" i="64"/>
  <c r="D52" i="64"/>
  <c r="Q52" i="64" s="1"/>
  <c r="E119" i="64"/>
  <c r="D119" i="64"/>
  <c r="E118" i="64"/>
  <c r="D118" i="64"/>
  <c r="E115" i="64"/>
  <c r="D115" i="64"/>
  <c r="J107" i="64"/>
  <c r="J106" i="64"/>
  <c r="J97" i="64"/>
  <c r="I92" i="64"/>
  <c r="F92" i="64"/>
  <c r="I91" i="64"/>
  <c r="F91" i="64"/>
  <c r="I90" i="64"/>
  <c r="F90" i="64"/>
  <c r="I89" i="64"/>
  <c r="F89" i="64"/>
  <c r="I88" i="64"/>
  <c r="F88" i="64"/>
  <c r="I87" i="64"/>
  <c r="F87" i="64"/>
  <c r="I84" i="64"/>
  <c r="F84" i="64"/>
  <c r="I83" i="64"/>
  <c r="F83" i="64"/>
  <c r="I82" i="64"/>
  <c r="F82" i="64"/>
  <c r="I81" i="64"/>
  <c r="F81" i="64"/>
  <c r="I80" i="64"/>
  <c r="F80" i="64"/>
  <c r="I79" i="64"/>
  <c r="F79" i="64"/>
  <c r="I76" i="64"/>
  <c r="F76" i="64"/>
  <c r="I75" i="64"/>
  <c r="F75" i="64"/>
  <c r="I74" i="64"/>
  <c r="F74" i="64"/>
  <c r="I73" i="64"/>
  <c r="F73" i="64"/>
  <c r="I72" i="64"/>
  <c r="F72" i="64"/>
  <c r="I71" i="64"/>
  <c r="F71" i="64"/>
  <c r="I70" i="64"/>
  <c r="F70" i="64"/>
  <c r="I67" i="64"/>
  <c r="F67" i="64"/>
  <c r="I66" i="64"/>
  <c r="F66" i="64"/>
  <c r="I65" i="64"/>
  <c r="F65" i="64"/>
  <c r="I64" i="64"/>
  <c r="F64" i="64"/>
  <c r="I63" i="64"/>
  <c r="F63" i="64"/>
  <c r="I62" i="64"/>
  <c r="F62" i="64"/>
  <c r="I59" i="64"/>
  <c r="F59" i="64"/>
  <c r="I58" i="64"/>
  <c r="F58" i="64"/>
  <c r="AD54" i="64"/>
  <c r="X54" i="64"/>
  <c r="R54" i="64"/>
  <c r="G54" i="64"/>
  <c r="F54" i="64"/>
  <c r="E54" i="64"/>
  <c r="Q51" i="64"/>
  <c r="D51" i="64"/>
  <c r="P51" i="64" s="1"/>
  <c r="D50" i="64"/>
  <c r="Q50" i="64" s="1"/>
  <c r="D49" i="64"/>
  <c r="P49" i="64" s="1"/>
  <c r="D48" i="64"/>
  <c r="Q48" i="64" s="1"/>
  <c r="Q47" i="64"/>
  <c r="D47" i="64"/>
  <c r="P47" i="64" s="1"/>
  <c r="D46" i="64"/>
  <c r="Q46" i="64" s="1"/>
  <c r="Q45" i="64"/>
  <c r="D45" i="64"/>
  <c r="P45" i="64" s="1"/>
  <c r="D44" i="64"/>
  <c r="Q44" i="64" s="1"/>
  <c r="D43" i="64"/>
  <c r="P43" i="64" s="1"/>
  <c r="D42" i="64"/>
  <c r="Q42" i="64" s="1"/>
  <c r="D41" i="64"/>
  <c r="P41" i="64" s="1"/>
  <c r="D40" i="64"/>
  <c r="Q40" i="64" s="1"/>
  <c r="D39" i="64"/>
  <c r="P39" i="64" s="1"/>
  <c r="D38" i="64"/>
  <c r="Q38" i="64" s="1"/>
  <c r="D37" i="64"/>
  <c r="P37" i="64" s="1"/>
  <c r="D36" i="64"/>
  <c r="Q36" i="64" s="1"/>
  <c r="Q35" i="64"/>
  <c r="D35" i="64"/>
  <c r="P35" i="64" s="1"/>
  <c r="D34" i="64"/>
  <c r="Q34" i="64" s="1"/>
  <c r="D33" i="64"/>
  <c r="P33" i="64" s="1"/>
  <c r="D32" i="64"/>
  <c r="Q32" i="64" s="1"/>
  <c r="Q31" i="64"/>
  <c r="D31" i="64"/>
  <c r="P31" i="64" s="1"/>
  <c r="D30" i="64"/>
  <c r="Q30" i="64" s="1"/>
  <c r="D29" i="64"/>
  <c r="P29" i="64" s="1"/>
  <c r="D28" i="64"/>
  <c r="Q28" i="64" s="1"/>
  <c r="D27" i="64"/>
  <c r="P27" i="64" s="1"/>
  <c r="D26" i="64"/>
  <c r="Q26" i="64" s="1"/>
  <c r="D25" i="64"/>
  <c r="P25" i="64" s="1"/>
  <c r="D24" i="64"/>
  <c r="Q24" i="64" s="1"/>
  <c r="D23" i="64"/>
  <c r="P23" i="64" s="1"/>
  <c r="Q22" i="64"/>
  <c r="P22" i="64"/>
  <c r="O22" i="64"/>
  <c r="P20" i="64"/>
  <c r="P19" i="64"/>
  <c r="P18" i="64"/>
  <c r="P17" i="64"/>
  <c r="P16" i="64"/>
  <c r="P15" i="64"/>
  <c r="P14" i="64"/>
  <c r="P13" i="64"/>
  <c r="P12" i="64"/>
  <c r="P11" i="64"/>
  <c r="P10" i="64"/>
  <c r="P9" i="64"/>
  <c r="P8" i="64"/>
  <c r="P7" i="64"/>
  <c r="P6" i="64"/>
  <c r="E111" i="63"/>
  <c r="D111" i="63"/>
  <c r="D97" i="63"/>
  <c r="F96" i="62"/>
  <c r="G102" i="62" s="1"/>
  <c r="J103" i="63"/>
  <c r="J102" i="63"/>
  <c r="F97" i="63"/>
  <c r="J107" i="63"/>
  <c r="J106" i="63"/>
  <c r="J104" i="63"/>
  <c r="AD53" i="63"/>
  <c r="X53" i="63"/>
  <c r="R53" i="63"/>
  <c r="O52" i="63"/>
  <c r="G53" i="63"/>
  <c r="F53" i="63"/>
  <c r="E53" i="63"/>
  <c r="D52" i="63"/>
  <c r="Q52" i="63" s="1"/>
  <c r="E118" i="63"/>
  <c r="D118" i="63"/>
  <c r="E117" i="63"/>
  <c r="D117" i="63"/>
  <c r="E114" i="63"/>
  <c r="D114" i="63"/>
  <c r="J105" i="63"/>
  <c r="J96" i="63"/>
  <c r="I91" i="63"/>
  <c r="F91" i="63"/>
  <c r="I90" i="63"/>
  <c r="F90" i="63"/>
  <c r="I89" i="63"/>
  <c r="F89" i="63"/>
  <c r="I88" i="63"/>
  <c r="F88" i="63"/>
  <c r="I87" i="63"/>
  <c r="F87" i="63"/>
  <c r="I86" i="63"/>
  <c r="F86" i="63"/>
  <c r="I83" i="63"/>
  <c r="F83" i="63"/>
  <c r="I82" i="63"/>
  <c r="F82" i="63"/>
  <c r="I81" i="63"/>
  <c r="F81" i="63"/>
  <c r="I80" i="63"/>
  <c r="F80" i="63"/>
  <c r="I79" i="63"/>
  <c r="F79" i="63"/>
  <c r="I78" i="63"/>
  <c r="F78" i="63"/>
  <c r="I75" i="63"/>
  <c r="F75" i="63"/>
  <c r="I74" i="63"/>
  <c r="F74" i="63"/>
  <c r="I73" i="63"/>
  <c r="F73" i="63"/>
  <c r="I72" i="63"/>
  <c r="F72" i="63"/>
  <c r="I71" i="63"/>
  <c r="F71" i="63"/>
  <c r="I70" i="63"/>
  <c r="F70" i="63"/>
  <c r="I69" i="63"/>
  <c r="F69" i="63"/>
  <c r="I66" i="63"/>
  <c r="F66" i="63"/>
  <c r="I65" i="63"/>
  <c r="F65" i="63"/>
  <c r="I64" i="63"/>
  <c r="F64" i="63"/>
  <c r="I63" i="63"/>
  <c r="F63" i="63"/>
  <c r="I62" i="63"/>
  <c r="F62" i="63"/>
  <c r="I61" i="63"/>
  <c r="F61" i="63"/>
  <c r="I58" i="63"/>
  <c r="F58" i="63"/>
  <c r="I57" i="63"/>
  <c r="F57" i="63"/>
  <c r="D51" i="63"/>
  <c r="P51" i="63" s="1"/>
  <c r="D50" i="63"/>
  <c r="Q50" i="63" s="1"/>
  <c r="D49" i="63"/>
  <c r="Q49" i="63" s="1"/>
  <c r="D48" i="63"/>
  <c r="Q48" i="63" s="1"/>
  <c r="D47" i="63"/>
  <c r="O47" i="63" s="1"/>
  <c r="D46" i="63"/>
  <c r="Q46" i="63" s="1"/>
  <c r="D45" i="63"/>
  <c r="P45" i="63" s="1"/>
  <c r="D44" i="63"/>
  <c r="Q44" i="63" s="1"/>
  <c r="D43" i="63"/>
  <c r="P43" i="63" s="1"/>
  <c r="D42" i="63"/>
  <c r="Q42" i="63" s="1"/>
  <c r="D41" i="63"/>
  <c r="Q41" i="63" s="1"/>
  <c r="D40" i="63"/>
  <c r="Q40" i="63" s="1"/>
  <c r="D39" i="63"/>
  <c r="O39" i="63" s="1"/>
  <c r="D38" i="63"/>
  <c r="Q38" i="63" s="1"/>
  <c r="D37" i="63"/>
  <c r="P37" i="63" s="1"/>
  <c r="D36" i="63"/>
  <c r="Q36" i="63" s="1"/>
  <c r="D35" i="63"/>
  <c r="O35" i="63" s="1"/>
  <c r="D34" i="63"/>
  <c r="Q34" i="63" s="1"/>
  <c r="D33" i="63"/>
  <c r="Q33" i="63" s="1"/>
  <c r="D32" i="63"/>
  <c r="Q32" i="63" s="1"/>
  <c r="D31" i="63"/>
  <c r="O31" i="63" s="1"/>
  <c r="D30" i="63"/>
  <c r="Q30" i="63" s="1"/>
  <c r="D29" i="63"/>
  <c r="P29" i="63" s="1"/>
  <c r="D28" i="63"/>
  <c r="Q28" i="63" s="1"/>
  <c r="D27" i="63"/>
  <c r="P27" i="63" s="1"/>
  <c r="D26" i="63"/>
  <c r="Q26" i="63" s="1"/>
  <c r="D25" i="63"/>
  <c r="Q25" i="63" s="1"/>
  <c r="D24" i="63"/>
  <c r="Q24" i="63" s="1"/>
  <c r="D23" i="63"/>
  <c r="O23" i="63" s="1"/>
  <c r="Q22" i="63"/>
  <c r="P22" i="63"/>
  <c r="O22" i="63"/>
  <c r="P20" i="63"/>
  <c r="P19" i="63"/>
  <c r="P18" i="63"/>
  <c r="P17" i="63"/>
  <c r="P16" i="63"/>
  <c r="P15" i="63"/>
  <c r="P14" i="63"/>
  <c r="P13" i="63"/>
  <c r="P12" i="63"/>
  <c r="P11" i="63"/>
  <c r="P10" i="63"/>
  <c r="P9" i="63"/>
  <c r="P8" i="63"/>
  <c r="P7" i="63"/>
  <c r="P6" i="63"/>
  <c r="AD52" i="27"/>
  <c r="X52" i="27"/>
  <c r="R52" i="27"/>
  <c r="G52" i="27"/>
  <c r="F52" i="27"/>
  <c r="E52" i="27"/>
  <c r="D50" i="27"/>
  <c r="D51" i="27"/>
  <c r="P51" i="27" s="1"/>
  <c r="D110" i="62"/>
  <c r="E52" i="62"/>
  <c r="F52" i="62"/>
  <c r="G52" i="62"/>
  <c r="R52" i="62"/>
  <c r="X52" i="62"/>
  <c r="AD52" i="62"/>
  <c r="Q51" i="62"/>
  <c r="P51" i="62"/>
  <c r="AD51" i="61"/>
  <c r="X51" i="61"/>
  <c r="R51" i="61"/>
  <c r="G51" i="61"/>
  <c r="F51" i="61"/>
  <c r="E51" i="61"/>
  <c r="O51" i="62"/>
  <c r="D51" i="62"/>
  <c r="E117" i="62"/>
  <c r="D117" i="62"/>
  <c r="E116" i="62"/>
  <c r="D116" i="62"/>
  <c r="E113" i="62"/>
  <c r="D113" i="62"/>
  <c r="J106" i="62"/>
  <c r="J105" i="62"/>
  <c r="J104" i="62"/>
  <c r="J103" i="62"/>
  <c r="J102" i="62"/>
  <c r="J101" i="62"/>
  <c r="J100" i="62"/>
  <c r="D96" i="62"/>
  <c r="E104" i="62" s="1"/>
  <c r="J95" i="62"/>
  <c r="I90" i="62"/>
  <c r="F90" i="62"/>
  <c r="I89" i="62"/>
  <c r="F89" i="62"/>
  <c r="I88" i="62"/>
  <c r="F88" i="62"/>
  <c r="I87" i="62"/>
  <c r="F87" i="62"/>
  <c r="I86" i="62"/>
  <c r="F86" i="62"/>
  <c r="I85" i="62"/>
  <c r="F85" i="62"/>
  <c r="I82" i="62"/>
  <c r="F82" i="62"/>
  <c r="I81" i="62"/>
  <c r="F81" i="62"/>
  <c r="I80" i="62"/>
  <c r="F80" i="62"/>
  <c r="I79" i="62"/>
  <c r="F79" i="62"/>
  <c r="I78" i="62"/>
  <c r="F78" i="62"/>
  <c r="I77" i="62"/>
  <c r="F77" i="62"/>
  <c r="I74" i="62"/>
  <c r="F74" i="62"/>
  <c r="I73" i="62"/>
  <c r="F73" i="62"/>
  <c r="I72" i="62"/>
  <c r="F72" i="62"/>
  <c r="I71" i="62"/>
  <c r="F71" i="62"/>
  <c r="I70" i="62"/>
  <c r="F70" i="62"/>
  <c r="I69" i="62"/>
  <c r="F69" i="62"/>
  <c r="I68" i="62"/>
  <c r="F68" i="62"/>
  <c r="I65" i="62"/>
  <c r="F65" i="62"/>
  <c r="I64" i="62"/>
  <c r="F64" i="62"/>
  <c r="I63" i="62"/>
  <c r="F63" i="62"/>
  <c r="I62" i="62"/>
  <c r="F62" i="62"/>
  <c r="I61" i="62"/>
  <c r="F61" i="62"/>
  <c r="I60" i="62"/>
  <c r="F60" i="62"/>
  <c r="I57" i="62"/>
  <c r="F57" i="62"/>
  <c r="I56" i="62"/>
  <c r="F56" i="62"/>
  <c r="D50" i="62"/>
  <c r="P50" i="62" s="1"/>
  <c r="D49" i="62"/>
  <c r="Q49" i="62" s="1"/>
  <c r="Q48" i="62"/>
  <c r="P48" i="62"/>
  <c r="O48" i="62"/>
  <c r="D48" i="62"/>
  <c r="D47" i="62"/>
  <c r="P47" i="62" s="1"/>
  <c r="D46" i="62"/>
  <c r="Q46" i="62" s="1"/>
  <c r="Q45" i="62"/>
  <c r="D45" i="62"/>
  <c r="P45" i="62" s="1"/>
  <c r="D44" i="62"/>
  <c r="O44" i="62" s="1"/>
  <c r="D43" i="62"/>
  <c r="Q43" i="62" s="1"/>
  <c r="Q42" i="62"/>
  <c r="P42" i="62"/>
  <c r="D42" i="62"/>
  <c r="O42" i="62" s="1"/>
  <c r="D41" i="62"/>
  <c r="P41" i="62" s="1"/>
  <c r="D40" i="62"/>
  <c r="Q40" i="62" s="1"/>
  <c r="Q39" i="62"/>
  <c r="P39" i="62"/>
  <c r="D39" i="62"/>
  <c r="O39" i="62" s="1"/>
  <c r="D38" i="62"/>
  <c r="O38" i="62" s="1"/>
  <c r="D37" i="62"/>
  <c r="Q37" i="62" s="1"/>
  <c r="Q36" i="62"/>
  <c r="P36" i="62"/>
  <c r="D36" i="62"/>
  <c r="O36" i="62" s="1"/>
  <c r="D35" i="62"/>
  <c r="P35" i="62" s="1"/>
  <c r="D34" i="62"/>
  <c r="Q34" i="62" s="1"/>
  <c r="Q33" i="62"/>
  <c r="P33" i="62"/>
  <c r="D33" i="62"/>
  <c r="O33" i="62" s="1"/>
  <c r="D32" i="62"/>
  <c r="P32" i="62" s="1"/>
  <c r="D31" i="62"/>
  <c r="Q31" i="62" s="1"/>
  <c r="Q30" i="62"/>
  <c r="P30" i="62"/>
  <c r="D30" i="62"/>
  <c r="O30" i="62" s="1"/>
  <c r="D29" i="62"/>
  <c r="Q29" i="62" s="1"/>
  <c r="D28" i="62"/>
  <c r="Q28" i="62" s="1"/>
  <c r="D27" i="62"/>
  <c r="Q27" i="62" s="1"/>
  <c r="D26" i="62"/>
  <c r="Q26" i="62" s="1"/>
  <c r="D25" i="62"/>
  <c r="Q25" i="62" s="1"/>
  <c r="D24" i="62"/>
  <c r="Q24" i="62" s="1"/>
  <c r="D23" i="62"/>
  <c r="P23" i="62" s="1"/>
  <c r="Q22" i="62"/>
  <c r="P22" i="62"/>
  <c r="O22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P7" i="62"/>
  <c r="P6" i="62"/>
  <c r="I108" i="67" l="1"/>
  <c r="J102" i="67"/>
  <c r="E101" i="67"/>
  <c r="I101" i="67" s="1"/>
  <c r="I106" i="67"/>
  <c r="I100" i="67"/>
  <c r="I105" i="66"/>
  <c r="I109" i="66"/>
  <c r="E100" i="66"/>
  <c r="I100" i="66" s="1"/>
  <c r="I108" i="66"/>
  <c r="I106" i="66"/>
  <c r="J101" i="66"/>
  <c r="G99" i="66"/>
  <c r="I99" i="66" s="1"/>
  <c r="I104" i="66"/>
  <c r="D100" i="65"/>
  <c r="E98" i="65" s="1"/>
  <c r="P53" i="65"/>
  <c r="O41" i="65"/>
  <c r="O39" i="65"/>
  <c r="P41" i="65"/>
  <c r="O48" i="65"/>
  <c r="P50" i="65"/>
  <c r="G106" i="65"/>
  <c r="O37" i="65"/>
  <c r="P39" i="65"/>
  <c r="O46" i="65"/>
  <c r="P48" i="65"/>
  <c r="O54" i="65"/>
  <c r="O42" i="65"/>
  <c r="O49" i="65"/>
  <c r="G108" i="65"/>
  <c r="I108" i="65" s="1"/>
  <c r="P42" i="65"/>
  <c r="O50" i="65"/>
  <c r="O38" i="65"/>
  <c r="P40" i="65"/>
  <c r="G104" i="65"/>
  <c r="G103" i="65"/>
  <c r="J99" i="65"/>
  <c r="E104" i="65"/>
  <c r="I104" i="65" s="1"/>
  <c r="E106" i="65"/>
  <c r="E108" i="65"/>
  <c r="F100" i="65"/>
  <c r="E103" i="65"/>
  <c r="E105" i="65"/>
  <c r="E107" i="65"/>
  <c r="I107" i="65" s="1"/>
  <c r="G109" i="65"/>
  <c r="I109" i="65" s="1"/>
  <c r="G105" i="65"/>
  <c r="J102" i="64"/>
  <c r="F98" i="64"/>
  <c r="G108" i="64" s="1"/>
  <c r="I108" i="64" s="1"/>
  <c r="O52" i="64"/>
  <c r="P52" i="64"/>
  <c r="Q37" i="64"/>
  <c r="Q27" i="64"/>
  <c r="Q25" i="64"/>
  <c r="Q41" i="64"/>
  <c r="Q23" i="64"/>
  <c r="Q39" i="64"/>
  <c r="Q43" i="64"/>
  <c r="Q33" i="64"/>
  <c r="Q49" i="64"/>
  <c r="Q29" i="64"/>
  <c r="O24" i="64"/>
  <c r="O28" i="64"/>
  <c r="O32" i="64"/>
  <c r="O34" i="64"/>
  <c r="O38" i="64"/>
  <c r="O42" i="64"/>
  <c r="O44" i="64"/>
  <c r="O46" i="64"/>
  <c r="O48" i="64"/>
  <c r="O50" i="64"/>
  <c r="E103" i="64"/>
  <c r="P24" i="64"/>
  <c r="P26" i="64"/>
  <c r="P28" i="64"/>
  <c r="P30" i="64"/>
  <c r="P32" i="64"/>
  <c r="P34" i="64"/>
  <c r="P36" i="64"/>
  <c r="P38" i="64"/>
  <c r="P40" i="64"/>
  <c r="P42" i="64"/>
  <c r="P44" i="64"/>
  <c r="P46" i="64"/>
  <c r="P48" i="64"/>
  <c r="P50" i="64"/>
  <c r="D99" i="64"/>
  <c r="E97" i="64" s="1"/>
  <c r="G107" i="64"/>
  <c r="O26" i="64"/>
  <c r="O30" i="64"/>
  <c r="O36" i="64"/>
  <c r="O40" i="64"/>
  <c r="E105" i="64"/>
  <c r="E107" i="64"/>
  <c r="O23" i="64"/>
  <c r="O25" i="64"/>
  <c r="O27" i="64"/>
  <c r="O29" i="64"/>
  <c r="O31" i="64"/>
  <c r="O33" i="64"/>
  <c r="O35" i="64"/>
  <c r="O37" i="64"/>
  <c r="O39" i="64"/>
  <c r="O41" i="64"/>
  <c r="O43" i="64"/>
  <c r="O45" i="64"/>
  <c r="O47" i="64"/>
  <c r="O49" i="64"/>
  <c r="O51" i="64"/>
  <c r="E102" i="64"/>
  <c r="E104" i="64"/>
  <c r="E106" i="64"/>
  <c r="E107" i="63"/>
  <c r="J101" i="63"/>
  <c r="P52" i="63"/>
  <c r="P39" i="63"/>
  <c r="P35" i="63"/>
  <c r="P23" i="63"/>
  <c r="Q35" i="63"/>
  <c r="O48" i="63"/>
  <c r="O32" i="63"/>
  <c r="Q43" i="63"/>
  <c r="Q27" i="63"/>
  <c r="Q51" i="63"/>
  <c r="Q37" i="63"/>
  <c r="O24" i="63"/>
  <c r="O43" i="63"/>
  <c r="P47" i="63"/>
  <c r="Q29" i="63"/>
  <c r="O27" i="63"/>
  <c r="P31" i="63"/>
  <c r="O40" i="63"/>
  <c r="Q45" i="63"/>
  <c r="Q23" i="63"/>
  <c r="O26" i="63"/>
  <c r="O29" i="63"/>
  <c r="Q31" i="63"/>
  <c r="O34" i="63"/>
  <c r="O37" i="63"/>
  <c r="Q39" i="63"/>
  <c r="O42" i="63"/>
  <c r="O45" i="63"/>
  <c r="Q47" i="63"/>
  <c r="O50" i="63"/>
  <c r="O51" i="63"/>
  <c r="O25" i="63"/>
  <c r="O33" i="63"/>
  <c r="O38" i="63"/>
  <c r="O49" i="63"/>
  <c r="P25" i="63"/>
  <c r="P33" i="63"/>
  <c r="P41" i="63"/>
  <c r="P49" i="63"/>
  <c r="O30" i="63"/>
  <c r="O41" i="63"/>
  <c r="O46" i="63"/>
  <c r="O28" i="63"/>
  <c r="O36" i="63"/>
  <c r="O44" i="63"/>
  <c r="G102" i="63"/>
  <c r="G104" i="63"/>
  <c r="G106" i="63"/>
  <c r="F98" i="63"/>
  <c r="G97" i="63" s="1"/>
  <c r="P24" i="63"/>
  <c r="P26" i="63"/>
  <c r="P28" i="63"/>
  <c r="P30" i="63"/>
  <c r="P32" i="63"/>
  <c r="P34" i="63"/>
  <c r="P36" i="63"/>
  <c r="P38" i="63"/>
  <c r="P40" i="63"/>
  <c r="P42" i="63"/>
  <c r="P44" i="63"/>
  <c r="P46" i="63"/>
  <c r="P48" i="63"/>
  <c r="P50" i="63"/>
  <c r="G101" i="63"/>
  <c r="G103" i="63"/>
  <c r="G105" i="63"/>
  <c r="G107" i="63"/>
  <c r="O51" i="27"/>
  <c r="Q51" i="27"/>
  <c r="G100" i="62"/>
  <c r="G105" i="62"/>
  <c r="G106" i="62"/>
  <c r="E100" i="62"/>
  <c r="E106" i="62"/>
  <c r="O27" i="62"/>
  <c r="O49" i="62"/>
  <c r="E102" i="62"/>
  <c r="I102" i="62" s="1"/>
  <c r="P25" i="62"/>
  <c r="P27" i="62"/>
  <c r="O45" i="62"/>
  <c r="E103" i="62"/>
  <c r="P28" i="62"/>
  <c r="G103" i="62"/>
  <c r="O46" i="62"/>
  <c r="J96" i="62"/>
  <c r="P24" i="62"/>
  <c r="D97" i="62"/>
  <c r="E95" i="62" s="1"/>
  <c r="O24" i="62"/>
  <c r="F97" i="62"/>
  <c r="G95" i="62" s="1"/>
  <c r="E105" i="62"/>
  <c r="O29" i="62"/>
  <c r="O50" i="62"/>
  <c r="P29" i="62"/>
  <c r="P44" i="62"/>
  <c r="Q23" i="62"/>
  <c r="Q32" i="62"/>
  <c r="Q35" i="62"/>
  <c r="Q38" i="62"/>
  <c r="Q41" i="62"/>
  <c r="Q44" i="62"/>
  <c r="Q47" i="62"/>
  <c r="Q50" i="62"/>
  <c r="O47" i="62"/>
  <c r="O23" i="62"/>
  <c r="O32" i="62"/>
  <c r="O41" i="62"/>
  <c r="P26" i="62"/>
  <c r="P38" i="62"/>
  <c r="O26" i="62"/>
  <c r="O25" i="62"/>
  <c r="O28" i="62"/>
  <c r="O31" i="62"/>
  <c r="O34" i="62"/>
  <c r="O37" i="62"/>
  <c r="O40" i="62"/>
  <c r="O43" i="62"/>
  <c r="E101" i="62"/>
  <c r="O35" i="62"/>
  <c r="P31" i="62"/>
  <c r="P34" i="62"/>
  <c r="P37" i="62"/>
  <c r="P40" i="62"/>
  <c r="P43" i="62"/>
  <c r="P46" i="62"/>
  <c r="P49" i="62"/>
  <c r="G101" i="62"/>
  <c r="G104" i="62"/>
  <c r="I104" i="62" s="1"/>
  <c r="H431" i="35"/>
  <c r="I367" i="35"/>
  <c r="H367" i="35"/>
  <c r="E116" i="61"/>
  <c r="E115" i="61"/>
  <c r="D109" i="61"/>
  <c r="D49" i="61"/>
  <c r="D50" i="61"/>
  <c r="O50" i="61" s="1"/>
  <c r="I103" i="65" l="1"/>
  <c r="E99" i="65"/>
  <c r="I105" i="65"/>
  <c r="I106" i="65"/>
  <c r="J100" i="65"/>
  <c r="G98" i="65"/>
  <c r="I98" i="65" s="1"/>
  <c r="G99" i="65"/>
  <c r="E98" i="64"/>
  <c r="F99" i="64"/>
  <c r="G105" i="64"/>
  <c r="I105" i="64" s="1"/>
  <c r="G106" i="64"/>
  <c r="I106" i="64" s="1"/>
  <c r="G103" i="64"/>
  <c r="I103" i="64" s="1"/>
  <c r="G104" i="64"/>
  <c r="I104" i="64" s="1"/>
  <c r="J98" i="64"/>
  <c r="G102" i="64"/>
  <c r="I102" i="64" s="1"/>
  <c r="I107" i="64"/>
  <c r="G98" i="64"/>
  <c r="J99" i="64"/>
  <c r="G97" i="64"/>
  <c r="I97" i="64" s="1"/>
  <c r="E102" i="63"/>
  <c r="I102" i="63" s="1"/>
  <c r="D98" i="63"/>
  <c r="E97" i="63" s="1"/>
  <c r="I97" i="63" s="1"/>
  <c r="E106" i="63"/>
  <c r="I106" i="63" s="1"/>
  <c r="I107" i="63"/>
  <c r="E103" i="63"/>
  <c r="I103" i="63" s="1"/>
  <c r="E104" i="63"/>
  <c r="I104" i="63" s="1"/>
  <c r="J97" i="63"/>
  <c r="E105" i="63"/>
  <c r="I105" i="63" s="1"/>
  <c r="E101" i="63"/>
  <c r="I101" i="63" s="1"/>
  <c r="G96" i="63"/>
  <c r="I100" i="62"/>
  <c r="I105" i="62"/>
  <c r="I106" i="62"/>
  <c r="G96" i="62"/>
  <c r="I95" i="62"/>
  <c r="J97" i="62"/>
  <c r="E96" i="62"/>
  <c r="I103" i="62"/>
  <c r="I101" i="62"/>
  <c r="P50" i="61"/>
  <c r="Q50" i="61"/>
  <c r="D116" i="61"/>
  <c r="D115" i="61"/>
  <c r="E112" i="61"/>
  <c r="D112" i="61"/>
  <c r="J105" i="61"/>
  <c r="J104" i="61"/>
  <c r="J103" i="61"/>
  <c r="J102" i="61"/>
  <c r="J101" i="61"/>
  <c r="J100" i="61"/>
  <c r="J99" i="61"/>
  <c r="F95" i="61"/>
  <c r="G104" i="61" s="1"/>
  <c r="D95" i="61"/>
  <c r="E104" i="61" s="1"/>
  <c r="J94" i="61"/>
  <c r="I89" i="61"/>
  <c r="F89" i="61"/>
  <c r="I88" i="61"/>
  <c r="F88" i="61"/>
  <c r="I87" i="61"/>
  <c r="F87" i="61"/>
  <c r="I86" i="61"/>
  <c r="F86" i="61"/>
  <c r="I85" i="61"/>
  <c r="F85" i="61"/>
  <c r="I84" i="61"/>
  <c r="F84" i="61"/>
  <c r="I81" i="61"/>
  <c r="F81" i="61"/>
  <c r="I80" i="61"/>
  <c r="F80" i="61"/>
  <c r="I79" i="61"/>
  <c r="F79" i="61"/>
  <c r="I78" i="61"/>
  <c r="F78" i="61"/>
  <c r="I77" i="61"/>
  <c r="F77" i="61"/>
  <c r="I76" i="61"/>
  <c r="F76" i="61"/>
  <c r="I73" i="61"/>
  <c r="F73" i="61"/>
  <c r="I72" i="61"/>
  <c r="F72" i="61"/>
  <c r="I71" i="61"/>
  <c r="F71" i="61"/>
  <c r="I70" i="61"/>
  <c r="F70" i="61"/>
  <c r="I69" i="61"/>
  <c r="F69" i="61"/>
  <c r="I68" i="61"/>
  <c r="F68" i="61"/>
  <c r="I67" i="61"/>
  <c r="F67" i="61"/>
  <c r="I64" i="61"/>
  <c r="F64" i="61"/>
  <c r="I63" i="61"/>
  <c r="F63" i="61"/>
  <c r="I62" i="61"/>
  <c r="F62" i="61"/>
  <c r="I61" i="61"/>
  <c r="F61" i="61"/>
  <c r="I60" i="61"/>
  <c r="F60" i="61"/>
  <c r="I59" i="61"/>
  <c r="F59" i="61"/>
  <c r="I56" i="61"/>
  <c r="F56" i="61"/>
  <c r="I55" i="61"/>
  <c r="F55" i="61"/>
  <c r="O49" i="61"/>
  <c r="D48" i="61"/>
  <c r="P48" i="61" s="1"/>
  <c r="D47" i="61"/>
  <c r="P47" i="61" s="1"/>
  <c r="D46" i="61"/>
  <c r="O46" i="61" s="1"/>
  <c r="D45" i="61"/>
  <c r="Q45" i="61" s="1"/>
  <c r="D44" i="61"/>
  <c r="P44" i="61" s="1"/>
  <c r="D43" i="61"/>
  <c r="O43" i="61" s="1"/>
  <c r="D42" i="61"/>
  <c r="Q42" i="61" s="1"/>
  <c r="D41" i="61"/>
  <c r="Q41" i="61" s="1"/>
  <c r="D40" i="61"/>
  <c r="O40" i="61" s="1"/>
  <c r="D39" i="61"/>
  <c r="Q39" i="61" s="1"/>
  <c r="D38" i="61"/>
  <c r="O38" i="61" s="1"/>
  <c r="D37" i="61"/>
  <c r="O37" i="61" s="1"/>
  <c r="D36" i="61"/>
  <c r="Q36" i="61" s="1"/>
  <c r="D35" i="61"/>
  <c r="Q35" i="61" s="1"/>
  <c r="D34" i="61"/>
  <c r="O34" i="61" s="1"/>
  <c r="D33" i="61"/>
  <c r="Q33" i="61" s="1"/>
  <c r="D32" i="61"/>
  <c r="Q32" i="61" s="1"/>
  <c r="D31" i="61"/>
  <c r="Q31" i="61" s="1"/>
  <c r="D30" i="61"/>
  <c r="Q30" i="61" s="1"/>
  <c r="D29" i="61"/>
  <c r="Q29" i="61" s="1"/>
  <c r="D28" i="61"/>
  <c r="P28" i="61" s="1"/>
  <c r="D27" i="61"/>
  <c r="Q27" i="61" s="1"/>
  <c r="D26" i="61"/>
  <c r="Q26" i="61" s="1"/>
  <c r="D25" i="61"/>
  <c r="P25" i="61" s="1"/>
  <c r="D24" i="61"/>
  <c r="Q24" i="61" s="1"/>
  <c r="D23" i="61"/>
  <c r="Q23" i="61" s="1"/>
  <c r="Q22" i="61"/>
  <c r="P22" i="61"/>
  <c r="O22" i="61"/>
  <c r="P20" i="61"/>
  <c r="P19" i="61"/>
  <c r="P18" i="61"/>
  <c r="P17" i="61"/>
  <c r="P16" i="61"/>
  <c r="P15" i="61"/>
  <c r="P14" i="61"/>
  <c r="P13" i="61"/>
  <c r="P12" i="61"/>
  <c r="P11" i="61"/>
  <c r="P10" i="61"/>
  <c r="P9" i="61"/>
  <c r="P8" i="61"/>
  <c r="P7" i="61"/>
  <c r="P6" i="61"/>
  <c r="D49" i="27"/>
  <c r="Q49" i="27" s="1"/>
  <c r="I99" i="65" l="1"/>
  <c r="I98" i="64"/>
  <c r="E96" i="63"/>
  <c r="I96" i="63" s="1"/>
  <c r="J98" i="63"/>
  <c r="I96" i="62"/>
  <c r="O23" i="61"/>
  <c r="Q43" i="61"/>
  <c r="P38" i="61"/>
  <c r="Q28" i="61"/>
  <c r="Q38" i="61"/>
  <c r="O41" i="61"/>
  <c r="P41" i="61"/>
  <c r="P23" i="61"/>
  <c r="P35" i="61"/>
  <c r="O29" i="61"/>
  <c r="P29" i="61"/>
  <c r="P37" i="61"/>
  <c r="P40" i="61"/>
  <c r="Q46" i="61"/>
  <c r="Q25" i="61"/>
  <c r="O28" i="61"/>
  <c r="O35" i="61"/>
  <c r="O25" i="61"/>
  <c r="Q37" i="61"/>
  <c r="P43" i="61"/>
  <c r="F96" i="61"/>
  <c r="G94" i="61" s="1"/>
  <c r="D96" i="61"/>
  <c r="E94" i="61" s="1"/>
  <c r="Q47" i="61"/>
  <c r="P32" i="61"/>
  <c r="Q49" i="61"/>
  <c r="O44" i="61"/>
  <c r="O32" i="61"/>
  <c r="P34" i="61"/>
  <c r="O26" i="61"/>
  <c r="Q44" i="61"/>
  <c r="P26" i="61"/>
  <c r="O31" i="61"/>
  <c r="Q40" i="61"/>
  <c r="P49" i="61"/>
  <c r="Q34" i="61"/>
  <c r="P31" i="61"/>
  <c r="P46" i="61"/>
  <c r="I104" i="61"/>
  <c r="O47" i="61"/>
  <c r="E99" i="61"/>
  <c r="E102" i="61"/>
  <c r="E105" i="61"/>
  <c r="G99" i="61"/>
  <c r="G102" i="61"/>
  <c r="G105" i="61"/>
  <c r="E100" i="61"/>
  <c r="E103" i="61"/>
  <c r="O30" i="61"/>
  <c r="O42" i="61"/>
  <c r="Q48" i="61"/>
  <c r="O24" i="61"/>
  <c r="O27" i="61"/>
  <c r="O33" i="61"/>
  <c r="O36" i="61"/>
  <c r="O39" i="61"/>
  <c r="O45" i="61"/>
  <c r="O48" i="61"/>
  <c r="P24" i="61"/>
  <c r="P27" i="61"/>
  <c r="P30" i="61"/>
  <c r="P33" i="61"/>
  <c r="P36" i="61"/>
  <c r="P39" i="61"/>
  <c r="P42" i="61"/>
  <c r="P45" i="61"/>
  <c r="G100" i="61"/>
  <c r="G103" i="61"/>
  <c r="J95" i="61"/>
  <c r="E101" i="61"/>
  <c r="G101" i="61"/>
  <c r="O49" i="27"/>
  <c r="P49" i="27"/>
  <c r="D111" i="60"/>
  <c r="D108" i="60"/>
  <c r="F95" i="60"/>
  <c r="I94" i="61" l="1"/>
  <c r="G95" i="61"/>
  <c r="J96" i="61"/>
  <c r="I105" i="61"/>
  <c r="I101" i="61"/>
  <c r="E95" i="61"/>
  <c r="I99" i="61"/>
  <c r="I102" i="61"/>
  <c r="I103" i="61"/>
  <c r="I100" i="61"/>
  <c r="E50" i="60"/>
  <c r="F50" i="60"/>
  <c r="G50" i="60"/>
  <c r="R50" i="60"/>
  <c r="AD50" i="60"/>
  <c r="X50" i="60"/>
  <c r="Q49" i="60"/>
  <c r="P48" i="60"/>
  <c r="P49" i="60"/>
  <c r="O47" i="60"/>
  <c r="O48" i="60"/>
  <c r="D49" i="60"/>
  <c r="O49" i="60" s="1"/>
  <c r="E115" i="60"/>
  <c r="D115" i="60"/>
  <c r="E114" i="60"/>
  <c r="D114" i="60"/>
  <c r="E111" i="60"/>
  <c r="J104" i="60"/>
  <c r="J103" i="60"/>
  <c r="J102" i="60"/>
  <c r="J101" i="60"/>
  <c r="J100" i="60"/>
  <c r="J99" i="60"/>
  <c r="J98" i="60"/>
  <c r="F94" i="60"/>
  <c r="G103" i="60" s="1"/>
  <c r="D94" i="60"/>
  <c r="E103" i="60" s="1"/>
  <c r="J93" i="60"/>
  <c r="I88" i="60"/>
  <c r="F88" i="60"/>
  <c r="I87" i="60"/>
  <c r="F87" i="60"/>
  <c r="I86" i="60"/>
  <c r="F86" i="60"/>
  <c r="I85" i="60"/>
  <c r="F85" i="60"/>
  <c r="I84" i="60"/>
  <c r="F84" i="60"/>
  <c r="I83" i="60"/>
  <c r="F83" i="60"/>
  <c r="I80" i="60"/>
  <c r="F80" i="60"/>
  <c r="I79" i="60"/>
  <c r="F79" i="60"/>
  <c r="I78" i="60"/>
  <c r="F78" i="60"/>
  <c r="I77" i="60"/>
  <c r="F77" i="60"/>
  <c r="I76" i="60"/>
  <c r="F76" i="60"/>
  <c r="I75" i="60"/>
  <c r="F75" i="60"/>
  <c r="I72" i="60"/>
  <c r="F72" i="60"/>
  <c r="I71" i="60"/>
  <c r="F71" i="60"/>
  <c r="I70" i="60"/>
  <c r="F70" i="60"/>
  <c r="I69" i="60"/>
  <c r="F69" i="60"/>
  <c r="I68" i="60"/>
  <c r="F68" i="60"/>
  <c r="I67" i="60"/>
  <c r="F67" i="60"/>
  <c r="I66" i="60"/>
  <c r="F66" i="60"/>
  <c r="I63" i="60"/>
  <c r="F63" i="60"/>
  <c r="I62" i="60"/>
  <c r="F62" i="60"/>
  <c r="I61" i="60"/>
  <c r="F61" i="60"/>
  <c r="I60" i="60"/>
  <c r="F60" i="60"/>
  <c r="I59" i="60"/>
  <c r="F59" i="60"/>
  <c r="I58" i="60"/>
  <c r="F58" i="60"/>
  <c r="I55" i="60"/>
  <c r="F55" i="60"/>
  <c r="I54" i="60"/>
  <c r="F54" i="60"/>
  <c r="D48" i="60"/>
  <c r="Q48" i="60" s="1"/>
  <c r="D47" i="60"/>
  <c r="Q47" i="60" s="1"/>
  <c r="D46" i="60"/>
  <c r="Q46" i="60" s="1"/>
  <c r="D45" i="60"/>
  <c r="Q45" i="60" s="1"/>
  <c r="D44" i="60"/>
  <c r="P44" i="60" s="1"/>
  <c r="D43" i="60"/>
  <c r="O43" i="60" s="1"/>
  <c r="D42" i="60"/>
  <c r="P42" i="60" s="1"/>
  <c r="D41" i="60"/>
  <c r="Q41" i="60" s="1"/>
  <c r="D40" i="60"/>
  <c r="Q40" i="60" s="1"/>
  <c r="D39" i="60"/>
  <c r="Q39" i="60" s="1"/>
  <c r="D38" i="60"/>
  <c r="P38" i="60" s="1"/>
  <c r="D37" i="60"/>
  <c r="P37" i="60" s="1"/>
  <c r="Q36" i="60"/>
  <c r="D36" i="60"/>
  <c r="P36" i="60" s="1"/>
  <c r="D35" i="60"/>
  <c r="P35" i="60" s="1"/>
  <c r="D34" i="60"/>
  <c r="Q34" i="60" s="1"/>
  <c r="D33" i="60"/>
  <c r="O33" i="60" s="1"/>
  <c r="D32" i="60"/>
  <c r="P32" i="60" s="1"/>
  <c r="D31" i="60"/>
  <c r="O31" i="60" s="1"/>
  <c r="D30" i="60"/>
  <c r="O30" i="60" s="1"/>
  <c r="D29" i="60"/>
  <c r="O29" i="60" s="1"/>
  <c r="D28" i="60"/>
  <c r="Q28" i="60" s="1"/>
  <c r="D27" i="60"/>
  <c r="O27" i="60" s="1"/>
  <c r="D26" i="60"/>
  <c r="P26" i="60" s="1"/>
  <c r="D25" i="60"/>
  <c r="O25" i="60" s="1"/>
  <c r="D24" i="60"/>
  <c r="O24" i="60" s="1"/>
  <c r="D23" i="60"/>
  <c r="P23" i="60" s="1"/>
  <c r="Q22" i="60"/>
  <c r="P22" i="60"/>
  <c r="O22" i="60"/>
  <c r="P20" i="60"/>
  <c r="P19" i="60"/>
  <c r="P18" i="60"/>
  <c r="P17" i="60"/>
  <c r="P16" i="60"/>
  <c r="P15" i="60"/>
  <c r="P14" i="60"/>
  <c r="P13" i="60"/>
  <c r="P12" i="60"/>
  <c r="P11" i="60"/>
  <c r="P10" i="60"/>
  <c r="P9" i="60"/>
  <c r="P8" i="60"/>
  <c r="P7" i="60"/>
  <c r="P6" i="60"/>
  <c r="D46" i="27"/>
  <c r="D47" i="27"/>
  <c r="D48" i="27"/>
  <c r="D107" i="59"/>
  <c r="D93" i="59"/>
  <c r="E101" i="59" s="1"/>
  <c r="G49" i="59"/>
  <c r="E49" i="59"/>
  <c r="R49" i="59"/>
  <c r="X49" i="59"/>
  <c r="AD49" i="59"/>
  <c r="Q46" i="59"/>
  <c r="Q47" i="59"/>
  <c r="Q48" i="59"/>
  <c r="P48" i="59"/>
  <c r="P47" i="59"/>
  <c r="O46" i="59"/>
  <c r="O47" i="59"/>
  <c r="O48" i="59"/>
  <c r="F49" i="59"/>
  <c r="D48" i="59"/>
  <c r="E114" i="59"/>
  <c r="D114" i="59"/>
  <c r="E113" i="59"/>
  <c r="D113" i="59"/>
  <c r="E110" i="59"/>
  <c r="D110" i="59"/>
  <c r="J103" i="59"/>
  <c r="J102" i="59"/>
  <c r="J101" i="59"/>
  <c r="J100" i="59"/>
  <c r="J99" i="59"/>
  <c r="J98" i="59"/>
  <c r="J97" i="59"/>
  <c r="F93" i="59"/>
  <c r="G101" i="59" s="1"/>
  <c r="J92" i="59"/>
  <c r="I87" i="59"/>
  <c r="F87" i="59"/>
  <c r="I86" i="59"/>
  <c r="F86" i="59"/>
  <c r="I85" i="59"/>
  <c r="F85" i="59"/>
  <c r="I84" i="59"/>
  <c r="F84" i="59"/>
  <c r="I83" i="59"/>
  <c r="F83" i="59"/>
  <c r="I82" i="59"/>
  <c r="F82" i="59"/>
  <c r="I79" i="59"/>
  <c r="F79" i="59"/>
  <c r="I78" i="59"/>
  <c r="F78" i="59"/>
  <c r="I77" i="59"/>
  <c r="F77" i="59"/>
  <c r="I76" i="59"/>
  <c r="F76" i="59"/>
  <c r="I75" i="59"/>
  <c r="F75" i="59"/>
  <c r="I74" i="59"/>
  <c r="F74" i="59"/>
  <c r="I71" i="59"/>
  <c r="F71" i="59"/>
  <c r="I70" i="59"/>
  <c r="F70" i="59"/>
  <c r="I69" i="59"/>
  <c r="F69" i="59"/>
  <c r="I68" i="59"/>
  <c r="F68" i="59"/>
  <c r="I67" i="59"/>
  <c r="F67" i="59"/>
  <c r="I66" i="59"/>
  <c r="F66" i="59"/>
  <c r="I65" i="59"/>
  <c r="F65" i="59"/>
  <c r="I62" i="59"/>
  <c r="F62" i="59"/>
  <c r="I61" i="59"/>
  <c r="F61" i="59"/>
  <c r="I60" i="59"/>
  <c r="F60" i="59"/>
  <c r="I59" i="59"/>
  <c r="F59" i="59"/>
  <c r="I58" i="59"/>
  <c r="F58" i="59"/>
  <c r="I57" i="59"/>
  <c r="F57" i="59"/>
  <c r="I54" i="59"/>
  <c r="F54" i="59"/>
  <c r="I53" i="59"/>
  <c r="F53" i="59"/>
  <c r="D47" i="59"/>
  <c r="D46" i="59"/>
  <c r="P46" i="59" s="1"/>
  <c r="P45" i="59"/>
  <c r="D45" i="59"/>
  <c r="Q45" i="59" s="1"/>
  <c r="P44" i="59"/>
  <c r="D44" i="59"/>
  <c r="Q44" i="59" s="1"/>
  <c r="Q43" i="59"/>
  <c r="D43" i="59"/>
  <c r="P43" i="59" s="1"/>
  <c r="D42" i="59"/>
  <c r="Q42" i="59" s="1"/>
  <c r="P41" i="59"/>
  <c r="O41" i="59"/>
  <c r="D41" i="59"/>
  <c r="Q41" i="59" s="1"/>
  <c r="D40" i="59"/>
  <c r="P40" i="59" s="1"/>
  <c r="P39" i="59"/>
  <c r="D39" i="59"/>
  <c r="Q39" i="59" s="1"/>
  <c r="Q38" i="59"/>
  <c r="P38" i="59"/>
  <c r="O38" i="59"/>
  <c r="D38" i="59"/>
  <c r="D37" i="59"/>
  <c r="P37" i="59" s="1"/>
  <c r="P36" i="59"/>
  <c r="D36" i="59"/>
  <c r="Q36" i="59" s="1"/>
  <c r="Q35" i="59"/>
  <c r="P35" i="59"/>
  <c r="O35" i="59"/>
  <c r="D35" i="59"/>
  <c r="Q34" i="59"/>
  <c r="D34" i="59"/>
  <c r="P34" i="59" s="1"/>
  <c r="P33" i="59"/>
  <c r="D33" i="59"/>
  <c r="Q33" i="59" s="1"/>
  <c r="P32" i="59"/>
  <c r="O32" i="59"/>
  <c r="D32" i="59"/>
  <c r="Q32" i="59" s="1"/>
  <c r="D31" i="59"/>
  <c r="P31" i="59" s="1"/>
  <c r="P30" i="59"/>
  <c r="D30" i="59"/>
  <c r="Q30" i="59" s="1"/>
  <c r="Q29" i="59"/>
  <c r="O29" i="59"/>
  <c r="D29" i="59"/>
  <c r="P29" i="59" s="1"/>
  <c r="D28" i="59"/>
  <c r="P28" i="59" s="1"/>
  <c r="P27" i="59"/>
  <c r="D27" i="59"/>
  <c r="Q27" i="59" s="1"/>
  <c r="Q26" i="59"/>
  <c r="P26" i="59"/>
  <c r="O26" i="59"/>
  <c r="D26" i="59"/>
  <c r="Q25" i="59"/>
  <c r="D25" i="59"/>
  <c r="P25" i="59" s="1"/>
  <c r="P24" i="59"/>
  <c r="D24" i="59"/>
  <c r="Q24" i="59" s="1"/>
  <c r="P23" i="59"/>
  <c r="O23" i="59"/>
  <c r="D23" i="59"/>
  <c r="Q23" i="59" s="1"/>
  <c r="Q22" i="59"/>
  <c r="P22" i="59"/>
  <c r="O22" i="59"/>
  <c r="P20" i="59"/>
  <c r="P19" i="59"/>
  <c r="P18" i="59"/>
  <c r="P17" i="59"/>
  <c r="P16" i="59"/>
  <c r="P15" i="59"/>
  <c r="P14" i="59"/>
  <c r="P13" i="59"/>
  <c r="P12" i="59"/>
  <c r="P11" i="59"/>
  <c r="P10" i="59"/>
  <c r="P9" i="59"/>
  <c r="P8" i="59"/>
  <c r="P7" i="59"/>
  <c r="P6" i="59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22" i="58"/>
  <c r="AD48" i="58"/>
  <c r="X48" i="58"/>
  <c r="R48" i="58"/>
  <c r="I95" i="61" l="1"/>
  <c r="O39" i="60"/>
  <c r="Q42" i="60"/>
  <c r="Q27" i="60"/>
  <c r="P47" i="60"/>
  <c r="P30" i="60"/>
  <c r="Q30" i="60"/>
  <c r="O36" i="60"/>
  <c r="O42" i="60"/>
  <c r="P24" i="60"/>
  <c r="Q24" i="60"/>
  <c r="I103" i="60"/>
  <c r="O45" i="60"/>
  <c r="D95" i="60"/>
  <c r="E93" i="60" s="1"/>
  <c r="P33" i="60"/>
  <c r="P39" i="60"/>
  <c r="P45" i="60"/>
  <c r="G93" i="60"/>
  <c r="Q33" i="60"/>
  <c r="P27" i="60"/>
  <c r="O40" i="60"/>
  <c r="E104" i="60"/>
  <c r="G98" i="60"/>
  <c r="G101" i="60"/>
  <c r="G104" i="60"/>
  <c r="E99" i="60"/>
  <c r="E102" i="60"/>
  <c r="G99" i="60"/>
  <c r="G102" i="60"/>
  <c r="O23" i="60"/>
  <c r="O32" i="60"/>
  <c r="O41" i="60"/>
  <c r="P29" i="60"/>
  <c r="P41" i="60"/>
  <c r="Q23" i="60"/>
  <c r="Q26" i="60"/>
  <c r="Q29" i="60"/>
  <c r="Q32" i="60"/>
  <c r="Q35" i="60"/>
  <c r="Q38" i="60"/>
  <c r="Q44" i="60"/>
  <c r="E98" i="60"/>
  <c r="P25" i="60"/>
  <c r="P31" i="60"/>
  <c r="P43" i="60"/>
  <c r="Q25" i="60"/>
  <c r="Q31" i="60"/>
  <c r="Q37" i="60"/>
  <c r="Q43" i="60"/>
  <c r="O26" i="60"/>
  <c r="O35" i="60"/>
  <c r="O44" i="60"/>
  <c r="O28" i="60"/>
  <c r="O34" i="60"/>
  <c r="O37" i="60"/>
  <c r="O46" i="60"/>
  <c r="E101" i="60"/>
  <c r="P28" i="60"/>
  <c r="P34" i="60"/>
  <c r="P40" i="60"/>
  <c r="P46" i="60"/>
  <c r="O38" i="60"/>
  <c r="J94" i="60"/>
  <c r="E100" i="60"/>
  <c r="G100" i="60"/>
  <c r="G99" i="59"/>
  <c r="G97" i="59"/>
  <c r="F94" i="59"/>
  <c r="G92" i="59" s="1"/>
  <c r="G102" i="59"/>
  <c r="G103" i="59"/>
  <c r="J93" i="59"/>
  <c r="E102" i="59"/>
  <c r="D94" i="59"/>
  <c r="E92" i="59" s="1"/>
  <c r="Q28" i="59"/>
  <c r="Q37" i="59"/>
  <c r="P42" i="59"/>
  <c r="E99" i="59"/>
  <c r="O44" i="59"/>
  <c r="G100" i="59"/>
  <c r="Q31" i="59"/>
  <c r="Q40" i="59"/>
  <c r="I101" i="59"/>
  <c r="O24" i="59"/>
  <c r="O27" i="59"/>
  <c r="O30" i="59"/>
  <c r="O33" i="59"/>
  <c r="O36" i="59"/>
  <c r="O39" i="59"/>
  <c r="O42" i="59"/>
  <c r="O45" i="59"/>
  <c r="E97" i="59"/>
  <c r="E100" i="59"/>
  <c r="E103" i="59"/>
  <c r="O25" i="59"/>
  <c r="O28" i="59"/>
  <c r="O31" i="59"/>
  <c r="O34" i="59"/>
  <c r="O37" i="59"/>
  <c r="O40" i="59"/>
  <c r="O43" i="59"/>
  <c r="E98" i="59"/>
  <c r="G98" i="59"/>
  <c r="O47" i="27"/>
  <c r="D106" i="58"/>
  <c r="G48" i="58"/>
  <c r="F48" i="58"/>
  <c r="E48" i="58"/>
  <c r="D47" i="58"/>
  <c r="E113" i="58"/>
  <c r="D113" i="58"/>
  <c r="E112" i="58"/>
  <c r="D112" i="58"/>
  <c r="E109" i="58"/>
  <c r="D109" i="58"/>
  <c r="J102" i="58"/>
  <c r="J101" i="58"/>
  <c r="J100" i="58"/>
  <c r="J99" i="58"/>
  <c r="J98" i="58"/>
  <c r="J97" i="58"/>
  <c r="J96" i="58"/>
  <c r="F92" i="58"/>
  <c r="D92" i="58"/>
  <c r="E101" i="58" s="1"/>
  <c r="J91" i="58"/>
  <c r="I86" i="58"/>
  <c r="F86" i="58"/>
  <c r="I85" i="58"/>
  <c r="F85" i="58"/>
  <c r="I84" i="58"/>
  <c r="F84" i="58"/>
  <c r="I83" i="58"/>
  <c r="F83" i="58"/>
  <c r="I82" i="58"/>
  <c r="F82" i="58"/>
  <c r="I81" i="58"/>
  <c r="F81" i="58"/>
  <c r="I78" i="58"/>
  <c r="F78" i="58"/>
  <c r="I77" i="58"/>
  <c r="F77" i="58"/>
  <c r="I76" i="58"/>
  <c r="F76" i="58"/>
  <c r="I75" i="58"/>
  <c r="F75" i="58"/>
  <c r="I74" i="58"/>
  <c r="F74" i="58"/>
  <c r="I73" i="58"/>
  <c r="F73" i="58"/>
  <c r="I70" i="58"/>
  <c r="F70" i="58"/>
  <c r="I69" i="58"/>
  <c r="F69" i="58"/>
  <c r="I68" i="58"/>
  <c r="F68" i="58"/>
  <c r="I67" i="58"/>
  <c r="F67" i="58"/>
  <c r="I66" i="58"/>
  <c r="F66" i="58"/>
  <c r="I65" i="58"/>
  <c r="F65" i="58"/>
  <c r="I64" i="58"/>
  <c r="F64" i="58"/>
  <c r="I61" i="58"/>
  <c r="F61" i="58"/>
  <c r="I60" i="58"/>
  <c r="F60" i="58"/>
  <c r="I59" i="58"/>
  <c r="F59" i="58"/>
  <c r="I58" i="58"/>
  <c r="F58" i="58"/>
  <c r="I57" i="58"/>
  <c r="F57" i="58"/>
  <c r="I56" i="58"/>
  <c r="F56" i="58"/>
  <c r="I53" i="58"/>
  <c r="F53" i="58"/>
  <c r="I52" i="58"/>
  <c r="F52" i="58"/>
  <c r="D46" i="58"/>
  <c r="O46" i="58" s="1"/>
  <c r="D45" i="58"/>
  <c r="P45" i="58" s="1"/>
  <c r="D44" i="58"/>
  <c r="P44" i="58" s="1"/>
  <c r="D43" i="58"/>
  <c r="P43" i="58" s="1"/>
  <c r="D42" i="58"/>
  <c r="P42" i="58" s="1"/>
  <c r="D41" i="58"/>
  <c r="P41" i="58" s="1"/>
  <c r="D40" i="58"/>
  <c r="P40" i="58" s="1"/>
  <c r="D39" i="58"/>
  <c r="P39" i="58" s="1"/>
  <c r="D38" i="58"/>
  <c r="O38" i="58" s="1"/>
  <c r="D37" i="58"/>
  <c r="P37" i="58" s="1"/>
  <c r="D36" i="58"/>
  <c r="P36" i="58" s="1"/>
  <c r="D35" i="58"/>
  <c r="P35" i="58" s="1"/>
  <c r="D34" i="58"/>
  <c r="P34" i="58" s="1"/>
  <c r="D33" i="58"/>
  <c r="P33" i="58" s="1"/>
  <c r="D32" i="58"/>
  <c r="P32" i="58" s="1"/>
  <c r="D31" i="58"/>
  <c r="P31" i="58" s="1"/>
  <c r="D30" i="58"/>
  <c r="O30" i="58" s="1"/>
  <c r="D29" i="58"/>
  <c r="P29" i="58" s="1"/>
  <c r="D28" i="58"/>
  <c r="P28" i="58" s="1"/>
  <c r="D27" i="58"/>
  <c r="P27" i="58" s="1"/>
  <c r="D26" i="58"/>
  <c r="P26" i="58" s="1"/>
  <c r="D25" i="58"/>
  <c r="P25" i="58" s="1"/>
  <c r="D24" i="58"/>
  <c r="P24" i="58" s="1"/>
  <c r="D23" i="58"/>
  <c r="P23" i="58" s="1"/>
  <c r="P22" i="58"/>
  <c r="O22" i="58"/>
  <c r="P20" i="58"/>
  <c r="P19" i="58"/>
  <c r="P18" i="58"/>
  <c r="P17" i="58"/>
  <c r="P16" i="58"/>
  <c r="P15" i="58"/>
  <c r="P14" i="58"/>
  <c r="P13" i="58"/>
  <c r="P12" i="58"/>
  <c r="P11" i="58"/>
  <c r="P10" i="58"/>
  <c r="P9" i="58"/>
  <c r="P8" i="58"/>
  <c r="P7" i="58"/>
  <c r="P6" i="58"/>
  <c r="I93" i="60" l="1"/>
  <c r="E94" i="60"/>
  <c r="I100" i="60"/>
  <c r="G94" i="60"/>
  <c r="I94" i="60" s="1"/>
  <c r="J95" i="60"/>
  <c r="I102" i="60"/>
  <c r="I99" i="60"/>
  <c r="I104" i="60"/>
  <c r="I101" i="60"/>
  <c r="I98" i="60"/>
  <c r="G93" i="59"/>
  <c r="I103" i="59"/>
  <c r="I99" i="59"/>
  <c r="I97" i="59"/>
  <c r="I92" i="59"/>
  <c r="I102" i="59"/>
  <c r="I98" i="59"/>
  <c r="E93" i="59"/>
  <c r="J94" i="59"/>
  <c r="I100" i="59"/>
  <c r="O47" i="58"/>
  <c r="P47" i="58"/>
  <c r="O26" i="58"/>
  <c r="J92" i="58"/>
  <c r="P30" i="58"/>
  <c r="P38" i="58"/>
  <c r="P46" i="58"/>
  <c r="G101" i="58"/>
  <c r="I101" i="58" s="1"/>
  <c r="D93" i="58"/>
  <c r="E91" i="58" s="1"/>
  <c r="O34" i="58"/>
  <c r="O42" i="58"/>
  <c r="F93" i="58"/>
  <c r="G91" i="58" s="1"/>
  <c r="G98" i="58"/>
  <c r="O23" i="58"/>
  <c r="O27" i="58"/>
  <c r="O31" i="58"/>
  <c r="O35" i="58"/>
  <c r="O39" i="58"/>
  <c r="O43" i="58"/>
  <c r="E96" i="58"/>
  <c r="E99" i="58"/>
  <c r="E102" i="58"/>
  <c r="G96" i="58"/>
  <c r="G99" i="58"/>
  <c r="G102" i="58"/>
  <c r="O24" i="58"/>
  <c r="O28" i="58"/>
  <c r="O32" i="58"/>
  <c r="O36" i="58"/>
  <c r="O44" i="58"/>
  <c r="E100" i="58"/>
  <c r="O25" i="58"/>
  <c r="O29" i="58"/>
  <c r="O33" i="58"/>
  <c r="O37" i="58"/>
  <c r="O41" i="58"/>
  <c r="O45" i="58"/>
  <c r="O40" i="58"/>
  <c r="E97" i="58"/>
  <c r="G100" i="58"/>
  <c r="G97" i="58"/>
  <c r="E98" i="58"/>
  <c r="O46" i="27"/>
  <c r="AB47" i="57"/>
  <c r="V47" i="57"/>
  <c r="P47" i="57"/>
  <c r="I93" i="59" l="1"/>
  <c r="I96" i="58"/>
  <c r="I98" i="58"/>
  <c r="I100" i="58"/>
  <c r="G92" i="58"/>
  <c r="I99" i="58"/>
  <c r="I91" i="58"/>
  <c r="I102" i="58"/>
  <c r="J93" i="58"/>
  <c r="E92" i="58"/>
  <c r="I97" i="58"/>
  <c r="D105" i="57"/>
  <c r="H55" i="57"/>
  <c r="H56" i="57"/>
  <c r="H57" i="57"/>
  <c r="H58" i="57"/>
  <c r="H59" i="57"/>
  <c r="H60" i="57"/>
  <c r="F55" i="57"/>
  <c r="F56" i="57"/>
  <c r="F57" i="57"/>
  <c r="F58" i="57"/>
  <c r="F59" i="57"/>
  <c r="F60" i="57"/>
  <c r="O46" i="57"/>
  <c r="N46" i="57"/>
  <c r="E47" i="57"/>
  <c r="F47" i="57"/>
  <c r="G47" i="57"/>
  <c r="D46" i="57"/>
  <c r="E112" i="57"/>
  <c r="D112" i="57"/>
  <c r="E111" i="57"/>
  <c r="D111" i="57"/>
  <c r="E108" i="57"/>
  <c r="D108" i="57"/>
  <c r="I101" i="57"/>
  <c r="I100" i="57"/>
  <c r="I99" i="57"/>
  <c r="I98" i="57"/>
  <c r="I97" i="57"/>
  <c r="I96" i="57"/>
  <c r="I95" i="57"/>
  <c r="F91" i="57"/>
  <c r="G98" i="57" s="1"/>
  <c r="D91" i="57"/>
  <c r="E96" i="57" s="1"/>
  <c r="I90" i="57"/>
  <c r="H85" i="57"/>
  <c r="F85" i="57"/>
  <c r="H84" i="57"/>
  <c r="F84" i="57"/>
  <c r="H83" i="57"/>
  <c r="F83" i="57"/>
  <c r="H82" i="57"/>
  <c r="F82" i="57"/>
  <c r="H81" i="57"/>
  <c r="F81" i="57"/>
  <c r="H80" i="57"/>
  <c r="F80" i="57"/>
  <c r="H77" i="57"/>
  <c r="F77" i="57"/>
  <c r="H76" i="57"/>
  <c r="F76" i="57"/>
  <c r="H75" i="57"/>
  <c r="F75" i="57"/>
  <c r="H74" i="57"/>
  <c r="F74" i="57"/>
  <c r="H73" i="57"/>
  <c r="F73" i="57"/>
  <c r="H72" i="57"/>
  <c r="F72" i="57"/>
  <c r="H69" i="57"/>
  <c r="F69" i="57"/>
  <c r="H68" i="57"/>
  <c r="F68" i="57"/>
  <c r="H67" i="57"/>
  <c r="F67" i="57"/>
  <c r="H66" i="57"/>
  <c r="F66" i="57"/>
  <c r="H65" i="57"/>
  <c r="F65" i="57"/>
  <c r="H64" i="57"/>
  <c r="F64" i="57"/>
  <c r="H63" i="57"/>
  <c r="F63" i="57"/>
  <c r="H52" i="57"/>
  <c r="F52" i="57"/>
  <c r="H51" i="57"/>
  <c r="F51" i="57"/>
  <c r="D45" i="57"/>
  <c r="N45" i="57" s="1"/>
  <c r="D44" i="57"/>
  <c r="O44" i="57" s="1"/>
  <c r="D43" i="57"/>
  <c r="O43" i="57" s="1"/>
  <c r="D42" i="57"/>
  <c r="O42" i="57" s="1"/>
  <c r="D41" i="57"/>
  <c r="N41" i="57" s="1"/>
  <c r="D40" i="57"/>
  <c r="O40" i="57" s="1"/>
  <c r="D39" i="57"/>
  <c r="O39" i="57" s="1"/>
  <c r="D38" i="57"/>
  <c r="O38" i="57" s="1"/>
  <c r="O37" i="57"/>
  <c r="D37" i="57"/>
  <c r="N37" i="57" s="1"/>
  <c r="D36" i="57"/>
  <c r="O36" i="57" s="1"/>
  <c r="D35" i="57"/>
  <c r="O35" i="57" s="1"/>
  <c r="D34" i="57"/>
  <c r="O34" i="57" s="1"/>
  <c r="D33" i="57"/>
  <c r="N33" i="57" s="1"/>
  <c r="O32" i="57"/>
  <c r="N32" i="57"/>
  <c r="D32" i="57"/>
  <c r="D31" i="57"/>
  <c r="O31" i="57" s="1"/>
  <c r="D30" i="57"/>
  <c r="O30" i="57" s="1"/>
  <c r="D29" i="57"/>
  <c r="N29" i="57" s="1"/>
  <c r="D28" i="57"/>
  <c r="N28" i="57" s="1"/>
  <c r="D27" i="57"/>
  <c r="O27" i="57" s="1"/>
  <c r="D26" i="57"/>
  <c r="O26" i="57" s="1"/>
  <c r="O25" i="57"/>
  <c r="N25" i="57"/>
  <c r="D25" i="57"/>
  <c r="O24" i="57"/>
  <c r="D24" i="57"/>
  <c r="N24" i="57" s="1"/>
  <c r="D23" i="57"/>
  <c r="O23" i="57" s="1"/>
  <c r="O22" i="57"/>
  <c r="N22" i="57"/>
  <c r="O20" i="57"/>
  <c r="O19" i="57"/>
  <c r="O18" i="57"/>
  <c r="O17" i="57"/>
  <c r="O16" i="57"/>
  <c r="O15" i="57"/>
  <c r="O14" i="57"/>
  <c r="O13" i="57"/>
  <c r="O12" i="57"/>
  <c r="O11" i="57"/>
  <c r="O10" i="57"/>
  <c r="O9" i="57"/>
  <c r="O8" i="57"/>
  <c r="O7" i="57"/>
  <c r="O6" i="57"/>
  <c r="D45" i="27"/>
  <c r="O45" i="27" s="1"/>
  <c r="D104" i="56"/>
  <c r="AB46" i="56"/>
  <c r="V46" i="56"/>
  <c r="P46" i="56"/>
  <c r="G46" i="56"/>
  <c r="F46" i="56"/>
  <c r="E46" i="56"/>
  <c r="D107" i="56"/>
  <c r="I92" i="58" l="1"/>
  <c r="N44" i="57"/>
  <c r="O29" i="57"/>
  <c r="O45" i="57"/>
  <c r="N36" i="57"/>
  <c r="O28" i="57"/>
  <c r="G95" i="57"/>
  <c r="O41" i="57"/>
  <c r="N40" i="57"/>
  <c r="O33" i="57"/>
  <c r="N23" i="57"/>
  <c r="N27" i="57"/>
  <c r="N31" i="57"/>
  <c r="N35" i="57"/>
  <c r="N39" i="57"/>
  <c r="N43" i="57"/>
  <c r="G96" i="57"/>
  <c r="H96" i="57" s="1"/>
  <c r="E101" i="57"/>
  <c r="G101" i="57"/>
  <c r="I91" i="57"/>
  <c r="E99" i="57"/>
  <c r="D92" i="57"/>
  <c r="E91" i="57" s="1"/>
  <c r="G99" i="57"/>
  <c r="F92" i="57"/>
  <c r="E97" i="57"/>
  <c r="G97" i="57"/>
  <c r="E95" i="57"/>
  <c r="E100" i="57"/>
  <c r="G100" i="57"/>
  <c r="N26" i="57"/>
  <c r="N30" i="57"/>
  <c r="N34" i="57"/>
  <c r="N38" i="57"/>
  <c r="N42" i="57"/>
  <c r="E98" i="57"/>
  <c r="H98" i="57" s="1"/>
  <c r="D45" i="56"/>
  <c r="O45" i="56" s="1"/>
  <c r="E111" i="56"/>
  <c r="D111" i="56"/>
  <c r="E110" i="56"/>
  <c r="D110" i="56"/>
  <c r="E107" i="56"/>
  <c r="I100" i="56"/>
  <c r="I99" i="56"/>
  <c r="I98" i="56"/>
  <c r="I97" i="56"/>
  <c r="I96" i="56"/>
  <c r="I95" i="56"/>
  <c r="I94" i="56"/>
  <c r="F90" i="56"/>
  <c r="G100" i="56" s="1"/>
  <c r="D90" i="56"/>
  <c r="D91" i="56" s="1"/>
  <c r="E89" i="56" s="1"/>
  <c r="I89" i="56"/>
  <c r="H84" i="56"/>
  <c r="F84" i="56"/>
  <c r="H83" i="56"/>
  <c r="F83" i="56"/>
  <c r="H82" i="56"/>
  <c r="F82" i="56"/>
  <c r="H81" i="56"/>
  <c r="F81" i="56"/>
  <c r="H80" i="56"/>
  <c r="F80" i="56"/>
  <c r="H79" i="56"/>
  <c r="F79" i="56"/>
  <c r="H76" i="56"/>
  <c r="F76" i="56"/>
  <c r="H75" i="56"/>
  <c r="F75" i="56"/>
  <c r="H74" i="56"/>
  <c r="F74" i="56"/>
  <c r="H73" i="56"/>
  <c r="F73" i="56"/>
  <c r="H72" i="56"/>
  <c r="F72" i="56"/>
  <c r="H71" i="56"/>
  <c r="F71" i="56"/>
  <c r="H68" i="56"/>
  <c r="F68" i="56"/>
  <c r="H67" i="56"/>
  <c r="F67" i="56"/>
  <c r="H66" i="56"/>
  <c r="F66" i="56"/>
  <c r="H65" i="56"/>
  <c r="F65" i="56"/>
  <c r="H64" i="56"/>
  <c r="F64" i="56"/>
  <c r="H63" i="56"/>
  <c r="F63" i="56"/>
  <c r="H62" i="56"/>
  <c r="F62" i="56"/>
  <c r="H59" i="56"/>
  <c r="F59" i="56"/>
  <c r="H58" i="56"/>
  <c r="F58" i="56"/>
  <c r="H57" i="56"/>
  <c r="F57" i="56"/>
  <c r="H56" i="56"/>
  <c r="F56" i="56"/>
  <c r="H55" i="56"/>
  <c r="H51" i="56"/>
  <c r="F51" i="56"/>
  <c r="H50" i="56"/>
  <c r="F50" i="56"/>
  <c r="D44" i="56"/>
  <c r="O44" i="56" s="1"/>
  <c r="D43" i="56"/>
  <c r="N43" i="56" s="1"/>
  <c r="D42" i="56"/>
  <c r="O42" i="56" s="1"/>
  <c r="D41" i="56"/>
  <c r="N41" i="56" s="1"/>
  <c r="D40" i="56"/>
  <c r="O40" i="56" s="1"/>
  <c r="D39" i="56"/>
  <c r="O39" i="56" s="1"/>
  <c r="D38" i="56"/>
  <c r="O38" i="56" s="1"/>
  <c r="D37" i="56"/>
  <c r="O37" i="56" s="1"/>
  <c r="D36" i="56"/>
  <c r="O36" i="56" s="1"/>
  <c r="D35" i="56"/>
  <c r="N35" i="56" s="1"/>
  <c r="D34" i="56"/>
  <c r="O34" i="56" s="1"/>
  <c r="D33" i="56"/>
  <c r="O33" i="56" s="1"/>
  <c r="D32" i="56"/>
  <c r="O32" i="56" s="1"/>
  <c r="D31" i="56"/>
  <c r="O31" i="56" s="1"/>
  <c r="D30" i="56"/>
  <c r="O30" i="56" s="1"/>
  <c r="D29" i="56"/>
  <c r="O29" i="56" s="1"/>
  <c r="D28" i="56"/>
  <c r="O28" i="56" s="1"/>
  <c r="D27" i="56"/>
  <c r="N27" i="56" s="1"/>
  <c r="D26" i="56"/>
  <c r="O26" i="56" s="1"/>
  <c r="D25" i="56"/>
  <c r="O25" i="56" s="1"/>
  <c r="D24" i="56"/>
  <c r="O24" i="56" s="1"/>
  <c r="D23" i="56"/>
  <c r="O23" i="56" s="1"/>
  <c r="O22" i="56"/>
  <c r="N22" i="56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D44" i="27"/>
  <c r="D103" i="55"/>
  <c r="W45" i="55"/>
  <c r="Q45" i="55"/>
  <c r="K45" i="55"/>
  <c r="I44" i="55"/>
  <c r="G45" i="55"/>
  <c r="J44" i="55"/>
  <c r="F45" i="55"/>
  <c r="E45" i="55"/>
  <c r="D44" i="55"/>
  <c r="E110" i="55"/>
  <c r="D110" i="55"/>
  <c r="E109" i="55"/>
  <c r="D109" i="55"/>
  <c r="E106" i="55"/>
  <c r="D106" i="55"/>
  <c r="I99" i="55"/>
  <c r="I98" i="55"/>
  <c r="I97" i="55"/>
  <c r="I96" i="55"/>
  <c r="I95" i="55"/>
  <c r="I94" i="55"/>
  <c r="I93" i="55"/>
  <c r="F89" i="55"/>
  <c r="F90" i="55" s="1"/>
  <c r="D89" i="55"/>
  <c r="D90" i="55" s="1"/>
  <c r="E88" i="55" s="1"/>
  <c r="I88" i="55"/>
  <c r="H83" i="55"/>
  <c r="F83" i="55"/>
  <c r="H82" i="55"/>
  <c r="F82" i="55"/>
  <c r="H81" i="55"/>
  <c r="F81" i="55"/>
  <c r="H80" i="55"/>
  <c r="F80" i="55"/>
  <c r="H79" i="55"/>
  <c r="F79" i="55"/>
  <c r="H78" i="55"/>
  <c r="F78" i="55"/>
  <c r="H75" i="55"/>
  <c r="F75" i="55"/>
  <c r="H74" i="55"/>
  <c r="F74" i="55"/>
  <c r="H73" i="55"/>
  <c r="F73" i="55"/>
  <c r="H72" i="55"/>
  <c r="F72" i="55"/>
  <c r="H71" i="55"/>
  <c r="F71" i="55"/>
  <c r="H70" i="55"/>
  <c r="F70" i="55"/>
  <c r="H67" i="55"/>
  <c r="F67" i="55"/>
  <c r="H66" i="55"/>
  <c r="F66" i="55"/>
  <c r="H65" i="55"/>
  <c r="F65" i="55"/>
  <c r="H64" i="55"/>
  <c r="F64" i="55"/>
  <c r="H63" i="55"/>
  <c r="F63" i="55"/>
  <c r="H62" i="55"/>
  <c r="F62" i="55"/>
  <c r="H61" i="55"/>
  <c r="F61" i="55"/>
  <c r="H58" i="55"/>
  <c r="F58" i="55"/>
  <c r="H57" i="55"/>
  <c r="F57" i="55"/>
  <c r="H56" i="55"/>
  <c r="F56" i="55"/>
  <c r="H55" i="55"/>
  <c r="F55" i="55"/>
  <c r="H54" i="55"/>
  <c r="F54" i="55"/>
  <c r="H50" i="55"/>
  <c r="F50" i="55"/>
  <c r="H49" i="55"/>
  <c r="F49" i="55"/>
  <c r="D43" i="55"/>
  <c r="I43" i="55" s="1"/>
  <c r="D42" i="55"/>
  <c r="J42" i="55" s="1"/>
  <c r="D41" i="55"/>
  <c r="J41" i="55" s="1"/>
  <c r="D40" i="55"/>
  <c r="J40" i="55" s="1"/>
  <c r="D39" i="55"/>
  <c r="I39" i="55" s="1"/>
  <c r="D38" i="55"/>
  <c r="J38" i="55" s="1"/>
  <c r="D37" i="55"/>
  <c r="J37" i="55" s="1"/>
  <c r="D36" i="55"/>
  <c r="J36" i="55" s="1"/>
  <c r="J35" i="55"/>
  <c r="D35" i="55"/>
  <c r="I35" i="55" s="1"/>
  <c r="D34" i="55"/>
  <c r="J34" i="55" s="1"/>
  <c r="D33" i="55"/>
  <c r="J33" i="55" s="1"/>
  <c r="D32" i="55"/>
  <c r="J32" i="55" s="1"/>
  <c r="D31" i="55"/>
  <c r="I31" i="55" s="1"/>
  <c r="D30" i="55"/>
  <c r="J30" i="55" s="1"/>
  <c r="D29" i="55"/>
  <c r="J29" i="55" s="1"/>
  <c r="D28" i="55"/>
  <c r="J28" i="55" s="1"/>
  <c r="J27" i="55"/>
  <c r="D27" i="55"/>
  <c r="I27" i="55" s="1"/>
  <c r="D26" i="55"/>
  <c r="J26" i="55" s="1"/>
  <c r="D25" i="55"/>
  <c r="J25" i="55" s="1"/>
  <c r="D24" i="55"/>
  <c r="J24" i="55" s="1"/>
  <c r="D23" i="55"/>
  <c r="I23" i="55" s="1"/>
  <c r="J22" i="55"/>
  <c r="I22" i="55"/>
  <c r="J20" i="55"/>
  <c r="J19" i="55"/>
  <c r="J18" i="55"/>
  <c r="J17" i="55"/>
  <c r="J16" i="55"/>
  <c r="J15" i="55"/>
  <c r="J14" i="55"/>
  <c r="J13" i="55"/>
  <c r="J12" i="55"/>
  <c r="J11" i="55"/>
  <c r="J10" i="55"/>
  <c r="J9" i="55"/>
  <c r="J8" i="55"/>
  <c r="J7" i="55"/>
  <c r="J6" i="55"/>
  <c r="D43" i="27"/>
  <c r="D102" i="54"/>
  <c r="E109" i="54"/>
  <c r="D109" i="54"/>
  <c r="E108" i="54"/>
  <c r="D108" i="54"/>
  <c r="E105" i="54"/>
  <c r="D105" i="54"/>
  <c r="I98" i="54"/>
  <c r="I97" i="54"/>
  <c r="I96" i="54"/>
  <c r="I95" i="54"/>
  <c r="I94" i="54"/>
  <c r="I93" i="54"/>
  <c r="I92" i="54"/>
  <c r="F88" i="54"/>
  <c r="F89" i="54" s="1"/>
  <c r="D88" i="54"/>
  <c r="E95" i="54" s="1"/>
  <c r="I87" i="54"/>
  <c r="H82" i="54"/>
  <c r="F82" i="54"/>
  <c r="H81" i="54"/>
  <c r="F81" i="54"/>
  <c r="H80" i="54"/>
  <c r="F80" i="54"/>
  <c r="H79" i="54"/>
  <c r="F79" i="54"/>
  <c r="H78" i="54"/>
  <c r="F78" i="54"/>
  <c r="H77" i="54"/>
  <c r="F77" i="54"/>
  <c r="H74" i="54"/>
  <c r="F74" i="54"/>
  <c r="H73" i="54"/>
  <c r="F73" i="54"/>
  <c r="H72" i="54"/>
  <c r="F72" i="54"/>
  <c r="H71" i="54"/>
  <c r="F71" i="54"/>
  <c r="H70" i="54"/>
  <c r="F70" i="54"/>
  <c r="H69" i="54"/>
  <c r="F69" i="54"/>
  <c r="H66" i="54"/>
  <c r="F66" i="54"/>
  <c r="H65" i="54"/>
  <c r="F65" i="54"/>
  <c r="H64" i="54"/>
  <c r="F64" i="54"/>
  <c r="H63" i="54"/>
  <c r="F63" i="54"/>
  <c r="H62" i="54"/>
  <c r="F62" i="54"/>
  <c r="H61" i="54"/>
  <c r="F61" i="54"/>
  <c r="H60" i="54"/>
  <c r="F60" i="54"/>
  <c r="H57" i="54"/>
  <c r="F57" i="54"/>
  <c r="H56" i="54"/>
  <c r="F56" i="54"/>
  <c r="H55" i="54"/>
  <c r="F55" i="54"/>
  <c r="H54" i="54"/>
  <c r="F54" i="54"/>
  <c r="H53" i="54"/>
  <c r="F53" i="54"/>
  <c r="H49" i="54"/>
  <c r="F49" i="54"/>
  <c r="H48" i="54"/>
  <c r="F48" i="54"/>
  <c r="W44" i="54"/>
  <c r="Q44" i="54"/>
  <c r="K44" i="54"/>
  <c r="G44" i="54"/>
  <c r="F44" i="54"/>
  <c r="E44" i="54"/>
  <c r="D43" i="54"/>
  <c r="I43" i="54" s="1"/>
  <c r="D42" i="54"/>
  <c r="J42" i="54" s="1"/>
  <c r="D41" i="54"/>
  <c r="I41" i="54" s="1"/>
  <c r="J40" i="54"/>
  <c r="D40" i="54"/>
  <c r="I40" i="54" s="1"/>
  <c r="D39" i="54"/>
  <c r="J39" i="54" s="1"/>
  <c r="D38" i="54"/>
  <c r="J38" i="54" s="1"/>
  <c r="D37" i="54"/>
  <c r="J37" i="54" s="1"/>
  <c r="J36" i="54"/>
  <c r="D36" i="54"/>
  <c r="I36" i="54" s="1"/>
  <c r="D35" i="54"/>
  <c r="J35" i="54" s="1"/>
  <c r="D34" i="54"/>
  <c r="I34" i="54" s="1"/>
  <c r="D33" i="54"/>
  <c r="J33" i="54" s="1"/>
  <c r="J32" i="54"/>
  <c r="D32" i="54"/>
  <c r="I32" i="54" s="1"/>
  <c r="D31" i="54"/>
  <c r="I31" i="54" s="1"/>
  <c r="D30" i="54"/>
  <c r="J30" i="54" s="1"/>
  <c r="D29" i="54"/>
  <c r="J29" i="54" s="1"/>
  <c r="J28" i="54"/>
  <c r="D28" i="54"/>
  <c r="I28" i="54" s="1"/>
  <c r="D27" i="54"/>
  <c r="J27" i="54" s="1"/>
  <c r="D26" i="54"/>
  <c r="J26" i="54" s="1"/>
  <c r="D25" i="54"/>
  <c r="I25" i="54" s="1"/>
  <c r="J24" i="54"/>
  <c r="D24" i="54"/>
  <c r="I24" i="54" s="1"/>
  <c r="D23" i="54"/>
  <c r="I23" i="54" s="1"/>
  <c r="J22" i="54"/>
  <c r="I22" i="54"/>
  <c r="J20" i="54"/>
  <c r="J19" i="54"/>
  <c r="J18" i="54"/>
  <c r="J17" i="54"/>
  <c r="J16" i="54"/>
  <c r="J15" i="54"/>
  <c r="J14" i="54"/>
  <c r="J13" i="54"/>
  <c r="J12" i="54"/>
  <c r="J11" i="54"/>
  <c r="J10" i="54"/>
  <c r="J9" i="54"/>
  <c r="J8" i="54"/>
  <c r="J7" i="54"/>
  <c r="J6" i="54"/>
  <c r="W43" i="53"/>
  <c r="Q43" i="53"/>
  <c r="K43" i="53"/>
  <c r="G43" i="53"/>
  <c r="F43" i="53"/>
  <c r="E43" i="53"/>
  <c r="D42" i="27"/>
  <c r="D101" i="53"/>
  <c r="H99" i="57" l="1"/>
  <c r="H95" i="57"/>
  <c r="H97" i="57"/>
  <c r="H101" i="57"/>
  <c r="H100" i="57"/>
  <c r="G90" i="57"/>
  <c r="I92" i="57"/>
  <c r="E90" i="57"/>
  <c r="G91" i="57"/>
  <c r="H91" i="57" s="1"/>
  <c r="O44" i="27"/>
  <c r="O43" i="27"/>
  <c r="O42" i="27"/>
  <c r="N44" i="56"/>
  <c r="N45" i="56"/>
  <c r="N33" i="56"/>
  <c r="N29" i="56"/>
  <c r="G95" i="56"/>
  <c r="O41" i="56"/>
  <c r="N37" i="56"/>
  <c r="N25" i="56"/>
  <c r="E98" i="56"/>
  <c r="N26" i="56"/>
  <c r="N34" i="56"/>
  <c r="N42" i="56"/>
  <c r="G98" i="56"/>
  <c r="N23" i="56"/>
  <c r="N39" i="56"/>
  <c r="I90" i="56"/>
  <c r="E99" i="56"/>
  <c r="O27" i="56"/>
  <c r="O35" i="56"/>
  <c r="O43" i="56"/>
  <c r="G99" i="56"/>
  <c r="F91" i="56"/>
  <c r="N24" i="56"/>
  <c r="N28" i="56"/>
  <c r="N32" i="56"/>
  <c r="N36" i="56"/>
  <c r="N40" i="56"/>
  <c r="E94" i="56"/>
  <c r="E97" i="56"/>
  <c r="E100" i="56"/>
  <c r="H100" i="56" s="1"/>
  <c r="E90" i="56"/>
  <c r="E95" i="56"/>
  <c r="N30" i="56"/>
  <c r="N38" i="56"/>
  <c r="N31" i="56"/>
  <c r="E96" i="56"/>
  <c r="G96" i="56"/>
  <c r="G94" i="56"/>
  <c r="G97" i="56"/>
  <c r="J43" i="55"/>
  <c r="E99" i="55"/>
  <c r="G99" i="55"/>
  <c r="E93" i="55"/>
  <c r="J23" i="55"/>
  <c r="G93" i="55"/>
  <c r="J39" i="55"/>
  <c r="E96" i="55"/>
  <c r="G96" i="55"/>
  <c r="J31" i="55"/>
  <c r="I90" i="55"/>
  <c r="G88" i="55"/>
  <c r="H88" i="55" s="1"/>
  <c r="I24" i="55"/>
  <c r="I28" i="55"/>
  <c r="I32" i="55"/>
  <c r="I36" i="55"/>
  <c r="I40" i="55"/>
  <c r="E89" i="55"/>
  <c r="E94" i="55"/>
  <c r="E97" i="55"/>
  <c r="I25" i="55"/>
  <c r="I29" i="55"/>
  <c r="I33" i="55"/>
  <c r="I37" i="55"/>
  <c r="I41" i="55"/>
  <c r="G94" i="55"/>
  <c r="G97" i="55"/>
  <c r="G89" i="55"/>
  <c r="I26" i="55"/>
  <c r="I30" i="55"/>
  <c r="I34" i="55"/>
  <c r="I38" i="55"/>
  <c r="I42" i="55"/>
  <c r="I89" i="55"/>
  <c r="E95" i="55"/>
  <c r="E98" i="55"/>
  <c r="G95" i="55"/>
  <c r="G98" i="55"/>
  <c r="E97" i="54"/>
  <c r="D89" i="54"/>
  <c r="E87" i="54" s="1"/>
  <c r="E98" i="54"/>
  <c r="E93" i="54"/>
  <c r="E96" i="54"/>
  <c r="E92" i="54"/>
  <c r="E94" i="54"/>
  <c r="G87" i="54"/>
  <c r="I89" i="54"/>
  <c r="I29" i="54"/>
  <c r="I37" i="54"/>
  <c r="G96" i="54"/>
  <c r="J41" i="54"/>
  <c r="G88" i="54"/>
  <c r="I30" i="54"/>
  <c r="I42" i="54"/>
  <c r="I88" i="54"/>
  <c r="J34" i="54"/>
  <c r="I27" i="54"/>
  <c r="I35" i="54"/>
  <c r="J31" i="54"/>
  <c r="J43" i="54"/>
  <c r="G92" i="54"/>
  <c r="H92" i="54" s="1"/>
  <c r="G95" i="54"/>
  <c r="H95" i="54" s="1"/>
  <c r="G98" i="54"/>
  <c r="I33" i="54"/>
  <c r="J25" i="54"/>
  <c r="I26" i="54"/>
  <c r="I38" i="54"/>
  <c r="G97" i="54"/>
  <c r="I39" i="54"/>
  <c r="J23" i="54"/>
  <c r="G93" i="54"/>
  <c r="G94" i="54"/>
  <c r="H94" i="54" s="1"/>
  <c r="D42" i="53"/>
  <c r="I42" i="53" s="1"/>
  <c r="E108" i="53"/>
  <c r="D108" i="53"/>
  <c r="E107" i="53"/>
  <c r="D107" i="53"/>
  <c r="E104" i="53"/>
  <c r="D104" i="53"/>
  <c r="I97" i="53"/>
  <c r="I96" i="53"/>
  <c r="I95" i="53"/>
  <c r="I94" i="53"/>
  <c r="I93" i="53"/>
  <c r="I92" i="53"/>
  <c r="I91" i="53"/>
  <c r="F87" i="53"/>
  <c r="G96" i="53" s="1"/>
  <c r="D87" i="53"/>
  <c r="E96" i="53" s="1"/>
  <c r="I86" i="53"/>
  <c r="H81" i="53"/>
  <c r="F81" i="53"/>
  <c r="H80" i="53"/>
  <c r="F80" i="53"/>
  <c r="H79" i="53"/>
  <c r="F79" i="53"/>
  <c r="H78" i="53"/>
  <c r="F78" i="53"/>
  <c r="H77" i="53"/>
  <c r="F77" i="53"/>
  <c r="H76" i="53"/>
  <c r="F76" i="53"/>
  <c r="H73" i="53"/>
  <c r="F73" i="53"/>
  <c r="H72" i="53"/>
  <c r="F72" i="53"/>
  <c r="H71" i="53"/>
  <c r="F71" i="53"/>
  <c r="H70" i="53"/>
  <c r="F70" i="53"/>
  <c r="H69" i="53"/>
  <c r="F69" i="53"/>
  <c r="H68" i="53"/>
  <c r="F68" i="53"/>
  <c r="H65" i="53"/>
  <c r="F65" i="53"/>
  <c r="H64" i="53"/>
  <c r="F64" i="53"/>
  <c r="H63" i="53"/>
  <c r="F63" i="53"/>
  <c r="H62" i="53"/>
  <c r="F62" i="53"/>
  <c r="H61" i="53"/>
  <c r="F61" i="53"/>
  <c r="H60" i="53"/>
  <c r="F60" i="53"/>
  <c r="H59" i="53"/>
  <c r="F59" i="53"/>
  <c r="H56" i="53"/>
  <c r="F56" i="53"/>
  <c r="H55" i="53"/>
  <c r="F55" i="53"/>
  <c r="H54" i="53"/>
  <c r="F54" i="53"/>
  <c r="H53" i="53"/>
  <c r="F53" i="53"/>
  <c r="H52" i="53"/>
  <c r="F52" i="53"/>
  <c r="H48" i="53"/>
  <c r="F48" i="53"/>
  <c r="H47" i="53"/>
  <c r="F47" i="53"/>
  <c r="D41" i="53"/>
  <c r="I41" i="53" s="1"/>
  <c r="D40" i="53"/>
  <c r="J40" i="53" s="1"/>
  <c r="D39" i="53"/>
  <c r="J39" i="53" s="1"/>
  <c r="D38" i="53"/>
  <c r="J38" i="53" s="1"/>
  <c r="D37" i="53"/>
  <c r="I37" i="53" s="1"/>
  <c r="D36" i="53"/>
  <c r="J36" i="53" s="1"/>
  <c r="D35" i="53"/>
  <c r="J35" i="53" s="1"/>
  <c r="D34" i="53"/>
  <c r="J34" i="53" s="1"/>
  <c r="D33" i="53"/>
  <c r="I33" i="53" s="1"/>
  <c r="D32" i="53"/>
  <c r="J32" i="53" s="1"/>
  <c r="D31" i="53"/>
  <c r="J31" i="53" s="1"/>
  <c r="D30" i="53"/>
  <c r="J30" i="53" s="1"/>
  <c r="D29" i="53"/>
  <c r="I29" i="53" s="1"/>
  <c r="D28" i="53"/>
  <c r="J28" i="53" s="1"/>
  <c r="D27" i="53"/>
  <c r="J27" i="53" s="1"/>
  <c r="D26" i="53"/>
  <c r="J26" i="53" s="1"/>
  <c r="D25" i="53"/>
  <c r="I25" i="53" s="1"/>
  <c r="D24" i="53"/>
  <c r="J24" i="53" s="1"/>
  <c r="D23" i="53"/>
  <c r="J23" i="53" s="1"/>
  <c r="J22" i="53"/>
  <c r="I22" i="53"/>
  <c r="J20" i="53"/>
  <c r="J19" i="53"/>
  <c r="J18" i="53"/>
  <c r="J17" i="53"/>
  <c r="J16" i="53"/>
  <c r="J15" i="53"/>
  <c r="J14" i="53"/>
  <c r="J13" i="53"/>
  <c r="J12" i="53"/>
  <c r="J11" i="53"/>
  <c r="J10" i="53"/>
  <c r="J9" i="53"/>
  <c r="J8" i="53"/>
  <c r="J7" i="53"/>
  <c r="J6" i="53"/>
  <c r="K42" i="52"/>
  <c r="G42" i="52"/>
  <c r="F42" i="52"/>
  <c r="E42" i="52"/>
  <c r="D38" i="27"/>
  <c r="D39" i="27"/>
  <c r="D40" i="27"/>
  <c r="D41" i="27"/>
  <c r="D100" i="52"/>
  <c r="H90" i="57" l="1"/>
  <c r="O41" i="27"/>
  <c r="H95" i="56"/>
  <c r="H99" i="56"/>
  <c r="H98" i="56"/>
  <c r="H97" i="56"/>
  <c r="H94" i="56"/>
  <c r="G89" i="56"/>
  <c r="H89" i="56" s="1"/>
  <c r="I91" i="56"/>
  <c r="H96" i="56"/>
  <c r="G90" i="56"/>
  <c r="H90" i="56" s="1"/>
  <c r="H96" i="55"/>
  <c r="H93" i="55"/>
  <c r="H99" i="55"/>
  <c r="H89" i="55"/>
  <c r="H97" i="55"/>
  <c r="H98" i="55"/>
  <c r="H94" i="55"/>
  <c r="H95" i="55"/>
  <c r="H97" i="54"/>
  <c r="H93" i="54"/>
  <c r="E88" i="54"/>
  <c r="H88" i="54" s="1"/>
  <c r="H87" i="54"/>
  <c r="H98" i="54"/>
  <c r="H96" i="54"/>
  <c r="J42" i="53"/>
  <c r="E91" i="53"/>
  <c r="D88" i="53"/>
  <c r="E86" i="53" s="1"/>
  <c r="H96" i="53"/>
  <c r="J41" i="53"/>
  <c r="E92" i="53"/>
  <c r="I36" i="53"/>
  <c r="J29" i="53"/>
  <c r="I24" i="53"/>
  <c r="G94" i="53"/>
  <c r="I28" i="53"/>
  <c r="F88" i="53"/>
  <c r="G87" i="53" s="1"/>
  <c r="J25" i="53"/>
  <c r="J33" i="53"/>
  <c r="E93" i="53"/>
  <c r="I32" i="53"/>
  <c r="I87" i="53"/>
  <c r="J37" i="53"/>
  <c r="G91" i="53"/>
  <c r="I40" i="53"/>
  <c r="E94" i="53"/>
  <c r="E97" i="53"/>
  <c r="G97" i="53"/>
  <c r="I26" i="53"/>
  <c r="I30" i="53"/>
  <c r="I34" i="53"/>
  <c r="I38" i="53"/>
  <c r="E95" i="53"/>
  <c r="I23" i="53"/>
  <c r="I27" i="53"/>
  <c r="I31" i="53"/>
  <c r="I39" i="53"/>
  <c r="G92" i="53"/>
  <c r="G95" i="53"/>
  <c r="I35" i="53"/>
  <c r="G93" i="53"/>
  <c r="Q42" i="52"/>
  <c r="N42" i="52"/>
  <c r="D41" i="52"/>
  <c r="J41" i="52" s="1"/>
  <c r="E107" i="52"/>
  <c r="D107" i="52"/>
  <c r="E106" i="52"/>
  <c r="D106" i="52"/>
  <c r="E103" i="52"/>
  <c r="D103" i="52"/>
  <c r="I96" i="52"/>
  <c r="I95" i="52"/>
  <c r="I94" i="52"/>
  <c r="I93" i="52"/>
  <c r="I92" i="52"/>
  <c r="I91" i="52"/>
  <c r="I90" i="52"/>
  <c r="F86" i="52"/>
  <c r="G95" i="52" s="1"/>
  <c r="D86" i="52"/>
  <c r="D87" i="52" s="1"/>
  <c r="I85" i="52"/>
  <c r="H80" i="52"/>
  <c r="F80" i="52"/>
  <c r="H79" i="52"/>
  <c r="F79" i="52"/>
  <c r="H78" i="52"/>
  <c r="F78" i="52"/>
  <c r="H77" i="52"/>
  <c r="F77" i="52"/>
  <c r="H76" i="52"/>
  <c r="F76" i="52"/>
  <c r="H75" i="52"/>
  <c r="F75" i="52"/>
  <c r="H72" i="52"/>
  <c r="F72" i="52"/>
  <c r="H71" i="52"/>
  <c r="F71" i="52"/>
  <c r="H70" i="52"/>
  <c r="F70" i="52"/>
  <c r="H69" i="52"/>
  <c r="F69" i="52"/>
  <c r="H68" i="52"/>
  <c r="F68" i="52"/>
  <c r="H67" i="52"/>
  <c r="F67" i="52"/>
  <c r="H64" i="52"/>
  <c r="F64" i="52"/>
  <c r="H63" i="52"/>
  <c r="F63" i="52"/>
  <c r="H62" i="52"/>
  <c r="F62" i="52"/>
  <c r="H61" i="52"/>
  <c r="F61" i="52"/>
  <c r="H60" i="52"/>
  <c r="F60" i="52"/>
  <c r="H59" i="52"/>
  <c r="F59" i="52"/>
  <c r="H58" i="52"/>
  <c r="F58" i="52"/>
  <c r="H55" i="52"/>
  <c r="F55" i="52"/>
  <c r="H54" i="52"/>
  <c r="F54" i="52"/>
  <c r="H53" i="52"/>
  <c r="F53" i="52"/>
  <c r="H52" i="52"/>
  <c r="F52" i="52"/>
  <c r="H51" i="52"/>
  <c r="F51" i="52"/>
  <c r="H47" i="52"/>
  <c r="F47" i="52"/>
  <c r="H46" i="52"/>
  <c r="F46" i="52"/>
  <c r="D40" i="52"/>
  <c r="J40" i="52" s="1"/>
  <c r="D39" i="52"/>
  <c r="J39" i="52" s="1"/>
  <c r="D38" i="52"/>
  <c r="J38" i="52" s="1"/>
  <c r="D37" i="52"/>
  <c r="I37" i="52" s="1"/>
  <c r="D36" i="52"/>
  <c r="J36" i="52" s="1"/>
  <c r="D35" i="52"/>
  <c r="I35" i="52" s="1"/>
  <c r="D34" i="52"/>
  <c r="J34" i="52" s="1"/>
  <c r="J33" i="52"/>
  <c r="D33" i="52"/>
  <c r="I33" i="52" s="1"/>
  <c r="D32" i="52"/>
  <c r="J32" i="52" s="1"/>
  <c r="D31" i="52"/>
  <c r="I31" i="52" s="1"/>
  <c r="D30" i="52"/>
  <c r="J30" i="52" s="1"/>
  <c r="D29" i="52"/>
  <c r="J29" i="52" s="1"/>
  <c r="D28" i="52"/>
  <c r="J28" i="52" s="1"/>
  <c r="J27" i="52"/>
  <c r="I27" i="52"/>
  <c r="D27" i="52"/>
  <c r="D26" i="52"/>
  <c r="J26" i="52" s="1"/>
  <c r="D25" i="52"/>
  <c r="J25" i="52" s="1"/>
  <c r="D24" i="52"/>
  <c r="J24" i="52" s="1"/>
  <c r="D23" i="52"/>
  <c r="J23" i="52" s="1"/>
  <c r="J22" i="52"/>
  <c r="I22" i="52"/>
  <c r="J20" i="52"/>
  <c r="J19" i="52"/>
  <c r="J18" i="52"/>
  <c r="J17" i="52"/>
  <c r="J16" i="52"/>
  <c r="J15" i="52"/>
  <c r="J14" i="52"/>
  <c r="J13" i="52"/>
  <c r="J12" i="52"/>
  <c r="J11" i="52"/>
  <c r="J10" i="52"/>
  <c r="J9" i="52"/>
  <c r="J8" i="52"/>
  <c r="J7" i="52"/>
  <c r="J6" i="52"/>
  <c r="O40" i="27"/>
  <c r="D99" i="51"/>
  <c r="D85" i="51"/>
  <c r="E90" i="51" s="1"/>
  <c r="Q41" i="51"/>
  <c r="N41" i="51"/>
  <c r="K41" i="51"/>
  <c r="G41" i="51"/>
  <c r="F41" i="51"/>
  <c r="E41" i="51"/>
  <c r="D40" i="51"/>
  <c r="J40" i="51" s="1"/>
  <c r="E106" i="51"/>
  <c r="D106" i="51"/>
  <c r="E105" i="51"/>
  <c r="D105" i="51"/>
  <c r="E102" i="51"/>
  <c r="D102" i="51"/>
  <c r="I95" i="51"/>
  <c r="I94" i="51"/>
  <c r="I93" i="51"/>
  <c r="I92" i="51"/>
  <c r="I91" i="51"/>
  <c r="I90" i="51"/>
  <c r="I89" i="51"/>
  <c r="F85" i="51"/>
  <c r="G90" i="51" s="1"/>
  <c r="I84" i="51"/>
  <c r="H79" i="51"/>
  <c r="F79" i="51"/>
  <c r="H78" i="51"/>
  <c r="F78" i="51"/>
  <c r="H77" i="51"/>
  <c r="F77" i="51"/>
  <c r="H76" i="51"/>
  <c r="F76" i="51"/>
  <c r="H75" i="51"/>
  <c r="F75" i="51"/>
  <c r="H74" i="51"/>
  <c r="F74" i="51"/>
  <c r="H71" i="51"/>
  <c r="F71" i="51"/>
  <c r="H70" i="51"/>
  <c r="F70" i="51"/>
  <c r="H69" i="51"/>
  <c r="F69" i="51"/>
  <c r="H68" i="51"/>
  <c r="F68" i="51"/>
  <c r="H67" i="51"/>
  <c r="F67" i="51"/>
  <c r="H66" i="51"/>
  <c r="F66" i="51"/>
  <c r="H63" i="51"/>
  <c r="F63" i="51"/>
  <c r="H62" i="51"/>
  <c r="F62" i="51"/>
  <c r="H61" i="51"/>
  <c r="F61" i="51"/>
  <c r="H60" i="51"/>
  <c r="F60" i="51"/>
  <c r="H59" i="51"/>
  <c r="F59" i="51"/>
  <c r="H58" i="51"/>
  <c r="F58" i="51"/>
  <c r="H57" i="51"/>
  <c r="F57" i="51"/>
  <c r="H54" i="51"/>
  <c r="F54" i="51"/>
  <c r="H53" i="51"/>
  <c r="F53" i="51"/>
  <c r="H52" i="51"/>
  <c r="F52" i="51"/>
  <c r="H51" i="51"/>
  <c r="F51" i="51"/>
  <c r="H50" i="51"/>
  <c r="F50" i="51"/>
  <c r="H46" i="51"/>
  <c r="F46" i="51"/>
  <c r="H45" i="51"/>
  <c r="F45" i="51"/>
  <c r="D39" i="51"/>
  <c r="J39" i="51" s="1"/>
  <c r="D38" i="51"/>
  <c r="J38" i="51" s="1"/>
  <c r="D37" i="51"/>
  <c r="J37" i="51" s="1"/>
  <c r="D36" i="51"/>
  <c r="I36" i="51" s="1"/>
  <c r="D35" i="51"/>
  <c r="J35" i="51" s="1"/>
  <c r="D34" i="51"/>
  <c r="I34" i="51" s="1"/>
  <c r="D33" i="51"/>
  <c r="I33" i="51" s="1"/>
  <c r="D32" i="51"/>
  <c r="I32" i="51" s="1"/>
  <c r="D31" i="51"/>
  <c r="J31" i="51" s="1"/>
  <c r="D30" i="51"/>
  <c r="I30" i="51" s="1"/>
  <c r="D29" i="51"/>
  <c r="I29" i="51" s="1"/>
  <c r="D28" i="51"/>
  <c r="I28" i="51" s="1"/>
  <c r="D27" i="51"/>
  <c r="J27" i="51" s="1"/>
  <c r="D26" i="51"/>
  <c r="J26" i="51" s="1"/>
  <c r="D25" i="51"/>
  <c r="J25" i="51" s="1"/>
  <c r="D24" i="51"/>
  <c r="I24" i="51" s="1"/>
  <c r="D23" i="51"/>
  <c r="J23" i="51" s="1"/>
  <c r="J22" i="51"/>
  <c r="I22" i="51"/>
  <c r="J20" i="51"/>
  <c r="J19" i="51"/>
  <c r="J18" i="51"/>
  <c r="J17" i="51"/>
  <c r="J16" i="51"/>
  <c r="J15" i="51"/>
  <c r="J14" i="51"/>
  <c r="J13" i="51"/>
  <c r="J12" i="51"/>
  <c r="J11" i="51"/>
  <c r="J10" i="51"/>
  <c r="J9" i="51"/>
  <c r="J8" i="51"/>
  <c r="J7" i="51"/>
  <c r="J6" i="51"/>
  <c r="E40" i="50"/>
  <c r="G40" i="50"/>
  <c r="K40" i="50"/>
  <c r="D98" i="50"/>
  <c r="Q40" i="50"/>
  <c r="N40" i="50"/>
  <c r="J39" i="50"/>
  <c r="I39" i="50"/>
  <c r="F40" i="50"/>
  <c r="D39" i="50"/>
  <c r="E105" i="50"/>
  <c r="D105" i="50"/>
  <c r="E104" i="50"/>
  <c r="D104" i="50"/>
  <c r="E101" i="50"/>
  <c r="D101" i="50"/>
  <c r="I94" i="50"/>
  <c r="I93" i="50"/>
  <c r="I92" i="50"/>
  <c r="I91" i="50"/>
  <c r="I90" i="50"/>
  <c r="I89" i="50"/>
  <c r="I88" i="50"/>
  <c r="F84" i="50"/>
  <c r="F85" i="50" s="1"/>
  <c r="D84" i="50"/>
  <c r="D85" i="50" s="1"/>
  <c r="E83" i="50" s="1"/>
  <c r="I83" i="50"/>
  <c r="H78" i="50"/>
  <c r="F78" i="50"/>
  <c r="H77" i="50"/>
  <c r="F77" i="50"/>
  <c r="H76" i="50"/>
  <c r="F76" i="50"/>
  <c r="H75" i="50"/>
  <c r="F75" i="50"/>
  <c r="H74" i="50"/>
  <c r="F74" i="50"/>
  <c r="H73" i="50"/>
  <c r="F73" i="50"/>
  <c r="H70" i="50"/>
  <c r="F70" i="50"/>
  <c r="H69" i="50"/>
  <c r="F69" i="50"/>
  <c r="H68" i="50"/>
  <c r="F68" i="50"/>
  <c r="H67" i="50"/>
  <c r="F67" i="50"/>
  <c r="H66" i="50"/>
  <c r="F66" i="50"/>
  <c r="H65" i="50"/>
  <c r="F65" i="50"/>
  <c r="H62" i="50"/>
  <c r="F62" i="50"/>
  <c r="H61" i="50"/>
  <c r="F61" i="50"/>
  <c r="H60" i="50"/>
  <c r="F60" i="50"/>
  <c r="H59" i="50"/>
  <c r="F59" i="50"/>
  <c r="H58" i="50"/>
  <c r="F58" i="50"/>
  <c r="H57" i="50"/>
  <c r="F57" i="50"/>
  <c r="H56" i="50"/>
  <c r="F56" i="50"/>
  <c r="H53" i="50"/>
  <c r="F53" i="50"/>
  <c r="H52" i="50"/>
  <c r="F52" i="50"/>
  <c r="H51" i="50"/>
  <c r="F51" i="50"/>
  <c r="H50" i="50"/>
  <c r="F50" i="50"/>
  <c r="H49" i="50"/>
  <c r="F49" i="50"/>
  <c r="H45" i="50"/>
  <c r="F45" i="50"/>
  <c r="H44" i="50"/>
  <c r="F44" i="50"/>
  <c r="D38" i="50"/>
  <c r="J38" i="50" s="1"/>
  <c r="D37" i="50"/>
  <c r="I37" i="50" s="1"/>
  <c r="D36" i="50"/>
  <c r="J36" i="50" s="1"/>
  <c r="I35" i="50"/>
  <c r="D35" i="50"/>
  <c r="J35" i="50" s="1"/>
  <c r="D34" i="50"/>
  <c r="J34" i="50" s="1"/>
  <c r="D33" i="50"/>
  <c r="J33" i="50" s="1"/>
  <c r="D32" i="50"/>
  <c r="J32" i="50" s="1"/>
  <c r="D31" i="50"/>
  <c r="J31" i="50" s="1"/>
  <c r="D30" i="50"/>
  <c r="J30" i="50" s="1"/>
  <c r="D29" i="50"/>
  <c r="I29" i="50" s="1"/>
  <c r="D28" i="50"/>
  <c r="J28" i="50" s="1"/>
  <c r="D27" i="50"/>
  <c r="J27" i="50" s="1"/>
  <c r="D26" i="50"/>
  <c r="J26" i="50" s="1"/>
  <c r="D25" i="50"/>
  <c r="I25" i="50" s="1"/>
  <c r="D24" i="50"/>
  <c r="J24" i="50" s="1"/>
  <c r="D23" i="50"/>
  <c r="J23" i="50" s="1"/>
  <c r="J22" i="50"/>
  <c r="I22" i="50"/>
  <c r="J20" i="50"/>
  <c r="J19" i="50"/>
  <c r="J18" i="50"/>
  <c r="J17" i="50"/>
  <c r="J16" i="50"/>
  <c r="J15" i="50"/>
  <c r="J14" i="50"/>
  <c r="J13" i="50"/>
  <c r="J12" i="50"/>
  <c r="J11" i="50"/>
  <c r="J10" i="50"/>
  <c r="J9" i="50"/>
  <c r="J8" i="50"/>
  <c r="J7" i="50"/>
  <c r="J6" i="50"/>
  <c r="D100" i="49"/>
  <c r="D97" i="49"/>
  <c r="Q39" i="49"/>
  <c r="N39" i="49"/>
  <c r="K39" i="49"/>
  <c r="I38" i="49"/>
  <c r="G39" i="49"/>
  <c r="J38" i="49"/>
  <c r="F39" i="49"/>
  <c r="E39" i="49"/>
  <c r="D38" i="49"/>
  <c r="E104" i="49"/>
  <c r="D104" i="49"/>
  <c r="E103" i="49"/>
  <c r="D103" i="49"/>
  <c r="E100" i="49"/>
  <c r="I93" i="49"/>
  <c r="I92" i="49"/>
  <c r="I91" i="49"/>
  <c r="I90" i="49"/>
  <c r="I89" i="49"/>
  <c r="I88" i="49"/>
  <c r="I87" i="49"/>
  <c r="F83" i="49"/>
  <c r="G92" i="49" s="1"/>
  <c r="D83" i="49"/>
  <c r="E93" i="49" s="1"/>
  <c r="I82" i="49"/>
  <c r="H77" i="49"/>
  <c r="F77" i="49"/>
  <c r="H76" i="49"/>
  <c r="F76" i="49"/>
  <c r="H75" i="49"/>
  <c r="F75" i="49"/>
  <c r="H74" i="49"/>
  <c r="F74" i="49"/>
  <c r="H73" i="49"/>
  <c r="F73" i="49"/>
  <c r="H72" i="49"/>
  <c r="F72" i="49"/>
  <c r="H69" i="49"/>
  <c r="F69" i="49"/>
  <c r="H68" i="49"/>
  <c r="F68" i="49"/>
  <c r="H67" i="49"/>
  <c r="F67" i="49"/>
  <c r="H66" i="49"/>
  <c r="F66" i="49"/>
  <c r="H65" i="49"/>
  <c r="F65" i="49"/>
  <c r="H64" i="49"/>
  <c r="F64" i="49"/>
  <c r="H61" i="49"/>
  <c r="F61" i="49"/>
  <c r="H60" i="49"/>
  <c r="F60" i="49"/>
  <c r="H59" i="49"/>
  <c r="F59" i="49"/>
  <c r="H58" i="49"/>
  <c r="F58" i="49"/>
  <c r="H57" i="49"/>
  <c r="F57" i="49"/>
  <c r="H56" i="49"/>
  <c r="F56" i="49"/>
  <c r="H55" i="49"/>
  <c r="F55" i="49"/>
  <c r="H52" i="49"/>
  <c r="F52" i="49"/>
  <c r="H51" i="49"/>
  <c r="F51" i="49"/>
  <c r="H50" i="49"/>
  <c r="F50" i="49"/>
  <c r="H49" i="49"/>
  <c r="F49" i="49"/>
  <c r="H48" i="49"/>
  <c r="F48" i="49"/>
  <c r="H44" i="49"/>
  <c r="F44" i="49"/>
  <c r="H43" i="49"/>
  <c r="F43" i="49"/>
  <c r="D37" i="49"/>
  <c r="J37" i="49" s="1"/>
  <c r="D36" i="49"/>
  <c r="J36" i="49" s="1"/>
  <c r="D35" i="49"/>
  <c r="J35" i="49" s="1"/>
  <c r="D34" i="49"/>
  <c r="J34" i="49" s="1"/>
  <c r="D33" i="49"/>
  <c r="J33" i="49" s="1"/>
  <c r="D32" i="49"/>
  <c r="J32" i="49" s="1"/>
  <c r="D31" i="49"/>
  <c r="I31" i="49" s="1"/>
  <c r="D30" i="49"/>
  <c r="J30" i="49" s="1"/>
  <c r="D29" i="49"/>
  <c r="J29" i="49" s="1"/>
  <c r="D28" i="49"/>
  <c r="I28" i="49" s="1"/>
  <c r="D27" i="49"/>
  <c r="J27" i="49" s="1"/>
  <c r="D26" i="49"/>
  <c r="J26" i="49" s="1"/>
  <c r="D25" i="49"/>
  <c r="J25" i="49" s="1"/>
  <c r="D24" i="49"/>
  <c r="J24" i="49" s="1"/>
  <c r="D23" i="49"/>
  <c r="I23" i="49" s="1"/>
  <c r="J22" i="49"/>
  <c r="I22" i="49"/>
  <c r="J20" i="49"/>
  <c r="J19" i="49"/>
  <c r="J18" i="49"/>
  <c r="J17" i="49"/>
  <c r="J16" i="49"/>
  <c r="J15" i="49"/>
  <c r="J14" i="49"/>
  <c r="J13" i="49"/>
  <c r="J12" i="49"/>
  <c r="J11" i="49"/>
  <c r="J10" i="49"/>
  <c r="J9" i="49"/>
  <c r="J8" i="49"/>
  <c r="J7" i="49"/>
  <c r="J6" i="49"/>
  <c r="H91" i="53" l="1"/>
  <c r="H97" i="53"/>
  <c r="H92" i="53"/>
  <c r="E87" i="53"/>
  <c r="H87" i="53" s="1"/>
  <c r="I88" i="53"/>
  <c r="G86" i="53"/>
  <c r="H86" i="53" s="1"/>
  <c r="H95" i="53"/>
  <c r="H93" i="53"/>
  <c r="H94" i="53"/>
  <c r="E91" i="52"/>
  <c r="J35" i="52"/>
  <c r="I23" i="52"/>
  <c r="I39" i="52"/>
  <c r="I41" i="52"/>
  <c r="F87" i="52"/>
  <c r="G85" i="52" s="1"/>
  <c r="I29" i="52"/>
  <c r="J37" i="52"/>
  <c r="E94" i="52"/>
  <c r="I25" i="52"/>
  <c r="J31" i="52"/>
  <c r="E86" i="52"/>
  <c r="E85" i="52"/>
  <c r="I24" i="52"/>
  <c r="I28" i="52"/>
  <c r="I32" i="52"/>
  <c r="I36" i="52"/>
  <c r="I40" i="52"/>
  <c r="E90" i="52"/>
  <c r="E93" i="52"/>
  <c r="E96" i="52"/>
  <c r="G90" i="52"/>
  <c r="G93" i="52"/>
  <c r="G96" i="52"/>
  <c r="I26" i="52"/>
  <c r="I30" i="52"/>
  <c r="I34" i="52"/>
  <c r="I38" i="52"/>
  <c r="G91" i="52"/>
  <c r="G94" i="52"/>
  <c r="I86" i="52"/>
  <c r="E92" i="52"/>
  <c r="E95" i="52"/>
  <c r="H95" i="52" s="1"/>
  <c r="G92" i="52"/>
  <c r="O38" i="27"/>
  <c r="O39" i="27"/>
  <c r="I40" i="51"/>
  <c r="J32" i="51"/>
  <c r="J36" i="51"/>
  <c r="J24" i="51"/>
  <c r="J28" i="51"/>
  <c r="F86" i="51"/>
  <c r="G84" i="51" s="1"/>
  <c r="H90" i="51"/>
  <c r="I23" i="51"/>
  <c r="I27" i="51"/>
  <c r="I31" i="51"/>
  <c r="I35" i="51"/>
  <c r="I39" i="51"/>
  <c r="G93" i="51"/>
  <c r="J33" i="51"/>
  <c r="I26" i="51"/>
  <c r="I38" i="51"/>
  <c r="J30" i="51"/>
  <c r="J34" i="51"/>
  <c r="D86" i="51"/>
  <c r="E84" i="51" s="1"/>
  <c r="G91" i="51"/>
  <c r="G94" i="51"/>
  <c r="E89" i="51"/>
  <c r="E92" i="51"/>
  <c r="E95" i="51"/>
  <c r="I25" i="51"/>
  <c r="J29" i="51"/>
  <c r="I85" i="51"/>
  <c r="E94" i="51"/>
  <c r="G89" i="51"/>
  <c r="G92" i="51"/>
  <c r="G95" i="51"/>
  <c r="E93" i="51"/>
  <c r="I37" i="51"/>
  <c r="E91" i="51"/>
  <c r="J29" i="50"/>
  <c r="I32" i="50"/>
  <c r="I27" i="50"/>
  <c r="G91" i="50"/>
  <c r="I33" i="50"/>
  <c r="I24" i="50"/>
  <c r="I31" i="50"/>
  <c r="J25" i="50"/>
  <c r="J37" i="50"/>
  <c r="G88" i="50"/>
  <c r="I23" i="50"/>
  <c r="I28" i="50"/>
  <c r="G83" i="50"/>
  <c r="H83" i="50" s="1"/>
  <c r="I85" i="50"/>
  <c r="I26" i="50"/>
  <c r="I30" i="50"/>
  <c r="I34" i="50"/>
  <c r="I38" i="50"/>
  <c r="E88" i="50"/>
  <c r="E91" i="50"/>
  <c r="E94" i="50"/>
  <c r="G94" i="50"/>
  <c r="E84" i="50"/>
  <c r="E89" i="50"/>
  <c r="E92" i="50"/>
  <c r="I36" i="50"/>
  <c r="G89" i="50"/>
  <c r="G92" i="50"/>
  <c r="G84" i="50"/>
  <c r="I84" i="50"/>
  <c r="E90" i="50"/>
  <c r="E93" i="50"/>
  <c r="G90" i="50"/>
  <c r="G93" i="50"/>
  <c r="G87" i="49"/>
  <c r="G90" i="49"/>
  <c r="G93" i="49"/>
  <c r="H93" i="49" s="1"/>
  <c r="I26" i="49"/>
  <c r="I34" i="49"/>
  <c r="E91" i="49"/>
  <c r="I27" i="49"/>
  <c r="I35" i="49"/>
  <c r="G91" i="49"/>
  <c r="J23" i="49"/>
  <c r="J31" i="49"/>
  <c r="I24" i="49"/>
  <c r="I32" i="49"/>
  <c r="I83" i="49"/>
  <c r="E92" i="49"/>
  <c r="H92" i="49" s="1"/>
  <c r="J28" i="49"/>
  <c r="F84" i="49"/>
  <c r="I25" i="49"/>
  <c r="I29" i="49"/>
  <c r="I33" i="49"/>
  <c r="I37" i="49"/>
  <c r="I30" i="49"/>
  <c r="E88" i="49"/>
  <c r="G88" i="49"/>
  <c r="I36" i="49"/>
  <c r="E89" i="49"/>
  <c r="D84" i="49"/>
  <c r="E82" i="49" s="1"/>
  <c r="G89" i="49"/>
  <c r="E87" i="49"/>
  <c r="E90" i="49"/>
  <c r="G86" i="52" l="1"/>
  <c r="H86" i="52" s="1"/>
  <c r="H85" i="52"/>
  <c r="H91" i="52"/>
  <c r="H90" i="52"/>
  <c r="H92" i="52"/>
  <c r="H93" i="52"/>
  <c r="H94" i="52"/>
  <c r="I87" i="52"/>
  <c r="H96" i="52"/>
  <c r="H94" i="51"/>
  <c r="H84" i="51"/>
  <c r="I86" i="51"/>
  <c r="H95" i="51"/>
  <c r="G85" i="51"/>
  <c r="H89" i="51"/>
  <c r="H93" i="51"/>
  <c r="E85" i="51"/>
  <c r="H91" i="51"/>
  <c r="H92" i="51"/>
  <c r="H90" i="50"/>
  <c r="H92" i="50"/>
  <c r="H93" i="50"/>
  <c r="H94" i="50"/>
  <c r="H91" i="50"/>
  <c r="H88" i="50"/>
  <c r="H84" i="50"/>
  <c r="H89" i="50"/>
  <c r="H89" i="49"/>
  <c r="H91" i="49"/>
  <c r="E83" i="49"/>
  <c r="H90" i="49"/>
  <c r="H87" i="49"/>
  <c r="G82" i="49"/>
  <c r="H82" i="49" s="1"/>
  <c r="I84" i="49"/>
  <c r="G83" i="49"/>
  <c r="H88" i="49"/>
  <c r="D37" i="27"/>
  <c r="D96" i="48"/>
  <c r="F82" i="48"/>
  <c r="F83" i="48" s="1"/>
  <c r="Q38" i="48"/>
  <c r="N38" i="48"/>
  <c r="K38" i="48"/>
  <c r="I37" i="48"/>
  <c r="G38" i="48"/>
  <c r="J37" i="48"/>
  <c r="F38" i="48"/>
  <c r="E38" i="48"/>
  <c r="D37" i="48"/>
  <c r="E103" i="48"/>
  <c r="D103" i="48"/>
  <c r="E102" i="48"/>
  <c r="D102" i="48"/>
  <c r="E99" i="48"/>
  <c r="D99" i="48"/>
  <c r="I92" i="48"/>
  <c r="I91" i="48"/>
  <c r="I90" i="48"/>
  <c r="I89" i="48"/>
  <c r="I88" i="48"/>
  <c r="I87" i="48"/>
  <c r="I86" i="48"/>
  <c r="D82" i="48"/>
  <c r="E89" i="48" s="1"/>
  <c r="I81" i="48"/>
  <c r="H76" i="48"/>
  <c r="F76" i="48"/>
  <c r="H75" i="48"/>
  <c r="F75" i="48"/>
  <c r="H74" i="48"/>
  <c r="F74" i="48"/>
  <c r="H73" i="48"/>
  <c r="F73" i="48"/>
  <c r="H72" i="48"/>
  <c r="F72" i="48"/>
  <c r="H71" i="48"/>
  <c r="F71" i="48"/>
  <c r="H68" i="48"/>
  <c r="F68" i="48"/>
  <c r="H67" i="48"/>
  <c r="F67" i="48"/>
  <c r="H66" i="48"/>
  <c r="F66" i="48"/>
  <c r="H65" i="48"/>
  <c r="F65" i="48"/>
  <c r="H64" i="48"/>
  <c r="F64" i="48"/>
  <c r="H63" i="48"/>
  <c r="F63" i="48"/>
  <c r="H60" i="48"/>
  <c r="F60" i="48"/>
  <c r="H59" i="48"/>
  <c r="F59" i="48"/>
  <c r="H58" i="48"/>
  <c r="F58" i="48"/>
  <c r="H57" i="48"/>
  <c r="F57" i="48"/>
  <c r="H56" i="48"/>
  <c r="F56" i="48"/>
  <c r="H55" i="48"/>
  <c r="F55" i="48"/>
  <c r="H54" i="48"/>
  <c r="F54" i="48"/>
  <c r="H51" i="48"/>
  <c r="F51" i="48"/>
  <c r="H50" i="48"/>
  <c r="F50" i="48"/>
  <c r="H49" i="48"/>
  <c r="F49" i="48"/>
  <c r="H48" i="48"/>
  <c r="F48" i="48"/>
  <c r="H47" i="48"/>
  <c r="F47" i="48"/>
  <c r="H43" i="48"/>
  <c r="F43" i="48"/>
  <c r="H42" i="48"/>
  <c r="F42" i="48"/>
  <c r="D36" i="48"/>
  <c r="J36" i="48" s="1"/>
  <c r="D35" i="48"/>
  <c r="J35" i="48" s="1"/>
  <c r="D34" i="48"/>
  <c r="J34" i="48" s="1"/>
  <c r="D33" i="48"/>
  <c r="I33" i="48" s="1"/>
  <c r="D32" i="48"/>
  <c r="J32" i="48" s="1"/>
  <c r="D31" i="48"/>
  <c r="J31" i="48" s="1"/>
  <c r="D30" i="48"/>
  <c r="J30" i="48" s="1"/>
  <c r="D29" i="48"/>
  <c r="J29" i="48" s="1"/>
  <c r="D28" i="48"/>
  <c r="J28" i="48" s="1"/>
  <c r="D27" i="48"/>
  <c r="J27" i="48" s="1"/>
  <c r="D26" i="48"/>
  <c r="J26" i="48" s="1"/>
  <c r="D25" i="48"/>
  <c r="J25" i="48" s="1"/>
  <c r="D24" i="48"/>
  <c r="J24" i="48" s="1"/>
  <c r="D23" i="48"/>
  <c r="J23" i="48" s="1"/>
  <c r="J22" i="48"/>
  <c r="I22" i="48"/>
  <c r="J20" i="48"/>
  <c r="J19" i="48"/>
  <c r="J18" i="48"/>
  <c r="J17" i="48"/>
  <c r="J16" i="48"/>
  <c r="J15" i="48"/>
  <c r="J14" i="48"/>
  <c r="J13" i="48"/>
  <c r="J12" i="48"/>
  <c r="J11" i="48"/>
  <c r="J10" i="48"/>
  <c r="J9" i="48"/>
  <c r="J8" i="48"/>
  <c r="J7" i="48"/>
  <c r="J6" i="48"/>
  <c r="E102" i="47"/>
  <c r="D102" i="47"/>
  <c r="E101" i="47"/>
  <c r="D101" i="47"/>
  <c r="E98" i="47"/>
  <c r="D98" i="47"/>
  <c r="D95" i="47"/>
  <c r="I91" i="47"/>
  <c r="I90" i="47"/>
  <c r="I89" i="47"/>
  <c r="I88" i="47"/>
  <c r="I87" i="47"/>
  <c r="I86" i="47"/>
  <c r="I85" i="47"/>
  <c r="F81" i="47"/>
  <c r="F82" i="47" s="1"/>
  <c r="D81" i="47"/>
  <c r="D82" i="47" s="1"/>
  <c r="E80" i="47" s="1"/>
  <c r="I80" i="47"/>
  <c r="H75" i="47"/>
  <c r="F75" i="47"/>
  <c r="H74" i="47"/>
  <c r="F74" i="47"/>
  <c r="H73" i="47"/>
  <c r="F73" i="47"/>
  <c r="H72" i="47"/>
  <c r="F72" i="47"/>
  <c r="H71" i="47"/>
  <c r="F71" i="47"/>
  <c r="H70" i="47"/>
  <c r="F70" i="47"/>
  <c r="H67" i="47"/>
  <c r="F67" i="47"/>
  <c r="H66" i="47"/>
  <c r="F66" i="47"/>
  <c r="H65" i="47"/>
  <c r="F65" i="47"/>
  <c r="H64" i="47"/>
  <c r="F64" i="47"/>
  <c r="H63" i="47"/>
  <c r="F63" i="47"/>
  <c r="H62" i="47"/>
  <c r="F62" i="47"/>
  <c r="H59" i="47"/>
  <c r="F59" i="47"/>
  <c r="H58" i="47"/>
  <c r="F58" i="47"/>
  <c r="H57" i="47"/>
  <c r="F57" i="47"/>
  <c r="H56" i="47"/>
  <c r="F56" i="47"/>
  <c r="H55" i="47"/>
  <c r="F55" i="47"/>
  <c r="H54" i="47"/>
  <c r="F54" i="47"/>
  <c r="H53" i="47"/>
  <c r="F53" i="47"/>
  <c r="H50" i="47"/>
  <c r="F50" i="47"/>
  <c r="H49" i="47"/>
  <c r="F49" i="47"/>
  <c r="H48" i="47"/>
  <c r="F48" i="47"/>
  <c r="H47" i="47"/>
  <c r="F47" i="47"/>
  <c r="H46" i="47"/>
  <c r="F46" i="47"/>
  <c r="H42" i="47"/>
  <c r="F42" i="47"/>
  <c r="H41" i="47"/>
  <c r="F41" i="47"/>
  <c r="Q37" i="47"/>
  <c r="N37" i="47"/>
  <c r="K37" i="47"/>
  <c r="G37" i="47"/>
  <c r="F37" i="47"/>
  <c r="E37" i="47"/>
  <c r="D36" i="47"/>
  <c r="J36" i="47" s="1"/>
  <c r="D35" i="47"/>
  <c r="I35" i="47" s="1"/>
  <c r="D34" i="47"/>
  <c r="I34" i="47" s="1"/>
  <c r="J33" i="47"/>
  <c r="D33" i="47"/>
  <c r="I33" i="47" s="1"/>
  <c r="D32" i="47"/>
  <c r="J32" i="47" s="1"/>
  <c r="D31" i="47"/>
  <c r="I31" i="47" s="1"/>
  <c r="D30" i="47"/>
  <c r="J30" i="47" s="1"/>
  <c r="J29" i="47"/>
  <c r="D29" i="47"/>
  <c r="I29" i="47" s="1"/>
  <c r="D28" i="47"/>
  <c r="J28" i="47" s="1"/>
  <c r="D27" i="47"/>
  <c r="J27" i="47" s="1"/>
  <c r="D26" i="47"/>
  <c r="I26" i="47" s="1"/>
  <c r="J25" i="47"/>
  <c r="D25" i="47"/>
  <c r="I25" i="47" s="1"/>
  <c r="D24" i="47"/>
  <c r="J24" i="47" s="1"/>
  <c r="D23" i="47"/>
  <c r="I23" i="47" s="1"/>
  <c r="J22" i="47"/>
  <c r="I22" i="47"/>
  <c r="J20" i="47"/>
  <c r="J19" i="47"/>
  <c r="J18" i="47"/>
  <c r="J17" i="47"/>
  <c r="J16" i="47"/>
  <c r="J15" i="47"/>
  <c r="J14" i="47"/>
  <c r="J13" i="47"/>
  <c r="J12" i="47"/>
  <c r="J11" i="47"/>
  <c r="J10" i="47"/>
  <c r="J9" i="47"/>
  <c r="J8" i="47"/>
  <c r="J7" i="47"/>
  <c r="J6" i="47"/>
  <c r="H85" i="51" l="1"/>
  <c r="H83" i="49"/>
  <c r="O37" i="27"/>
  <c r="I25" i="48"/>
  <c r="J33" i="48"/>
  <c r="I29" i="48"/>
  <c r="G81" i="48"/>
  <c r="E90" i="48"/>
  <c r="I26" i="48"/>
  <c r="I34" i="48"/>
  <c r="G90" i="48"/>
  <c r="G82" i="48"/>
  <c r="I23" i="48"/>
  <c r="I31" i="48"/>
  <c r="I82" i="48"/>
  <c r="E88" i="48"/>
  <c r="D83" i="48"/>
  <c r="E81" i="48" s="1"/>
  <c r="G91" i="48"/>
  <c r="I24" i="48"/>
  <c r="I32" i="48"/>
  <c r="E92" i="48"/>
  <c r="G86" i="48"/>
  <c r="G89" i="48"/>
  <c r="H89" i="48" s="1"/>
  <c r="G92" i="48"/>
  <c r="E87" i="48"/>
  <c r="I30" i="48"/>
  <c r="G87" i="48"/>
  <c r="H87" i="48" s="1"/>
  <c r="I27" i="48"/>
  <c r="I35" i="48"/>
  <c r="E91" i="48"/>
  <c r="G88" i="48"/>
  <c r="I28" i="48"/>
  <c r="I36" i="48"/>
  <c r="E86" i="48"/>
  <c r="G80" i="47"/>
  <c r="H80" i="47" s="1"/>
  <c r="I82" i="47"/>
  <c r="J26" i="47"/>
  <c r="G81" i="47"/>
  <c r="H81" i="47" s="1"/>
  <c r="I27" i="47"/>
  <c r="E87" i="47"/>
  <c r="J23" i="47"/>
  <c r="J35" i="47"/>
  <c r="G87" i="47"/>
  <c r="I24" i="47"/>
  <c r="I28" i="47"/>
  <c r="I32" i="47"/>
  <c r="I36" i="47"/>
  <c r="E85" i="47"/>
  <c r="E88" i="47"/>
  <c r="E91" i="47"/>
  <c r="G91" i="47"/>
  <c r="H91" i="47" s="1"/>
  <c r="I30" i="47"/>
  <c r="G89" i="47"/>
  <c r="H89" i="47" s="1"/>
  <c r="I81" i="47"/>
  <c r="J31" i="47"/>
  <c r="G85" i="47"/>
  <c r="G88" i="47"/>
  <c r="E89" i="47"/>
  <c r="E81" i="47"/>
  <c r="J34" i="47"/>
  <c r="E86" i="47"/>
  <c r="G86" i="47"/>
  <c r="H86" i="47" s="1"/>
  <c r="E90" i="47"/>
  <c r="G90" i="47"/>
  <c r="H90" i="47" s="1"/>
  <c r="E82" i="48" l="1"/>
  <c r="H82" i="48" s="1"/>
  <c r="H81" i="48"/>
  <c r="H92" i="48"/>
  <c r="H90" i="48"/>
  <c r="H86" i="48"/>
  <c r="H88" i="48"/>
  <c r="H91" i="48"/>
  <c r="I83" i="48"/>
  <c r="H88" i="47"/>
  <c r="H85" i="47"/>
  <c r="H87" i="47"/>
  <c r="P10" i="27" l="1"/>
  <c r="P11" i="27"/>
  <c r="P12" i="27"/>
  <c r="P13" i="27"/>
  <c r="P14" i="27"/>
  <c r="P15" i="27"/>
  <c r="P16" i="27"/>
  <c r="P17" i="27"/>
  <c r="P18" i="27"/>
  <c r="P19" i="27"/>
  <c r="P20" i="27"/>
  <c r="P21" i="27"/>
  <c r="D35" i="27" l="1"/>
  <c r="O35" i="27" s="1"/>
  <c r="D94" i="46"/>
  <c r="D97" i="46"/>
  <c r="F54" i="46"/>
  <c r="F53" i="46"/>
  <c r="F52" i="46"/>
  <c r="F45" i="46"/>
  <c r="F46" i="46"/>
  <c r="F41" i="46"/>
  <c r="F40" i="46"/>
  <c r="Q36" i="46"/>
  <c r="N36" i="46"/>
  <c r="K36" i="46"/>
  <c r="G36" i="46"/>
  <c r="E36" i="46"/>
  <c r="I35" i="46"/>
  <c r="I34" i="46"/>
  <c r="J35" i="46"/>
  <c r="F36" i="46"/>
  <c r="D35" i="46"/>
  <c r="E101" i="46"/>
  <c r="D101" i="46"/>
  <c r="E100" i="46"/>
  <c r="D100" i="46"/>
  <c r="E97" i="46"/>
  <c r="I90" i="46"/>
  <c r="I89" i="46"/>
  <c r="I88" i="46"/>
  <c r="I87" i="46"/>
  <c r="I86" i="46"/>
  <c r="I85" i="46"/>
  <c r="I84" i="46"/>
  <c r="F80" i="46"/>
  <c r="G90" i="46" s="1"/>
  <c r="D80" i="46"/>
  <c r="D81" i="46" s="1"/>
  <c r="E79" i="46" s="1"/>
  <c r="I79" i="46"/>
  <c r="H74" i="46"/>
  <c r="F74" i="46"/>
  <c r="H73" i="46"/>
  <c r="F73" i="46"/>
  <c r="H72" i="46"/>
  <c r="F72" i="46"/>
  <c r="H71" i="46"/>
  <c r="F71" i="46"/>
  <c r="H70" i="46"/>
  <c r="F70" i="46"/>
  <c r="H69" i="46"/>
  <c r="F69" i="46"/>
  <c r="H66" i="46"/>
  <c r="F66" i="46"/>
  <c r="H65" i="46"/>
  <c r="F65" i="46"/>
  <c r="H64" i="46"/>
  <c r="F64" i="46"/>
  <c r="H63" i="46"/>
  <c r="F63" i="46"/>
  <c r="H62" i="46"/>
  <c r="F62" i="46"/>
  <c r="H61" i="46"/>
  <c r="F61" i="46"/>
  <c r="H58" i="46"/>
  <c r="F58" i="46"/>
  <c r="H57" i="46"/>
  <c r="F57" i="46"/>
  <c r="H56" i="46"/>
  <c r="F56" i="46"/>
  <c r="H55" i="46"/>
  <c r="F55" i="46"/>
  <c r="H54" i="46"/>
  <c r="H53" i="46"/>
  <c r="H52" i="46"/>
  <c r="H49" i="46"/>
  <c r="F49" i="46"/>
  <c r="H48" i="46"/>
  <c r="F48" i="46"/>
  <c r="H47" i="46"/>
  <c r="F47" i="46"/>
  <c r="H46" i="46"/>
  <c r="H45" i="46"/>
  <c r="H41" i="46"/>
  <c r="H40" i="46"/>
  <c r="D34" i="46"/>
  <c r="D33" i="46"/>
  <c r="J33" i="46" s="1"/>
  <c r="D32" i="46"/>
  <c r="I32" i="46" s="1"/>
  <c r="D31" i="46"/>
  <c r="I31" i="46" s="1"/>
  <c r="D30" i="46"/>
  <c r="I30" i="46" s="1"/>
  <c r="D29" i="46"/>
  <c r="J29" i="46" s="1"/>
  <c r="D28" i="46"/>
  <c r="J28" i="46" s="1"/>
  <c r="D27" i="46"/>
  <c r="I27" i="46" s="1"/>
  <c r="D26" i="46"/>
  <c r="J26" i="46" s="1"/>
  <c r="D25" i="46"/>
  <c r="J25" i="46" s="1"/>
  <c r="D24" i="46"/>
  <c r="J24" i="46" s="1"/>
  <c r="D23" i="46"/>
  <c r="I23" i="46" s="1"/>
  <c r="J22" i="46"/>
  <c r="I22" i="46"/>
  <c r="J20" i="46"/>
  <c r="J19" i="46"/>
  <c r="J18" i="46"/>
  <c r="J17" i="46"/>
  <c r="J16" i="46"/>
  <c r="J15" i="46"/>
  <c r="J14" i="46"/>
  <c r="J13" i="46"/>
  <c r="J12" i="46"/>
  <c r="J11" i="46"/>
  <c r="J10" i="46"/>
  <c r="J9" i="46"/>
  <c r="J8" i="46"/>
  <c r="J7" i="46"/>
  <c r="J6" i="46"/>
  <c r="J31" i="46" l="1"/>
  <c r="J23" i="46"/>
  <c r="J27" i="46"/>
  <c r="E88" i="46"/>
  <c r="I24" i="46"/>
  <c r="I28" i="46"/>
  <c r="G85" i="46"/>
  <c r="G88" i="46"/>
  <c r="J32" i="46"/>
  <c r="I25" i="46"/>
  <c r="I29" i="46"/>
  <c r="I33" i="46"/>
  <c r="I80" i="46"/>
  <c r="E86" i="46"/>
  <c r="E89" i="46"/>
  <c r="G86" i="46"/>
  <c r="G89" i="46"/>
  <c r="H89" i="46" s="1"/>
  <c r="I26" i="46"/>
  <c r="J30" i="46"/>
  <c r="J34" i="46"/>
  <c r="E84" i="46"/>
  <c r="E87" i="46"/>
  <c r="E90" i="46"/>
  <c r="H90" i="46" s="1"/>
  <c r="E85" i="46"/>
  <c r="F81" i="46"/>
  <c r="G80" i="46" s="1"/>
  <c r="G84" i="46"/>
  <c r="G87" i="46"/>
  <c r="E80" i="46"/>
  <c r="Q35" i="45"/>
  <c r="N35" i="45"/>
  <c r="K35" i="45"/>
  <c r="G35" i="45"/>
  <c r="F35" i="45"/>
  <c r="E35" i="45"/>
  <c r="D93" i="45"/>
  <c r="H39" i="45"/>
  <c r="J34" i="45"/>
  <c r="I34" i="45"/>
  <c r="D34" i="45"/>
  <c r="E100" i="45"/>
  <c r="D100" i="45"/>
  <c r="E99" i="45"/>
  <c r="D99" i="45"/>
  <c r="E96" i="45"/>
  <c r="D96" i="45"/>
  <c r="I89" i="45"/>
  <c r="I88" i="45"/>
  <c r="I87" i="45"/>
  <c r="I86" i="45"/>
  <c r="I85" i="45"/>
  <c r="I84" i="45"/>
  <c r="I83" i="45"/>
  <c r="F79" i="45"/>
  <c r="G88" i="45" s="1"/>
  <c r="D79" i="45"/>
  <c r="E89" i="45" s="1"/>
  <c r="I78" i="45"/>
  <c r="H73" i="45"/>
  <c r="F73" i="45"/>
  <c r="H72" i="45"/>
  <c r="F72" i="45"/>
  <c r="H71" i="45"/>
  <c r="F71" i="45"/>
  <c r="H70" i="45"/>
  <c r="F70" i="45"/>
  <c r="H69" i="45"/>
  <c r="F69" i="45"/>
  <c r="H68" i="45"/>
  <c r="F68" i="45"/>
  <c r="H65" i="45"/>
  <c r="F65" i="45"/>
  <c r="H64" i="45"/>
  <c r="F64" i="45"/>
  <c r="H63" i="45"/>
  <c r="F63" i="45"/>
  <c r="H62" i="45"/>
  <c r="F62" i="45"/>
  <c r="H61" i="45"/>
  <c r="F61" i="45"/>
  <c r="H60" i="45"/>
  <c r="F60" i="45"/>
  <c r="H57" i="45"/>
  <c r="F57" i="45"/>
  <c r="H56" i="45"/>
  <c r="F56" i="45"/>
  <c r="H55" i="45"/>
  <c r="F55" i="45"/>
  <c r="H54" i="45"/>
  <c r="F54" i="45"/>
  <c r="H53" i="45"/>
  <c r="F53" i="45"/>
  <c r="H52" i="45"/>
  <c r="F52" i="45"/>
  <c r="H51" i="45"/>
  <c r="F51" i="45"/>
  <c r="H48" i="45"/>
  <c r="F48" i="45"/>
  <c r="H47" i="45"/>
  <c r="F47" i="45"/>
  <c r="H46" i="45"/>
  <c r="F46" i="45"/>
  <c r="H45" i="45"/>
  <c r="F45" i="45"/>
  <c r="H44" i="45"/>
  <c r="F44" i="45"/>
  <c r="H40" i="45"/>
  <c r="F40" i="45"/>
  <c r="F39" i="45"/>
  <c r="D33" i="45"/>
  <c r="J33" i="45" s="1"/>
  <c r="J32" i="45"/>
  <c r="D32" i="45"/>
  <c r="I32" i="45" s="1"/>
  <c r="D31" i="45"/>
  <c r="J31" i="45" s="1"/>
  <c r="D30" i="45"/>
  <c r="J30" i="45" s="1"/>
  <c r="D29" i="45"/>
  <c r="J29" i="45" s="1"/>
  <c r="D28" i="45"/>
  <c r="I28" i="45" s="1"/>
  <c r="D27" i="45"/>
  <c r="J27" i="45" s="1"/>
  <c r="D26" i="45"/>
  <c r="J26" i="45" s="1"/>
  <c r="D25" i="45"/>
  <c r="J25" i="45" s="1"/>
  <c r="D24" i="45"/>
  <c r="I24" i="45" s="1"/>
  <c r="D23" i="45"/>
  <c r="J23" i="45" s="1"/>
  <c r="J22" i="45"/>
  <c r="I22" i="45"/>
  <c r="J20" i="45"/>
  <c r="J19" i="45"/>
  <c r="J18" i="45"/>
  <c r="J17" i="45"/>
  <c r="J16" i="45"/>
  <c r="J15" i="45"/>
  <c r="J14" i="45"/>
  <c r="J13" i="45"/>
  <c r="J12" i="45"/>
  <c r="J11" i="45"/>
  <c r="J10" i="45"/>
  <c r="J9" i="45"/>
  <c r="J8" i="45"/>
  <c r="J7" i="45"/>
  <c r="J6" i="45"/>
  <c r="N34" i="44"/>
  <c r="E34" i="44"/>
  <c r="G34" i="44"/>
  <c r="H86" i="46" l="1"/>
  <c r="H88" i="46"/>
  <c r="H80" i="46"/>
  <c r="H85" i="46"/>
  <c r="H87" i="46"/>
  <c r="H84" i="46"/>
  <c r="G79" i="46"/>
  <c r="H79" i="46" s="1"/>
  <c r="I81" i="46"/>
  <c r="E84" i="45"/>
  <c r="I33" i="45"/>
  <c r="E85" i="45"/>
  <c r="E86" i="45"/>
  <c r="G86" i="45"/>
  <c r="D80" i="45"/>
  <c r="E78" i="45" s="1"/>
  <c r="I29" i="45"/>
  <c r="E83" i="45"/>
  <c r="E88" i="45"/>
  <c r="H88" i="45" s="1"/>
  <c r="I25" i="45"/>
  <c r="J28" i="45"/>
  <c r="F80" i="45"/>
  <c r="G79" i="45" s="1"/>
  <c r="G83" i="45"/>
  <c r="E87" i="45"/>
  <c r="J24" i="45"/>
  <c r="G89" i="45"/>
  <c r="H89" i="45" s="1"/>
  <c r="I26" i="45"/>
  <c r="I30" i="45"/>
  <c r="I23" i="45"/>
  <c r="I27" i="45"/>
  <c r="I31" i="45"/>
  <c r="G84" i="45"/>
  <c r="H84" i="45" s="1"/>
  <c r="G87" i="45"/>
  <c r="I79" i="45"/>
  <c r="G85" i="45"/>
  <c r="D95" i="44"/>
  <c r="D92" i="44"/>
  <c r="Q34" i="44"/>
  <c r="K34" i="44"/>
  <c r="J33" i="44"/>
  <c r="I33" i="44"/>
  <c r="F34" i="44"/>
  <c r="D33" i="44"/>
  <c r="E99" i="44"/>
  <c r="D99" i="44"/>
  <c r="E98" i="44"/>
  <c r="D98" i="44"/>
  <c r="E95" i="44"/>
  <c r="I88" i="44"/>
  <c r="I87" i="44"/>
  <c r="I86" i="44"/>
  <c r="I85" i="44"/>
  <c r="I84" i="44"/>
  <c r="I83" i="44"/>
  <c r="I82" i="44"/>
  <c r="F78" i="44"/>
  <c r="G87" i="44" s="1"/>
  <c r="D78" i="44"/>
  <c r="E83" i="44" s="1"/>
  <c r="I77" i="44"/>
  <c r="H72" i="44"/>
  <c r="F72" i="44"/>
  <c r="H71" i="44"/>
  <c r="F71" i="44"/>
  <c r="H70" i="44"/>
  <c r="F70" i="44"/>
  <c r="H69" i="44"/>
  <c r="F69" i="44"/>
  <c r="H68" i="44"/>
  <c r="F68" i="44"/>
  <c r="H67" i="44"/>
  <c r="F67" i="44"/>
  <c r="H64" i="44"/>
  <c r="F64" i="44"/>
  <c r="H63" i="44"/>
  <c r="F63" i="44"/>
  <c r="H62" i="44"/>
  <c r="F62" i="44"/>
  <c r="H61" i="44"/>
  <c r="F61" i="44"/>
  <c r="H60" i="44"/>
  <c r="F60" i="44"/>
  <c r="H59" i="44"/>
  <c r="F59" i="44"/>
  <c r="H56" i="44"/>
  <c r="F56" i="44"/>
  <c r="H55" i="44"/>
  <c r="F55" i="44"/>
  <c r="H54" i="44"/>
  <c r="F54" i="44"/>
  <c r="H53" i="44"/>
  <c r="F53" i="44"/>
  <c r="H52" i="44"/>
  <c r="F52" i="44"/>
  <c r="H51" i="44"/>
  <c r="F51" i="44"/>
  <c r="H50" i="44"/>
  <c r="F50" i="44"/>
  <c r="H47" i="44"/>
  <c r="F47" i="44"/>
  <c r="H46" i="44"/>
  <c r="F46" i="44"/>
  <c r="H45" i="44"/>
  <c r="F45" i="44"/>
  <c r="H44" i="44"/>
  <c r="F44" i="44"/>
  <c r="H43" i="44"/>
  <c r="F43" i="44"/>
  <c r="H39" i="44"/>
  <c r="F39" i="44"/>
  <c r="H38" i="44"/>
  <c r="F38" i="44"/>
  <c r="D32" i="44"/>
  <c r="J32" i="44" s="1"/>
  <c r="D31" i="44"/>
  <c r="J31" i="44" s="1"/>
  <c r="D30" i="44"/>
  <c r="J30" i="44" s="1"/>
  <c r="D29" i="44"/>
  <c r="I29" i="44" s="1"/>
  <c r="D28" i="44"/>
  <c r="I28" i="44" s="1"/>
  <c r="D27" i="44"/>
  <c r="J27" i="44" s="1"/>
  <c r="D26" i="44"/>
  <c r="J26" i="44" s="1"/>
  <c r="J25" i="44"/>
  <c r="D25" i="44"/>
  <c r="I25" i="44" s="1"/>
  <c r="D24" i="44"/>
  <c r="J24" i="44" s="1"/>
  <c r="D23" i="44"/>
  <c r="I23" i="44" s="1"/>
  <c r="J22" i="44"/>
  <c r="I22" i="44"/>
  <c r="J20" i="44"/>
  <c r="J19" i="44"/>
  <c r="J18" i="44"/>
  <c r="J17" i="44"/>
  <c r="J16" i="44"/>
  <c r="J15" i="44"/>
  <c r="J14" i="44"/>
  <c r="J13" i="44"/>
  <c r="J12" i="44"/>
  <c r="J11" i="44"/>
  <c r="J10" i="44"/>
  <c r="J9" i="44"/>
  <c r="J8" i="44"/>
  <c r="J7" i="44"/>
  <c r="J6" i="44"/>
  <c r="H85" i="45" l="1"/>
  <c r="H83" i="45"/>
  <c r="H86" i="45"/>
  <c r="E79" i="45"/>
  <c r="H79" i="45" s="1"/>
  <c r="H87" i="45"/>
  <c r="G78" i="45"/>
  <c r="H78" i="45" s="1"/>
  <c r="I80" i="45"/>
  <c r="J29" i="44"/>
  <c r="I26" i="44"/>
  <c r="I27" i="44"/>
  <c r="E84" i="44"/>
  <c r="J23" i="44"/>
  <c r="D79" i="44"/>
  <c r="E77" i="44" s="1"/>
  <c r="I24" i="44"/>
  <c r="I32" i="44"/>
  <c r="J28" i="44"/>
  <c r="E82" i="44"/>
  <c r="E85" i="44"/>
  <c r="E88" i="44"/>
  <c r="E86" i="44"/>
  <c r="G86" i="44"/>
  <c r="H86" i="44" s="1"/>
  <c r="I31" i="44"/>
  <c r="I78" i="44"/>
  <c r="E87" i="44"/>
  <c r="H87" i="44" s="1"/>
  <c r="G84" i="44"/>
  <c r="F79" i="44"/>
  <c r="G82" i="44"/>
  <c r="G85" i="44"/>
  <c r="G88" i="44"/>
  <c r="I30" i="44"/>
  <c r="G83" i="44"/>
  <c r="H83" i="44" s="1"/>
  <c r="H37" i="43"/>
  <c r="Q33" i="43"/>
  <c r="N33" i="43"/>
  <c r="K33" i="43"/>
  <c r="G33" i="43"/>
  <c r="F33" i="43"/>
  <c r="E33" i="43"/>
  <c r="E98" i="43"/>
  <c r="D98" i="43"/>
  <c r="E97" i="43"/>
  <c r="D97" i="43"/>
  <c r="E94" i="43"/>
  <c r="D94" i="43"/>
  <c r="I87" i="43"/>
  <c r="I86" i="43"/>
  <c r="I85" i="43"/>
  <c r="I84" i="43"/>
  <c r="I83" i="43"/>
  <c r="I82" i="43"/>
  <c r="I81" i="43"/>
  <c r="F77" i="43"/>
  <c r="F78" i="43" s="1"/>
  <c r="D77" i="43"/>
  <c r="E87" i="43" s="1"/>
  <c r="I76" i="43"/>
  <c r="H71" i="43"/>
  <c r="F71" i="43"/>
  <c r="H70" i="43"/>
  <c r="F70" i="43"/>
  <c r="H69" i="43"/>
  <c r="F69" i="43"/>
  <c r="H68" i="43"/>
  <c r="F68" i="43"/>
  <c r="H67" i="43"/>
  <c r="F67" i="43"/>
  <c r="H66" i="43"/>
  <c r="F66" i="43"/>
  <c r="H63" i="43"/>
  <c r="F63" i="43"/>
  <c r="H62" i="43"/>
  <c r="F62" i="43"/>
  <c r="H61" i="43"/>
  <c r="F61" i="43"/>
  <c r="H60" i="43"/>
  <c r="F60" i="43"/>
  <c r="H59" i="43"/>
  <c r="F59" i="43"/>
  <c r="H58" i="43"/>
  <c r="F58" i="43"/>
  <c r="H55" i="43"/>
  <c r="F55" i="43"/>
  <c r="H54" i="43"/>
  <c r="F54" i="43"/>
  <c r="H53" i="43"/>
  <c r="F53" i="43"/>
  <c r="H52" i="43"/>
  <c r="F52" i="43"/>
  <c r="H51" i="43"/>
  <c r="F51" i="43"/>
  <c r="H50" i="43"/>
  <c r="F50" i="43"/>
  <c r="H49" i="43"/>
  <c r="F49" i="43"/>
  <c r="H46" i="43"/>
  <c r="F46" i="43"/>
  <c r="H45" i="43"/>
  <c r="F45" i="43"/>
  <c r="H44" i="43"/>
  <c r="F44" i="43"/>
  <c r="H43" i="43"/>
  <c r="F43" i="43"/>
  <c r="H42" i="43"/>
  <c r="F42" i="43"/>
  <c r="H38" i="43"/>
  <c r="F38" i="43"/>
  <c r="F37" i="43"/>
  <c r="J22" i="43"/>
  <c r="I22" i="43"/>
  <c r="J20" i="43"/>
  <c r="J19" i="43"/>
  <c r="J18" i="43"/>
  <c r="J17" i="43"/>
  <c r="J16" i="43"/>
  <c r="J15" i="43"/>
  <c r="J14" i="43"/>
  <c r="J13" i="43"/>
  <c r="J12" i="43"/>
  <c r="J11" i="43"/>
  <c r="J10" i="43"/>
  <c r="J9" i="43"/>
  <c r="J8" i="43"/>
  <c r="J7" i="43"/>
  <c r="J6" i="43"/>
  <c r="D96" i="42"/>
  <c r="H84" i="44" l="1"/>
  <c r="H85" i="44"/>
  <c r="H88" i="44"/>
  <c r="H82" i="44"/>
  <c r="G77" i="44"/>
  <c r="H77" i="44" s="1"/>
  <c r="I79" i="44"/>
  <c r="G78" i="44"/>
  <c r="E78" i="44"/>
  <c r="D23" i="43"/>
  <c r="J23" i="43" s="1"/>
  <c r="G81" i="43"/>
  <c r="G84" i="43"/>
  <c r="G87" i="43"/>
  <c r="H87" i="43" s="1"/>
  <c r="G76" i="43"/>
  <c r="E82" i="43"/>
  <c r="G85" i="43"/>
  <c r="E85" i="43"/>
  <c r="G82" i="43"/>
  <c r="G77" i="43"/>
  <c r="I77" i="43"/>
  <c r="E83" i="43"/>
  <c r="E86" i="43"/>
  <c r="D78" i="43"/>
  <c r="E76" i="43" s="1"/>
  <c r="G83" i="43"/>
  <c r="G86" i="43"/>
  <c r="E81" i="43"/>
  <c r="H81" i="43" s="1"/>
  <c r="E84" i="43"/>
  <c r="E93" i="42"/>
  <c r="D90" i="42"/>
  <c r="G85" i="42"/>
  <c r="H31" i="42"/>
  <c r="J30" i="42"/>
  <c r="Q32" i="42"/>
  <c r="N32" i="42"/>
  <c r="K32" i="42"/>
  <c r="G32" i="42"/>
  <c r="I31" i="42"/>
  <c r="J31" i="42"/>
  <c r="F32" i="42"/>
  <c r="E32" i="42"/>
  <c r="D31" i="42"/>
  <c r="E97" i="42"/>
  <c r="D97" i="42"/>
  <c r="E96" i="42"/>
  <c r="D93" i="42"/>
  <c r="I86" i="42"/>
  <c r="I85" i="42"/>
  <c r="I84" i="42"/>
  <c r="I83" i="42"/>
  <c r="I82" i="42"/>
  <c r="I81" i="42"/>
  <c r="I80" i="42"/>
  <c r="F76" i="42"/>
  <c r="G86" i="42" s="1"/>
  <c r="D76" i="42"/>
  <c r="E85" i="42" s="1"/>
  <c r="I75" i="42"/>
  <c r="H70" i="42"/>
  <c r="F70" i="42"/>
  <c r="H69" i="42"/>
  <c r="F69" i="42"/>
  <c r="H68" i="42"/>
  <c r="F68" i="42"/>
  <c r="H67" i="42"/>
  <c r="F67" i="42"/>
  <c r="H66" i="42"/>
  <c r="F66" i="42"/>
  <c r="H65" i="42"/>
  <c r="F65" i="42"/>
  <c r="H62" i="42"/>
  <c r="F62" i="42"/>
  <c r="H61" i="42"/>
  <c r="F61" i="42"/>
  <c r="H60" i="42"/>
  <c r="F60" i="42"/>
  <c r="H59" i="42"/>
  <c r="F59" i="42"/>
  <c r="H58" i="42"/>
  <c r="F58" i="42"/>
  <c r="H57" i="42"/>
  <c r="F57" i="42"/>
  <c r="H54" i="42"/>
  <c r="F54" i="42"/>
  <c r="H53" i="42"/>
  <c r="F53" i="42"/>
  <c r="H52" i="42"/>
  <c r="F52" i="42"/>
  <c r="H51" i="42"/>
  <c r="F51" i="42"/>
  <c r="H50" i="42"/>
  <c r="F50" i="42"/>
  <c r="H49" i="42"/>
  <c r="F49" i="42"/>
  <c r="H48" i="42"/>
  <c r="F48" i="42"/>
  <c r="H45" i="42"/>
  <c r="F45" i="42"/>
  <c r="H44" i="42"/>
  <c r="F44" i="42"/>
  <c r="H43" i="42"/>
  <c r="F43" i="42"/>
  <c r="H42" i="42"/>
  <c r="F42" i="42"/>
  <c r="H41" i="42"/>
  <c r="F41" i="42"/>
  <c r="H37" i="42"/>
  <c r="F37" i="42"/>
  <c r="H36" i="42"/>
  <c r="F36" i="42"/>
  <c r="J22" i="42"/>
  <c r="H22" i="42"/>
  <c r="D23" i="42" s="1"/>
  <c r="J20" i="42"/>
  <c r="J19" i="42"/>
  <c r="J18" i="42"/>
  <c r="J17" i="42"/>
  <c r="J16" i="42"/>
  <c r="J15" i="42"/>
  <c r="J14" i="42"/>
  <c r="J13" i="42"/>
  <c r="J12" i="42"/>
  <c r="J11" i="42"/>
  <c r="J10" i="42"/>
  <c r="J9" i="42"/>
  <c r="J8" i="42"/>
  <c r="J7" i="42"/>
  <c r="J6" i="42"/>
  <c r="H78" i="44" l="1"/>
  <c r="I23" i="43"/>
  <c r="H84" i="43"/>
  <c r="H83" i="43"/>
  <c r="H86" i="43"/>
  <c r="I78" i="43"/>
  <c r="H85" i="43"/>
  <c r="H82" i="43"/>
  <c r="H76" i="43"/>
  <c r="E77" i="43"/>
  <c r="H77" i="43" s="1"/>
  <c r="J23" i="42"/>
  <c r="H23" i="42"/>
  <c r="F77" i="42"/>
  <c r="G76" i="42" s="1"/>
  <c r="D77" i="42"/>
  <c r="E75" i="42" s="1"/>
  <c r="G82" i="42"/>
  <c r="H85" i="42"/>
  <c r="E80" i="42"/>
  <c r="E83" i="42"/>
  <c r="E86" i="42"/>
  <c r="H86" i="42" s="1"/>
  <c r="I22" i="42"/>
  <c r="E81" i="42"/>
  <c r="E84" i="42"/>
  <c r="G81" i="42"/>
  <c r="G84" i="42"/>
  <c r="I76" i="42"/>
  <c r="E82" i="42"/>
  <c r="G80" i="42"/>
  <c r="G83" i="42"/>
  <c r="H47" i="41"/>
  <c r="H43" i="41"/>
  <c r="H41" i="41"/>
  <c r="H40" i="41"/>
  <c r="D89" i="41"/>
  <c r="D24" i="43" l="1"/>
  <c r="J24" i="43"/>
  <c r="E76" i="42"/>
  <c r="H76" i="42" s="1"/>
  <c r="H83" i="42"/>
  <c r="H80" i="42"/>
  <c r="H84" i="42"/>
  <c r="H81" i="42"/>
  <c r="H82" i="42"/>
  <c r="D24" i="42"/>
  <c r="I23" i="42"/>
  <c r="G75" i="42"/>
  <c r="H75" i="42" s="1"/>
  <c r="I77" i="42"/>
  <c r="F35" i="41"/>
  <c r="Q31" i="41"/>
  <c r="N31" i="41"/>
  <c r="K31" i="41"/>
  <c r="H30" i="41"/>
  <c r="G31" i="41"/>
  <c r="I30" i="41"/>
  <c r="J30" i="41"/>
  <c r="F31" i="41"/>
  <c r="E31" i="41"/>
  <c r="D30" i="41"/>
  <c r="D25" i="43" l="1"/>
  <c r="I24" i="43"/>
  <c r="J24" i="42"/>
  <c r="H24" i="42"/>
  <c r="E96" i="41"/>
  <c r="D96" i="41"/>
  <c r="E95" i="41"/>
  <c r="D95" i="41"/>
  <c r="E92" i="41"/>
  <c r="D92" i="41"/>
  <c r="I85" i="41"/>
  <c r="I84" i="41"/>
  <c r="I83" i="41"/>
  <c r="I82" i="41"/>
  <c r="I81" i="41"/>
  <c r="I80" i="41"/>
  <c r="I79" i="41"/>
  <c r="F75" i="41"/>
  <c r="G84" i="41" s="1"/>
  <c r="D75" i="41"/>
  <c r="E84" i="41" s="1"/>
  <c r="I74" i="41"/>
  <c r="H69" i="41"/>
  <c r="F69" i="41"/>
  <c r="H68" i="41"/>
  <c r="F68" i="41"/>
  <c r="H67" i="41"/>
  <c r="F67" i="41"/>
  <c r="H66" i="41"/>
  <c r="F66" i="41"/>
  <c r="H65" i="41"/>
  <c r="F65" i="41"/>
  <c r="H64" i="41"/>
  <c r="F64" i="41"/>
  <c r="H61" i="41"/>
  <c r="F61" i="41"/>
  <c r="H60" i="41"/>
  <c r="F60" i="41"/>
  <c r="H59" i="41"/>
  <c r="F59" i="41"/>
  <c r="H58" i="41"/>
  <c r="F58" i="41"/>
  <c r="H57" i="41"/>
  <c r="F57" i="41"/>
  <c r="H56" i="41"/>
  <c r="F56" i="41"/>
  <c r="H53" i="41"/>
  <c r="F53" i="41"/>
  <c r="H52" i="41"/>
  <c r="F52" i="41"/>
  <c r="H51" i="41"/>
  <c r="F51" i="41"/>
  <c r="H50" i="41"/>
  <c r="F50" i="41"/>
  <c r="H49" i="41"/>
  <c r="F49" i="41"/>
  <c r="H48" i="41"/>
  <c r="F48" i="41"/>
  <c r="F47" i="41"/>
  <c r="H44" i="41"/>
  <c r="F44" i="41"/>
  <c r="F43" i="41"/>
  <c r="H42" i="41"/>
  <c r="F42" i="41"/>
  <c r="F41" i="41"/>
  <c r="F40" i="41"/>
  <c r="H36" i="41"/>
  <c r="F36" i="41"/>
  <c r="H35" i="41"/>
  <c r="J22" i="41"/>
  <c r="H22" i="41"/>
  <c r="D23" i="41" s="1"/>
  <c r="J20" i="41"/>
  <c r="J19" i="41"/>
  <c r="J18" i="41"/>
  <c r="J17" i="41"/>
  <c r="J16" i="41"/>
  <c r="J15" i="41"/>
  <c r="J14" i="41"/>
  <c r="J13" i="41"/>
  <c r="J12" i="41"/>
  <c r="J11" i="41"/>
  <c r="J10" i="41"/>
  <c r="J9" i="41"/>
  <c r="J8" i="41"/>
  <c r="J7" i="41"/>
  <c r="J6" i="41"/>
  <c r="D91" i="40"/>
  <c r="D88" i="40"/>
  <c r="F55" i="40"/>
  <c r="F52" i="40"/>
  <c r="F51" i="40"/>
  <c r="F50" i="40"/>
  <c r="F49" i="40"/>
  <c r="F48" i="40"/>
  <c r="F47" i="40"/>
  <c r="F46" i="40"/>
  <c r="Q30" i="40"/>
  <c r="N30" i="40"/>
  <c r="K30" i="40"/>
  <c r="G30" i="40"/>
  <c r="F30" i="40"/>
  <c r="E30" i="40"/>
  <c r="D29" i="40"/>
  <c r="H29" i="40" s="1"/>
  <c r="I29" i="40" s="1"/>
  <c r="E95" i="40"/>
  <c r="D95" i="40"/>
  <c r="E94" i="40"/>
  <c r="D94" i="40"/>
  <c r="E91" i="40"/>
  <c r="I84" i="40"/>
  <c r="I83" i="40"/>
  <c r="I82" i="40"/>
  <c r="I81" i="40"/>
  <c r="I80" i="40"/>
  <c r="I79" i="40"/>
  <c r="I78" i="40"/>
  <c r="F74" i="40"/>
  <c r="F75" i="40" s="1"/>
  <c r="D74" i="40"/>
  <c r="E84" i="40" s="1"/>
  <c r="I73" i="40"/>
  <c r="H68" i="40"/>
  <c r="F68" i="40"/>
  <c r="H67" i="40"/>
  <c r="F67" i="40"/>
  <c r="H66" i="40"/>
  <c r="F66" i="40"/>
  <c r="H65" i="40"/>
  <c r="F65" i="40"/>
  <c r="H64" i="40"/>
  <c r="F64" i="40"/>
  <c r="H63" i="40"/>
  <c r="F63" i="40"/>
  <c r="H60" i="40"/>
  <c r="F60" i="40"/>
  <c r="H59" i="40"/>
  <c r="F59" i="40"/>
  <c r="H58" i="40"/>
  <c r="F58" i="40"/>
  <c r="H57" i="40"/>
  <c r="F57" i="40"/>
  <c r="H56" i="40"/>
  <c r="F56" i="40"/>
  <c r="H55" i="40"/>
  <c r="H52" i="40"/>
  <c r="H51" i="40"/>
  <c r="H50" i="40"/>
  <c r="H49" i="40"/>
  <c r="H48" i="40"/>
  <c r="H47" i="40"/>
  <c r="H46" i="40"/>
  <c r="H43" i="40"/>
  <c r="F43" i="40"/>
  <c r="H42" i="40"/>
  <c r="F42" i="40"/>
  <c r="H41" i="40"/>
  <c r="F41" i="40"/>
  <c r="H40" i="40"/>
  <c r="F40" i="40"/>
  <c r="H39" i="40"/>
  <c r="F39" i="40"/>
  <c r="H38" i="40"/>
  <c r="H35" i="40"/>
  <c r="F35" i="40"/>
  <c r="H34" i="40"/>
  <c r="F34" i="40"/>
  <c r="J22" i="40"/>
  <c r="H22" i="40"/>
  <c r="D23" i="40" s="1"/>
  <c r="J20" i="40"/>
  <c r="J19" i="40"/>
  <c r="J18" i="40"/>
  <c r="J17" i="40"/>
  <c r="J16" i="40"/>
  <c r="J15" i="40"/>
  <c r="J14" i="40"/>
  <c r="J13" i="40"/>
  <c r="J12" i="40"/>
  <c r="J11" i="40"/>
  <c r="J10" i="40"/>
  <c r="J9" i="40"/>
  <c r="J8" i="40"/>
  <c r="J7" i="40"/>
  <c r="J6" i="40"/>
  <c r="D87" i="39"/>
  <c r="Q29" i="39"/>
  <c r="N29" i="39"/>
  <c r="K29" i="39"/>
  <c r="G29" i="39"/>
  <c r="H28" i="39"/>
  <c r="I28" i="39"/>
  <c r="J28" i="39"/>
  <c r="F29" i="39"/>
  <c r="E29" i="39"/>
  <c r="D28" i="39"/>
  <c r="E94" i="39"/>
  <c r="D94" i="39"/>
  <c r="E93" i="39"/>
  <c r="D93" i="39"/>
  <c r="E90" i="39"/>
  <c r="D90" i="39"/>
  <c r="I83" i="39"/>
  <c r="I82" i="39"/>
  <c r="D73" i="39"/>
  <c r="I80" i="39"/>
  <c r="I79" i="39"/>
  <c r="I78" i="39"/>
  <c r="I72" i="39"/>
  <c r="H67" i="39"/>
  <c r="F67" i="39"/>
  <c r="H66" i="39"/>
  <c r="F66" i="39"/>
  <c r="H65" i="39"/>
  <c r="F65" i="39"/>
  <c r="H64" i="39"/>
  <c r="F64" i="39"/>
  <c r="H63" i="39"/>
  <c r="F63" i="39"/>
  <c r="H62" i="39"/>
  <c r="F62" i="39"/>
  <c r="H59" i="39"/>
  <c r="F59" i="39"/>
  <c r="H58" i="39"/>
  <c r="F58" i="39"/>
  <c r="H57" i="39"/>
  <c r="F57" i="39"/>
  <c r="H56" i="39"/>
  <c r="F56" i="39"/>
  <c r="H55" i="39"/>
  <c r="F55" i="39"/>
  <c r="H54" i="39"/>
  <c r="F54" i="39"/>
  <c r="H51" i="39"/>
  <c r="F51" i="39"/>
  <c r="H50" i="39"/>
  <c r="F50" i="39"/>
  <c r="H49" i="39"/>
  <c r="F49" i="39"/>
  <c r="H48" i="39"/>
  <c r="F48" i="39"/>
  <c r="H47" i="39"/>
  <c r="F47" i="39"/>
  <c r="H46" i="39"/>
  <c r="F46" i="39"/>
  <c r="H45" i="39"/>
  <c r="F45" i="39"/>
  <c r="H42" i="39"/>
  <c r="F42" i="39"/>
  <c r="H41" i="39"/>
  <c r="F41" i="39"/>
  <c r="H40" i="39"/>
  <c r="F40" i="39"/>
  <c r="H39" i="39"/>
  <c r="F39" i="39"/>
  <c r="H38" i="39"/>
  <c r="F38" i="39"/>
  <c r="H37" i="39"/>
  <c r="H34" i="39"/>
  <c r="F34" i="39"/>
  <c r="H33" i="39"/>
  <c r="F33" i="39"/>
  <c r="J22" i="39"/>
  <c r="H22" i="39"/>
  <c r="I22" i="39" s="1"/>
  <c r="J20" i="39"/>
  <c r="J19" i="39"/>
  <c r="J18" i="39"/>
  <c r="J17" i="39"/>
  <c r="J16" i="39"/>
  <c r="J15" i="39"/>
  <c r="J14" i="39"/>
  <c r="J13" i="39"/>
  <c r="J12" i="39"/>
  <c r="J11" i="39"/>
  <c r="J10" i="39"/>
  <c r="J9" i="39"/>
  <c r="J8" i="39"/>
  <c r="J7" i="39"/>
  <c r="J6" i="39"/>
  <c r="J25" i="43" l="1"/>
  <c r="D25" i="42"/>
  <c r="I24" i="42"/>
  <c r="D76" i="41"/>
  <c r="E74" i="41" s="1"/>
  <c r="H23" i="41"/>
  <c r="J23" i="41"/>
  <c r="H84" i="41"/>
  <c r="F76" i="41"/>
  <c r="G75" i="41" s="1"/>
  <c r="E79" i="41"/>
  <c r="E82" i="41"/>
  <c r="E85" i="41"/>
  <c r="G79" i="41"/>
  <c r="G82" i="41"/>
  <c r="G85" i="41"/>
  <c r="E75" i="41"/>
  <c r="E80" i="41"/>
  <c r="E83" i="41"/>
  <c r="G80" i="41"/>
  <c r="G83" i="41"/>
  <c r="I22" i="41"/>
  <c r="I75" i="41"/>
  <c r="E81" i="41"/>
  <c r="G81" i="41"/>
  <c r="G81" i="40"/>
  <c r="G84" i="40"/>
  <c r="H84" i="40" s="1"/>
  <c r="G78" i="40"/>
  <c r="J29" i="40"/>
  <c r="G73" i="40"/>
  <c r="J23" i="40"/>
  <c r="H23" i="40"/>
  <c r="E79" i="40"/>
  <c r="E82" i="40"/>
  <c r="G79" i="40"/>
  <c r="G82" i="40"/>
  <c r="G74" i="40"/>
  <c r="I74" i="40"/>
  <c r="E80" i="40"/>
  <c r="E83" i="40"/>
  <c r="D75" i="40"/>
  <c r="G80" i="40"/>
  <c r="G83" i="40"/>
  <c r="I22" i="40"/>
  <c r="E78" i="40"/>
  <c r="H78" i="40" s="1"/>
  <c r="E81" i="40"/>
  <c r="H81" i="40" s="1"/>
  <c r="E78" i="39"/>
  <c r="D74" i="39"/>
  <c r="E72" i="39" s="1"/>
  <c r="I77" i="39"/>
  <c r="F73" i="39"/>
  <c r="I73" i="39" s="1"/>
  <c r="I81" i="39"/>
  <c r="D23" i="39"/>
  <c r="E83" i="39"/>
  <c r="E81" i="39"/>
  <c r="G83" i="39"/>
  <c r="E79" i="39"/>
  <c r="E77" i="39"/>
  <c r="E80" i="39"/>
  <c r="E82" i="39"/>
  <c r="H36" i="38"/>
  <c r="E93" i="38"/>
  <c r="D93" i="38"/>
  <c r="E92" i="38"/>
  <c r="D92" i="38"/>
  <c r="E89" i="38"/>
  <c r="D89" i="38"/>
  <c r="F82" i="38"/>
  <c r="I82" i="38" s="1"/>
  <c r="F81" i="38"/>
  <c r="I81" i="38" s="1"/>
  <c r="I80" i="38"/>
  <c r="F80" i="38"/>
  <c r="D80" i="38"/>
  <c r="E80" i="38" s="1"/>
  <c r="F79" i="38"/>
  <c r="I78" i="38"/>
  <c r="F78" i="38"/>
  <c r="F77" i="38"/>
  <c r="I77" i="38" s="1"/>
  <c r="D77" i="38"/>
  <c r="E77" i="38" s="1"/>
  <c r="F76" i="38"/>
  <c r="F72" i="38" s="1"/>
  <c r="D76" i="38"/>
  <c r="E76" i="38" s="1"/>
  <c r="D72" i="38"/>
  <c r="E79" i="38" s="1"/>
  <c r="I71" i="38"/>
  <c r="H66" i="38"/>
  <c r="F66" i="38"/>
  <c r="H65" i="38"/>
  <c r="F65" i="38"/>
  <c r="H64" i="38"/>
  <c r="F64" i="38"/>
  <c r="H63" i="38"/>
  <c r="F63" i="38"/>
  <c r="H62" i="38"/>
  <c r="F62" i="38"/>
  <c r="H61" i="38"/>
  <c r="F61" i="38"/>
  <c r="H58" i="38"/>
  <c r="F58" i="38"/>
  <c r="H57" i="38"/>
  <c r="F57" i="38"/>
  <c r="H56" i="38"/>
  <c r="F56" i="38"/>
  <c r="H55" i="38"/>
  <c r="F55" i="38"/>
  <c r="H54" i="38"/>
  <c r="F54" i="38"/>
  <c r="H53" i="38"/>
  <c r="F53" i="38"/>
  <c r="H50" i="38"/>
  <c r="F50" i="38"/>
  <c r="H49" i="38"/>
  <c r="F49" i="38"/>
  <c r="H48" i="38"/>
  <c r="F48" i="38"/>
  <c r="H47" i="38"/>
  <c r="F47" i="38"/>
  <c r="H46" i="38"/>
  <c r="F46" i="38"/>
  <c r="H45" i="38"/>
  <c r="F45" i="38"/>
  <c r="H44" i="38"/>
  <c r="F44" i="38"/>
  <c r="H41" i="38"/>
  <c r="F41" i="38"/>
  <c r="H40" i="38"/>
  <c r="F40" i="38"/>
  <c r="H39" i="38"/>
  <c r="F39" i="38"/>
  <c r="H38" i="38"/>
  <c r="F38" i="38"/>
  <c r="H37" i="38"/>
  <c r="F37" i="38"/>
  <c r="H33" i="38"/>
  <c r="F33" i="38"/>
  <c r="H32" i="38"/>
  <c r="F32" i="38"/>
  <c r="Q28" i="38"/>
  <c r="N28" i="38"/>
  <c r="K28" i="38"/>
  <c r="G28" i="38"/>
  <c r="F28" i="38"/>
  <c r="E28" i="38"/>
  <c r="J22" i="38"/>
  <c r="H22" i="38"/>
  <c r="I22" i="38" s="1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J6" i="38"/>
  <c r="O22" i="27"/>
  <c r="I25" i="43" l="1"/>
  <c r="D26" i="43"/>
  <c r="J25" i="42"/>
  <c r="H25" i="42"/>
  <c r="H85" i="41"/>
  <c r="H81" i="41"/>
  <c r="H82" i="41"/>
  <c r="H80" i="41"/>
  <c r="I23" i="41"/>
  <c r="D24" i="41"/>
  <c r="H79" i="41"/>
  <c r="H75" i="41"/>
  <c r="G74" i="41"/>
  <c r="H74" i="41" s="1"/>
  <c r="I76" i="41"/>
  <c r="H83" i="41"/>
  <c r="H83" i="40"/>
  <c r="H82" i="40"/>
  <c r="H80" i="40"/>
  <c r="E73" i="40"/>
  <c r="E74" i="40"/>
  <c r="H79" i="40"/>
  <c r="I75" i="40"/>
  <c r="H74" i="40"/>
  <c r="D24" i="40"/>
  <c r="I23" i="40"/>
  <c r="H73" i="40"/>
  <c r="G78" i="39"/>
  <c r="H78" i="39" s="1"/>
  <c r="F74" i="39"/>
  <c r="G80" i="39"/>
  <c r="H80" i="39" s="1"/>
  <c r="G82" i="39"/>
  <c r="H82" i="39" s="1"/>
  <c r="E73" i="39"/>
  <c r="G77" i="39"/>
  <c r="H77" i="39" s="1"/>
  <c r="G81" i="39"/>
  <c r="H81" i="39" s="1"/>
  <c r="G79" i="39"/>
  <c r="H79" i="39" s="1"/>
  <c r="G72" i="39"/>
  <c r="H72" i="39" s="1"/>
  <c r="I74" i="39"/>
  <c r="G73" i="39"/>
  <c r="J23" i="39"/>
  <c r="H23" i="39"/>
  <c r="H83" i="39"/>
  <c r="G79" i="38"/>
  <c r="H79" i="38" s="1"/>
  <c r="I72" i="38"/>
  <c r="G78" i="38"/>
  <c r="F73" i="38"/>
  <c r="G77" i="38"/>
  <c r="H77" i="38" s="1"/>
  <c r="G80" i="38"/>
  <c r="H80" i="38" s="1"/>
  <c r="D23" i="38"/>
  <c r="I76" i="38"/>
  <c r="G81" i="38"/>
  <c r="D73" i="38"/>
  <c r="E71" i="38" s="1"/>
  <c r="I79" i="38"/>
  <c r="E82" i="38"/>
  <c r="G82" i="38"/>
  <c r="H82" i="38" s="1"/>
  <c r="E81" i="38"/>
  <c r="E78" i="38"/>
  <c r="G76" i="38"/>
  <c r="H76" i="38" s="1"/>
  <c r="D23" i="27"/>
  <c r="J26" i="43" l="1"/>
  <c r="D26" i="42"/>
  <c r="I25" i="42"/>
  <c r="J24" i="41"/>
  <c r="H24" i="41"/>
  <c r="J24" i="40"/>
  <c r="H24" i="40"/>
  <c r="H73" i="39"/>
  <c r="D24" i="39"/>
  <c r="I23" i="39"/>
  <c r="H78" i="38"/>
  <c r="H81" i="38"/>
  <c r="J23" i="38"/>
  <c r="H23" i="38"/>
  <c r="E72" i="38"/>
  <c r="G71" i="38"/>
  <c r="H71" i="38" s="1"/>
  <c r="I73" i="38"/>
  <c r="G72" i="38"/>
  <c r="H72" i="38" s="1"/>
  <c r="D27" i="43" l="1"/>
  <c r="I26" i="43"/>
  <c r="J26" i="42"/>
  <c r="H26" i="42"/>
  <c r="D25" i="41"/>
  <c r="I24" i="41"/>
  <c r="D25" i="40"/>
  <c r="I24" i="40"/>
  <c r="J24" i="39"/>
  <c r="H24" i="39"/>
  <c r="I23" i="38"/>
  <c r="D24" i="38"/>
  <c r="D24" i="27"/>
  <c r="O23" i="27"/>
  <c r="J27" i="43" l="1"/>
  <c r="D27" i="42"/>
  <c r="I26" i="42"/>
  <c r="J25" i="41"/>
  <c r="H25" i="41"/>
  <c r="J25" i="40"/>
  <c r="H25" i="40"/>
  <c r="D25" i="39"/>
  <c r="I24" i="39"/>
  <c r="J24" i="38"/>
  <c r="H24" i="38"/>
  <c r="D28" i="43" l="1"/>
  <c r="I27" i="43"/>
  <c r="J27" i="42"/>
  <c r="H27" i="42"/>
  <c r="D26" i="41"/>
  <c r="I25" i="41"/>
  <c r="D26" i="40"/>
  <c r="I25" i="40"/>
  <c r="H25" i="39"/>
  <c r="J25" i="39"/>
  <c r="D25" i="38"/>
  <c r="I24" i="38"/>
  <c r="O24" i="27"/>
  <c r="D25" i="27"/>
  <c r="J28" i="43" l="1"/>
  <c r="D28" i="42"/>
  <c r="I27" i="42"/>
  <c r="H26" i="41"/>
  <c r="J26" i="41"/>
  <c r="J26" i="40"/>
  <c r="H26" i="40"/>
  <c r="D26" i="39"/>
  <c r="I25" i="39"/>
  <c r="H25" i="38"/>
  <c r="J25" i="38"/>
  <c r="I28" i="43" l="1"/>
  <c r="D29" i="43"/>
  <c r="J28" i="42"/>
  <c r="H28" i="42"/>
  <c r="I26" i="41"/>
  <c r="D27" i="41"/>
  <c r="D27" i="40"/>
  <c r="I26" i="40"/>
  <c r="J26" i="39"/>
  <c r="H26" i="39"/>
  <c r="D26" i="38"/>
  <c r="I25" i="38"/>
  <c r="D26" i="27"/>
  <c r="O25" i="27"/>
  <c r="J29" i="43" l="1"/>
  <c r="D29" i="42"/>
  <c r="I28" i="42"/>
  <c r="J27" i="41"/>
  <c r="H27" i="41"/>
  <c r="H27" i="40"/>
  <c r="J27" i="40"/>
  <c r="D27" i="39"/>
  <c r="I26" i="39"/>
  <c r="J26" i="38"/>
  <c r="H26" i="38"/>
  <c r="D30" i="43" l="1"/>
  <c r="I29" i="43"/>
  <c r="J29" i="42"/>
  <c r="H29" i="42"/>
  <c r="D28" i="41"/>
  <c r="I27" i="41"/>
  <c r="D28" i="40"/>
  <c r="I27" i="40"/>
  <c r="J27" i="39"/>
  <c r="H27" i="39"/>
  <c r="I26" i="38"/>
  <c r="D27" i="38"/>
  <c r="D27" i="27"/>
  <c r="O26" i="27"/>
  <c r="J30" i="43" l="1"/>
  <c r="D30" i="42"/>
  <c r="I29" i="42"/>
  <c r="J28" i="41"/>
  <c r="H28" i="41"/>
  <c r="J28" i="40"/>
  <c r="H28" i="40"/>
  <c r="I27" i="39"/>
  <c r="J27" i="38"/>
  <c r="H27" i="38"/>
  <c r="D31" i="43" l="1"/>
  <c r="I30" i="43"/>
  <c r="H30" i="42"/>
  <c r="D29" i="41"/>
  <c r="I28" i="41"/>
  <c r="I28" i="40"/>
  <c r="O27" i="27"/>
  <c r="D28" i="27"/>
  <c r="D86" i="38"/>
  <c r="I27" i="38"/>
  <c r="J31" i="43" l="1"/>
  <c r="I30" i="42"/>
  <c r="H29" i="41"/>
  <c r="J29" i="41"/>
  <c r="E92" i="37"/>
  <c r="D92" i="37"/>
  <c r="E91" i="37"/>
  <c r="D91" i="37"/>
  <c r="E88" i="37"/>
  <c r="D88" i="37"/>
  <c r="E85" i="37"/>
  <c r="I81" i="37"/>
  <c r="G81" i="37"/>
  <c r="H81" i="37" s="1"/>
  <c r="E81" i="37"/>
  <c r="I80" i="37"/>
  <c r="H80" i="37"/>
  <c r="G80" i="37"/>
  <c r="E80" i="37"/>
  <c r="I79" i="37"/>
  <c r="G79" i="37"/>
  <c r="H79" i="37" s="1"/>
  <c r="E79" i="37"/>
  <c r="I78" i="37"/>
  <c r="H78" i="37"/>
  <c r="G78" i="37"/>
  <c r="E78" i="37"/>
  <c r="I77" i="37"/>
  <c r="H77" i="37"/>
  <c r="G77" i="37"/>
  <c r="E77" i="37"/>
  <c r="I76" i="37"/>
  <c r="G76" i="37"/>
  <c r="E76" i="37"/>
  <c r="H76" i="37" s="1"/>
  <c r="I75" i="37"/>
  <c r="H75" i="37"/>
  <c r="G75" i="37"/>
  <c r="E75" i="37"/>
  <c r="I72" i="37"/>
  <c r="I71" i="37"/>
  <c r="G71" i="37"/>
  <c r="H71" i="37" s="1"/>
  <c r="E71" i="37"/>
  <c r="I70" i="37"/>
  <c r="G70" i="37"/>
  <c r="H70" i="37" s="1"/>
  <c r="E70" i="37"/>
  <c r="H65" i="37"/>
  <c r="F65" i="37"/>
  <c r="H64" i="37"/>
  <c r="F64" i="37"/>
  <c r="H63" i="37"/>
  <c r="F63" i="37"/>
  <c r="H62" i="37"/>
  <c r="F62" i="37"/>
  <c r="H61" i="37"/>
  <c r="F61" i="37"/>
  <c r="H60" i="37"/>
  <c r="F60" i="37"/>
  <c r="H57" i="37"/>
  <c r="F57" i="37"/>
  <c r="H56" i="37"/>
  <c r="F56" i="37"/>
  <c r="H55" i="37"/>
  <c r="F55" i="37"/>
  <c r="H54" i="37"/>
  <c r="F54" i="37"/>
  <c r="H53" i="37"/>
  <c r="F53" i="37"/>
  <c r="H52" i="37"/>
  <c r="F52" i="37"/>
  <c r="H49" i="37"/>
  <c r="F49" i="37"/>
  <c r="H48" i="37"/>
  <c r="F48" i="37"/>
  <c r="H47" i="37"/>
  <c r="F47" i="37"/>
  <c r="H46" i="37"/>
  <c r="F46" i="37"/>
  <c r="H45" i="37"/>
  <c r="F45" i="37"/>
  <c r="H44" i="37"/>
  <c r="F44" i="37"/>
  <c r="H43" i="37"/>
  <c r="F43" i="37"/>
  <c r="H40" i="37"/>
  <c r="F40" i="37"/>
  <c r="H39" i="37"/>
  <c r="F39" i="37"/>
  <c r="H38" i="37"/>
  <c r="F38" i="37"/>
  <c r="H37" i="37"/>
  <c r="F37" i="37"/>
  <c r="H36" i="37"/>
  <c r="F36" i="37"/>
  <c r="H35" i="37"/>
  <c r="H32" i="37"/>
  <c r="F32" i="37"/>
  <c r="H31" i="37"/>
  <c r="F31" i="37"/>
  <c r="Q27" i="37"/>
  <c r="N27" i="37"/>
  <c r="K27" i="37"/>
  <c r="G27" i="37"/>
  <c r="F27" i="37"/>
  <c r="E27" i="37"/>
  <c r="J26" i="37"/>
  <c r="I26" i="37"/>
  <c r="H26" i="37"/>
  <c r="D85" i="37" s="1"/>
  <c r="D26" i="37"/>
  <c r="J25" i="37"/>
  <c r="D25" i="37"/>
  <c r="I25" i="37" s="1"/>
  <c r="J23" i="37"/>
  <c r="D23" i="37"/>
  <c r="H23" i="37" s="1"/>
  <c r="J20" i="37"/>
  <c r="J19" i="37"/>
  <c r="J18" i="37"/>
  <c r="J17" i="37"/>
  <c r="J16" i="37"/>
  <c r="J15" i="37"/>
  <c r="J14" i="37"/>
  <c r="J13" i="37"/>
  <c r="J12" i="37"/>
  <c r="J11" i="37"/>
  <c r="J10" i="37"/>
  <c r="J9" i="37"/>
  <c r="J8" i="37"/>
  <c r="J7" i="37"/>
  <c r="J6" i="37"/>
  <c r="D32" i="43" l="1"/>
  <c r="I31" i="43"/>
  <c r="O28" i="27"/>
  <c r="D29" i="27"/>
  <c r="I29" i="41"/>
  <c r="J24" i="37"/>
  <c r="I23" i="37"/>
  <c r="D24" i="37"/>
  <c r="I24" i="37" s="1"/>
  <c r="J32" i="43" l="1"/>
  <c r="I32" i="43"/>
  <c r="D91" i="43"/>
  <c r="O29" i="27"/>
  <c r="D84" i="36"/>
  <c r="E84" i="36"/>
  <c r="Q26" i="36" l="1"/>
  <c r="N26" i="36"/>
  <c r="K26" i="36"/>
  <c r="J25" i="36"/>
  <c r="I25" i="36"/>
  <c r="D25" i="36"/>
  <c r="G26" i="36"/>
  <c r="F26" i="36"/>
  <c r="E26" i="36"/>
  <c r="E91" i="36"/>
  <c r="D91" i="36"/>
  <c r="E90" i="36"/>
  <c r="D90" i="36"/>
  <c r="E87" i="36"/>
  <c r="D87" i="36"/>
  <c r="I80" i="36"/>
  <c r="I79" i="36"/>
  <c r="G79" i="36"/>
  <c r="H79" i="36" s="1"/>
  <c r="I78" i="36"/>
  <c r="I77" i="36"/>
  <c r="I76" i="36"/>
  <c r="G76" i="36"/>
  <c r="I75" i="36"/>
  <c r="G75" i="36"/>
  <c r="I74" i="36"/>
  <c r="I71" i="36"/>
  <c r="G70" i="36"/>
  <c r="I69" i="36"/>
  <c r="G69" i="36"/>
  <c r="H69" i="36" s="1"/>
  <c r="H64" i="36"/>
  <c r="F64" i="36"/>
  <c r="H63" i="36"/>
  <c r="F63" i="36"/>
  <c r="H62" i="36"/>
  <c r="F62" i="36"/>
  <c r="H61" i="36"/>
  <c r="F61" i="36"/>
  <c r="H60" i="36"/>
  <c r="F60" i="36"/>
  <c r="H59" i="36"/>
  <c r="F59" i="36"/>
  <c r="H56" i="36"/>
  <c r="F56" i="36"/>
  <c r="H55" i="36"/>
  <c r="F55" i="36"/>
  <c r="H54" i="36"/>
  <c r="F54" i="36"/>
  <c r="H53" i="36"/>
  <c r="F53" i="36"/>
  <c r="H52" i="36"/>
  <c r="F52" i="36"/>
  <c r="H51" i="36"/>
  <c r="F51" i="36"/>
  <c r="H48" i="36"/>
  <c r="F48" i="36"/>
  <c r="H47" i="36"/>
  <c r="F47" i="36"/>
  <c r="H46" i="36"/>
  <c r="F46" i="36"/>
  <c r="H45" i="36"/>
  <c r="F45" i="36"/>
  <c r="H44" i="36"/>
  <c r="F44" i="36"/>
  <c r="H43" i="36"/>
  <c r="F43" i="36"/>
  <c r="H42" i="36"/>
  <c r="F42" i="36"/>
  <c r="H39" i="36"/>
  <c r="F39" i="36"/>
  <c r="H38" i="36"/>
  <c r="F38" i="36"/>
  <c r="H37" i="36"/>
  <c r="F37" i="36"/>
  <c r="H36" i="36"/>
  <c r="F36" i="36"/>
  <c r="H35" i="36"/>
  <c r="F35" i="36"/>
  <c r="H34" i="36"/>
  <c r="F34" i="36"/>
  <c r="H31" i="36"/>
  <c r="F31" i="36"/>
  <c r="H30" i="36"/>
  <c r="F30" i="36"/>
  <c r="J23" i="36"/>
  <c r="D23" i="36"/>
  <c r="H23" i="36" s="1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D6" i="27"/>
  <c r="E90" i="34"/>
  <c r="D90" i="34"/>
  <c r="E89" i="34"/>
  <c r="D89" i="34"/>
  <c r="E86" i="34"/>
  <c r="D86" i="34"/>
  <c r="E83" i="34"/>
  <c r="D83" i="34"/>
  <c r="I79" i="34"/>
  <c r="E79" i="34"/>
  <c r="I78" i="34"/>
  <c r="E78" i="34"/>
  <c r="I77" i="34"/>
  <c r="G77" i="34"/>
  <c r="H77" i="34" s="1"/>
  <c r="E77" i="34"/>
  <c r="I76" i="34"/>
  <c r="E76" i="34"/>
  <c r="I75" i="34"/>
  <c r="E75" i="34"/>
  <c r="I74" i="34"/>
  <c r="G74" i="34"/>
  <c r="H74" i="34" s="1"/>
  <c r="E74" i="34"/>
  <c r="I73" i="34"/>
  <c r="E73" i="34"/>
  <c r="I70" i="34"/>
  <c r="F69" i="34"/>
  <c r="G79" i="34" s="1"/>
  <c r="H79" i="34" s="1"/>
  <c r="E69" i="34"/>
  <c r="I68" i="34"/>
  <c r="H68" i="34"/>
  <c r="G68" i="34"/>
  <c r="E68" i="34"/>
  <c r="H63" i="34"/>
  <c r="F63" i="34"/>
  <c r="H62" i="34"/>
  <c r="F62" i="34"/>
  <c r="H61" i="34"/>
  <c r="F61" i="34"/>
  <c r="H60" i="34"/>
  <c r="F60" i="34"/>
  <c r="H59" i="34"/>
  <c r="F59" i="34"/>
  <c r="H58" i="34"/>
  <c r="F58" i="34"/>
  <c r="H55" i="34"/>
  <c r="F55" i="34"/>
  <c r="H54" i="34"/>
  <c r="F54" i="34"/>
  <c r="H53" i="34"/>
  <c r="F53" i="34"/>
  <c r="H52" i="34"/>
  <c r="F52" i="34"/>
  <c r="H51" i="34"/>
  <c r="F51" i="34"/>
  <c r="H50" i="34"/>
  <c r="F50" i="34"/>
  <c r="H47" i="34"/>
  <c r="F47" i="34"/>
  <c r="H46" i="34"/>
  <c r="F46" i="34"/>
  <c r="H45" i="34"/>
  <c r="F45" i="34"/>
  <c r="H44" i="34"/>
  <c r="F44" i="34"/>
  <c r="H43" i="34"/>
  <c r="F43" i="34"/>
  <c r="H42" i="34"/>
  <c r="F42" i="34"/>
  <c r="H41" i="34"/>
  <c r="F41" i="34"/>
  <c r="H38" i="34"/>
  <c r="F38" i="34"/>
  <c r="H37" i="34"/>
  <c r="F37" i="34"/>
  <c r="H36" i="34"/>
  <c r="F36" i="34"/>
  <c r="H35" i="34"/>
  <c r="F35" i="34"/>
  <c r="H34" i="34"/>
  <c r="F34" i="34"/>
  <c r="H33" i="34"/>
  <c r="F33" i="34"/>
  <c r="H30" i="34"/>
  <c r="F30" i="34"/>
  <c r="H29" i="34"/>
  <c r="F29" i="34"/>
  <c r="Q25" i="34"/>
  <c r="N25" i="34"/>
  <c r="K25" i="34"/>
  <c r="G25" i="34"/>
  <c r="F25" i="34"/>
  <c r="E25" i="34"/>
  <c r="J23" i="34"/>
  <c r="D23" i="34"/>
  <c r="H23" i="34" s="1"/>
  <c r="J20" i="34"/>
  <c r="J19" i="34"/>
  <c r="J18" i="34"/>
  <c r="J17" i="34"/>
  <c r="J16" i="34"/>
  <c r="J15" i="34"/>
  <c r="J14" i="34"/>
  <c r="J13" i="34"/>
  <c r="J12" i="34"/>
  <c r="J11" i="34"/>
  <c r="J10" i="34"/>
  <c r="J9" i="34"/>
  <c r="J8" i="34"/>
  <c r="J7" i="34"/>
  <c r="J6" i="34"/>
  <c r="P6" i="27" l="1"/>
  <c r="H70" i="36"/>
  <c r="H75" i="36"/>
  <c r="H76" i="36"/>
  <c r="I70" i="36"/>
  <c r="G78" i="36"/>
  <c r="H78" i="36" s="1"/>
  <c r="J24" i="36"/>
  <c r="I23" i="36"/>
  <c r="D24" i="36"/>
  <c r="I24" i="36" s="1"/>
  <c r="G80" i="36"/>
  <c r="H80" i="36" s="1"/>
  <c r="G77" i="36"/>
  <c r="H77" i="36" s="1"/>
  <c r="G74" i="36"/>
  <c r="H74" i="36" s="1"/>
  <c r="P7" i="27"/>
  <c r="O6" i="27"/>
  <c r="D7" i="27"/>
  <c r="O5" i="27"/>
  <c r="J24" i="34"/>
  <c r="I23" i="34"/>
  <c r="D24" i="34"/>
  <c r="I24" i="34" s="1"/>
  <c r="G69" i="34"/>
  <c r="H69" i="34" s="1"/>
  <c r="G76" i="34"/>
  <c r="H76" i="34" s="1"/>
  <c r="G75" i="34"/>
  <c r="H75" i="34" s="1"/>
  <c r="G78" i="34"/>
  <c r="H78" i="34" s="1"/>
  <c r="I69" i="34"/>
  <c r="G73" i="34"/>
  <c r="H73" i="34" s="1"/>
  <c r="D8" i="27" l="1"/>
  <c r="O7" i="27"/>
  <c r="P8" i="27"/>
  <c r="D9" i="27" l="1"/>
  <c r="P9" i="27"/>
  <c r="O8" i="27"/>
  <c r="D10" i="27" l="1"/>
  <c r="O9" i="27"/>
  <c r="D11" i="27" l="1"/>
  <c r="O10" i="27"/>
  <c r="D12" i="27" l="1"/>
  <c r="O11" i="27"/>
  <c r="O12" i="27" l="1"/>
  <c r="D13" i="27"/>
  <c r="D14" i="27" l="1"/>
  <c r="O13" i="27"/>
  <c r="D15" i="27" l="1"/>
  <c r="O14" i="27"/>
  <c r="D16" i="27" l="1"/>
  <c r="O15" i="27"/>
  <c r="D17" i="27" l="1"/>
  <c r="O16" i="27"/>
  <c r="D18" i="27" l="1"/>
  <c r="O17" i="27"/>
  <c r="D19" i="27" l="1"/>
  <c r="O18" i="27"/>
  <c r="O19" i="27" l="1"/>
  <c r="D20" i="27"/>
  <c r="D21" i="27" l="1"/>
  <c r="O20" i="27"/>
  <c r="O21" i="27" l="1"/>
  <c r="E89" i="33" l="1"/>
  <c r="D89" i="33"/>
  <c r="E88" i="33"/>
  <c r="D88" i="33"/>
  <c r="E85" i="33"/>
  <c r="D85" i="33"/>
  <c r="E82" i="33"/>
  <c r="I78" i="33"/>
  <c r="E78" i="33"/>
  <c r="I77" i="33"/>
  <c r="I76" i="33"/>
  <c r="E76" i="33"/>
  <c r="I75" i="33"/>
  <c r="I74" i="33"/>
  <c r="I73" i="33"/>
  <c r="G73" i="33"/>
  <c r="H73" i="33" s="1"/>
  <c r="E73" i="33"/>
  <c r="I72" i="33"/>
  <c r="I69" i="33"/>
  <c r="F68" i="33"/>
  <c r="G76" i="33" s="1"/>
  <c r="H76" i="33" s="1"/>
  <c r="D68" i="33"/>
  <c r="E72" i="33" s="1"/>
  <c r="I67" i="33"/>
  <c r="G67" i="33"/>
  <c r="H67" i="33" s="1"/>
  <c r="E67" i="33"/>
  <c r="H62" i="33"/>
  <c r="F62" i="33"/>
  <c r="H61" i="33"/>
  <c r="F61" i="33"/>
  <c r="H60" i="33"/>
  <c r="F60" i="33"/>
  <c r="H59" i="33"/>
  <c r="F59" i="33"/>
  <c r="H58" i="33"/>
  <c r="F58" i="33"/>
  <c r="H57" i="33"/>
  <c r="F57" i="33"/>
  <c r="H54" i="33"/>
  <c r="F54" i="33"/>
  <c r="H53" i="33"/>
  <c r="F53" i="33"/>
  <c r="H52" i="33"/>
  <c r="F52" i="33"/>
  <c r="H51" i="33"/>
  <c r="F51" i="33"/>
  <c r="H50" i="33"/>
  <c r="F50" i="33"/>
  <c r="H49" i="33"/>
  <c r="F49" i="33"/>
  <c r="H46" i="33"/>
  <c r="F46" i="33"/>
  <c r="H45" i="33"/>
  <c r="F45" i="33"/>
  <c r="H44" i="33"/>
  <c r="F44" i="33"/>
  <c r="H43" i="33"/>
  <c r="F43" i="33"/>
  <c r="H42" i="33"/>
  <c r="F42" i="33"/>
  <c r="H41" i="33"/>
  <c r="F41" i="33"/>
  <c r="H40" i="33"/>
  <c r="F40" i="33"/>
  <c r="H37" i="33"/>
  <c r="F37" i="33"/>
  <c r="H36" i="33"/>
  <c r="F36" i="33"/>
  <c r="H35" i="33"/>
  <c r="F35" i="33"/>
  <c r="H34" i="33"/>
  <c r="F34" i="33"/>
  <c r="H33" i="33"/>
  <c r="F33" i="33"/>
  <c r="H32" i="33"/>
  <c r="H29" i="33"/>
  <c r="F29" i="33"/>
  <c r="H28" i="33"/>
  <c r="F28" i="33"/>
  <c r="Q24" i="33"/>
  <c r="N24" i="33"/>
  <c r="K24" i="33"/>
  <c r="G24" i="33"/>
  <c r="F24" i="33"/>
  <c r="E24" i="33"/>
  <c r="J23" i="33"/>
  <c r="D23" i="33"/>
  <c r="H23" i="33" s="1"/>
  <c r="J20" i="33"/>
  <c r="J19" i="33"/>
  <c r="J18" i="33"/>
  <c r="J17" i="33"/>
  <c r="J16" i="33"/>
  <c r="J15" i="33"/>
  <c r="J14" i="33"/>
  <c r="J13" i="33"/>
  <c r="J12" i="33"/>
  <c r="J11" i="33"/>
  <c r="J10" i="33"/>
  <c r="J9" i="33"/>
  <c r="J8" i="33"/>
  <c r="J7" i="33"/>
  <c r="J6" i="33"/>
  <c r="D82" i="33" l="1"/>
  <c r="I23" i="33"/>
  <c r="E68" i="33"/>
  <c r="G68" i="33"/>
  <c r="H68" i="33" s="1"/>
  <c r="E74" i="33"/>
  <c r="G74" i="33"/>
  <c r="H74" i="33" s="1"/>
  <c r="E75" i="33"/>
  <c r="G72" i="33"/>
  <c r="H72" i="33" s="1"/>
  <c r="G75" i="33"/>
  <c r="H75" i="33" s="1"/>
  <c r="G78" i="33"/>
  <c r="H78" i="33" s="1"/>
  <c r="E77" i="33"/>
  <c r="G77" i="33"/>
  <c r="H77" i="33" s="1"/>
  <c r="I68" i="33"/>
  <c r="D88" i="32" l="1"/>
  <c r="D87" i="32"/>
  <c r="D84" i="32"/>
  <c r="D81" i="32"/>
  <c r="I67" i="32"/>
  <c r="I68" i="32"/>
  <c r="I71" i="32"/>
  <c r="I72" i="32"/>
  <c r="I73" i="32"/>
  <c r="I74" i="32"/>
  <c r="I75" i="32"/>
  <c r="I76" i="32"/>
  <c r="I77" i="32"/>
  <c r="I66" i="32"/>
  <c r="H71" i="32"/>
  <c r="H72" i="32"/>
  <c r="H73" i="32"/>
  <c r="H74" i="32"/>
  <c r="H75" i="32"/>
  <c r="H76" i="32"/>
  <c r="H77" i="32"/>
  <c r="H67" i="32"/>
  <c r="H66" i="32"/>
  <c r="E88" i="32" l="1"/>
  <c r="E87" i="32"/>
  <c r="E84" i="32"/>
  <c r="H28" i="32" l="1"/>
  <c r="H31" i="32"/>
  <c r="H32" i="32"/>
  <c r="H33" i="32"/>
  <c r="H34" i="32"/>
  <c r="H35" i="32"/>
  <c r="H36" i="32"/>
  <c r="H39" i="32"/>
  <c r="H40" i="32"/>
  <c r="H41" i="32"/>
  <c r="H42" i="32"/>
  <c r="H43" i="32"/>
  <c r="H44" i="32"/>
  <c r="H45" i="32"/>
  <c r="H49" i="32"/>
  <c r="H50" i="32"/>
  <c r="H51" i="32"/>
  <c r="H52" i="32"/>
  <c r="H53" i="32"/>
  <c r="H57" i="32"/>
  <c r="H58" i="32"/>
  <c r="H59" i="32"/>
  <c r="H60" i="32"/>
  <c r="H61" i="32"/>
  <c r="H27" i="32"/>
  <c r="F28" i="32"/>
  <c r="F31" i="32"/>
  <c r="F32" i="32"/>
  <c r="F33" i="32"/>
  <c r="F34" i="32"/>
  <c r="F35" i="32"/>
  <c r="F36" i="32"/>
  <c r="F39" i="32"/>
  <c r="F40" i="32"/>
  <c r="F41" i="32"/>
  <c r="F42" i="32"/>
  <c r="F43" i="32"/>
  <c r="F44" i="32"/>
  <c r="F45" i="32"/>
  <c r="F48" i="32"/>
  <c r="F49" i="32"/>
  <c r="F50" i="32"/>
  <c r="F51" i="32"/>
  <c r="F52" i="32"/>
  <c r="F53" i="32"/>
  <c r="F56" i="32"/>
  <c r="F57" i="32"/>
  <c r="F58" i="32"/>
  <c r="F59" i="32"/>
  <c r="F60" i="32"/>
  <c r="F61" i="32"/>
  <c r="F27" i="32"/>
  <c r="Q23" i="32"/>
  <c r="N23" i="32"/>
  <c r="K23" i="32"/>
  <c r="F23" i="32"/>
  <c r="G23" i="32"/>
  <c r="E23" i="32"/>
  <c r="J20" i="32" l="1"/>
  <c r="J19" i="32"/>
  <c r="J18" i="32"/>
  <c r="J17" i="32"/>
  <c r="J16" i="32"/>
  <c r="J15" i="32"/>
  <c r="J14" i="32"/>
  <c r="J13" i="32"/>
  <c r="J12" i="32"/>
  <c r="J11" i="32"/>
  <c r="J10" i="32"/>
  <c r="J9" i="32"/>
  <c r="J8" i="32"/>
  <c r="J7" i="32"/>
  <c r="J6" i="32"/>
  <c r="I57" i="31"/>
  <c r="H57" i="31"/>
  <c r="D79" i="31"/>
  <c r="D78" i="31"/>
  <c r="D75" i="31"/>
  <c r="D72" i="31"/>
  <c r="E79" i="31" l="1"/>
  <c r="E78" i="31"/>
  <c r="E75" i="31"/>
  <c r="I58" i="31"/>
  <c r="I59" i="31"/>
  <c r="I62" i="31"/>
  <c r="I63" i="31"/>
  <c r="I64" i="31"/>
  <c r="I65" i="31"/>
  <c r="I66" i="31"/>
  <c r="I67" i="31"/>
  <c r="I68" i="31"/>
  <c r="H62" i="31"/>
  <c r="H63" i="31"/>
  <c r="H64" i="31"/>
  <c r="H65" i="31"/>
  <c r="H66" i="31"/>
  <c r="H67" i="31"/>
  <c r="H68" i="31"/>
  <c r="H58" i="31"/>
  <c r="D71" i="30" l="1"/>
  <c r="F27" i="31"/>
  <c r="F30" i="31"/>
  <c r="F31" i="31"/>
  <c r="F32" i="31"/>
  <c r="F33" i="31"/>
  <c r="F34" i="31"/>
  <c r="F35" i="31"/>
  <c r="F38" i="31"/>
  <c r="F39" i="31"/>
  <c r="F40" i="31"/>
  <c r="F41" i="31"/>
  <c r="F42" i="31"/>
  <c r="F43" i="31"/>
  <c r="F44" i="31"/>
  <c r="F47" i="31"/>
  <c r="F48" i="31"/>
  <c r="F49" i="31"/>
  <c r="F50" i="31"/>
  <c r="F51" i="31"/>
  <c r="F52" i="31"/>
  <c r="F26" i="31"/>
  <c r="H27" i="31"/>
  <c r="H30" i="31"/>
  <c r="H31" i="31"/>
  <c r="H32" i="31"/>
  <c r="H33" i="31"/>
  <c r="H34" i="31"/>
  <c r="H35" i="31"/>
  <c r="H38" i="31"/>
  <c r="H39" i="31"/>
  <c r="H40" i="31"/>
  <c r="H41" i="31"/>
  <c r="H42" i="31"/>
  <c r="H43" i="31"/>
  <c r="H44" i="31"/>
  <c r="H48" i="31"/>
  <c r="H49" i="31"/>
  <c r="H50" i="31"/>
  <c r="H51" i="31"/>
  <c r="H52" i="31"/>
  <c r="H26" i="31"/>
  <c r="J20" i="31"/>
  <c r="J19" i="31"/>
  <c r="J18" i="31"/>
  <c r="J17" i="31"/>
  <c r="J16" i="31"/>
  <c r="J15" i="31"/>
  <c r="J14" i="31"/>
  <c r="J13" i="31"/>
  <c r="J12" i="31"/>
  <c r="J11" i="31"/>
  <c r="J10" i="31"/>
  <c r="J9" i="31"/>
  <c r="J8" i="31"/>
  <c r="J7" i="31"/>
  <c r="J6" i="31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6" i="30"/>
  <c r="I57" i="30" l="1"/>
  <c r="I58" i="30"/>
  <c r="I61" i="30"/>
  <c r="I62" i="30"/>
  <c r="I63" i="30"/>
  <c r="I64" i="30"/>
  <c r="I65" i="30"/>
  <c r="I66" i="30"/>
  <c r="I67" i="30"/>
  <c r="I56" i="30"/>
  <c r="H61" i="30"/>
  <c r="H62" i="30"/>
  <c r="H63" i="30"/>
  <c r="H64" i="30"/>
  <c r="H65" i="30"/>
  <c r="H66" i="30"/>
  <c r="H67" i="30"/>
  <c r="H57" i="30"/>
  <c r="H56" i="30"/>
  <c r="H26" i="30" l="1"/>
  <c r="H29" i="30"/>
  <c r="H30" i="30"/>
  <c r="H31" i="30"/>
  <c r="H32" i="30"/>
  <c r="H33" i="30"/>
  <c r="H34" i="30"/>
  <c r="H37" i="30"/>
  <c r="H38" i="30"/>
  <c r="H39" i="30"/>
  <c r="H40" i="30"/>
  <c r="H41" i="30"/>
  <c r="H42" i="30"/>
  <c r="H43" i="30"/>
  <c r="H47" i="30"/>
  <c r="H48" i="30"/>
  <c r="H49" i="30"/>
  <c r="H50" i="30"/>
  <c r="H51" i="30"/>
  <c r="H25" i="30"/>
  <c r="F26" i="30"/>
  <c r="F29" i="30"/>
  <c r="F30" i="30"/>
  <c r="F31" i="30"/>
  <c r="F32" i="30"/>
  <c r="F33" i="30"/>
  <c r="F34" i="30"/>
  <c r="F37" i="30"/>
  <c r="F38" i="30"/>
  <c r="F39" i="30"/>
  <c r="F40" i="30"/>
  <c r="F41" i="30"/>
  <c r="F42" i="30"/>
  <c r="F43" i="30"/>
  <c r="F46" i="30"/>
  <c r="F47" i="30"/>
  <c r="F48" i="30"/>
  <c r="F49" i="30"/>
  <c r="F50" i="30"/>
  <c r="F51" i="30"/>
  <c r="F25" i="30"/>
  <c r="D78" i="30"/>
  <c r="D77" i="30"/>
  <c r="D74" i="30"/>
  <c r="Q21" i="30"/>
  <c r="I59" i="26"/>
  <c r="I56" i="26" l="1"/>
  <c r="I60" i="26"/>
  <c r="I61" i="26"/>
  <c r="I62" i="26"/>
  <c r="I63" i="26"/>
  <c r="I64" i="26"/>
  <c r="I65" i="26"/>
  <c r="I55" i="26"/>
  <c r="I54" i="26"/>
  <c r="H59" i="26"/>
  <c r="H60" i="26"/>
  <c r="H61" i="26"/>
  <c r="H62" i="26"/>
  <c r="H63" i="26"/>
  <c r="H64" i="26"/>
  <c r="H65" i="26"/>
  <c r="H55" i="26"/>
  <c r="H54" i="26"/>
  <c r="D76" i="26"/>
  <c r="D75" i="26"/>
  <c r="D72" i="26"/>
  <c r="D69" i="26"/>
  <c r="H24" i="26" l="1"/>
  <c r="H27" i="26"/>
  <c r="H28" i="26"/>
  <c r="H29" i="26"/>
  <c r="H30" i="26"/>
  <c r="H31" i="26"/>
  <c r="H32" i="26"/>
  <c r="H35" i="26"/>
  <c r="H36" i="26"/>
  <c r="H37" i="26"/>
  <c r="H38" i="26"/>
  <c r="H39" i="26"/>
  <c r="H40" i="26"/>
  <c r="H41" i="26"/>
  <c r="H45" i="26"/>
  <c r="H46" i="26"/>
  <c r="H47" i="26"/>
  <c r="H48" i="26"/>
  <c r="H49" i="26"/>
  <c r="H23" i="26"/>
  <c r="F27" i="26"/>
  <c r="F28" i="26"/>
  <c r="F29" i="26"/>
  <c r="F30" i="26"/>
  <c r="F31" i="26"/>
  <c r="F32" i="26"/>
  <c r="F35" i="26"/>
  <c r="F36" i="26"/>
  <c r="F37" i="26"/>
  <c r="F38" i="26"/>
  <c r="F39" i="26"/>
  <c r="F40" i="26"/>
  <c r="F41" i="26"/>
  <c r="F44" i="26"/>
  <c r="F45" i="26"/>
  <c r="F46" i="26"/>
  <c r="F47" i="26"/>
  <c r="F48" i="26"/>
  <c r="F49" i="26"/>
  <c r="F24" i="26"/>
  <c r="F23" i="26"/>
  <c r="I58" i="25"/>
  <c r="I59" i="25"/>
  <c r="I60" i="25"/>
  <c r="I61" i="25"/>
  <c r="I62" i="25"/>
  <c r="I63" i="25"/>
  <c r="I57" i="25"/>
  <c r="I53" i="25"/>
  <c r="I54" i="25"/>
  <c r="I52" i="25"/>
  <c r="H53" i="25"/>
  <c r="H57" i="25"/>
  <c r="H58" i="25"/>
  <c r="H59" i="25"/>
  <c r="H60" i="25"/>
  <c r="H61" i="25"/>
  <c r="H62" i="25"/>
  <c r="H63" i="25"/>
  <c r="H52" i="25"/>
</calcChain>
</file>

<file path=xl/sharedStrings.xml><?xml version="1.0" encoding="utf-8"?>
<sst xmlns="http://schemas.openxmlformats.org/spreadsheetml/2006/main" count="10634" uniqueCount="247">
  <si>
    <t>CineClub August Report</t>
  </si>
  <si>
    <t>Source</t>
  </si>
  <si>
    <t>Slide 2</t>
  </si>
  <si>
    <t>Month</t>
  </si>
  <si>
    <t>Starting Balance</t>
  </si>
  <si>
    <t>Signups</t>
  </si>
  <si>
    <t>Net New</t>
  </si>
  <si>
    <t>Exits</t>
  </si>
  <si>
    <t>Ending Balance</t>
  </si>
  <si>
    <t>Churn</t>
  </si>
  <si>
    <t>Chargebee</t>
  </si>
  <si>
    <t>August</t>
  </si>
  <si>
    <t>-</t>
  </si>
  <si>
    <t>Slide 3</t>
  </si>
  <si>
    <t>CC - AUG</t>
  </si>
  <si>
    <t>CC - PTD</t>
  </si>
  <si>
    <t>AUG/PTD</t>
  </si>
  <si>
    <t>SCENE 2019</t>
  </si>
  <si>
    <t>PTD/SCE</t>
  </si>
  <si>
    <t>SQL</t>
  </si>
  <si>
    <t>Gender</t>
  </si>
  <si>
    <t>Female</t>
  </si>
  <si>
    <t>Male</t>
  </si>
  <si>
    <t>Age</t>
  </si>
  <si>
    <t>Age 14-18</t>
  </si>
  <si>
    <t>Age 19-24</t>
  </si>
  <si>
    <t>Age 25-34</t>
  </si>
  <si>
    <t>Age 35-49</t>
  </si>
  <si>
    <t>Age 50-64</t>
  </si>
  <si>
    <t>Age 65+</t>
  </si>
  <si>
    <t>Province</t>
  </si>
  <si>
    <t>ON</t>
  </si>
  <si>
    <t>BC</t>
  </si>
  <si>
    <t>AB</t>
  </si>
  <si>
    <t>QC</t>
  </si>
  <si>
    <t>MB</t>
  </si>
  <si>
    <t>SK</t>
  </si>
  <si>
    <t>ATL</t>
  </si>
  <si>
    <t xml:space="preserve"> Visitation 2019</t>
  </si>
  <si>
    <t>0 Visits</t>
  </si>
  <si>
    <t>1 Visit</t>
  </si>
  <si>
    <t>2-3 Visits</t>
  </si>
  <si>
    <t>4-6 Visits</t>
  </si>
  <si>
    <t>7-12 Visits</t>
  </si>
  <si>
    <t>13+ Visits</t>
  </si>
  <si>
    <t>Slide 5</t>
  </si>
  <si>
    <t>Total Business</t>
  </si>
  <si>
    <t>CineClub</t>
  </si>
  <si>
    <t>Tickets Cube &amp; SQL</t>
  </si>
  <si>
    <t>Count</t>
  </si>
  <si>
    <t>%</t>
  </si>
  <si>
    <t>Index</t>
  </si>
  <si>
    <t>Share</t>
  </si>
  <si>
    <t>Total Tickets</t>
  </si>
  <si>
    <t>Total Regular</t>
  </si>
  <si>
    <t>Total Upgraded</t>
  </si>
  <si>
    <t xml:space="preserve">Premium Tickets </t>
  </si>
  <si>
    <t>AVX</t>
  </si>
  <si>
    <t>VIP</t>
  </si>
  <si>
    <t>IMAX</t>
  </si>
  <si>
    <t>3D</t>
  </si>
  <si>
    <t>ALT</t>
  </si>
  <si>
    <t>SCREEN X</t>
  </si>
  <si>
    <t>4DX</t>
  </si>
  <si>
    <t>Slide 4</t>
  </si>
  <si>
    <t>Behaviour</t>
  </si>
  <si>
    <t>CC</t>
  </si>
  <si>
    <t>SCE</t>
  </si>
  <si>
    <t>EXH</t>
  </si>
  <si>
    <t>Members with 1+ visit</t>
  </si>
  <si>
    <t>% of Total Active Members</t>
  </si>
  <si>
    <t xml:space="preserve">Total Tickets </t>
  </si>
  <si>
    <t>Tickets / Member</t>
  </si>
  <si>
    <t xml:space="preserve">Total Visits </t>
  </si>
  <si>
    <t>Visits / Member</t>
  </si>
  <si>
    <t>Tickets / Visit</t>
  </si>
  <si>
    <t>CineClub September Report</t>
  </si>
  <si>
    <t>September</t>
  </si>
  <si>
    <t>Total</t>
  </si>
  <si>
    <t>CC - SEP</t>
  </si>
  <si>
    <t>SEP/PTD</t>
  </si>
  <si>
    <t>CineClub October Report</t>
  </si>
  <si>
    <t>October</t>
  </si>
  <si>
    <t>CC - OCT</t>
  </si>
  <si>
    <t>OCT/PTD</t>
  </si>
  <si>
    <t>CineClub November Report</t>
  </si>
  <si>
    <t>November</t>
  </si>
  <si>
    <t>CC - NOV</t>
  </si>
  <si>
    <t>NOV/PTD</t>
  </si>
  <si>
    <t>CineClub December Report</t>
  </si>
  <si>
    <t>December</t>
  </si>
  <si>
    <t>CC - DEC</t>
  </si>
  <si>
    <t>DEC/PTD</t>
  </si>
  <si>
    <t>CineClub January Report</t>
  </si>
  <si>
    <t>January</t>
  </si>
  <si>
    <t>CC - JAN</t>
  </si>
  <si>
    <t>JAN/PTD</t>
  </si>
  <si>
    <t>CineClub February Report</t>
  </si>
  <si>
    <t>February</t>
  </si>
  <si>
    <t>CC - FEB</t>
  </si>
  <si>
    <t>FEB/PTD</t>
  </si>
  <si>
    <t>CineClub March Report</t>
  </si>
  <si>
    <t>March</t>
  </si>
  <si>
    <t>CC - MAR</t>
  </si>
  <si>
    <t>MAR/PTD</t>
  </si>
  <si>
    <t>CineClub April Report</t>
  </si>
  <si>
    <t>April</t>
  </si>
  <si>
    <t>CC - APR</t>
  </si>
  <si>
    <t>APR/PTD</t>
  </si>
  <si>
    <t>CineClub May Report</t>
  </si>
  <si>
    <t>May</t>
  </si>
  <si>
    <t>CC - MAY</t>
  </si>
  <si>
    <t>MAY/PTD</t>
  </si>
  <si>
    <t>CineClub June Report</t>
  </si>
  <si>
    <t>NET Increase</t>
  </si>
  <si>
    <t>% First Time</t>
  </si>
  <si>
    <t>% Returning</t>
  </si>
  <si>
    <t>June</t>
  </si>
  <si>
    <t>CC - JUN</t>
  </si>
  <si>
    <t>JUN/PTD</t>
  </si>
  <si>
    <t>CineClub July Report</t>
  </si>
  <si>
    <t>July</t>
  </si>
  <si>
    <t>CC - JUL</t>
  </si>
  <si>
    <t>JUL/PTD</t>
  </si>
  <si>
    <t>CineClub August 2022 Report</t>
  </si>
  <si>
    <t xml:space="preserve">August </t>
  </si>
  <si>
    <t>CineClub September 2022 Report</t>
  </si>
  <si>
    <t>Total Subscriptions</t>
  </si>
  <si>
    <t>Monthly Subscriptions</t>
  </si>
  <si>
    <t>Annual Subscriptions</t>
  </si>
  <si>
    <t>% Upgraded</t>
  </si>
  <si>
    <t>CineClub October 2022 Report</t>
  </si>
  <si>
    <t>CineClub November 2022 Report</t>
  </si>
  <si>
    <t>Gifted Subscriptions</t>
  </si>
  <si>
    <t>CineClub December 2022 Report</t>
  </si>
  <si>
    <t>CineClub January 2023 Report</t>
  </si>
  <si>
    <t xml:space="preserve"> Visitation 2022</t>
  </si>
  <si>
    <t>CineClub February 2023 Report</t>
  </si>
  <si>
    <t>SCENE 2023</t>
  </si>
  <si>
    <t>y</t>
  </si>
  <si>
    <t>CineClub March 2023 Report</t>
  </si>
  <si>
    <t>CineClub April 2023 Report</t>
  </si>
  <si>
    <t>CineClub May 2023 Report</t>
  </si>
  <si>
    <t>CC - May</t>
  </si>
  <si>
    <t>CineClub June 2023 Report</t>
  </si>
  <si>
    <t>CC - JUNE</t>
  </si>
  <si>
    <t>JUNE/PTD</t>
  </si>
  <si>
    <t>CineClub July 2023 Report</t>
  </si>
  <si>
    <t>CC - JULY</t>
  </si>
  <si>
    <t>JULY/PTD</t>
  </si>
  <si>
    <t>CineClub August 2023 Report</t>
  </si>
  <si>
    <t>CineClub September 2023 Report</t>
  </si>
  <si>
    <t>CineClub October 2023 Report</t>
  </si>
  <si>
    <t>CineClub November 2023 Report</t>
  </si>
  <si>
    <t>CineClub December 2023 Report</t>
  </si>
  <si>
    <t>CineClub January 2024 Report</t>
  </si>
  <si>
    <t>SCENE 2024</t>
  </si>
  <si>
    <t xml:space="preserve"> Visitation 2023</t>
  </si>
  <si>
    <t>CineClub February 2024 Report</t>
  </si>
  <si>
    <t>CineClub March 2024 Report</t>
  </si>
  <si>
    <t>CineClub April 2024 Report</t>
  </si>
  <si>
    <t>CineClub May 2024 Report</t>
  </si>
  <si>
    <t>CineClub June 2024 Report</t>
  </si>
  <si>
    <t>CineClub July 2024 Report</t>
  </si>
  <si>
    <t>CineClub August 2024 Report</t>
  </si>
  <si>
    <t>CC - AUGUST</t>
  </si>
  <si>
    <t>AUGUST/PTD</t>
  </si>
  <si>
    <t>CineClub September 2024 Report</t>
  </si>
  <si>
    <t>% Returning (Monthly)</t>
  </si>
  <si>
    <t>% Returning (Annual)</t>
  </si>
  <si>
    <t>% Returning (Gift-Plan)</t>
  </si>
  <si>
    <t>% Non First Time</t>
  </si>
  <si>
    <t>% Upgraded (from Monthly)</t>
  </si>
  <si>
    <t xml:space="preserve">% Upgraded (from Monthly) </t>
  </si>
  <si>
    <t>CC - SEPTEMBER</t>
  </si>
  <si>
    <t>SEPTEMBER/PTD</t>
  </si>
  <si>
    <t>CineClub October 2024 Report</t>
  </si>
  <si>
    <t>CC - OCTOBER</t>
  </si>
  <si>
    <t>OCTOBER/PTD</t>
  </si>
  <si>
    <t>CineClub November 2024 Report</t>
  </si>
  <si>
    <t>CC - NOVEMBER</t>
  </si>
  <si>
    <t>NOVEMBER/PTD</t>
  </si>
  <si>
    <t>CineClub December 2024 Report</t>
  </si>
  <si>
    <t>Active</t>
  </si>
  <si>
    <t>Non-Renewing</t>
  </si>
  <si>
    <t>Monthly</t>
  </si>
  <si>
    <t>Annual</t>
  </si>
  <si>
    <t>Gift-Plan</t>
  </si>
  <si>
    <t>CC - DECEMBER</t>
  </si>
  <si>
    <t>DECEMBER/PTD</t>
  </si>
  <si>
    <t>CineClub January 2025 Report</t>
  </si>
  <si>
    <t>CC - JANUARY</t>
  </si>
  <si>
    <t>JANUARY/PTD</t>
  </si>
  <si>
    <t>SCENE 2025</t>
  </si>
  <si>
    <t xml:space="preserve"> Visitation 2024</t>
  </si>
  <si>
    <t>CineClub February 2025 Report</t>
  </si>
  <si>
    <t>Net Exits</t>
  </si>
  <si>
    <t>Net Churn (excluding Upgrades)</t>
  </si>
  <si>
    <t>% Returning (from Monthly)</t>
  </si>
  <si>
    <t xml:space="preserve">% Returning (from Monthly) </t>
  </si>
  <si>
    <t>CC - FEBRUARY</t>
  </si>
  <si>
    <t>FEBRUARY/PTD</t>
  </si>
  <si>
    <t>CineClub March 2025 Report</t>
  </si>
  <si>
    <t>CC - MARCH</t>
  </si>
  <si>
    <t>MARCH/PTD</t>
  </si>
  <si>
    <t>CineClub April 2025 Report</t>
  </si>
  <si>
    <t>CC - APRIL</t>
  </si>
  <si>
    <t>APRIL/PTD</t>
  </si>
  <si>
    <t>CineClub May 2025 Report</t>
  </si>
  <si>
    <t>CineClub June 2025 Report</t>
  </si>
  <si>
    <t>CineClub Monthly Report</t>
  </si>
  <si>
    <t>% of $9.99 tickets vs total EXH attendance</t>
  </si>
  <si>
    <t>SCENE</t>
  </si>
  <si>
    <t>CineClub Month Over Month Report</t>
  </si>
  <si>
    <t>Subscriptions</t>
  </si>
  <si>
    <t xml:space="preserve">Signups </t>
  </si>
  <si>
    <t>Cancellations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</si>
  <si>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</si>
  <si>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</si>
  <si>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</si>
  <si>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</si>
  <si>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</si>
  <si>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</si>
  <si>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</si>
  <si>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</si>
  <si>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</si>
  <si>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</si>
  <si>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</si>
  <si>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</si>
  <si>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Monthly First Time &amp; Returning &amp; Churn</t>
  </si>
  <si>
    <t>Net Churn</t>
  </si>
  <si>
    <t>Ticket Types</t>
  </si>
  <si>
    <t>Regular</t>
  </si>
  <si>
    <t>Upgraded</t>
  </si>
  <si>
    <t>Upgraded Ticket Types</t>
  </si>
  <si>
    <t>Members with 1+ Visit</t>
  </si>
  <si>
    <t>% of Active</t>
  </si>
  <si>
    <t>Total Tickets and Visits</t>
  </si>
  <si>
    <t>Tickets</t>
  </si>
  <si>
    <t>Visits</t>
  </si>
  <si>
    <t>Tickets and Visits Metrics</t>
  </si>
  <si>
    <t>Mth</t>
  </si>
  <si>
    <t>Scene+</t>
  </si>
  <si>
    <t>CineClub Report</t>
  </si>
  <si>
    <t>SCENE 2026</t>
  </si>
  <si>
    <t xml:space="preserve"> Visitation 2025</t>
  </si>
  <si>
    <t>YTD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</si>
</sst>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_);[Red]\(&quot;$&quot;#,##0.00\)"/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0.0%"/>
    <numFmt numFmtId="166" formatCode="0.0"/>
    <numFmt numFmtId="167" formatCode="#,##0.0"/>
    <numFmt numFmtId="168" formatCode="&quot;$&quot;#,##0.00"/>
    <numFmt numFmtId="169" formatCode="0.0000000"/>
    <numFmt numFmtId="170" formatCode="0.000"/>
    <numFmt numFmtId="171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14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3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2" borderId="5" xfId="0" applyNumberFormat="1" applyFill="1" applyBorder="1" applyAlignment="1">
      <alignment horizontal="center" vertical="center"/>
    </xf>
    <xf numFmtId="165" fontId="0" fillId="2" borderId="0" xfId="0" quotePrefix="1" applyNumberFormat="1" applyFill="1" applyAlignment="1">
      <alignment horizontal="center" vertical="center"/>
    </xf>
    <xf numFmtId="165" fontId="0" fillId="2" borderId="7" xfId="0" applyNumberFormat="1" applyFill="1" applyBorder="1" applyAlignment="1">
      <alignment horizontal="center" vertical="center"/>
    </xf>
    <xf numFmtId="166" fontId="0" fillId="2" borderId="7" xfId="0" applyNumberForma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8" fontId="1" fillId="2" borderId="0" xfId="0" applyNumberFormat="1" applyFont="1" applyFill="1" applyAlignment="1">
      <alignment horizontal="center" vertical="center"/>
    </xf>
    <xf numFmtId="3" fontId="1" fillId="2" borderId="12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/>
    </xf>
    <xf numFmtId="3" fontId="0" fillId="2" borderId="14" xfId="0" applyNumberFormat="1" applyFill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 vertical="center"/>
    </xf>
    <xf numFmtId="3" fontId="0" fillId="2" borderId="16" xfId="0" applyNumberFormat="1" applyFill="1" applyBorder="1" applyAlignment="1">
      <alignment horizontal="center" vertical="center"/>
    </xf>
    <xf numFmtId="167" fontId="0" fillId="2" borderId="14" xfId="0" applyNumberForma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2" borderId="5" xfId="0" quotePrefix="1" applyNumberFormat="1" applyFill="1" applyBorder="1" applyAlignment="1">
      <alignment horizontal="center" vertical="center"/>
    </xf>
    <xf numFmtId="44" fontId="1" fillId="2" borderId="0" xfId="2" applyFont="1" applyFill="1" applyBorder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165" fontId="1" fillId="2" borderId="23" xfId="0" applyNumberFormat="1" applyFon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 vertical="center"/>
    </xf>
    <xf numFmtId="165" fontId="0" fillId="2" borderId="7" xfId="1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2" borderId="11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3" fontId="0" fillId="2" borderId="17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3" fontId="0" fillId="2" borderId="21" xfId="0" applyNumberFormat="1" applyFill="1" applyBorder="1" applyAlignment="1">
      <alignment horizontal="center" vertical="center"/>
    </xf>
    <xf numFmtId="3" fontId="0" fillId="2" borderId="22" xfId="0" applyNumberForma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9" fontId="0" fillId="2" borderId="19" xfId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/>
    </xf>
    <xf numFmtId="9" fontId="0" fillId="2" borderId="15" xfId="1" applyFont="1" applyFill="1" applyBorder="1" applyAlignment="1">
      <alignment horizontal="center" vertical="center"/>
    </xf>
    <xf numFmtId="3" fontId="0" fillId="2" borderId="0" xfId="0" quotePrefix="1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166" fontId="0" fillId="2" borderId="0" xfId="0" quotePrefix="1" applyNumberFormat="1" applyFill="1" applyAlignment="1">
      <alignment horizontal="center" vertical="center"/>
    </xf>
    <xf numFmtId="3" fontId="0" fillId="2" borderId="0" xfId="1" applyNumberFormat="1" applyFont="1" applyFill="1" applyBorder="1" applyAlignment="1">
      <alignment horizontal="center" vertical="center"/>
    </xf>
    <xf numFmtId="3" fontId="0" fillId="2" borderId="7" xfId="1" applyNumberFormat="1" applyFont="1" applyFill="1" applyBorder="1" applyAlignment="1">
      <alignment horizontal="center" vertical="center"/>
    </xf>
    <xf numFmtId="3" fontId="0" fillId="2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 vertical="center"/>
    </xf>
    <xf numFmtId="9" fontId="0" fillId="2" borderId="16" xfId="1" applyFont="1" applyFill="1" applyBorder="1" applyAlignment="1">
      <alignment horizontal="center" vertical="center"/>
    </xf>
    <xf numFmtId="166" fontId="0" fillId="2" borderId="14" xfId="0" applyNumberForma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9" fontId="0" fillId="2" borderId="8" xfId="1" applyFont="1" applyFill="1" applyBorder="1" applyAlignment="1">
      <alignment horizontal="center" vertical="center"/>
    </xf>
    <xf numFmtId="167" fontId="0" fillId="2" borderId="7" xfId="0" applyNumberFormat="1" applyFill="1" applyBorder="1" applyAlignment="1">
      <alignment horizontal="center" vertical="center"/>
    </xf>
    <xf numFmtId="166" fontId="0" fillId="2" borderId="7" xfId="0" quotePrefix="1" applyNumberForma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9" fontId="0" fillId="2" borderId="14" xfId="1" quotePrefix="1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3" fontId="0" fillId="2" borderId="29" xfId="0" applyNumberFormat="1" applyFill="1" applyBorder="1" applyAlignment="1">
      <alignment horizontal="center" vertical="center"/>
    </xf>
    <xf numFmtId="9" fontId="0" fillId="2" borderId="30" xfId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3" fontId="0" fillId="2" borderId="32" xfId="0" applyNumberFormat="1" applyFill="1" applyBorder="1" applyAlignment="1">
      <alignment horizontal="center" vertical="center"/>
    </xf>
    <xf numFmtId="3" fontId="0" fillId="2" borderId="33" xfId="0" applyNumberForma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0" fillId="2" borderId="2" xfId="0" applyNumberFormat="1" applyFill="1" applyBorder="1" applyAlignment="1">
      <alignment horizontal="center" vertical="center"/>
    </xf>
    <xf numFmtId="165" fontId="1" fillId="2" borderId="34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9" fontId="0" fillId="2" borderId="32" xfId="1" applyFont="1" applyFill="1" applyBorder="1" applyAlignment="1">
      <alignment horizontal="center" vertical="center"/>
    </xf>
    <xf numFmtId="165" fontId="1" fillId="2" borderId="5" xfId="0" applyNumberFormat="1" applyFont="1" applyFill="1" applyBorder="1" applyAlignment="1">
      <alignment horizontal="center" vertical="center"/>
    </xf>
    <xf numFmtId="9" fontId="0" fillId="2" borderId="7" xfId="1" applyFont="1" applyFill="1" applyBorder="1" applyAlignment="1">
      <alignment horizontal="center" vertical="center"/>
    </xf>
    <xf numFmtId="166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3" fontId="0" fillId="2" borderId="35" xfId="0" applyNumberFormat="1" applyFill="1" applyBorder="1" applyAlignment="1">
      <alignment horizontal="center" vertical="center"/>
    </xf>
    <xf numFmtId="9" fontId="0" fillId="2" borderId="35" xfId="1" applyFont="1" applyFill="1" applyBorder="1" applyAlignment="1">
      <alignment horizontal="center" vertical="center"/>
    </xf>
    <xf numFmtId="9" fontId="0" fillId="2" borderId="17" xfId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9" fontId="0" fillId="2" borderId="0" xfId="1" quotePrefix="1" applyFont="1" applyFill="1" applyBorder="1" applyAlignment="1">
      <alignment horizontal="center" vertical="center"/>
    </xf>
    <xf numFmtId="0" fontId="0" fillId="2" borderId="0" xfId="0" applyFill="1"/>
    <xf numFmtId="9" fontId="0" fillId="2" borderId="22" xfId="1" applyFont="1" applyFill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3" fontId="0" fillId="2" borderId="41" xfId="0" applyNumberFormat="1" applyFill="1" applyBorder="1" applyAlignment="1">
      <alignment horizontal="center" vertical="center"/>
    </xf>
    <xf numFmtId="3" fontId="0" fillId="2" borderId="42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3" fontId="0" fillId="2" borderId="18" xfId="0" applyNumberFormat="1" applyFill="1" applyBorder="1" applyAlignment="1">
      <alignment horizontal="center" vertical="center"/>
    </xf>
    <xf numFmtId="3" fontId="0" fillId="2" borderId="28" xfId="0" applyNumberForma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9" fontId="0" fillId="2" borderId="0" xfId="1" applyFont="1" applyFill="1"/>
    <xf numFmtId="165" fontId="0" fillId="2" borderId="19" xfId="1" applyNumberFormat="1" applyFont="1" applyFill="1" applyBorder="1" applyAlignment="1">
      <alignment horizontal="center" vertical="center"/>
    </xf>
    <xf numFmtId="1" fontId="0" fillId="2" borderId="0" xfId="0" applyNumberFormat="1" applyFill="1"/>
    <xf numFmtId="3" fontId="0" fillId="2" borderId="0" xfId="0" applyNumberFormat="1" applyFill="1"/>
    <xf numFmtId="0" fontId="1" fillId="2" borderId="32" xfId="0" applyFont="1" applyFill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2" borderId="40" xfId="0" applyNumberForma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5" xfId="0" applyNumberFormat="1" applyBorder="1" applyAlignment="1">
      <alignment horizontal="center" vertical="center"/>
    </xf>
    <xf numFmtId="9" fontId="0" fillId="0" borderId="35" xfId="1" applyFont="1" applyFill="1" applyBorder="1" applyAlignment="1">
      <alignment horizontal="center" vertical="center"/>
    </xf>
    <xf numFmtId="9" fontId="0" fillId="0" borderId="30" xfId="1" applyFont="1" applyFill="1" applyBorder="1" applyAlignment="1">
      <alignment horizontal="center" vertical="center"/>
    </xf>
    <xf numFmtId="9" fontId="0" fillId="0" borderId="22" xfId="1" applyFont="1" applyFill="1" applyBorder="1" applyAlignment="1">
      <alignment horizontal="center" vertical="center"/>
    </xf>
    <xf numFmtId="165" fontId="0" fillId="2" borderId="17" xfId="1" applyNumberFormat="1" applyFont="1" applyFill="1" applyBorder="1" applyAlignment="1">
      <alignment horizontal="center" vertical="center"/>
    </xf>
    <xf numFmtId="165" fontId="0" fillId="0" borderId="35" xfId="1" applyNumberFormat="1" applyFont="1" applyFill="1" applyBorder="1" applyAlignment="1">
      <alignment horizontal="center" vertical="center"/>
    </xf>
    <xf numFmtId="1" fontId="0" fillId="2" borderId="0" xfId="1" applyNumberFormat="1" applyFont="1" applyFill="1" applyBorder="1" applyAlignment="1">
      <alignment horizontal="center" vertical="center"/>
    </xf>
    <xf numFmtId="165" fontId="0" fillId="2" borderId="30" xfId="1" applyNumberFormat="1" applyFont="1" applyFill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0" fillId="0" borderId="17" xfId="1" applyFont="1" applyFill="1" applyBorder="1" applyAlignment="1">
      <alignment horizontal="center" vertical="center"/>
    </xf>
    <xf numFmtId="165" fontId="0" fillId="2" borderId="0" xfId="1" quotePrefix="1" applyNumberFormat="1" applyFont="1" applyFill="1" applyBorder="1" applyAlignment="1">
      <alignment horizontal="center" vertical="center"/>
    </xf>
    <xf numFmtId="9" fontId="0" fillId="2" borderId="0" xfId="1" applyFont="1" applyFill="1" applyAlignment="1">
      <alignment horizontal="center" vertical="center"/>
    </xf>
    <xf numFmtId="165" fontId="0" fillId="2" borderId="35" xfId="1" applyNumberFormat="1" applyFont="1" applyFill="1" applyBorder="1" applyAlignment="1">
      <alignment horizontal="center" vertical="center"/>
    </xf>
    <xf numFmtId="9" fontId="0" fillId="0" borderId="29" xfId="1" applyFont="1" applyFill="1" applyBorder="1" applyAlignment="1">
      <alignment horizontal="center" vertical="center"/>
    </xf>
    <xf numFmtId="165" fontId="0" fillId="0" borderId="30" xfId="1" applyNumberFormat="1" applyFont="1" applyFill="1" applyBorder="1" applyAlignment="1">
      <alignment horizontal="center" vertical="center"/>
    </xf>
    <xf numFmtId="166" fontId="0" fillId="2" borderId="0" xfId="0" applyNumberFormat="1" applyFill="1"/>
    <xf numFmtId="3" fontId="1" fillId="2" borderId="0" xfId="0" applyNumberFormat="1" applyFont="1" applyFill="1" applyAlignment="1">
      <alignment horizontal="center" vertical="center"/>
    </xf>
    <xf numFmtId="0" fontId="1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0" fillId="2" borderId="33" xfId="1" applyFont="1" applyFill="1" applyBorder="1" applyAlignment="1">
      <alignment horizontal="center" vertical="center"/>
    </xf>
    <xf numFmtId="165" fontId="0" fillId="2" borderId="0" xfId="1" applyNumberFormat="1" applyFont="1" applyFill="1" applyAlignment="1">
      <alignment horizontal="center" vertical="center"/>
    </xf>
    <xf numFmtId="164" fontId="0" fillId="2" borderId="0" xfId="3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165" fontId="5" fillId="2" borderId="0" xfId="0" quotePrefix="1" applyNumberFormat="1" applyFont="1" applyFill="1" applyAlignment="1">
      <alignment horizontal="center" vertical="center"/>
    </xf>
    <xf numFmtId="166" fontId="5" fillId="2" borderId="0" xfId="0" quotePrefix="1" applyNumberFormat="1" applyFont="1" applyFill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3" fontId="5" fillId="2" borderId="0" xfId="1" applyNumberFormat="1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3" fontId="5" fillId="0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2" borderId="7" xfId="1" applyNumberFormat="1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3" fontId="5" fillId="2" borderId="7" xfId="0" applyNumberFormat="1" applyFont="1" applyFill="1" applyBorder="1" applyAlignment="1">
      <alignment horizontal="center" vertical="center"/>
    </xf>
    <xf numFmtId="166" fontId="5" fillId="2" borderId="7" xfId="0" applyNumberFormat="1" applyFont="1" applyFill="1" applyBorder="1" applyAlignment="1">
      <alignment horizontal="center" vertical="center"/>
    </xf>
    <xf numFmtId="165" fontId="5" fillId="2" borderId="7" xfId="1" applyNumberFormat="1" applyFont="1" applyFill="1" applyBorder="1" applyAlignment="1">
      <alignment horizontal="center" vertical="center"/>
    </xf>
    <xf numFmtId="3" fontId="5" fillId="2" borderId="0" xfId="0" quotePrefix="1" applyNumberFormat="1" applyFont="1" applyFill="1" applyAlignment="1">
      <alignment horizontal="center" vertical="center"/>
    </xf>
    <xf numFmtId="9" fontId="5" fillId="2" borderId="0" xfId="0" applyNumberFormat="1" applyFont="1" applyFill="1" applyAlignment="1">
      <alignment horizontal="center" vertical="center"/>
    </xf>
    <xf numFmtId="9" fontId="5" fillId="2" borderId="0" xfId="1" quotePrefix="1" applyFont="1" applyFill="1" applyBorder="1" applyAlignment="1">
      <alignment horizontal="center" vertical="center"/>
    </xf>
    <xf numFmtId="3" fontId="5" fillId="0" borderId="0" xfId="0" quotePrefix="1" applyNumberFormat="1" applyFont="1" applyAlignment="1">
      <alignment horizontal="center" vertical="center"/>
    </xf>
    <xf numFmtId="167" fontId="5" fillId="2" borderId="0" xfId="0" applyNumberFormat="1" applyFont="1" applyFill="1" applyAlignment="1">
      <alignment horizontal="center" vertical="center"/>
    </xf>
    <xf numFmtId="167" fontId="5" fillId="2" borderId="7" xfId="0" applyNumberFormat="1" applyFont="1" applyFill="1" applyBorder="1" applyAlignment="1">
      <alignment horizontal="center" vertical="center"/>
    </xf>
    <xf numFmtId="166" fontId="5" fillId="2" borderId="7" xfId="0" quotePrefix="1" applyNumberFormat="1" applyFont="1" applyFill="1" applyBorder="1" applyAlignment="1">
      <alignment horizontal="center" vertical="center"/>
    </xf>
    <xf numFmtId="166" fontId="0" fillId="2" borderId="16" xfId="0" applyNumberFormat="1" applyFill="1" applyBorder="1" applyAlignment="1">
      <alignment horizontal="center" vertical="center"/>
    </xf>
    <xf numFmtId="166" fontId="0" fillId="2" borderId="14" xfId="0" applyNumberFormat="1" applyFill="1" applyBorder="1" applyAlignment="1">
      <alignment horizontal="center"/>
    </xf>
    <xf numFmtId="3" fontId="0" fillId="0" borderId="42" xfId="0" applyNumberFormat="1" applyBorder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3" fillId="2" borderId="0" xfId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Border="1" applyAlignment="1">
      <alignment horizontal="center" vertical="center"/>
    </xf>
    <xf numFmtId="3" fontId="3" fillId="2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3" fillId="2" borderId="7" xfId="1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3" fillId="2" borderId="7" xfId="1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3" fontId="0" fillId="0" borderId="0" xfId="0" quotePrefix="1" applyNumberFormat="1" applyAlignment="1">
      <alignment horizontal="center" vertical="center"/>
    </xf>
    <xf numFmtId="167" fontId="4" fillId="2" borderId="0" xfId="0" applyNumberFormat="1" applyFont="1" applyFill="1" applyAlignment="1">
      <alignment horizontal="center" vertical="center"/>
    </xf>
    <xf numFmtId="9" fontId="0" fillId="2" borderId="0" xfId="1" applyFont="1" applyFill="1" applyBorder="1" applyAlignment="1">
      <alignment horizontal="center"/>
    </xf>
    <xf numFmtId="3" fontId="0" fillId="2" borderId="5" xfId="0" applyNumberFormat="1" applyFill="1" applyBorder="1" applyAlignment="1">
      <alignment horizontal="center" vertical="center"/>
    </xf>
    <xf numFmtId="3" fontId="0" fillId="2" borderId="8" xfId="0" applyNumberFormat="1" applyFill="1" applyBorder="1" applyAlignment="1">
      <alignment horizontal="center" vertical="center"/>
    </xf>
    <xf numFmtId="9" fontId="0" fillId="2" borderId="3" xfId="1" applyFon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0" fillId="2" borderId="5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7" fontId="0" fillId="2" borderId="5" xfId="0" applyNumberFormat="1" applyFill="1" applyBorder="1" applyAlignment="1">
      <alignment horizontal="center" vertical="center"/>
    </xf>
    <xf numFmtId="166" fontId="0" fillId="2" borderId="5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7" fontId="0" fillId="2" borderId="14" xfId="0" applyNumberFormat="1" applyFill="1" applyBorder="1" applyAlignment="1">
      <alignment horizontal="center"/>
    </xf>
    <xf numFmtId="166" fontId="0" fillId="2" borderId="14" xfId="1" applyNumberFormat="1" applyFont="1" applyFill="1" applyBorder="1" applyAlignment="1">
      <alignment horizontal="center"/>
    </xf>
    <xf numFmtId="166" fontId="0" fillId="2" borderId="15" xfId="0" applyNumberFormat="1" applyFill="1" applyBorder="1" applyAlignment="1">
      <alignment horizontal="center"/>
    </xf>
    <xf numFmtId="3" fontId="5" fillId="0" borderId="29" xfId="0" applyNumberFormat="1" applyFont="1" applyBorder="1" applyAlignment="1">
      <alignment horizontal="center" vertical="center"/>
    </xf>
    <xf numFmtId="3" fontId="5" fillId="0" borderId="35" xfId="0" applyNumberFormat="1" applyFont="1" applyBorder="1" applyAlignment="1">
      <alignment horizontal="center" vertical="center"/>
    </xf>
    <xf numFmtId="0" fontId="0" fillId="2" borderId="0" xfId="1" applyNumberFormat="1" applyFont="1" applyFill="1" applyBorder="1" applyAlignment="1">
      <alignment horizontal="center" vertical="center"/>
    </xf>
    <xf numFmtId="0" fontId="0" fillId="2" borderId="0" xfId="1" applyNumberFormat="1" applyFont="1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2" borderId="15" xfId="0" applyNumberFormat="1" applyFill="1" applyBorder="1" applyAlignment="1">
      <alignment horizontal="center"/>
    </xf>
    <xf numFmtId="165" fontId="5" fillId="2" borderId="35" xfId="1" applyNumberFormat="1" applyFont="1" applyFill="1" applyBorder="1" applyAlignment="1">
      <alignment horizontal="center" vertical="center"/>
    </xf>
    <xf numFmtId="9" fontId="5" fillId="0" borderId="35" xfId="1" applyFont="1" applyFill="1" applyBorder="1" applyAlignment="1">
      <alignment horizontal="center" vertical="center"/>
    </xf>
    <xf numFmtId="9" fontId="5" fillId="0" borderId="29" xfId="1" applyFont="1" applyFill="1" applyBorder="1" applyAlignment="1">
      <alignment horizontal="center" vertical="center"/>
    </xf>
    <xf numFmtId="3" fontId="5" fillId="2" borderId="28" xfId="0" applyNumberFormat="1" applyFont="1" applyFill="1" applyBorder="1" applyAlignment="1">
      <alignment horizontal="center" vertical="center"/>
    </xf>
    <xf numFmtId="9" fontId="5" fillId="2" borderId="35" xfId="1" applyFont="1" applyFill="1" applyBorder="1" applyAlignment="1">
      <alignment horizontal="center" vertical="center"/>
    </xf>
    <xf numFmtId="9" fontId="5" fillId="2" borderId="30" xfId="1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3" fontId="5" fillId="0" borderId="28" xfId="0" applyNumberFormat="1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9" fontId="5" fillId="0" borderId="30" xfId="1" applyFont="1" applyFill="1" applyBorder="1" applyAlignment="1">
      <alignment horizontal="center" vertical="center"/>
    </xf>
    <xf numFmtId="165" fontId="0" fillId="2" borderId="10" xfId="1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" fontId="0" fillId="2" borderId="0" xfId="0" quotePrefix="1" applyNumberFormat="1" applyFill="1" applyAlignment="1">
      <alignment horizontal="center" vertical="center"/>
    </xf>
    <xf numFmtId="165" fontId="0" fillId="2" borderId="0" xfId="1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6" fontId="3" fillId="2" borderId="0" xfId="0" quotePrefix="1" applyNumberFormat="1" applyFont="1" applyFill="1" applyAlignment="1">
      <alignment horizontal="center" vertical="center"/>
    </xf>
    <xf numFmtId="3" fontId="5" fillId="2" borderId="41" xfId="0" applyNumberFormat="1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165" fontId="5" fillId="2" borderId="17" xfId="1" applyNumberFormat="1" applyFont="1" applyFill="1" applyBorder="1" applyAlignment="1">
      <alignment horizontal="center" vertical="center"/>
    </xf>
    <xf numFmtId="9" fontId="5" fillId="0" borderId="17" xfId="1" applyFon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9" fontId="0" fillId="0" borderId="32" xfId="1" applyFont="1" applyFill="1" applyBorder="1" applyAlignment="1">
      <alignment horizontal="center" vertical="center"/>
    </xf>
    <xf numFmtId="3" fontId="5" fillId="2" borderId="29" xfId="0" applyNumberFormat="1" applyFont="1" applyFill="1" applyBorder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1" fontId="0" fillId="2" borderId="0" xfId="1" applyNumberFormat="1" applyFont="1" applyFill="1" applyAlignment="1">
      <alignment horizontal="center" vertical="center"/>
    </xf>
    <xf numFmtId="9" fontId="1" fillId="2" borderId="0" xfId="1" applyFont="1" applyFill="1" applyAlignment="1">
      <alignment horizontal="center" vertical="center"/>
    </xf>
    <xf numFmtId="165" fontId="0" fillId="2" borderId="0" xfId="1" applyNumberFormat="1" applyFont="1" applyFill="1"/>
    <xf numFmtId="3" fontId="3" fillId="2" borderId="0" xfId="0" applyNumberFormat="1" applyFont="1" applyFill="1" applyAlignment="1">
      <alignment horizontal="center" vertical="center"/>
    </xf>
    <xf numFmtId="9" fontId="3" fillId="2" borderId="0" xfId="1" quotePrefix="1" applyFont="1" applyFill="1" applyBorder="1" applyAlignment="1">
      <alignment horizontal="center" vertical="center"/>
    </xf>
    <xf numFmtId="3" fontId="5" fillId="2" borderId="17" xfId="0" applyNumberFormat="1" applyFont="1" applyFill="1" applyBorder="1" applyAlignment="1">
      <alignment horizontal="center" vertical="center"/>
    </xf>
    <xf numFmtId="0" fontId="5" fillId="2" borderId="0" xfId="0" quotePrefix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5" fillId="2" borderId="0" xfId="1" quotePrefix="1" applyNumberFormat="1" applyFon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17" fontId="1" fillId="2" borderId="51" xfId="0" applyNumberFormat="1" applyFont="1" applyFill="1" applyBorder="1" applyAlignment="1">
      <alignment horizontal="center" vertical="center"/>
    </xf>
    <xf numFmtId="9" fontId="0" fillId="2" borderId="17" xfId="0" applyNumberFormat="1" applyFill="1" applyBorder="1" applyAlignment="1">
      <alignment horizontal="center" vertical="center"/>
    </xf>
    <xf numFmtId="9" fontId="5" fillId="2" borderId="32" xfId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17" fontId="1" fillId="2" borderId="52" xfId="0" applyNumberFormat="1" applyFont="1" applyFill="1" applyBorder="1" applyAlignment="1">
      <alignment horizontal="center" vertical="center"/>
    </xf>
    <xf numFmtId="3" fontId="0" fillId="0" borderId="54" xfId="0" applyNumberFormat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9" fontId="5" fillId="2" borderId="17" xfId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9" fontId="5" fillId="2" borderId="40" xfId="1" applyFont="1" applyFill="1" applyBorder="1" applyAlignment="1">
      <alignment horizontal="center" vertical="center"/>
    </xf>
    <xf numFmtId="9" fontId="5" fillId="0" borderId="40" xfId="1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9" fontId="5" fillId="2" borderId="19" xfId="1" applyFont="1" applyFill="1" applyBorder="1" applyAlignment="1">
      <alignment horizontal="center" vertical="center"/>
    </xf>
    <xf numFmtId="9" fontId="0" fillId="2" borderId="57" xfId="1" applyFont="1" applyFill="1" applyBorder="1" applyAlignment="1">
      <alignment horizontal="center" vertical="center"/>
    </xf>
    <xf numFmtId="9" fontId="0" fillId="2" borderId="58" xfId="1" applyFont="1" applyFill="1" applyBorder="1" applyAlignment="1">
      <alignment horizontal="center" vertical="center"/>
    </xf>
    <xf numFmtId="165" fontId="5" fillId="0" borderId="35" xfId="1" applyNumberFormat="1" applyFont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5" fontId="5" fillId="0" borderId="35" xfId="1" applyNumberFormat="1" applyFont="1" applyFill="1" applyBorder="1" applyAlignment="1">
      <alignment horizontal="center" vertical="center"/>
    </xf>
    <xf numFmtId="165" fontId="5" fillId="2" borderId="32" xfId="1" applyNumberFormat="1" applyFont="1" applyFill="1" applyBorder="1" applyAlignment="1">
      <alignment horizontal="center" vertical="center"/>
    </xf>
    <xf numFmtId="9" fontId="0" fillId="2" borderId="40" xfId="0" applyNumberFormat="1" applyFill="1" applyBorder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5" fontId="5" fillId="2" borderId="12" xfId="0" applyNumberFormat="1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65" fontId="6" fillId="2" borderId="23" xfId="0" applyNumberFormat="1" applyFont="1" applyFill="1" applyBorder="1" applyAlignment="1">
      <alignment horizontal="center" vertical="center"/>
    </xf>
    <xf numFmtId="165" fontId="6" fillId="2" borderId="34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9" fontId="5" fillId="2" borderId="0" xfId="1" applyFont="1" applyFill="1" applyBorder="1" applyAlignment="1">
      <alignment horizontal="center" vertical="center"/>
    </xf>
    <xf numFmtId="9" fontId="5" fillId="2" borderId="5" xfId="1" applyFont="1" applyFill="1" applyBorder="1" applyAlignment="1">
      <alignment horizontal="center" vertical="center"/>
    </xf>
    <xf numFmtId="169" fontId="5" fillId="2" borderId="0" xfId="0" applyNumberFormat="1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9" fontId="5" fillId="2" borderId="7" xfId="1" applyFont="1" applyFill="1" applyBorder="1" applyAlignment="1">
      <alignment horizontal="center" vertical="center"/>
    </xf>
    <xf numFmtId="9" fontId="5" fillId="2" borderId="8" xfId="1" applyFont="1" applyFill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9" fontId="0" fillId="2" borderId="41" xfId="0" applyNumberFormat="1" applyFill="1" applyBorder="1" applyAlignment="1">
      <alignment horizontal="center" vertical="center"/>
    </xf>
    <xf numFmtId="3" fontId="5" fillId="2" borderId="35" xfId="0" applyNumberFormat="1" applyFont="1" applyFill="1" applyBorder="1" applyAlignment="1">
      <alignment horizontal="center" vertical="center"/>
    </xf>
    <xf numFmtId="165" fontId="3" fillId="2" borderId="0" xfId="1" quotePrefix="1" applyNumberFormat="1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65" fontId="0" fillId="2" borderId="32" xfId="1" applyNumberFormat="1" applyFont="1" applyFill="1" applyBorder="1" applyAlignment="1">
      <alignment horizontal="center" vertical="center"/>
    </xf>
    <xf numFmtId="165" fontId="0" fillId="2" borderId="33" xfId="1" applyNumberFormat="1" applyFont="1" applyFill="1" applyBorder="1" applyAlignment="1">
      <alignment horizontal="center" vertical="center"/>
    </xf>
    <xf numFmtId="3" fontId="5" fillId="0" borderId="41" xfId="0" applyNumberFormat="1" applyFont="1" applyBorder="1" applyAlignment="1">
      <alignment horizontal="center" vertical="center"/>
    </xf>
    <xf numFmtId="9" fontId="5" fillId="2" borderId="57" xfId="1" applyFont="1" applyFill="1" applyBorder="1" applyAlignment="1">
      <alignment horizontal="center" vertical="center"/>
    </xf>
    <xf numFmtId="9" fontId="5" fillId="2" borderId="58" xfId="1" applyFont="1" applyFill="1" applyBorder="1" applyAlignment="1">
      <alignment horizontal="center" vertical="center"/>
    </xf>
    <xf numFmtId="9" fontId="5" fillId="0" borderId="32" xfId="1" applyFont="1" applyFill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 vertical="center"/>
    </xf>
    <xf numFmtId="17" fontId="1" fillId="2" borderId="45" xfId="0" applyNumberFormat="1" applyFont="1" applyFill="1" applyBorder="1" applyAlignment="1">
      <alignment horizontal="center" vertical="center"/>
    </xf>
    <xf numFmtId="17" fontId="1" fillId="2" borderId="4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65" fontId="5" fillId="2" borderId="19" xfId="1" applyNumberFormat="1" applyFont="1" applyFill="1" applyBorder="1" applyAlignment="1">
      <alignment horizontal="center" vertical="center"/>
    </xf>
    <xf numFmtId="165" fontId="5" fillId="2" borderId="30" xfId="1" applyNumberFormat="1" applyFont="1" applyFill="1" applyBorder="1" applyAlignment="1">
      <alignment horizontal="center" vertical="center"/>
    </xf>
    <xf numFmtId="3" fontId="0" fillId="0" borderId="57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9" fontId="0" fillId="2" borderId="35" xfId="0" applyNumberFormat="1" applyFill="1" applyBorder="1" applyAlignment="1">
      <alignment horizontal="center" vertical="center"/>
    </xf>
    <xf numFmtId="9" fontId="5" fillId="2" borderId="27" xfId="1" applyFont="1" applyFill="1" applyBorder="1" applyAlignment="1">
      <alignment horizontal="center" vertical="center"/>
    </xf>
    <xf numFmtId="9" fontId="0" fillId="2" borderId="29" xfId="0" applyNumberFormat="1" applyFill="1" applyBorder="1" applyAlignment="1">
      <alignment horizontal="center" vertical="center"/>
    </xf>
    <xf numFmtId="3" fontId="0" fillId="0" borderId="58" xfId="0" applyNumberFormat="1" applyBorder="1" applyAlignment="1">
      <alignment horizontal="center" vertical="center"/>
    </xf>
    <xf numFmtId="165" fontId="5" fillId="0" borderId="17" xfId="1" applyNumberFormat="1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3" fontId="5" fillId="2" borderId="18" xfId="0" applyNumberFormat="1" applyFont="1" applyFill="1" applyBorder="1" applyAlignment="1">
      <alignment horizontal="center" vertical="center"/>
    </xf>
    <xf numFmtId="3" fontId="0" fillId="2" borderId="60" xfId="0" applyNumberFormat="1" applyFill="1" applyBorder="1" applyAlignment="1">
      <alignment horizontal="center" vertical="center"/>
    </xf>
    <xf numFmtId="165" fontId="5" fillId="0" borderId="19" xfId="1" applyNumberFormat="1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165" fontId="5" fillId="0" borderId="32" xfId="1" applyNumberFormat="1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3" fontId="5" fillId="0" borderId="40" xfId="0" applyNumberFormat="1" applyFont="1" applyBorder="1" applyAlignment="1">
      <alignment horizontal="center" vertical="center"/>
    </xf>
    <xf numFmtId="3" fontId="5" fillId="2" borderId="61" xfId="0" applyNumberFormat="1" applyFont="1" applyFill="1" applyBorder="1" applyAlignment="1">
      <alignment horizontal="center" vertical="center"/>
    </xf>
    <xf numFmtId="9" fontId="0" fillId="2" borderId="62" xfId="1" applyFont="1" applyFill="1" applyBorder="1" applyAlignment="1">
      <alignment horizontal="center" vertical="center"/>
    </xf>
    <xf numFmtId="9" fontId="0" fillId="2" borderId="27" xfId="1" applyFont="1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9" fontId="5" fillId="0" borderId="56" xfId="1" applyFont="1" applyFill="1" applyBorder="1" applyAlignment="1">
      <alignment horizontal="center" vertical="center"/>
    </xf>
    <xf numFmtId="165" fontId="5" fillId="0" borderId="30" xfId="1" applyNumberFormat="1" applyFont="1" applyFill="1" applyBorder="1" applyAlignment="1">
      <alignment horizontal="center" vertical="center"/>
    </xf>
    <xf numFmtId="3" fontId="0" fillId="2" borderId="20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166" fontId="0" fillId="2" borderId="17" xfId="0" applyNumberFormat="1" applyFill="1" applyBorder="1" applyAlignment="1">
      <alignment horizontal="center"/>
    </xf>
    <xf numFmtId="170" fontId="0" fillId="2" borderId="0" xfId="0" applyNumberFormat="1" applyFill="1" applyAlignment="1">
      <alignment horizontal="center" vertical="center"/>
    </xf>
    <xf numFmtId="4" fontId="0" fillId="2" borderId="7" xfId="0" applyNumberFormat="1" applyFill="1" applyBorder="1" applyAlignment="1">
      <alignment horizontal="center" vertical="center"/>
    </xf>
    <xf numFmtId="0" fontId="0" fillId="2" borderId="58" xfId="0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7" fontId="0" fillId="2" borderId="0" xfId="0" applyNumberFormat="1" applyFill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9" fontId="0" fillId="2" borderId="17" xfId="1" applyFont="1" applyFill="1" applyBorder="1" applyAlignment="1">
      <alignment horizontal="center"/>
    </xf>
    <xf numFmtId="3" fontId="5" fillId="0" borderId="54" xfId="0" applyNumberFormat="1" applyFont="1" applyBorder="1" applyAlignment="1">
      <alignment horizontal="center" vertical="center"/>
    </xf>
    <xf numFmtId="9" fontId="0" fillId="2" borderId="54" xfId="0" applyNumberFormat="1" applyFill="1" applyBorder="1" applyAlignment="1">
      <alignment horizontal="center" vertical="center"/>
    </xf>
    <xf numFmtId="9" fontId="5" fillId="0" borderId="54" xfId="1" applyFont="1" applyFill="1" applyBorder="1" applyAlignment="1">
      <alignment horizontal="center" vertical="center"/>
    </xf>
    <xf numFmtId="165" fontId="0" fillId="0" borderId="35" xfId="0" applyNumberFormat="1" applyBorder="1" applyAlignment="1">
      <alignment horizontal="center"/>
    </xf>
    <xf numFmtId="171" fontId="0" fillId="2" borderId="0" xfId="0" applyNumberFormat="1" applyFill="1" applyAlignment="1">
      <alignment horizontal="center" vertical="center"/>
    </xf>
    <xf numFmtId="2" fontId="0" fillId="2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3" fontId="5" fillId="0" borderId="35" xfId="0" applyNumberFormat="1" applyFont="1" applyFill="1" applyBorder="1" applyAlignment="1">
      <alignment horizontal="center" vertical="center"/>
    </xf>
  </cellXfs>
  <cellStyles count="4">
    <cellStyle name="Comma" xfId="3" builtinId="3"/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65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Subscriptions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7275917339505"/>
          <c:y val="4.4989100584448535E-2"/>
          <c:w val="0.8702231113757869"/>
          <c:h val="0.83244207816429838"/>
        </c:manualLayout>
      </c:layout>
      <c:lineChart>
        <c:grouping val="standard"/>
        <c:varyColors val="0"/>
        <c:ser>
          <c:idx val="0"/>
          <c:order val="0"/>
          <c:tx>
            <c:strRef>
              <c:f>MOM!$C$5</c:f>
              <c:strCache>
                <c:ptCount val="1"/>
                <c:pt idx="0">
                  <c:v>Signups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MOM!$B$43:$B$55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MOM!$C$43:$C$55</c:f>
              <c:numCache>
                <c:formatCode>#,##0</c:formatCode>
                <c:ptCount val="13"/>
                <c:pt idx="0">
                  <c:v>11109</c:v>
                </c:pt>
                <c:pt idx="1">
                  <c:v>10716</c:v>
                </c:pt>
                <c:pt idx="2">
                  <c:v>17953</c:v>
                </c:pt>
                <c:pt idx="3">
                  <c:v>26888</c:v>
                </c:pt>
                <c:pt idx="4">
                  <c:v>12064</c:v>
                </c:pt>
                <c:pt idx="5">
                  <c:v>12980</c:v>
                </c:pt>
                <c:pt idx="6">
                  <c:v>9419</c:v>
                </c:pt>
                <c:pt idx="7">
                  <c:v>14171</c:v>
                </c:pt>
                <c:pt idx="8">
                  <c:v>23000</c:v>
                </c:pt>
                <c:pt idx="9">
                  <c:v>18116</c:v>
                </c:pt>
                <c:pt idx="10">
                  <c:v>25276</c:v>
                </c:pt>
                <c:pt idx="11">
                  <c:v>16986</c:v>
                </c:pt>
                <c:pt idx="12">
                  <c:v>13727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6B-4388-AE0A-823F180377E7}"/>
            </c:ext>
          </c:extLst>
        </c:ser>
        <c:ser>
          <c:idx val="1"/>
          <c:order val="1"/>
          <c:tx>
            <c:strRef>
              <c:f>MOM!$D$5</c:f>
              <c:strCache>
                <c:ptCount val="1"/>
                <c:pt idx="0">
                  <c:v>Cancellations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MOM!$B$43:$B$55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MOM!$D$43:$D$55</c:f>
              <c:numCache>
                <c:formatCode>#,##0</c:formatCode>
                <c:ptCount val="13"/>
                <c:pt idx="0">
                  <c:v>12843</c:v>
                </c:pt>
                <c:pt idx="1">
                  <c:v>10572</c:v>
                </c:pt>
                <c:pt idx="2">
                  <c:v>11066</c:v>
                </c:pt>
                <c:pt idx="3">
                  <c:v>17410</c:v>
                </c:pt>
                <c:pt idx="4">
                  <c:v>14970</c:v>
                </c:pt>
                <c:pt idx="5">
                  <c:v>10706</c:v>
                </c:pt>
                <c:pt idx="6">
                  <c:v>11983</c:v>
                </c:pt>
                <c:pt idx="7">
                  <c:v>10343</c:v>
                </c:pt>
                <c:pt idx="8">
                  <c:v>11685</c:v>
                </c:pt>
                <c:pt idx="9">
                  <c:v>12361</c:v>
                </c:pt>
                <c:pt idx="10">
                  <c:v>12091</c:v>
                </c:pt>
                <c:pt idx="11">
                  <c:v>15322</c:v>
                </c:pt>
                <c:pt idx="12">
                  <c:v>14127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6B-4388-AE0A-823F18037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9384879"/>
        <c:axId val="1189386543"/>
      </c:lineChart>
      <c:catAx>
        <c:axId val="118938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6543"/>
        <c:crosses val="autoZero"/>
        <c:auto val="1"/>
        <c:lblAlgn val="ctr"/>
        <c:lblOffset val="100"/>
        <c:noMultiLvlLbl val="0"/>
      </c:catAx>
      <c:valAx>
        <c:axId val="118938654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38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Ticket</a:t>
            </a:r>
            <a:r>
              <a:rPr lang="en-US" u="sng" baseline="0"/>
              <a:t> Types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MOM!$C$129</c:f>
              <c:strCache>
                <c:ptCount val="1"/>
                <c:pt idx="0">
                  <c:v>Regular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MOM!$B$167:$B$179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MOM!$C$167:$C$179</c:f>
              <c:numCache>
                <c:formatCode>0%</c:formatCode>
                <c:ptCount val="13"/>
                <c:pt idx="0">
                  <c:v>0.64091472581963971</c:v>
                </c:pt>
                <c:pt idx="1">
                  <c:v>0.61216481643318821</c:v>
                </c:pt>
                <c:pt idx="2">
                  <c:v>0.60214151534126492</c:v>
                </c:pt>
                <c:pt idx="3">
                  <c:v>0.68600083945217971</c:v>
                </c:pt>
                <c:pt idx="4">
                  <c:v>0.75061641858739125</c:v>
                </c:pt>
                <c:pt idx="5">
                  <c:v>0.64051174670378974</c:v>
                </c:pt>
                <c:pt idx="6">
                  <c:v>0.67911818230809728</c:v>
                </c:pt>
                <c:pt idx="7">
                  <c:v>0.61205519465701119</c:v>
                </c:pt>
                <c:pt idx="8">
                  <c:v>0.55462367883306385</c:v>
                </c:pt>
                <c:pt idx="9">
                  <c:v>0.61903766627353207</c:v>
                </c:pt>
                <c:pt idx="10">
                  <c:v>0.49165365610712869</c:v>
                </c:pt>
                <c:pt idx="11">
                  <c:v>0.67177629807592731</c:v>
                </c:pt>
                <c:pt idx="12">
                  <c:v>0.63271093583241012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C1-4BEC-BA92-5F6AA19D4D4E}"/>
            </c:ext>
          </c:extLst>
        </c:ser>
        <c:ser>
          <c:idx val="1"/>
          <c:order val="1"/>
          <c:tx>
            <c:strRef>
              <c:f>MOM!$D$129</c:f>
              <c:strCache>
                <c:ptCount val="1"/>
                <c:pt idx="0">
                  <c:v>Upgraded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MOM!$B$167:$B$179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MOM!$D$167:$D$179</c:f>
              <c:numCache>
                <c:formatCode>0%</c:formatCode>
                <c:ptCount val="13"/>
                <c:pt idx="0">
                  <c:v>0.35908527418036029</c:v>
                </c:pt>
                <c:pt idx="1">
                  <c:v>0.38783518356681174</c:v>
                </c:pt>
                <c:pt idx="2">
                  <c:v>0.39785848465873513</c:v>
                </c:pt>
                <c:pt idx="3">
                  <c:v>0.31399916054782029</c:v>
                </c:pt>
                <c:pt idx="4">
                  <c:v>0.24938358141260875</c:v>
                </c:pt>
                <c:pt idx="5">
                  <c:v>0.3594882532962102</c:v>
                </c:pt>
                <c:pt idx="6">
                  <c:v>0.32088181769190272</c:v>
                </c:pt>
                <c:pt idx="7">
                  <c:v>0.38794480534298886</c:v>
                </c:pt>
                <c:pt idx="8">
                  <c:v>0.44537632116693621</c:v>
                </c:pt>
                <c:pt idx="9">
                  <c:v>0.38096233372646793</c:v>
                </c:pt>
                <c:pt idx="10">
                  <c:v>0.50834634389287137</c:v>
                </c:pt>
                <c:pt idx="11">
                  <c:v>0.32822370192407263</c:v>
                </c:pt>
                <c:pt idx="12">
                  <c:v>0.36728906416758994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C1-4BEC-BA92-5F6AA19D4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148607"/>
        <c:axId val="1020141951"/>
      </c:lineChart>
      <c:catAx>
        <c:axId val="1020148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1951"/>
        <c:crosses val="autoZero"/>
        <c:auto val="1"/>
        <c:lblAlgn val="ctr"/>
        <c:lblOffset val="100"/>
        <c:noMultiLvlLbl val="0"/>
      </c:catAx>
      <c:valAx>
        <c:axId val="10201419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8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Members with 1+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MOM!$D$249</c:f>
              <c:strCache>
                <c:ptCount val="1"/>
                <c:pt idx="0">
                  <c:v>% of 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MOM!$B$287:$B$299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MOM!$D$287:$D$299</c:f>
              <c:numCache>
                <c:formatCode>0%</c:formatCode>
                <c:ptCount val="13"/>
                <c:pt idx="0">
                  <c:v>0.51294794663876542</c:v>
                </c:pt>
                <c:pt idx="1">
                  <c:v>0.51476998729080303</c:v>
                </c:pt>
                <c:pt idx="2">
                  <c:v>0.61449931878150998</c:v>
                </c:pt>
                <c:pt idx="3">
                  <c:v>0.6643670024503131</c:v>
                </c:pt>
                <c:pt idx="4">
                  <c:v>0.51902389123548043</c:v>
                </c:pt>
                <c:pt idx="5">
                  <c:v>0.54520327763810228</c:v>
                </c:pt>
                <c:pt idx="6">
                  <c:v>0.50955852393485224</c:v>
                </c:pt>
                <c:pt idx="7">
                  <c:v>0.61216795663547374</c:v>
                </c:pt>
                <c:pt idx="8">
                  <c:v>0.70220766680120783</c:v>
                </c:pt>
                <c:pt idx="9">
                  <c:v>0.64982692810973897</c:v>
                </c:pt>
                <c:pt idx="10">
                  <c:v>0.75254114567378649</c:v>
                </c:pt>
                <c:pt idx="11">
                  <c:v>0.64310301981610507</c:v>
                </c:pt>
                <c:pt idx="12">
                  <c:v>0.53511792007153092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B8-4FB3-8EF9-0961F1325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1000431"/>
        <c:axId val="1031011663"/>
      </c:lineChart>
      <c:catAx>
        <c:axId val="103100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11663"/>
        <c:crosses val="autoZero"/>
        <c:auto val="1"/>
        <c:lblAlgn val="ctr"/>
        <c:lblOffset val="100"/>
        <c:noMultiLvlLbl val="0"/>
      </c:catAx>
      <c:valAx>
        <c:axId val="103101166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00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Total</a:t>
            </a:r>
            <a:r>
              <a:rPr lang="en-US" u="sng" baseline="0"/>
              <a:t> Tickets &amp; Visits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07482856691844"/>
          <c:y val="3.9850156179005135E-2"/>
          <c:w val="0.86188824971142886"/>
          <c:h val="0.83933522164836594"/>
        </c:manualLayout>
      </c:layout>
      <c:lineChart>
        <c:grouping val="standard"/>
        <c:varyColors val="0"/>
        <c:ser>
          <c:idx val="0"/>
          <c:order val="0"/>
          <c:tx>
            <c:strRef>
              <c:f>MOM!$C$308</c:f>
              <c:strCache>
                <c:ptCount val="1"/>
                <c:pt idx="0">
                  <c:v>Tickets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MOM!$B$346:$B$358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MOM!$C$346:$C$358</c:f>
              <c:numCache>
                <c:formatCode>#,##0</c:formatCode>
                <c:ptCount val="13"/>
                <c:pt idx="0">
                  <c:v>227478</c:v>
                </c:pt>
                <c:pt idx="1">
                  <c:v>231254</c:v>
                </c:pt>
                <c:pt idx="2">
                  <c:v>319419</c:v>
                </c:pt>
                <c:pt idx="3">
                  <c:v>385851</c:v>
                </c:pt>
                <c:pt idx="4">
                  <c:v>242570</c:v>
                </c:pt>
                <c:pt idx="5">
                  <c:v>260825</c:v>
                </c:pt>
                <c:pt idx="6">
                  <c:v>241066</c:v>
                </c:pt>
                <c:pt idx="7">
                  <c:v>328805</c:v>
                </c:pt>
                <c:pt idx="8">
                  <c:v>431653</c:v>
                </c:pt>
                <c:pt idx="9">
                  <c:v>401742</c:v>
                </c:pt>
                <c:pt idx="10">
                  <c:v>538119</c:v>
                </c:pt>
                <c:pt idx="11">
                  <c:v>384538</c:v>
                </c:pt>
                <c:pt idx="12">
                  <c:v>295641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7-4F2F-ABBF-3BC97760FE59}"/>
            </c:ext>
          </c:extLst>
        </c:ser>
        <c:ser>
          <c:idx val="1"/>
          <c:order val="1"/>
          <c:tx>
            <c:strRef>
              <c:f>MOM!$D$308</c:f>
              <c:strCache>
                <c:ptCount val="1"/>
                <c:pt idx="0">
                  <c:v>Visits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MOM!$B$346:$B$358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MOM!$D$346:$D$358</c:f>
              <c:numCache>
                <c:formatCode>#,##0</c:formatCode>
                <c:ptCount val="13"/>
                <c:pt idx="0">
                  <c:v>132325</c:v>
                </c:pt>
                <c:pt idx="1">
                  <c:v>136391</c:v>
                </c:pt>
                <c:pt idx="2">
                  <c:v>171983</c:v>
                </c:pt>
                <c:pt idx="3">
                  <c:v>192682</c:v>
                </c:pt>
                <c:pt idx="4">
                  <c:v>145563</c:v>
                </c:pt>
                <c:pt idx="5">
                  <c:v>148214</c:v>
                </c:pt>
                <c:pt idx="6">
                  <c:v>140932</c:v>
                </c:pt>
                <c:pt idx="7">
                  <c:v>181641</c:v>
                </c:pt>
                <c:pt idx="8">
                  <c:v>232636</c:v>
                </c:pt>
                <c:pt idx="9">
                  <c:v>218947</c:v>
                </c:pt>
                <c:pt idx="10">
                  <c:v>299715</c:v>
                </c:pt>
                <c:pt idx="11">
                  <c:v>231127</c:v>
                </c:pt>
                <c:pt idx="12">
                  <c:v>186092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7-4F2F-ABBF-3BC97760F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063391"/>
        <c:axId val="1188067967"/>
      </c:lineChart>
      <c:catAx>
        <c:axId val="118806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7967"/>
        <c:crosses val="autoZero"/>
        <c:auto val="1"/>
        <c:lblAlgn val="ctr"/>
        <c:lblOffset val="100"/>
        <c:noMultiLvlLbl val="0"/>
      </c:catAx>
      <c:valAx>
        <c:axId val="118806796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Tickets</a:t>
            </a:r>
            <a:r>
              <a:rPr lang="en-US" u="sng" baseline="0"/>
              <a:t> &amp; Visits Metrics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MOM!$C$367</c:f>
              <c:strCache>
                <c:ptCount val="1"/>
                <c:pt idx="0">
                  <c:v>Tickets / Member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MOM!$C$405:$C$417</c:f>
              <c:numCache>
                <c:formatCode>0.0</c:formatCode>
                <c:ptCount val="13"/>
                <c:pt idx="0">
                  <c:v>2.6363868156320986</c:v>
                </c:pt>
                <c:pt idx="1">
                  <c:v>2.6679664966888947</c:v>
                </c:pt>
                <c:pt idx="2">
                  <c:v>2.9881845566636107</c:v>
                </c:pt>
                <c:pt idx="3">
                  <c:v>3.16242797780528</c:v>
                </c:pt>
                <c:pt idx="4">
                  <c:v>2.5703870892541141</c:v>
                </c:pt>
                <c:pt idx="5">
                  <c:v>2.5977809428005139</c:v>
                </c:pt>
                <c:pt idx="6">
                  <c:v>2.6048516937705979</c:v>
                </c:pt>
                <c:pt idx="7">
                  <c:v>2.8969858765275465</c:v>
                </c:pt>
                <c:pt idx="8">
                  <c:v>3.1406421664568795</c:v>
                </c:pt>
                <c:pt idx="9">
                  <c:v>3.0527275628604644</c:v>
                </c:pt>
                <c:pt idx="10">
                  <c:v>3.3188950153572883</c:v>
                </c:pt>
                <c:pt idx="11">
                  <c:v>2.7517120469426457</c:v>
                </c:pt>
                <c:pt idx="12">
                  <c:v>2.5463463791083858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AF-429D-8871-1E6BE2DD23B1}"/>
            </c:ext>
          </c:extLst>
        </c:ser>
        <c:ser>
          <c:idx val="1"/>
          <c:order val="1"/>
          <c:tx>
            <c:strRef>
              <c:f>MOM!$D$367</c:f>
              <c:strCache>
                <c:ptCount val="1"/>
                <c:pt idx="0">
                  <c:v>Visits / Member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MOM!$D$405:$D$417</c:f>
              <c:numCache>
                <c:formatCode>0.0</c:formatCode>
                <c:ptCount val="13"/>
                <c:pt idx="0">
                  <c:v>1.5335983496360854</c:v>
                </c:pt>
                <c:pt idx="1">
                  <c:v>1.5735365375297077</c:v>
                </c:pt>
                <c:pt idx="2">
                  <c:v>1.6089116320841208</c:v>
                </c:pt>
                <c:pt idx="3">
                  <c:v>1.5792182672054158</c:v>
                </c:pt>
                <c:pt idx="4">
                  <c:v>1.5424547795403249</c:v>
                </c:pt>
                <c:pt idx="5">
                  <c:v>1.4761909504696076</c:v>
                </c:pt>
                <c:pt idx="6">
                  <c:v>1.5228483440488412</c:v>
                </c:pt>
                <c:pt idx="7">
                  <c:v>1.6003753337033806</c:v>
                </c:pt>
                <c:pt idx="8">
                  <c:v>1.6926244715914465</c:v>
                </c:pt>
                <c:pt idx="9">
                  <c:v>1.6637183608027295</c:v>
                </c:pt>
                <c:pt idx="10">
                  <c:v>1.8485179291714466</c:v>
                </c:pt>
                <c:pt idx="11">
                  <c:v>1.6539196393430893</c:v>
                </c:pt>
                <c:pt idx="12">
                  <c:v>1.6028043822779576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AF-429D-8871-1E6BE2DD23B1}"/>
            </c:ext>
          </c:extLst>
        </c:ser>
        <c:ser>
          <c:idx val="2"/>
          <c:order val="2"/>
          <c:tx>
            <c:strRef>
              <c:f>MOM!$E$367</c:f>
              <c:strCache>
                <c:ptCount val="1"/>
                <c:pt idx="0">
                  <c:v>Tickets / Visit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MOM!$B$405:$B$417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MOM!$E$405:$E$417</c:f>
              <c:numCache>
                <c:formatCode>0.0</c:formatCode>
                <c:ptCount val="13"/>
                <c:pt idx="0">
                  <c:v>1.719085584734555</c:v>
                </c:pt>
                <c:pt idx="1">
                  <c:v>1.6955224318320123</c:v>
                </c:pt>
                <c:pt idx="2">
                  <c:v>1.8572707767628196</c:v>
                </c:pt>
                <c:pt idx="3">
                  <c:v>2.0025274805119317</c:v>
                </c:pt>
                <c:pt idx="4">
                  <c:v>1.6664262209490048</c:v>
                </c:pt>
                <c:pt idx="5">
                  <c:v>1.7597865248896865</c:v>
                </c:pt>
                <c:pt idx="6">
                  <c:v>1.7105128714557376</c:v>
                </c:pt>
                <c:pt idx="7">
                  <c:v>1.8101915316475905</c:v>
                </c:pt>
                <c:pt idx="8">
                  <c:v>1.8554866830585119</c:v>
                </c:pt>
                <c:pt idx="9">
                  <c:v>1.8348824144656013</c:v>
                </c:pt>
                <c:pt idx="10">
                  <c:v>1.7954356638806868</c:v>
                </c:pt>
                <c:pt idx="11">
                  <c:v>1.6637519632063758</c:v>
                </c:pt>
                <c:pt idx="12">
                  <c:v>1.5886819422651162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AF-429D-8871-1E6BE2DD2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8066719"/>
        <c:axId val="1188070047"/>
      </c:lineChart>
      <c:catAx>
        <c:axId val="118806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70047"/>
        <c:crosses val="autoZero"/>
        <c:auto val="1"/>
        <c:lblAlgn val="ctr"/>
        <c:lblOffset val="100"/>
        <c:noMultiLvlLbl val="0"/>
      </c:catAx>
      <c:valAx>
        <c:axId val="1188070047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06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First Time &amp; Returning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453483377421499E-2"/>
          <c:y val="4.1693739400116663E-2"/>
          <c:w val="0.89339579708302841"/>
          <c:h val="0.75823754948342115"/>
        </c:manualLayout>
      </c:layout>
      <c:lineChart>
        <c:grouping val="standard"/>
        <c:varyColors val="0"/>
        <c:ser>
          <c:idx val="1"/>
          <c:order val="1"/>
          <c:tx>
            <c:strRef>
              <c:f>MOM!$E$69</c:f>
              <c:strCache>
                <c:ptCount val="1"/>
                <c:pt idx="0">
                  <c:v>% First 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MOM!$B$70:$B$116</c15:sqref>
                  </c15:fullRef>
                </c:ext>
              </c:extLst>
              <c:f>MOM!$B$86:$B$116</c:f>
              <c:strCache>
                <c:ptCount val="3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MOM!$E$70:$E$116</c15:sqref>
                  </c15:fullRef>
                </c:ext>
              </c:extLst>
              <c:f>MOM!$E$86:$E$116</c:f>
              <c:numCache>
                <c:formatCode>0%</c:formatCode>
                <c:ptCount val="31"/>
                <c:pt idx="0">
                  <c:v>0.70853932584269663</c:v>
                </c:pt>
                <c:pt idx="1">
                  <c:v>0.68184326710816778</c:v>
                </c:pt>
                <c:pt idx="2">
                  <c:v>0.66</c:v>
                </c:pt>
                <c:pt idx="3">
                  <c:v>0.7</c:v>
                </c:pt>
                <c:pt idx="4">
                  <c:v>0.66</c:v>
                </c:pt>
                <c:pt idx="5">
                  <c:v>0.67</c:v>
                </c:pt>
                <c:pt idx="6">
                  <c:v>0.7</c:v>
                </c:pt>
                <c:pt idx="7">
                  <c:v>0.69</c:v>
                </c:pt>
                <c:pt idx="8">
                  <c:v>0.61</c:v>
                </c:pt>
                <c:pt idx="9">
                  <c:v>0.59</c:v>
                </c:pt>
                <c:pt idx="10">
                  <c:v>0.56000000000000005</c:v>
                </c:pt>
                <c:pt idx="11">
                  <c:v>0.54</c:v>
                </c:pt>
                <c:pt idx="12">
                  <c:v>0.6</c:v>
                </c:pt>
                <c:pt idx="13">
                  <c:v>0.53</c:v>
                </c:pt>
                <c:pt idx="14">
                  <c:v>0.55000000000000004</c:v>
                </c:pt>
                <c:pt idx="15">
                  <c:v>0.51</c:v>
                </c:pt>
                <c:pt idx="16">
                  <c:v>0.49</c:v>
                </c:pt>
                <c:pt idx="17">
                  <c:v>0.51</c:v>
                </c:pt>
                <c:pt idx="18">
                  <c:v>0.55000000000000004</c:v>
                </c:pt>
                <c:pt idx="19">
                  <c:v>0.57999999999999996</c:v>
                </c:pt>
                <c:pt idx="20">
                  <c:v>0.54</c:v>
                </c:pt>
                <c:pt idx="21">
                  <c:v>0.49690000000000001</c:v>
                </c:pt>
                <c:pt idx="22">
                  <c:v>0.49170000000000003</c:v>
                </c:pt>
                <c:pt idx="23">
                  <c:v>0.48409999999999997</c:v>
                </c:pt>
                <c:pt idx="24">
                  <c:v>0.49280000000000002</c:v>
                </c:pt>
                <c:pt idx="25">
                  <c:v>0.48870000000000002</c:v>
                </c:pt>
                <c:pt idx="26">
                  <c:v>0.41549999999999998</c:v>
                </c:pt>
                <c:pt idx="27">
                  <c:v>0.44069999999999998</c:v>
                </c:pt>
                <c:pt idx="28">
                  <c:v>0.46350000000000002</c:v>
                </c:pt>
                <c:pt idx="29">
                  <c:v>0.50209999999999999</c:v>
                </c:pt>
                <c:pt idx="30">
                  <c:v>0.53569999999999995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89-49F8-AE0F-49EE2C59D8EF}"/>
            </c:ext>
          </c:extLst>
        </c:ser>
        <c:ser>
          <c:idx val="2"/>
          <c:order val="2"/>
          <c:tx>
            <c:strRef>
              <c:f>MOM!$F$69</c:f>
              <c:strCache>
                <c:ptCount val="1"/>
                <c:pt idx="0">
                  <c:v>% Returning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MOM!$B$70:$B$116</c15:sqref>
                  </c15:fullRef>
                </c:ext>
              </c:extLst>
              <c:f>MOM!$B$86:$B$116</c:f>
              <c:strCache>
                <c:ptCount val="3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  <c:pt idx="24">
                  <c:v>JAN</c:v>
                </c:pt>
                <c:pt idx="25">
                  <c:v>FEB</c:v>
                </c:pt>
                <c:pt idx="26">
                  <c:v>MAR</c:v>
                </c:pt>
                <c:pt idx="27">
                  <c:v>APR</c:v>
                </c:pt>
                <c:pt idx="28">
                  <c:v>MAY</c:v>
                </c:pt>
                <c:pt idx="29">
                  <c:v>JUN</c:v>
                </c:pt>
                <c:pt idx="30">
                  <c:v>JUL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MOM!$F$70:$F$116</c15:sqref>
                  </c15:fullRef>
                </c:ext>
              </c:extLst>
              <c:f>MOM!$F$86:$F$116</c:f>
              <c:numCache>
                <c:formatCode>0%</c:formatCode>
                <c:ptCount val="31"/>
                <c:pt idx="0">
                  <c:v>0.29146067415730337</c:v>
                </c:pt>
                <c:pt idx="1">
                  <c:v>0.31815673289183222</c:v>
                </c:pt>
                <c:pt idx="2">
                  <c:v>0.34</c:v>
                </c:pt>
                <c:pt idx="3">
                  <c:v>0.3</c:v>
                </c:pt>
                <c:pt idx="4">
                  <c:v>0.34</c:v>
                </c:pt>
                <c:pt idx="5">
                  <c:v>0.33</c:v>
                </c:pt>
                <c:pt idx="6">
                  <c:v>0.3</c:v>
                </c:pt>
                <c:pt idx="7">
                  <c:v>0.31</c:v>
                </c:pt>
                <c:pt idx="8">
                  <c:v>0.39</c:v>
                </c:pt>
                <c:pt idx="9">
                  <c:v>0.41</c:v>
                </c:pt>
                <c:pt idx="10">
                  <c:v>0.44</c:v>
                </c:pt>
                <c:pt idx="11">
                  <c:v>0.46</c:v>
                </c:pt>
                <c:pt idx="12">
                  <c:v>0.4</c:v>
                </c:pt>
                <c:pt idx="13">
                  <c:v>0.47</c:v>
                </c:pt>
                <c:pt idx="14">
                  <c:v>0.45</c:v>
                </c:pt>
                <c:pt idx="15">
                  <c:v>0.49</c:v>
                </c:pt>
                <c:pt idx="16">
                  <c:v>0.51</c:v>
                </c:pt>
                <c:pt idx="17">
                  <c:v>0.49</c:v>
                </c:pt>
                <c:pt idx="18">
                  <c:v>0.45</c:v>
                </c:pt>
                <c:pt idx="19">
                  <c:v>0.42</c:v>
                </c:pt>
                <c:pt idx="20">
                  <c:v>0.46</c:v>
                </c:pt>
                <c:pt idx="21">
                  <c:v>0.50309999999999999</c:v>
                </c:pt>
                <c:pt idx="22">
                  <c:v>0.50829999999999997</c:v>
                </c:pt>
                <c:pt idx="23">
                  <c:v>0.51590000000000003</c:v>
                </c:pt>
                <c:pt idx="24">
                  <c:v>0.50719999999999998</c:v>
                </c:pt>
                <c:pt idx="25">
                  <c:v>0.51129999999999998</c:v>
                </c:pt>
                <c:pt idx="26">
                  <c:v>0.58450000000000002</c:v>
                </c:pt>
                <c:pt idx="27">
                  <c:v>0.55930000000000002</c:v>
                </c:pt>
                <c:pt idx="28">
                  <c:v>0.53649999999999998</c:v>
                </c:pt>
                <c:pt idx="29">
                  <c:v>0.49790000000000001</c:v>
                </c:pt>
                <c:pt idx="30">
                  <c:v>0.46429999999999999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89-49F8-AE0F-49EE2C59D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559856"/>
        <c:axId val="15835806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MOM!$C$69</c15:sqref>
                        </c15:formulaRef>
                      </c:ext>
                    </c:extLst>
                    <c:strCache>
                      <c:ptCount val="1"/>
                      <c:pt idx="0">
                        <c:v>Churn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MOM!$B$70:$B$116</c15:sqref>
                        </c15:fullRef>
                        <c15:formulaRef>
                          <c15:sqref>MOM!$B$86:$B$116</c15:sqref>
                        </c15:formulaRef>
                      </c:ext>
                    </c:extLst>
                    <c:strCache>
                      <c:ptCount val="31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JAN</c:v>
                      </c:pt>
                      <c:pt idx="13">
                        <c:v>FEB</c:v>
                      </c:pt>
                      <c:pt idx="14">
                        <c:v>MAR</c:v>
                      </c:pt>
                      <c:pt idx="15">
                        <c:v>APR</c:v>
                      </c:pt>
                      <c:pt idx="16">
                        <c:v>MAY</c:v>
                      </c:pt>
                      <c:pt idx="17">
                        <c:v>JUN</c:v>
                      </c:pt>
                      <c:pt idx="18">
                        <c:v>JUL</c:v>
                      </c:pt>
                      <c:pt idx="19">
                        <c:v>AUG</c:v>
                      </c:pt>
                      <c:pt idx="20">
                        <c:v>SEP</c:v>
                      </c:pt>
                      <c:pt idx="21">
                        <c:v>OCT</c:v>
                      </c:pt>
                      <c:pt idx="22">
                        <c:v>NOV</c:v>
                      </c:pt>
                      <c:pt idx="23">
                        <c:v>DEC</c:v>
                      </c:pt>
                      <c:pt idx="24">
                        <c:v>JAN</c:v>
                      </c:pt>
                      <c:pt idx="25">
                        <c:v>FEB</c:v>
                      </c:pt>
                      <c:pt idx="26">
                        <c:v>MAR</c:v>
                      </c:pt>
                      <c:pt idx="27">
                        <c:v>APR</c:v>
                      </c:pt>
                      <c:pt idx="28">
                        <c:v>MAY</c:v>
                      </c:pt>
                      <c:pt idx="29">
                        <c:v>JUN</c:v>
                      </c:pt>
                      <c:pt idx="30">
                        <c:v>JUL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MOM!$C$70:$C$116</c15:sqref>
                        </c15:fullRef>
                        <c15:formulaRef>
                          <c15:sqref>MOM!$C$86:$C$116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7.3675561908406392E-2</c:v>
                      </c:pt>
                      <c:pt idx="1">
                        <c:v>6.4179265658747306E-2</c:v>
                      </c:pt>
                      <c:pt idx="2">
                        <c:v>6.5945774870766957E-2</c:v>
                      </c:pt>
                      <c:pt idx="3">
                        <c:v>6.6167010435599485E-2</c:v>
                      </c:pt>
                      <c:pt idx="4">
                        <c:v>7.2518615690974814E-2</c:v>
                      </c:pt>
                      <c:pt idx="5">
                        <c:v>6.5564527862650948E-2</c:v>
                      </c:pt>
                      <c:pt idx="6">
                        <c:v>6.6944315903131268E-2</c:v>
                      </c:pt>
                      <c:pt idx="7">
                        <c:v>8.0617951913432018E-2</c:v>
                      </c:pt>
                      <c:pt idx="8">
                        <c:v>8.0539039072227994E-2</c:v>
                      </c:pt>
                      <c:pt idx="9">
                        <c:v>6.7420275524192635E-2</c:v>
                      </c:pt>
                      <c:pt idx="10">
                        <c:v>6.8348513541948472E-2</c:v>
                      </c:pt>
                      <c:pt idx="11">
                        <c:v>7.6516230490772066E-2</c:v>
                      </c:pt>
                      <c:pt idx="12">
                        <c:v>7.9571916959817662E-2</c:v>
                      </c:pt>
                      <c:pt idx="13">
                        <c:v>6.4290868956148911E-2</c:v>
                      </c:pt>
                      <c:pt idx="14">
                        <c:v>5.8946055857055812E-2</c:v>
                      </c:pt>
                      <c:pt idx="15">
                        <c:v>7.0554093271242485E-2</c:v>
                      </c:pt>
                      <c:pt idx="16">
                        <c:v>6.185785621451536E-2</c:v>
                      </c:pt>
                      <c:pt idx="17">
                        <c:v>5.898690827704297E-2</c:v>
                      </c:pt>
                      <c:pt idx="18">
                        <c:v>6.2688585995213819E-2</c:v>
                      </c:pt>
                      <c:pt idx="19">
                        <c:v>7.2349622682980438E-2</c:v>
                      </c:pt>
                      <c:pt idx="20">
                        <c:v>7.5594638978651263E-2</c:v>
                      </c:pt>
                      <c:pt idx="21">
                        <c:v>6.2849261646018117E-2</c:v>
                      </c:pt>
                      <c:pt idx="22">
                        <c:v>6.5719613735434904E-2</c:v>
                      </c:pt>
                      <c:pt idx="23">
                        <c:v>0.10008450558484189</c:v>
                      </c:pt>
                      <c:pt idx="24">
                        <c:v>8.151374897903621E-2</c:v>
                      </c:pt>
                      <c:pt idx="25">
                        <c:v>5.8881115804294261E-2</c:v>
                      </c:pt>
                      <c:pt idx="26">
                        <c:v>6.5069478759971114E-2</c:v>
                      </c:pt>
                      <c:pt idx="27">
                        <c:v>5.6949201070378486E-2</c:v>
                      </c:pt>
                      <c:pt idx="28">
                        <c:v>6.3024190286130363E-2</c:v>
                      </c:pt>
                      <c:pt idx="29">
                        <c:v>6.3154291436541707E-2</c:v>
                      </c:pt>
                      <c:pt idx="30">
                        <c:v>5.9703629818731264E-2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889-49F8-AE0F-49EE2C59D8EF}"/>
                  </c:ext>
                </c:extLst>
              </c15:ser>
            </c15:filteredLineSeries>
          </c:ext>
        </c:extLst>
      </c:lineChart>
      <c:catAx>
        <c:axId val="158355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80656"/>
        <c:crosses val="autoZero"/>
        <c:auto val="1"/>
        <c:lblAlgn val="ctr"/>
        <c:lblOffset val="100"/>
        <c:noMultiLvlLbl val="0"/>
      </c:catAx>
      <c:valAx>
        <c:axId val="15835806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55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Upgraded Ticket Types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18440978459782E-2"/>
          <c:y val="7.4254254254254248E-2"/>
          <c:w val="0.94114545383319625"/>
          <c:h val="0.81749071906552218"/>
        </c:manualLayout>
      </c:layout>
      <c:lineChart>
        <c:grouping val="standard"/>
        <c:varyColors val="0"/>
        <c:ser>
          <c:idx val="0"/>
          <c:order val="0"/>
          <c:tx>
            <c:strRef>
              <c:f>MOM!$C$189</c:f>
              <c:strCache>
                <c:ptCount val="1"/>
                <c:pt idx="0">
                  <c:v>AVX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MOM!$C$227:$C$239</c:f>
              <c:numCache>
                <c:formatCode>0%</c:formatCode>
                <c:ptCount val="13"/>
                <c:pt idx="0">
                  <c:v>0.40605259291905393</c:v>
                </c:pt>
                <c:pt idx="1">
                  <c:v>0.36468291594623237</c:v>
                </c:pt>
                <c:pt idx="2">
                  <c:v>0.34702854984418774</c:v>
                </c:pt>
                <c:pt idx="3">
                  <c:v>0.30773229476949987</c:v>
                </c:pt>
                <c:pt idx="4">
                  <c:v>0.37645288758824796</c:v>
                </c:pt>
                <c:pt idx="5">
                  <c:v>0.35678166805351086</c:v>
                </c:pt>
                <c:pt idx="6">
                  <c:v>0.36455830297392966</c:v>
                </c:pt>
                <c:pt idx="7">
                  <c:v>0.32891764705882354</c:v>
                </c:pt>
                <c:pt idx="8">
                  <c:v>0.3248507043425789</c:v>
                </c:pt>
                <c:pt idx="9">
                  <c:v>0.33904825352039081</c:v>
                </c:pt>
                <c:pt idx="10">
                  <c:v>0.31651658924286125</c:v>
                </c:pt>
                <c:pt idx="11">
                  <c:v>0.30667844550839635</c:v>
                </c:pt>
                <c:pt idx="12">
                  <c:v>0.38327567916609012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A3-46DE-BB57-175E8C73D6C4}"/>
            </c:ext>
          </c:extLst>
        </c:ser>
        <c:ser>
          <c:idx val="1"/>
          <c:order val="1"/>
          <c:tx>
            <c:strRef>
              <c:f>MOM!$D$189</c:f>
              <c:strCache>
                <c:ptCount val="1"/>
                <c:pt idx="0">
                  <c:v>VIP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MOM!$D$227:$D$239</c:f>
              <c:numCache>
                <c:formatCode>0%</c:formatCode>
                <c:ptCount val="13"/>
                <c:pt idx="0">
                  <c:v>0.20718867832133589</c:v>
                </c:pt>
                <c:pt idx="1">
                  <c:v>0.22001227062301298</c:v>
                </c:pt>
                <c:pt idx="2">
                  <c:v>0.22302401712361106</c:v>
                </c:pt>
                <c:pt idx="3">
                  <c:v>0.21493815649418696</c:v>
                </c:pt>
                <c:pt idx="4">
                  <c:v>0.26433873981118661</c:v>
                </c:pt>
                <c:pt idx="5">
                  <c:v>0.21428876229490709</c:v>
                </c:pt>
                <c:pt idx="6">
                  <c:v>0.24118285404232231</c:v>
                </c:pt>
                <c:pt idx="7">
                  <c:v>0.17060392156862744</c:v>
                </c:pt>
                <c:pt idx="8">
                  <c:v>0.22058823529411764</c:v>
                </c:pt>
                <c:pt idx="9">
                  <c:v>0.21216396269300103</c:v>
                </c:pt>
                <c:pt idx="10">
                  <c:v>0.17444941033149131</c:v>
                </c:pt>
                <c:pt idx="11">
                  <c:v>0.21673594623800096</c:v>
                </c:pt>
                <c:pt idx="12">
                  <c:v>0.19517549928508832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A3-46DE-BB57-175E8C73D6C4}"/>
            </c:ext>
          </c:extLst>
        </c:ser>
        <c:ser>
          <c:idx val="2"/>
          <c:order val="2"/>
          <c:tx>
            <c:strRef>
              <c:f>MOM!$E$189</c:f>
              <c:strCache>
                <c:ptCount val="1"/>
                <c:pt idx="0">
                  <c:v>IMAX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MOM!$E$227:$E$239</c:f>
              <c:numCache>
                <c:formatCode>0%</c:formatCode>
                <c:ptCount val="13"/>
                <c:pt idx="0">
                  <c:v>0.1604475784731404</c:v>
                </c:pt>
                <c:pt idx="1">
                  <c:v>0.1168386413073791</c:v>
                </c:pt>
                <c:pt idx="2">
                  <c:v>0.14324498725172338</c:v>
                </c:pt>
                <c:pt idx="3">
                  <c:v>0.1926018829470349</c:v>
                </c:pt>
                <c:pt idx="4">
                  <c:v>0.17199874344857233</c:v>
                </c:pt>
                <c:pt idx="5">
                  <c:v>0.17116857624442594</c:v>
                </c:pt>
                <c:pt idx="6">
                  <c:v>0.17556778544298893</c:v>
                </c:pt>
                <c:pt idx="7">
                  <c:v>0.22309803921568627</c:v>
                </c:pt>
                <c:pt idx="8">
                  <c:v>0.22350132129257788</c:v>
                </c:pt>
                <c:pt idx="9">
                  <c:v>0.20362750476787628</c:v>
                </c:pt>
                <c:pt idx="10">
                  <c:v>0.23402170802051914</c:v>
                </c:pt>
                <c:pt idx="11">
                  <c:v>0.18329244918402599</c:v>
                </c:pt>
                <c:pt idx="12">
                  <c:v>0.32337069323370693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A3-46DE-BB57-175E8C73D6C4}"/>
            </c:ext>
          </c:extLst>
        </c:ser>
        <c:ser>
          <c:idx val="3"/>
          <c:order val="3"/>
          <c:tx>
            <c:strRef>
              <c:f>MOM!$F$189</c:f>
              <c:strCache>
                <c:ptCount val="1"/>
                <c:pt idx="0">
                  <c:v>3D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MOM!$F$227:$F$239</c:f>
              <c:numCache>
                <c:formatCode>0%</c:formatCode>
                <c:ptCount val="13"/>
                <c:pt idx="0">
                  <c:v>0.12211693844571764</c:v>
                </c:pt>
                <c:pt idx="1">
                  <c:v>0.19731161804897093</c:v>
                </c:pt>
                <c:pt idx="2">
                  <c:v>0.21147974440492304</c:v>
                </c:pt>
                <c:pt idx="3">
                  <c:v>0.21021841195448582</c:v>
                </c:pt>
                <c:pt idx="4">
                  <c:v>0.12629995205264288</c:v>
                </c:pt>
                <c:pt idx="5">
                  <c:v>0.16299686359854063</c:v>
                </c:pt>
                <c:pt idx="6">
                  <c:v>7.702245303981603E-2</c:v>
                </c:pt>
                <c:pt idx="7">
                  <c:v>0.15651764705882354</c:v>
                </c:pt>
                <c:pt idx="8">
                  <c:v>0.14170602800724111</c:v>
                </c:pt>
                <c:pt idx="9">
                  <c:v>0.15579198996786581</c:v>
                </c:pt>
                <c:pt idx="10">
                  <c:v>0.19169914063245341</c:v>
                </c:pt>
                <c:pt idx="11">
                  <c:v>0.20683698661471356</c:v>
                </c:pt>
                <c:pt idx="12">
                  <c:v>1.833863751671971E-2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A3-46DE-BB57-175E8C73D6C4}"/>
            </c:ext>
          </c:extLst>
        </c:ser>
        <c:ser>
          <c:idx val="4"/>
          <c:order val="4"/>
          <c:tx>
            <c:strRef>
              <c:f>MOM!$G$189</c:f>
              <c:strCache>
                <c:ptCount val="1"/>
                <c:pt idx="0">
                  <c:v>ALT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MOM!$G$227:$G$239</c:f>
              <c:numCache>
                <c:formatCode>0%</c:formatCode>
                <c:ptCount val="13"/>
                <c:pt idx="0">
                  <c:v>3.5098672934724059E-2</c:v>
                </c:pt>
                <c:pt idx="1">
                  <c:v>4.794467064532322E-2</c:v>
                </c:pt>
                <c:pt idx="2">
                  <c:v>7.326324404293494E-3</c:v>
                </c:pt>
                <c:pt idx="3">
                  <c:v>2.879704273349121E-3</c:v>
                </c:pt>
                <c:pt idx="4">
                  <c:v>8.8950614222178138E-3</c:v>
                </c:pt>
                <c:pt idx="5">
                  <c:v>3.4447075892380892E-2</c:v>
                </c:pt>
                <c:pt idx="6">
                  <c:v>7.7410019895098575E-2</c:v>
                </c:pt>
                <c:pt idx="7">
                  <c:v>4.2666666666666665E-2</c:v>
                </c:pt>
                <c:pt idx="8">
                  <c:v>2.2420358309577809E-2</c:v>
                </c:pt>
                <c:pt idx="9">
                  <c:v>1.3846435196070747E-2</c:v>
                </c:pt>
                <c:pt idx="10">
                  <c:v>7.0415299824603894E-3</c:v>
                </c:pt>
                <c:pt idx="11">
                  <c:v>4.3981353672868963E-2</c:v>
                </c:pt>
                <c:pt idx="12">
                  <c:v>1.8661500853281675E-2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A3-46DE-BB57-175E8C73D6C4}"/>
            </c:ext>
          </c:extLst>
        </c:ser>
        <c:ser>
          <c:idx val="5"/>
          <c:order val="5"/>
          <c:tx>
            <c:strRef>
              <c:f>MOM!$H$189</c:f>
              <c:strCache>
                <c:ptCount val="1"/>
                <c:pt idx="0">
                  <c:v>SCREEN 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MOM!$H$227:$H$239</c:f>
              <c:numCache>
                <c:formatCode>0%</c:formatCode>
                <c:ptCount val="13"/>
                <c:pt idx="0">
                  <c:v>4.6643161451447042E-2</c:v>
                </c:pt>
                <c:pt idx="1">
                  <c:v>4.0426125271905852E-2</c:v>
                </c:pt>
                <c:pt idx="2">
                  <c:v>5.3432591520035252E-2</c:v>
                </c:pt>
                <c:pt idx="3">
                  <c:v>5.553951135791671E-2</c:v>
                </c:pt>
                <c:pt idx="4">
                  <c:v>3.5762114974455632E-2</c:v>
                </c:pt>
                <c:pt idx="5">
                  <c:v>4.688600140818025E-2</c:v>
                </c:pt>
                <c:pt idx="6">
                  <c:v>4.7993695579154068E-2</c:v>
                </c:pt>
                <c:pt idx="7">
                  <c:v>5.3003921568627453E-2</c:v>
                </c:pt>
                <c:pt idx="8">
                  <c:v>5.0162300505628497E-2</c:v>
                </c:pt>
                <c:pt idx="9">
                  <c:v>4.8338427776471508E-2</c:v>
                </c:pt>
                <c:pt idx="10">
                  <c:v>5.5473606188033438E-2</c:v>
                </c:pt>
                <c:pt idx="11">
                  <c:v>2.8971218084728783E-2</c:v>
                </c:pt>
                <c:pt idx="12">
                  <c:v>3.388220100548868E-2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A3-46DE-BB57-175E8C73D6C4}"/>
            </c:ext>
          </c:extLst>
        </c:ser>
        <c:ser>
          <c:idx val="6"/>
          <c:order val="6"/>
          <c:tx>
            <c:strRef>
              <c:f>MOM!$I$189</c:f>
              <c:strCache>
                <c:ptCount val="1"/>
                <c:pt idx="0">
                  <c:v>4DX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MOM!$B$227:$B$239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MOM!$I$227:$I$239</c:f>
              <c:numCache>
                <c:formatCode>0%</c:formatCode>
                <c:ptCount val="13"/>
                <c:pt idx="0">
                  <c:v>2.245237745458107E-2</c:v>
                </c:pt>
                <c:pt idx="1">
                  <c:v>1.2783758157175525E-2</c:v>
                </c:pt>
                <c:pt idx="2">
                  <c:v>1.4463785451226037E-2</c:v>
                </c:pt>
                <c:pt idx="3">
                  <c:v>1.6090038203526606E-2</c:v>
                </c:pt>
                <c:pt idx="4">
                  <c:v>1.6252500702676784E-2</c:v>
                </c:pt>
                <c:pt idx="5">
                  <c:v>1.3431052508054365E-2</c:v>
                </c:pt>
                <c:pt idx="6">
                  <c:v>1.6264889026690436E-2</c:v>
                </c:pt>
                <c:pt idx="7">
                  <c:v>2.5192156862745098E-2</c:v>
                </c:pt>
                <c:pt idx="8">
                  <c:v>1.6771052248278157E-2</c:v>
                </c:pt>
                <c:pt idx="9">
                  <c:v>2.7183426078323799E-2</c:v>
                </c:pt>
                <c:pt idx="10">
                  <c:v>2.0798015602181075E-2</c:v>
                </c:pt>
                <c:pt idx="11">
                  <c:v>1.3503600697265363E-2</c:v>
                </c:pt>
                <c:pt idx="12">
                  <c:v>2.7295788939624557E-2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A3-46DE-BB57-175E8C73D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190928"/>
        <c:axId val="1413195920"/>
      </c:lineChart>
      <c:catAx>
        <c:axId val="141319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5920"/>
        <c:crosses val="autoZero"/>
        <c:auto val="1"/>
        <c:lblAlgn val="ctr"/>
        <c:lblOffset val="100"/>
        <c:noMultiLvlLbl val="0"/>
      </c:catAx>
      <c:valAx>
        <c:axId val="14131959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319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Churn &amp; Net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230105773563049E-2"/>
          <c:y val="0.10926430517711173"/>
          <c:w val="0.92478805953070575"/>
          <c:h val="0.74821863207153605"/>
        </c:manualLayout>
      </c:layout>
      <c:lineChart>
        <c:grouping val="standard"/>
        <c:varyColors val="0"/>
        <c:ser>
          <c:idx val="0"/>
          <c:order val="0"/>
          <c:tx>
            <c:strRef>
              <c:f>MOM!$C$69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MOM!$B$106:$B$118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MOM!$C$106:$C$118</c:f>
              <c:numCache>
                <c:formatCode>0%</c:formatCode>
                <c:ptCount val="13"/>
                <c:pt idx="0">
                  <c:v>7.5594638978651263E-2</c:v>
                </c:pt>
                <c:pt idx="1">
                  <c:v>6.2849261646018117E-2</c:v>
                </c:pt>
                <c:pt idx="2">
                  <c:v>6.5719613735434904E-2</c:v>
                </c:pt>
                <c:pt idx="3">
                  <c:v>0.10008450558484189</c:v>
                </c:pt>
                <c:pt idx="4">
                  <c:v>8.151374897903621E-2</c:v>
                </c:pt>
                <c:pt idx="5">
                  <c:v>5.8881115804294261E-2</c:v>
                </c:pt>
                <c:pt idx="6">
                  <c:v>6.5069478759971114E-2</c:v>
                </c:pt>
                <c:pt idx="7">
                  <c:v>5.6949201070378486E-2</c:v>
                </c:pt>
                <c:pt idx="8">
                  <c:v>6.3024190286130363E-2</c:v>
                </c:pt>
                <c:pt idx="9">
                  <c:v>6.3154291436541707E-2</c:v>
                </c:pt>
                <c:pt idx="10">
                  <c:v>5.9703629818731264E-2</c:v>
                </c:pt>
                <c:pt idx="11">
                  <c:v>7.1114947970332409E-2</c:v>
                </c:pt>
                <c:pt idx="12">
                  <c:v>6.5012103194691168E-2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3-4919-9F5F-2F72DB0BE354}"/>
            </c:ext>
          </c:extLst>
        </c:ser>
        <c:ser>
          <c:idx val="1"/>
          <c:order val="1"/>
          <c:tx>
            <c:strRef>
              <c:f>MOM!$D$69</c:f>
              <c:strCache>
                <c:ptCount val="1"/>
                <c:pt idx="0">
                  <c:v>Net Churn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MOM!$B$106:$B$118</c:f>
              <c:strCache>
                <c:ptCount val="13"/>
                <c:pt idx="0">
                  <c:v>SEP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FEB</c:v>
                </c:pt>
                <c:pt idx="6">
                  <c:v>MAR</c:v>
                </c:pt>
                <c:pt idx="7">
                  <c:v>APR</c:v>
                </c:pt>
                <c:pt idx="8">
                  <c:v>MAY</c:v>
                </c:pt>
                <c:pt idx="9">
                  <c:v>JUN</c:v>
                </c:pt>
                <c:pt idx="10">
                  <c:v>JUL</c:v>
                </c:pt>
                <c:pt idx="11">
                  <c:v>AUG</c:v>
                </c:pt>
                <c:pt idx="12">
                  <c:v>SEP</c:v>
                </c:pt>
              </c:strCache>
            </c:strRef>
          </c:cat>
          <c:val>
            <c:numRef>
              <c:f>MOM!$D$106:$D$118</c:f>
              <c:numCache>
                <c:formatCode>0%</c:formatCode>
                <c:ptCount val="13"/>
                <c:pt idx="0">
                  <c:v>7.3699328400816985E-2</c:v>
                </c:pt>
                <c:pt idx="1">
                  <c:v>6.1291703326754335E-2</c:v>
                </c:pt>
                <c:pt idx="2">
                  <c:v>6.2120654226698817E-2</c:v>
                </c:pt>
                <c:pt idx="3">
                  <c:v>7.6813852017498976E-2</c:v>
                </c:pt>
                <c:pt idx="4">
                  <c:v>7.3400490062619117E-2</c:v>
                </c:pt>
                <c:pt idx="5">
                  <c:v>5.7352164730728614E-2</c:v>
                </c:pt>
                <c:pt idx="6">
                  <c:v>6.3728231889094628E-2</c:v>
                </c:pt>
                <c:pt idx="7">
                  <c:v>5.566628858373069E-2</c:v>
                </c:pt>
                <c:pt idx="8">
                  <c:v>5.6497936948841726E-2</c:v>
                </c:pt>
                <c:pt idx="9">
                  <c:v>5.6057672165822803E-2</c:v>
                </c:pt>
                <c:pt idx="10">
                  <c:v>4.4243199336352013E-2</c:v>
                </c:pt>
                <c:pt idx="11">
                  <c:v>5.9098461852646042E-2</c:v>
                </c:pt>
                <c:pt idx="12">
                  <c:v>5.7262377012213643E-2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3-4919-9F5F-2F72DB0BE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953919"/>
        <c:axId val="416955359"/>
      </c:lineChart>
      <c:catAx>
        <c:axId val="41695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5359"/>
        <c:crosses val="autoZero"/>
        <c:auto val="1"/>
        <c:lblAlgn val="ctr"/>
        <c:lblOffset val="100"/>
        <c:noMultiLvlLbl val="0"/>
      </c:catAx>
      <c:valAx>
        <c:axId val="41695535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5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100"/>
              <a:t>Tickets /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MOM!$H$423</c:f>
              <c:strCache>
                <c:ptCount val="1"/>
                <c:pt idx="0">
                  <c:v>CC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MOM!$G$424:$G$429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MOM!$H$424:$H$429</c:f>
              <c:numCache>
                <c:formatCode>0.0</c:formatCode>
                <c:ptCount val="6"/>
                <c:pt idx="0">
                  <c:v>2.0025274805119317</c:v>
                </c:pt>
                <c:pt idx="1">
                  <c:v>1.6664262209490048</c:v>
                </c:pt>
                <c:pt idx="2">
                  <c:v>1.7597865248896865</c:v>
                </c:pt>
                <c:pt idx="3">
                  <c:v>1.7105128714557376</c:v>
                </c:pt>
                <c:pt idx="4">
                  <c:v>1.8101915316475905</c:v>
                </c:pt>
                <c:pt idx="5">
                  <c:v>1.8554866830585119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53-4190-82B2-9A09429F56C4}"/>
            </c:ext>
          </c:extLst>
        </c:ser>
        <c:ser>
          <c:idx val="1"/>
          <c:order val="1"/>
          <c:tx>
            <c:strRef>
              <c:f>MOM!$I$423</c:f>
              <c:strCache>
                <c:ptCount val="1"/>
                <c:pt idx="0">
                  <c:v>Scene+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721883642267138E-2"/>
                  <c:y val="3.147032797647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53-4190-82B2-9A09429F56C4}"/>
                </c:ext>
              </c:extLst>
            </c:dLbl>
            <c:dLbl>
              <c:idx val="1"/>
              <c:layout>
                <c:manualLayout>
                  <c:x val="-4.3721883642267166E-2"/>
                  <c:y val="2.77711918267149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53-4190-82B2-9A09429F56C4}"/>
                </c:ext>
              </c:extLst>
            </c:dLbl>
            <c:dLbl>
              <c:idx val="2"/>
              <c:layout>
                <c:manualLayout>
                  <c:x val="-4.6801965528790644E-2"/>
                  <c:y val="3.5169464126243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53-4190-82B2-9A09429F56C4}"/>
                </c:ext>
              </c:extLst>
            </c:dLbl>
            <c:dLbl>
              <c:idx val="3"/>
              <c:layout>
                <c:manualLayout>
                  <c:x val="-4.0641801755743688E-2"/>
                  <c:y val="3.1470327976479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53-4190-82B2-9A09429F56C4}"/>
                </c:ext>
              </c:extLst>
            </c:dLbl>
            <c:dLbl>
              <c:idx val="4"/>
              <c:layout>
                <c:manualLayout>
                  <c:x val="-4.0641801755743688E-2"/>
                  <c:y val="2.4072055676950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53-4190-82B2-9A09429F56C4}"/>
                </c:ext>
              </c:extLst>
            </c:dLbl>
            <c:dLbl>
              <c:idx val="5"/>
              <c:layout>
                <c:manualLayout>
                  <c:x val="-4.3721883642267166E-2"/>
                  <c:y val="3.5169464126243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53-4190-82B2-9A09429F56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MOM!$G$424:$G$429</c:f>
              <c:strCache>
                <c:ptCount val="6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</c:strCache>
            </c:strRef>
          </c:cat>
          <c:val>
            <c:numRef>
              <c:f>MOM!$I$424:$I$429</c:f>
              <c:numCache>
                <c:formatCode>0.0</c:formatCode>
                <c:ptCount val="6"/>
                <c:pt idx="0">
                  <c:v>1.631732175927755</c:v>
                </c:pt>
                <c:pt idx="1">
                  <c:v>1.5078407160653511</c:v>
                </c:pt>
                <c:pt idx="2">
                  <c:v>1.5038598076611207</c:v>
                </c:pt>
                <c:pt idx="3">
                  <c:v>1.4913002950828713</c:v>
                </c:pt>
                <c:pt idx="4">
                  <c:v>1.3459874934472773</c:v>
                </c:pt>
                <c:pt idx="5">
                  <c:v>1.4427183116390749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3-4190-82B2-9A09429F56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30750400"/>
        <c:axId val="1330751840"/>
      </c:lineChart>
      <c:catAx>
        <c:axId val="133075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51840"/>
        <c:crosses val="autoZero"/>
        <c:auto val="1"/>
        <c:lblAlgn val="ctr"/>
        <c:lblOffset val="100"/>
        <c:noMultiLvlLbl val="0"/>
      </c:catAx>
      <c:valAx>
        <c:axId val="133075184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75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22</xdr:row>
      <xdr:rowOff>28575</xdr:rowOff>
    </xdr:from>
    <xdr:to>
      <xdr:col>15</xdr:col>
      <xdr:colOff>257175</xdr:colOff>
      <xdr:row>52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98F58-BBC9-47D7-BB8B-362961D34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167639</xdr:colOff>
      <xdr:row>146</xdr:row>
      <xdr:rowOff>161925</xdr:rowOff>
    </xdr:from>
    <xdr:to>
      <xdr:col>17</xdr:col>
      <xdr:colOff>200025</xdr:colOff>
      <xdr:row>176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B8DCAE-100B-451D-9081-5BD02CCD1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144780</xdr:colOff>
      <xdr:row>266</xdr:row>
      <xdr:rowOff>57151</xdr:rowOff>
    </xdr:from>
    <xdr:to>
      <xdr:col>17</xdr:col>
      <xdr:colOff>66676</xdr:colOff>
      <xdr:row>295</xdr:row>
      <xdr:rowOff>63501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A70890-DAEC-46C5-B8FC-1CFA5D073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228600</xdr:colOff>
      <xdr:row>327</xdr:row>
      <xdr:rowOff>142875</xdr:rowOff>
    </xdr:from>
    <xdr:to>
      <xdr:col>19</xdr:col>
      <xdr:colOff>66675</xdr:colOff>
      <xdr:row>354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6EB2EB-91E7-45DD-8D31-6722F6CE1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246223</xdr:colOff>
      <xdr:row>382</xdr:row>
      <xdr:rowOff>114299</xdr:rowOff>
    </xdr:from>
    <xdr:to>
      <xdr:col>19</xdr:col>
      <xdr:colOff>76201</xdr:colOff>
      <xdr:row>413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0DA421-4419-46BE-AFC1-18D925665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116205</xdr:colOff>
      <xdr:row>68</xdr:row>
      <xdr:rowOff>1904</xdr:rowOff>
    </xdr:from>
    <xdr:to>
      <xdr:col>18</xdr:col>
      <xdr:colOff>403860</xdr:colOff>
      <xdr:row>89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D9141D0-6128-4DEC-8C20-012DCC477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342901</xdr:colOff>
      <xdr:row>197</xdr:row>
      <xdr:rowOff>114302</xdr:rowOff>
    </xdr:from>
    <xdr:to>
      <xdr:col>24</xdr:col>
      <xdr:colOff>419101</xdr:colOff>
      <xdr:row>236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2CCD9D-5506-4D2A-9CAA-6EE75B9BF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122768</xdr:colOff>
      <xdr:row>89</xdr:row>
      <xdr:rowOff>126365</xdr:rowOff>
    </xdr:from>
    <xdr:to>
      <xdr:col>18</xdr:col>
      <xdr:colOff>404708</xdr:colOff>
      <xdr:row>115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29352E6-4E90-1C62-B6DC-7B551E3F9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296333</xdr:colOff>
      <xdr:row>420</xdr:row>
      <xdr:rowOff>182033</xdr:rowOff>
    </xdr:from>
    <xdr:to>
      <xdr:col>16</xdr:col>
      <xdr:colOff>152400</xdr:colOff>
      <xdr:row>439</xdr:row>
      <xdr:rowOff>8467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ABB1BBA-2CFC-27FB-B0C9-55F887E7A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B051C-7894-4EED-B722-193156AFE136}">
  <sheetPr codeName="Sheet1">
    <tabColor theme="5"/>
  </sheetPr>
  <dimension ref="B1:O62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0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ht="15.75" thickBot="1" x14ac:dyDescent="0.3">
      <c r="B4" s="375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ht="15.75" thickBot="1" x14ac:dyDescent="0.3">
      <c r="C5" s="45"/>
      <c r="D5" s="25"/>
      <c r="E5" s="50"/>
      <c r="F5" s="50"/>
      <c r="G5" s="50"/>
      <c r="H5" s="50"/>
      <c r="I5" s="51"/>
      <c r="J5" s="27"/>
    </row>
    <row r="6" spans="2:10" x14ac:dyDescent="0.25">
      <c r="B6" s="381" t="s">
        <v>13</v>
      </c>
      <c r="C6" s="5"/>
      <c r="D6" s="48" t="s">
        <v>14</v>
      </c>
      <c r="E6" s="48" t="s">
        <v>15</v>
      </c>
      <c r="F6" s="48" t="s">
        <v>16</v>
      </c>
      <c r="G6" s="48" t="s">
        <v>17</v>
      </c>
      <c r="H6" s="48" t="s">
        <v>18</v>
      </c>
      <c r="I6" s="49"/>
      <c r="J6" s="380" t="s">
        <v>19</v>
      </c>
    </row>
    <row r="7" spans="2:10" x14ac:dyDescent="0.25">
      <c r="B7" s="382"/>
      <c r="C7" s="2" t="s">
        <v>20</v>
      </c>
      <c r="D7" s="47"/>
      <c r="E7" s="47"/>
      <c r="F7" s="47"/>
      <c r="G7" s="47"/>
      <c r="H7" s="47"/>
      <c r="I7" s="12"/>
      <c r="J7" s="380"/>
    </row>
    <row r="8" spans="2:10" x14ac:dyDescent="0.25">
      <c r="B8" s="382"/>
      <c r="C8" s="1" t="s">
        <v>21</v>
      </c>
      <c r="D8" s="13">
        <v>0.33649204362596102</v>
      </c>
      <c r="E8" s="13">
        <v>0.33649204362596102</v>
      </c>
      <c r="F8" s="14">
        <v>1</v>
      </c>
      <c r="G8" s="13">
        <v>0.57235489190258093</v>
      </c>
      <c r="H8" s="14">
        <v>0.58790804164775878</v>
      </c>
      <c r="I8" s="15"/>
      <c r="J8" s="380"/>
    </row>
    <row r="9" spans="2:10" x14ac:dyDescent="0.25">
      <c r="B9" s="382"/>
      <c r="C9" s="1" t="s">
        <v>22</v>
      </c>
      <c r="D9" s="13">
        <v>0.66350795637403903</v>
      </c>
      <c r="E9" s="13">
        <v>0.66350795637403903</v>
      </c>
      <c r="F9" s="14">
        <v>1</v>
      </c>
      <c r="G9" s="13">
        <v>0.42764510809741907</v>
      </c>
      <c r="H9" s="14">
        <v>1.5515387497964541</v>
      </c>
      <c r="I9" s="15"/>
      <c r="J9" s="380"/>
    </row>
    <row r="10" spans="2:10" x14ac:dyDescent="0.25">
      <c r="B10" s="382"/>
      <c r="C10" s="1"/>
      <c r="D10" s="13"/>
      <c r="E10" s="13"/>
      <c r="F10" s="14"/>
      <c r="G10" s="13"/>
      <c r="H10" s="14"/>
      <c r="I10" s="15"/>
      <c r="J10" s="380"/>
    </row>
    <row r="11" spans="2:10" x14ac:dyDescent="0.25">
      <c r="B11" s="382"/>
      <c r="C11" s="2" t="s">
        <v>23</v>
      </c>
      <c r="F11" s="14"/>
      <c r="G11" s="13"/>
      <c r="H11" s="14"/>
      <c r="I11" s="15"/>
      <c r="J11" s="380"/>
    </row>
    <row r="12" spans="2:10" x14ac:dyDescent="0.25">
      <c r="B12" s="382"/>
      <c r="C12" s="1" t="s">
        <v>24</v>
      </c>
      <c r="D12" s="13">
        <v>8.2864752885469066E-3</v>
      </c>
      <c r="E12" s="13">
        <v>8.2864752885469066E-3</v>
      </c>
      <c r="F12" s="14">
        <v>1</v>
      </c>
      <c r="G12" s="13">
        <v>9.3529624053555957E-3</v>
      </c>
      <c r="H12" s="14">
        <v>0.88597333437392967</v>
      </c>
      <c r="I12" s="15"/>
      <c r="J12" s="380"/>
    </row>
    <row r="13" spans="2:10" x14ac:dyDescent="0.25">
      <c r="B13" s="382"/>
      <c r="C13" s="1" t="s">
        <v>25</v>
      </c>
      <c r="D13" s="13">
        <v>0.1151228174015981</v>
      </c>
      <c r="E13" s="13">
        <v>0.1151228174015981</v>
      </c>
      <c r="F13" s="14">
        <v>1</v>
      </c>
      <c r="G13" s="13">
        <v>0.11987086678511411</v>
      </c>
      <c r="H13" s="14">
        <v>0.96039029740205706</v>
      </c>
      <c r="I13" s="15"/>
      <c r="J13" s="380"/>
    </row>
    <row r="14" spans="2:10" x14ac:dyDescent="0.25">
      <c r="B14" s="382"/>
      <c r="C14" s="1" t="s">
        <v>26</v>
      </c>
      <c r="D14" s="13">
        <v>0.36176383545427643</v>
      </c>
      <c r="E14" s="13">
        <v>0.36176383545427643</v>
      </c>
      <c r="F14" s="14">
        <v>1</v>
      </c>
      <c r="G14" s="13">
        <v>0.29408078276439853</v>
      </c>
      <c r="H14" s="14">
        <v>1.2301512259782779</v>
      </c>
      <c r="I14" s="15"/>
      <c r="J14" s="380"/>
    </row>
    <row r="15" spans="2:10" x14ac:dyDescent="0.25">
      <c r="B15" s="382"/>
      <c r="C15" s="1" t="s">
        <v>27</v>
      </c>
      <c r="D15" s="13">
        <v>0.35371411660254515</v>
      </c>
      <c r="E15" s="13">
        <v>0.35371411660254515</v>
      </c>
      <c r="F15" s="14">
        <v>1</v>
      </c>
      <c r="G15" s="13">
        <v>0.32868783998543011</v>
      </c>
      <c r="H15" s="14">
        <v>1.0761399527838462</v>
      </c>
      <c r="I15" s="15"/>
      <c r="J15" s="380"/>
    </row>
    <row r="16" spans="2:10" x14ac:dyDescent="0.25">
      <c r="B16" s="382"/>
      <c r="C16" s="1" t="s">
        <v>28</v>
      </c>
      <c r="D16" s="13">
        <v>0.14300088783663806</v>
      </c>
      <c r="E16" s="13">
        <v>0.14300088783663806</v>
      </c>
      <c r="F16" s="14">
        <v>1</v>
      </c>
      <c r="G16" s="13">
        <v>0.17578056392525954</v>
      </c>
      <c r="H16" s="14">
        <v>0.81351933708348367</v>
      </c>
      <c r="I16" s="15"/>
      <c r="J16" s="380"/>
    </row>
    <row r="17" spans="2:10" x14ac:dyDescent="0.25">
      <c r="B17" s="382"/>
      <c r="C17" s="1" t="s">
        <v>29</v>
      </c>
      <c r="D17" s="13">
        <v>1.8111867416395384E-2</v>
      </c>
      <c r="E17" s="13">
        <v>1.8111867416395384E-2</v>
      </c>
      <c r="F17" s="14">
        <v>1</v>
      </c>
      <c r="G17" s="13">
        <v>7.222698413444209E-2</v>
      </c>
      <c r="H17" s="14">
        <v>0.25076316882734934</v>
      </c>
      <c r="I17" s="15"/>
      <c r="J17" s="380"/>
    </row>
    <row r="18" spans="2:10" x14ac:dyDescent="0.25">
      <c r="B18" s="382"/>
      <c r="C18" s="1"/>
      <c r="D18" s="13"/>
      <c r="E18" s="13"/>
      <c r="F18" s="14"/>
      <c r="G18" s="13"/>
      <c r="H18" s="14"/>
      <c r="I18" s="15"/>
      <c r="J18" s="380"/>
    </row>
    <row r="19" spans="2:10" x14ac:dyDescent="0.25">
      <c r="B19" s="382"/>
      <c r="C19" s="2" t="s">
        <v>30</v>
      </c>
      <c r="F19" s="14"/>
      <c r="G19" s="13"/>
      <c r="H19" s="14"/>
      <c r="I19" s="15"/>
      <c r="J19" s="380"/>
    </row>
    <row r="20" spans="2:10" x14ac:dyDescent="0.25">
      <c r="B20" s="382"/>
      <c r="C20" s="1" t="s">
        <v>31</v>
      </c>
      <c r="D20" s="13">
        <v>0.47022611578075058</v>
      </c>
      <c r="E20" s="13">
        <v>0.47022611578075058</v>
      </c>
      <c r="F20" s="14">
        <v>1</v>
      </c>
      <c r="G20" s="13">
        <v>0.4916982188238192</v>
      </c>
      <c r="H20" s="14">
        <v>0.95633072844064482</v>
      </c>
      <c r="I20" s="15"/>
      <c r="J20" s="380"/>
    </row>
    <row r="21" spans="2:10" x14ac:dyDescent="0.25">
      <c r="B21" s="382"/>
      <c r="C21" s="1" t="s">
        <v>32</v>
      </c>
      <c r="D21" s="13">
        <v>0.21333017639398602</v>
      </c>
      <c r="E21" s="13">
        <v>0.21333017639398602</v>
      </c>
      <c r="F21" s="14">
        <v>1</v>
      </c>
      <c r="G21" s="13">
        <v>0.14338031637987977</v>
      </c>
      <c r="H21" s="14">
        <v>1.4878623633998491</v>
      </c>
      <c r="I21" s="15"/>
      <c r="J21" s="380"/>
    </row>
    <row r="22" spans="2:10" x14ac:dyDescent="0.25">
      <c r="B22" s="382"/>
      <c r="C22" s="1" t="s">
        <v>33</v>
      </c>
      <c r="D22" s="13">
        <v>0.13466319403338464</v>
      </c>
      <c r="E22" s="13">
        <v>0.13466319403338464</v>
      </c>
      <c r="F22" s="14">
        <v>1</v>
      </c>
      <c r="G22" s="13">
        <v>0.13350111393482081</v>
      </c>
      <c r="H22" s="14">
        <v>1.0087046472071477</v>
      </c>
      <c r="I22" s="15"/>
      <c r="J22" s="380"/>
    </row>
    <row r="23" spans="2:10" x14ac:dyDescent="0.25">
      <c r="B23" s="382"/>
      <c r="C23" s="1" t="s">
        <v>34</v>
      </c>
      <c r="D23" s="13">
        <v>7.7660707943648627E-2</v>
      </c>
      <c r="E23" s="13">
        <v>7.7660707943648627E-2</v>
      </c>
      <c r="F23" s="14">
        <v>1</v>
      </c>
      <c r="G23" s="13">
        <v>0.10246565834107677</v>
      </c>
      <c r="H23" s="14">
        <v>0.75791937709647006</v>
      </c>
      <c r="I23" s="15"/>
      <c r="J23" s="380"/>
    </row>
    <row r="24" spans="2:10" x14ac:dyDescent="0.25">
      <c r="B24" s="382"/>
      <c r="C24" s="1" t="s">
        <v>35</v>
      </c>
      <c r="D24" s="13">
        <v>1.8764058245530957E-2</v>
      </c>
      <c r="E24" s="13">
        <v>1.8764058245530957E-2</v>
      </c>
      <c r="F24" s="14">
        <v>1</v>
      </c>
      <c r="G24" s="13">
        <v>3.3207572517716603E-2</v>
      </c>
      <c r="H24" s="14">
        <v>0.56505359539665623</v>
      </c>
      <c r="I24" s="15"/>
      <c r="J24" s="380"/>
    </row>
    <row r="25" spans="2:10" x14ac:dyDescent="0.25">
      <c r="B25" s="382"/>
      <c r="C25" s="1" t="s">
        <v>36</v>
      </c>
      <c r="D25" s="13">
        <v>1.5034923641529536E-2</v>
      </c>
      <c r="E25" s="13">
        <v>1.5034923641529536E-2</v>
      </c>
      <c r="F25" s="14">
        <v>1</v>
      </c>
      <c r="G25" s="13">
        <v>2.6221465915833547E-2</v>
      </c>
      <c r="H25" s="14">
        <v>0.57338226969419204</v>
      </c>
      <c r="I25" s="15"/>
      <c r="J25" s="380"/>
    </row>
    <row r="26" spans="2:10" x14ac:dyDescent="0.25">
      <c r="B26" s="382"/>
      <c r="C26" s="1" t="s">
        <v>37</v>
      </c>
      <c r="D26" s="13">
        <v>7.0320823961169648E-2</v>
      </c>
      <c r="E26" s="13">
        <v>7.0320823961169648E-2</v>
      </c>
      <c r="F26" s="14">
        <v>1</v>
      </c>
      <c r="G26" s="13">
        <v>6.9525654086853336E-2</v>
      </c>
      <c r="H26" s="14">
        <v>1.0114370714631893</v>
      </c>
      <c r="I26" s="15"/>
      <c r="J26" s="380"/>
    </row>
    <row r="27" spans="2:10" x14ac:dyDescent="0.25">
      <c r="B27" s="382"/>
      <c r="C27" s="1"/>
      <c r="D27" s="13"/>
      <c r="E27" s="13"/>
      <c r="F27" s="14"/>
      <c r="G27" s="13"/>
      <c r="H27" s="14"/>
      <c r="I27" s="15"/>
      <c r="J27" s="380"/>
    </row>
    <row r="28" spans="2:10" x14ac:dyDescent="0.25">
      <c r="B28" s="382"/>
      <c r="C28" s="2" t="s">
        <v>38</v>
      </c>
      <c r="F28" s="14"/>
      <c r="G28" s="13"/>
      <c r="H28" s="14"/>
      <c r="I28" s="15"/>
      <c r="J28" s="380"/>
    </row>
    <row r="29" spans="2:10" x14ac:dyDescent="0.25">
      <c r="B29" s="382"/>
      <c r="C29" s="1" t="s">
        <v>39</v>
      </c>
      <c r="D29" s="13">
        <v>0.13364900858242085</v>
      </c>
      <c r="E29" s="13">
        <v>0.13364900858242085</v>
      </c>
      <c r="F29" s="14">
        <v>1</v>
      </c>
      <c r="G29" s="16" t="s">
        <v>12</v>
      </c>
      <c r="H29" s="16" t="s">
        <v>12</v>
      </c>
      <c r="I29" s="36"/>
      <c r="J29" s="380"/>
    </row>
    <row r="30" spans="2:10" x14ac:dyDescent="0.25">
      <c r="B30" s="382"/>
      <c r="C30" s="1" t="s">
        <v>40</v>
      </c>
      <c r="D30" s="13">
        <v>2.2728617934300088E-2</v>
      </c>
      <c r="E30" s="13">
        <v>2.2728617934300088E-2</v>
      </c>
      <c r="F30" s="14">
        <v>1</v>
      </c>
      <c r="G30" s="13">
        <v>0.23826371358004139</v>
      </c>
      <c r="H30" s="14">
        <v>9.5392695735285443E-2</v>
      </c>
      <c r="I30" s="15"/>
      <c r="J30" s="380"/>
    </row>
    <row r="31" spans="2:10" x14ac:dyDescent="0.25">
      <c r="B31" s="382"/>
      <c r="C31" s="1" t="s">
        <v>41</v>
      </c>
      <c r="D31" s="13">
        <v>6.0728026043208053E-2</v>
      </c>
      <c r="E31" s="13">
        <v>6.0728026043208053E-2</v>
      </c>
      <c r="F31" s="14">
        <v>1</v>
      </c>
      <c r="G31" s="13">
        <v>0.2944472672851261</v>
      </c>
      <c r="H31" s="14">
        <v>0.20624414892056872</v>
      </c>
      <c r="I31" s="15"/>
      <c r="J31" s="380"/>
    </row>
    <row r="32" spans="2:10" x14ac:dyDescent="0.25">
      <c r="B32" s="382"/>
      <c r="C32" s="1" t="s">
        <v>42</v>
      </c>
      <c r="D32" s="13">
        <v>0.10819769162474105</v>
      </c>
      <c r="E32" s="13">
        <v>0.10819769162474105</v>
      </c>
      <c r="F32" s="14">
        <v>1</v>
      </c>
      <c r="G32" s="13">
        <v>0.2295170839287588</v>
      </c>
      <c r="H32" s="14">
        <v>0.47141454471565691</v>
      </c>
      <c r="I32" s="15"/>
      <c r="J32" s="380"/>
    </row>
    <row r="33" spans="2:14" x14ac:dyDescent="0.25">
      <c r="B33" s="382"/>
      <c r="C33" s="1" t="s">
        <v>43</v>
      </c>
      <c r="D33" s="13">
        <v>0.20941106836342113</v>
      </c>
      <c r="E33" s="13">
        <v>0.20941106836342113</v>
      </c>
      <c r="F33" s="14">
        <v>1</v>
      </c>
      <c r="G33" s="13">
        <v>0.16500439759050969</v>
      </c>
      <c r="H33" s="14">
        <v>1.2691241653032495</v>
      </c>
      <c r="I33" s="15"/>
      <c r="J33" s="380"/>
    </row>
    <row r="34" spans="2:14" ht="15.75" thickBot="1" x14ac:dyDescent="0.3">
      <c r="B34" s="383"/>
      <c r="C34" s="9" t="s">
        <v>44</v>
      </c>
      <c r="D34" s="17">
        <v>0.46528558745190884</v>
      </c>
      <c r="E34" s="17">
        <v>0.46528558745190884</v>
      </c>
      <c r="F34" s="14">
        <v>1</v>
      </c>
      <c r="G34" s="17">
        <v>7.2767537615563996E-2</v>
      </c>
      <c r="H34" s="14">
        <v>6.3941367634293913</v>
      </c>
      <c r="I34" s="19"/>
      <c r="J34" s="384"/>
    </row>
    <row r="35" spans="2:14" ht="15.75" thickBot="1" x14ac:dyDescent="0.3">
      <c r="B35" s="60"/>
      <c r="C35" s="45"/>
      <c r="D35" s="43"/>
      <c r="E35" s="43"/>
      <c r="F35" s="43"/>
      <c r="G35" s="43"/>
      <c r="H35" s="43"/>
      <c r="I35" s="26"/>
      <c r="J35" s="28"/>
    </row>
    <row r="36" spans="2:14" x14ac:dyDescent="0.25">
      <c r="B36" s="373" t="s">
        <v>45</v>
      </c>
      <c r="C36" s="5"/>
      <c r="D36" s="385" t="s">
        <v>46</v>
      </c>
      <c r="E36" s="385"/>
      <c r="F36" s="385" t="s">
        <v>47</v>
      </c>
      <c r="G36" s="385"/>
      <c r="H36" s="42"/>
      <c r="I36" s="7"/>
      <c r="J36" s="386" t="s">
        <v>48</v>
      </c>
    </row>
    <row r="37" spans="2:14" x14ac:dyDescent="0.25">
      <c r="B37" s="374"/>
      <c r="C37" s="1"/>
      <c r="D37" s="40" t="s">
        <v>49</v>
      </c>
      <c r="E37" s="40" t="s">
        <v>50</v>
      </c>
      <c r="F37" s="40" t="s">
        <v>49</v>
      </c>
      <c r="G37" s="40" t="s">
        <v>50</v>
      </c>
      <c r="H37" s="41" t="s">
        <v>51</v>
      </c>
      <c r="I37" s="81" t="s">
        <v>52</v>
      </c>
      <c r="J37" s="387"/>
    </row>
    <row r="38" spans="2:14" x14ac:dyDescent="0.25">
      <c r="B38" s="374"/>
      <c r="C38" s="2" t="s">
        <v>53</v>
      </c>
      <c r="H38" s="13"/>
      <c r="I38" s="4"/>
      <c r="J38" s="387"/>
    </row>
    <row r="39" spans="2:14" x14ac:dyDescent="0.25">
      <c r="B39" s="374"/>
      <c r="C39" s="1" t="s">
        <v>54</v>
      </c>
      <c r="D39" s="73">
        <v>2554853</v>
      </c>
      <c r="E39" s="38">
        <v>0.78975119087730794</v>
      </c>
      <c r="F39" s="8">
        <v>38800</v>
      </c>
      <c r="G39" s="13">
        <v>0.67592286117450306</v>
      </c>
      <c r="H39" s="14">
        <v>0.85586811261866302</v>
      </c>
      <c r="I39" s="82">
        <v>1.5186783740590947E-2</v>
      </c>
      <c r="J39" s="387"/>
    </row>
    <row r="40" spans="2:14" x14ac:dyDescent="0.25">
      <c r="B40" s="374"/>
      <c r="C40" s="1" t="s">
        <v>55</v>
      </c>
      <c r="D40" s="73">
        <v>680157</v>
      </c>
      <c r="E40" s="38">
        <v>0.21024880912269206</v>
      </c>
      <c r="F40" s="8">
        <v>18603</v>
      </c>
      <c r="G40" s="13">
        <v>0.32407713882549694</v>
      </c>
      <c r="H40" s="14">
        <v>1.5413982137533992</v>
      </c>
      <c r="I40" s="82">
        <v>2.7351038069151682E-2</v>
      </c>
      <c r="J40" s="387"/>
    </row>
    <row r="41" spans="2:14" x14ac:dyDescent="0.25">
      <c r="B41" s="374"/>
      <c r="C41" s="1" t="s">
        <v>53</v>
      </c>
      <c r="D41" s="73">
        <v>3235010</v>
      </c>
      <c r="E41" s="38"/>
      <c r="F41" s="8">
        <v>57403</v>
      </c>
      <c r="H41" s="14"/>
      <c r="I41" s="82">
        <v>1.7744303727036392E-2</v>
      </c>
      <c r="J41" s="387"/>
    </row>
    <row r="42" spans="2:14" x14ac:dyDescent="0.25">
      <c r="B42" s="374"/>
      <c r="C42" s="1"/>
      <c r="D42" s="38"/>
      <c r="E42" s="38"/>
      <c r="F42" s="8"/>
      <c r="H42" s="14"/>
      <c r="I42" s="82"/>
      <c r="J42" s="387"/>
    </row>
    <row r="43" spans="2:14" x14ac:dyDescent="0.25">
      <c r="B43" s="374"/>
      <c r="C43" s="2" t="s">
        <v>56</v>
      </c>
      <c r="D43" s="38"/>
      <c r="E43" s="38"/>
      <c r="H43" s="14"/>
      <c r="I43" s="82"/>
      <c r="J43" s="387"/>
    </row>
    <row r="44" spans="2:14" x14ac:dyDescent="0.25">
      <c r="B44" s="374"/>
      <c r="C44" s="1" t="s">
        <v>57</v>
      </c>
      <c r="D44" s="73">
        <v>346045</v>
      </c>
      <c r="E44" s="38">
        <v>0.50877223935062055</v>
      </c>
      <c r="F44" s="8">
        <v>8419</v>
      </c>
      <c r="G44" s="13">
        <v>0.45256141482556578</v>
      </c>
      <c r="H44" s="14">
        <v>0.88951672245954228</v>
      </c>
      <c r="I44" s="82">
        <v>2.4329205739137973E-2</v>
      </c>
      <c r="J44" s="387"/>
      <c r="N44" s="38"/>
    </row>
    <row r="45" spans="2:14" x14ac:dyDescent="0.25">
      <c r="B45" s="374"/>
      <c r="C45" s="1" t="s">
        <v>58</v>
      </c>
      <c r="D45" s="73">
        <v>129721</v>
      </c>
      <c r="E45" s="38">
        <v>0.19072214209366367</v>
      </c>
      <c r="F45" s="8">
        <v>4967</v>
      </c>
      <c r="G45" s="13">
        <v>0.26699994624522927</v>
      </c>
      <c r="H45" s="14">
        <v>1.3999420482290177</v>
      </c>
      <c r="I45" s="82">
        <v>3.8289868255718042E-2</v>
      </c>
      <c r="J45" s="387"/>
      <c r="N45" s="38"/>
    </row>
    <row r="46" spans="2:14" x14ac:dyDescent="0.25">
      <c r="B46" s="374"/>
      <c r="C46" s="1" t="s">
        <v>59</v>
      </c>
      <c r="D46" s="73">
        <v>74530</v>
      </c>
      <c r="E46" s="38">
        <v>0.10957764163274068</v>
      </c>
      <c r="F46" s="8">
        <v>3107</v>
      </c>
      <c r="G46" s="13">
        <v>0.16701607267645002</v>
      </c>
      <c r="H46" s="14">
        <v>1.52418020855221</v>
      </c>
      <c r="I46" s="82">
        <v>4.1687910908359049E-2</v>
      </c>
      <c r="J46" s="387"/>
    </row>
    <row r="47" spans="2:14" x14ac:dyDescent="0.25">
      <c r="B47" s="374"/>
      <c r="C47" s="1" t="s">
        <v>60</v>
      </c>
      <c r="D47" s="73">
        <v>108220</v>
      </c>
      <c r="E47" s="38">
        <v>0.1591103230577646</v>
      </c>
      <c r="F47" s="8">
        <v>1618</v>
      </c>
      <c r="G47" s="13">
        <v>8.697521905069075E-2</v>
      </c>
      <c r="H47" s="14">
        <v>0.54663467070652993</v>
      </c>
      <c r="I47" s="82">
        <v>1.4951025688412493E-2</v>
      </c>
      <c r="J47" s="387"/>
    </row>
    <row r="48" spans="2:14" x14ac:dyDescent="0.25">
      <c r="B48" s="374"/>
      <c r="C48" s="1" t="s">
        <v>61</v>
      </c>
      <c r="D48" s="73">
        <v>6667</v>
      </c>
      <c r="E48" s="38">
        <v>9.8021486215682553E-3</v>
      </c>
      <c r="F48" s="8">
        <v>126</v>
      </c>
      <c r="G48" s="13">
        <v>6.7731011127237541E-3</v>
      </c>
      <c r="H48" s="14">
        <v>0.69098127096547934</v>
      </c>
      <c r="I48" s="82">
        <v>1.8899055047247638E-2</v>
      </c>
      <c r="J48" s="387"/>
    </row>
    <row r="49" spans="2:15" x14ac:dyDescent="0.25">
      <c r="B49" s="374"/>
      <c r="C49" s="1" t="s">
        <v>62</v>
      </c>
      <c r="D49" s="73">
        <v>3104</v>
      </c>
      <c r="E49" s="38">
        <v>4.5636522155914003E-3</v>
      </c>
      <c r="F49" s="3">
        <v>37</v>
      </c>
      <c r="G49" s="13">
        <v>1.988926517228404E-3</v>
      </c>
      <c r="H49" s="14">
        <v>0.43581903775081171</v>
      </c>
      <c r="I49" s="82">
        <v>1.1920103092783504E-2</v>
      </c>
      <c r="J49" s="387"/>
      <c r="M49" s="13"/>
    </row>
    <row r="50" spans="2:15" ht="15.75" thickBot="1" x14ac:dyDescent="0.3">
      <c r="B50" s="375"/>
      <c r="C50" s="9" t="s">
        <v>63</v>
      </c>
      <c r="D50" s="74">
        <v>11870</v>
      </c>
      <c r="E50" s="44">
        <v>1.7451853028050877E-2</v>
      </c>
      <c r="F50" s="10">
        <v>329</v>
      </c>
      <c r="G50" s="17">
        <v>1.7685319572112026E-2</v>
      </c>
      <c r="H50" s="18">
        <v>1.0133777509864363</v>
      </c>
      <c r="I50" s="83">
        <v>2.771693344566133E-2</v>
      </c>
      <c r="J50" s="388"/>
    </row>
    <row r="51" spans="2:15" ht="15.75" thickBot="1" x14ac:dyDescent="0.3">
      <c r="C51" s="1"/>
      <c r="D51" s="8"/>
      <c r="I51" s="4"/>
      <c r="J51" s="28"/>
    </row>
    <row r="52" spans="2:15" x14ac:dyDescent="0.25">
      <c r="B52" s="373" t="s">
        <v>64</v>
      </c>
      <c r="C52" s="21" t="s">
        <v>65</v>
      </c>
      <c r="D52" s="23" t="s">
        <v>66</v>
      </c>
      <c r="E52" s="48" t="s">
        <v>67</v>
      </c>
      <c r="F52" s="48" t="s">
        <v>68</v>
      </c>
      <c r="G52" s="48" t="s">
        <v>51</v>
      </c>
      <c r="H52" s="6"/>
      <c r="I52" s="7"/>
      <c r="J52" s="373" t="s">
        <v>19</v>
      </c>
    </row>
    <row r="53" spans="2:15" x14ac:dyDescent="0.25">
      <c r="B53" s="374"/>
      <c r="C53" s="1" t="s">
        <v>69</v>
      </c>
      <c r="D53" s="8">
        <v>13452</v>
      </c>
      <c r="E53" s="67"/>
      <c r="F53" s="68"/>
      <c r="I53" s="4"/>
      <c r="J53" s="374"/>
      <c r="N53" s="8"/>
    </row>
    <row r="54" spans="2:15" x14ac:dyDescent="0.25">
      <c r="B54" s="374"/>
      <c r="C54" s="1" t="s">
        <v>70</v>
      </c>
      <c r="D54" s="69">
        <v>0.8</v>
      </c>
      <c r="E54" s="68"/>
      <c r="F54" s="68"/>
      <c r="I54" s="4"/>
      <c r="J54" s="374"/>
      <c r="N54" s="39"/>
    </row>
    <row r="55" spans="2:15" x14ac:dyDescent="0.25">
      <c r="B55" s="374"/>
      <c r="C55" s="1"/>
      <c r="D55" s="70"/>
      <c r="E55" s="68"/>
      <c r="F55" s="14"/>
      <c r="I55" s="4"/>
      <c r="J55" s="374"/>
      <c r="M55" s="8"/>
      <c r="N55" s="8"/>
    </row>
    <row r="56" spans="2:15" ht="14.45" customHeight="1" x14ac:dyDescent="0.25">
      <c r="B56" s="374"/>
      <c r="C56" s="1" t="s">
        <v>71</v>
      </c>
      <c r="D56" s="8">
        <v>57403</v>
      </c>
      <c r="F56" s="68"/>
      <c r="I56" s="4"/>
      <c r="J56" s="374"/>
      <c r="K56" s="24"/>
      <c r="M56" s="14"/>
      <c r="N56" s="8"/>
    </row>
    <row r="57" spans="2:15" x14ac:dyDescent="0.25">
      <c r="B57" s="374"/>
      <c r="C57" s="1" t="s">
        <v>72</v>
      </c>
      <c r="D57" s="71">
        <v>4.2672465060957476</v>
      </c>
      <c r="E57" s="14"/>
      <c r="F57" s="14"/>
      <c r="I57" s="4"/>
      <c r="J57" s="374"/>
      <c r="N57" s="14"/>
    </row>
    <row r="58" spans="2:15" x14ac:dyDescent="0.25">
      <c r="B58" s="374"/>
      <c r="C58" s="1"/>
      <c r="D58" s="71"/>
      <c r="F58" s="14"/>
      <c r="I58" s="4"/>
      <c r="J58" s="374"/>
      <c r="M58" s="8"/>
      <c r="O58" s="14"/>
    </row>
    <row r="59" spans="2:15" x14ac:dyDescent="0.25">
      <c r="B59" s="374"/>
      <c r="C59" s="1" t="s">
        <v>73</v>
      </c>
      <c r="D59" s="67">
        <v>28443</v>
      </c>
      <c r="E59" s="67"/>
      <c r="F59" s="14"/>
      <c r="I59" s="4"/>
      <c r="J59" s="374"/>
      <c r="M59" s="14"/>
      <c r="N59" s="8"/>
      <c r="O59" s="14"/>
    </row>
    <row r="60" spans="2:15" x14ac:dyDescent="0.25">
      <c r="B60" s="374"/>
      <c r="C60" s="1" t="s">
        <v>74</v>
      </c>
      <c r="D60" s="71">
        <v>2.1144067796610169</v>
      </c>
      <c r="E60" s="72"/>
      <c r="F60" s="14"/>
      <c r="I60" s="4"/>
      <c r="J60" s="374"/>
      <c r="N60" s="14"/>
    </row>
    <row r="61" spans="2:15" ht="15.75" thickBot="1" x14ac:dyDescent="0.3">
      <c r="B61" s="375"/>
      <c r="C61" s="9" t="s">
        <v>75</v>
      </c>
      <c r="D61" s="84">
        <v>2.0181767042857643</v>
      </c>
      <c r="E61" s="85"/>
      <c r="F61" s="18"/>
      <c r="G61" s="20"/>
      <c r="H61" s="20"/>
      <c r="I61" s="11"/>
      <c r="J61" s="375"/>
      <c r="N61" s="14"/>
    </row>
    <row r="62" spans="2:15" x14ac:dyDescent="0.25">
      <c r="D62" s="37"/>
      <c r="E62" s="22"/>
      <c r="F62" s="14"/>
    </row>
  </sheetData>
  <mergeCells count="11">
    <mergeCell ref="J52:J61"/>
    <mergeCell ref="B52:B61"/>
    <mergeCell ref="C2:I2"/>
    <mergeCell ref="B3:B4"/>
    <mergeCell ref="J3:J4"/>
    <mergeCell ref="B6:B34"/>
    <mergeCell ref="J6:J34"/>
    <mergeCell ref="B36:B50"/>
    <mergeCell ref="D36:E36"/>
    <mergeCell ref="F36:G36"/>
    <mergeCell ref="J36:J50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4CEE3-847D-4F7C-AF3D-AD79668AF908}">
  <sheetPr codeName="Sheet2">
    <tabColor theme="5"/>
  </sheetPr>
  <dimension ref="B1:O64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76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ht="15.75" thickBot="1" x14ac:dyDescent="0.3">
      <c r="B6" s="375"/>
      <c r="C6" s="58" t="s">
        <v>78</v>
      </c>
      <c r="D6" s="55"/>
      <c r="E6" s="55">
        <v>25746</v>
      </c>
      <c r="F6" s="55">
        <v>25435</v>
      </c>
      <c r="G6" s="55">
        <v>1662</v>
      </c>
      <c r="H6" s="55"/>
      <c r="I6" s="56"/>
      <c r="J6" s="380"/>
    </row>
    <row r="7" spans="2:10" ht="15.75" thickBot="1" x14ac:dyDescent="0.3">
      <c r="C7" s="45"/>
      <c r="D7" s="25"/>
      <c r="E7" s="50"/>
      <c r="F7" s="50"/>
      <c r="G7" s="50"/>
      <c r="H7" s="50"/>
      <c r="I7" s="51"/>
      <c r="J7" s="27"/>
    </row>
    <row r="8" spans="2:10" x14ac:dyDescent="0.25">
      <c r="B8" s="381" t="s">
        <v>13</v>
      </c>
      <c r="C8" s="5"/>
      <c r="D8" s="48" t="s">
        <v>79</v>
      </c>
      <c r="E8" s="48" t="s">
        <v>15</v>
      </c>
      <c r="F8" s="48" t="s">
        <v>80</v>
      </c>
      <c r="G8" s="48" t="s">
        <v>17</v>
      </c>
      <c r="H8" s="48" t="s">
        <v>18</v>
      </c>
      <c r="I8" s="49"/>
      <c r="J8" s="380" t="s">
        <v>19</v>
      </c>
    </row>
    <row r="9" spans="2:10" x14ac:dyDescent="0.25">
      <c r="B9" s="382"/>
      <c r="C9" s="2" t="s">
        <v>20</v>
      </c>
      <c r="D9" s="47"/>
      <c r="E9" s="47"/>
      <c r="F9" s="47"/>
      <c r="G9" s="47"/>
      <c r="H9" s="47"/>
      <c r="I9" s="12"/>
      <c r="J9" s="380"/>
    </row>
    <row r="10" spans="2:10" x14ac:dyDescent="0.25">
      <c r="B10" s="382"/>
      <c r="C10" s="1" t="s">
        <v>21</v>
      </c>
      <c r="D10" s="13">
        <v>0.34688571090887604</v>
      </c>
      <c r="E10" s="13">
        <v>0.33997622820919177</v>
      </c>
      <c r="F10" s="14">
        <v>1.0203234288940719</v>
      </c>
      <c r="G10" s="13">
        <v>0.57235489190258093</v>
      </c>
      <c r="H10" s="14">
        <v>0.5939954965337455</v>
      </c>
      <c r="I10" s="15"/>
      <c r="J10" s="380"/>
    </row>
    <row r="11" spans="2:10" x14ac:dyDescent="0.25">
      <c r="B11" s="382"/>
      <c r="C11" s="1" t="s">
        <v>22</v>
      </c>
      <c r="D11" s="13">
        <v>0.65311428909112401</v>
      </c>
      <c r="E11" s="13">
        <v>0.66002377179080829</v>
      </c>
      <c r="F11" s="14">
        <v>0.98953146387297974</v>
      </c>
      <c r="G11" s="13">
        <v>0.42764510809741907</v>
      </c>
      <c r="H11" s="14">
        <v>1.5433913759173705</v>
      </c>
      <c r="I11" s="15"/>
      <c r="J11" s="380"/>
    </row>
    <row r="12" spans="2:10" x14ac:dyDescent="0.25">
      <c r="B12" s="382"/>
      <c r="C12" s="1"/>
      <c r="D12" s="13"/>
      <c r="E12" s="13"/>
      <c r="F12" s="14"/>
      <c r="G12" s="13"/>
      <c r="H12" s="14"/>
      <c r="I12" s="15"/>
      <c r="J12" s="380"/>
    </row>
    <row r="13" spans="2:10" x14ac:dyDescent="0.25">
      <c r="B13" s="382"/>
      <c r="C13" s="2" t="s">
        <v>23</v>
      </c>
      <c r="F13" s="14"/>
      <c r="G13" s="13"/>
      <c r="H13" s="14"/>
      <c r="I13" s="15"/>
      <c r="J13" s="380"/>
    </row>
    <row r="14" spans="2:10" x14ac:dyDescent="0.25">
      <c r="B14" s="382"/>
      <c r="C14" s="1" t="s">
        <v>24</v>
      </c>
      <c r="D14" s="13">
        <v>1.4072944763691803E-2</v>
      </c>
      <c r="E14" s="13">
        <v>1.0227362127291322E-2</v>
      </c>
      <c r="F14" s="14">
        <v>1.3760092376252808</v>
      </c>
      <c r="G14" s="13">
        <v>9.3529624053555957E-3</v>
      </c>
      <c r="H14" s="14">
        <v>1.0934890662486825</v>
      </c>
      <c r="I14" s="15"/>
      <c r="J14" s="380"/>
    </row>
    <row r="15" spans="2:10" x14ac:dyDescent="0.25">
      <c r="B15" s="382"/>
      <c r="C15" s="1" t="s">
        <v>25</v>
      </c>
      <c r="D15" s="13">
        <v>0.15386419608303037</v>
      </c>
      <c r="E15" s="13">
        <v>0.12811737864841477</v>
      </c>
      <c r="F15" s="14">
        <v>1.2009627242317462</v>
      </c>
      <c r="G15" s="13">
        <v>0.11987086678511411</v>
      </c>
      <c r="H15" s="14">
        <v>1.068794963150502</v>
      </c>
      <c r="I15" s="15"/>
      <c r="J15" s="380"/>
    </row>
    <row r="16" spans="2:10" x14ac:dyDescent="0.25">
      <c r="B16" s="382"/>
      <c r="C16" s="1" t="s">
        <v>26</v>
      </c>
      <c r="D16" s="13">
        <v>0.38841327547789373</v>
      </c>
      <c r="E16" s="13">
        <v>0.37070254110612855</v>
      </c>
      <c r="F16" s="14">
        <v>1.0477761342528666</v>
      </c>
      <c r="G16" s="13">
        <v>0.29408078276439853</v>
      </c>
      <c r="H16" s="14">
        <v>1.2605466349126091</v>
      </c>
      <c r="I16" s="15"/>
      <c r="J16" s="380"/>
    </row>
    <row r="17" spans="2:10" x14ac:dyDescent="0.25">
      <c r="B17" s="382"/>
      <c r="C17" s="1" t="s">
        <v>27</v>
      </c>
      <c r="D17" s="13">
        <v>0.32133223877096284</v>
      </c>
      <c r="E17" s="13">
        <v>0.34285264731335063</v>
      </c>
      <c r="F17" s="14">
        <v>0.93723131872824894</v>
      </c>
      <c r="G17" s="13">
        <v>0.32868783998543011</v>
      </c>
      <c r="H17" s="14">
        <v>1.0430950147974698</v>
      </c>
      <c r="I17" s="15"/>
      <c r="J17" s="380"/>
    </row>
    <row r="18" spans="2:10" x14ac:dyDescent="0.25">
      <c r="B18" s="382"/>
      <c r="C18" s="1" t="s">
        <v>28</v>
      </c>
      <c r="D18" s="13">
        <v>0.11035534185528321</v>
      </c>
      <c r="E18" s="13">
        <v>0.13205097946660374</v>
      </c>
      <c r="F18" s="14">
        <v>0.83570256200327964</v>
      </c>
      <c r="G18" s="13">
        <v>0.17578056392525954</v>
      </c>
      <c r="H18" s="14">
        <v>0.75122628189286467</v>
      </c>
      <c r="I18" s="15"/>
      <c r="J18" s="380"/>
    </row>
    <row r="19" spans="2:10" x14ac:dyDescent="0.25">
      <c r="B19" s="382"/>
      <c r="C19" s="1" t="s">
        <v>29</v>
      </c>
      <c r="D19" s="13">
        <v>1.1962003049138033E-2</v>
      </c>
      <c r="E19" s="13">
        <v>1.6049091338210999E-2</v>
      </c>
      <c r="F19" s="14">
        <v>0.74533833704702712</v>
      </c>
      <c r="G19" s="13">
        <v>7.222698413444209E-2</v>
      </c>
      <c r="H19" s="14">
        <v>0.22220353695424264</v>
      </c>
      <c r="I19" s="15"/>
      <c r="J19" s="380"/>
    </row>
    <row r="20" spans="2:10" x14ac:dyDescent="0.25">
      <c r="B20" s="382"/>
      <c r="C20" s="1"/>
      <c r="D20" s="13"/>
      <c r="E20" s="13"/>
      <c r="F20" s="14"/>
      <c r="G20" s="13"/>
      <c r="H20" s="14"/>
      <c r="I20" s="15"/>
      <c r="J20" s="380"/>
    </row>
    <row r="21" spans="2:10" x14ac:dyDescent="0.25">
      <c r="B21" s="382"/>
      <c r="C21" s="2" t="s">
        <v>30</v>
      </c>
      <c r="F21" s="14"/>
      <c r="G21" s="13"/>
      <c r="H21" s="14"/>
      <c r="I21" s="15"/>
      <c r="J21" s="380"/>
    </row>
    <row r="22" spans="2:10" x14ac:dyDescent="0.25">
      <c r="B22" s="382"/>
      <c r="C22" s="1" t="s">
        <v>31</v>
      </c>
      <c r="D22" s="13">
        <v>0.44681599624721474</v>
      </c>
      <c r="E22" s="13">
        <v>0.46237362810274968</v>
      </c>
      <c r="F22" s="14">
        <v>0.96635268339292546</v>
      </c>
      <c r="G22" s="13">
        <v>0.4916982188238192</v>
      </c>
      <c r="H22" s="14">
        <v>0.9403605919272674</v>
      </c>
      <c r="I22" s="15"/>
      <c r="J22" s="380"/>
    </row>
    <row r="23" spans="2:10" x14ac:dyDescent="0.25">
      <c r="B23" s="382"/>
      <c r="C23" s="1" t="s">
        <v>32</v>
      </c>
      <c r="D23" s="13">
        <v>0.2320863140612173</v>
      </c>
      <c r="E23" s="13">
        <v>0.21962157271547145</v>
      </c>
      <c r="F23" s="14">
        <v>1.0567555417786505</v>
      </c>
      <c r="G23" s="13">
        <v>0.14338031637987977</v>
      </c>
      <c r="H23" s="14">
        <v>1.5317414430415528</v>
      </c>
      <c r="I23" s="15"/>
      <c r="J23" s="380"/>
    </row>
    <row r="24" spans="2:10" x14ac:dyDescent="0.25">
      <c r="B24" s="382"/>
      <c r="C24" s="1" t="s">
        <v>33</v>
      </c>
      <c r="D24" s="13">
        <v>0.13287205347719011</v>
      </c>
      <c r="E24" s="13">
        <v>0.13406238936312498</v>
      </c>
      <c r="F24" s="14">
        <v>0.99112103035318355</v>
      </c>
      <c r="G24" s="13">
        <v>0.13350111393482081</v>
      </c>
      <c r="H24" s="14">
        <v>1.0042042752435625</v>
      </c>
      <c r="I24" s="15"/>
      <c r="J24" s="380"/>
    </row>
    <row r="25" spans="2:10" x14ac:dyDescent="0.25">
      <c r="B25" s="382"/>
      <c r="C25" s="1" t="s">
        <v>34</v>
      </c>
      <c r="D25" s="13">
        <v>7.7635745279699783E-2</v>
      </c>
      <c r="E25" s="13">
        <v>7.7652334683922741E-2</v>
      </c>
      <c r="F25" s="14">
        <v>0.9997863630978967</v>
      </c>
      <c r="G25" s="13">
        <v>0.10246565834107677</v>
      </c>
      <c r="H25" s="14">
        <v>0.75783765937892988</v>
      </c>
      <c r="I25" s="15"/>
      <c r="J25" s="380"/>
    </row>
    <row r="26" spans="2:10" x14ac:dyDescent="0.25">
      <c r="B26" s="382"/>
      <c r="C26" s="1" t="s">
        <v>35</v>
      </c>
      <c r="D26" s="13">
        <v>2.1461240764629998E-2</v>
      </c>
      <c r="E26" s="13">
        <v>1.9668777782148619E-2</v>
      </c>
      <c r="F26" s="14">
        <v>1.0911324029553182</v>
      </c>
      <c r="G26" s="13">
        <v>3.3207572517716603E-2</v>
      </c>
      <c r="H26" s="14">
        <v>0.59229796973732751</v>
      </c>
      <c r="I26" s="15"/>
      <c r="J26" s="380"/>
    </row>
    <row r="27" spans="2:10" x14ac:dyDescent="0.25">
      <c r="B27" s="382"/>
      <c r="C27" s="1" t="s">
        <v>36</v>
      </c>
      <c r="D27" s="13">
        <v>1.6770259176732732E-2</v>
      </c>
      <c r="E27" s="13">
        <v>1.5617009559026002E-2</v>
      </c>
      <c r="F27" s="14">
        <v>1.0738457393746166</v>
      </c>
      <c r="G27" s="13">
        <v>2.6221465915833547E-2</v>
      </c>
      <c r="H27" s="14">
        <v>0.59558110172611822</v>
      </c>
      <c r="I27" s="15"/>
      <c r="J27" s="380"/>
    </row>
    <row r="28" spans="2:10" x14ac:dyDescent="0.25">
      <c r="B28" s="382"/>
      <c r="C28" s="1" t="s">
        <v>37</v>
      </c>
      <c r="D28" s="13">
        <v>7.2358390993315355E-2</v>
      </c>
      <c r="E28" s="13">
        <v>7.1004287793556511E-2</v>
      </c>
      <c r="F28" s="14">
        <v>1.0190707243440829</v>
      </c>
      <c r="G28" s="13">
        <v>6.9525654086853336E-2</v>
      </c>
      <c r="H28" s="14">
        <v>1.0212674548139602</v>
      </c>
      <c r="I28" s="15"/>
      <c r="J28" s="380"/>
    </row>
    <row r="29" spans="2:10" x14ac:dyDescent="0.25">
      <c r="B29" s="382"/>
      <c r="C29" s="1"/>
      <c r="D29" s="13"/>
      <c r="E29" s="13"/>
      <c r="F29" s="14"/>
      <c r="G29" s="13"/>
      <c r="H29" s="14"/>
      <c r="I29" s="15"/>
      <c r="J29" s="380"/>
    </row>
    <row r="30" spans="2:10" x14ac:dyDescent="0.25">
      <c r="B30" s="382"/>
      <c r="C30" s="2" t="s">
        <v>38</v>
      </c>
      <c r="F30" s="14"/>
      <c r="G30" s="13"/>
      <c r="H30" s="14"/>
      <c r="I30" s="15"/>
      <c r="J30" s="380"/>
    </row>
    <row r="31" spans="2:10" x14ac:dyDescent="0.25">
      <c r="B31" s="382"/>
      <c r="C31" s="1" t="s">
        <v>39</v>
      </c>
      <c r="D31" s="13">
        <v>0.18306555646769088</v>
      </c>
      <c r="E31" s="13">
        <v>0.15022421524663676</v>
      </c>
      <c r="F31" s="14">
        <v>1.21861549529239</v>
      </c>
      <c r="G31" s="16" t="s">
        <v>12</v>
      </c>
      <c r="H31" s="16" t="s">
        <v>12</v>
      </c>
      <c r="I31" s="36"/>
      <c r="J31" s="380"/>
    </row>
    <row r="32" spans="2:10" x14ac:dyDescent="0.25">
      <c r="B32" s="382"/>
      <c r="C32" s="1" t="s">
        <v>40</v>
      </c>
      <c r="D32" s="13">
        <v>3.4009616512255189E-2</v>
      </c>
      <c r="E32" s="13">
        <v>2.651246951459366E-2</v>
      </c>
      <c r="F32" s="14">
        <v>1.2827781468465154</v>
      </c>
      <c r="G32" s="13">
        <v>0.23826371358004139</v>
      </c>
      <c r="H32" s="14">
        <v>0.11127363506691573</v>
      </c>
      <c r="I32" s="15"/>
      <c r="J32" s="380"/>
    </row>
    <row r="33" spans="2:14" x14ac:dyDescent="0.25">
      <c r="B33" s="382"/>
      <c r="C33" s="1" t="s">
        <v>41</v>
      </c>
      <c r="D33" s="13">
        <v>6.9661076580274428E-2</v>
      </c>
      <c r="E33" s="13">
        <v>6.3724333254661314E-2</v>
      </c>
      <c r="F33" s="14">
        <v>1.09316289433564</v>
      </c>
      <c r="G33" s="13">
        <v>0.2944472672851261</v>
      </c>
      <c r="H33" s="14">
        <v>0.21642018906208516</v>
      </c>
      <c r="I33" s="15"/>
      <c r="J33" s="380"/>
    </row>
    <row r="34" spans="2:14" x14ac:dyDescent="0.25">
      <c r="B34" s="382"/>
      <c r="C34" s="1" t="s">
        <v>42</v>
      </c>
      <c r="D34" s="13">
        <v>0.1268910519526211</v>
      </c>
      <c r="E34" s="13">
        <v>0.11446778380929903</v>
      </c>
      <c r="F34" s="14">
        <v>1.108530695099496</v>
      </c>
      <c r="G34" s="13">
        <v>0.2295170839287588</v>
      </c>
      <c r="H34" s="14">
        <v>0.49873317423651731</v>
      </c>
      <c r="I34" s="15"/>
      <c r="J34" s="380"/>
    </row>
    <row r="35" spans="2:14" x14ac:dyDescent="0.25">
      <c r="B35" s="382"/>
      <c r="C35" s="1" t="s">
        <v>43</v>
      </c>
      <c r="D35" s="13">
        <v>0.23548727571244282</v>
      </c>
      <c r="E35" s="13">
        <v>0.21815750137676029</v>
      </c>
      <c r="F35" s="14">
        <v>1.0794369857846595</v>
      </c>
      <c r="G35" s="13">
        <v>0.16500439759050969</v>
      </c>
      <c r="H35" s="14">
        <v>1.3221314374793833</v>
      </c>
      <c r="I35" s="15"/>
      <c r="J35" s="380"/>
    </row>
    <row r="36" spans="2:14" ht="15.75" thickBot="1" x14ac:dyDescent="0.3">
      <c r="B36" s="383"/>
      <c r="C36" s="9" t="s">
        <v>44</v>
      </c>
      <c r="D36" s="17">
        <v>0.35088542277471563</v>
      </c>
      <c r="E36" s="17">
        <v>0.42691369679804891</v>
      </c>
      <c r="F36" s="14">
        <v>0.82191184168237552</v>
      </c>
      <c r="G36" s="17">
        <v>7.2767537615563996E-2</v>
      </c>
      <c r="H36" s="14">
        <v>5.8668152144087093</v>
      </c>
      <c r="I36" s="19"/>
      <c r="J36" s="384"/>
    </row>
    <row r="37" spans="2:14" ht="15.75" thickBot="1" x14ac:dyDescent="0.3">
      <c r="B37" s="60"/>
      <c r="C37" s="45"/>
      <c r="D37" s="43"/>
      <c r="E37" s="43"/>
      <c r="F37" s="43"/>
      <c r="G37" s="43"/>
      <c r="H37" s="43"/>
      <c r="I37" s="26"/>
      <c r="J37" s="28"/>
    </row>
    <row r="38" spans="2:14" x14ac:dyDescent="0.25">
      <c r="B38" s="373" t="s">
        <v>45</v>
      </c>
      <c r="C38" s="5"/>
      <c r="D38" s="385" t="s">
        <v>46</v>
      </c>
      <c r="E38" s="385"/>
      <c r="F38" s="385" t="s">
        <v>47</v>
      </c>
      <c r="G38" s="385"/>
      <c r="H38" s="42"/>
      <c r="I38" s="7"/>
      <c r="J38" s="386" t="s">
        <v>48</v>
      </c>
    </row>
    <row r="39" spans="2:14" x14ac:dyDescent="0.25">
      <c r="B39" s="374"/>
      <c r="C39" s="1"/>
      <c r="D39" s="40" t="s">
        <v>49</v>
      </c>
      <c r="E39" s="40" t="s">
        <v>50</v>
      </c>
      <c r="F39" s="40" t="s">
        <v>49</v>
      </c>
      <c r="G39" s="40" t="s">
        <v>50</v>
      </c>
      <c r="H39" s="41" t="s">
        <v>51</v>
      </c>
      <c r="I39" s="81" t="s">
        <v>52</v>
      </c>
      <c r="J39" s="387"/>
    </row>
    <row r="40" spans="2:14" x14ac:dyDescent="0.25">
      <c r="B40" s="374"/>
      <c r="C40" s="2" t="s">
        <v>53</v>
      </c>
      <c r="H40" s="13"/>
      <c r="I40" s="4"/>
      <c r="J40" s="387"/>
    </row>
    <row r="41" spans="2:14" x14ac:dyDescent="0.25">
      <c r="B41" s="374"/>
      <c r="C41" s="1" t="s">
        <v>54</v>
      </c>
      <c r="D41" s="73">
        <v>1728028</v>
      </c>
      <c r="E41" s="38">
        <v>0.68842253798313791</v>
      </c>
      <c r="F41" s="8">
        <v>35875</v>
      </c>
      <c r="G41" s="13">
        <v>0.58909013284290379</v>
      </c>
      <c r="H41" s="14">
        <v>0.85571012036990113</v>
      </c>
      <c r="I41" s="82">
        <v>2.0760658970803713E-2</v>
      </c>
      <c r="J41" s="387"/>
    </row>
    <row r="42" spans="2:14" x14ac:dyDescent="0.25">
      <c r="B42" s="374"/>
      <c r="C42" s="1" t="s">
        <v>55</v>
      </c>
      <c r="D42" s="73">
        <v>782099</v>
      </c>
      <c r="E42" s="38">
        <v>0.31157746201686209</v>
      </c>
      <c r="F42" s="8">
        <v>25024</v>
      </c>
      <c r="G42" s="13">
        <v>0.41090986715709615</v>
      </c>
      <c r="H42" s="14">
        <v>1.3188048471068756</v>
      </c>
      <c r="I42" s="82">
        <v>3.1995949361909429E-2</v>
      </c>
      <c r="J42" s="387"/>
    </row>
    <row r="43" spans="2:14" x14ac:dyDescent="0.25">
      <c r="B43" s="374"/>
      <c r="C43" s="1" t="s">
        <v>53</v>
      </c>
      <c r="D43" s="73">
        <v>2510127</v>
      </c>
      <c r="E43" s="38"/>
      <c r="F43" s="8">
        <v>60899</v>
      </c>
      <c r="H43" s="14"/>
      <c r="I43" s="82">
        <v>2.4261322235886871E-2</v>
      </c>
      <c r="J43" s="387"/>
    </row>
    <row r="44" spans="2:14" x14ac:dyDescent="0.25">
      <c r="B44" s="374"/>
      <c r="C44" s="1"/>
      <c r="D44" s="38"/>
      <c r="E44" s="38"/>
      <c r="F44" s="8"/>
      <c r="H44" s="14"/>
      <c r="I44" s="82"/>
      <c r="J44" s="387"/>
    </row>
    <row r="45" spans="2:14" x14ac:dyDescent="0.25">
      <c r="B45" s="374"/>
      <c r="C45" s="2" t="s">
        <v>56</v>
      </c>
      <c r="D45" s="38"/>
      <c r="E45" s="38"/>
      <c r="H45" s="14"/>
      <c r="I45" s="82"/>
      <c r="J45" s="387"/>
    </row>
    <row r="46" spans="2:14" x14ac:dyDescent="0.25">
      <c r="B46" s="374"/>
      <c r="C46" s="1" t="s">
        <v>57</v>
      </c>
      <c r="D46" s="73">
        <v>354837</v>
      </c>
      <c r="E46" s="38">
        <v>0.4536983169649878</v>
      </c>
      <c r="F46" s="8">
        <v>10197</v>
      </c>
      <c r="G46" s="13">
        <v>0.40748881074168797</v>
      </c>
      <c r="H46" s="14">
        <v>0.89814926682466434</v>
      </c>
      <c r="I46" s="82">
        <v>2.8737138460758038E-2</v>
      </c>
      <c r="J46" s="387"/>
      <c r="N46" s="38"/>
    </row>
    <row r="47" spans="2:14" x14ac:dyDescent="0.25">
      <c r="B47" s="374"/>
      <c r="C47" s="1" t="s">
        <v>58</v>
      </c>
      <c r="D47" s="73">
        <v>145653</v>
      </c>
      <c r="E47" s="38">
        <v>0.18623345637828459</v>
      </c>
      <c r="F47" s="8">
        <v>5893</v>
      </c>
      <c r="G47" s="13">
        <v>0.23549392583120204</v>
      </c>
      <c r="H47" s="14">
        <v>1.2645092370130193</v>
      </c>
      <c r="I47" s="82">
        <v>4.045917351513529E-2</v>
      </c>
      <c r="J47" s="387"/>
      <c r="N47" s="38"/>
    </row>
    <row r="48" spans="2:14" x14ac:dyDescent="0.25">
      <c r="B48" s="374"/>
      <c r="C48" s="1" t="s">
        <v>59</v>
      </c>
      <c r="D48" s="73">
        <v>106637</v>
      </c>
      <c r="E48" s="38">
        <v>0.13634718878300572</v>
      </c>
      <c r="F48" s="8">
        <v>4666</v>
      </c>
      <c r="G48" s="13">
        <v>0.18646099744245526</v>
      </c>
      <c r="H48" s="14">
        <v>1.3675455952319253</v>
      </c>
      <c r="I48" s="82">
        <v>4.3755919615142962E-2</v>
      </c>
      <c r="J48" s="387"/>
    </row>
    <row r="49" spans="2:15" x14ac:dyDescent="0.25">
      <c r="B49" s="374"/>
      <c r="C49" s="1" t="s">
        <v>60</v>
      </c>
      <c r="D49" s="73">
        <v>151753</v>
      </c>
      <c r="E49" s="38">
        <v>0.19403298047945336</v>
      </c>
      <c r="F49" s="8">
        <v>3121</v>
      </c>
      <c r="G49" s="13">
        <v>0.12472026854219949</v>
      </c>
      <c r="H49" s="14">
        <v>0.64277870820732164</v>
      </c>
      <c r="I49" s="82">
        <v>2.0566314998715016E-2</v>
      </c>
      <c r="J49" s="387"/>
    </row>
    <row r="50" spans="2:15" x14ac:dyDescent="0.25">
      <c r="B50" s="374"/>
      <c r="C50" s="1" t="s">
        <v>61</v>
      </c>
      <c r="D50" s="73">
        <v>9568</v>
      </c>
      <c r="E50" s="38">
        <v>1.2233745344259486E-2</v>
      </c>
      <c r="F50" s="8">
        <v>546</v>
      </c>
      <c r="G50" s="13">
        <v>2.1819053708439898E-2</v>
      </c>
      <c r="H50" s="14">
        <v>1.7835138050080619</v>
      </c>
      <c r="I50" s="82">
        <v>5.7065217391304345E-2</v>
      </c>
      <c r="J50" s="387"/>
    </row>
    <row r="51" spans="2:15" x14ac:dyDescent="0.25">
      <c r="B51" s="374"/>
      <c r="C51" s="1" t="s">
        <v>62</v>
      </c>
      <c r="D51" s="73">
        <v>181</v>
      </c>
      <c r="E51" s="38">
        <v>2.3142850201828669E-4</v>
      </c>
      <c r="F51" s="3">
        <v>108</v>
      </c>
      <c r="G51" s="13">
        <v>4.3158567774936058E-3</v>
      </c>
      <c r="H51" s="14">
        <v>18.648769446524703</v>
      </c>
      <c r="I51" s="82">
        <v>0.59668508287292821</v>
      </c>
      <c r="J51" s="387"/>
      <c r="M51" s="13"/>
    </row>
    <row r="52" spans="2:15" ht="15.75" thickBot="1" x14ac:dyDescent="0.3">
      <c r="B52" s="375"/>
      <c r="C52" s="9" t="s">
        <v>63</v>
      </c>
      <c r="D52" s="74">
        <v>13470</v>
      </c>
      <c r="E52" s="44">
        <v>1.7222883547990727E-2</v>
      </c>
      <c r="F52" s="10">
        <v>493</v>
      </c>
      <c r="G52" s="17">
        <v>1.970108695652174E-2</v>
      </c>
      <c r="H52" s="18">
        <v>1.1438901564668669</v>
      </c>
      <c r="I52" s="83">
        <v>3.6599851521900519E-2</v>
      </c>
      <c r="J52" s="388"/>
    </row>
    <row r="53" spans="2:15" ht="15.75" thickBot="1" x14ac:dyDescent="0.3">
      <c r="C53" s="1"/>
      <c r="D53" s="8"/>
      <c r="I53" s="4"/>
      <c r="J53" s="28"/>
    </row>
    <row r="54" spans="2:15" x14ac:dyDescent="0.25">
      <c r="B54" s="373" t="s">
        <v>64</v>
      </c>
      <c r="C54" s="21" t="s">
        <v>65</v>
      </c>
      <c r="D54" s="23" t="s">
        <v>66</v>
      </c>
      <c r="E54" s="48" t="s">
        <v>67</v>
      </c>
      <c r="F54" s="48" t="s">
        <v>68</v>
      </c>
      <c r="G54" s="48" t="s">
        <v>51</v>
      </c>
      <c r="H54" s="6"/>
      <c r="I54" s="7"/>
      <c r="J54" s="373" t="s">
        <v>19</v>
      </c>
    </row>
    <row r="55" spans="2:15" x14ac:dyDescent="0.25">
      <c r="B55" s="374"/>
      <c r="C55" s="1" t="s">
        <v>69</v>
      </c>
      <c r="D55" s="8">
        <v>18004</v>
      </c>
      <c r="E55" s="67"/>
      <c r="F55" s="68"/>
      <c r="I55" s="4"/>
      <c r="J55" s="374"/>
      <c r="N55" s="8"/>
    </row>
    <row r="56" spans="2:15" x14ac:dyDescent="0.25">
      <c r="B56" s="374"/>
      <c r="C56" s="1" t="s">
        <v>70</v>
      </c>
      <c r="D56" s="69">
        <v>0.75</v>
      </c>
      <c r="E56" s="68"/>
      <c r="F56" s="68"/>
      <c r="I56" s="4"/>
      <c r="J56" s="374"/>
      <c r="N56" s="39"/>
    </row>
    <row r="57" spans="2:15" x14ac:dyDescent="0.25">
      <c r="B57" s="374"/>
      <c r="C57" s="1"/>
      <c r="D57" s="70"/>
      <c r="E57" s="68"/>
      <c r="F57" s="14"/>
      <c r="I57" s="4"/>
      <c r="J57" s="374"/>
      <c r="M57" s="8"/>
      <c r="N57" s="8"/>
    </row>
    <row r="58" spans="2:15" ht="14.45" customHeight="1" x14ac:dyDescent="0.25">
      <c r="B58" s="374"/>
      <c r="C58" s="1" t="s">
        <v>71</v>
      </c>
      <c r="D58" s="8">
        <v>60899</v>
      </c>
      <c r="F58" s="68"/>
      <c r="I58" s="4"/>
      <c r="J58" s="374"/>
      <c r="K58" s="24"/>
      <c r="M58" s="14"/>
      <c r="N58" s="8"/>
    </row>
    <row r="59" spans="2:15" x14ac:dyDescent="0.25">
      <c r="B59" s="374"/>
      <c r="C59" s="1" t="s">
        <v>72</v>
      </c>
      <c r="D59" s="71">
        <v>3.3825261053099309</v>
      </c>
      <c r="E59" s="14"/>
      <c r="F59" s="14"/>
      <c r="I59" s="4"/>
      <c r="J59" s="374"/>
      <c r="N59" s="14"/>
    </row>
    <row r="60" spans="2:15" x14ac:dyDescent="0.25">
      <c r="B60" s="374"/>
      <c r="C60" s="1"/>
      <c r="D60" s="71"/>
      <c r="F60" s="14"/>
      <c r="I60" s="4"/>
      <c r="J60" s="374"/>
      <c r="M60" s="8"/>
      <c r="O60" s="14"/>
    </row>
    <row r="61" spans="2:15" x14ac:dyDescent="0.25">
      <c r="B61" s="374"/>
      <c r="C61" s="1" t="s">
        <v>73</v>
      </c>
      <c r="D61" s="67">
        <v>30350</v>
      </c>
      <c r="E61" s="67"/>
      <c r="F61" s="14"/>
      <c r="I61" s="4"/>
      <c r="J61" s="374"/>
      <c r="M61" s="14"/>
      <c r="N61" s="8"/>
      <c r="O61" s="14"/>
    </row>
    <row r="62" spans="2:15" x14ac:dyDescent="0.25">
      <c r="B62" s="374"/>
      <c r="C62" s="1" t="s">
        <v>74</v>
      </c>
      <c r="D62" s="71">
        <v>1.6857365029993334</v>
      </c>
      <c r="E62" s="72"/>
      <c r="F62" s="14"/>
      <c r="I62" s="4"/>
      <c r="J62" s="374"/>
      <c r="N62" s="14"/>
    </row>
    <row r="63" spans="2:15" ht="15.75" thickBot="1" x14ac:dyDescent="0.3">
      <c r="B63" s="375"/>
      <c r="C63" s="9" t="s">
        <v>75</v>
      </c>
      <c r="D63" s="84">
        <v>2.0065568369028006</v>
      </c>
      <c r="E63" s="85"/>
      <c r="F63" s="18"/>
      <c r="G63" s="20"/>
      <c r="H63" s="20"/>
      <c r="I63" s="11"/>
      <c r="J63" s="375"/>
      <c r="N63" s="14"/>
    </row>
    <row r="64" spans="2:15" x14ac:dyDescent="0.25">
      <c r="D64" s="37"/>
      <c r="E64" s="22"/>
      <c r="F64" s="14"/>
    </row>
  </sheetData>
  <mergeCells count="11">
    <mergeCell ref="B54:B63"/>
    <mergeCell ref="J54:J63"/>
    <mergeCell ref="C2:I2"/>
    <mergeCell ref="B3:B6"/>
    <mergeCell ref="J3:J6"/>
    <mergeCell ref="B8:B36"/>
    <mergeCell ref="J8:J36"/>
    <mergeCell ref="B38:B52"/>
    <mergeCell ref="D38:E38"/>
    <mergeCell ref="F38:G38"/>
    <mergeCell ref="J38:J52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DDDB-042D-46B9-B3DD-9B7D0B88B912}">
  <sheetPr codeName="Sheet3">
    <tabColor theme="5"/>
  </sheetPr>
  <dimension ref="B1:O65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81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ht="15.75" thickBot="1" x14ac:dyDescent="0.3">
      <c r="B7" s="375"/>
      <c r="C7" s="58" t="s">
        <v>78</v>
      </c>
      <c r="D7" s="55"/>
      <c r="E7" s="55">
        <v>36148</v>
      </c>
      <c r="F7" s="55">
        <v>35023</v>
      </c>
      <c r="G7" s="55">
        <v>3700</v>
      </c>
      <c r="H7" s="55"/>
      <c r="I7" s="56"/>
      <c r="J7" s="380"/>
    </row>
    <row r="8" spans="2:10" ht="15.75" thickBot="1" x14ac:dyDescent="0.3">
      <c r="C8" s="45"/>
      <c r="D8" s="25"/>
      <c r="E8" s="50"/>
      <c r="F8" s="50"/>
      <c r="G8" s="50"/>
      <c r="H8" s="50"/>
      <c r="I8" s="51"/>
      <c r="J8" s="27"/>
    </row>
    <row r="9" spans="2:10" x14ac:dyDescent="0.25">
      <c r="B9" s="381" t="s">
        <v>13</v>
      </c>
      <c r="C9" s="5"/>
      <c r="D9" s="48" t="s">
        <v>83</v>
      </c>
      <c r="E9" s="48" t="s">
        <v>15</v>
      </c>
      <c r="F9" s="48" t="s">
        <v>84</v>
      </c>
      <c r="G9" s="48" t="s">
        <v>17</v>
      </c>
      <c r="H9" s="48" t="s">
        <v>18</v>
      </c>
      <c r="I9" s="49"/>
      <c r="J9" s="380" t="s">
        <v>19</v>
      </c>
    </row>
    <row r="10" spans="2:10" x14ac:dyDescent="0.25">
      <c r="B10" s="382"/>
      <c r="C10" s="2" t="s">
        <v>20</v>
      </c>
      <c r="D10" s="47"/>
      <c r="E10" s="47"/>
      <c r="F10" s="47"/>
      <c r="G10" s="47"/>
      <c r="H10" s="47"/>
      <c r="I10" s="12"/>
      <c r="J10" s="380"/>
    </row>
    <row r="11" spans="2:10" x14ac:dyDescent="0.25">
      <c r="B11" s="382"/>
      <c r="C11" s="1" t="s">
        <v>21</v>
      </c>
      <c r="D11" s="13">
        <v>0.35214089854461084</v>
      </c>
      <c r="E11" s="13">
        <v>0.34329819710846149</v>
      </c>
      <c r="F11" s="14">
        <v>1.0257580771196291</v>
      </c>
      <c r="G11" s="13">
        <v>0.57235489190258093</v>
      </c>
      <c r="H11" s="14">
        <v>0.5997995334106333</v>
      </c>
      <c r="I11" s="15"/>
      <c r="J11" s="380"/>
    </row>
    <row r="12" spans="2:10" x14ac:dyDescent="0.25">
      <c r="B12" s="382"/>
      <c r="C12" s="1" t="s">
        <v>22</v>
      </c>
      <c r="D12" s="13">
        <v>0.64785910145538916</v>
      </c>
      <c r="E12" s="13">
        <v>0.65670180289153846</v>
      </c>
      <c r="F12" s="14">
        <v>0.98653467769204561</v>
      </c>
      <c r="G12" s="13">
        <v>0.42764510809741907</v>
      </c>
      <c r="H12" s="14">
        <v>1.5356233251753681</v>
      </c>
      <c r="I12" s="15"/>
      <c r="J12" s="380"/>
    </row>
    <row r="13" spans="2:10" x14ac:dyDescent="0.25">
      <c r="B13" s="382"/>
      <c r="C13" s="1"/>
      <c r="D13" s="13"/>
      <c r="E13" s="13"/>
      <c r="F13" s="14"/>
      <c r="G13" s="13"/>
      <c r="H13" s="14"/>
      <c r="I13" s="15"/>
      <c r="J13" s="380"/>
    </row>
    <row r="14" spans="2:10" x14ac:dyDescent="0.25">
      <c r="B14" s="382"/>
      <c r="C14" s="2" t="s">
        <v>23</v>
      </c>
      <c r="F14" s="14"/>
      <c r="G14" s="13"/>
      <c r="H14" s="14"/>
      <c r="I14" s="15"/>
      <c r="J14" s="380"/>
    </row>
    <row r="15" spans="2:10" x14ac:dyDescent="0.25">
      <c r="B15" s="382"/>
      <c r="C15" s="1" t="s">
        <v>24</v>
      </c>
      <c r="D15" s="13">
        <v>1.0121035058430717E-2</v>
      </c>
      <c r="E15" s="13">
        <v>1.0198251728275152E-2</v>
      </c>
      <c r="F15" s="14">
        <v>0.99242844049138856</v>
      </c>
      <c r="G15" s="13">
        <v>9.3529624053555957E-3</v>
      </c>
      <c r="H15" s="14">
        <v>1.0903766407139128</v>
      </c>
      <c r="I15" s="15"/>
      <c r="J15" s="380"/>
    </row>
    <row r="16" spans="2:10" x14ac:dyDescent="0.25">
      <c r="B16" s="382"/>
      <c r="C16" s="1" t="s">
        <v>25</v>
      </c>
      <c r="D16" s="13">
        <v>0.13512103505843071</v>
      </c>
      <c r="E16" s="13">
        <v>0.13003485116837113</v>
      </c>
      <c r="F16" s="14">
        <v>1.0391140055482042</v>
      </c>
      <c r="G16" s="13">
        <v>0.11987086678511411</v>
      </c>
      <c r="H16" s="14">
        <v>1.0847911144371505</v>
      </c>
      <c r="I16" s="15"/>
      <c r="J16" s="380"/>
    </row>
    <row r="17" spans="2:10" x14ac:dyDescent="0.25">
      <c r="B17" s="382"/>
      <c r="C17" s="1" t="s">
        <v>26</v>
      </c>
      <c r="D17" s="13">
        <v>0.36665275459098495</v>
      </c>
      <c r="E17" s="13">
        <v>0.3695937839227561</v>
      </c>
      <c r="F17" s="14">
        <v>0.99204253572515222</v>
      </c>
      <c r="G17" s="13">
        <v>0.29408078276439853</v>
      </c>
      <c r="H17" s="14">
        <v>1.2567763879316605</v>
      </c>
      <c r="I17" s="15"/>
      <c r="J17" s="380"/>
    </row>
    <row r="18" spans="2:10" x14ac:dyDescent="0.25">
      <c r="B18" s="382"/>
      <c r="C18" s="1" t="s">
        <v>27</v>
      </c>
      <c r="D18" s="13">
        <v>0.330550918196995</v>
      </c>
      <c r="E18" s="13">
        <v>0.33948465977261039</v>
      </c>
      <c r="F18" s="14">
        <v>0.97368440276035073</v>
      </c>
      <c r="G18" s="13">
        <v>0.32868783998543011</v>
      </c>
      <c r="H18" s="14">
        <v>1.0328482483187054</v>
      </c>
      <c r="I18" s="15"/>
      <c r="J18" s="380"/>
    </row>
    <row r="19" spans="2:10" x14ac:dyDescent="0.25">
      <c r="B19" s="382"/>
      <c r="C19" s="1" t="s">
        <v>28</v>
      </c>
      <c r="D19" s="13">
        <v>0.14232053422370616</v>
      </c>
      <c r="E19" s="13">
        <v>0.13486259498371708</v>
      </c>
      <c r="F19" s="14">
        <v>1.0553002798210247</v>
      </c>
      <c r="G19" s="13">
        <v>0.17578056392525954</v>
      </c>
      <c r="H19" s="14">
        <v>0.76722131259665072</v>
      </c>
      <c r="I19" s="15"/>
      <c r="J19" s="380"/>
    </row>
    <row r="20" spans="2:10" x14ac:dyDescent="0.25">
      <c r="B20" s="382"/>
      <c r="C20" s="1" t="s">
        <v>29</v>
      </c>
      <c r="D20" s="13">
        <v>1.5233722871452421E-2</v>
      </c>
      <c r="E20" s="13">
        <v>1.5825858424270124E-2</v>
      </c>
      <c r="F20" s="14">
        <v>0.9625843011517391</v>
      </c>
      <c r="G20" s="13">
        <v>7.222698413444209E-2</v>
      </c>
      <c r="H20" s="14">
        <v>0.21911282346791799</v>
      </c>
      <c r="I20" s="15"/>
      <c r="J20" s="380"/>
    </row>
    <row r="21" spans="2:10" x14ac:dyDescent="0.25">
      <c r="B21" s="382"/>
      <c r="C21" s="1"/>
      <c r="D21" s="13"/>
      <c r="E21" s="13"/>
      <c r="F21" s="14"/>
      <c r="G21" s="13"/>
      <c r="H21" s="14"/>
      <c r="I21" s="15"/>
      <c r="J21" s="380"/>
    </row>
    <row r="22" spans="2:10" x14ac:dyDescent="0.25">
      <c r="B22" s="382"/>
      <c r="C22" s="2" t="s">
        <v>30</v>
      </c>
      <c r="F22" s="14"/>
      <c r="G22" s="13"/>
      <c r="H22" s="14"/>
      <c r="I22" s="15"/>
      <c r="J22" s="380"/>
    </row>
    <row r="23" spans="2:10" x14ac:dyDescent="0.25">
      <c r="B23" s="382"/>
      <c r="C23" s="1" t="s">
        <v>31</v>
      </c>
      <c r="D23" s="13">
        <v>0.46837820914214151</v>
      </c>
      <c r="E23" s="13">
        <v>0.46401736993971943</v>
      </c>
      <c r="F23" s="14">
        <v>1.0093980085335783</v>
      </c>
      <c r="G23" s="13">
        <v>0.4916982188238192</v>
      </c>
      <c r="H23" s="14">
        <v>0.94370358113089259</v>
      </c>
      <c r="I23" s="15"/>
      <c r="J23" s="380"/>
    </row>
    <row r="24" spans="2:10" x14ac:dyDescent="0.25">
      <c r="B24" s="382"/>
      <c r="C24" s="1" t="s">
        <v>32</v>
      </c>
      <c r="D24" s="13">
        <v>0.22521394280943435</v>
      </c>
      <c r="E24" s="13">
        <v>0.22115247264520185</v>
      </c>
      <c r="F24" s="14">
        <v>1.0183650226273906</v>
      </c>
      <c r="G24" s="13">
        <v>0.14338031637987977</v>
      </c>
      <c r="H24" s="14">
        <v>1.5424186403611233</v>
      </c>
      <c r="I24" s="15"/>
      <c r="J24" s="380"/>
    </row>
    <row r="25" spans="2:10" x14ac:dyDescent="0.25">
      <c r="B25" s="382"/>
      <c r="C25" s="1" t="s">
        <v>33</v>
      </c>
      <c r="D25" s="13">
        <v>0.1203297850135671</v>
      </c>
      <c r="E25" s="13">
        <v>0.13030311687569637</v>
      </c>
      <c r="F25" s="14">
        <v>0.92346052725934857</v>
      </c>
      <c r="G25" s="13">
        <v>0.13350111393482081</v>
      </c>
      <c r="H25" s="14">
        <v>0.97604516573033395</v>
      </c>
      <c r="I25" s="15"/>
      <c r="J25" s="380"/>
    </row>
    <row r="26" spans="2:10" x14ac:dyDescent="0.25">
      <c r="B26" s="382"/>
      <c r="C26" s="1" t="s">
        <v>34</v>
      </c>
      <c r="D26" s="13">
        <v>8.4220413274890424E-2</v>
      </c>
      <c r="E26" s="13">
        <v>7.9450332828614689E-2</v>
      </c>
      <c r="F26" s="14">
        <v>1.0600385206260301</v>
      </c>
      <c r="G26" s="13">
        <v>0.10246565834107677</v>
      </c>
      <c r="H26" s="14">
        <v>0.77538498375864517</v>
      </c>
      <c r="I26" s="15"/>
      <c r="J26" s="380"/>
    </row>
    <row r="27" spans="2:10" x14ac:dyDescent="0.25">
      <c r="B27" s="382"/>
      <c r="C27" s="1" t="s">
        <v>35</v>
      </c>
      <c r="D27" s="13">
        <v>1.8889584637862659E-2</v>
      </c>
      <c r="E27" s="13">
        <v>1.9455475244979002E-2</v>
      </c>
      <c r="F27" s="14">
        <v>0.97091355518224176</v>
      </c>
      <c r="G27" s="13">
        <v>3.3207572517716603E-2</v>
      </c>
      <c r="H27" s="14">
        <v>0.58587465960058638</v>
      </c>
      <c r="I27" s="15"/>
      <c r="J27" s="380"/>
    </row>
    <row r="28" spans="2:10" x14ac:dyDescent="0.25">
      <c r="B28" s="382"/>
      <c r="C28" s="1" t="s">
        <v>36</v>
      </c>
      <c r="D28" s="13">
        <v>1.1271133375078271E-2</v>
      </c>
      <c r="E28" s="13">
        <v>1.4427334799874297E-2</v>
      </c>
      <c r="F28" s="14">
        <v>0.7812346168868608</v>
      </c>
      <c r="G28" s="13">
        <v>2.6221465915833547E-2</v>
      </c>
      <c r="H28" s="14">
        <v>0.55021084046878199</v>
      </c>
      <c r="I28" s="15"/>
      <c r="J28" s="380"/>
    </row>
    <row r="29" spans="2:10" x14ac:dyDescent="0.25">
      <c r="B29" s="382"/>
      <c r="C29" s="1" t="s">
        <v>37</v>
      </c>
      <c r="D29" s="13">
        <v>7.1696931747025669E-2</v>
      </c>
      <c r="E29" s="13">
        <v>7.1193897665914344E-2</v>
      </c>
      <c r="F29" s="14">
        <v>1.0070656909876163</v>
      </c>
      <c r="G29" s="13">
        <v>6.9525654086853336E-2</v>
      </c>
      <c r="H29" s="14">
        <v>1.0239946477450899</v>
      </c>
      <c r="I29" s="15"/>
      <c r="J29" s="380"/>
    </row>
    <row r="30" spans="2:10" x14ac:dyDescent="0.25">
      <c r="B30" s="382"/>
      <c r="C30" s="1"/>
      <c r="D30" s="13"/>
      <c r="E30" s="13"/>
      <c r="F30" s="14"/>
      <c r="G30" s="13"/>
      <c r="H30" s="14"/>
      <c r="I30" s="15"/>
      <c r="J30" s="380"/>
    </row>
    <row r="31" spans="2:10" x14ac:dyDescent="0.25">
      <c r="B31" s="382"/>
      <c r="C31" s="2" t="s">
        <v>38</v>
      </c>
      <c r="F31" s="14"/>
      <c r="G31" s="13"/>
      <c r="H31" s="14"/>
      <c r="I31" s="15"/>
      <c r="J31" s="380"/>
    </row>
    <row r="32" spans="2:10" x14ac:dyDescent="0.25">
      <c r="B32" s="382"/>
      <c r="C32" s="1" t="s">
        <v>39</v>
      </c>
      <c r="D32" s="13">
        <v>0.19574290484140233</v>
      </c>
      <c r="E32" s="13">
        <v>0.16268639661772269</v>
      </c>
      <c r="F32" s="14">
        <v>1.2031915938328586</v>
      </c>
      <c r="G32" s="16" t="s">
        <v>12</v>
      </c>
      <c r="H32" s="16" t="s">
        <v>12</v>
      </c>
      <c r="I32" s="36"/>
      <c r="J32" s="380"/>
    </row>
    <row r="33" spans="2:14" x14ac:dyDescent="0.25">
      <c r="B33" s="382"/>
      <c r="C33" s="1" t="s">
        <v>40</v>
      </c>
      <c r="D33" s="13">
        <v>3.5475792988313853E-2</v>
      </c>
      <c r="E33" s="13">
        <v>2.8966462892075644E-2</v>
      </c>
      <c r="F33" s="14">
        <v>1.224719535847056</v>
      </c>
      <c r="G33" s="13">
        <v>0.23826371358004139</v>
      </c>
      <c r="H33" s="14">
        <v>0.12157311936777467</v>
      </c>
      <c r="I33" s="15"/>
      <c r="J33" s="380"/>
    </row>
    <row r="34" spans="2:14" x14ac:dyDescent="0.25">
      <c r="B34" s="382"/>
      <c r="C34" s="1" t="s">
        <v>41</v>
      </c>
      <c r="D34" s="13">
        <v>7.3560100166944906E-2</v>
      </c>
      <c r="E34" s="13">
        <v>6.6417185625321368E-2</v>
      </c>
      <c r="F34" s="14">
        <v>1.1075461791157306</v>
      </c>
      <c r="G34" s="13">
        <v>0.2944472672851261</v>
      </c>
      <c r="H34" s="14">
        <v>0.22556563773779811</v>
      </c>
      <c r="I34" s="15"/>
      <c r="J34" s="380"/>
    </row>
    <row r="35" spans="2:14" x14ac:dyDescent="0.25">
      <c r="B35" s="382"/>
      <c r="C35" s="1" t="s">
        <v>42</v>
      </c>
      <c r="D35" s="13">
        <v>0.13668614357262104</v>
      </c>
      <c r="E35" s="13">
        <v>0.12055076272638976</v>
      </c>
      <c r="F35" s="14">
        <v>1.1338471900244484</v>
      </c>
      <c r="G35" s="13">
        <v>0.2295170839287588</v>
      </c>
      <c r="H35" s="14">
        <v>0.5252365560892549</v>
      </c>
      <c r="I35" s="15"/>
      <c r="J35" s="380"/>
    </row>
    <row r="36" spans="2:14" x14ac:dyDescent="0.25">
      <c r="B36" s="382"/>
      <c r="C36" s="1" t="s">
        <v>43</v>
      </c>
      <c r="D36" s="13">
        <v>0.24686978297161938</v>
      </c>
      <c r="E36" s="13">
        <v>0.22601839684625494</v>
      </c>
      <c r="F36" s="14">
        <v>1.0922552607058276</v>
      </c>
      <c r="G36" s="13">
        <v>0.16500439759050969</v>
      </c>
      <c r="H36" s="14">
        <v>1.3697719584853931</v>
      </c>
      <c r="I36" s="15"/>
      <c r="J36" s="380"/>
    </row>
    <row r="37" spans="2:14" ht="15.75" thickBot="1" x14ac:dyDescent="0.3">
      <c r="B37" s="383"/>
      <c r="C37" s="9" t="s">
        <v>44</v>
      </c>
      <c r="D37" s="17">
        <v>0.3116652754590985</v>
      </c>
      <c r="E37" s="17">
        <v>0.39536079529223561</v>
      </c>
      <c r="F37" s="14">
        <v>0.7883059705723412</v>
      </c>
      <c r="G37" s="17">
        <v>7.2767537615563996E-2</v>
      </c>
      <c r="H37" s="14">
        <v>5.433202884793964</v>
      </c>
      <c r="I37" s="19"/>
      <c r="J37" s="384"/>
    </row>
    <row r="38" spans="2:14" ht="15.75" thickBot="1" x14ac:dyDescent="0.3">
      <c r="B38" s="60"/>
      <c r="C38" s="45"/>
      <c r="D38" s="43"/>
      <c r="E38" s="43"/>
      <c r="F38" s="43"/>
      <c r="G38" s="43"/>
      <c r="H38" s="43"/>
      <c r="I38" s="26"/>
      <c r="J38" s="28"/>
    </row>
    <row r="39" spans="2:14" x14ac:dyDescent="0.25">
      <c r="B39" s="373" t="s">
        <v>45</v>
      </c>
      <c r="C39" s="5"/>
      <c r="D39" s="385" t="s">
        <v>46</v>
      </c>
      <c r="E39" s="385"/>
      <c r="F39" s="385" t="s">
        <v>47</v>
      </c>
      <c r="G39" s="385"/>
      <c r="H39" s="42"/>
      <c r="I39" s="7"/>
      <c r="J39" s="386" t="s">
        <v>48</v>
      </c>
    </row>
    <row r="40" spans="2:14" x14ac:dyDescent="0.25">
      <c r="B40" s="374"/>
      <c r="C40" s="1"/>
      <c r="D40" s="40" t="s">
        <v>49</v>
      </c>
      <c r="E40" s="40" t="s">
        <v>50</v>
      </c>
      <c r="F40" s="40" t="s">
        <v>49</v>
      </c>
      <c r="G40" s="40" t="s">
        <v>50</v>
      </c>
      <c r="H40" s="41" t="s">
        <v>51</v>
      </c>
      <c r="I40" s="81" t="s">
        <v>52</v>
      </c>
      <c r="J40" s="387"/>
    </row>
    <row r="41" spans="2:14" x14ac:dyDescent="0.25">
      <c r="B41" s="374"/>
      <c r="C41" s="2" t="s">
        <v>53</v>
      </c>
      <c r="H41" s="13"/>
      <c r="I41" s="4"/>
      <c r="J41" s="387"/>
    </row>
    <row r="42" spans="2:14" x14ac:dyDescent="0.25">
      <c r="B42" s="374"/>
      <c r="C42" s="1" t="s">
        <v>54</v>
      </c>
      <c r="D42" s="73">
        <v>2230514</v>
      </c>
      <c r="E42" s="38">
        <v>0.62463304264252428</v>
      </c>
      <c r="F42" s="8">
        <v>54633</v>
      </c>
      <c r="G42" s="13">
        <v>0.54009193811477441</v>
      </c>
      <c r="H42" s="14">
        <v>0.86465476726928048</v>
      </c>
      <c r="I42" s="82">
        <v>2.4493457561799659E-2</v>
      </c>
      <c r="J42" s="387"/>
    </row>
    <row r="43" spans="2:14" x14ac:dyDescent="0.25">
      <c r="B43" s="374"/>
      <c r="C43" s="1" t="s">
        <v>55</v>
      </c>
      <c r="D43" s="73">
        <v>1340405</v>
      </c>
      <c r="E43" s="38">
        <v>0.37536695735747577</v>
      </c>
      <c r="F43" s="8">
        <v>46522</v>
      </c>
      <c r="G43" s="13">
        <v>0.45990806188522565</v>
      </c>
      <c r="H43" s="14">
        <v>1.2252225532127439</v>
      </c>
      <c r="I43" s="82">
        <v>3.4707420518425403E-2</v>
      </c>
      <c r="J43" s="387"/>
    </row>
    <row r="44" spans="2:14" x14ac:dyDescent="0.25">
      <c r="B44" s="374"/>
      <c r="C44" s="1" t="s">
        <v>53</v>
      </c>
      <c r="D44" s="73">
        <v>3570919</v>
      </c>
      <c r="E44" s="38"/>
      <c r="F44" s="8">
        <v>101155</v>
      </c>
      <c r="H44" s="14"/>
      <c r="I44" s="82">
        <v>2.832744175939023E-2</v>
      </c>
      <c r="J44" s="387"/>
    </row>
    <row r="45" spans="2:14" x14ac:dyDescent="0.25">
      <c r="B45" s="374"/>
      <c r="C45" s="1"/>
      <c r="D45" s="38"/>
      <c r="E45" s="38"/>
      <c r="F45" s="8"/>
      <c r="H45" s="14"/>
      <c r="I45" s="82"/>
      <c r="J45" s="387"/>
    </row>
    <row r="46" spans="2:14" x14ac:dyDescent="0.25">
      <c r="B46" s="374"/>
      <c r="C46" s="2" t="s">
        <v>56</v>
      </c>
      <c r="D46" s="38"/>
      <c r="E46" s="38"/>
      <c r="H46" s="14"/>
      <c r="I46" s="82"/>
      <c r="J46" s="387"/>
    </row>
    <row r="47" spans="2:14" x14ac:dyDescent="0.25">
      <c r="B47" s="374"/>
      <c r="C47" s="1" t="s">
        <v>57</v>
      </c>
      <c r="D47" s="73">
        <v>495701</v>
      </c>
      <c r="E47" s="38">
        <v>0.36981434715626993</v>
      </c>
      <c r="F47" s="8">
        <v>16250</v>
      </c>
      <c r="G47" s="13">
        <v>0.34929710674519582</v>
      </c>
      <c r="H47" s="14">
        <v>0.94452016107854175</v>
      </c>
      <c r="I47" s="82">
        <v>3.2781858418683842E-2</v>
      </c>
      <c r="J47" s="387"/>
      <c r="N47" s="38"/>
    </row>
    <row r="48" spans="2:14" x14ac:dyDescent="0.25">
      <c r="B48" s="374"/>
      <c r="C48" s="1" t="s">
        <v>58</v>
      </c>
      <c r="D48" s="73">
        <v>251769</v>
      </c>
      <c r="E48" s="38">
        <v>0.18783054375356703</v>
      </c>
      <c r="F48" s="8">
        <v>10150</v>
      </c>
      <c r="G48" s="13">
        <v>0.21817634667469155</v>
      </c>
      <c r="H48" s="14">
        <v>1.1615594690549269</v>
      </c>
      <c r="I48" s="82">
        <v>4.031473294964829E-2</v>
      </c>
      <c r="J48" s="387"/>
      <c r="N48" s="38"/>
    </row>
    <row r="49" spans="2:15" x14ac:dyDescent="0.25">
      <c r="B49" s="374"/>
      <c r="C49" s="1" t="s">
        <v>59</v>
      </c>
      <c r="D49" s="73">
        <v>237486</v>
      </c>
      <c r="E49" s="38">
        <v>0.17717480910620298</v>
      </c>
      <c r="F49" s="8">
        <v>11552</v>
      </c>
      <c r="G49" s="13">
        <v>0.24831262628433859</v>
      </c>
      <c r="H49" s="14">
        <v>1.4015120294866175</v>
      </c>
      <c r="I49" s="82">
        <v>4.8642867369023859E-2</v>
      </c>
      <c r="J49" s="387"/>
    </row>
    <row r="50" spans="2:15" x14ac:dyDescent="0.25">
      <c r="B50" s="374"/>
      <c r="C50" s="1" t="s">
        <v>60</v>
      </c>
      <c r="D50" s="73">
        <v>290130</v>
      </c>
      <c r="E50" s="38">
        <v>0.21644950593290835</v>
      </c>
      <c r="F50" s="8">
        <v>5854</v>
      </c>
      <c r="G50" s="13">
        <v>0.12583293925454625</v>
      </c>
      <c r="H50" s="14">
        <v>0.58135008768996677</v>
      </c>
      <c r="I50" s="82">
        <v>2.0177161961879159E-2</v>
      </c>
      <c r="J50" s="387"/>
    </row>
    <row r="51" spans="2:15" x14ac:dyDescent="0.25">
      <c r="B51" s="374"/>
      <c r="C51" s="1" t="s">
        <v>61</v>
      </c>
      <c r="D51" s="73">
        <v>23476</v>
      </c>
      <c r="E51" s="38">
        <v>1.7514109541519166E-2</v>
      </c>
      <c r="F51" s="8">
        <v>1100</v>
      </c>
      <c r="G51" s="13">
        <v>2.3644727225828641E-2</v>
      </c>
      <c r="H51" s="14">
        <v>1.3500387884280476</v>
      </c>
      <c r="I51" s="82">
        <v>4.6856363946157775E-2</v>
      </c>
      <c r="J51" s="387"/>
    </row>
    <row r="52" spans="2:15" x14ac:dyDescent="0.25">
      <c r="B52" s="374"/>
      <c r="C52" s="1" t="s">
        <v>62</v>
      </c>
      <c r="D52" s="73">
        <v>26704</v>
      </c>
      <c r="E52" s="38">
        <v>1.9922336905636728E-2</v>
      </c>
      <c r="F52" s="3">
        <v>1077</v>
      </c>
      <c r="G52" s="13">
        <v>2.3150337474743134E-2</v>
      </c>
      <c r="H52" s="14">
        <v>1.1620292129580989</v>
      </c>
      <c r="I52" s="82">
        <v>4.0331036548831634E-2</v>
      </c>
      <c r="J52" s="387"/>
      <c r="M52" s="13"/>
    </row>
    <row r="53" spans="2:15" ht="15.75" thickBot="1" x14ac:dyDescent="0.3">
      <c r="B53" s="375"/>
      <c r="C53" s="9" t="s">
        <v>63</v>
      </c>
      <c r="D53" s="74">
        <v>15139</v>
      </c>
      <c r="E53" s="44">
        <v>1.1294347603895838E-2</v>
      </c>
      <c r="F53" s="10">
        <v>539</v>
      </c>
      <c r="G53" s="17">
        <v>1.1585916340656035E-2</v>
      </c>
      <c r="H53" s="18">
        <v>1.0258154562782913</v>
      </c>
      <c r="I53" s="83">
        <v>3.5603408415351083E-2</v>
      </c>
      <c r="J53" s="388"/>
    </row>
    <row r="54" spans="2:15" ht="15.75" thickBot="1" x14ac:dyDescent="0.3">
      <c r="C54" s="1"/>
      <c r="D54" s="8"/>
      <c r="I54" s="4"/>
      <c r="J54" s="28"/>
    </row>
    <row r="55" spans="2:15" x14ac:dyDescent="0.25">
      <c r="B55" s="373" t="s">
        <v>64</v>
      </c>
      <c r="C55" s="21" t="s">
        <v>65</v>
      </c>
      <c r="D55" s="23" t="s">
        <v>66</v>
      </c>
      <c r="E55" s="48" t="s">
        <v>67</v>
      </c>
      <c r="F55" s="48" t="s">
        <v>68</v>
      </c>
      <c r="G55" s="48" t="s">
        <v>51</v>
      </c>
      <c r="H55" s="6"/>
      <c r="I55" s="7"/>
      <c r="J55" s="373" t="s">
        <v>19</v>
      </c>
    </row>
    <row r="56" spans="2:15" x14ac:dyDescent="0.25">
      <c r="B56" s="374"/>
      <c r="C56" s="1" t="s">
        <v>69</v>
      </c>
      <c r="D56" s="8">
        <v>24952</v>
      </c>
      <c r="E56" s="67"/>
      <c r="F56" s="68"/>
      <c r="I56" s="4"/>
      <c r="J56" s="374"/>
      <c r="N56" s="8"/>
    </row>
    <row r="57" spans="2:15" x14ac:dyDescent="0.25">
      <c r="B57" s="374"/>
      <c r="C57" s="1" t="s">
        <v>70</v>
      </c>
      <c r="D57" s="69">
        <v>0.77</v>
      </c>
      <c r="E57" s="68"/>
      <c r="F57" s="68"/>
      <c r="I57" s="4"/>
      <c r="J57" s="374"/>
      <c r="N57" s="39"/>
    </row>
    <row r="58" spans="2:15" x14ac:dyDescent="0.25">
      <c r="B58" s="374"/>
      <c r="C58" s="1"/>
      <c r="D58" s="70"/>
      <c r="E58" s="68"/>
      <c r="F58" s="14"/>
      <c r="I58" s="4"/>
      <c r="J58" s="374"/>
      <c r="M58" s="8"/>
      <c r="N58" s="8"/>
    </row>
    <row r="59" spans="2:15" ht="14.45" customHeight="1" x14ac:dyDescent="0.25">
      <c r="B59" s="374"/>
      <c r="C59" s="1" t="s">
        <v>71</v>
      </c>
      <c r="D59" s="8">
        <v>101155</v>
      </c>
      <c r="F59" s="68"/>
      <c r="I59" s="4"/>
      <c r="J59" s="374"/>
      <c r="K59" s="24"/>
      <c r="M59" s="14"/>
      <c r="N59" s="8"/>
    </row>
    <row r="60" spans="2:15" x14ac:dyDescent="0.25">
      <c r="B60" s="374"/>
      <c r="C60" s="1" t="s">
        <v>72</v>
      </c>
      <c r="D60" s="71">
        <v>4.053983648605322</v>
      </c>
      <c r="E60" s="14"/>
      <c r="F60" s="14"/>
      <c r="I60" s="4"/>
      <c r="J60" s="374"/>
      <c r="N60" s="14"/>
    </row>
    <row r="61" spans="2:15" x14ac:dyDescent="0.25">
      <c r="B61" s="374"/>
      <c r="C61" s="1"/>
      <c r="D61" s="71"/>
      <c r="F61" s="14"/>
      <c r="I61" s="4"/>
      <c r="J61" s="374"/>
      <c r="M61" s="8"/>
      <c r="O61" s="14"/>
    </row>
    <row r="62" spans="2:15" x14ac:dyDescent="0.25">
      <c r="B62" s="374"/>
      <c r="C62" s="1" t="s">
        <v>73</v>
      </c>
      <c r="D62" s="67">
        <v>51596</v>
      </c>
      <c r="E62" s="67"/>
      <c r="F62" s="14"/>
      <c r="I62" s="4"/>
      <c r="J62" s="374"/>
      <c r="M62" s="14"/>
      <c r="N62" s="8"/>
      <c r="O62" s="14"/>
    </row>
    <row r="63" spans="2:15" x14ac:dyDescent="0.25">
      <c r="B63" s="374"/>
      <c r="C63" s="1" t="s">
        <v>74</v>
      </c>
      <c r="D63" s="71">
        <v>2.0678101955755048</v>
      </c>
      <c r="E63" s="72"/>
      <c r="F63" s="14"/>
      <c r="I63" s="4"/>
      <c r="J63" s="374"/>
      <c r="N63" s="14"/>
    </row>
    <row r="64" spans="2:15" ht="15.75" thickBot="1" x14ac:dyDescent="0.3">
      <c r="B64" s="375"/>
      <c r="C64" s="9" t="s">
        <v>75</v>
      </c>
      <c r="D64" s="84">
        <v>1.9605201953639817</v>
      </c>
      <c r="E64" s="85"/>
      <c r="F64" s="18"/>
      <c r="G64" s="20"/>
      <c r="H64" s="20"/>
      <c r="I64" s="11"/>
      <c r="J64" s="375"/>
      <c r="N64" s="14"/>
    </row>
    <row r="65" spans="4:6" x14ac:dyDescent="0.25">
      <c r="D65" s="37"/>
      <c r="E65" s="22"/>
      <c r="F65" s="14"/>
    </row>
  </sheetData>
  <mergeCells count="11">
    <mergeCell ref="B55:B64"/>
    <mergeCell ref="J55:J64"/>
    <mergeCell ref="C2:I2"/>
    <mergeCell ref="B3:B7"/>
    <mergeCell ref="J3:J7"/>
    <mergeCell ref="B9:B37"/>
    <mergeCell ref="J9:J37"/>
    <mergeCell ref="B39:B53"/>
    <mergeCell ref="D39:E39"/>
    <mergeCell ref="F39:G39"/>
    <mergeCell ref="J39:J53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78A2A-56E9-4693-BB98-4A230730E512}">
  <sheetPr codeName="Sheet4">
    <tabColor theme="5"/>
  </sheetPr>
  <dimension ref="B1:O66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85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ht="15.75" thickBot="1" x14ac:dyDescent="0.3">
      <c r="B8" s="375"/>
      <c r="C8" s="58" t="s">
        <v>78</v>
      </c>
      <c r="D8" s="55"/>
      <c r="E8" s="55">
        <v>43203</v>
      </c>
      <c r="F8" s="55">
        <v>41373</v>
      </c>
      <c r="G8" s="55">
        <v>5465</v>
      </c>
      <c r="H8" s="55"/>
      <c r="I8" s="56"/>
      <c r="J8" s="380"/>
    </row>
    <row r="9" spans="2:10" ht="15.75" thickBot="1" x14ac:dyDescent="0.3">
      <c r="C9" s="45"/>
      <c r="D9" s="25"/>
      <c r="E9" s="50"/>
      <c r="F9" s="50"/>
      <c r="G9" s="50"/>
      <c r="H9" s="50"/>
      <c r="I9" s="51"/>
      <c r="J9" s="27"/>
    </row>
    <row r="10" spans="2:10" x14ac:dyDescent="0.25">
      <c r="B10" s="381" t="s">
        <v>13</v>
      </c>
      <c r="C10" s="5"/>
      <c r="D10" s="48" t="s">
        <v>87</v>
      </c>
      <c r="E10" s="48" t="s">
        <v>15</v>
      </c>
      <c r="F10" s="48" t="s">
        <v>88</v>
      </c>
      <c r="G10" s="48" t="s">
        <v>17</v>
      </c>
      <c r="H10" s="48" t="s">
        <v>18</v>
      </c>
      <c r="I10" s="49"/>
      <c r="J10" s="380" t="s">
        <v>19</v>
      </c>
    </row>
    <row r="11" spans="2:10" x14ac:dyDescent="0.25">
      <c r="B11" s="382"/>
      <c r="C11" s="2" t="s">
        <v>20</v>
      </c>
      <c r="D11" s="47"/>
      <c r="E11" s="47"/>
      <c r="F11" s="47"/>
      <c r="G11" s="47"/>
      <c r="H11" s="47"/>
      <c r="I11" s="12"/>
      <c r="J11" s="380"/>
    </row>
    <row r="12" spans="2:10" x14ac:dyDescent="0.25">
      <c r="B12" s="382"/>
      <c r="C12" s="1" t="s">
        <v>21</v>
      </c>
      <c r="D12" s="13">
        <v>0.37961783439490449</v>
      </c>
      <c r="E12" s="13">
        <v>0.34886103116921124</v>
      </c>
      <c r="F12" s="14">
        <v>1.088163481953291</v>
      </c>
      <c r="G12" s="13">
        <v>0.57235489190258093</v>
      </c>
      <c r="H12" s="14">
        <v>0.60951873759574682</v>
      </c>
      <c r="I12" s="15"/>
      <c r="J12" s="380"/>
    </row>
    <row r="13" spans="2:10" x14ac:dyDescent="0.25">
      <c r="B13" s="382"/>
      <c r="C13" s="1" t="s">
        <v>22</v>
      </c>
      <c r="D13" s="13">
        <v>0.62038216560509551</v>
      </c>
      <c r="E13" s="13">
        <v>0.6511389688307887</v>
      </c>
      <c r="F13" s="14">
        <v>0.95276460986366496</v>
      </c>
      <c r="G13" s="13">
        <v>0.42764510809741907</v>
      </c>
      <c r="H13" s="14">
        <v>1.522615263220682</v>
      </c>
      <c r="I13" s="15"/>
      <c r="J13" s="380"/>
    </row>
    <row r="14" spans="2:10" x14ac:dyDescent="0.25">
      <c r="B14" s="382"/>
      <c r="C14" s="1"/>
      <c r="D14" s="13"/>
      <c r="E14" s="13"/>
      <c r="F14" s="14"/>
      <c r="G14" s="13"/>
      <c r="H14" s="14"/>
      <c r="I14" s="15"/>
      <c r="J14" s="380"/>
    </row>
    <row r="15" spans="2:10" x14ac:dyDescent="0.25">
      <c r="B15" s="382"/>
      <c r="C15" s="2" t="s">
        <v>23</v>
      </c>
      <c r="F15" s="14"/>
      <c r="G15" s="13"/>
      <c r="H15" s="14"/>
      <c r="I15" s="15"/>
      <c r="J15" s="380"/>
    </row>
    <row r="16" spans="2:10" x14ac:dyDescent="0.25">
      <c r="B16" s="382"/>
      <c r="C16" s="1" t="s">
        <v>24</v>
      </c>
      <c r="D16" s="13">
        <v>1.6225582860743541E-2</v>
      </c>
      <c r="E16" s="13">
        <v>1.1123470522803115E-2</v>
      </c>
      <c r="F16" s="14">
        <v>1.4586798991808443</v>
      </c>
      <c r="G16" s="13">
        <v>9.3529624053555957E-3</v>
      </c>
      <c r="H16" s="14">
        <v>1.1892991803787973</v>
      </c>
      <c r="I16" s="15"/>
      <c r="J16" s="380"/>
    </row>
    <row r="17" spans="2:10" x14ac:dyDescent="0.25">
      <c r="B17" s="382"/>
      <c r="C17" s="1" t="s">
        <v>25</v>
      </c>
      <c r="D17" s="13">
        <v>0.13862633900441085</v>
      </c>
      <c r="E17" s="13">
        <v>0.13135367799970982</v>
      </c>
      <c r="F17" s="14">
        <v>1.0553670145781309</v>
      </c>
      <c r="G17" s="13">
        <v>0.11987086678511411</v>
      </c>
      <c r="H17" s="14">
        <v>1.0957931774630472</v>
      </c>
      <c r="I17" s="15"/>
      <c r="J17" s="380"/>
    </row>
    <row r="18" spans="2:10" x14ac:dyDescent="0.25">
      <c r="B18" s="382"/>
      <c r="C18" s="1" t="s">
        <v>26</v>
      </c>
      <c r="D18" s="13">
        <v>0.3516068052930057</v>
      </c>
      <c r="E18" s="13">
        <v>0.3668327126759201</v>
      </c>
      <c r="F18" s="14">
        <v>0.95849359433664849</v>
      </c>
      <c r="G18" s="13">
        <v>0.29408078276439853</v>
      </c>
      <c r="H18" s="14">
        <v>1.2473875689109766</v>
      </c>
      <c r="I18" s="15"/>
      <c r="J18" s="380"/>
    </row>
    <row r="19" spans="2:10" x14ac:dyDescent="0.25">
      <c r="B19" s="382"/>
      <c r="C19" s="1" t="s">
        <v>27</v>
      </c>
      <c r="D19" s="13">
        <v>0.34436042848141146</v>
      </c>
      <c r="E19" s="13">
        <v>0.3402331092518257</v>
      </c>
      <c r="F19" s="14">
        <v>1.0121308571016552</v>
      </c>
      <c r="G19" s="13">
        <v>0.32868783998543011</v>
      </c>
      <c r="H19" s="14">
        <v>1.0351253312775652</v>
      </c>
      <c r="I19" s="15"/>
      <c r="J19" s="380"/>
    </row>
    <row r="20" spans="2:10" x14ac:dyDescent="0.25">
      <c r="B20" s="382"/>
      <c r="C20" s="1" t="s">
        <v>28</v>
      </c>
      <c r="D20" s="13">
        <v>0.13468809073724008</v>
      </c>
      <c r="E20" s="13">
        <v>0.13483580790250035</v>
      </c>
      <c r="F20" s="14">
        <v>0.99890446634645391</v>
      </c>
      <c r="G20" s="13">
        <v>0.17578056392525954</v>
      </c>
      <c r="H20" s="14">
        <v>0.76706892327317511</v>
      </c>
      <c r="I20" s="15"/>
      <c r="J20" s="380"/>
    </row>
    <row r="21" spans="2:10" x14ac:dyDescent="0.25">
      <c r="B21" s="382"/>
      <c r="C21" s="1" t="s">
        <v>29</v>
      </c>
      <c r="D21" s="13">
        <v>1.4492753623188406E-2</v>
      </c>
      <c r="E21" s="13">
        <v>1.5621221647240896E-2</v>
      </c>
      <c r="F21" s="14">
        <v>0.92776057791537669</v>
      </c>
      <c r="G21" s="13">
        <v>7.222698413444209E-2</v>
      </c>
      <c r="H21" s="14">
        <v>0.21627957797827771</v>
      </c>
      <c r="I21" s="15"/>
      <c r="J21" s="380"/>
    </row>
    <row r="22" spans="2:10" x14ac:dyDescent="0.25">
      <c r="B22" s="382"/>
      <c r="C22" s="1"/>
      <c r="D22" s="13"/>
      <c r="E22" s="13"/>
      <c r="F22" s="14"/>
      <c r="G22" s="13"/>
      <c r="H22" s="14"/>
      <c r="I22" s="15"/>
      <c r="J22" s="380"/>
    </row>
    <row r="23" spans="2:10" x14ac:dyDescent="0.25">
      <c r="B23" s="382"/>
      <c r="C23" s="2" t="s">
        <v>30</v>
      </c>
      <c r="F23" s="14"/>
      <c r="G23" s="13"/>
      <c r="H23" s="14"/>
      <c r="I23" s="15"/>
      <c r="J23" s="380"/>
    </row>
    <row r="24" spans="2:10" x14ac:dyDescent="0.25">
      <c r="B24" s="382"/>
      <c r="C24" s="1" t="s">
        <v>31</v>
      </c>
      <c r="D24" s="13">
        <v>0.45689519306540582</v>
      </c>
      <c r="E24" s="13">
        <v>0.46292444616426431</v>
      </c>
      <c r="F24" s="14">
        <v>0.98697572973556236</v>
      </c>
      <c r="G24" s="13">
        <v>0.4916982188238192</v>
      </c>
      <c r="H24" s="14">
        <v>0.9414808279591006</v>
      </c>
      <c r="I24" s="15"/>
      <c r="J24" s="380"/>
    </row>
    <row r="25" spans="2:10" x14ac:dyDescent="0.25">
      <c r="B25" s="382"/>
      <c r="C25" s="1" t="s">
        <v>32</v>
      </c>
      <c r="D25" s="13">
        <v>0.22096138691883374</v>
      </c>
      <c r="E25" s="13">
        <v>0.22112314985005321</v>
      </c>
      <c r="F25" s="14">
        <v>0.99926844868423248</v>
      </c>
      <c r="G25" s="13">
        <v>0.14338031637987977</v>
      </c>
      <c r="H25" s="14">
        <v>1.5422141297568159</v>
      </c>
      <c r="I25" s="15"/>
      <c r="J25" s="380"/>
    </row>
    <row r="26" spans="2:10" x14ac:dyDescent="0.25">
      <c r="B26" s="382"/>
      <c r="C26" s="1" t="s">
        <v>33</v>
      </c>
      <c r="D26" s="13">
        <v>0.13475177304964539</v>
      </c>
      <c r="E26" s="13">
        <v>0.13098577923962465</v>
      </c>
      <c r="F26" s="14">
        <v>1.0287511654462218</v>
      </c>
      <c r="G26" s="13">
        <v>0.13350111393482081</v>
      </c>
      <c r="H26" s="14">
        <v>0.98115869882236173</v>
      </c>
      <c r="I26" s="15"/>
      <c r="J26" s="380"/>
    </row>
    <row r="27" spans="2:10" x14ac:dyDescent="0.25">
      <c r="B27" s="382"/>
      <c r="C27" s="1" t="s">
        <v>34</v>
      </c>
      <c r="D27" s="13">
        <v>9.6611505122143421E-2</v>
      </c>
      <c r="E27" s="13">
        <v>8.2083776724388116E-2</v>
      </c>
      <c r="F27" s="14">
        <v>1.1769865980525593</v>
      </c>
      <c r="G27" s="13">
        <v>0.10246565834107677</v>
      </c>
      <c r="H27" s="14">
        <v>0.80108573012000162</v>
      </c>
      <c r="I27" s="15"/>
      <c r="J27" s="380"/>
    </row>
    <row r="28" spans="2:10" x14ac:dyDescent="0.25">
      <c r="B28" s="382"/>
      <c r="C28" s="1" t="s">
        <v>35</v>
      </c>
      <c r="D28" s="13">
        <v>1.8754925137903861E-2</v>
      </c>
      <c r="E28" s="13">
        <v>1.9347973299796845E-2</v>
      </c>
      <c r="F28" s="14">
        <v>0.96934830575256115</v>
      </c>
      <c r="G28" s="13">
        <v>3.3207572517716603E-2</v>
      </c>
      <c r="H28" s="14">
        <v>0.58263738758605399</v>
      </c>
      <c r="I28" s="15"/>
      <c r="J28" s="380"/>
    </row>
    <row r="29" spans="2:10" x14ac:dyDescent="0.25">
      <c r="B29" s="382"/>
      <c r="C29" s="1" t="s">
        <v>36</v>
      </c>
      <c r="D29" s="13">
        <v>1.2293144208037825E-2</v>
      </c>
      <c r="E29" s="13">
        <v>1.4099835542226952E-2</v>
      </c>
      <c r="F29" s="14">
        <v>0.87186436829150593</v>
      </c>
      <c r="G29" s="13">
        <v>2.6221465915833547E-2</v>
      </c>
      <c r="H29" s="14">
        <v>0.53772110176772836</v>
      </c>
      <c r="I29" s="15"/>
      <c r="J29" s="380"/>
    </row>
    <row r="30" spans="2:10" x14ac:dyDescent="0.25">
      <c r="B30" s="382"/>
      <c r="C30" s="1" t="s">
        <v>37</v>
      </c>
      <c r="D30" s="13">
        <v>5.9732072498029941E-2</v>
      </c>
      <c r="E30" s="13">
        <v>6.9435039179645941E-2</v>
      </c>
      <c r="F30" s="14">
        <v>0.86025835376124749</v>
      </c>
      <c r="G30" s="13">
        <v>6.9525654086853336E-2</v>
      </c>
      <c r="H30" s="14">
        <v>0.99869666947549751</v>
      </c>
      <c r="I30" s="15"/>
      <c r="J30" s="380"/>
    </row>
    <row r="31" spans="2:10" x14ac:dyDescent="0.25">
      <c r="B31" s="382"/>
      <c r="C31" s="1"/>
      <c r="D31" s="13"/>
      <c r="E31" s="13"/>
      <c r="F31" s="14"/>
      <c r="G31" s="13"/>
      <c r="H31" s="14"/>
      <c r="I31" s="15"/>
      <c r="J31" s="380"/>
    </row>
    <row r="32" spans="2:10" x14ac:dyDescent="0.25">
      <c r="B32" s="382"/>
      <c r="C32" s="2" t="s">
        <v>38</v>
      </c>
      <c r="F32" s="14"/>
      <c r="G32" s="13"/>
      <c r="H32" s="14"/>
      <c r="I32" s="15"/>
      <c r="J32" s="380"/>
    </row>
    <row r="33" spans="2:14" x14ac:dyDescent="0.25">
      <c r="B33" s="382"/>
      <c r="C33" s="1" t="s">
        <v>39</v>
      </c>
      <c r="D33" s="13">
        <v>0.22983616887208569</v>
      </c>
      <c r="E33" s="13">
        <v>0.1729941480872467</v>
      </c>
      <c r="F33" s="14">
        <v>1.3285777086296102</v>
      </c>
      <c r="G33" s="16" t="s">
        <v>12</v>
      </c>
      <c r="H33" s="16" t="s">
        <v>12</v>
      </c>
      <c r="I33" s="36"/>
      <c r="J33" s="380"/>
    </row>
    <row r="34" spans="2:14" x14ac:dyDescent="0.25">
      <c r="B34" s="382"/>
      <c r="C34" s="1" t="s">
        <v>40</v>
      </c>
      <c r="D34" s="13">
        <v>3.8752362948960305E-2</v>
      </c>
      <c r="E34" s="13">
        <v>3.0468636649417225E-2</v>
      </c>
      <c r="F34" s="14">
        <v>1.2718771566597655</v>
      </c>
      <c r="G34" s="13">
        <v>0.23826371358004139</v>
      </c>
      <c r="H34" s="14">
        <v>0.12787778798378255</v>
      </c>
      <c r="I34" s="15"/>
      <c r="J34" s="380"/>
    </row>
    <row r="35" spans="2:14" x14ac:dyDescent="0.25">
      <c r="B35" s="382"/>
      <c r="C35" s="1" t="s">
        <v>41</v>
      </c>
      <c r="D35" s="13">
        <v>7.6874606175173277E-2</v>
      </c>
      <c r="E35" s="13">
        <v>6.802244039270687E-2</v>
      </c>
      <c r="F35" s="14">
        <v>1.1301359629463619</v>
      </c>
      <c r="G35" s="13">
        <v>0.2944472672851261</v>
      </c>
      <c r="H35" s="14">
        <v>0.23101739411572728</v>
      </c>
      <c r="I35" s="15"/>
      <c r="J35" s="380"/>
    </row>
    <row r="36" spans="2:14" x14ac:dyDescent="0.25">
      <c r="B36" s="382"/>
      <c r="C36" s="1" t="s">
        <v>42</v>
      </c>
      <c r="D36" s="13">
        <v>0.1323251417769376</v>
      </c>
      <c r="E36" s="13">
        <v>0.12235817575083426</v>
      </c>
      <c r="F36" s="14">
        <v>1.0814572950678809</v>
      </c>
      <c r="G36" s="13">
        <v>0.2295170839287588</v>
      </c>
      <c r="H36" s="14">
        <v>0.53311140790205291</v>
      </c>
      <c r="I36" s="15"/>
      <c r="J36" s="380"/>
    </row>
    <row r="37" spans="2:14" x14ac:dyDescent="0.25">
      <c r="B37" s="382"/>
      <c r="C37" s="1" t="s">
        <v>43</v>
      </c>
      <c r="D37" s="13">
        <v>0.23692501575299307</v>
      </c>
      <c r="E37" s="13">
        <v>0.2276926053102481</v>
      </c>
      <c r="F37" s="14">
        <v>1.0405476955659809</v>
      </c>
      <c r="G37" s="13">
        <v>0.16500439759050969</v>
      </c>
      <c r="H37" s="14">
        <v>1.3799184060252219</v>
      </c>
      <c r="I37" s="15"/>
      <c r="J37" s="380"/>
    </row>
    <row r="38" spans="2:14" ht="15.75" thickBot="1" x14ac:dyDescent="0.3">
      <c r="B38" s="383"/>
      <c r="C38" s="9" t="s">
        <v>44</v>
      </c>
      <c r="D38" s="17">
        <v>0.28528670447385002</v>
      </c>
      <c r="E38" s="17">
        <v>0.37846399380954682</v>
      </c>
      <c r="F38" s="14">
        <v>0.75380144251559611</v>
      </c>
      <c r="G38" s="17">
        <v>7.2767537615563996E-2</v>
      </c>
      <c r="H38" s="14">
        <v>5.2010004214928731</v>
      </c>
      <c r="I38" s="19"/>
      <c r="J38" s="384"/>
    </row>
    <row r="39" spans="2:14" ht="15.75" thickBot="1" x14ac:dyDescent="0.3">
      <c r="B39" s="60"/>
      <c r="C39" s="45"/>
      <c r="D39" s="43"/>
      <c r="E39" s="43"/>
      <c r="F39" s="43"/>
      <c r="G39" s="43"/>
      <c r="H39" s="43"/>
      <c r="I39" s="26"/>
      <c r="J39" s="28"/>
    </row>
    <row r="40" spans="2:14" x14ac:dyDescent="0.25">
      <c r="B40" s="373" t="s">
        <v>45</v>
      </c>
      <c r="C40" s="5"/>
      <c r="D40" s="385" t="s">
        <v>46</v>
      </c>
      <c r="E40" s="385"/>
      <c r="F40" s="385" t="s">
        <v>47</v>
      </c>
      <c r="G40" s="385"/>
      <c r="H40" s="42"/>
      <c r="I40" s="7"/>
      <c r="J40" s="386" t="s">
        <v>48</v>
      </c>
    </row>
    <row r="41" spans="2:14" x14ac:dyDescent="0.25">
      <c r="B41" s="374"/>
      <c r="C41" s="1"/>
      <c r="D41" s="40" t="s">
        <v>49</v>
      </c>
      <c r="E41" s="40" t="s">
        <v>50</v>
      </c>
      <c r="F41" s="40" t="s">
        <v>49</v>
      </c>
      <c r="G41" s="40" t="s">
        <v>50</v>
      </c>
      <c r="H41" s="41" t="s">
        <v>51</v>
      </c>
      <c r="I41" s="81" t="s">
        <v>52</v>
      </c>
      <c r="J41" s="387"/>
    </row>
    <row r="42" spans="2:14" x14ac:dyDescent="0.25">
      <c r="B42" s="374"/>
      <c r="C42" s="2" t="s">
        <v>53</v>
      </c>
      <c r="H42" s="13"/>
      <c r="I42" s="4"/>
      <c r="J42" s="387"/>
    </row>
    <row r="43" spans="2:14" x14ac:dyDescent="0.25">
      <c r="B43" s="374"/>
      <c r="C43" s="1" t="s">
        <v>54</v>
      </c>
      <c r="D43" s="73">
        <v>2128559</v>
      </c>
      <c r="E43" s="38">
        <v>0.69052448885248296</v>
      </c>
      <c r="F43" s="8">
        <v>61042</v>
      </c>
      <c r="G43" s="13">
        <v>0.59396711102461808</v>
      </c>
      <c r="H43" s="14">
        <v>0.86016806154358927</v>
      </c>
      <c r="I43" s="82">
        <v>2.86776171109187E-2</v>
      </c>
      <c r="J43" s="387"/>
    </row>
    <row r="44" spans="2:14" x14ac:dyDescent="0.25">
      <c r="B44" s="374"/>
      <c r="C44" s="1" t="s">
        <v>55</v>
      </c>
      <c r="D44" s="73">
        <v>953966</v>
      </c>
      <c r="E44" s="38">
        <v>0.30947551114751704</v>
      </c>
      <c r="F44" s="8">
        <v>41728</v>
      </c>
      <c r="G44" s="13">
        <v>0.40603288897538192</v>
      </c>
      <c r="H44" s="14">
        <v>1.3120032905667909</v>
      </c>
      <c r="I44" s="82">
        <v>4.3741600853699186E-2</v>
      </c>
      <c r="J44" s="387"/>
    </row>
    <row r="45" spans="2:14" x14ac:dyDescent="0.25">
      <c r="B45" s="374"/>
      <c r="C45" s="1" t="s">
        <v>53</v>
      </c>
      <c r="D45" s="73">
        <v>3082525</v>
      </c>
      <c r="E45" s="38"/>
      <c r="F45" s="8">
        <v>102770</v>
      </c>
      <c r="H45" s="14"/>
      <c r="I45" s="82">
        <v>3.3339551179633581E-2</v>
      </c>
      <c r="J45" s="387"/>
    </row>
    <row r="46" spans="2:14" x14ac:dyDescent="0.25">
      <c r="B46" s="374"/>
      <c r="C46" s="1"/>
      <c r="D46" s="38"/>
      <c r="E46" s="38"/>
      <c r="F46" s="8"/>
      <c r="H46" s="14"/>
      <c r="I46" s="82"/>
      <c r="J46" s="387"/>
    </row>
    <row r="47" spans="2:14" x14ac:dyDescent="0.25">
      <c r="B47" s="374"/>
      <c r="C47" s="2" t="s">
        <v>56</v>
      </c>
      <c r="D47" s="38"/>
      <c r="E47" s="38"/>
      <c r="H47" s="14"/>
      <c r="I47" s="82"/>
      <c r="J47" s="387"/>
    </row>
    <row r="48" spans="2:14" x14ac:dyDescent="0.25">
      <c r="B48" s="374"/>
      <c r="C48" s="1" t="s">
        <v>57</v>
      </c>
      <c r="D48" s="73">
        <v>358721</v>
      </c>
      <c r="E48" s="38">
        <v>0.37603122123849275</v>
      </c>
      <c r="F48" s="8">
        <v>15466</v>
      </c>
      <c r="G48" s="13">
        <v>0.37063842024539878</v>
      </c>
      <c r="H48" s="14">
        <v>0.98565863500553941</v>
      </c>
      <c r="I48" s="82">
        <v>4.3114286590414275E-2</v>
      </c>
      <c r="J48" s="387"/>
      <c r="N48" s="38"/>
    </row>
    <row r="49" spans="2:15" x14ac:dyDescent="0.25">
      <c r="B49" s="374"/>
      <c r="C49" s="1" t="s">
        <v>58</v>
      </c>
      <c r="D49" s="73">
        <v>202955</v>
      </c>
      <c r="E49" s="38">
        <v>0.21274867238455039</v>
      </c>
      <c r="F49" s="8">
        <v>10894</v>
      </c>
      <c r="G49" s="13">
        <v>0.26107170245398775</v>
      </c>
      <c r="H49" s="14">
        <v>1.2271366938642601</v>
      </c>
      <c r="I49" s="82">
        <v>5.3676923455938511E-2</v>
      </c>
      <c r="J49" s="387"/>
      <c r="N49" s="38"/>
    </row>
    <row r="50" spans="2:15" x14ac:dyDescent="0.25">
      <c r="B50" s="374"/>
      <c r="C50" s="1" t="s">
        <v>59</v>
      </c>
      <c r="D50" s="73">
        <v>148195</v>
      </c>
      <c r="E50" s="38">
        <v>0.15534620730717866</v>
      </c>
      <c r="F50" s="8">
        <v>8108</v>
      </c>
      <c r="G50" s="13">
        <v>0.19430598159509202</v>
      </c>
      <c r="H50" s="14">
        <v>1.2507932119055538</v>
      </c>
      <c r="I50" s="82">
        <v>5.4711697425689126E-2</v>
      </c>
      <c r="J50" s="387"/>
    </row>
    <row r="51" spans="2:15" x14ac:dyDescent="0.25">
      <c r="B51" s="374"/>
      <c r="C51" s="1" t="s">
        <v>60</v>
      </c>
      <c r="D51" s="73">
        <v>196945</v>
      </c>
      <c r="E51" s="38">
        <v>0.20644865749932387</v>
      </c>
      <c r="F51" s="8">
        <v>5310</v>
      </c>
      <c r="G51" s="13">
        <v>0.12725268404907975</v>
      </c>
      <c r="H51" s="14">
        <v>0.6163890121179233</v>
      </c>
      <c r="I51" s="82">
        <v>2.6961842138668157E-2</v>
      </c>
      <c r="J51" s="387"/>
    </row>
    <row r="52" spans="2:15" x14ac:dyDescent="0.25">
      <c r="B52" s="374"/>
      <c r="C52" s="1" t="s">
        <v>61</v>
      </c>
      <c r="D52" s="73">
        <v>18912</v>
      </c>
      <c r="E52" s="38">
        <v>1.9824605908386674E-2</v>
      </c>
      <c r="F52" s="8">
        <v>630</v>
      </c>
      <c r="G52" s="13">
        <v>1.5097776073619631E-2</v>
      </c>
      <c r="H52" s="14">
        <v>0.76156752590136545</v>
      </c>
      <c r="I52" s="82">
        <v>3.3312182741116754E-2</v>
      </c>
      <c r="J52" s="387"/>
    </row>
    <row r="53" spans="2:15" x14ac:dyDescent="0.25">
      <c r="B53" s="374"/>
      <c r="C53" s="1" t="s">
        <v>62</v>
      </c>
      <c r="D53" s="73">
        <v>14500</v>
      </c>
      <c r="E53" s="38">
        <v>1.519970313407396E-2</v>
      </c>
      <c r="F53" s="3">
        <v>601</v>
      </c>
      <c r="G53" s="13">
        <v>1.4402799079754601E-2</v>
      </c>
      <c r="H53" s="14">
        <v>0.94757107771842608</v>
      </c>
      <c r="I53" s="82">
        <v>4.1448275862068965E-2</v>
      </c>
      <c r="J53" s="387"/>
      <c r="M53" s="13"/>
    </row>
    <row r="54" spans="2:15" ht="15.75" thickBot="1" x14ac:dyDescent="0.3">
      <c r="B54" s="375"/>
      <c r="C54" s="9" t="s">
        <v>63</v>
      </c>
      <c r="D54" s="74">
        <v>13738</v>
      </c>
      <c r="E54" s="44">
        <v>1.4400932527993661E-2</v>
      </c>
      <c r="F54" s="10">
        <v>719</v>
      </c>
      <c r="G54" s="17">
        <v>1.7230636503067484E-2</v>
      </c>
      <c r="H54" s="18">
        <v>1.1964944957261081</v>
      </c>
      <c r="I54" s="83">
        <v>5.2336584655699521E-2</v>
      </c>
      <c r="J54" s="388"/>
    </row>
    <row r="55" spans="2:15" ht="15.75" thickBot="1" x14ac:dyDescent="0.3">
      <c r="C55" s="1"/>
      <c r="D55" s="8"/>
      <c r="I55" s="4"/>
      <c r="J55" s="28"/>
    </row>
    <row r="56" spans="2:15" x14ac:dyDescent="0.25">
      <c r="B56" s="373" t="s">
        <v>64</v>
      </c>
      <c r="C56" s="21" t="s">
        <v>65</v>
      </c>
      <c r="D56" s="23" t="s">
        <v>66</v>
      </c>
      <c r="E56" s="48" t="s">
        <v>67</v>
      </c>
      <c r="F56" s="48" t="s">
        <v>68</v>
      </c>
      <c r="G56" s="48" t="s">
        <v>51</v>
      </c>
      <c r="H56" s="6"/>
      <c r="I56" s="7"/>
      <c r="J56" s="373" t="s">
        <v>19</v>
      </c>
    </row>
    <row r="57" spans="2:15" x14ac:dyDescent="0.25">
      <c r="B57" s="374"/>
      <c r="C57" s="1" t="s">
        <v>69</v>
      </c>
      <c r="D57" s="8">
        <v>27750</v>
      </c>
      <c r="E57" s="67"/>
      <c r="F57" s="68"/>
      <c r="I57" s="4"/>
      <c r="J57" s="374"/>
      <c r="N57" s="8"/>
    </row>
    <row r="58" spans="2:15" x14ac:dyDescent="0.25">
      <c r="B58" s="374"/>
      <c r="C58" s="1" t="s">
        <v>70</v>
      </c>
      <c r="D58" s="69">
        <v>0.74</v>
      </c>
      <c r="E58" s="68"/>
      <c r="F58" s="68"/>
      <c r="I58" s="4"/>
      <c r="J58" s="374"/>
      <c r="N58" s="39"/>
    </row>
    <row r="59" spans="2:15" x14ac:dyDescent="0.25">
      <c r="B59" s="374"/>
      <c r="C59" s="1"/>
      <c r="D59" s="70"/>
      <c r="E59" s="68"/>
      <c r="F59" s="14"/>
      <c r="I59" s="4"/>
      <c r="J59" s="374"/>
      <c r="M59" s="8"/>
      <c r="N59" s="8"/>
    </row>
    <row r="60" spans="2:15" ht="14.45" customHeight="1" x14ac:dyDescent="0.25">
      <c r="B60" s="374"/>
      <c r="C60" s="1" t="s">
        <v>71</v>
      </c>
      <c r="D60" s="8">
        <v>102770</v>
      </c>
      <c r="F60" s="68"/>
      <c r="I60" s="4"/>
      <c r="J60" s="374"/>
      <c r="K60" s="24"/>
      <c r="M60" s="14"/>
      <c r="N60" s="8"/>
    </row>
    <row r="61" spans="2:15" x14ac:dyDescent="0.25">
      <c r="B61" s="374"/>
      <c r="C61" s="1" t="s">
        <v>72</v>
      </c>
      <c r="D61" s="71">
        <v>3.7034234234234233</v>
      </c>
      <c r="E61" s="14"/>
      <c r="F61" s="14"/>
      <c r="I61" s="4"/>
      <c r="J61" s="374"/>
      <c r="N61" s="14"/>
    </row>
    <row r="62" spans="2:15" x14ac:dyDescent="0.25">
      <c r="B62" s="374"/>
      <c r="C62" s="1"/>
      <c r="D62" s="71"/>
      <c r="F62" s="14"/>
      <c r="I62" s="4"/>
      <c r="J62" s="374"/>
      <c r="M62" s="8"/>
      <c r="O62" s="14"/>
    </row>
    <row r="63" spans="2:15" x14ac:dyDescent="0.25">
      <c r="B63" s="374"/>
      <c r="C63" s="1" t="s">
        <v>73</v>
      </c>
      <c r="D63" s="67">
        <v>52698</v>
      </c>
      <c r="E63" s="67"/>
      <c r="F63" s="14"/>
      <c r="I63" s="4"/>
      <c r="J63" s="374"/>
      <c r="M63" s="14"/>
      <c r="N63" s="8"/>
      <c r="O63" s="14"/>
    </row>
    <row r="64" spans="2:15" x14ac:dyDescent="0.25">
      <c r="B64" s="374"/>
      <c r="C64" s="1" t="s">
        <v>74</v>
      </c>
      <c r="D64" s="71">
        <v>1.8990270270270271</v>
      </c>
      <c r="E64" s="72"/>
      <c r="F64" s="14"/>
      <c r="I64" s="4"/>
      <c r="J64" s="374"/>
      <c r="N64" s="14"/>
    </row>
    <row r="65" spans="2:14" ht="15.75" thickBot="1" x14ac:dyDescent="0.3">
      <c r="B65" s="375"/>
      <c r="C65" s="9" t="s">
        <v>75</v>
      </c>
      <c r="D65" s="84">
        <v>1.9501688868647766</v>
      </c>
      <c r="E65" s="85"/>
      <c r="F65" s="18"/>
      <c r="G65" s="20"/>
      <c r="H65" s="20"/>
      <c r="I65" s="11"/>
      <c r="J65" s="375"/>
      <c r="N65" s="14"/>
    </row>
    <row r="66" spans="2:14" x14ac:dyDescent="0.25">
      <c r="D66" s="37"/>
      <c r="E66" s="22"/>
      <c r="F66" s="14"/>
    </row>
  </sheetData>
  <mergeCells count="11">
    <mergeCell ref="B56:B65"/>
    <mergeCell ref="J56:J65"/>
    <mergeCell ref="C2:I2"/>
    <mergeCell ref="B3:B8"/>
    <mergeCell ref="J3:J8"/>
    <mergeCell ref="B10:B38"/>
    <mergeCell ref="J10:J38"/>
    <mergeCell ref="B40:B54"/>
    <mergeCell ref="D40:E40"/>
    <mergeCell ref="F40:G40"/>
    <mergeCell ref="J40:J54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669C-049C-4074-B680-7EADA3C51F33}">
  <sheetPr codeName="Sheet5">
    <tabColor theme="5"/>
  </sheetPr>
  <dimension ref="B1:O67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89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ht="15.75" thickBot="1" x14ac:dyDescent="0.3">
      <c r="B9" s="375"/>
      <c r="C9" s="58" t="s">
        <v>78</v>
      </c>
      <c r="D9" s="55"/>
      <c r="E9" s="55">
        <v>47656</v>
      </c>
      <c r="F9" s="55">
        <v>45124</v>
      </c>
      <c r="G9" s="55">
        <v>7601</v>
      </c>
      <c r="H9" s="55"/>
      <c r="I9" s="56"/>
      <c r="J9" s="380"/>
    </row>
    <row r="10" spans="2:10" ht="15.75" thickBot="1" x14ac:dyDescent="0.3">
      <c r="C10" s="45"/>
      <c r="D10" s="25"/>
      <c r="E10" s="50"/>
      <c r="F10" s="50"/>
      <c r="G10" s="50"/>
      <c r="H10" s="50"/>
      <c r="I10" s="51"/>
      <c r="J10" s="27"/>
    </row>
    <row r="11" spans="2:10" x14ac:dyDescent="0.25">
      <c r="B11" s="381" t="s">
        <v>13</v>
      </c>
      <c r="C11" s="5"/>
      <c r="D11" s="48" t="s">
        <v>91</v>
      </c>
      <c r="E11" s="48" t="s">
        <v>15</v>
      </c>
      <c r="F11" s="48" t="s">
        <v>92</v>
      </c>
      <c r="G11" s="48" t="s">
        <v>17</v>
      </c>
      <c r="H11" s="48" t="s">
        <v>18</v>
      </c>
      <c r="I11" s="49"/>
      <c r="J11" s="380" t="s">
        <v>19</v>
      </c>
    </row>
    <row r="12" spans="2:10" x14ac:dyDescent="0.25">
      <c r="B12" s="382"/>
      <c r="C12" s="2" t="s">
        <v>20</v>
      </c>
      <c r="D12" s="47"/>
      <c r="E12" s="47"/>
      <c r="F12" s="47"/>
      <c r="G12" s="47"/>
      <c r="H12" s="47"/>
      <c r="I12" s="12"/>
      <c r="J12" s="380"/>
    </row>
    <row r="13" spans="2:10" x14ac:dyDescent="0.25">
      <c r="B13" s="382"/>
      <c r="C13" s="1" t="s">
        <v>21</v>
      </c>
      <c r="D13" s="13">
        <v>0.37671786580436539</v>
      </c>
      <c r="E13" s="13">
        <v>0.3511730369243844</v>
      </c>
      <c r="F13" s="14">
        <v>1.0727414299904847</v>
      </c>
      <c r="G13" s="13">
        <v>0.57235489190258093</v>
      </c>
      <c r="H13" s="14">
        <v>0.61355819945390921</v>
      </c>
      <c r="I13" s="15"/>
      <c r="J13" s="380"/>
    </row>
    <row r="14" spans="2:10" x14ac:dyDescent="0.25">
      <c r="B14" s="382"/>
      <c r="C14" s="1" t="s">
        <v>22</v>
      </c>
      <c r="D14" s="13">
        <v>0.62328213419563461</v>
      </c>
      <c r="E14" s="13">
        <v>0.6488269630756156</v>
      </c>
      <c r="F14" s="14">
        <v>0.96062921189512285</v>
      </c>
      <c r="G14" s="13">
        <v>0.42764510809741907</v>
      </c>
      <c r="H14" s="14">
        <v>1.5172088977288396</v>
      </c>
      <c r="I14" s="15"/>
      <c r="J14" s="380"/>
    </row>
    <row r="15" spans="2:10" x14ac:dyDescent="0.25">
      <c r="B15" s="382"/>
      <c r="C15" s="1"/>
      <c r="D15" s="13"/>
      <c r="E15" s="13"/>
      <c r="F15" s="14"/>
      <c r="G15" s="13"/>
      <c r="H15" s="14"/>
      <c r="I15" s="15"/>
      <c r="J15" s="380"/>
    </row>
    <row r="16" spans="2:10" x14ac:dyDescent="0.25">
      <c r="B16" s="382"/>
      <c r="C16" s="2" t="s">
        <v>23</v>
      </c>
      <c r="F16" s="14"/>
      <c r="G16" s="13"/>
      <c r="H16" s="14"/>
      <c r="I16" s="15"/>
      <c r="J16" s="380"/>
    </row>
    <row r="17" spans="2:10" x14ac:dyDescent="0.25">
      <c r="B17" s="382"/>
      <c r="C17" s="1" t="s">
        <v>24</v>
      </c>
      <c r="D17" s="13">
        <v>1.9733333333333332E-2</v>
      </c>
      <c r="E17" s="13">
        <v>1.18393047179851E-2</v>
      </c>
      <c r="F17" s="14">
        <v>1.6667645443196004</v>
      </c>
      <c r="G17" s="13">
        <v>9.3529624053555957E-3</v>
      </c>
      <c r="H17" s="14">
        <v>1.2658347382221702</v>
      </c>
      <c r="I17" s="15"/>
      <c r="J17" s="380"/>
    </row>
    <row r="18" spans="2:10" x14ac:dyDescent="0.25">
      <c r="B18" s="382"/>
      <c r="C18" s="1" t="s">
        <v>25</v>
      </c>
      <c r="D18" s="13">
        <v>0.15413333333333334</v>
      </c>
      <c r="E18" s="13">
        <v>0.13324760553387727</v>
      </c>
      <c r="F18" s="14">
        <v>1.1567437382140877</v>
      </c>
      <c r="G18" s="13">
        <v>0.11987086678511411</v>
      </c>
      <c r="H18" s="14">
        <v>1.1115929091656849</v>
      </c>
      <c r="I18" s="15"/>
      <c r="J18" s="380"/>
    </row>
    <row r="19" spans="2:10" x14ac:dyDescent="0.25">
      <c r="B19" s="382"/>
      <c r="C19" s="1" t="s">
        <v>26</v>
      </c>
      <c r="D19" s="13">
        <v>0.35413333333333336</v>
      </c>
      <c r="E19" s="13">
        <v>0.36577687123093294</v>
      </c>
      <c r="F19" s="14">
        <v>0.96816764860387128</v>
      </c>
      <c r="G19" s="13">
        <v>0.29408078276439853</v>
      </c>
      <c r="H19" s="14">
        <v>1.2437972579934724</v>
      </c>
      <c r="I19" s="15"/>
      <c r="J19" s="380"/>
    </row>
    <row r="20" spans="2:10" x14ac:dyDescent="0.25">
      <c r="B20" s="382"/>
      <c r="C20" s="1" t="s">
        <v>27</v>
      </c>
      <c r="D20" s="13">
        <v>0.33839999999999998</v>
      </c>
      <c r="E20" s="13">
        <v>0.34008070237672933</v>
      </c>
      <c r="F20" s="14">
        <v>0.99505793076471738</v>
      </c>
      <c r="G20" s="13">
        <v>0.32868783998543011</v>
      </c>
      <c r="H20" s="14">
        <v>1.0346616485471571</v>
      </c>
      <c r="I20" s="15"/>
      <c r="J20" s="380"/>
    </row>
    <row r="21" spans="2:10" x14ac:dyDescent="0.25">
      <c r="B21" s="382"/>
      <c r="C21" s="1" t="s">
        <v>28</v>
      </c>
      <c r="D21" s="13">
        <v>0.11653333333333334</v>
      </c>
      <c r="E21" s="13">
        <v>0.13331411848173111</v>
      </c>
      <c r="F21" s="14">
        <v>0.8741259715061811</v>
      </c>
      <c r="G21" s="13">
        <v>0.17578056392525954</v>
      </c>
      <c r="H21" s="14">
        <v>0.75841216744767748</v>
      </c>
      <c r="I21" s="15"/>
      <c r="J21" s="380"/>
    </row>
    <row r="22" spans="2:10" x14ac:dyDescent="0.25">
      <c r="B22" s="382"/>
      <c r="C22" s="1" t="s">
        <v>29</v>
      </c>
      <c r="D22" s="13">
        <v>1.7066666666666667E-2</v>
      </c>
      <c r="E22" s="13">
        <v>1.5741397658744237E-2</v>
      </c>
      <c r="F22" s="14">
        <v>1.0841900469483567</v>
      </c>
      <c r="G22" s="13">
        <v>7.222698413444209E-2</v>
      </c>
      <c r="H22" s="14">
        <v>0.21794344381655842</v>
      </c>
      <c r="I22" s="15"/>
      <c r="J22" s="380"/>
    </row>
    <row r="23" spans="2:10" x14ac:dyDescent="0.25">
      <c r="B23" s="382"/>
      <c r="C23" s="1"/>
      <c r="D23" s="13"/>
      <c r="E23" s="13"/>
      <c r="F23" s="14"/>
      <c r="G23" s="13"/>
      <c r="H23" s="14"/>
      <c r="I23" s="15"/>
      <c r="J23" s="380"/>
    </row>
    <row r="24" spans="2:10" x14ac:dyDescent="0.25">
      <c r="B24" s="382"/>
      <c r="C24" s="2" t="s">
        <v>30</v>
      </c>
      <c r="F24" s="14"/>
      <c r="G24" s="13"/>
      <c r="H24" s="14"/>
      <c r="I24" s="15"/>
      <c r="J24" s="380"/>
    </row>
    <row r="25" spans="2:10" x14ac:dyDescent="0.25">
      <c r="B25" s="382"/>
      <c r="C25" s="1" t="s">
        <v>31</v>
      </c>
      <c r="D25" s="13">
        <v>0.42133333333333334</v>
      </c>
      <c r="E25" s="13">
        <v>0.45946605170961019</v>
      </c>
      <c r="F25" s="14">
        <v>0.91700645078261989</v>
      </c>
      <c r="G25" s="13">
        <v>0.4916982188238192</v>
      </c>
      <c r="H25" s="14">
        <v>0.93444725671101492</v>
      </c>
      <c r="I25" s="15"/>
      <c r="J25" s="380"/>
    </row>
    <row r="26" spans="2:10" x14ac:dyDescent="0.25">
      <c r="B26" s="382"/>
      <c r="C26" s="1" t="s">
        <v>32</v>
      </c>
      <c r="D26" s="13">
        <v>0.24293333333333333</v>
      </c>
      <c r="E26" s="13">
        <v>0.22293671559714401</v>
      </c>
      <c r="F26" s="14">
        <v>1.0896963861812876</v>
      </c>
      <c r="G26" s="13">
        <v>0.14338031637987977</v>
      </c>
      <c r="H26" s="14">
        <v>1.5548627679582119</v>
      </c>
      <c r="I26" s="15"/>
      <c r="J26" s="380"/>
    </row>
    <row r="27" spans="2:10" x14ac:dyDescent="0.25">
      <c r="B27" s="382"/>
      <c r="C27" s="1" t="s">
        <v>33</v>
      </c>
      <c r="D27" s="13">
        <v>0.1744</v>
      </c>
      <c r="E27" s="13">
        <v>0.13459576921371236</v>
      </c>
      <c r="F27" s="14">
        <v>1.2957316639209226</v>
      </c>
      <c r="G27" s="13">
        <v>0.13350111393482081</v>
      </c>
      <c r="H27" s="14">
        <v>1.0081995965923249</v>
      </c>
      <c r="I27" s="15"/>
      <c r="J27" s="380"/>
    </row>
    <row r="28" spans="2:10" x14ac:dyDescent="0.25">
      <c r="B28" s="382"/>
      <c r="C28" s="1" t="s">
        <v>34</v>
      </c>
      <c r="D28" s="13">
        <v>6.8000000000000005E-2</v>
      </c>
      <c r="E28" s="13">
        <v>8.0912679054503528E-2</v>
      </c>
      <c r="F28" s="14">
        <v>0.84041216771718286</v>
      </c>
      <c r="G28" s="13">
        <v>0.10246565834107677</v>
      </c>
      <c r="H28" s="14">
        <v>0.78965655776269961</v>
      </c>
      <c r="I28" s="15"/>
      <c r="J28" s="380"/>
    </row>
    <row r="29" spans="2:10" x14ac:dyDescent="0.25">
      <c r="B29" s="382"/>
      <c r="C29" s="1" t="s">
        <v>35</v>
      </c>
      <c r="D29" s="13">
        <v>2.1066666666666668E-2</v>
      </c>
      <c r="E29" s="13">
        <v>1.9490886513814362E-2</v>
      </c>
      <c r="F29" s="14">
        <v>1.0808470231323473</v>
      </c>
      <c r="G29" s="13">
        <v>3.3207572517716603E-2</v>
      </c>
      <c r="H29" s="14">
        <v>0.58694102085949706</v>
      </c>
      <c r="I29" s="15"/>
      <c r="J29" s="380"/>
    </row>
    <row r="30" spans="2:10" x14ac:dyDescent="0.25">
      <c r="B30" s="382"/>
      <c r="C30" s="1" t="s">
        <v>36</v>
      </c>
      <c r="D30" s="13">
        <v>1.5733333333333332E-2</v>
      </c>
      <c r="E30" s="13">
        <v>1.4235664552751786E-2</v>
      </c>
      <c r="F30" s="14">
        <v>1.1052053997923155</v>
      </c>
      <c r="G30" s="13">
        <v>2.6221465915833547E-2</v>
      </c>
      <c r="H30" s="14">
        <v>0.54290117106518188</v>
      </c>
      <c r="I30" s="15"/>
      <c r="J30" s="380"/>
    </row>
    <row r="31" spans="2:10" x14ac:dyDescent="0.25">
      <c r="B31" s="382"/>
      <c r="C31" s="1" t="s">
        <v>37</v>
      </c>
      <c r="D31" s="13">
        <v>5.6533333333333338E-2</v>
      </c>
      <c r="E31" s="13">
        <v>6.8362233358463781E-2</v>
      </c>
      <c r="F31" s="14">
        <v>0.82696732619742697</v>
      </c>
      <c r="G31" s="13">
        <v>6.9525654086853336E-2</v>
      </c>
      <c r="H31" s="14">
        <v>0.98326631020347999</v>
      </c>
      <c r="I31" s="15"/>
      <c r="J31" s="380"/>
    </row>
    <row r="32" spans="2:10" x14ac:dyDescent="0.25">
      <c r="B32" s="382"/>
      <c r="C32" s="1"/>
      <c r="D32" s="13"/>
      <c r="E32" s="13"/>
      <c r="F32" s="14"/>
      <c r="G32" s="13"/>
      <c r="H32" s="14"/>
      <c r="I32" s="15"/>
      <c r="J32" s="380"/>
    </row>
    <row r="33" spans="2:10" x14ac:dyDescent="0.25">
      <c r="B33" s="382"/>
      <c r="C33" s="2" t="s">
        <v>38</v>
      </c>
      <c r="F33" s="14"/>
      <c r="G33" s="13"/>
      <c r="H33" s="14"/>
      <c r="I33" s="15"/>
      <c r="J33" s="380"/>
    </row>
    <row r="34" spans="2:10" x14ac:dyDescent="0.25">
      <c r="B34" s="382"/>
      <c r="C34" s="1" t="s">
        <v>39</v>
      </c>
      <c r="D34" s="13">
        <v>0.25386666666666668</v>
      </c>
      <c r="E34" s="13">
        <v>0.17971798510109968</v>
      </c>
      <c r="F34" s="14">
        <v>1.412583534830167</v>
      </c>
      <c r="G34" s="16" t="s">
        <v>12</v>
      </c>
      <c r="H34" s="16" t="s">
        <v>12</v>
      </c>
      <c r="I34" s="36"/>
      <c r="J34" s="380"/>
    </row>
    <row r="35" spans="2:10" x14ac:dyDescent="0.25">
      <c r="B35" s="382"/>
      <c r="C35" s="1" t="s">
        <v>40</v>
      </c>
      <c r="D35" s="13">
        <v>4.9333333333333333E-2</v>
      </c>
      <c r="E35" s="13">
        <v>3.2037069882937211E-2</v>
      </c>
      <c r="F35" s="14">
        <v>1.5398828143021914</v>
      </c>
      <c r="G35" s="13">
        <v>0.23826371358004139</v>
      </c>
      <c r="H35" s="14">
        <v>0.13446054962194148</v>
      </c>
      <c r="I35" s="15"/>
      <c r="J35" s="380"/>
    </row>
    <row r="36" spans="2:10" x14ac:dyDescent="0.25">
      <c r="B36" s="382"/>
      <c r="C36" s="1" t="s">
        <v>41</v>
      </c>
      <c r="D36" s="13">
        <v>9.0933333333333338E-2</v>
      </c>
      <c r="E36" s="13">
        <v>6.9927279177013121E-2</v>
      </c>
      <c r="F36" s="14">
        <v>1.3003985626717398</v>
      </c>
      <c r="G36" s="13">
        <v>0.2944472672851261</v>
      </c>
      <c r="H36" s="14">
        <v>0.23748659589120755</v>
      </c>
      <c r="I36" s="15"/>
      <c r="J36" s="380"/>
    </row>
    <row r="37" spans="2:10" x14ac:dyDescent="0.25">
      <c r="B37" s="382"/>
      <c r="C37" s="1" t="s">
        <v>42</v>
      </c>
      <c r="D37" s="13">
        <v>0.14586666666666667</v>
      </c>
      <c r="E37" s="13">
        <v>0.12431269953884357</v>
      </c>
      <c r="F37" s="14">
        <v>1.1733850781760895</v>
      </c>
      <c r="G37" s="13">
        <v>0.2295170839287588</v>
      </c>
      <c r="H37" s="14">
        <v>0.54162721750782494</v>
      </c>
      <c r="I37" s="15"/>
      <c r="J37" s="380"/>
    </row>
    <row r="38" spans="2:10" x14ac:dyDescent="0.25">
      <c r="B38" s="382"/>
      <c r="C38" s="1" t="s">
        <v>43</v>
      </c>
      <c r="D38" s="13">
        <v>0.22</v>
      </c>
      <c r="E38" s="13">
        <v>0.22705303299042215</v>
      </c>
      <c r="F38" s="14">
        <v>0.96893662728249186</v>
      </c>
      <c r="G38" s="13">
        <v>0.16500439759050969</v>
      </c>
      <c r="H38" s="14">
        <v>1.376042313453355</v>
      </c>
      <c r="I38" s="15"/>
      <c r="J38" s="380"/>
    </row>
    <row r="39" spans="2:10" ht="15.75" thickBot="1" x14ac:dyDescent="0.3">
      <c r="B39" s="383"/>
      <c r="C39" s="9" t="s">
        <v>44</v>
      </c>
      <c r="D39" s="17">
        <v>0.24</v>
      </c>
      <c r="E39" s="17">
        <v>0.36695193330968429</v>
      </c>
      <c r="F39" s="14">
        <v>0.65403661410186698</v>
      </c>
      <c r="G39" s="17">
        <v>7.2767537615563996E-2</v>
      </c>
      <c r="H39" s="14">
        <v>5.0427971776139673</v>
      </c>
      <c r="I39" s="19"/>
      <c r="J39" s="384"/>
    </row>
    <row r="40" spans="2:10" ht="15.75" thickBot="1" x14ac:dyDescent="0.3">
      <c r="B40" s="60"/>
      <c r="C40" s="45"/>
      <c r="D40" s="43"/>
      <c r="E40" s="43"/>
      <c r="F40" s="43"/>
      <c r="G40" s="43"/>
      <c r="H40" s="43"/>
      <c r="I40" s="26"/>
      <c r="J40" s="28"/>
    </row>
    <row r="41" spans="2:10" x14ac:dyDescent="0.25">
      <c r="B41" s="373" t="s">
        <v>45</v>
      </c>
      <c r="C41" s="5"/>
      <c r="D41" s="385" t="s">
        <v>46</v>
      </c>
      <c r="E41" s="385"/>
      <c r="F41" s="385" t="s">
        <v>47</v>
      </c>
      <c r="G41" s="385"/>
      <c r="H41" s="42"/>
      <c r="I41" s="7"/>
      <c r="J41" s="386" t="s">
        <v>48</v>
      </c>
    </row>
    <row r="42" spans="2:10" x14ac:dyDescent="0.25">
      <c r="B42" s="374"/>
      <c r="C42" s="1"/>
      <c r="D42" s="40" t="s">
        <v>49</v>
      </c>
      <c r="E42" s="40" t="s">
        <v>50</v>
      </c>
      <c r="F42" s="40" t="s">
        <v>49</v>
      </c>
      <c r="G42" s="40" t="s">
        <v>50</v>
      </c>
      <c r="H42" s="41" t="s">
        <v>51</v>
      </c>
      <c r="I42" s="81" t="s">
        <v>52</v>
      </c>
      <c r="J42" s="387"/>
    </row>
    <row r="43" spans="2:10" x14ac:dyDescent="0.25">
      <c r="B43" s="374"/>
      <c r="C43" s="2" t="s">
        <v>53</v>
      </c>
      <c r="H43" s="13"/>
      <c r="I43" s="4"/>
      <c r="J43" s="387"/>
    </row>
    <row r="44" spans="2:10" x14ac:dyDescent="0.25">
      <c r="B44" s="374"/>
      <c r="C44" s="1" t="s">
        <v>54</v>
      </c>
      <c r="D44" s="73">
        <v>2074325</v>
      </c>
      <c r="E44" s="38">
        <v>0.54187595544878797</v>
      </c>
      <c r="F44" s="8">
        <v>52545</v>
      </c>
      <c r="G44" s="13">
        <v>0.49715210233508683</v>
      </c>
      <c r="H44" s="14">
        <v>0.91746477646039803</v>
      </c>
      <c r="I44" s="82">
        <v>2.5331131813963577E-2</v>
      </c>
      <c r="J44" s="387"/>
    </row>
    <row r="45" spans="2:10" x14ac:dyDescent="0.25">
      <c r="B45" s="374"/>
      <c r="C45" s="1" t="s">
        <v>55</v>
      </c>
      <c r="D45" s="73">
        <v>1753719</v>
      </c>
      <c r="E45" s="38">
        <v>0.45812404455121203</v>
      </c>
      <c r="F45" s="8">
        <v>53147</v>
      </c>
      <c r="G45" s="13">
        <v>0.50284789766491311</v>
      </c>
      <c r="H45" s="14">
        <v>1.0976238938899474</v>
      </c>
      <c r="I45" s="82">
        <v>3.0305311170147554E-2</v>
      </c>
      <c r="J45" s="387"/>
    </row>
    <row r="46" spans="2:10" x14ac:dyDescent="0.25">
      <c r="B46" s="374"/>
      <c r="C46" s="1" t="s">
        <v>53</v>
      </c>
      <c r="D46" s="73">
        <v>3828044</v>
      </c>
      <c r="E46" s="38"/>
      <c r="F46" s="8">
        <v>105692</v>
      </c>
      <c r="H46" s="14"/>
      <c r="I46" s="82">
        <v>2.7609922978941725E-2</v>
      </c>
      <c r="J46" s="387"/>
    </row>
    <row r="47" spans="2:10" x14ac:dyDescent="0.25">
      <c r="B47" s="374"/>
      <c r="C47" s="1"/>
      <c r="D47" s="38"/>
      <c r="E47" s="38"/>
      <c r="F47" s="8"/>
      <c r="H47" s="14"/>
      <c r="I47" s="82"/>
      <c r="J47" s="387"/>
    </row>
    <row r="48" spans="2:10" x14ac:dyDescent="0.25">
      <c r="B48" s="374"/>
      <c r="C48" s="2" t="s">
        <v>56</v>
      </c>
      <c r="D48" s="38"/>
      <c r="E48" s="38"/>
      <c r="H48" s="14"/>
      <c r="I48" s="82"/>
      <c r="J48" s="387"/>
    </row>
    <row r="49" spans="2:15" x14ac:dyDescent="0.25">
      <c r="B49" s="374"/>
      <c r="C49" s="1" t="s">
        <v>57</v>
      </c>
      <c r="D49" s="73">
        <v>708328</v>
      </c>
      <c r="E49" s="38">
        <v>0.40390051085721257</v>
      </c>
      <c r="F49" s="8">
        <v>19335</v>
      </c>
      <c r="G49" s="13">
        <v>0.3638022842305304</v>
      </c>
      <c r="H49" s="14">
        <v>0.90072251569679807</v>
      </c>
      <c r="I49" s="82">
        <v>2.7296676116149582E-2</v>
      </c>
      <c r="J49" s="387"/>
      <c r="N49" s="38"/>
    </row>
    <row r="50" spans="2:15" x14ac:dyDescent="0.25">
      <c r="B50" s="374"/>
      <c r="C50" s="1" t="s">
        <v>58</v>
      </c>
      <c r="D50" s="73">
        <v>252373</v>
      </c>
      <c r="E50" s="38">
        <v>0.14390731924555758</v>
      </c>
      <c r="F50" s="8">
        <v>11851</v>
      </c>
      <c r="G50" s="13">
        <v>0.22298530490902591</v>
      </c>
      <c r="H50" s="14">
        <v>1.5495063494896522</v>
      </c>
      <c r="I50" s="82">
        <v>4.6958272081403317E-2</v>
      </c>
      <c r="J50" s="387"/>
      <c r="N50" s="38"/>
    </row>
    <row r="51" spans="2:15" x14ac:dyDescent="0.25">
      <c r="B51" s="374"/>
      <c r="C51" s="1" t="s">
        <v>59</v>
      </c>
      <c r="D51" s="73">
        <v>209812</v>
      </c>
      <c r="E51" s="38">
        <v>0.11963832290121736</v>
      </c>
      <c r="F51" s="8">
        <v>9449</v>
      </c>
      <c r="G51" s="13">
        <v>0.17778990347526671</v>
      </c>
      <c r="H51" s="14">
        <v>1.486061482340101</v>
      </c>
      <c r="I51" s="82">
        <v>4.5035555640287495E-2</v>
      </c>
      <c r="J51" s="387"/>
    </row>
    <row r="52" spans="2:15" x14ac:dyDescent="0.25">
      <c r="B52" s="374"/>
      <c r="C52" s="1" t="s">
        <v>60</v>
      </c>
      <c r="D52" s="73">
        <v>481986</v>
      </c>
      <c r="E52" s="38">
        <v>0.27483650459395148</v>
      </c>
      <c r="F52" s="8">
        <v>9097</v>
      </c>
      <c r="G52" s="13">
        <v>0.17116676388131033</v>
      </c>
      <c r="H52" s="14">
        <v>0.62279486538440465</v>
      </c>
      <c r="I52" s="82">
        <v>1.8873992190644541E-2</v>
      </c>
      <c r="J52" s="387"/>
    </row>
    <row r="53" spans="2:15" x14ac:dyDescent="0.25">
      <c r="B53" s="374"/>
      <c r="C53" s="1" t="s">
        <v>61</v>
      </c>
      <c r="D53" s="73">
        <v>24359</v>
      </c>
      <c r="E53" s="38">
        <v>1.3889910527285158E-2</v>
      </c>
      <c r="F53" s="8">
        <v>938</v>
      </c>
      <c r="G53" s="13">
        <v>1.7649161758895141E-2</v>
      </c>
      <c r="H53" s="14">
        <v>1.2706461804937734</v>
      </c>
      <c r="I53" s="82">
        <v>3.8507327887023275E-2</v>
      </c>
      <c r="J53" s="387"/>
    </row>
    <row r="54" spans="2:15" x14ac:dyDescent="0.25">
      <c r="B54" s="374"/>
      <c r="C54" s="1" t="s">
        <v>62</v>
      </c>
      <c r="D54" s="73">
        <v>51648</v>
      </c>
      <c r="E54" s="38">
        <v>2.9450556217957381E-2</v>
      </c>
      <c r="F54" s="3">
        <v>1669</v>
      </c>
      <c r="G54" s="13">
        <v>3.1403465858844334E-2</v>
      </c>
      <c r="H54" s="14">
        <v>1.0663114688372566</v>
      </c>
      <c r="I54" s="82">
        <v>3.2314900867410158E-2</v>
      </c>
      <c r="J54" s="387"/>
      <c r="M54" s="13"/>
    </row>
    <row r="55" spans="2:15" ht="15.75" thickBot="1" x14ac:dyDescent="0.3">
      <c r="B55" s="375"/>
      <c r="C55" s="9" t="s">
        <v>63</v>
      </c>
      <c r="D55" s="74">
        <v>25213</v>
      </c>
      <c r="E55" s="44">
        <v>1.4376875656818453E-2</v>
      </c>
      <c r="F55" s="10">
        <v>808</v>
      </c>
      <c r="G55" s="17">
        <v>1.5203115886127157E-2</v>
      </c>
      <c r="H55" s="18">
        <v>1.057470082445684</v>
      </c>
      <c r="I55" s="83">
        <v>3.2046959901638042E-2</v>
      </c>
      <c r="J55" s="388"/>
    </row>
    <row r="56" spans="2:15" ht="15.75" thickBot="1" x14ac:dyDescent="0.3">
      <c r="C56" s="1"/>
      <c r="D56" s="8"/>
      <c r="I56" s="4"/>
      <c r="J56" s="28"/>
    </row>
    <row r="57" spans="2:15" x14ac:dyDescent="0.25">
      <c r="B57" s="373" t="s">
        <v>64</v>
      </c>
      <c r="C57" s="21" t="s">
        <v>65</v>
      </c>
      <c r="D57" s="23" t="s">
        <v>66</v>
      </c>
      <c r="E57" s="48" t="s">
        <v>67</v>
      </c>
      <c r="F57" s="48" t="s">
        <v>68</v>
      </c>
      <c r="G57" s="48" t="s">
        <v>51</v>
      </c>
      <c r="H57" s="6"/>
      <c r="I57" s="7"/>
      <c r="J57" s="373" t="s">
        <v>19</v>
      </c>
    </row>
    <row r="58" spans="2:15" x14ac:dyDescent="0.25">
      <c r="B58" s="374"/>
      <c r="C58" s="1" t="s">
        <v>69</v>
      </c>
      <c r="D58" s="8">
        <v>28315</v>
      </c>
      <c r="E58" s="67"/>
      <c r="F58" s="68"/>
      <c r="I58" s="4"/>
      <c r="J58" s="374"/>
      <c r="N58" s="8"/>
    </row>
    <row r="59" spans="2:15" x14ac:dyDescent="0.25">
      <c r="B59" s="374"/>
      <c r="C59" s="1" t="s">
        <v>70</v>
      </c>
      <c r="D59" s="69">
        <v>0.71</v>
      </c>
      <c r="E59" s="68"/>
      <c r="F59" s="68"/>
      <c r="I59" s="4"/>
      <c r="J59" s="374"/>
      <c r="N59" s="39"/>
    </row>
    <row r="60" spans="2:15" x14ac:dyDescent="0.25">
      <c r="B60" s="374"/>
      <c r="C60" s="1"/>
      <c r="D60" s="70"/>
      <c r="E60" s="68"/>
      <c r="F60" s="14"/>
      <c r="I60" s="4"/>
      <c r="J60" s="374"/>
      <c r="M60" s="8"/>
      <c r="N60" s="8"/>
    </row>
    <row r="61" spans="2:15" ht="14.45" customHeight="1" x14ac:dyDescent="0.25">
      <c r="B61" s="374"/>
      <c r="C61" s="1" t="s">
        <v>71</v>
      </c>
      <c r="D61" s="8">
        <v>105692</v>
      </c>
      <c r="F61" s="68"/>
      <c r="I61" s="4"/>
      <c r="J61" s="374"/>
      <c r="K61" s="24"/>
      <c r="M61" s="14"/>
      <c r="N61" s="8"/>
    </row>
    <row r="62" spans="2:15" x14ac:dyDescent="0.25">
      <c r="B62" s="374"/>
      <c r="C62" s="1" t="s">
        <v>72</v>
      </c>
      <c r="D62" s="71">
        <v>3.7327211725233975</v>
      </c>
      <c r="E62" s="14"/>
      <c r="F62" s="14"/>
      <c r="I62" s="4"/>
      <c r="J62" s="374"/>
      <c r="N62" s="14"/>
    </row>
    <row r="63" spans="2:15" x14ac:dyDescent="0.25">
      <c r="B63" s="374"/>
      <c r="C63" s="1"/>
      <c r="D63" s="71"/>
      <c r="F63" s="14"/>
      <c r="I63" s="4"/>
      <c r="J63" s="374"/>
      <c r="M63" s="8"/>
      <c r="O63" s="14"/>
    </row>
    <row r="64" spans="2:15" x14ac:dyDescent="0.25">
      <c r="B64" s="374"/>
      <c r="C64" s="1" t="s">
        <v>73</v>
      </c>
      <c r="D64" s="67">
        <v>51802</v>
      </c>
      <c r="E64" s="67"/>
      <c r="F64" s="14"/>
      <c r="I64" s="4"/>
      <c r="J64" s="374"/>
      <c r="M64" s="14"/>
      <c r="N64" s="8"/>
      <c r="O64" s="14"/>
    </row>
    <row r="65" spans="2:14" x14ac:dyDescent="0.25">
      <c r="B65" s="374"/>
      <c r="C65" s="1" t="s">
        <v>74</v>
      </c>
      <c r="D65" s="71">
        <v>1.8294896697863323</v>
      </c>
      <c r="E65" s="72"/>
      <c r="F65" s="14"/>
      <c r="I65" s="4"/>
      <c r="J65" s="374"/>
      <c r="N65" s="14"/>
    </row>
    <row r="66" spans="2:14" ht="15.75" thickBot="1" x14ac:dyDescent="0.3">
      <c r="B66" s="375"/>
      <c r="C66" s="9" t="s">
        <v>75</v>
      </c>
      <c r="D66" s="84">
        <v>2.0403073240415428</v>
      </c>
      <c r="E66" s="85"/>
      <c r="F66" s="18"/>
      <c r="G66" s="20"/>
      <c r="H66" s="20"/>
      <c r="I66" s="11"/>
      <c r="J66" s="375"/>
      <c r="N66" s="14"/>
    </row>
    <row r="67" spans="2:14" x14ac:dyDescent="0.25">
      <c r="D67" s="37"/>
      <c r="E67" s="22"/>
      <c r="F67" s="14"/>
    </row>
  </sheetData>
  <mergeCells count="11">
    <mergeCell ref="B57:B66"/>
    <mergeCell ref="J57:J66"/>
    <mergeCell ref="C2:I2"/>
    <mergeCell ref="B3:B9"/>
    <mergeCell ref="J3:J9"/>
    <mergeCell ref="B11:B39"/>
    <mergeCell ref="J11:J39"/>
    <mergeCell ref="B41:B55"/>
    <mergeCell ref="D41:E41"/>
    <mergeCell ref="F41:G41"/>
    <mergeCell ref="J41:J55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E3E41-5A86-4978-B278-6AD2EEEF5212}">
  <sheetPr codeName="Sheet6">
    <tabColor theme="4"/>
  </sheetPr>
  <dimension ref="B1:O68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93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ht="15.75" thickBot="1" x14ac:dyDescent="0.3">
      <c r="B10" s="375"/>
      <c r="C10" s="58" t="s">
        <v>78</v>
      </c>
      <c r="D10" s="55"/>
      <c r="E10" s="55">
        <v>48782</v>
      </c>
      <c r="F10" s="55">
        <v>46014</v>
      </c>
      <c r="G10" s="55">
        <v>9759</v>
      </c>
      <c r="H10" s="55"/>
      <c r="I10" s="56"/>
      <c r="J10" s="380"/>
    </row>
    <row r="11" spans="2:10" ht="15.75" thickBot="1" x14ac:dyDescent="0.3">
      <c r="C11" s="45"/>
      <c r="D11" s="25"/>
      <c r="E11" s="50"/>
      <c r="F11" s="50"/>
      <c r="G11" s="50"/>
      <c r="H11" s="50"/>
      <c r="I11" s="51"/>
      <c r="J11" s="27"/>
    </row>
    <row r="12" spans="2:10" x14ac:dyDescent="0.25">
      <c r="B12" s="381" t="s">
        <v>13</v>
      </c>
      <c r="C12" s="5"/>
      <c r="D12" s="48" t="s">
        <v>95</v>
      </c>
      <c r="E12" s="48" t="s">
        <v>15</v>
      </c>
      <c r="F12" s="48" t="s">
        <v>96</v>
      </c>
      <c r="G12" s="48" t="s">
        <v>17</v>
      </c>
      <c r="H12" s="48" t="s">
        <v>18</v>
      </c>
      <c r="I12" s="49"/>
      <c r="J12" s="380" t="s">
        <v>19</v>
      </c>
    </row>
    <row r="13" spans="2:10" x14ac:dyDescent="0.25">
      <c r="B13" s="382"/>
      <c r="C13" s="2" t="s">
        <v>20</v>
      </c>
      <c r="D13" s="47"/>
      <c r="E13" s="47"/>
      <c r="F13" s="47"/>
      <c r="G13" s="47"/>
      <c r="H13" s="47"/>
      <c r="I13" s="12"/>
      <c r="J13" s="380"/>
    </row>
    <row r="14" spans="2:10" x14ac:dyDescent="0.25">
      <c r="B14" s="382"/>
      <c r="C14" s="1" t="s">
        <v>21</v>
      </c>
      <c r="D14" s="13">
        <v>0.44280860702151753</v>
      </c>
      <c r="E14" s="13">
        <v>0.35294762698482324</v>
      </c>
      <c r="F14" s="14">
        <v>1.2546014568913884</v>
      </c>
      <c r="G14" s="13">
        <v>0.57235489190258093</v>
      </c>
      <c r="H14" s="14">
        <v>0.61665870595004468</v>
      </c>
      <c r="I14" s="15"/>
      <c r="J14" s="380"/>
    </row>
    <row r="15" spans="2:10" x14ac:dyDescent="0.25">
      <c r="B15" s="382"/>
      <c r="C15" s="1" t="s">
        <v>22</v>
      </c>
      <c r="D15" s="13">
        <v>0.55719139297848241</v>
      </c>
      <c r="E15" s="13">
        <v>0.64705237301517682</v>
      </c>
      <c r="F15" s="14">
        <v>0.86112255547730343</v>
      </c>
      <c r="G15" s="13">
        <v>0.42764510809741907</v>
      </c>
      <c r="H15" s="14">
        <v>1.5130592184110194</v>
      </c>
      <c r="I15" s="15"/>
      <c r="J15" s="380"/>
    </row>
    <row r="16" spans="2:10" x14ac:dyDescent="0.25">
      <c r="B16" s="382"/>
      <c r="C16" s="1"/>
      <c r="D16" s="13"/>
      <c r="E16" s="13"/>
      <c r="F16" s="14"/>
      <c r="G16" s="13"/>
      <c r="H16" s="14"/>
      <c r="I16" s="15"/>
      <c r="J16" s="380"/>
    </row>
    <row r="17" spans="2:10" x14ac:dyDescent="0.25">
      <c r="B17" s="382"/>
      <c r="C17" s="2" t="s">
        <v>23</v>
      </c>
      <c r="F17" s="14"/>
      <c r="G17" s="13"/>
      <c r="H17" s="14"/>
      <c r="I17" s="15"/>
      <c r="J17" s="380"/>
    </row>
    <row r="18" spans="2:10" x14ac:dyDescent="0.25">
      <c r="B18" s="382"/>
      <c r="C18" s="1" t="s">
        <v>24</v>
      </c>
      <c r="D18" s="13">
        <v>2.0224719101123594E-2</v>
      </c>
      <c r="E18" s="13">
        <v>1.2001565421576727E-2</v>
      </c>
      <c r="F18" s="14">
        <v>1.6851734245236931</v>
      </c>
      <c r="G18" s="13">
        <v>9.3529624053555957E-3</v>
      </c>
      <c r="H18" s="14">
        <v>1.28318332753102</v>
      </c>
      <c r="I18" s="15"/>
      <c r="J18" s="380"/>
    </row>
    <row r="19" spans="2:10" x14ac:dyDescent="0.25">
      <c r="B19" s="382"/>
      <c r="C19" s="1" t="s">
        <v>25</v>
      </c>
      <c r="D19" s="13">
        <v>0.15730337078651685</v>
      </c>
      <c r="E19" s="13">
        <v>0.13371309301213202</v>
      </c>
      <c r="F19" s="14">
        <v>1.1764245912122042</v>
      </c>
      <c r="G19" s="13">
        <v>0.11987086678511411</v>
      </c>
      <c r="H19" s="14">
        <v>1.1154761502795514</v>
      </c>
      <c r="I19" s="15"/>
      <c r="J19" s="380"/>
    </row>
    <row r="20" spans="2:10" x14ac:dyDescent="0.25">
      <c r="B20" s="382"/>
      <c r="C20" s="1" t="s">
        <v>26</v>
      </c>
      <c r="D20" s="13">
        <v>0.35842696629213483</v>
      </c>
      <c r="E20" s="13">
        <v>0.3656346479975649</v>
      </c>
      <c r="F20" s="14">
        <v>0.98028720269016167</v>
      </c>
      <c r="G20" s="13">
        <v>0.29408078276439853</v>
      </c>
      <c r="H20" s="14">
        <v>1.2433136383838159</v>
      </c>
      <c r="I20" s="15"/>
      <c r="J20" s="380"/>
    </row>
    <row r="21" spans="2:10" x14ac:dyDescent="0.25">
      <c r="B21" s="382"/>
      <c r="C21" s="1" t="s">
        <v>27</v>
      </c>
      <c r="D21" s="13">
        <v>0.32471910112359553</v>
      </c>
      <c r="E21" s="13">
        <v>0.33978345001521937</v>
      </c>
      <c r="F21" s="14">
        <v>0.95566485392108091</v>
      </c>
      <c r="G21" s="13">
        <v>0.32868783998543011</v>
      </c>
      <c r="H21" s="14">
        <v>1.0337572878579295</v>
      </c>
      <c r="I21" s="15"/>
      <c r="J21" s="380"/>
    </row>
    <row r="22" spans="2:10" x14ac:dyDescent="0.25">
      <c r="B22" s="382"/>
      <c r="C22" s="1" t="s">
        <v>28</v>
      </c>
      <c r="D22" s="13">
        <v>0.12022471910112359</v>
      </c>
      <c r="E22" s="13">
        <v>0.13306083402182894</v>
      </c>
      <c r="F22" s="14">
        <v>0.90353198208122187</v>
      </c>
      <c r="G22" s="13">
        <v>0.17578056392525954</v>
      </c>
      <c r="H22" s="14">
        <v>0.75697125467412496</v>
      </c>
      <c r="I22" s="15"/>
      <c r="J22" s="380"/>
    </row>
    <row r="23" spans="2:10" x14ac:dyDescent="0.25">
      <c r="B23" s="382"/>
      <c r="C23" s="1" t="s">
        <v>29</v>
      </c>
      <c r="D23" s="13">
        <v>1.9101123595505618E-2</v>
      </c>
      <c r="E23" s="13">
        <v>1.5806409531678046E-2</v>
      </c>
      <c r="F23" s="14">
        <v>1.2084416487643539</v>
      </c>
      <c r="G23" s="13">
        <v>7.222698413444209E-2</v>
      </c>
      <c r="H23" s="14">
        <v>0.21884354886334811</v>
      </c>
      <c r="I23" s="15"/>
      <c r="J23" s="380"/>
    </row>
    <row r="24" spans="2:10" x14ac:dyDescent="0.25">
      <c r="B24" s="382"/>
      <c r="C24" s="1"/>
      <c r="D24" s="13"/>
      <c r="E24" s="13"/>
      <c r="F24" s="14"/>
      <c r="G24" s="13"/>
      <c r="H24" s="14"/>
      <c r="I24" s="15"/>
      <c r="J24" s="380"/>
    </row>
    <row r="25" spans="2:10" x14ac:dyDescent="0.25">
      <c r="B25" s="382"/>
      <c r="C25" s="2" t="s">
        <v>30</v>
      </c>
      <c r="F25" s="14"/>
      <c r="G25" s="13"/>
      <c r="H25" s="14"/>
      <c r="I25" s="15"/>
      <c r="J25" s="380"/>
    </row>
    <row r="26" spans="2:10" x14ac:dyDescent="0.25">
      <c r="B26" s="382"/>
      <c r="C26" s="1" t="s">
        <v>31</v>
      </c>
      <c r="D26" s="13">
        <v>0.16292134831460675</v>
      </c>
      <c r="E26" s="13">
        <v>0.45372705923284334</v>
      </c>
      <c r="F26" s="14">
        <v>0.35907346718547567</v>
      </c>
      <c r="G26" s="13">
        <v>0.4916982188238192</v>
      </c>
      <c r="H26" s="14">
        <v>0.92277547866289644</v>
      </c>
      <c r="I26" s="15"/>
      <c r="J26" s="380"/>
    </row>
    <row r="27" spans="2:10" x14ac:dyDescent="0.25">
      <c r="B27" s="382"/>
      <c r="C27" s="1" t="s">
        <v>32</v>
      </c>
      <c r="D27" s="13">
        <v>0.42134831460674155</v>
      </c>
      <c r="E27" s="13">
        <v>0.22677655040445333</v>
      </c>
      <c r="F27" s="14">
        <v>1.8579889051812093</v>
      </c>
      <c r="G27" s="13">
        <v>0.14338031637987977</v>
      </c>
      <c r="H27" s="14">
        <v>1.5816435346928579</v>
      </c>
      <c r="I27" s="15"/>
      <c r="J27" s="380"/>
    </row>
    <row r="28" spans="2:10" x14ac:dyDescent="0.25">
      <c r="B28" s="382"/>
      <c r="C28" s="1" t="s">
        <v>33</v>
      </c>
      <c r="D28" s="13">
        <v>0.28988764044943821</v>
      </c>
      <c r="E28" s="13">
        <v>0.1376011133339132</v>
      </c>
      <c r="F28" s="14">
        <v>2.1067245273370361</v>
      </c>
      <c r="G28" s="13">
        <v>0.13350111393482081</v>
      </c>
      <c r="H28" s="14">
        <v>1.0307113497277194</v>
      </c>
      <c r="I28" s="15"/>
      <c r="J28" s="380"/>
    </row>
    <row r="29" spans="2:10" x14ac:dyDescent="0.25">
      <c r="B29" s="382"/>
      <c r="C29" s="1" t="s">
        <v>34</v>
      </c>
      <c r="D29" s="13">
        <v>2.4719101123595506E-2</v>
      </c>
      <c r="E29" s="13">
        <v>7.9825171783943633E-2</v>
      </c>
      <c r="F29" s="14">
        <v>0.30966549236499868</v>
      </c>
      <c r="G29" s="13">
        <v>0.10246565834107677</v>
      </c>
      <c r="H29" s="14">
        <v>0.77904317481892427</v>
      </c>
      <c r="I29" s="15"/>
      <c r="J29" s="380"/>
    </row>
    <row r="30" spans="2:10" x14ac:dyDescent="0.25">
      <c r="B30" s="382"/>
      <c r="C30" s="1" t="s">
        <v>35</v>
      </c>
      <c r="D30" s="13">
        <v>2.247191011235955E-2</v>
      </c>
      <c r="E30" s="13">
        <v>1.9548577889884317E-2</v>
      </c>
      <c r="F30" s="14">
        <v>1.1495419379835272</v>
      </c>
      <c r="G30" s="13">
        <v>3.3207572517716603E-2</v>
      </c>
      <c r="H30" s="14">
        <v>0.58867831665367698</v>
      </c>
      <c r="I30" s="15"/>
      <c r="J30" s="380"/>
    </row>
    <row r="31" spans="2:10" x14ac:dyDescent="0.25">
      <c r="B31" s="382"/>
      <c r="C31" s="1" t="s">
        <v>36</v>
      </c>
      <c r="D31" s="13">
        <v>2.247191011235955E-2</v>
      </c>
      <c r="E31" s="13">
        <v>1.4395059580760199E-2</v>
      </c>
      <c r="F31" s="14">
        <v>1.561084897654367</v>
      </c>
      <c r="G31" s="13">
        <v>2.6221465915833547E-2</v>
      </c>
      <c r="H31" s="14">
        <v>0.5489799703405559</v>
      </c>
      <c r="I31" s="15"/>
      <c r="J31" s="380"/>
    </row>
    <row r="32" spans="2:10" x14ac:dyDescent="0.25">
      <c r="B32" s="382"/>
      <c r="C32" s="1" t="s">
        <v>37</v>
      </c>
      <c r="D32" s="13">
        <v>5.6179775280898875E-2</v>
      </c>
      <c r="E32" s="13">
        <v>6.8126467774201963E-2</v>
      </c>
      <c r="F32" s="14">
        <v>0.82463948471687765</v>
      </c>
      <c r="G32" s="13">
        <v>6.9525654086853336E-2</v>
      </c>
      <c r="H32" s="14">
        <v>0.97987525135824727</v>
      </c>
      <c r="I32" s="15"/>
      <c r="J32" s="380"/>
    </row>
    <row r="33" spans="2:10" x14ac:dyDescent="0.25">
      <c r="B33" s="382"/>
      <c r="C33" s="1"/>
      <c r="D33" s="13"/>
      <c r="E33" s="13"/>
      <c r="F33" s="14"/>
      <c r="G33" s="13"/>
      <c r="H33" s="14"/>
      <c r="I33" s="15"/>
      <c r="J33" s="380"/>
    </row>
    <row r="34" spans="2:10" x14ac:dyDescent="0.25">
      <c r="B34" s="382"/>
      <c r="C34" s="2" t="s">
        <v>38</v>
      </c>
      <c r="F34" s="14"/>
      <c r="G34" s="13"/>
      <c r="H34" s="14"/>
      <c r="I34" s="15"/>
      <c r="J34" s="380"/>
    </row>
    <row r="35" spans="2:10" x14ac:dyDescent="0.25">
      <c r="B35" s="382"/>
      <c r="C35" s="1" t="s">
        <v>39</v>
      </c>
      <c r="D35" s="13">
        <v>0.26853932584269663</v>
      </c>
      <c r="E35" s="13">
        <v>0.18143670913597426</v>
      </c>
      <c r="F35" s="14">
        <v>1.4800716300550016</v>
      </c>
      <c r="G35" s="16" t="s">
        <v>12</v>
      </c>
      <c r="H35" s="16" t="s">
        <v>12</v>
      </c>
      <c r="I35" s="36"/>
      <c r="J35" s="380"/>
    </row>
    <row r="36" spans="2:10" x14ac:dyDescent="0.25">
      <c r="B36" s="382"/>
      <c r="C36" s="1" t="s">
        <v>40</v>
      </c>
      <c r="D36" s="13">
        <v>4.3820224719101124E-2</v>
      </c>
      <c r="E36" s="13">
        <v>3.226507805365917E-2</v>
      </c>
      <c r="F36" s="14">
        <v>1.3581316817589875</v>
      </c>
      <c r="G36" s="13">
        <v>0.23826371358004139</v>
      </c>
      <c r="H36" s="14">
        <v>0.13541750679891154</v>
      </c>
      <c r="I36" s="15"/>
      <c r="J36" s="380"/>
    </row>
    <row r="37" spans="2:10" x14ac:dyDescent="0.25">
      <c r="B37" s="382"/>
      <c r="C37" s="1" t="s">
        <v>41</v>
      </c>
      <c r="D37" s="13">
        <v>9.8876404494382023E-2</v>
      </c>
      <c r="E37" s="13">
        <v>7.048745488541984E-2</v>
      </c>
      <c r="F37" s="14">
        <v>1.4027518039218405</v>
      </c>
      <c r="G37" s="13">
        <v>0.2944472672851261</v>
      </c>
      <c r="H37" s="14">
        <v>0.23938906119024622</v>
      </c>
      <c r="I37" s="15"/>
      <c r="J37" s="380"/>
    </row>
    <row r="38" spans="2:10" x14ac:dyDescent="0.25">
      <c r="B38" s="382"/>
      <c r="C38" s="1" t="s">
        <v>42</v>
      </c>
      <c r="D38" s="13">
        <v>0.14831460674157304</v>
      </c>
      <c r="E38" s="13">
        <v>0.12477714484497977</v>
      </c>
      <c r="F38" s="14">
        <v>1.1886360032186636</v>
      </c>
      <c r="G38" s="13">
        <v>0.2295170839287588</v>
      </c>
      <c r="H38" s="14">
        <v>0.54365079369738811</v>
      </c>
      <c r="I38" s="15"/>
      <c r="J38" s="380"/>
    </row>
    <row r="39" spans="2:10" x14ac:dyDescent="0.25">
      <c r="B39" s="382"/>
      <c r="C39" s="1" t="s">
        <v>43</v>
      </c>
      <c r="D39" s="13">
        <v>0.20561797752808988</v>
      </c>
      <c r="E39" s="13">
        <v>0.2266382571639779</v>
      </c>
      <c r="F39" s="14">
        <v>0.90725184750834298</v>
      </c>
      <c r="G39" s="13">
        <v>0.16500439759050969</v>
      </c>
      <c r="H39" s="14">
        <v>1.3735285875617966</v>
      </c>
      <c r="I39" s="15"/>
      <c r="J39" s="380"/>
    </row>
    <row r="40" spans="2:10" ht="15.75" thickBot="1" x14ac:dyDescent="0.3">
      <c r="B40" s="383"/>
      <c r="C40" s="9" t="s">
        <v>44</v>
      </c>
      <c r="D40" s="17">
        <v>0.23483146067415731</v>
      </c>
      <c r="E40" s="17">
        <v>0.36439535591598904</v>
      </c>
      <c r="F40" s="14">
        <v>0.64444142018181327</v>
      </c>
      <c r="G40" s="17">
        <v>7.2767537615563996E-2</v>
      </c>
      <c r="H40" s="14">
        <v>5.0076636898326186</v>
      </c>
      <c r="I40" s="19"/>
      <c r="J40" s="384"/>
    </row>
    <row r="41" spans="2:10" ht="15.75" thickBot="1" x14ac:dyDescent="0.3">
      <c r="B41" s="60"/>
      <c r="C41" s="45"/>
      <c r="D41" s="43"/>
      <c r="E41" s="43"/>
      <c r="F41" s="43"/>
      <c r="G41" s="43"/>
      <c r="H41" s="43"/>
      <c r="I41" s="26"/>
      <c r="J41" s="28"/>
    </row>
    <row r="42" spans="2:10" x14ac:dyDescent="0.25">
      <c r="B42" s="373" t="s">
        <v>45</v>
      </c>
      <c r="C42" s="5"/>
      <c r="D42" s="385" t="s">
        <v>46</v>
      </c>
      <c r="E42" s="385"/>
      <c r="F42" s="385" t="s">
        <v>47</v>
      </c>
      <c r="G42" s="385"/>
      <c r="H42" s="42"/>
      <c r="I42" s="7"/>
      <c r="J42" s="386" t="s">
        <v>48</v>
      </c>
    </row>
    <row r="43" spans="2:10" x14ac:dyDescent="0.25">
      <c r="B43" s="374"/>
      <c r="C43" s="1"/>
      <c r="D43" s="40" t="s">
        <v>49</v>
      </c>
      <c r="E43" s="40" t="s">
        <v>50</v>
      </c>
      <c r="F43" s="40" t="s">
        <v>49</v>
      </c>
      <c r="G43" s="40" t="s">
        <v>50</v>
      </c>
      <c r="H43" s="41" t="s">
        <v>51</v>
      </c>
      <c r="I43" s="81" t="s">
        <v>52</v>
      </c>
      <c r="J43" s="387"/>
    </row>
    <row r="44" spans="2:10" x14ac:dyDescent="0.25">
      <c r="B44" s="374"/>
      <c r="C44" s="2" t="s">
        <v>53</v>
      </c>
      <c r="H44" s="13"/>
      <c r="I44" s="4"/>
      <c r="J44" s="387"/>
    </row>
    <row r="45" spans="2:10" x14ac:dyDescent="0.25">
      <c r="B45" s="374"/>
      <c r="C45" s="1" t="s">
        <v>54</v>
      </c>
      <c r="D45" s="73">
        <v>575890</v>
      </c>
      <c r="E45" s="38">
        <v>0.6226746606261454</v>
      </c>
      <c r="F45" s="8">
        <v>16417</v>
      </c>
      <c r="G45" s="13">
        <v>0.6578905185541396</v>
      </c>
      <c r="H45" s="14">
        <v>1.0565557909367662</v>
      </c>
      <c r="I45" s="82">
        <v>2.850718019066141E-2</v>
      </c>
      <c r="J45" s="387"/>
    </row>
    <row r="46" spans="2:10" x14ac:dyDescent="0.25">
      <c r="B46" s="374"/>
      <c r="C46" s="1" t="s">
        <v>55</v>
      </c>
      <c r="D46" s="73">
        <v>348975</v>
      </c>
      <c r="E46" s="38">
        <v>0.37732533937385454</v>
      </c>
      <c r="F46" s="8">
        <v>8537</v>
      </c>
      <c r="G46" s="13">
        <v>0.3421094814458604</v>
      </c>
      <c r="H46" s="14">
        <v>0.90666977736922616</v>
      </c>
      <c r="I46" s="82">
        <v>2.4463070420517229E-2</v>
      </c>
      <c r="J46" s="387"/>
    </row>
    <row r="47" spans="2:10" x14ac:dyDescent="0.25">
      <c r="B47" s="374"/>
      <c r="C47" s="1" t="s">
        <v>53</v>
      </c>
      <c r="D47" s="73">
        <v>924865</v>
      </c>
      <c r="E47" s="38"/>
      <c r="F47" s="8">
        <v>24954</v>
      </c>
      <c r="H47" s="14"/>
      <c r="I47" s="82">
        <v>2.6981235099176635E-2</v>
      </c>
      <c r="J47" s="387"/>
    </row>
    <row r="48" spans="2:10" x14ac:dyDescent="0.25">
      <c r="B48" s="374"/>
      <c r="C48" s="1"/>
      <c r="D48" s="38"/>
      <c r="E48" s="38"/>
      <c r="F48" s="8"/>
      <c r="H48" s="14"/>
      <c r="I48" s="82"/>
      <c r="J48" s="387"/>
    </row>
    <row r="49" spans="2:15" x14ac:dyDescent="0.25">
      <c r="B49" s="374"/>
      <c r="C49" s="2" t="s">
        <v>56</v>
      </c>
      <c r="D49" s="38"/>
      <c r="E49" s="38"/>
      <c r="H49" s="14"/>
      <c r="I49" s="82"/>
      <c r="J49" s="387"/>
    </row>
    <row r="50" spans="2:15" x14ac:dyDescent="0.25">
      <c r="B50" s="374"/>
      <c r="C50" s="1" t="s">
        <v>57</v>
      </c>
      <c r="D50" s="73">
        <v>141346</v>
      </c>
      <c r="E50" s="38">
        <v>0.40503187907443228</v>
      </c>
      <c r="F50" s="8">
        <v>2980</v>
      </c>
      <c r="G50" s="13">
        <v>0.34906875951739486</v>
      </c>
      <c r="H50" s="14">
        <v>0.86183033373836448</v>
      </c>
      <c r="I50" s="82">
        <v>2.1083016144779476E-2</v>
      </c>
      <c r="J50" s="387"/>
      <c r="N50" s="38"/>
    </row>
    <row r="51" spans="2:15" x14ac:dyDescent="0.25">
      <c r="B51" s="374"/>
      <c r="C51" s="1" t="s">
        <v>58</v>
      </c>
      <c r="D51" s="73">
        <v>60666</v>
      </c>
      <c r="E51" s="38">
        <v>0.17384053298946917</v>
      </c>
      <c r="F51" s="8">
        <v>2920</v>
      </c>
      <c r="G51" s="13">
        <v>0.34204052945999763</v>
      </c>
      <c r="H51" s="14">
        <v>1.9675533868773722</v>
      </c>
      <c r="I51" s="82">
        <v>4.8132397059308343E-2</v>
      </c>
      <c r="J51" s="387"/>
      <c r="N51" s="38"/>
    </row>
    <row r="52" spans="2:15" x14ac:dyDescent="0.25">
      <c r="B52" s="374"/>
      <c r="C52" s="1" t="s">
        <v>59</v>
      </c>
      <c r="D52" s="73">
        <v>33757</v>
      </c>
      <c r="E52" s="38">
        <v>9.673185758292141E-2</v>
      </c>
      <c r="F52" s="8">
        <v>738</v>
      </c>
      <c r="G52" s="13">
        <v>8.6447229705985715E-2</v>
      </c>
      <c r="H52" s="14">
        <v>0.8936789995155483</v>
      </c>
      <c r="I52" s="82">
        <v>2.1862132298486239E-2</v>
      </c>
      <c r="J52" s="387"/>
    </row>
    <row r="53" spans="2:15" x14ac:dyDescent="0.25">
      <c r="B53" s="374"/>
      <c r="C53" s="1" t="s">
        <v>60</v>
      </c>
      <c r="D53" s="73">
        <v>85519</v>
      </c>
      <c r="E53" s="38">
        <v>0.24505766888745611</v>
      </c>
      <c r="F53" s="8">
        <v>1055</v>
      </c>
      <c r="G53" s="13">
        <v>0.12357971184256765</v>
      </c>
      <c r="H53" s="14">
        <v>0.50428828611489895</v>
      </c>
      <c r="I53" s="82">
        <v>1.2336439855470714E-2</v>
      </c>
      <c r="J53" s="387"/>
    </row>
    <row r="54" spans="2:15" x14ac:dyDescent="0.25">
      <c r="B54" s="374"/>
      <c r="C54" s="1" t="s">
        <v>61</v>
      </c>
      <c r="D54" s="73">
        <v>9014</v>
      </c>
      <c r="E54" s="38">
        <v>2.5829930510781574E-2</v>
      </c>
      <c r="F54" s="8">
        <v>487</v>
      </c>
      <c r="G54" s="13">
        <v>5.7045800632540708E-2</v>
      </c>
      <c r="H54" s="14">
        <v>2.2085154510473588</v>
      </c>
      <c r="I54" s="82">
        <v>5.402706900377191E-2</v>
      </c>
      <c r="J54" s="387"/>
    </row>
    <row r="55" spans="2:15" x14ac:dyDescent="0.25">
      <c r="B55" s="374"/>
      <c r="C55" s="1" t="s">
        <v>62</v>
      </c>
      <c r="D55" s="73">
        <v>12995</v>
      </c>
      <c r="E55" s="38">
        <v>3.7237624471667022E-2</v>
      </c>
      <c r="F55" s="3">
        <v>274</v>
      </c>
      <c r="G55" s="13">
        <v>3.2095583928780605E-2</v>
      </c>
      <c r="H55" s="14">
        <v>0.86191276656761928</v>
      </c>
      <c r="I55" s="82">
        <v>2.1085032704886496E-2</v>
      </c>
      <c r="J55" s="387"/>
      <c r="M55" s="13"/>
    </row>
    <row r="56" spans="2:15" ht="15.75" thickBot="1" x14ac:dyDescent="0.3">
      <c r="B56" s="375"/>
      <c r="C56" s="9" t="s">
        <v>63</v>
      </c>
      <c r="D56" s="74">
        <v>5678</v>
      </c>
      <c r="E56" s="44">
        <v>1.627050648327244E-2</v>
      </c>
      <c r="F56" s="10">
        <v>83</v>
      </c>
      <c r="G56" s="17">
        <v>9.7223849127328101E-3</v>
      </c>
      <c r="H56" s="18">
        <v>0.59754654366342597</v>
      </c>
      <c r="I56" s="83">
        <v>1.4617823177175061E-2</v>
      </c>
      <c r="J56" s="388"/>
    </row>
    <row r="57" spans="2:15" ht="15.75" thickBot="1" x14ac:dyDescent="0.3">
      <c r="C57" s="1"/>
      <c r="D57" s="8"/>
      <c r="I57" s="4"/>
      <c r="J57" s="28"/>
    </row>
    <row r="58" spans="2:15" x14ac:dyDescent="0.25">
      <c r="B58" s="373" t="s">
        <v>64</v>
      </c>
      <c r="C58" s="21" t="s">
        <v>65</v>
      </c>
      <c r="D58" s="23" t="s">
        <v>66</v>
      </c>
      <c r="E58" s="48" t="s">
        <v>67</v>
      </c>
      <c r="F58" s="48" t="s">
        <v>68</v>
      </c>
      <c r="G58" s="48" t="s">
        <v>51</v>
      </c>
      <c r="H58" s="6"/>
      <c r="I58" s="7"/>
      <c r="J58" s="373" t="s">
        <v>19</v>
      </c>
    </row>
    <row r="59" spans="2:15" x14ac:dyDescent="0.25">
      <c r="B59" s="374"/>
      <c r="C59" s="1" t="s">
        <v>69</v>
      </c>
      <c r="D59" s="8">
        <v>8692</v>
      </c>
      <c r="E59" s="67"/>
      <c r="F59" s="68"/>
      <c r="I59" s="4"/>
      <c r="J59" s="374"/>
      <c r="N59" s="8"/>
    </row>
    <row r="60" spans="2:15" x14ac:dyDescent="0.25">
      <c r="B60" s="374"/>
      <c r="C60" s="1" t="s">
        <v>70</v>
      </c>
      <c r="D60" s="69">
        <v>0.22</v>
      </c>
      <c r="E60" s="68"/>
      <c r="F60" s="68"/>
      <c r="I60" s="4"/>
      <c r="J60" s="374"/>
      <c r="N60" s="39"/>
    </row>
    <row r="61" spans="2:15" x14ac:dyDescent="0.25">
      <c r="B61" s="374"/>
      <c r="C61" s="1"/>
      <c r="D61" s="70"/>
      <c r="E61" s="68"/>
      <c r="F61" s="14"/>
      <c r="I61" s="4"/>
      <c r="J61" s="374"/>
      <c r="M61" s="8"/>
      <c r="N61" s="8"/>
    </row>
    <row r="62" spans="2:15" ht="14.45" customHeight="1" x14ac:dyDescent="0.25">
      <c r="B62" s="374"/>
      <c r="C62" s="1" t="s">
        <v>71</v>
      </c>
      <c r="D62" s="8">
        <v>24954</v>
      </c>
      <c r="F62" s="68"/>
      <c r="I62" s="4"/>
      <c r="J62" s="374"/>
      <c r="K62" s="24"/>
      <c r="M62" s="14"/>
      <c r="N62" s="8"/>
    </row>
    <row r="63" spans="2:15" x14ac:dyDescent="0.25">
      <c r="B63" s="374"/>
      <c r="C63" s="1" t="s">
        <v>72</v>
      </c>
      <c r="D63" s="71">
        <v>2.8709157846295446</v>
      </c>
      <c r="E63" s="14"/>
      <c r="F63" s="14"/>
      <c r="I63" s="4"/>
      <c r="J63" s="374"/>
      <c r="N63" s="14"/>
    </row>
    <row r="64" spans="2:15" x14ac:dyDescent="0.25">
      <c r="B64" s="374"/>
      <c r="C64" s="1"/>
      <c r="D64" s="71"/>
      <c r="F64" s="14"/>
      <c r="I64" s="4"/>
      <c r="J64" s="374"/>
      <c r="M64" s="8"/>
      <c r="O64" s="14"/>
    </row>
    <row r="65" spans="2:15" x14ac:dyDescent="0.25">
      <c r="B65" s="374"/>
      <c r="C65" s="1" t="s">
        <v>73</v>
      </c>
      <c r="D65" s="67">
        <v>12845</v>
      </c>
      <c r="E65" s="67"/>
      <c r="F65" s="14"/>
      <c r="I65" s="4"/>
      <c r="J65" s="374"/>
      <c r="M65" s="14"/>
      <c r="N65" s="8"/>
      <c r="O65" s="14"/>
    </row>
    <row r="66" spans="2:15" x14ac:dyDescent="0.25">
      <c r="B66" s="374"/>
      <c r="C66" s="1" t="s">
        <v>74</v>
      </c>
      <c r="D66" s="71">
        <v>1.4777956741831568</v>
      </c>
      <c r="E66" s="72"/>
      <c r="F66" s="14"/>
      <c r="I66" s="4"/>
      <c r="J66" s="374"/>
      <c r="N66" s="14"/>
    </row>
    <row r="67" spans="2:15" ht="15.75" thickBot="1" x14ac:dyDescent="0.3">
      <c r="B67" s="375"/>
      <c r="C67" s="9" t="s">
        <v>75</v>
      </c>
      <c r="D67" s="84">
        <v>1.9427014402491243</v>
      </c>
      <c r="E67" s="85"/>
      <c r="F67" s="18"/>
      <c r="G67" s="20"/>
      <c r="H67" s="20"/>
      <c r="I67" s="11"/>
      <c r="J67" s="375"/>
      <c r="N67" s="14"/>
    </row>
    <row r="68" spans="2:15" x14ac:dyDescent="0.25">
      <c r="D68" s="37"/>
      <c r="E68" s="22"/>
      <c r="F68" s="14"/>
    </row>
  </sheetData>
  <mergeCells count="11">
    <mergeCell ref="B58:B67"/>
    <mergeCell ref="J58:J67"/>
    <mergeCell ref="C2:I2"/>
    <mergeCell ref="B3:B10"/>
    <mergeCell ref="J3:J10"/>
    <mergeCell ref="B12:B40"/>
    <mergeCell ref="J12:J40"/>
    <mergeCell ref="B42:B56"/>
    <mergeCell ref="D42:E42"/>
    <mergeCell ref="F42:G42"/>
    <mergeCell ref="J42:J56"/>
  </mergeCells>
  <pageMargins left="0.7" right="0.7" top="0.75" bottom="0.75" header="0.3" footer="0.3"/>
  <pageSetup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226B-CF54-4655-B9DD-6115183C1C31}">
  <sheetPr codeName="Sheet7">
    <tabColor theme="4"/>
  </sheetPr>
  <dimension ref="B1:O69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97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2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ht="15.75" thickBot="1" x14ac:dyDescent="0.3">
      <c r="B11" s="375"/>
      <c r="C11" s="58" t="s">
        <v>78</v>
      </c>
      <c r="D11" s="55"/>
      <c r="E11" s="55">
        <v>51197</v>
      </c>
      <c r="F11" s="55">
        <v>47607</v>
      </c>
      <c r="G11" s="55">
        <v>11876</v>
      </c>
      <c r="H11" s="55"/>
      <c r="I11" s="56"/>
      <c r="J11" s="380"/>
    </row>
    <row r="12" spans="2:10" ht="15.75" thickBot="1" x14ac:dyDescent="0.3">
      <c r="C12" s="45"/>
      <c r="D12" s="25"/>
      <c r="E12" s="50"/>
      <c r="F12" s="50"/>
      <c r="G12" s="50"/>
      <c r="H12" s="50"/>
      <c r="I12" s="51"/>
      <c r="J12" s="27"/>
    </row>
    <row r="13" spans="2:10" x14ac:dyDescent="0.25">
      <c r="B13" s="381" t="s">
        <v>13</v>
      </c>
      <c r="C13" s="5"/>
      <c r="D13" s="48" t="s">
        <v>99</v>
      </c>
      <c r="E13" s="48" t="s">
        <v>15</v>
      </c>
      <c r="F13" s="48" t="s">
        <v>100</v>
      </c>
      <c r="G13" s="48" t="s">
        <v>17</v>
      </c>
      <c r="H13" s="48" t="s">
        <v>18</v>
      </c>
      <c r="I13" s="49"/>
      <c r="J13" s="380" t="s">
        <v>19</v>
      </c>
    </row>
    <row r="14" spans="2:10" x14ac:dyDescent="0.25">
      <c r="B14" s="382"/>
      <c r="C14" s="2" t="s">
        <v>20</v>
      </c>
      <c r="D14" s="47"/>
      <c r="E14" s="47"/>
      <c r="F14" s="47"/>
      <c r="G14" s="47"/>
      <c r="H14" s="47"/>
      <c r="I14" s="12"/>
      <c r="J14" s="380"/>
    </row>
    <row r="15" spans="2:10" x14ac:dyDescent="0.25">
      <c r="B15" s="382"/>
      <c r="C15" s="1" t="s">
        <v>21</v>
      </c>
      <c r="D15" s="13">
        <v>0.44035532994923859</v>
      </c>
      <c r="E15" s="13">
        <v>0.35586788773000932</v>
      </c>
      <c r="F15" s="14">
        <v>1.2374123800777674</v>
      </c>
      <c r="G15" s="13">
        <v>0.57235489190258093</v>
      </c>
      <c r="H15" s="14">
        <v>0.62176089130130241</v>
      </c>
      <c r="I15" s="15"/>
      <c r="J15" s="380"/>
    </row>
    <row r="16" spans="2:10" x14ac:dyDescent="0.25">
      <c r="B16" s="382"/>
      <c r="C16" s="1" t="s">
        <v>22</v>
      </c>
      <c r="D16" s="13">
        <v>0.55964467005076146</v>
      </c>
      <c r="E16" s="13">
        <v>0.64413211226999068</v>
      </c>
      <c r="F16" s="14">
        <v>0.86883522710661576</v>
      </c>
      <c r="G16" s="13">
        <v>0.42764510809741907</v>
      </c>
      <c r="H16" s="14">
        <v>1.5062305170184598</v>
      </c>
      <c r="I16" s="15"/>
      <c r="J16" s="380"/>
    </row>
    <row r="17" spans="2:10" x14ac:dyDescent="0.25">
      <c r="B17" s="382"/>
      <c r="C17" s="1"/>
      <c r="D17" s="13"/>
      <c r="E17" s="13"/>
      <c r="F17" s="14"/>
      <c r="G17" s="13"/>
      <c r="H17" s="14"/>
      <c r="I17" s="15"/>
      <c r="J17" s="380"/>
    </row>
    <row r="18" spans="2:10" x14ac:dyDescent="0.25">
      <c r="B18" s="382"/>
      <c r="C18" s="2" t="s">
        <v>23</v>
      </c>
      <c r="F18" s="14"/>
      <c r="G18" s="13"/>
      <c r="H18" s="14"/>
      <c r="I18" s="15"/>
      <c r="J18" s="380"/>
    </row>
    <row r="19" spans="2:10" x14ac:dyDescent="0.25">
      <c r="B19" s="382"/>
      <c r="C19" s="1" t="s">
        <v>24</v>
      </c>
      <c r="D19" s="13">
        <v>2.0087884494664157E-2</v>
      </c>
      <c r="E19" s="13">
        <v>1.2272259230462101E-2</v>
      </c>
      <c r="F19" s="14">
        <v>1.636853012752711</v>
      </c>
      <c r="G19" s="13">
        <v>9.3529624053555957E-3</v>
      </c>
      <c r="H19" s="14">
        <v>1.3121253671922051</v>
      </c>
      <c r="I19" s="15"/>
      <c r="J19" s="380"/>
    </row>
    <row r="20" spans="2:10" x14ac:dyDescent="0.25">
      <c r="B20" s="382"/>
      <c r="C20" s="1" t="s">
        <v>25</v>
      </c>
      <c r="D20" s="13">
        <v>0.160075329566855</v>
      </c>
      <c r="E20" s="13">
        <v>0.13459558282724274</v>
      </c>
      <c r="F20" s="14">
        <v>1.1893059653548679</v>
      </c>
      <c r="G20" s="13">
        <v>0.11987086678511411</v>
      </c>
      <c r="H20" s="14">
        <v>1.1228381543993071</v>
      </c>
      <c r="I20" s="15"/>
      <c r="J20" s="380"/>
    </row>
    <row r="21" spans="2:10" x14ac:dyDescent="0.25">
      <c r="B21" s="382"/>
      <c r="C21" s="1" t="s">
        <v>26</v>
      </c>
      <c r="D21" s="13">
        <v>0.36785938480853736</v>
      </c>
      <c r="E21" s="13">
        <v>0.36570912223926705</v>
      </c>
      <c r="F21" s="14">
        <v>1.0058797072277117</v>
      </c>
      <c r="G21" s="13">
        <v>0.29408078276439853</v>
      </c>
      <c r="H21" s="14">
        <v>1.2435668825468722</v>
      </c>
      <c r="I21" s="15"/>
      <c r="J21" s="380"/>
    </row>
    <row r="22" spans="2:10" x14ac:dyDescent="0.25">
      <c r="B22" s="382"/>
      <c r="C22" s="1" t="s">
        <v>27</v>
      </c>
      <c r="D22" s="13">
        <v>0.31324544883866917</v>
      </c>
      <c r="E22" s="13">
        <v>0.33889507638640803</v>
      </c>
      <c r="F22" s="14">
        <v>0.92431395633941527</v>
      </c>
      <c r="G22" s="13">
        <v>0.32868783998543011</v>
      </c>
      <c r="H22" s="14">
        <v>1.0310544996171151</v>
      </c>
      <c r="I22" s="15"/>
      <c r="J22" s="380"/>
    </row>
    <row r="23" spans="2:10" x14ac:dyDescent="0.25">
      <c r="B23" s="382"/>
      <c r="C23" s="1" t="s">
        <v>28</v>
      </c>
      <c r="D23" s="13">
        <v>0.12554927809165098</v>
      </c>
      <c r="E23" s="13">
        <v>0.13280938071321999</v>
      </c>
      <c r="F23" s="14">
        <v>0.94533441401066387</v>
      </c>
      <c r="G23" s="13">
        <v>0.17578056392525954</v>
      </c>
      <c r="H23" s="14">
        <v>0.75554075915747687</v>
      </c>
      <c r="I23" s="15"/>
      <c r="J23" s="380"/>
    </row>
    <row r="24" spans="2:10" x14ac:dyDescent="0.25">
      <c r="B24" s="382"/>
      <c r="C24" s="1" t="s">
        <v>29</v>
      </c>
      <c r="D24" s="13">
        <v>1.3182674199623353E-2</v>
      </c>
      <c r="E24" s="13">
        <v>1.5718578603400087E-2</v>
      </c>
      <c r="F24" s="14">
        <v>0.83866833841908628</v>
      </c>
      <c r="G24" s="13">
        <v>7.222698413444209E-2</v>
      </c>
      <c r="H24" s="14">
        <v>0.21762750849657228</v>
      </c>
      <c r="I24" s="15"/>
      <c r="J24" s="380"/>
    </row>
    <row r="25" spans="2:10" x14ac:dyDescent="0.25">
      <c r="B25" s="382"/>
      <c r="C25" s="1"/>
      <c r="D25" s="13"/>
      <c r="E25" s="13"/>
      <c r="F25" s="14"/>
      <c r="G25" s="13"/>
      <c r="H25" s="14"/>
      <c r="I25" s="15"/>
      <c r="J25" s="380"/>
    </row>
    <row r="26" spans="2:10" x14ac:dyDescent="0.25">
      <c r="B26" s="382"/>
      <c r="C26" s="2" t="s">
        <v>30</v>
      </c>
      <c r="F26" s="14"/>
      <c r="G26" s="13"/>
      <c r="H26" s="14"/>
      <c r="I26" s="15"/>
      <c r="J26" s="380"/>
    </row>
    <row r="27" spans="2:10" x14ac:dyDescent="0.25">
      <c r="B27" s="382"/>
      <c r="C27" s="1" t="s">
        <v>31</v>
      </c>
      <c r="D27" s="13">
        <v>0.49340866290018831</v>
      </c>
      <c r="E27" s="13">
        <v>0.45505558941594332</v>
      </c>
      <c r="F27" s="14">
        <v>1.084282172060496</v>
      </c>
      <c r="G27" s="13">
        <v>0.4916982188238192</v>
      </c>
      <c r="H27" s="14">
        <v>0.92547740055774874</v>
      </c>
      <c r="I27" s="15"/>
      <c r="J27" s="380"/>
    </row>
    <row r="28" spans="2:10" x14ac:dyDescent="0.25">
      <c r="B28" s="382"/>
      <c r="C28" s="1" t="s">
        <v>32</v>
      </c>
      <c r="D28" s="13">
        <v>0.16258631512868801</v>
      </c>
      <c r="E28" s="13">
        <v>0.22462747735440616</v>
      </c>
      <c r="F28" s="14">
        <v>0.72380421595603528</v>
      </c>
      <c r="G28" s="13">
        <v>0.14338031637987977</v>
      </c>
      <c r="H28" s="14">
        <v>1.5666549148857061</v>
      </c>
      <c r="I28" s="15"/>
      <c r="J28" s="380"/>
    </row>
    <row r="29" spans="2:10" x14ac:dyDescent="0.25">
      <c r="B29" s="382"/>
      <c r="C29" s="1" t="s">
        <v>33</v>
      </c>
      <c r="D29" s="13">
        <v>0.12868801004394226</v>
      </c>
      <c r="E29" s="13">
        <v>0.13730270486118409</v>
      </c>
      <c r="F29" s="14">
        <v>0.93725764670148726</v>
      </c>
      <c r="G29" s="13">
        <v>0.13350111393482081</v>
      </c>
      <c r="H29" s="14">
        <v>1.0284760989201882</v>
      </c>
      <c r="I29" s="15"/>
      <c r="J29" s="380"/>
    </row>
    <row r="30" spans="2:10" x14ac:dyDescent="0.25">
      <c r="B30" s="382"/>
      <c r="C30" s="1" t="s">
        <v>34</v>
      </c>
      <c r="D30" s="13">
        <v>0.14375392341494037</v>
      </c>
      <c r="E30" s="13">
        <v>8.1965490426851056E-2</v>
      </c>
      <c r="F30" s="14">
        <v>1.7538347256426352</v>
      </c>
      <c r="G30" s="13">
        <v>0.10246565834107677</v>
      </c>
      <c r="H30" s="14">
        <v>0.79993133069045497</v>
      </c>
      <c r="I30" s="15"/>
      <c r="J30" s="380"/>
    </row>
    <row r="31" spans="2:10" x14ac:dyDescent="0.25">
      <c r="B31" s="382"/>
      <c r="C31" s="1" t="s">
        <v>35</v>
      </c>
      <c r="D31" s="13">
        <v>1.3810420590081607E-2</v>
      </c>
      <c r="E31" s="13">
        <v>1.9356465816187135E-2</v>
      </c>
      <c r="F31" s="14">
        <v>0.71347841704307591</v>
      </c>
      <c r="G31" s="13">
        <v>3.3207572517716603E-2</v>
      </c>
      <c r="H31" s="14">
        <v>0.58289312794123238</v>
      </c>
      <c r="I31" s="15"/>
      <c r="J31" s="380"/>
    </row>
    <row r="32" spans="2:10" x14ac:dyDescent="0.25">
      <c r="B32" s="382"/>
      <c r="C32" s="1" t="s">
        <v>36</v>
      </c>
      <c r="D32" s="13">
        <v>1.3182674199623353E-2</v>
      </c>
      <c r="E32" s="13">
        <v>1.4354469220907506E-2</v>
      </c>
      <c r="F32" s="14">
        <v>0.91836723439572288</v>
      </c>
      <c r="G32" s="13">
        <v>2.6221465915833547E-2</v>
      </c>
      <c r="H32" s="14">
        <v>0.54743198824134831</v>
      </c>
      <c r="I32" s="15"/>
      <c r="J32" s="380"/>
    </row>
    <row r="33" spans="2:10" x14ac:dyDescent="0.25">
      <c r="B33" s="382"/>
      <c r="C33" s="1" t="s">
        <v>37</v>
      </c>
      <c r="D33" s="13">
        <v>4.4569993722536096E-2</v>
      </c>
      <c r="E33" s="13">
        <v>6.7337802904520724E-2</v>
      </c>
      <c r="F33" s="14">
        <v>0.66188666395505291</v>
      </c>
      <c r="G33" s="13">
        <v>6.9525654086853336E-2</v>
      </c>
      <c r="H33" s="14">
        <v>0.96853174254787322</v>
      </c>
      <c r="I33" s="15"/>
      <c r="J33" s="380"/>
    </row>
    <row r="34" spans="2:10" x14ac:dyDescent="0.25">
      <c r="B34" s="382"/>
      <c r="C34" s="1"/>
      <c r="D34" s="13"/>
      <c r="E34" s="13"/>
      <c r="F34" s="14"/>
      <c r="G34" s="13"/>
      <c r="H34" s="14"/>
      <c r="I34" s="15"/>
      <c r="J34" s="380"/>
    </row>
    <row r="35" spans="2:10" x14ac:dyDescent="0.25">
      <c r="B35" s="382"/>
      <c r="C35" s="2" t="s">
        <v>38</v>
      </c>
      <c r="F35" s="14"/>
      <c r="G35" s="13"/>
      <c r="H35" s="14"/>
      <c r="I35" s="15"/>
      <c r="J35" s="380"/>
    </row>
    <row r="36" spans="2:10" x14ac:dyDescent="0.25">
      <c r="B36" s="382"/>
      <c r="C36" s="1" t="s">
        <v>39</v>
      </c>
      <c r="D36" s="13">
        <v>0.26679221594475833</v>
      </c>
      <c r="E36" s="13">
        <v>0.18429402988211066</v>
      </c>
      <c r="F36" s="14">
        <v>1.4476443763013929</v>
      </c>
      <c r="G36" s="16" t="s">
        <v>12</v>
      </c>
      <c r="H36" s="16" t="s">
        <v>12</v>
      </c>
      <c r="I36" s="36"/>
      <c r="J36" s="380"/>
    </row>
    <row r="37" spans="2:10" x14ac:dyDescent="0.25">
      <c r="B37" s="382"/>
      <c r="C37" s="1" t="s">
        <v>40</v>
      </c>
      <c r="D37" s="13">
        <v>4.0175768989328314E-2</v>
      </c>
      <c r="E37" s="13">
        <v>3.2529892617731732E-2</v>
      </c>
      <c r="F37" s="14">
        <v>1.2350415496738802</v>
      </c>
      <c r="G37" s="13">
        <v>0.23826371358004139</v>
      </c>
      <c r="H37" s="14">
        <v>0.1365289415201017</v>
      </c>
      <c r="I37" s="15"/>
      <c r="J37" s="380"/>
    </row>
    <row r="38" spans="2:10" x14ac:dyDescent="0.25">
      <c r="B38" s="382"/>
      <c r="C38" s="1" t="s">
        <v>41</v>
      </c>
      <c r="D38" s="13">
        <v>9.9183929692404263E-2</v>
      </c>
      <c r="E38" s="13">
        <v>7.1448084560909494E-2</v>
      </c>
      <c r="F38" s="14">
        <v>1.3881957830213063</v>
      </c>
      <c r="G38" s="13">
        <v>0.2944472672851261</v>
      </c>
      <c r="H38" s="14">
        <v>0.24265154579180795</v>
      </c>
      <c r="I38" s="15"/>
      <c r="J38" s="380"/>
    </row>
    <row r="39" spans="2:10" x14ac:dyDescent="0.25">
      <c r="B39" s="382"/>
      <c r="C39" s="1" t="s">
        <v>42</v>
      </c>
      <c r="D39" s="13">
        <v>0.14563716258631512</v>
      </c>
      <c r="E39" s="13">
        <v>0.1254754449744678</v>
      </c>
      <c r="F39" s="14">
        <v>1.1606825751122054</v>
      </c>
      <c r="G39" s="13">
        <v>0.2295170839287588</v>
      </c>
      <c r="H39" s="14">
        <v>0.5466932693054557</v>
      </c>
      <c r="I39" s="15"/>
      <c r="J39" s="380"/>
    </row>
    <row r="40" spans="2:10" x14ac:dyDescent="0.25">
      <c r="B40" s="382"/>
      <c r="C40" s="1" t="s">
        <v>43</v>
      </c>
      <c r="D40" s="13">
        <v>0.21971123666038919</v>
      </c>
      <c r="E40" s="13">
        <v>0.22640637148801143</v>
      </c>
      <c r="F40" s="14">
        <v>0.97042868191553189</v>
      </c>
      <c r="G40" s="13">
        <v>0.16500439759050969</v>
      </c>
      <c r="H40" s="14">
        <v>1.3721232572836186</v>
      </c>
      <c r="I40" s="15"/>
      <c r="J40" s="380"/>
    </row>
    <row r="41" spans="2:10" ht="15.75" thickBot="1" x14ac:dyDescent="0.3">
      <c r="B41" s="383"/>
      <c r="C41" s="9" t="s">
        <v>44</v>
      </c>
      <c r="D41" s="17">
        <v>0.22849968612680477</v>
      </c>
      <c r="E41" s="17">
        <v>0.35984617647676886</v>
      </c>
      <c r="F41" s="14">
        <v>0.63499267482575672</v>
      </c>
      <c r="G41" s="17">
        <v>7.2767537615563996E-2</v>
      </c>
      <c r="H41" s="14">
        <v>4.9451470843751979</v>
      </c>
      <c r="I41" s="19"/>
      <c r="J41" s="384"/>
    </row>
    <row r="42" spans="2:10" ht="15.75" thickBot="1" x14ac:dyDescent="0.3">
      <c r="B42" s="60"/>
      <c r="C42" s="45"/>
      <c r="D42" s="43"/>
      <c r="E42" s="43"/>
      <c r="F42" s="43"/>
      <c r="G42" s="43"/>
      <c r="H42" s="43"/>
      <c r="I42" s="26"/>
      <c r="J42" s="28"/>
    </row>
    <row r="43" spans="2:10" x14ac:dyDescent="0.25">
      <c r="B43" s="373" t="s">
        <v>45</v>
      </c>
      <c r="C43" s="5"/>
      <c r="D43" s="385" t="s">
        <v>46</v>
      </c>
      <c r="E43" s="385"/>
      <c r="F43" s="385" t="s">
        <v>47</v>
      </c>
      <c r="G43" s="385"/>
      <c r="H43" s="42"/>
      <c r="I43" s="7"/>
      <c r="J43" s="386" t="s">
        <v>48</v>
      </c>
    </row>
    <row r="44" spans="2:10" x14ac:dyDescent="0.25">
      <c r="B44" s="374"/>
      <c r="C44" s="1"/>
      <c r="D44" s="40" t="s">
        <v>49</v>
      </c>
      <c r="E44" s="40" t="s">
        <v>50</v>
      </c>
      <c r="F44" s="40" t="s">
        <v>49</v>
      </c>
      <c r="G44" s="40" t="s">
        <v>50</v>
      </c>
      <c r="H44" s="41" t="s">
        <v>51</v>
      </c>
      <c r="I44" s="81" t="s">
        <v>52</v>
      </c>
      <c r="J44" s="387"/>
    </row>
    <row r="45" spans="2:10" x14ac:dyDescent="0.25">
      <c r="B45" s="374"/>
      <c r="C45" s="2" t="s">
        <v>53</v>
      </c>
      <c r="H45" s="13"/>
      <c r="I45" s="4"/>
      <c r="J45" s="387"/>
    </row>
    <row r="46" spans="2:10" x14ac:dyDescent="0.25">
      <c r="B46" s="374"/>
      <c r="C46" s="1" t="s">
        <v>54</v>
      </c>
      <c r="D46" s="73">
        <v>1420840</v>
      </c>
      <c r="E46" s="38">
        <v>0.68480751416279717</v>
      </c>
      <c r="F46" s="8">
        <v>36894</v>
      </c>
      <c r="G46" s="13">
        <v>0.60221337163750321</v>
      </c>
      <c r="H46" s="14">
        <v>0.87939071809650282</v>
      </c>
      <c r="I46" s="82">
        <v>2.5966329776751781E-2</v>
      </c>
      <c r="J46" s="387"/>
    </row>
    <row r="47" spans="2:10" x14ac:dyDescent="0.25">
      <c r="B47" s="374"/>
      <c r="C47" s="1" t="s">
        <v>55</v>
      </c>
      <c r="D47" s="73">
        <v>653962</v>
      </c>
      <c r="E47" s="38">
        <v>0.31519248583720277</v>
      </c>
      <c r="F47" s="8">
        <v>24370</v>
      </c>
      <c r="G47" s="13">
        <v>0.39778662836249673</v>
      </c>
      <c r="H47" s="14">
        <v>1.2620435011510835</v>
      </c>
      <c r="I47" s="82">
        <v>3.7265162195968572E-2</v>
      </c>
      <c r="J47" s="387"/>
    </row>
    <row r="48" spans="2:10" x14ac:dyDescent="0.25">
      <c r="B48" s="374"/>
      <c r="C48" s="1" t="s">
        <v>53</v>
      </c>
      <c r="D48" s="73">
        <v>2074802</v>
      </c>
      <c r="E48" s="38"/>
      <c r="F48" s="8">
        <v>61264</v>
      </c>
      <c r="H48" s="14"/>
      <c r="I48" s="82">
        <v>2.9527636854022696E-2</v>
      </c>
      <c r="J48" s="387"/>
    </row>
    <row r="49" spans="2:14" x14ac:dyDescent="0.25">
      <c r="B49" s="374"/>
      <c r="C49" s="1"/>
      <c r="D49" s="38"/>
      <c r="E49" s="38"/>
      <c r="F49" s="8"/>
      <c r="H49" s="14"/>
      <c r="I49" s="82"/>
      <c r="J49" s="387"/>
    </row>
    <row r="50" spans="2:14" x14ac:dyDescent="0.25">
      <c r="B50" s="374"/>
      <c r="C50" s="2" t="s">
        <v>56</v>
      </c>
      <c r="D50" s="38"/>
      <c r="E50" s="38"/>
      <c r="H50" s="14"/>
      <c r="I50" s="82"/>
      <c r="J50" s="387"/>
    </row>
    <row r="51" spans="2:14" x14ac:dyDescent="0.25">
      <c r="B51" s="374"/>
      <c r="C51" s="1" t="s">
        <v>57</v>
      </c>
      <c r="D51" s="73">
        <v>300882</v>
      </c>
      <c r="E51" s="38">
        <v>0.46009095329698058</v>
      </c>
      <c r="F51" s="8">
        <v>10545</v>
      </c>
      <c r="G51" s="13">
        <v>0.43270414443988509</v>
      </c>
      <c r="H51" s="14">
        <v>0.94047522851548482</v>
      </c>
      <c r="I51" s="82">
        <v>3.5046961931920154E-2</v>
      </c>
      <c r="J51" s="387"/>
      <c r="N51" s="38"/>
    </row>
    <row r="52" spans="2:14" x14ac:dyDescent="0.25">
      <c r="B52" s="374"/>
      <c r="C52" s="1" t="s">
        <v>58</v>
      </c>
      <c r="D52" s="73">
        <v>120076</v>
      </c>
      <c r="E52" s="38">
        <v>0.18361311513513018</v>
      </c>
      <c r="F52" s="8">
        <v>7539</v>
      </c>
      <c r="G52" s="13">
        <v>0.30935576528518671</v>
      </c>
      <c r="H52" s="14">
        <v>1.6848239030066896</v>
      </c>
      <c r="I52" s="82">
        <v>6.2785236017189119E-2</v>
      </c>
      <c r="J52" s="387"/>
      <c r="N52" s="38"/>
    </row>
    <row r="53" spans="2:14" x14ac:dyDescent="0.25">
      <c r="B53" s="374"/>
      <c r="C53" s="1" t="s">
        <v>59</v>
      </c>
      <c r="D53" s="73">
        <v>74735</v>
      </c>
      <c r="E53" s="38">
        <v>0.11428034044791593</v>
      </c>
      <c r="F53" s="8">
        <v>3232</v>
      </c>
      <c r="G53" s="13">
        <v>0.13262207632334838</v>
      </c>
      <c r="H53" s="14">
        <v>1.1604977356870214</v>
      </c>
      <c r="I53" s="82">
        <v>4.3246136348431122E-2</v>
      </c>
      <c r="J53" s="387"/>
    </row>
    <row r="54" spans="2:14" x14ac:dyDescent="0.25">
      <c r="B54" s="374"/>
      <c r="C54" s="1" t="s">
        <v>60</v>
      </c>
      <c r="D54" s="73">
        <v>103657</v>
      </c>
      <c r="E54" s="38">
        <v>0.15850615173358695</v>
      </c>
      <c r="F54" s="8">
        <v>919</v>
      </c>
      <c r="G54" s="13">
        <v>3.7710299548625356E-2</v>
      </c>
      <c r="H54" s="14">
        <v>0.23791063713418426</v>
      </c>
      <c r="I54" s="82">
        <v>8.8657784809515992E-3</v>
      </c>
      <c r="J54" s="387"/>
    </row>
    <row r="55" spans="2:14" x14ac:dyDescent="0.25">
      <c r="B55" s="374"/>
      <c r="C55" s="1" t="s">
        <v>61</v>
      </c>
      <c r="D55" s="73">
        <v>19134</v>
      </c>
      <c r="E55" s="38">
        <v>2.9258580773806428E-2</v>
      </c>
      <c r="F55" s="8">
        <v>935</v>
      </c>
      <c r="G55" s="13">
        <v>3.8366844480919163E-2</v>
      </c>
      <c r="H55" s="14">
        <v>1.3113023074334096</v>
      </c>
      <c r="I55" s="82">
        <v>4.8865893174453855E-2</v>
      </c>
      <c r="J55" s="387"/>
    </row>
    <row r="56" spans="2:14" x14ac:dyDescent="0.25">
      <c r="B56" s="374"/>
      <c r="C56" s="1" t="s">
        <v>62</v>
      </c>
      <c r="D56" s="73">
        <v>24731</v>
      </c>
      <c r="E56" s="38">
        <v>3.7817182038100076E-2</v>
      </c>
      <c r="F56" s="3">
        <v>813</v>
      </c>
      <c r="G56" s="13">
        <v>3.3360689372178912E-2</v>
      </c>
      <c r="H56" s="14">
        <v>0.88215693434187314</v>
      </c>
      <c r="I56" s="82">
        <v>3.2873721240548298E-2</v>
      </c>
      <c r="J56" s="387"/>
      <c r="M56" s="13"/>
    </row>
    <row r="57" spans="2:14" ht="15.75" thickBot="1" x14ac:dyDescent="0.3">
      <c r="B57" s="375"/>
      <c r="C57" s="9" t="s">
        <v>63</v>
      </c>
      <c r="D57" s="74">
        <v>10747</v>
      </c>
      <c r="E57" s="44">
        <v>1.6433676574479864E-2</v>
      </c>
      <c r="F57" s="10">
        <v>387</v>
      </c>
      <c r="G57" s="17">
        <v>1.588018054985638E-2</v>
      </c>
      <c r="H57" s="18">
        <v>0.96631940380991688</v>
      </c>
      <c r="I57" s="83">
        <v>3.6010049316088213E-2</v>
      </c>
      <c r="J57" s="388"/>
    </row>
    <row r="58" spans="2:14" ht="15.75" thickBot="1" x14ac:dyDescent="0.3">
      <c r="C58" s="1"/>
      <c r="D58" s="8"/>
      <c r="I58" s="4"/>
      <c r="J58" s="28"/>
    </row>
    <row r="59" spans="2:14" x14ac:dyDescent="0.25">
      <c r="B59" s="373" t="s">
        <v>64</v>
      </c>
      <c r="C59" s="21" t="s">
        <v>65</v>
      </c>
      <c r="D59" s="23" t="s">
        <v>66</v>
      </c>
      <c r="E59" s="48" t="s">
        <v>67</v>
      </c>
      <c r="F59" s="48" t="s">
        <v>68</v>
      </c>
      <c r="G59" s="48" t="s">
        <v>51</v>
      </c>
      <c r="H59" s="6"/>
      <c r="I59" s="7"/>
      <c r="J59" s="373" t="s">
        <v>19</v>
      </c>
    </row>
    <row r="60" spans="2:14" x14ac:dyDescent="0.25">
      <c r="B60" s="374"/>
      <c r="C60" s="1" t="s">
        <v>69</v>
      </c>
      <c r="D60" s="8">
        <v>18858</v>
      </c>
      <c r="E60" s="67"/>
      <c r="F60" s="68"/>
      <c r="I60" s="4"/>
      <c r="J60" s="374"/>
      <c r="N60" s="8"/>
    </row>
    <row r="61" spans="2:14" x14ac:dyDescent="0.25">
      <c r="B61" s="374"/>
      <c r="C61" s="1" t="s">
        <v>70</v>
      </c>
      <c r="D61" s="69">
        <v>0.48</v>
      </c>
      <c r="E61" s="68"/>
      <c r="F61" s="68"/>
      <c r="I61" s="4"/>
      <c r="J61" s="374"/>
      <c r="N61" s="39"/>
    </row>
    <row r="62" spans="2:14" x14ac:dyDescent="0.25">
      <c r="B62" s="374"/>
      <c r="C62" s="1"/>
      <c r="D62" s="70"/>
      <c r="E62" s="68"/>
      <c r="F62" s="14"/>
      <c r="I62" s="4"/>
      <c r="J62" s="374"/>
      <c r="M62" s="8"/>
      <c r="N62" s="8"/>
    </row>
    <row r="63" spans="2:14" ht="14.45" customHeight="1" x14ac:dyDescent="0.25">
      <c r="B63" s="374"/>
      <c r="C63" s="1" t="s">
        <v>71</v>
      </c>
      <c r="D63" s="8">
        <v>61264</v>
      </c>
      <c r="F63" s="68"/>
      <c r="I63" s="4"/>
      <c r="J63" s="374"/>
      <c r="K63" s="24"/>
      <c r="M63" s="14"/>
      <c r="N63" s="8"/>
    </row>
    <row r="64" spans="2:14" x14ac:dyDescent="0.25">
      <c r="B64" s="374"/>
      <c r="C64" s="1" t="s">
        <v>72</v>
      </c>
      <c r="D64" s="71">
        <v>3.248700816629547</v>
      </c>
      <c r="E64" s="14"/>
      <c r="F64" s="14"/>
      <c r="I64" s="4"/>
      <c r="J64" s="374"/>
      <c r="N64" s="14"/>
    </row>
    <row r="65" spans="2:15" x14ac:dyDescent="0.25">
      <c r="B65" s="374"/>
      <c r="C65" s="1"/>
      <c r="D65" s="71"/>
      <c r="F65" s="14"/>
      <c r="I65" s="4"/>
      <c r="J65" s="374"/>
      <c r="M65" s="8"/>
      <c r="O65" s="14"/>
    </row>
    <row r="66" spans="2:15" x14ac:dyDescent="0.25">
      <c r="B66" s="374"/>
      <c r="C66" s="1" t="s">
        <v>73</v>
      </c>
      <c r="D66" s="67">
        <v>31220</v>
      </c>
      <c r="E66" s="67"/>
      <c r="F66" s="14"/>
      <c r="I66" s="4"/>
      <c r="J66" s="374"/>
      <c r="M66" s="14"/>
      <c r="N66" s="8"/>
      <c r="O66" s="14"/>
    </row>
    <row r="67" spans="2:15" x14ac:dyDescent="0.25">
      <c r="B67" s="374"/>
      <c r="C67" s="1" t="s">
        <v>74</v>
      </c>
      <c r="D67" s="71">
        <v>1.6555308092056422</v>
      </c>
      <c r="E67" s="72"/>
      <c r="F67" s="14"/>
      <c r="I67" s="4"/>
      <c r="J67" s="374"/>
      <c r="N67" s="14"/>
    </row>
    <row r="68" spans="2:15" ht="15.75" thickBot="1" x14ac:dyDescent="0.3">
      <c r="B68" s="375"/>
      <c r="C68" s="9" t="s">
        <v>75</v>
      </c>
      <c r="D68" s="84">
        <v>1.9623318385650224</v>
      </c>
      <c r="E68" s="85"/>
      <c r="F68" s="18"/>
      <c r="G68" s="20"/>
      <c r="H68" s="20"/>
      <c r="I68" s="11"/>
      <c r="J68" s="375"/>
      <c r="N68" s="14"/>
    </row>
    <row r="69" spans="2:15" x14ac:dyDescent="0.25">
      <c r="D69" s="37"/>
      <c r="E69" s="22"/>
      <c r="F69" s="14"/>
    </row>
  </sheetData>
  <mergeCells count="11">
    <mergeCell ref="B59:B68"/>
    <mergeCell ref="J59:J68"/>
    <mergeCell ref="C2:I2"/>
    <mergeCell ref="B3:B11"/>
    <mergeCell ref="J3:J11"/>
    <mergeCell ref="B13:B41"/>
    <mergeCell ref="J13:J41"/>
    <mergeCell ref="B43:B57"/>
    <mergeCell ref="D43:E43"/>
    <mergeCell ref="F43:G43"/>
    <mergeCell ref="J43:J57"/>
  </mergeCells>
  <pageMargins left="0.7" right="0.7" top="0.75" bottom="0.75" header="0.3" footer="0.3"/>
  <pageSetup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8FBE8-2BB0-442F-8CF2-AD8F24194097}">
  <sheetPr codeName="Sheet8">
    <tabColor theme="4"/>
  </sheetPr>
  <dimension ref="B1:O70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101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2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x14ac:dyDescent="0.2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 ht="15.75" thickBot="1" x14ac:dyDescent="0.3">
      <c r="B12" s="375"/>
      <c r="C12" s="58" t="s">
        <v>78</v>
      </c>
      <c r="D12" s="55"/>
      <c r="E12" s="55">
        <v>55500</v>
      </c>
      <c r="F12" s="55">
        <v>50876</v>
      </c>
      <c r="G12" s="55">
        <v>13492</v>
      </c>
      <c r="H12" s="55"/>
      <c r="I12" s="56"/>
      <c r="J12" s="380"/>
    </row>
    <row r="13" spans="2:10" ht="15.75" thickBot="1" x14ac:dyDescent="0.3">
      <c r="C13" s="45"/>
      <c r="D13" s="25"/>
      <c r="E13" s="50"/>
      <c r="F13" s="50"/>
      <c r="G13" s="50"/>
      <c r="H13" s="50"/>
      <c r="I13" s="51"/>
      <c r="J13" s="27"/>
    </row>
    <row r="14" spans="2:10" x14ac:dyDescent="0.25">
      <c r="B14" s="381" t="s">
        <v>13</v>
      </c>
      <c r="C14" s="5"/>
      <c r="D14" s="48" t="s">
        <v>103</v>
      </c>
      <c r="E14" s="48" t="s">
        <v>15</v>
      </c>
      <c r="F14" s="48" t="s">
        <v>104</v>
      </c>
      <c r="G14" s="48" t="s">
        <v>17</v>
      </c>
      <c r="H14" s="48" t="s">
        <v>18</v>
      </c>
      <c r="I14" s="49"/>
      <c r="J14" s="380" t="s">
        <v>19</v>
      </c>
    </row>
    <row r="15" spans="2:10" x14ac:dyDescent="0.25">
      <c r="B15" s="382"/>
      <c r="C15" s="2" t="s">
        <v>20</v>
      </c>
      <c r="D15" s="47"/>
      <c r="E15" s="47"/>
      <c r="F15" s="47"/>
      <c r="G15" s="47"/>
      <c r="H15" s="47"/>
      <c r="I15" s="12"/>
      <c r="J15" s="380"/>
    </row>
    <row r="16" spans="2:10" x14ac:dyDescent="0.25">
      <c r="B16" s="382"/>
      <c r="C16" s="1" t="s">
        <v>21</v>
      </c>
      <c r="D16" s="13">
        <v>0.39157372986369271</v>
      </c>
      <c r="E16" s="13">
        <v>0.35815476190476192</v>
      </c>
      <c r="F16" s="14">
        <v>1.0933087355343256</v>
      </c>
      <c r="G16" s="13">
        <v>0.57235489190258093</v>
      </c>
      <c r="H16" s="14">
        <v>0.62575644407302899</v>
      </c>
      <c r="I16" s="15"/>
      <c r="J16" s="380"/>
    </row>
    <row r="17" spans="2:10" x14ac:dyDescent="0.25">
      <c r="B17" s="382"/>
      <c r="C17" s="1" t="s">
        <v>22</v>
      </c>
      <c r="D17" s="13">
        <v>0.60842627013630735</v>
      </c>
      <c r="E17" s="13">
        <v>0.64184523809523808</v>
      </c>
      <c r="F17" s="14">
        <v>0.94793298138643822</v>
      </c>
      <c r="G17" s="13">
        <v>0.42764510809741907</v>
      </c>
      <c r="H17" s="14">
        <v>1.5008829189015849</v>
      </c>
      <c r="I17" s="15"/>
      <c r="J17" s="380"/>
    </row>
    <row r="18" spans="2:10" x14ac:dyDescent="0.25">
      <c r="B18" s="382"/>
      <c r="C18" s="1"/>
      <c r="D18" s="13"/>
      <c r="E18" s="13"/>
      <c r="F18" s="14"/>
      <c r="G18" s="13"/>
      <c r="H18" s="14"/>
      <c r="I18" s="15"/>
      <c r="J18" s="380"/>
    </row>
    <row r="19" spans="2:10" x14ac:dyDescent="0.25">
      <c r="B19" s="382"/>
      <c r="C19" s="2" t="s">
        <v>23</v>
      </c>
      <c r="F19" s="14"/>
      <c r="G19" s="13"/>
      <c r="H19" s="14"/>
      <c r="I19" s="15"/>
      <c r="J19" s="380"/>
    </row>
    <row r="20" spans="2:10" x14ac:dyDescent="0.25">
      <c r="B20" s="382"/>
      <c r="C20" s="1" t="s">
        <v>24</v>
      </c>
      <c r="D20" s="13">
        <v>1.9313304721030045E-2</v>
      </c>
      <c r="E20" s="13">
        <v>1.2723947373596334E-2</v>
      </c>
      <c r="F20" s="14">
        <v>1.5178705282220353</v>
      </c>
      <c r="G20" s="13">
        <v>9.3529624053555957E-3</v>
      </c>
      <c r="H20" s="14">
        <v>1.3604189584158362</v>
      </c>
      <c r="I20" s="15"/>
      <c r="J20" s="380"/>
    </row>
    <row r="21" spans="2:10" x14ac:dyDescent="0.25">
      <c r="B21" s="382"/>
      <c r="C21" s="1" t="s">
        <v>25</v>
      </c>
      <c r="D21" s="13">
        <v>0.17320662170447579</v>
      </c>
      <c r="E21" s="13">
        <v>0.13707250880056637</v>
      </c>
      <c r="F21" s="14">
        <v>1.2636131287017058</v>
      </c>
      <c r="G21" s="13">
        <v>0.11987086678511411</v>
      </c>
      <c r="H21" s="14">
        <v>1.1435014401479944</v>
      </c>
      <c r="I21" s="15"/>
      <c r="J21" s="380"/>
    </row>
    <row r="22" spans="2:10" x14ac:dyDescent="0.25">
      <c r="B22" s="382"/>
      <c r="C22" s="1" t="s">
        <v>26</v>
      </c>
      <c r="D22" s="13">
        <v>0.3525444512568976</v>
      </c>
      <c r="E22" s="13">
        <v>0.3648645991071604</v>
      </c>
      <c r="F22" s="14">
        <v>0.96623364426033453</v>
      </c>
      <c r="G22" s="13">
        <v>0.29408078276439853</v>
      </c>
      <c r="H22" s="14">
        <v>1.2406951439580125</v>
      </c>
      <c r="I22" s="15"/>
      <c r="J22" s="380"/>
    </row>
    <row r="23" spans="2:10" x14ac:dyDescent="0.25">
      <c r="B23" s="382"/>
      <c r="C23" s="1" t="s">
        <v>27</v>
      </c>
      <c r="D23" s="13">
        <v>0.33507050889025136</v>
      </c>
      <c r="E23" s="13">
        <v>0.33864972762492873</v>
      </c>
      <c r="F23" s="14">
        <v>0.9894309121115209</v>
      </c>
      <c r="G23" s="13">
        <v>0.32868783998543011</v>
      </c>
      <c r="H23" s="14">
        <v>1.0303080504588797</v>
      </c>
      <c r="I23" s="15"/>
      <c r="J23" s="380"/>
    </row>
    <row r="24" spans="2:10" x14ac:dyDescent="0.25">
      <c r="B24" s="382"/>
      <c r="C24" s="1" t="s">
        <v>28</v>
      </c>
      <c r="D24" s="13">
        <v>0.10668301655426118</v>
      </c>
      <c r="E24" s="13">
        <v>0.13113335562154615</v>
      </c>
      <c r="F24" s="14">
        <v>0.81354599711572084</v>
      </c>
      <c r="G24" s="13">
        <v>0.17578056392525954</v>
      </c>
      <c r="H24" s="14">
        <v>0.74600600142176687</v>
      </c>
      <c r="I24" s="15"/>
      <c r="J24" s="380"/>
    </row>
    <row r="25" spans="2:10" x14ac:dyDescent="0.25">
      <c r="B25" s="382"/>
      <c r="C25" s="1" t="s">
        <v>29</v>
      </c>
      <c r="D25" s="13">
        <v>1.3182096873083998E-2</v>
      </c>
      <c r="E25" s="13">
        <v>1.5555861472202009E-2</v>
      </c>
      <c r="F25" s="14">
        <v>0.84740384816617986</v>
      </c>
      <c r="G25" s="13">
        <v>7.222698413444209E-2</v>
      </c>
      <c r="H25" s="14">
        <v>0.21537465060491229</v>
      </c>
      <c r="I25" s="15"/>
      <c r="J25" s="380"/>
    </row>
    <row r="26" spans="2:10" x14ac:dyDescent="0.25">
      <c r="B26" s="382"/>
      <c r="C26" s="1"/>
      <c r="D26" s="13"/>
      <c r="E26" s="13"/>
      <c r="F26" s="14"/>
      <c r="G26" s="13"/>
      <c r="H26" s="14"/>
      <c r="I26" s="15"/>
      <c r="J26" s="380"/>
    </row>
    <row r="27" spans="2:10" x14ac:dyDescent="0.25">
      <c r="B27" s="382"/>
      <c r="C27" s="2" t="s">
        <v>30</v>
      </c>
      <c r="F27" s="14"/>
      <c r="G27" s="13"/>
      <c r="H27" s="14"/>
      <c r="I27" s="15"/>
      <c r="J27" s="380"/>
    </row>
    <row r="28" spans="2:10" x14ac:dyDescent="0.25">
      <c r="B28" s="382"/>
      <c r="C28" s="1" t="s">
        <v>31</v>
      </c>
      <c r="D28" s="13">
        <v>0.49386879215205398</v>
      </c>
      <c r="E28" s="13">
        <v>0.45754577817988712</v>
      </c>
      <c r="F28" s="14">
        <v>1.079386622507281</v>
      </c>
      <c r="G28" s="13">
        <v>0.4916982188238192</v>
      </c>
      <c r="H28" s="14">
        <v>0.93054186625766633</v>
      </c>
      <c r="I28" s="15"/>
      <c r="J28" s="380"/>
    </row>
    <row r="29" spans="2:10" x14ac:dyDescent="0.25">
      <c r="B29" s="382"/>
      <c r="C29" s="1" t="s">
        <v>32</v>
      </c>
      <c r="D29" s="13">
        <v>0.18270999386879216</v>
      </c>
      <c r="E29" s="13">
        <v>0.22193812324213755</v>
      </c>
      <c r="F29" s="14">
        <v>0.82324744933277216</v>
      </c>
      <c r="G29" s="13">
        <v>0.14338031637987977</v>
      </c>
      <c r="H29" s="14">
        <v>1.5478981274816157</v>
      </c>
      <c r="I29" s="15"/>
      <c r="J29" s="380"/>
    </row>
    <row r="30" spans="2:10" x14ac:dyDescent="0.25">
      <c r="B30" s="382"/>
      <c r="C30" s="1" t="s">
        <v>33</v>
      </c>
      <c r="D30" s="13">
        <v>0.11679950950337216</v>
      </c>
      <c r="E30" s="13">
        <v>0.13598725488267804</v>
      </c>
      <c r="F30" s="14">
        <v>0.8589004138964349</v>
      </c>
      <c r="G30" s="13">
        <v>0.13350111393482081</v>
      </c>
      <c r="H30" s="14">
        <v>1.0186226232469568</v>
      </c>
      <c r="I30" s="15"/>
      <c r="J30" s="380"/>
    </row>
    <row r="31" spans="2:10" x14ac:dyDescent="0.25">
      <c r="B31" s="382"/>
      <c r="C31" s="1" t="s">
        <v>34</v>
      </c>
      <c r="D31" s="13">
        <v>0.11526670754138565</v>
      </c>
      <c r="E31" s="13">
        <v>8.4102039612139329E-2</v>
      </c>
      <c r="F31" s="14">
        <v>1.3705578137340204</v>
      </c>
      <c r="G31" s="13">
        <v>0.10246565834107677</v>
      </c>
      <c r="H31" s="14">
        <v>0.82078269904038892</v>
      </c>
      <c r="I31" s="15"/>
      <c r="J31" s="380"/>
    </row>
    <row r="32" spans="2:10" x14ac:dyDescent="0.25">
      <c r="B32" s="382"/>
      <c r="C32" s="1" t="s">
        <v>35</v>
      </c>
      <c r="D32" s="13">
        <v>1.3182096873083998E-2</v>
      </c>
      <c r="E32" s="13">
        <v>1.8960328855496332E-2</v>
      </c>
      <c r="F32" s="14">
        <v>0.69524621506038353</v>
      </c>
      <c r="G32" s="13">
        <v>3.3207572517716603E-2</v>
      </c>
      <c r="H32" s="14">
        <v>0.57096401266249708</v>
      </c>
      <c r="I32" s="15"/>
      <c r="J32" s="380"/>
    </row>
    <row r="33" spans="2:10" x14ac:dyDescent="0.25">
      <c r="B33" s="382"/>
      <c r="C33" s="1" t="s">
        <v>36</v>
      </c>
      <c r="D33" s="13">
        <v>1.4101778050275904E-2</v>
      </c>
      <c r="E33" s="13">
        <v>1.4338256987195878E-2</v>
      </c>
      <c r="F33" s="14">
        <v>0.98350713499338516</v>
      </c>
      <c r="G33" s="13">
        <v>2.6221465915833547E-2</v>
      </c>
      <c r="H33" s="14">
        <v>0.54681370725874934</v>
      </c>
      <c r="I33" s="15"/>
      <c r="J33" s="380"/>
    </row>
    <row r="34" spans="2:10" x14ac:dyDescent="0.25">
      <c r="B34" s="382"/>
      <c r="C34" s="1" t="s">
        <v>37</v>
      </c>
      <c r="D34" s="13">
        <v>6.4071122011036166E-2</v>
      </c>
      <c r="E34" s="13">
        <v>6.7128218240465748E-2</v>
      </c>
      <c r="F34" s="14">
        <v>0.95445885039763012</v>
      </c>
      <c r="G34" s="13">
        <v>6.9525654086853336E-2</v>
      </c>
      <c r="H34" s="14">
        <v>0.96551724859153942</v>
      </c>
      <c r="I34" s="15"/>
      <c r="J34" s="380"/>
    </row>
    <row r="35" spans="2:10" x14ac:dyDescent="0.25">
      <c r="B35" s="382"/>
      <c r="C35" s="1"/>
      <c r="D35" s="13"/>
      <c r="E35" s="13"/>
      <c r="F35" s="14"/>
      <c r="G35" s="13"/>
      <c r="H35" s="14"/>
      <c r="I35" s="15"/>
      <c r="J35" s="380"/>
    </row>
    <row r="36" spans="2:10" x14ac:dyDescent="0.25">
      <c r="B36" s="382"/>
      <c r="C36" s="2" t="s">
        <v>38</v>
      </c>
      <c r="F36" s="14"/>
      <c r="G36" s="13"/>
      <c r="H36" s="14"/>
      <c r="I36" s="15"/>
      <c r="J36" s="380"/>
    </row>
    <row r="37" spans="2:10" x14ac:dyDescent="0.25">
      <c r="B37" s="382"/>
      <c r="C37" s="1" t="s">
        <v>39</v>
      </c>
      <c r="D37" s="13">
        <v>0.27866339668914775</v>
      </c>
      <c r="E37" s="13">
        <v>0.19034789278058564</v>
      </c>
      <c r="F37" s="14">
        <v>1.4639689077638676</v>
      </c>
      <c r="G37" s="16" t="s">
        <v>12</v>
      </c>
      <c r="H37" s="16" t="s">
        <v>12</v>
      </c>
      <c r="I37" s="36"/>
      <c r="J37" s="380"/>
    </row>
    <row r="38" spans="2:10" x14ac:dyDescent="0.25">
      <c r="B38" s="382"/>
      <c r="C38" s="1" t="s">
        <v>40</v>
      </c>
      <c r="D38" s="13">
        <v>4.2918454935622317E-2</v>
      </c>
      <c r="E38" s="13">
        <v>3.3196326378099862E-2</v>
      </c>
      <c r="F38" s="14">
        <v>1.2928676036856988</v>
      </c>
      <c r="G38" s="13">
        <v>0.23826371358004139</v>
      </c>
      <c r="H38" s="14">
        <v>0.13932598413458377</v>
      </c>
      <c r="I38" s="15"/>
      <c r="J38" s="380"/>
    </row>
    <row r="39" spans="2:10" x14ac:dyDescent="0.25">
      <c r="B39" s="382"/>
      <c r="C39" s="1" t="s">
        <v>41</v>
      </c>
      <c r="D39" s="13">
        <v>9.012875536480687E-2</v>
      </c>
      <c r="E39" s="13">
        <v>7.2646463057287267E-2</v>
      </c>
      <c r="F39" s="14">
        <v>1.240648912167045</v>
      </c>
      <c r="G39" s="13">
        <v>0.2944472672851261</v>
      </c>
      <c r="H39" s="14">
        <v>0.24672147147808485</v>
      </c>
      <c r="I39" s="15"/>
      <c r="J39" s="380"/>
    </row>
    <row r="40" spans="2:10" x14ac:dyDescent="0.25">
      <c r="B40" s="382"/>
      <c r="C40" s="1" t="s">
        <v>42</v>
      </c>
      <c r="D40" s="13">
        <v>0.14255058246474556</v>
      </c>
      <c r="E40" s="13">
        <v>0.12657082735157033</v>
      </c>
      <c r="F40" s="14">
        <v>1.1262514865987954</v>
      </c>
      <c r="G40" s="13">
        <v>0.2295170839287588</v>
      </c>
      <c r="H40" s="14">
        <v>0.55146582199892979</v>
      </c>
      <c r="I40" s="15"/>
      <c r="J40" s="380"/>
    </row>
    <row r="41" spans="2:10" x14ac:dyDescent="0.25">
      <c r="B41" s="382"/>
      <c r="C41" s="1" t="s">
        <v>43</v>
      </c>
      <c r="D41" s="13">
        <v>0.21827099938687922</v>
      </c>
      <c r="E41" s="13">
        <v>0.22588448150406104</v>
      </c>
      <c r="F41" s="14">
        <v>0.96629479782547634</v>
      </c>
      <c r="G41" s="13">
        <v>0.16500439759050969</v>
      </c>
      <c r="H41" s="14">
        <v>1.3689603719813399</v>
      </c>
      <c r="I41" s="15"/>
      <c r="J41" s="380"/>
    </row>
    <row r="42" spans="2:10" ht="15.75" thickBot="1" x14ac:dyDescent="0.3">
      <c r="B42" s="383"/>
      <c r="C42" s="9" t="s">
        <v>44</v>
      </c>
      <c r="D42" s="17">
        <v>0.22746781115879827</v>
      </c>
      <c r="E42" s="17">
        <v>0.35135400892839586</v>
      </c>
      <c r="F42" s="14">
        <v>0.64740348872795994</v>
      </c>
      <c r="G42" s="17">
        <v>7.2767537615563996E-2</v>
      </c>
      <c r="H42" s="14">
        <v>4.8284443921219893</v>
      </c>
      <c r="I42" s="19"/>
      <c r="J42" s="384"/>
    </row>
    <row r="43" spans="2:10" ht="15.75" thickBot="1" x14ac:dyDescent="0.3">
      <c r="B43" s="60"/>
      <c r="C43" s="45"/>
      <c r="D43" s="43"/>
      <c r="E43" s="43"/>
      <c r="F43" s="43"/>
      <c r="G43" s="43"/>
      <c r="H43" s="43"/>
      <c r="I43" s="26"/>
      <c r="J43" s="28"/>
    </row>
    <row r="44" spans="2:10" x14ac:dyDescent="0.25">
      <c r="B44" s="373" t="s">
        <v>45</v>
      </c>
      <c r="C44" s="5"/>
      <c r="D44" s="385" t="s">
        <v>46</v>
      </c>
      <c r="E44" s="385"/>
      <c r="F44" s="385" t="s">
        <v>47</v>
      </c>
      <c r="G44" s="385"/>
      <c r="H44" s="42"/>
      <c r="I44" s="7"/>
      <c r="J44" s="386" t="s">
        <v>48</v>
      </c>
    </row>
    <row r="45" spans="2:10" x14ac:dyDescent="0.25">
      <c r="B45" s="374"/>
      <c r="C45" s="1"/>
      <c r="D45" s="40" t="s">
        <v>49</v>
      </c>
      <c r="E45" s="40" t="s">
        <v>50</v>
      </c>
      <c r="F45" s="40" t="s">
        <v>49</v>
      </c>
      <c r="G45" s="40" t="s">
        <v>50</v>
      </c>
      <c r="H45" s="41" t="s">
        <v>51</v>
      </c>
      <c r="I45" s="81" t="s">
        <v>52</v>
      </c>
      <c r="J45" s="387"/>
    </row>
    <row r="46" spans="2:10" x14ac:dyDescent="0.25">
      <c r="B46" s="374"/>
      <c r="C46" s="2" t="s">
        <v>53</v>
      </c>
      <c r="H46" s="13"/>
      <c r="I46" s="4"/>
      <c r="J46" s="387"/>
    </row>
    <row r="47" spans="2:10" x14ac:dyDescent="0.25">
      <c r="B47" s="374"/>
      <c r="C47" s="1" t="s">
        <v>54</v>
      </c>
      <c r="D47" s="73">
        <v>2646805</v>
      </c>
      <c r="E47" s="38">
        <v>0.69931014985944073</v>
      </c>
      <c r="F47" s="8">
        <v>54243</v>
      </c>
      <c r="G47" s="13">
        <v>0.55776290218095448</v>
      </c>
      <c r="H47" s="14">
        <v>0.79759017124671105</v>
      </c>
      <c r="I47" s="82">
        <v>2.0493765124366927E-2</v>
      </c>
      <c r="J47" s="387"/>
    </row>
    <row r="48" spans="2:10" x14ac:dyDescent="0.25">
      <c r="B48" s="374"/>
      <c r="C48" s="1" t="s">
        <v>55</v>
      </c>
      <c r="D48" s="73">
        <v>1138075</v>
      </c>
      <c r="E48" s="38">
        <v>0.30068985014055927</v>
      </c>
      <c r="F48" s="8">
        <v>43008</v>
      </c>
      <c r="G48" s="13">
        <v>0.44223709781904558</v>
      </c>
      <c r="H48" s="14">
        <v>1.4707416881957247</v>
      </c>
      <c r="I48" s="82">
        <v>3.7790128067130904E-2</v>
      </c>
      <c r="J48" s="387"/>
    </row>
    <row r="49" spans="2:14" x14ac:dyDescent="0.25">
      <c r="B49" s="374"/>
      <c r="C49" s="1" t="s">
        <v>53</v>
      </c>
      <c r="D49" s="73">
        <v>3784880</v>
      </c>
      <c r="E49" s="38"/>
      <c r="F49" s="8">
        <v>97251</v>
      </c>
      <c r="H49" s="14"/>
      <c r="I49" s="82">
        <v>2.5694605905603348E-2</v>
      </c>
      <c r="J49" s="387"/>
    </row>
    <row r="50" spans="2:14" x14ac:dyDescent="0.25">
      <c r="B50" s="374"/>
      <c r="C50" s="1"/>
      <c r="D50" s="38"/>
      <c r="E50" s="38"/>
      <c r="F50" s="8"/>
      <c r="H50" s="14"/>
      <c r="I50" s="82"/>
      <c r="J50" s="387"/>
    </row>
    <row r="51" spans="2:14" x14ac:dyDescent="0.25">
      <c r="B51" s="374"/>
      <c r="C51" s="2" t="s">
        <v>56</v>
      </c>
      <c r="D51" s="38"/>
      <c r="E51" s="38"/>
      <c r="H51" s="14"/>
      <c r="I51" s="82"/>
      <c r="J51" s="387"/>
    </row>
    <row r="52" spans="2:14" x14ac:dyDescent="0.25">
      <c r="B52" s="374"/>
      <c r="C52" s="1" t="s">
        <v>57</v>
      </c>
      <c r="D52" s="73">
        <v>452836</v>
      </c>
      <c r="E52" s="38">
        <v>0.39789644794938822</v>
      </c>
      <c r="F52" s="8">
        <v>16973</v>
      </c>
      <c r="G52" s="13">
        <v>0.39464750744047616</v>
      </c>
      <c r="H52" s="14">
        <v>0.99183470843819821</v>
      </c>
      <c r="I52" s="82">
        <v>3.7481560653304949E-2</v>
      </c>
      <c r="J52" s="387"/>
      <c r="N52" s="38"/>
    </row>
    <row r="53" spans="2:14" x14ac:dyDescent="0.25">
      <c r="B53" s="374"/>
      <c r="C53" s="1" t="s">
        <v>58</v>
      </c>
      <c r="D53" s="73">
        <v>220171</v>
      </c>
      <c r="E53" s="38">
        <v>0.19345913054939262</v>
      </c>
      <c r="F53" s="8">
        <v>11760</v>
      </c>
      <c r="G53" s="13">
        <v>0.2734375</v>
      </c>
      <c r="H53" s="14">
        <v>1.4134122241916509</v>
      </c>
      <c r="I53" s="82">
        <v>5.3413028963850827E-2</v>
      </c>
      <c r="J53" s="387"/>
      <c r="N53" s="38"/>
    </row>
    <row r="54" spans="2:14" x14ac:dyDescent="0.25">
      <c r="B54" s="374"/>
      <c r="C54" s="1" t="s">
        <v>59</v>
      </c>
      <c r="D54" s="73">
        <v>150287</v>
      </c>
      <c r="E54" s="38">
        <v>0.13205368714715637</v>
      </c>
      <c r="F54" s="8">
        <v>8181</v>
      </c>
      <c r="G54" s="13">
        <v>0.19022042410714285</v>
      </c>
      <c r="H54" s="14">
        <v>1.440477946633685</v>
      </c>
      <c r="I54" s="82">
        <v>5.4435846081164703E-2</v>
      </c>
      <c r="J54" s="387"/>
    </row>
    <row r="55" spans="2:14" x14ac:dyDescent="0.25">
      <c r="B55" s="374"/>
      <c r="C55" s="1" t="s">
        <v>60</v>
      </c>
      <c r="D55" s="73">
        <v>27551</v>
      </c>
      <c r="E55" s="38">
        <v>2.4208422116292865E-2</v>
      </c>
      <c r="F55" s="8">
        <v>277</v>
      </c>
      <c r="G55" s="13">
        <v>6.4406622023809521E-3</v>
      </c>
      <c r="H55" s="14">
        <v>0.2660504749727669</v>
      </c>
      <c r="I55" s="82">
        <v>1.0054081521541868E-2</v>
      </c>
      <c r="J55" s="387"/>
    </row>
    <row r="56" spans="2:14" x14ac:dyDescent="0.25">
      <c r="B56" s="374"/>
      <c r="C56" s="1" t="s">
        <v>61</v>
      </c>
      <c r="D56" s="73">
        <v>240014</v>
      </c>
      <c r="E56" s="38">
        <v>0.21089471256288031</v>
      </c>
      <c r="F56" s="8">
        <v>4005</v>
      </c>
      <c r="G56" s="13">
        <v>9.3122209821428575E-2</v>
      </c>
      <c r="H56" s="14">
        <v>0.44155782138759542</v>
      </c>
      <c r="I56" s="82">
        <v>1.6686526619280544E-2</v>
      </c>
      <c r="J56" s="387"/>
    </row>
    <row r="57" spans="2:14" x14ac:dyDescent="0.25">
      <c r="B57" s="374"/>
      <c r="C57" s="1" t="s">
        <v>62</v>
      </c>
      <c r="D57" s="73">
        <v>30758</v>
      </c>
      <c r="E57" s="38">
        <v>2.702633833446829E-2</v>
      </c>
      <c r="F57" s="3">
        <v>1180</v>
      </c>
      <c r="G57" s="13">
        <v>2.7436755952380952E-2</v>
      </c>
      <c r="H57" s="14">
        <v>1.0151858388226138</v>
      </c>
      <c r="I57" s="82">
        <v>3.8364002861044279E-2</v>
      </c>
      <c r="J57" s="387"/>
      <c r="M57" s="13"/>
    </row>
    <row r="58" spans="2:14" ht="15.75" thickBot="1" x14ac:dyDescent="0.3">
      <c r="B58" s="375"/>
      <c r="C58" s="9" t="s">
        <v>63</v>
      </c>
      <c r="D58" s="74">
        <v>16458</v>
      </c>
      <c r="E58" s="44">
        <v>1.4461261340421326E-2</v>
      </c>
      <c r="F58" s="10">
        <v>632</v>
      </c>
      <c r="G58" s="17">
        <v>1.4694940476190476E-2</v>
      </c>
      <c r="H58" s="18">
        <v>1.0161589732920449</v>
      </c>
      <c r="I58" s="83">
        <v>3.840077773727063E-2</v>
      </c>
      <c r="J58" s="388"/>
    </row>
    <row r="59" spans="2:14" ht="15.75" thickBot="1" x14ac:dyDescent="0.3">
      <c r="C59" s="1"/>
      <c r="D59" s="8"/>
      <c r="I59" s="4"/>
      <c r="J59" s="28"/>
    </row>
    <row r="60" spans="2:14" x14ac:dyDescent="0.25">
      <c r="B60" s="373" t="s">
        <v>64</v>
      </c>
      <c r="C60" s="21" t="s">
        <v>65</v>
      </c>
      <c r="D60" s="23" t="s">
        <v>66</v>
      </c>
      <c r="E60" s="48" t="s">
        <v>67</v>
      </c>
      <c r="F60" s="48" t="s">
        <v>68</v>
      </c>
      <c r="G60" s="48" t="s">
        <v>51</v>
      </c>
      <c r="H60" s="6"/>
      <c r="I60" s="7"/>
      <c r="J60" s="373" t="s">
        <v>19</v>
      </c>
    </row>
    <row r="61" spans="2:14" x14ac:dyDescent="0.25">
      <c r="B61" s="374"/>
      <c r="C61" s="1" t="s">
        <v>69</v>
      </c>
      <c r="D61" s="8">
        <v>28965</v>
      </c>
      <c r="E61" s="67"/>
      <c r="F61" s="68"/>
      <c r="I61" s="4"/>
      <c r="J61" s="374"/>
      <c r="N61" s="8"/>
    </row>
    <row r="62" spans="2:14" x14ac:dyDescent="0.25">
      <c r="B62" s="374"/>
      <c r="C62" s="1" t="s">
        <v>70</v>
      </c>
      <c r="D62" s="69">
        <v>0.69</v>
      </c>
      <c r="E62" s="68"/>
      <c r="F62" s="68"/>
      <c r="I62" s="4"/>
      <c r="J62" s="374"/>
      <c r="N62" s="39"/>
    </row>
    <row r="63" spans="2:14" x14ac:dyDescent="0.25">
      <c r="B63" s="374"/>
      <c r="C63" s="1"/>
      <c r="D63" s="70"/>
      <c r="E63" s="68"/>
      <c r="F63" s="14"/>
      <c r="I63" s="4"/>
      <c r="J63" s="374"/>
      <c r="M63" s="8"/>
      <c r="N63" s="8"/>
    </row>
    <row r="64" spans="2:14" ht="14.45" customHeight="1" x14ac:dyDescent="0.25">
      <c r="B64" s="374"/>
      <c r="C64" s="1" t="s">
        <v>71</v>
      </c>
      <c r="D64" s="8">
        <v>97251</v>
      </c>
      <c r="F64" s="68"/>
      <c r="I64" s="4"/>
      <c r="J64" s="374"/>
      <c r="K64" s="24"/>
      <c r="M64" s="14"/>
      <c r="N64" s="8"/>
    </row>
    <row r="65" spans="2:15" x14ac:dyDescent="0.25">
      <c r="B65" s="374"/>
      <c r="C65" s="1" t="s">
        <v>72</v>
      </c>
      <c r="D65" s="71">
        <v>3.357534955981357</v>
      </c>
      <c r="E65" s="14"/>
      <c r="F65" s="14"/>
      <c r="I65" s="4"/>
      <c r="J65" s="374"/>
      <c r="N65" s="14"/>
    </row>
    <row r="66" spans="2:15" x14ac:dyDescent="0.25">
      <c r="B66" s="374"/>
      <c r="C66" s="1"/>
      <c r="D66" s="71"/>
      <c r="F66" s="14"/>
      <c r="I66" s="4"/>
      <c r="J66" s="374"/>
      <c r="M66" s="8"/>
      <c r="O66" s="14"/>
    </row>
    <row r="67" spans="2:15" x14ac:dyDescent="0.25">
      <c r="B67" s="374"/>
      <c r="C67" s="1" t="s">
        <v>73</v>
      </c>
      <c r="D67" s="67">
        <v>48665</v>
      </c>
      <c r="E67" s="67"/>
      <c r="F67" s="14"/>
      <c r="I67" s="4"/>
      <c r="J67" s="374"/>
      <c r="M67" s="14"/>
      <c r="N67" s="8"/>
      <c r="O67" s="14"/>
    </row>
    <row r="68" spans="2:15" x14ac:dyDescent="0.25">
      <c r="B68" s="374"/>
      <c r="C68" s="1" t="s">
        <v>74</v>
      </c>
      <c r="D68" s="71">
        <v>1.6801311928189193</v>
      </c>
      <c r="E68" s="72"/>
      <c r="F68" s="14"/>
      <c r="I68" s="4"/>
      <c r="J68" s="374"/>
      <c r="N68" s="14"/>
    </row>
    <row r="69" spans="2:15" ht="15.75" thickBot="1" x14ac:dyDescent="0.3">
      <c r="B69" s="375"/>
      <c r="C69" s="9" t="s">
        <v>75</v>
      </c>
      <c r="D69" s="84">
        <v>1.9983766567348198</v>
      </c>
      <c r="E69" s="85"/>
      <c r="F69" s="18"/>
      <c r="G69" s="20"/>
      <c r="H69" s="20"/>
      <c r="I69" s="11"/>
      <c r="J69" s="375"/>
      <c r="N69" s="14"/>
    </row>
    <row r="70" spans="2:15" x14ac:dyDescent="0.25">
      <c r="D70" s="37"/>
      <c r="E70" s="22"/>
      <c r="F70" s="14"/>
    </row>
  </sheetData>
  <mergeCells count="11">
    <mergeCell ref="B60:B69"/>
    <mergeCell ref="J60:J69"/>
    <mergeCell ref="C2:I2"/>
    <mergeCell ref="B3:B12"/>
    <mergeCell ref="J3:J12"/>
    <mergeCell ref="B14:B42"/>
    <mergeCell ref="J14:J42"/>
    <mergeCell ref="B44:B58"/>
    <mergeCell ref="D44:E44"/>
    <mergeCell ref="F44:G44"/>
    <mergeCell ref="J44:J58"/>
  </mergeCells>
  <pageMargins left="0.7" right="0.7" top="0.75" bottom="0.75" header="0.3" footer="0.3"/>
  <pageSetup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8240-CDB4-49EA-A4AB-516665F6E32D}">
  <sheetPr codeName="Sheet9">
    <tabColor theme="4"/>
  </sheetPr>
  <dimension ref="B1:O71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105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2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x14ac:dyDescent="0.2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 x14ac:dyDescent="0.2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59">
        <v>4.6872024376309274E-2</v>
      </c>
      <c r="J12" s="380"/>
    </row>
    <row r="13" spans="2:10" ht="15.75" thickBot="1" x14ac:dyDescent="0.3">
      <c r="B13" s="375"/>
      <c r="C13" s="58" t="s">
        <v>78</v>
      </c>
      <c r="D13" s="55"/>
      <c r="E13" s="55">
        <v>62820</v>
      </c>
      <c r="F13" s="55">
        <v>57052</v>
      </c>
      <c r="G13" s="55">
        <v>15461</v>
      </c>
      <c r="H13" s="55"/>
      <c r="I13" s="56"/>
      <c r="J13" s="380"/>
    </row>
    <row r="14" spans="2:10" ht="15.75" thickBot="1" x14ac:dyDescent="0.3">
      <c r="C14" s="45"/>
      <c r="D14" s="25"/>
      <c r="E14" s="50"/>
      <c r="F14" s="50"/>
      <c r="G14" s="50"/>
      <c r="H14" s="50"/>
      <c r="I14" s="51"/>
      <c r="J14" s="27"/>
    </row>
    <row r="15" spans="2:10" x14ac:dyDescent="0.25">
      <c r="B15" s="381" t="s">
        <v>13</v>
      </c>
      <c r="C15" s="5"/>
      <c r="D15" s="48" t="s">
        <v>107</v>
      </c>
      <c r="E15" s="48" t="s">
        <v>15</v>
      </c>
      <c r="F15" s="48" t="s">
        <v>108</v>
      </c>
      <c r="G15" s="48" t="s">
        <v>17</v>
      </c>
      <c r="H15" s="48" t="s">
        <v>18</v>
      </c>
      <c r="I15" s="49"/>
      <c r="J15" s="380" t="s">
        <v>19</v>
      </c>
    </row>
    <row r="16" spans="2:10" x14ac:dyDescent="0.25">
      <c r="B16" s="382"/>
      <c r="C16" s="2" t="s">
        <v>20</v>
      </c>
      <c r="D16" s="47"/>
      <c r="E16" s="47"/>
      <c r="F16" s="47"/>
      <c r="G16" s="47"/>
      <c r="H16" s="47"/>
      <c r="I16" s="12"/>
      <c r="J16" s="380"/>
    </row>
    <row r="17" spans="2:10" x14ac:dyDescent="0.25">
      <c r="B17" s="382"/>
      <c r="C17" s="1" t="s">
        <v>21</v>
      </c>
      <c r="D17" s="13">
        <v>0.4279390063944909</v>
      </c>
      <c r="E17" s="13">
        <v>0.36568788828120852</v>
      </c>
      <c r="F17" s="14">
        <v>1.1702301883878972</v>
      </c>
      <c r="G17" s="13">
        <v>0.57235489190258093</v>
      </c>
      <c r="H17" s="14">
        <v>0.63891807942029666</v>
      </c>
      <c r="I17" s="15"/>
      <c r="J17" s="380"/>
    </row>
    <row r="18" spans="2:10" x14ac:dyDescent="0.25">
      <c r="B18" s="382"/>
      <c r="C18" s="1" t="s">
        <v>22</v>
      </c>
      <c r="D18" s="13">
        <v>0.5720609936055091</v>
      </c>
      <c r="E18" s="13">
        <v>0.63431211171879154</v>
      </c>
      <c r="F18" s="14">
        <v>0.90186042964779445</v>
      </c>
      <c r="G18" s="13">
        <v>0.42764510809741907</v>
      </c>
      <c r="H18" s="14">
        <v>1.4832675499103172</v>
      </c>
      <c r="I18" s="15"/>
      <c r="J18" s="380"/>
    </row>
    <row r="19" spans="2:10" x14ac:dyDescent="0.25">
      <c r="B19" s="382"/>
      <c r="C19" s="1"/>
      <c r="D19" s="13"/>
      <c r="E19" s="13"/>
      <c r="F19" s="14"/>
      <c r="G19" s="13"/>
      <c r="H19" s="14"/>
      <c r="I19" s="15"/>
      <c r="J19" s="380"/>
    </row>
    <row r="20" spans="2:10" x14ac:dyDescent="0.25">
      <c r="B20" s="382"/>
      <c r="C20" s="2" t="s">
        <v>23</v>
      </c>
      <c r="F20" s="14"/>
      <c r="G20" s="13"/>
      <c r="H20" s="14"/>
      <c r="I20" s="15"/>
      <c r="J20" s="380"/>
    </row>
    <row r="21" spans="2:10" x14ac:dyDescent="0.25">
      <c r="B21" s="382"/>
      <c r="C21" s="1" t="s">
        <v>24</v>
      </c>
      <c r="D21" s="13">
        <v>1.4260249554367201E-2</v>
      </c>
      <c r="E21" s="13">
        <v>1.2890213960014029E-2</v>
      </c>
      <c r="F21" s="14">
        <v>1.1062849382177113</v>
      </c>
      <c r="G21" s="13">
        <v>9.3529624053555957E-3</v>
      </c>
      <c r="H21" s="14">
        <v>1.3781958486899262</v>
      </c>
      <c r="I21" s="15"/>
      <c r="J21" s="380"/>
    </row>
    <row r="22" spans="2:10" x14ac:dyDescent="0.25">
      <c r="B22" s="382"/>
      <c r="C22" s="1" t="s">
        <v>25</v>
      </c>
      <c r="D22" s="13">
        <v>0.14600550964187328</v>
      </c>
      <c r="E22" s="13">
        <v>0.13803928446159242</v>
      </c>
      <c r="F22" s="14">
        <v>1.0577098411611758</v>
      </c>
      <c r="G22" s="13">
        <v>0.11987086678511411</v>
      </c>
      <c r="H22" s="14">
        <v>1.1515665829717228</v>
      </c>
      <c r="I22" s="15"/>
      <c r="J22" s="380"/>
    </row>
    <row r="23" spans="2:10" x14ac:dyDescent="0.25">
      <c r="B23" s="382"/>
      <c r="C23" s="1" t="s">
        <v>26</v>
      </c>
      <c r="D23" s="13">
        <v>0.35472370766488415</v>
      </c>
      <c r="E23" s="13">
        <v>0.36376709926341633</v>
      </c>
      <c r="F23" s="14">
        <v>0.97513961098503976</v>
      </c>
      <c r="G23" s="13">
        <v>0.29408078276439853</v>
      </c>
      <c r="H23" s="14">
        <v>1.2369631767297309</v>
      </c>
      <c r="I23" s="15"/>
      <c r="J23" s="380"/>
    </row>
    <row r="24" spans="2:10" x14ac:dyDescent="0.25">
      <c r="B24" s="382"/>
      <c r="C24" s="1" t="s">
        <v>27</v>
      </c>
      <c r="D24" s="13">
        <v>0.36736347431534599</v>
      </c>
      <c r="E24" s="13">
        <v>0.34175727814801826</v>
      </c>
      <c r="F24" s="14">
        <v>1.074925093932418</v>
      </c>
      <c r="G24" s="13">
        <v>0.32868783998543011</v>
      </c>
      <c r="H24" s="14">
        <v>1.0397624632635254</v>
      </c>
      <c r="I24" s="15"/>
      <c r="J24" s="380"/>
    </row>
    <row r="25" spans="2:10" x14ac:dyDescent="0.25">
      <c r="B25" s="382"/>
      <c r="C25" s="1" t="s">
        <v>28</v>
      </c>
      <c r="D25" s="13">
        <v>0.1046831955922865</v>
      </c>
      <c r="E25" s="13">
        <v>0.12827078218169063</v>
      </c>
      <c r="F25" s="14">
        <v>0.81611099434949086</v>
      </c>
      <c r="G25" s="13">
        <v>0.17578056392525954</v>
      </c>
      <c r="H25" s="14">
        <v>0.72972107562603072</v>
      </c>
      <c r="I25" s="15"/>
      <c r="J25" s="380"/>
    </row>
    <row r="26" spans="2:10" x14ac:dyDescent="0.25">
      <c r="B26" s="382"/>
      <c r="C26" s="1" t="s">
        <v>29</v>
      </c>
      <c r="D26" s="13">
        <v>1.2963863231242911E-2</v>
      </c>
      <c r="E26" s="13">
        <v>1.5275341985268327E-2</v>
      </c>
      <c r="F26" s="14">
        <v>0.84867908317505258</v>
      </c>
      <c r="G26" s="13">
        <v>7.222698413444209E-2</v>
      </c>
      <c r="H26" s="14">
        <v>0.21149079071105978</v>
      </c>
      <c r="I26" s="15"/>
      <c r="J26" s="380"/>
    </row>
    <row r="27" spans="2:10" x14ac:dyDescent="0.25">
      <c r="B27" s="382"/>
      <c r="C27" s="1"/>
      <c r="D27" s="13"/>
      <c r="E27" s="13"/>
      <c r="F27" s="14"/>
      <c r="G27" s="13"/>
      <c r="H27" s="14"/>
      <c r="I27" s="15"/>
      <c r="J27" s="380"/>
    </row>
    <row r="28" spans="2:10" x14ac:dyDescent="0.25">
      <c r="B28" s="382"/>
      <c r="C28" s="2" t="s">
        <v>30</v>
      </c>
      <c r="F28" s="14"/>
      <c r="G28" s="13"/>
      <c r="H28" s="14"/>
      <c r="I28" s="15"/>
      <c r="J28" s="380"/>
    </row>
    <row r="29" spans="2:10" x14ac:dyDescent="0.25">
      <c r="B29" s="382"/>
      <c r="C29" s="1" t="s">
        <v>31</v>
      </c>
      <c r="D29" s="13">
        <v>0.46863349003079918</v>
      </c>
      <c r="E29" s="13">
        <v>0.45874552725741952</v>
      </c>
      <c r="F29" s="14">
        <v>1.0215543524369475</v>
      </c>
      <c r="G29" s="13">
        <v>0.4916982188238192</v>
      </c>
      <c r="H29" s="14">
        <v>0.93298187728801396</v>
      </c>
      <c r="I29" s="15"/>
      <c r="J29" s="380"/>
    </row>
    <row r="30" spans="2:10" x14ac:dyDescent="0.25">
      <c r="B30" s="382"/>
      <c r="C30" s="1" t="s">
        <v>32</v>
      </c>
      <c r="D30" s="13">
        <v>0.19841141189820069</v>
      </c>
      <c r="E30" s="13">
        <v>0.21939240861573003</v>
      </c>
      <c r="F30" s="14">
        <v>0.90436771787177939</v>
      </c>
      <c r="G30" s="13">
        <v>0.14338031637987977</v>
      </c>
      <c r="H30" s="14">
        <v>1.5301431476441969</v>
      </c>
      <c r="I30" s="15"/>
      <c r="J30" s="380"/>
    </row>
    <row r="31" spans="2:10" x14ac:dyDescent="0.25">
      <c r="B31" s="382"/>
      <c r="C31" s="1" t="s">
        <v>33</v>
      </c>
      <c r="D31" s="13">
        <v>0.13097746798508672</v>
      </c>
      <c r="E31" s="13">
        <v>0.13544516943801305</v>
      </c>
      <c r="F31" s="14">
        <v>0.96701468593185236</v>
      </c>
      <c r="G31" s="13">
        <v>0.13350111393482081</v>
      </c>
      <c r="H31" s="14">
        <v>1.014562091999782</v>
      </c>
      <c r="I31" s="15"/>
      <c r="J31" s="380"/>
    </row>
    <row r="32" spans="2:10" x14ac:dyDescent="0.25">
      <c r="B32" s="382"/>
      <c r="C32" s="1" t="s">
        <v>34</v>
      </c>
      <c r="D32" s="13">
        <v>0.10309612579024154</v>
      </c>
      <c r="E32" s="13">
        <v>8.6157300217498067E-2</v>
      </c>
      <c r="F32" s="14">
        <v>1.1966034860654011</v>
      </c>
      <c r="G32" s="13">
        <v>0.10246565834107677</v>
      </c>
      <c r="H32" s="14">
        <v>0.84084074227783545</v>
      </c>
      <c r="I32" s="15"/>
      <c r="J32" s="380"/>
    </row>
    <row r="33" spans="2:10" x14ac:dyDescent="0.25">
      <c r="B33" s="382"/>
      <c r="C33" s="1" t="s">
        <v>35</v>
      </c>
      <c r="D33" s="13">
        <v>1.637218349813584E-2</v>
      </c>
      <c r="E33" s="13">
        <v>1.8680277836245002E-2</v>
      </c>
      <c r="F33" s="14">
        <v>0.87644218365795346</v>
      </c>
      <c r="G33" s="13">
        <v>3.3207572517716603E-2</v>
      </c>
      <c r="H33" s="14">
        <v>0.56253066454281986</v>
      </c>
      <c r="I33" s="15"/>
      <c r="J33" s="380"/>
    </row>
    <row r="34" spans="2:10" x14ac:dyDescent="0.25">
      <c r="B34" s="382"/>
      <c r="C34" s="1" t="s">
        <v>36</v>
      </c>
      <c r="D34" s="13">
        <v>1.1995461176852002E-2</v>
      </c>
      <c r="E34" s="13">
        <v>1.4084754086858907E-2</v>
      </c>
      <c r="F34" s="14">
        <v>0.85166280524867544</v>
      </c>
      <c r="G34" s="13">
        <v>2.6221465915833547E-2</v>
      </c>
      <c r="H34" s="14">
        <v>0.53714594493185752</v>
      </c>
      <c r="I34" s="15"/>
      <c r="J34" s="380"/>
    </row>
    <row r="35" spans="2:10" x14ac:dyDescent="0.25">
      <c r="B35" s="382"/>
      <c r="C35" s="1" t="s">
        <v>37</v>
      </c>
      <c r="D35" s="13">
        <v>7.0513859620684058E-2</v>
      </c>
      <c r="E35" s="13">
        <v>6.7494562548235465E-2</v>
      </c>
      <c r="F35" s="14">
        <v>1.0447339305338978</v>
      </c>
      <c r="G35" s="13">
        <v>6.9525654086853336E-2</v>
      </c>
      <c r="H35" s="14">
        <v>0.97078644472613551</v>
      </c>
      <c r="I35" s="15"/>
      <c r="J35" s="380"/>
    </row>
    <row r="36" spans="2:10" x14ac:dyDescent="0.25">
      <c r="B36" s="382"/>
      <c r="C36" s="1"/>
      <c r="D36" s="13"/>
      <c r="E36" s="13"/>
      <c r="F36" s="14"/>
      <c r="G36" s="13"/>
      <c r="H36" s="14"/>
      <c r="I36" s="15"/>
      <c r="J36" s="380"/>
    </row>
    <row r="37" spans="2:10" x14ac:dyDescent="0.25">
      <c r="B37" s="382"/>
      <c r="C37" s="2" t="s">
        <v>38</v>
      </c>
      <c r="F37" s="14"/>
      <c r="G37" s="13"/>
      <c r="H37" s="14"/>
      <c r="I37" s="15"/>
      <c r="J37" s="380"/>
    </row>
    <row r="38" spans="2:10" x14ac:dyDescent="0.25">
      <c r="B38" s="382"/>
      <c r="C38" s="1" t="s">
        <v>39</v>
      </c>
      <c r="D38" s="13">
        <v>0.29768270944741532</v>
      </c>
      <c r="E38" s="13">
        <v>0.2019642230796212</v>
      </c>
      <c r="F38" s="14">
        <v>1.473937833682843</v>
      </c>
      <c r="G38" s="16" t="s">
        <v>12</v>
      </c>
      <c r="H38" s="16" t="s">
        <v>12</v>
      </c>
      <c r="I38" s="36"/>
      <c r="J38" s="380"/>
    </row>
    <row r="39" spans="2:10" x14ac:dyDescent="0.25">
      <c r="B39" s="382"/>
      <c r="C39" s="1" t="s">
        <v>40</v>
      </c>
      <c r="D39" s="13">
        <v>4.3266893534273217E-2</v>
      </c>
      <c r="E39" s="13">
        <v>3.4286215363030517E-2</v>
      </c>
      <c r="F39" s="14">
        <v>1.2619326185801836</v>
      </c>
      <c r="G39" s="13">
        <v>0.23826371358004139</v>
      </c>
      <c r="H39" s="14">
        <v>0.14390028111230851</v>
      </c>
      <c r="I39" s="15"/>
      <c r="J39" s="380"/>
    </row>
    <row r="40" spans="2:10" x14ac:dyDescent="0.25">
      <c r="B40" s="382"/>
      <c r="C40" s="1" t="s">
        <v>41</v>
      </c>
      <c r="D40" s="13">
        <v>8.7506076810889649E-2</v>
      </c>
      <c r="E40" s="13">
        <v>7.4254647492108028E-2</v>
      </c>
      <c r="F40" s="14">
        <v>1.1784592583270967</v>
      </c>
      <c r="G40" s="13">
        <v>0.2944472672851261</v>
      </c>
      <c r="H40" s="14">
        <v>0.2521831775745571</v>
      </c>
      <c r="I40" s="15"/>
      <c r="J40" s="380"/>
    </row>
    <row r="41" spans="2:10" x14ac:dyDescent="0.25">
      <c r="B41" s="382"/>
      <c r="C41" s="1" t="s">
        <v>42</v>
      </c>
      <c r="D41" s="13">
        <v>0.1660994976502998</v>
      </c>
      <c r="E41" s="13">
        <v>0.13084882497369343</v>
      </c>
      <c r="F41" s="14">
        <v>1.2693999941053606</v>
      </c>
      <c r="G41" s="13">
        <v>0.2295170839287588</v>
      </c>
      <c r="H41" s="14">
        <v>0.57010494702132231</v>
      </c>
      <c r="I41" s="15"/>
      <c r="J41" s="380"/>
    </row>
    <row r="42" spans="2:10" x14ac:dyDescent="0.25">
      <c r="B42" s="382"/>
      <c r="C42" s="1" t="s">
        <v>43</v>
      </c>
      <c r="D42" s="13">
        <v>0.22200615783503483</v>
      </c>
      <c r="E42" s="13">
        <v>0.22546474921080323</v>
      </c>
      <c r="F42" s="14">
        <v>0.98466016799577516</v>
      </c>
      <c r="G42" s="13">
        <v>0.16500439759050969</v>
      </c>
      <c r="H42" s="14">
        <v>1.3664166076975572</v>
      </c>
      <c r="I42" s="15"/>
      <c r="J42" s="380"/>
    </row>
    <row r="43" spans="2:10" ht="15.75" thickBot="1" x14ac:dyDescent="0.3">
      <c r="B43" s="383"/>
      <c r="C43" s="9" t="s">
        <v>44</v>
      </c>
      <c r="D43" s="17">
        <v>0.18343866472208717</v>
      </c>
      <c r="E43" s="17">
        <v>0.33318133988074361</v>
      </c>
      <c r="F43" s="14">
        <v>0.55056704192301342</v>
      </c>
      <c r="G43" s="17">
        <v>7.2767537615563996E-2</v>
      </c>
      <c r="H43" s="14">
        <v>4.5787084570727679</v>
      </c>
      <c r="I43" s="19"/>
      <c r="J43" s="384"/>
    </row>
    <row r="44" spans="2:10" ht="15.75" thickBot="1" x14ac:dyDescent="0.3">
      <c r="B44" s="60"/>
      <c r="C44" s="45"/>
      <c r="D44" s="43"/>
      <c r="E44" s="43"/>
      <c r="F44" s="43"/>
      <c r="G44" s="43"/>
      <c r="H44" s="43"/>
      <c r="I44" s="26"/>
      <c r="J44" s="28"/>
    </row>
    <row r="45" spans="2:10" x14ac:dyDescent="0.25">
      <c r="B45" s="373" t="s">
        <v>45</v>
      </c>
      <c r="C45" s="5"/>
      <c r="D45" s="385" t="s">
        <v>46</v>
      </c>
      <c r="E45" s="385"/>
      <c r="F45" s="385" t="s">
        <v>47</v>
      </c>
      <c r="G45" s="385"/>
      <c r="H45" s="42"/>
      <c r="I45" s="7"/>
      <c r="J45" s="386" t="s">
        <v>48</v>
      </c>
    </row>
    <row r="46" spans="2:10" x14ac:dyDescent="0.25">
      <c r="B46" s="374"/>
      <c r="C46" s="1"/>
      <c r="D46" s="40" t="s">
        <v>49</v>
      </c>
      <c r="E46" s="40" t="s">
        <v>50</v>
      </c>
      <c r="F46" s="40" t="s">
        <v>49</v>
      </c>
      <c r="G46" s="40" t="s">
        <v>50</v>
      </c>
      <c r="H46" s="41" t="s">
        <v>51</v>
      </c>
      <c r="I46" s="81" t="s">
        <v>52</v>
      </c>
      <c r="J46" s="387"/>
    </row>
    <row r="47" spans="2:10" x14ac:dyDescent="0.25">
      <c r="B47" s="374"/>
      <c r="C47" s="2" t="s">
        <v>53</v>
      </c>
      <c r="H47" s="13"/>
      <c r="I47" s="4"/>
      <c r="J47" s="387"/>
    </row>
    <row r="48" spans="2:10" x14ac:dyDescent="0.25">
      <c r="B48" s="374"/>
      <c r="C48" s="1" t="s">
        <v>54</v>
      </c>
      <c r="D48" s="73">
        <v>2416418</v>
      </c>
      <c r="E48" s="38">
        <v>0.7665128619291085</v>
      </c>
      <c r="F48" s="8">
        <v>72820</v>
      </c>
      <c r="G48" s="13">
        <v>0.67710561062243135</v>
      </c>
      <c r="H48" s="14">
        <v>0.88335844609095937</v>
      </c>
      <c r="I48" s="82">
        <v>3.0135514633643681E-2</v>
      </c>
      <c r="J48" s="387"/>
    </row>
    <row r="49" spans="2:14" x14ac:dyDescent="0.25">
      <c r="B49" s="374"/>
      <c r="C49" s="1" t="s">
        <v>55</v>
      </c>
      <c r="D49" s="73">
        <v>736064</v>
      </c>
      <c r="E49" s="38">
        <v>0.23348713807089144</v>
      </c>
      <c r="F49" s="8">
        <v>34726</v>
      </c>
      <c r="G49" s="13">
        <v>0.32289438937756865</v>
      </c>
      <c r="H49" s="14">
        <v>1.3829215264077259</v>
      </c>
      <c r="I49" s="82">
        <v>4.7177962785844713E-2</v>
      </c>
      <c r="J49" s="387"/>
    </row>
    <row r="50" spans="2:14" x14ac:dyDescent="0.25">
      <c r="B50" s="374"/>
      <c r="C50" s="1" t="s">
        <v>53</v>
      </c>
      <c r="D50" s="73">
        <v>3152482</v>
      </c>
      <c r="E50" s="38"/>
      <c r="F50" s="8">
        <v>107546</v>
      </c>
      <c r="H50" s="14"/>
      <c r="I50" s="82">
        <v>3.4114707078422651E-2</v>
      </c>
      <c r="J50" s="387"/>
    </row>
    <row r="51" spans="2:14" x14ac:dyDescent="0.25">
      <c r="B51" s="374"/>
      <c r="C51" s="1"/>
      <c r="D51" s="38"/>
      <c r="E51" s="38"/>
      <c r="F51" s="8"/>
      <c r="H51" s="14"/>
      <c r="I51" s="82"/>
      <c r="J51" s="387"/>
    </row>
    <row r="52" spans="2:14" x14ac:dyDescent="0.25">
      <c r="B52" s="374"/>
      <c r="C52" s="2" t="s">
        <v>56</v>
      </c>
      <c r="D52" s="38"/>
      <c r="E52" s="38"/>
      <c r="H52" s="14"/>
      <c r="I52" s="82"/>
      <c r="J52" s="387"/>
    </row>
    <row r="53" spans="2:14" x14ac:dyDescent="0.25">
      <c r="B53" s="374"/>
      <c r="C53" s="1" t="s">
        <v>57</v>
      </c>
      <c r="D53" s="73">
        <v>356889</v>
      </c>
      <c r="E53" s="38">
        <v>0.48486137075036956</v>
      </c>
      <c r="F53" s="8">
        <v>14656</v>
      </c>
      <c r="G53" s="13">
        <v>0.42204688129931461</v>
      </c>
      <c r="H53" s="14">
        <v>0.87044855861822223</v>
      </c>
      <c r="I53" s="82">
        <v>4.1065989705482656E-2</v>
      </c>
      <c r="J53" s="387"/>
      <c r="N53" s="38"/>
    </row>
    <row r="54" spans="2:14" x14ac:dyDescent="0.25">
      <c r="B54" s="374"/>
      <c r="C54" s="1" t="s">
        <v>58</v>
      </c>
      <c r="D54" s="73">
        <v>156307</v>
      </c>
      <c r="E54" s="38">
        <v>0.21235517563690115</v>
      </c>
      <c r="F54" s="8">
        <v>11173</v>
      </c>
      <c r="G54" s="13">
        <v>0.32174739388354545</v>
      </c>
      <c r="H54" s="14">
        <v>1.5151379895430019</v>
      </c>
      <c r="I54" s="82">
        <v>7.1481123686079312E-2</v>
      </c>
      <c r="J54" s="387"/>
      <c r="N54" s="38"/>
    </row>
    <row r="55" spans="2:14" x14ac:dyDescent="0.25">
      <c r="B55" s="374"/>
      <c r="C55" s="1" t="s">
        <v>59</v>
      </c>
      <c r="D55" s="73">
        <v>65751</v>
      </c>
      <c r="E55" s="38">
        <v>8.932783018867925E-2</v>
      </c>
      <c r="F55" s="8">
        <v>4200</v>
      </c>
      <c r="G55" s="13">
        <v>0.12094684098370097</v>
      </c>
      <c r="H55" s="14">
        <v>1.3539659558307382</v>
      </c>
      <c r="I55" s="82">
        <v>6.387735547748323E-2</v>
      </c>
      <c r="J55" s="387"/>
    </row>
    <row r="56" spans="2:14" x14ac:dyDescent="0.25">
      <c r="B56" s="374"/>
      <c r="C56" s="1" t="s">
        <v>60</v>
      </c>
      <c r="D56" s="73">
        <v>61531</v>
      </c>
      <c r="E56" s="38">
        <v>8.3594633075384756E-2</v>
      </c>
      <c r="F56" s="8">
        <v>1593</v>
      </c>
      <c r="G56" s="13">
        <v>4.5873408973103727E-2</v>
      </c>
      <c r="H56" s="14">
        <v>0.54876021683994436</v>
      </c>
      <c r="I56" s="82">
        <v>2.5889389088426973E-2</v>
      </c>
      <c r="J56" s="387"/>
    </row>
    <row r="57" spans="2:14" x14ac:dyDescent="0.25">
      <c r="B57" s="374"/>
      <c r="C57" s="1" t="s">
        <v>61</v>
      </c>
      <c r="D57" s="73">
        <v>67025</v>
      </c>
      <c r="E57" s="38">
        <v>9.1058657942787585E-2</v>
      </c>
      <c r="F57" s="8">
        <v>1741</v>
      </c>
      <c r="G57" s="13">
        <v>5.013534527443414E-2</v>
      </c>
      <c r="H57" s="14">
        <v>0.55058295836003124</v>
      </c>
      <c r="I57" s="82">
        <v>2.5975382320029841E-2</v>
      </c>
      <c r="J57" s="387"/>
    </row>
    <row r="58" spans="2:14" x14ac:dyDescent="0.25">
      <c r="B58" s="374"/>
      <c r="C58" s="1" t="s">
        <v>62</v>
      </c>
      <c r="D58" s="73">
        <v>17990</v>
      </c>
      <c r="E58" s="38">
        <v>2.4440809494826538E-2</v>
      </c>
      <c r="F58" s="3">
        <v>821</v>
      </c>
      <c r="G58" s="13">
        <v>2.3642227725623452E-2</v>
      </c>
      <c r="H58" s="14">
        <v>0.96732588708356304</v>
      </c>
      <c r="I58" s="82">
        <v>4.563646470261256E-2</v>
      </c>
      <c r="J58" s="387"/>
      <c r="M58" s="13"/>
    </row>
    <row r="59" spans="2:14" ht="15.75" thickBot="1" x14ac:dyDescent="0.3">
      <c r="B59" s="375"/>
      <c r="C59" s="9" t="s">
        <v>63</v>
      </c>
      <c r="D59" s="74">
        <v>10571</v>
      </c>
      <c r="E59" s="44">
        <v>1.4361522911051213E-2</v>
      </c>
      <c r="F59" s="10">
        <v>542</v>
      </c>
      <c r="G59" s="17">
        <v>1.5607901860277601E-2</v>
      </c>
      <c r="H59" s="18">
        <v>1.0867859875965729</v>
      </c>
      <c r="I59" s="83">
        <v>5.1272348879008611E-2</v>
      </c>
      <c r="J59" s="388"/>
    </row>
    <row r="60" spans="2:14" ht="15.75" thickBot="1" x14ac:dyDescent="0.3">
      <c r="C60" s="1"/>
      <c r="D60" s="8"/>
      <c r="I60" s="4"/>
      <c r="J60" s="28"/>
    </row>
    <row r="61" spans="2:14" x14ac:dyDescent="0.25">
      <c r="B61" s="373" t="s">
        <v>64</v>
      </c>
      <c r="C61" s="21" t="s">
        <v>65</v>
      </c>
      <c r="D61" s="23" t="s">
        <v>66</v>
      </c>
      <c r="E61" s="48" t="s">
        <v>67</v>
      </c>
      <c r="F61" s="48" t="s">
        <v>68</v>
      </c>
      <c r="G61" s="48" t="s">
        <v>51</v>
      </c>
      <c r="H61" s="6"/>
      <c r="I61" s="7"/>
      <c r="J61" s="373" t="s">
        <v>19</v>
      </c>
    </row>
    <row r="62" spans="2:14" x14ac:dyDescent="0.25">
      <c r="B62" s="374"/>
      <c r="C62" s="1" t="s">
        <v>69</v>
      </c>
      <c r="D62" s="8">
        <v>29615</v>
      </c>
      <c r="E62" s="67"/>
      <c r="F62" s="68"/>
      <c r="I62" s="4"/>
      <c r="J62" s="374"/>
      <c r="N62" s="8"/>
    </row>
    <row r="63" spans="2:14" x14ac:dyDescent="0.25">
      <c r="B63" s="374"/>
      <c r="C63" s="1" t="s">
        <v>70</v>
      </c>
      <c r="D63" s="69">
        <v>0.63</v>
      </c>
      <c r="E63" s="68"/>
      <c r="F63" s="68"/>
      <c r="I63" s="4"/>
      <c r="J63" s="374"/>
      <c r="N63" s="39"/>
    </row>
    <row r="64" spans="2:14" x14ac:dyDescent="0.25">
      <c r="B64" s="374"/>
      <c r="C64" s="1"/>
      <c r="D64" s="70"/>
      <c r="E64" s="68"/>
      <c r="F64" s="14"/>
      <c r="I64" s="4"/>
      <c r="J64" s="374"/>
      <c r="M64" s="8"/>
      <c r="N64" s="8"/>
    </row>
    <row r="65" spans="2:15" ht="14.45" customHeight="1" x14ac:dyDescent="0.25">
      <c r="B65" s="374"/>
      <c r="C65" s="1" t="s">
        <v>71</v>
      </c>
      <c r="D65" s="8">
        <v>107546</v>
      </c>
      <c r="F65" s="68"/>
      <c r="I65" s="4"/>
      <c r="J65" s="374"/>
      <c r="K65" s="24"/>
      <c r="M65" s="14"/>
      <c r="N65" s="8"/>
    </row>
    <row r="66" spans="2:15" x14ac:dyDescent="0.25">
      <c r="B66" s="374"/>
      <c r="C66" s="1" t="s">
        <v>72</v>
      </c>
      <c r="D66" s="71">
        <v>3.6314705385784229</v>
      </c>
      <c r="E66" s="14"/>
      <c r="F66" s="14"/>
      <c r="I66" s="4"/>
      <c r="J66" s="374"/>
      <c r="N66" s="14"/>
    </row>
    <row r="67" spans="2:15" x14ac:dyDescent="0.25">
      <c r="B67" s="374"/>
      <c r="C67" s="1"/>
      <c r="D67" s="71"/>
      <c r="F67" s="14"/>
      <c r="I67" s="4"/>
      <c r="J67" s="374"/>
      <c r="M67" s="8"/>
      <c r="O67" s="14"/>
    </row>
    <row r="68" spans="2:15" x14ac:dyDescent="0.25">
      <c r="B68" s="374"/>
      <c r="C68" s="1" t="s">
        <v>73</v>
      </c>
      <c r="D68" s="67">
        <v>54564</v>
      </c>
      <c r="E68" s="67"/>
      <c r="F68" s="14"/>
      <c r="I68" s="4"/>
      <c r="J68" s="374"/>
      <c r="M68" s="14"/>
      <c r="N68" s="8"/>
      <c r="O68" s="14"/>
    </row>
    <row r="69" spans="2:15" x14ac:dyDescent="0.25">
      <c r="B69" s="374"/>
      <c r="C69" s="1" t="s">
        <v>74</v>
      </c>
      <c r="D69" s="71">
        <v>1.8424447070741179</v>
      </c>
      <c r="E69" s="72"/>
      <c r="F69" s="14"/>
      <c r="I69" s="4"/>
      <c r="J69" s="374"/>
      <c r="N69" s="14"/>
    </row>
    <row r="70" spans="2:15" ht="15.75" thickBot="1" x14ac:dyDescent="0.3">
      <c r="B70" s="375"/>
      <c r="C70" s="9" t="s">
        <v>75</v>
      </c>
      <c r="D70" s="84">
        <v>1.9710065244483543</v>
      </c>
      <c r="E70" s="85"/>
      <c r="F70" s="18"/>
      <c r="G70" s="20"/>
      <c r="H70" s="20"/>
      <c r="I70" s="11"/>
      <c r="J70" s="375"/>
      <c r="N70" s="14"/>
    </row>
    <row r="71" spans="2:15" x14ac:dyDescent="0.25">
      <c r="D71" s="37"/>
      <c r="E71" s="22"/>
      <c r="F71" s="14"/>
    </row>
  </sheetData>
  <mergeCells count="11">
    <mergeCell ref="B61:B70"/>
    <mergeCell ref="J61:J70"/>
    <mergeCell ref="C2:I2"/>
    <mergeCell ref="B3:B13"/>
    <mergeCell ref="J3:J13"/>
    <mergeCell ref="B15:B43"/>
    <mergeCell ref="J15:J43"/>
    <mergeCell ref="B45:B59"/>
    <mergeCell ref="D45:E45"/>
    <mergeCell ref="F45:G45"/>
    <mergeCell ref="J45:J59"/>
  </mergeCells>
  <pageMargins left="0.7" right="0.7" top="0.75" bottom="0.75" header="0.3" footer="0.3"/>
  <pageSetup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483D-5352-43EB-BE09-5BCC379CD856}">
  <sheetPr codeName="Sheet10">
    <tabColor theme="4"/>
  </sheetPr>
  <dimension ref="B1:M76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9" width="12" style="3" bestFit="1" customWidth="1"/>
    <col min="10" max="10" width="14.28515625" style="47" customWidth="1"/>
    <col min="11" max="16384" width="8.85546875" style="3"/>
  </cols>
  <sheetData>
    <row r="1" spans="2:10" ht="15.75" thickBot="1" x14ac:dyDescent="0.3"/>
    <row r="2" spans="2:10" ht="15.75" thickBot="1" x14ac:dyDescent="0.3">
      <c r="C2" s="376" t="s">
        <v>109</v>
      </c>
      <c r="D2" s="377"/>
      <c r="E2" s="377"/>
      <c r="F2" s="377"/>
      <c r="G2" s="377"/>
      <c r="H2" s="377"/>
      <c r="I2" s="378"/>
      <c r="J2" s="46" t="s">
        <v>1</v>
      </c>
    </row>
    <row r="3" spans="2:10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63" t="s">
        <v>9</v>
      </c>
      <c r="J3" s="379" t="s">
        <v>10</v>
      </c>
    </row>
    <row r="4" spans="2:10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54" t="s">
        <v>12</v>
      </c>
      <c r="J4" s="380"/>
    </row>
    <row r="5" spans="2:10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59">
        <v>9.829666430092264E-2</v>
      </c>
      <c r="J5" s="380"/>
    </row>
    <row r="6" spans="2:10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59">
        <v>8.4620494934396273E-2</v>
      </c>
      <c r="J6" s="380"/>
    </row>
    <row r="7" spans="2:10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59">
        <v>5.4394723865877709E-2</v>
      </c>
      <c r="J7" s="380"/>
    </row>
    <row r="8" spans="2:10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59">
        <v>5.6600773755895915E-2</v>
      </c>
      <c r="J8" s="380"/>
    </row>
    <row r="9" spans="2:10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59">
        <v>5.3875920609162402E-2</v>
      </c>
      <c r="J9" s="380"/>
    </row>
    <row r="10" spans="2:10" x14ac:dyDescent="0.2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59">
        <v>5.4250057658304075E-2</v>
      </c>
      <c r="J10" s="380"/>
    </row>
    <row r="11" spans="2:10" x14ac:dyDescent="0.2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59">
        <v>4.1097632308435696E-2</v>
      </c>
      <c r="J11" s="380"/>
    </row>
    <row r="12" spans="2:10" x14ac:dyDescent="0.2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59">
        <v>4.6872024376309274E-2</v>
      </c>
      <c r="J12" s="380"/>
    </row>
    <row r="13" spans="2:10" x14ac:dyDescent="0.25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59">
        <v>4.8438522772862605E-2</v>
      </c>
      <c r="J13" s="380"/>
    </row>
    <row r="14" spans="2:10" ht="15.75" thickBot="1" x14ac:dyDescent="0.3">
      <c r="B14" s="375"/>
      <c r="C14" s="58" t="s">
        <v>78</v>
      </c>
      <c r="D14" s="55"/>
      <c r="E14" s="55">
        <v>71860</v>
      </c>
      <c r="F14" s="55">
        <v>64943</v>
      </c>
      <c r="G14" s="55">
        <v>17755</v>
      </c>
      <c r="H14" s="55"/>
      <c r="I14" s="56"/>
      <c r="J14" s="380"/>
    </row>
    <row r="15" spans="2:10" ht="15.75" thickBot="1" x14ac:dyDescent="0.3">
      <c r="C15" s="45"/>
      <c r="D15" s="25"/>
      <c r="E15" s="50"/>
      <c r="F15" s="50"/>
      <c r="G15" s="50"/>
      <c r="H15" s="50"/>
      <c r="I15" s="51"/>
      <c r="J15" s="27"/>
    </row>
    <row r="16" spans="2:10" x14ac:dyDescent="0.25">
      <c r="B16" s="381" t="s">
        <v>13</v>
      </c>
      <c r="C16" s="5"/>
      <c r="D16" s="48" t="s">
        <v>111</v>
      </c>
      <c r="E16" s="48" t="s">
        <v>15</v>
      </c>
      <c r="F16" s="48" t="s">
        <v>112</v>
      </c>
      <c r="G16" s="48" t="s">
        <v>17</v>
      </c>
      <c r="H16" s="48" t="s">
        <v>18</v>
      </c>
      <c r="I16" s="49"/>
      <c r="J16" s="380" t="s">
        <v>19</v>
      </c>
    </row>
    <row r="17" spans="2:10" x14ac:dyDescent="0.25">
      <c r="B17" s="382"/>
      <c r="C17" s="2" t="s">
        <v>20</v>
      </c>
      <c r="D17" s="47"/>
      <c r="E17" s="47"/>
      <c r="F17" s="47"/>
      <c r="G17" s="47"/>
      <c r="H17" s="47"/>
      <c r="I17" s="12"/>
      <c r="J17" s="380"/>
    </row>
    <row r="18" spans="2:10" x14ac:dyDescent="0.25">
      <c r="B18" s="382"/>
      <c r="C18" s="1" t="s">
        <v>21</v>
      </c>
      <c r="D18" s="13">
        <v>0.41706372840976774</v>
      </c>
      <c r="E18" s="13">
        <v>0.37114608874475996</v>
      </c>
      <c r="F18" s="14">
        <v>1.1237185061556332</v>
      </c>
      <c r="G18" s="13">
        <v>0.57235489190258093</v>
      </c>
      <c r="H18" s="14">
        <v>0.64845447116040689</v>
      </c>
      <c r="I18" s="15"/>
      <c r="J18" s="380"/>
    </row>
    <row r="19" spans="2:10" x14ac:dyDescent="0.25">
      <c r="B19" s="382"/>
      <c r="C19" s="1" t="s">
        <v>22</v>
      </c>
      <c r="D19" s="13">
        <v>0.58293627159023231</v>
      </c>
      <c r="E19" s="13">
        <v>0.62885391125524004</v>
      </c>
      <c r="F19" s="14">
        <v>0.9269820242139345</v>
      </c>
      <c r="G19" s="13">
        <v>0.42764510809741907</v>
      </c>
      <c r="H19" s="14">
        <v>1.4705041618574646</v>
      </c>
      <c r="I19" s="15"/>
      <c r="J19" s="380"/>
    </row>
    <row r="20" spans="2:10" x14ac:dyDescent="0.25">
      <c r="B20" s="382"/>
      <c r="C20" s="1"/>
      <c r="D20" s="13"/>
      <c r="E20" s="13"/>
      <c r="F20" s="14"/>
      <c r="G20" s="13"/>
      <c r="H20" s="14"/>
      <c r="I20" s="15"/>
      <c r="J20" s="380"/>
    </row>
    <row r="21" spans="2:10" x14ac:dyDescent="0.25">
      <c r="B21" s="382"/>
      <c r="C21" s="2" t="s">
        <v>23</v>
      </c>
      <c r="F21" s="14"/>
      <c r="G21" s="13"/>
      <c r="H21" s="14"/>
      <c r="I21" s="15"/>
      <c r="J21" s="380"/>
    </row>
    <row r="22" spans="2:10" x14ac:dyDescent="0.25">
      <c r="B22" s="382"/>
      <c r="C22" s="1" t="s">
        <v>24</v>
      </c>
      <c r="D22" s="13">
        <v>1.2094395280235988E-2</v>
      </c>
      <c r="E22" s="13">
        <v>1.280564263322884E-2</v>
      </c>
      <c r="F22" s="14">
        <v>0.94445828504168428</v>
      </c>
      <c r="G22" s="13">
        <v>9.3529624053555957E-3</v>
      </c>
      <c r="H22" s="14">
        <v>1.3691536518842635</v>
      </c>
      <c r="I22" s="15"/>
      <c r="J22" s="380"/>
    </row>
    <row r="23" spans="2:10" x14ac:dyDescent="0.25">
      <c r="B23" s="382"/>
      <c r="C23" s="1" t="s">
        <v>25</v>
      </c>
      <c r="D23" s="13">
        <v>0.15634218289085547</v>
      </c>
      <c r="E23" s="13">
        <v>0.13998432601880878</v>
      </c>
      <c r="F23" s="14">
        <v>1.1168549175273295</v>
      </c>
      <c r="G23" s="13">
        <v>0.11987086678511411</v>
      </c>
      <c r="H23" s="14">
        <v>1.167792723729536</v>
      </c>
      <c r="I23" s="15"/>
      <c r="J23" s="380"/>
    </row>
    <row r="24" spans="2:10" x14ac:dyDescent="0.25">
      <c r="B24" s="382"/>
      <c r="C24" s="1" t="s">
        <v>26</v>
      </c>
      <c r="D24" s="13">
        <v>0.33702064896755163</v>
      </c>
      <c r="E24" s="13">
        <v>0.36092476489028213</v>
      </c>
      <c r="F24" s="14">
        <v>0.93376980953358202</v>
      </c>
      <c r="G24" s="13">
        <v>0.29408078276439853</v>
      </c>
      <c r="H24" s="14">
        <v>1.2272980284449098</v>
      </c>
      <c r="I24" s="15"/>
      <c r="J24" s="380"/>
    </row>
    <row r="25" spans="2:10" x14ac:dyDescent="0.25">
      <c r="B25" s="382"/>
      <c r="C25" s="1" t="s">
        <v>27</v>
      </c>
      <c r="D25" s="13">
        <v>0.35781710914454279</v>
      </c>
      <c r="E25" s="13">
        <v>0.34346394984326017</v>
      </c>
      <c r="F25" s="14">
        <v>1.0417894201351632</v>
      </c>
      <c r="G25" s="13">
        <v>0.32868783998543011</v>
      </c>
      <c r="H25" s="14">
        <v>1.0449548418295154</v>
      </c>
      <c r="I25" s="15"/>
      <c r="J25" s="380"/>
    </row>
    <row r="26" spans="2:10" x14ac:dyDescent="0.25">
      <c r="B26" s="382"/>
      <c r="C26" s="1" t="s">
        <v>28</v>
      </c>
      <c r="D26" s="13">
        <v>0.1224188790560472</v>
      </c>
      <c r="E26" s="13">
        <v>0.12764890282131661</v>
      </c>
      <c r="F26" s="14">
        <v>0.95902805547345438</v>
      </c>
      <c r="G26" s="13">
        <v>0.17578056392525954</v>
      </c>
      <c r="H26" s="14">
        <v>0.7261832592344617</v>
      </c>
      <c r="I26" s="15"/>
      <c r="J26" s="380"/>
    </row>
    <row r="27" spans="2:10" x14ac:dyDescent="0.25">
      <c r="B27" s="382"/>
      <c r="C27" s="1" t="s">
        <v>29</v>
      </c>
      <c r="D27" s="13">
        <v>1.4306784660766961E-2</v>
      </c>
      <c r="E27" s="13">
        <v>1.5172413793103448E-2</v>
      </c>
      <c r="F27" s="14">
        <v>0.94294717082327695</v>
      </c>
      <c r="G27" s="13">
        <v>7.222698413444209E-2</v>
      </c>
      <c r="H27" s="14">
        <v>0.21006572508775631</v>
      </c>
      <c r="I27" s="15"/>
      <c r="J27" s="380"/>
    </row>
    <row r="28" spans="2:10" x14ac:dyDescent="0.25">
      <c r="B28" s="382"/>
      <c r="C28" s="1"/>
      <c r="D28" s="13"/>
      <c r="E28" s="13"/>
      <c r="F28" s="14"/>
      <c r="G28" s="13"/>
      <c r="H28" s="14"/>
      <c r="I28" s="15"/>
      <c r="J28" s="380"/>
    </row>
    <row r="29" spans="2:10" x14ac:dyDescent="0.25">
      <c r="B29" s="382"/>
      <c r="C29" s="2" t="s">
        <v>30</v>
      </c>
      <c r="F29" s="14"/>
      <c r="G29" s="13"/>
      <c r="H29" s="14"/>
      <c r="I29" s="15"/>
      <c r="J29" s="380"/>
    </row>
    <row r="30" spans="2:10" x14ac:dyDescent="0.25">
      <c r="B30" s="382"/>
      <c r="C30" s="1" t="s">
        <v>31</v>
      </c>
      <c r="D30" s="13">
        <v>0.45846244651025525</v>
      </c>
      <c r="E30" s="13">
        <v>0.45871545250748563</v>
      </c>
      <c r="F30" s="14">
        <v>0.99944844675310729</v>
      </c>
      <c r="G30" s="13">
        <v>0.4916982188238192</v>
      </c>
      <c r="H30" s="14">
        <v>0.9329207122302966</v>
      </c>
      <c r="I30" s="15"/>
      <c r="J30" s="380"/>
    </row>
    <row r="31" spans="2:10" x14ac:dyDescent="0.25">
      <c r="B31" s="382"/>
      <c r="C31" s="1" t="s">
        <v>32</v>
      </c>
      <c r="D31" s="13">
        <v>0.20731887265751808</v>
      </c>
      <c r="E31" s="13">
        <v>0.21810970543510635</v>
      </c>
      <c r="F31" s="14">
        <v>0.95052566433913765</v>
      </c>
      <c r="G31" s="13">
        <v>0.14338031637987977</v>
      </c>
      <c r="H31" s="14">
        <v>1.5211969881363241</v>
      </c>
      <c r="I31" s="15"/>
      <c r="J31" s="380"/>
    </row>
    <row r="32" spans="2:10" x14ac:dyDescent="0.25">
      <c r="B32" s="382"/>
      <c r="C32" s="1" t="s">
        <v>33</v>
      </c>
      <c r="D32" s="13">
        <v>0.13634351482957061</v>
      </c>
      <c r="E32" s="13">
        <v>0.13554061045007759</v>
      </c>
      <c r="F32" s="14">
        <v>1.0059237181891603</v>
      </c>
      <c r="G32" s="13">
        <v>0.13350111393482081</v>
      </c>
      <c r="H32" s="14">
        <v>1.0152769999825808</v>
      </c>
      <c r="I32" s="15"/>
      <c r="J32" s="380"/>
    </row>
    <row r="33" spans="2:10" x14ac:dyDescent="0.25">
      <c r="B33" s="382"/>
      <c r="C33" s="1" t="s">
        <v>34</v>
      </c>
      <c r="D33" s="13">
        <v>9.9158919876051355E-2</v>
      </c>
      <c r="E33" s="13">
        <v>8.753860383451692E-2</v>
      </c>
      <c r="F33" s="14">
        <v>1.132745046556848</v>
      </c>
      <c r="G33" s="13">
        <v>0.10246565834107677</v>
      </c>
      <c r="H33" s="14">
        <v>0.85432139169132881</v>
      </c>
      <c r="I33" s="15"/>
      <c r="J33" s="380"/>
    </row>
    <row r="34" spans="2:10" x14ac:dyDescent="0.25">
      <c r="B34" s="382"/>
      <c r="C34" s="1" t="s">
        <v>35</v>
      </c>
      <c r="D34" s="13">
        <v>1.9330087059170723E-2</v>
      </c>
      <c r="E34" s="13">
        <v>1.8749314145072034E-2</v>
      </c>
      <c r="F34" s="14">
        <v>1.0309756884761214</v>
      </c>
      <c r="G34" s="13">
        <v>3.3207572517716603E-2</v>
      </c>
      <c r="H34" s="14">
        <v>0.56460959725583881</v>
      </c>
      <c r="I34" s="15"/>
      <c r="J34" s="380"/>
    </row>
    <row r="35" spans="2:10" x14ac:dyDescent="0.25">
      <c r="B35" s="382"/>
      <c r="C35" s="1" t="s">
        <v>36</v>
      </c>
      <c r="D35" s="13">
        <v>1.4903349564704146E-2</v>
      </c>
      <c r="E35" s="13">
        <v>1.4171722397278527E-2</v>
      </c>
      <c r="F35" s="14">
        <v>1.0516258466625141</v>
      </c>
      <c r="G35" s="13">
        <v>2.6221465915833547E-2</v>
      </c>
      <c r="H35" s="14">
        <v>0.54046262870151307</v>
      </c>
      <c r="I35" s="15"/>
      <c r="J35" s="380"/>
    </row>
    <row r="36" spans="2:10" x14ac:dyDescent="0.25">
      <c r="B36" s="382"/>
      <c r="C36" s="1" t="s">
        <v>37</v>
      </c>
      <c r="D36" s="13">
        <v>6.4482809502729832E-2</v>
      </c>
      <c r="E36" s="13">
        <v>6.7163606803785331E-2</v>
      </c>
      <c r="F36" s="14">
        <v>0.96008556674320222</v>
      </c>
      <c r="G36" s="13">
        <v>6.9525654086853336E-2</v>
      </c>
      <c r="H36" s="14">
        <v>0.96602624866905573</v>
      </c>
      <c r="I36" s="15"/>
      <c r="J36" s="380"/>
    </row>
    <row r="37" spans="2:10" x14ac:dyDescent="0.25">
      <c r="B37" s="382"/>
      <c r="C37" s="1"/>
      <c r="D37" s="13"/>
      <c r="E37" s="13"/>
      <c r="F37" s="14"/>
      <c r="G37" s="13"/>
      <c r="H37" s="14"/>
      <c r="I37" s="15"/>
      <c r="J37" s="380"/>
    </row>
    <row r="38" spans="2:10" x14ac:dyDescent="0.25">
      <c r="B38" s="382"/>
      <c r="C38" s="2" t="s">
        <v>38</v>
      </c>
      <c r="F38" s="14"/>
      <c r="G38" s="13"/>
      <c r="H38" s="14"/>
      <c r="I38" s="15"/>
      <c r="J38" s="380"/>
    </row>
    <row r="39" spans="2:10" x14ac:dyDescent="0.25">
      <c r="B39" s="382"/>
      <c r="C39" s="1" t="s">
        <v>39</v>
      </c>
      <c r="D39" s="13">
        <v>0.24542772861356932</v>
      </c>
      <c r="E39" s="13">
        <v>0.20658307210031349</v>
      </c>
      <c r="F39" s="14">
        <v>1.1880340732584007</v>
      </c>
      <c r="G39" s="16" t="s">
        <v>12</v>
      </c>
      <c r="H39" s="16" t="s">
        <v>12</v>
      </c>
      <c r="I39" s="36"/>
      <c r="J39" s="380"/>
    </row>
    <row r="40" spans="2:10" x14ac:dyDescent="0.25">
      <c r="B40" s="382"/>
      <c r="C40" s="1" t="s">
        <v>40</v>
      </c>
      <c r="D40" s="13">
        <v>6.268436578171091E-2</v>
      </c>
      <c r="E40" s="13">
        <v>3.7304075235109715E-2</v>
      </c>
      <c r="F40" s="14">
        <v>1.6803624104509061</v>
      </c>
      <c r="G40" s="13">
        <v>0.23826371358004139</v>
      </c>
      <c r="H40" s="14">
        <v>0.15656633011630589</v>
      </c>
      <c r="I40" s="15"/>
      <c r="J40" s="380"/>
    </row>
    <row r="41" spans="2:10" x14ac:dyDescent="0.25">
      <c r="B41" s="382"/>
      <c r="C41" s="1" t="s">
        <v>41</v>
      </c>
      <c r="D41" s="13">
        <v>0.121976401179941</v>
      </c>
      <c r="E41" s="13">
        <v>7.9326018808777432E-2</v>
      </c>
      <c r="F41" s="14">
        <v>1.5376594339617142</v>
      </c>
      <c r="G41" s="13">
        <v>0.2944472672851261</v>
      </c>
      <c r="H41" s="14">
        <v>0.26940653768052325</v>
      </c>
      <c r="I41" s="15"/>
      <c r="J41" s="380"/>
    </row>
    <row r="42" spans="2:10" x14ac:dyDescent="0.25">
      <c r="B42" s="382"/>
      <c r="C42" s="1" t="s">
        <v>42</v>
      </c>
      <c r="D42" s="13">
        <v>0.15280235988200591</v>
      </c>
      <c r="E42" s="13">
        <v>0.13318181818181818</v>
      </c>
      <c r="F42" s="14">
        <v>1.1473214735167681</v>
      </c>
      <c r="G42" s="13">
        <v>0.2295170839287588</v>
      </c>
      <c r="H42" s="14">
        <v>0.58026973810436389</v>
      </c>
      <c r="I42" s="15"/>
      <c r="J42" s="380"/>
    </row>
    <row r="43" spans="2:10" x14ac:dyDescent="0.25">
      <c r="B43" s="382"/>
      <c r="C43" s="1" t="s">
        <v>43</v>
      </c>
      <c r="D43" s="13">
        <v>0.21224188790560472</v>
      </c>
      <c r="E43" s="13">
        <v>0.22405956112852665</v>
      </c>
      <c r="F43" s="14">
        <v>0.94725655462592384</v>
      </c>
      <c r="G43" s="13">
        <v>0.16500439759050969</v>
      </c>
      <c r="H43" s="14">
        <v>1.3579005432605122</v>
      </c>
      <c r="I43" s="15"/>
      <c r="J43" s="380"/>
    </row>
    <row r="44" spans="2:10" ht="15.75" thickBot="1" x14ac:dyDescent="0.3">
      <c r="B44" s="383"/>
      <c r="C44" s="9" t="s">
        <v>44</v>
      </c>
      <c r="D44" s="17">
        <v>0.20486725663716815</v>
      </c>
      <c r="E44" s="17">
        <v>0.31954545454545452</v>
      </c>
      <c r="F44" s="14">
        <v>0.64112086003096724</v>
      </c>
      <c r="G44" s="17">
        <v>7.2767537615563996E-2</v>
      </c>
      <c r="H44" s="14">
        <v>4.3913187805479357</v>
      </c>
      <c r="I44" s="19"/>
      <c r="J44" s="384"/>
    </row>
    <row r="45" spans="2:10" ht="15.75" thickBot="1" x14ac:dyDescent="0.3">
      <c r="B45" s="60"/>
      <c r="C45" s="45"/>
      <c r="D45" s="43"/>
      <c r="E45" s="43"/>
      <c r="F45" s="43"/>
      <c r="G45" s="43"/>
      <c r="H45" s="43"/>
      <c r="I45" s="26"/>
      <c r="J45" s="28"/>
    </row>
    <row r="46" spans="2:10" x14ac:dyDescent="0.25">
      <c r="B46" s="373" t="s">
        <v>45</v>
      </c>
      <c r="C46" s="5"/>
      <c r="D46" s="385" t="s">
        <v>46</v>
      </c>
      <c r="E46" s="385"/>
      <c r="F46" s="385" t="s">
        <v>47</v>
      </c>
      <c r="G46" s="385"/>
      <c r="H46" s="42"/>
      <c r="I46" s="7"/>
      <c r="J46" s="386" t="s">
        <v>48</v>
      </c>
    </row>
    <row r="47" spans="2:10" x14ac:dyDescent="0.25">
      <c r="B47" s="374"/>
      <c r="C47" s="1"/>
      <c r="D47" s="40" t="s">
        <v>49</v>
      </c>
      <c r="E47" s="40" t="s">
        <v>50</v>
      </c>
      <c r="F47" s="40" t="s">
        <v>49</v>
      </c>
      <c r="G47" s="40" t="s">
        <v>50</v>
      </c>
      <c r="H47" s="41" t="s">
        <v>51</v>
      </c>
      <c r="I47" s="86" t="s">
        <v>52</v>
      </c>
      <c r="J47" s="387"/>
    </row>
    <row r="48" spans="2:10" x14ac:dyDescent="0.25">
      <c r="B48" s="374"/>
      <c r="C48" s="2" t="s">
        <v>53</v>
      </c>
      <c r="H48" s="13"/>
      <c r="I48" s="4"/>
      <c r="J48" s="387"/>
    </row>
    <row r="49" spans="2:13" x14ac:dyDescent="0.25">
      <c r="B49" s="374"/>
      <c r="C49" s="1" t="s">
        <v>54</v>
      </c>
      <c r="D49" s="73">
        <v>2396100</v>
      </c>
      <c r="E49" s="38">
        <v>0.59730550677237904</v>
      </c>
      <c r="F49" s="8">
        <v>69767</v>
      </c>
      <c r="G49" s="13">
        <v>0.49610324966223424</v>
      </c>
      <c r="H49" s="14">
        <v>1.2039943442802423</v>
      </c>
      <c r="I49" s="82">
        <v>2.9116898293059554E-2</v>
      </c>
      <c r="J49" s="387"/>
    </row>
    <row r="50" spans="2:13" x14ac:dyDescent="0.25">
      <c r="B50" s="374"/>
      <c r="C50" s="1" t="s">
        <v>55</v>
      </c>
      <c r="D50" s="73">
        <v>1615415</v>
      </c>
      <c r="E50" s="38">
        <v>0.40269449322762096</v>
      </c>
      <c r="F50" s="8">
        <v>70863</v>
      </c>
      <c r="G50" s="13">
        <v>0.50389675033776582</v>
      </c>
      <c r="H50" s="14">
        <v>0.79916072679113681</v>
      </c>
      <c r="I50" s="82">
        <v>4.386674631596215E-2</v>
      </c>
      <c r="J50" s="387"/>
    </row>
    <row r="51" spans="2:13" x14ac:dyDescent="0.25">
      <c r="B51" s="374"/>
      <c r="C51" s="1" t="s">
        <v>53</v>
      </c>
      <c r="D51" s="73">
        <v>4011515</v>
      </c>
      <c r="E51" s="38"/>
      <c r="F51" s="8">
        <v>140630</v>
      </c>
      <c r="H51" s="14"/>
      <c r="I51" s="82">
        <v>3.5056580867826745E-2</v>
      </c>
      <c r="J51" s="387"/>
    </row>
    <row r="52" spans="2:13" x14ac:dyDescent="0.25">
      <c r="B52" s="374"/>
      <c r="C52" s="1"/>
      <c r="D52" s="38"/>
      <c r="E52" s="38"/>
      <c r="F52" s="8"/>
      <c r="H52" s="14"/>
      <c r="I52" s="82"/>
      <c r="J52" s="387"/>
    </row>
    <row r="53" spans="2:13" x14ac:dyDescent="0.25">
      <c r="B53" s="374"/>
      <c r="C53" s="2" t="s">
        <v>56</v>
      </c>
      <c r="D53" s="38"/>
      <c r="E53" s="38"/>
      <c r="H53" s="14"/>
      <c r="I53" s="82"/>
      <c r="J53" s="387"/>
    </row>
    <row r="54" spans="2:13" x14ac:dyDescent="0.25">
      <c r="B54" s="374"/>
      <c r="C54" s="1" t="s">
        <v>57</v>
      </c>
      <c r="D54" s="73">
        <v>638919</v>
      </c>
      <c r="E54" s="38">
        <v>0.39551384628717701</v>
      </c>
      <c r="F54" s="8">
        <v>25545</v>
      </c>
      <c r="G54" s="13">
        <v>0.36048431480462301</v>
      </c>
      <c r="H54" s="14">
        <v>1.0971735247386269</v>
      </c>
      <c r="I54" s="82">
        <v>3.9981593910965237E-2</v>
      </c>
      <c r="J54" s="387"/>
    </row>
    <row r="55" spans="2:13" x14ac:dyDescent="0.25">
      <c r="B55" s="374"/>
      <c r="C55" s="1" t="s">
        <v>58</v>
      </c>
      <c r="D55" s="73">
        <v>271905</v>
      </c>
      <c r="E55" s="38">
        <v>0.16831897685734007</v>
      </c>
      <c r="F55" s="8">
        <v>16278</v>
      </c>
      <c r="G55" s="13">
        <v>0.22971085051437282</v>
      </c>
      <c r="H55" s="14">
        <v>0.73274282203229446</v>
      </c>
      <c r="I55" s="82">
        <v>5.9866497489932148E-2</v>
      </c>
      <c r="J55" s="387"/>
    </row>
    <row r="56" spans="2:13" x14ac:dyDescent="0.25">
      <c r="B56" s="374"/>
      <c r="C56" s="1" t="s">
        <v>59</v>
      </c>
      <c r="D56" s="73">
        <v>219438</v>
      </c>
      <c r="E56" s="38">
        <v>0.13584001634254975</v>
      </c>
      <c r="F56" s="8">
        <v>14109</v>
      </c>
      <c r="G56" s="13">
        <v>0.19910249354388043</v>
      </c>
      <c r="H56" s="14">
        <v>0.68226175335474548</v>
      </c>
      <c r="I56" s="82">
        <v>6.4296065403439698E-2</v>
      </c>
      <c r="J56" s="387"/>
    </row>
    <row r="57" spans="2:13" x14ac:dyDescent="0.25">
      <c r="B57" s="374"/>
      <c r="C57" s="1" t="s">
        <v>60</v>
      </c>
      <c r="D57" s="73">
        <v>380302</v>
      </c>
      <c r="E57" s="38">
        <v>0.23542061946930046</v>
      </c>
      <c r="F57" s="8">
        <v>10412</v>
      </c>
      <c r="G57" s="13">
        <v>0.14693140284774847</v>
      </c>
      <c r="H57" s="14">
        <v>1.6022484976424356</v>
      </c>
      <c r="I57" s="82">
        <v>2.7378241502805666E-2</v>
      </c>
      <c r="J57" s="387"/>
    </row>
    <row r="58" spans="2:13" x14ac:dyDescent="0.25">
      <c r="B58" s="374"/>
      <c r="C58" s="1" t="s">
        <v>61</v>
      </c>
      <c r="D58" s="73">
        <v>51732</v>
      </c>
      <c r="E58" s="38">
        <v>3.2023969072962677E-2</v>
      </c>
      <c r="F58" s="8">
        <v>2234</v>
      </c>
      <c r="G58" s="13">
        <v>3.1525619858035932E-2</v>
      </c>
      <c r="H58" s="14">
        <v>1.0158077530963983</v>
      </c>
      <c r="I58" s="82">
        <v>4.3184102683058841E-2</v>
      </c>
      <c r="J58" s="387"/>
    </row>
    <row r="59" spans="2:13" x14ac:dyDescent="0.25">
      <c r="B59" s="374"/>
      <c r="C59" s="1" t="s">
        <v>62</v>
      </c>
      <c r="D59" s="73">
        <v>22430</v>
      </c>
      <c r="E59" s="38">
        <v>1.3884976925434021E-2</v>
      </c>
      <c r="F59" s="3">
        <v>1200</v>
      </c>
      <c r="G59" s="13">
        <v>1.6934084077727445E-2</v>
      </c>
      <c r="H59" s="14">
        <v>0.8199425998891926</v>
      </c>
      <c r="I59" s="82">
        <v>5.3499777084262151E-2</v>
      </c>
      <c r="J59" s="387"/>
      <c r="M59" s="13"/>
    </row>
    <row r="60" spans="2:13" ht="15.75" thickBot="1" x14ac:dyDescent="0.3">
      <c r="B60" s="375"/>
      <c r="C60" s="9" t="s">
        <v>63</v>
      </c>
      <c r="D60" s="74">
        <v>30689</v>
      </c>
      <c r="E60" s="44">
        <v>1.8997595045236054E-2</v>
      </c>
      <c r="F60" s="10">
        <v>1085</v>
      </c>
      <c r="G60" s="17">
        <v>1.5311234353611898E-2</v>
      </c>
      <c r="H60" s="18">
        <v>1.2407618227562789</v>
      </c>
      <c r="I60" s="83">
        <v>3.5354687347257975E-2</v>
      </c>
      <c r="J60" s="388"/>
    </row>
    <row r="61" spans="2:13" ht="15.75" thickBot="1" x14ac:dyDescent="0.3">
      <c r="C61" s="1"/>
      <c r="D61" s="8"/>
      <c r="I61" s="4"/>
      <c r="J61" s="28"/>
    </row>
    <row r="62" spans="2:13" x14ac:dyDescent="0.25">
      <c r="B62" s="373" t="s">
        <v>64</v>
      </c>
      <c r="C62" s="21" t="s">
        <v>65</v>
      </c>
      <c r="D62" s="23" t="s">
        <v>66</v>
      </c>
      <c r="E62" s="48" t="s">
        <v>67</v>
      </c>
      <c r="F62" s="48" t="s">
        <v>68</v>
      </c>
      <c r="G62" s="48" t="s">
        <v>51</v>
      </c>
      <c r="H62" s="6"/>
      <c r="I62" s="7"/>
      <c r="J62" s="373" t="s">
        <v>19</v>
      </c>
    </row>
    <row r="63" spans="2:13" x14ac:dyDescent="0.25">
      <c r="B63" s="374"/>
      <c r="C63" s="1" t="s">
        <v>69</v>
      </c>
      <c r="D63" s="8">
        <v>39626</v>
      </c>
      <c r="E63" s="67"/>
      <c r="F63" s="68"/>
      <c r="I63" s="4"/>
      <c r="J63" s="374"/>
    </row>
    <row r="64" spans="2:13" x14ac:dyDescent="0.25">
      <c r="B64" s="374"/>
      <c r="C64" s="1" t="s">
        <v>70</v>
      </c>
      <c r="D64" s="69">
        <v>0.73239072174475561</v>
      </c>
      <c r="E64" s="68"/>
      <c r="F64" s="68"/>
      <c r="I64" s="4"/>
      <c r="J64" s="374"/>
    </row>
    <row r="65" spans="2:13" x14ac:dyDescent="0.25">
      <c r="B65" s="374"/>
      <c r="C65" s="1"/>
      <c r="D65" s="70"/>
      <c r="E65" s="68"/>
      <c r="F65" s="14"/>
      <c r="I65" s="4"/>
      <c r="J65" s="374"/>
      <c r="M65" s="8"/>
    </row>
    <row r="66" spans="2:13" ht="14.45" customHeight="1" x14ac:dyDescent="0.25">
      <c r="B66" s="374"/>
      <c r="C66" s="1" t="s">
        <v>71</v>
      </c>
      <c r="D66" s="8">
        <v>140630</v>
      </c>
      <c r="E66" s="67"/>
      <c r="F66" s="68"/>
      <c r="I66" s="4"/>
      <c r="J66" s="374"/>
      <c r="K66" s="24"/>
      <c r="M66" s="14"/>
    </row>
    <row r="67" spans="2:13" x14ac:dyDescent="0.25">
      <c r="B67" s="374"/>
      <c r="C67" s="1" t="s">
        <v>72</v>
      </c>
      <c r="D67" s="71">
        <v>3.5489325190531469</v>
      </c>
      <c r="E67" s="14"/>
      <c r="F67" s="14"/>
      <c r="I67" s="4"/>
      <c r="J67" s="374"/>
    </row>
    <row r="68" spans="2:13" x14ac:dyDescent="0.25">
      <c r="B68" s="374"/>
      <c r="C68" s="1"/>
      <c r="D68" s="71"/>
      <c r="F68" s="14"/>
      <c r="I68" s="4"/>
      <c r="J68" s="374"/>
      <c r="M68" s="8"/>
    </row>
    <row r="69" spans="2:13" x14ac:dyDescent="0.25">
      <c r="B69" s="374"/>
      <c r="C69" s="1" t="s">
        <v>73</v>
      </c>
      <c r="D69" s="8">
        <v>68992</v>
      </c>
      <c r="E69" s="67"/>
      <c r="F69" s="14"/>
      <c r="I69" s="4"/>
      <c r="J69" s="374"/>
      <c r="M69" s="14"/>
    </row>
    <row r="70" spans="2:13" x14ac:dyDescent="0.25">
      <c r="B70" s="374"/>
      <c r="C70" s="1" t="s">
        <v>74</v>
      </c>
      <c r="D70" s="71">
        <v>1.7410790894867008</v>
      </c>
      <c r="E70" s="72"/>
      <c r="F70" s="14"/>
      <c r="I70" s="4"/>
      <c r="J70" s="374"/>
    </row>
    <row r="71" spans="2:13" ht="15.75" thickBot="1" x14ac:dyDescent="0.3">
      <c r="B71" s="375"/>
      <c r="C71" s="9" t="s">
        <v>75</v>
      </c>
      <c r="D71" s="84">
        <v>2.0383522727272729</v>
      </c>
      <c r="E71" s="85"/>
      <c r="F71" s="18"/>
      <c r="G71" s="20"/>
      <c r="H71" s="20"/>
      <c r="I71" s="11"/>
      <c r="J71" s="375"/>
    </row>
    <row r="72" spans="2:13" x14ac:dyDescent="0.25">
      <c r="D72" s="37"/>
      <c r="E72" s="22"/>
      <c r="F72" s="14"/>
    </row>
    <row r="73" spans="2:13" s="35" customFormat="1" x14ac:dyDescent="0.25">
      <c r="B73" s="47"/>
      <c r="C73" s="78"/>
      <c r="D73" s="8"/>
      <c r="E73" s="34"/>
    </row>
    <row r="74" spans="2:13" s="35" customFormat="1" x14ac:dyDescent="0.25">
      <c r="B74" s="47"/>
      <c r="C74" s="78"/>
      <c r="D74" s="8"/>
      <c r="E74" s="34"/>
    </row>
    <row r="75" spans="2:13" s="35" customFormat="1" x14ac:dyDescent="0.25">
      <c r="B75" s="47"/>
      <c r="C75" s="78"/>
      <c r="D75" s="8"/>
      <c r="E75" s="78"/>
    </row>
    <row r="76" spans="2:13" s="35" customFormat="1" x14ac:dyDescent="0.25">
      <c r="B76" s="47"/>
      <c r="C76" s="78"/>
      <c r="D76" s="8"/>
      <c r="E76" s="34"/>
    </row>
  </sheetData>
  <sortState xmlns:xlrd2="http://schemas.microsoft.com/office/spreadsheetml/2017/richdata2" ref="C54:D60">
    <sortCondition descending="1" ref="D54:D60"/>
  </sortState>
  <mergeCells count="11">
    <mergeCell ref="B62:B71"/>
    <mergeCell ref="J62:J71"/>
    <mergeCell ref="F46:G46"/>
    <mergeCell ref="C2:I2"/>
    <mergeCell ref="B16:B44"/>
    <mergeCell ref="J16:J44"/>
    <mergeCell ref="D46:E46"/>
    <mergeCell ref="J46:J60"/>
    <mergeCell ref="J3:J14"/>
    <mergeCell ref="B3:B14"/>
    <mergeCell ref="B46:B60"/>
  </mergeCells>
  <pageMargins left="0.7" right="0.7" top="0.75" bottom="0.75" header="0.3" footer="0.3"/>
  <pageSetup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11D9-B20F-4FE6-B04B-94385B41F5A3}">
  <sheetPr codeName="Sheet11">
    <tabColor theme="4"/>
  </sheetPr>
  <dimension ref="B1:P79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1" width="13.28515625" style="3" customWidth="1"/>
    <col min="12" max="12" width="12" style="3" bestFit="1" customWidth="1"/>
    <col min="13" max="13" width="14.28515625" style="47" customWidth="1"/>
    <col min="14" max="16384" width="8.85546875" style="3"/>
  </cols>
  <sheetData>
    <row r="1" spans="2:15" ht="15.75" thickBot="1" x14ac:dyDescent="0.3"/>
    <row r="2" spans="2:15" ht="15.75" thickBot="1" x14ac:dyDescent="0.3">
      <c r="C2" s="376" t="s">
        <v>113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 x14ac:dyDescent="0.2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 x14ac:dyDescent="0.2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 x14ac:dyDescent="0.2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 x14ac:dyDescent="0.25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 x14ac:dyDescent="0.25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 ht="15.75" thickBot="1" x14ac:dyDescent="0.3">
      <c r="B15" s="375"/>
      <c r="C15" s="58" t="s">
        <v>78</v>
      </c>
      <c r="D15" s="55"/>
      <c r="E15" s="55">
        <v>83174</v>
      </c>
      <c r="F15" s="55">
        <v>75019</v>
      </c>
      <c r="G15" s="55">
        <v>20719</v>
      </c>
      <c r="H15" s="55"/>
      <c r="I15" s="93"/>
      <c r="J15" s="93"/>
      <c r="K15" s="93"/>
      <c r="L15" s="56"/>
      <c r="M15" s="380"/>
    </row>
    <row r="16" spans="2:15" ht="15.75" thickBot="1" x14ac:dyDescent="0.3">
      <c r="C16" s="45"/>
      <c r="D16" s="25"/>
      <c r="E16" s="50"/>
      <c r="F16" s="50"/>
      <c r="G16" s="50"/>
      <c r="H16" s="50"/>
      <c r="I16" s="50"/>
      <c r="J16" s="50"/>
      <c r="K16" s="50"/>
      <c r="L16" s="51"/>
      <c r="M16" s="27"/>
    </row>
    <row r="17" spans="2:15" x14ac:dyDescent="0.25">
      <c r="B17" s="381" t="s">
        <v>13</v>
      </c>
      <c r="C17" s="5"/>
      <c r="D17" s="48" t="s">
        <v>118</v>
      </c>
      <c r="E17" s="48" t="s">
        <v>15</v>
      </c>
      <c r="F17" s="48" t="s">
        <v>119</v>
      </c>
      <c r="G17" s="48" t="s">
        <v>17</v>
      </c>
      <c r="H17" s="48" t="s">
        <v>18</v>
      </c>
      <c r="I17" s="94"/>
      <c r="J17" s="94"/>
      <c r="K17" s="94"/>
      <c r="L17" s="49"/>
      <c r="M17" s="380" t="s">
        <v>19</v>
      </c>
      <c r="O17" s="39"/>
    </row>
    <row r="18" spans="2:15" x14ac:dyDescent="0.25">
      <c r="B18" s="382"/>
      <c r="C18" s="2" t="s">
        <v>20</v>
      </c>
      <c r="D18" s="47"/>
      <c r="E18" s="47"/>
      <c r="F18" s="47"/>
      <c r="G18" s="47"/>
      <c r="H18" s="47"/>
      <c r="I18" s="47"/>
      <c r="J18" s="47"/>
      <c r="K18" s="47"/>
      <c r="L18" s="12"/>
      <c r="M18" s="380"/>
    </row>
    <row r="19" spans="2:15" x14ac:dyDescent="0.25">
      <c r="B19" s="382"/>
      <c r="C19" s="1" t="s">
        <v>21</v>
      </c>
      <c r="D19" s="13">
        <v>0.4362942122186495</v>
      </c>
      <c r="E19" s="13">
        <v>0.37933078290856187</v>
      </c>
      <c r="F19" s="14">
        <v>1.1501682222394767</v>
      </c>
      <c r="G19" s="13">
        <v>0.57235489190258093</v>
      </c>
      <c r="H19" s="14">
        <v>0.66275450472279152</v>
      </c>
      <c r="I19" s="14"/>
      <c r="J19" s="14"/>
      <c r="K19" s="14"/>
      <c r="L19" s="15"/>
      <c r="M19" s="380"/>
    </row>
    <row r="20" spans="2:15" x14ac:dyDescent="0.25">
      <c r="B20" s="382"/>
      <c r="C20" s="1" t="s">
        <v>22</v>
      </c>
      <c r="D20" s="13">
        <v>0.5637057877813505</v>
      </c>
      <c r="E20" s="13">
        <v>0.62066921709143807</v>
      </c>
      <c r="F20" s="14">
        <v>0.90822256406233914</v>
      </c>
      <c r="G20" s="13">
        <v>0.42764510809741907</v>
      </c>
      <c r="H20" s="14">
        <v>1.4513651748590737</v>
      </c>
      <c r="I20" s="14"/>
      <c r="J20" s="14"/>
      <c r="K20" s="14"/>
      <c r="L20" s="15"/>
      <c r="M20" s="380"/>
    </row>
    <row r="21" spans="2:15" x14ac:dyDescent="0.25">
      <c r="B21" s="382"/>
      <c r="C21" s="1"/>
      <c r="D21" s="13"/>
      <c r="E21" s="13"/>
      <c r="F21" s="14"/>
      <c r="G21" s="13"/>
      <c r="H21" s="14"/>
      <c r="I21" s="14"/>
      <c r="J21" s="14"/>
      <c r="K21" s="14"/>
      <c r="L21" s="15"/>
      <c r="M21" s="380"/>
    </row>
    <row r="22" spans="2:15" x14ac:dyDescent="0.25">
      <c r="B22" s="382"/>
      <c r="C22" s="2" t="s">
        <v>23</v>
      </c>
      <c r="F22" s="14"/>
      <c r="G22" s="13"/>
      <c r="H22" s="14"/>
      <c r="I22" s="14"/>
      <c r="J22" s="14"/>
      <c r="K22" s="14"/>
      <c r="L22" s="15"/>
      <c r="M22" s="380"/>
    </row>
    <row r="23" spans="2:15" x14ac:dyDescent="0.25">
      <c r="B23" s="382"/>
      <c r="C23" s="1" t="s">
        <v>24</v>
      </c>
      <c r="D23" s="13">
        <v>1.6193125372541226E-2</v>
      </c>
      <c r="E23" s="13">
        <v>1.3047132432396377E-2</v>
      </c>
      <c r="F23" s="14">
        <v>1.2411252400821244</v>
      </c>
      <c r="G23" s="13">
        <v>9.3529624053555957E-3</v>
      </c>
      <c r="H23" s="14">
        <v>1.3949732573420228</v>
      </c>
      <c r="I23" s="14"/>
      <c r="J23" s="14"/>
      <c r="K23" s="14"/>
      <c r="L23" s="15"/>
      <c r="M23" s="380"/>
    </row>
    <row r="24" spans="2:15" x14ac:dyDescent="0.25">
      <c r="B24" s="382"/>
      <c r="C24" s="1" t="s">
        <v>25</v>
      </c>
      <c r="D24" s="13">
        <v>0.13103516789191338</v>
      </c>
      <c r="E24" s="13">
        <v>0.13906268760255605</v>
      </c>
      <c r="F24" s="14">
        <v>0.94227409343917268</v>
      </c>
      <c r="G24" s="13">
        <v>0.11987086678511411</v>
      </c>
      <c r="H24" s="14">
        <v>1.1601041298203514</v>
      </c>
      <c r="I24" s="14"/>
      <c r="J24" s="14"/>
      <c r="K24" s="14"/>
      <c r="L24" s="15"/>
      <c r="M24" s="380"/>
    </row>
    <row r="25" spans="2:15" x14ac:dyDescent="0.25">
      <c r="B25" s="382"/>
      <c r="C25" s="1" t="s">
        <v>26</v>
      </c>
      <c r="D25" s="13">
        <v>0.32187562090204647</v>
      </c>
      <c r="E25" s="13">
        <v>0.35667498232367029</v>
      </c>
      <c r="F25" s="14">
        <v>0.90243397169346573</v>
      </c>
      <c r="G25" s="13">
        <v>0.29408078276439853</v>
      </c>
      <c r="H25" s="14">
        <v>1.2128469564412809</v>
      </c>
      <c r="I25" s="14"/>
      <c r="J25" s="14"/>
      <c r="K25" s="14"/>
      <c r="L25" s="15"/>
      <c r="M25" s="380"/>
    </row>
    <row r="26" spans="2:15" x14ac:dyDescent="0.25">
      <c r="B26" s="382"/>
      <c r="C26" s="1" t="s">
        <v>27</v>
      </c>
      <c r="D26" s="13">
        <v>0.38207828333002186</v>
      </c>
      <c r="E26" s="13">
        <v>0.34820368468095891</v>
      </c>
      <c r="F26" s="14">
        <v>1.0972838603936672</v>
      </c>
      <c r="G26" s="13">
        <v>0.32868783998543011</v>
      </c>
      <c r="H26" s="14">
        <v>1.0593750127671102</v>
      </c>
      <c r="I26" s="14"/>
      <c r="J26" s="14"/>
      <c r="K26" s="14"/>
      <c r="L26" s="15"/>
      <c r="M26" s="380"/>
    </row>
    <row r="27" spans="2:15" x14ac:dyDescent="0.25">
      <c r="B27" s="382"/>
      <c r="C27" s="1" t="s">
        <v>28</v>
      </c>
      <c r="D27" s="13">
        <v>0.13182992251142459</v>
      </c>
      <c r="E27" s="13">
        <v>0.12788324283941888</v>
      </c>
      <c r="F27" s="14">
        <v>1.0308615858057455</v>
      </c>
      <c r="G27" s="13">
        <v>0.17578056392525954</v>
      </c>
      <c r="H27" s="14">
        <v>0.72751639876291319</v>
      </c>
      <c r="I27" s="14"/>
      <c r="J27" s="14"/>
      <c r="K27" s="14"/>
      <c r="L27" s="15"/>
      <c r="M27" s="380"/>
    </row>
    <row r="28" spans="2:15" x14ac:dyDescent="0.25">
      <c r="B28" s="382"/>
      <c r="C28" s="1" t="s">
        <v>29</v>
      </c>
      <c r="D28" s="13">
        <v>1.6987879992052455E-2</v>
      </c>
      <c r="E28" s="13">
        <v>1.512827012099948E-2</v>
      </c>
      <c r="F28" s="14">
        <v>1.1229228362647794</v>
      </c>
      <c r="G28" s="13">
        <v>7.222698413444209E-2</v>
      </c>
      <c r="H28" s="14">
        <v>0.20945454531010146</v>
      </c>
      <c r="I28" s="14"/>
      <c r="J28" s="14"/>
      <c r="K28" s="14"/>
      <c r="L28" s="15"/>
      <c r="M28" s="380"/>
    </row>
    <row r="29" spans="2:15" x14ac:dyDescent="0.25">
      <c r="B29" s="382"/>
      <c r="C29" s="1"/>
      <c r="D29" s="13"/>
      <c r="E29" s="13"/>
      <c r="F29" s="14"/>
      <c r="G29" s="13"/>
      <c r="H29" s="14"/>
      <c r="I29" s="14"/>
      <c r="J29" s="14"/>
      <c r="K29" s="14"/>
      <c r="L29" s="15"/>
      <c r="M29" s="380"/>
    </row>
    <row r="30" spans="2:15" x14ac:dyDescent="0.25">
      <c r="B30" s="382"/>
      <c r="C30" s="2" t="s">
        <v>30</v>
      </c>
      <c r="F30" s="14"/>
      <c r="G30" s="13"/>
      <c r="H30" s="14"/>
      <c r="I30" s="14"/>
      <c r="J30" s="14"/>
      <c r="K30" s="14"/>
      <c r="L30" s="15"/>
      <c r="M30" s="380"/>
    </row>
    <row r="31" spans="2:15" x14ac:dyDescent="0.25">
      <c r="B31" s="382"/>
      <c r="C31" s="1" t="s">
        <v>31</v>
      </c>
      <c r="D31" s="13">
        <v>0.462821403752606</v>
      </c>
      <c r="E31" s="13">
        <v>0.45887671013681097</v>
      </c>
      <c r="F31" s="14">
        <v>1.0085964127807203</v>
      </c>
      <c r="G31" s="13">
        <v>0.4916982188238192</v>
      </c>
      <c r="H31" s="14">
        <v>0.93324867280276125</v>
      </c>
      <c r="I31" s="14"/>
      <c r="J31" s="14"/>
      <c r="K31" s="14"/>
      <c r="L31" s="15"/>
      <c r="M31" s="380"/>
    </row>
    <row r="32" spans="2:15" x14ac:dyDescent="0.25">
      <c r="B32" s="382"/>
      <c r="C32" s="1" t="s">
        <v>32</v>
      </c>
      <c r="D32" s="13">
        <v>0.20659187928124689</v>
      </c>
      <c r="E32" s="13">
        <v>0.21696402378856974</v>
      </c>
      <c r="F32" s="14">
        <v>0.95219417336474899</v>
      </c>
      <c r="G32" s="13">
        <v>0.14338031637987977</v>
      </c>
      <c r="H32" s="14">
        <v>1.5132064795681801</v>
      </c>
      <c r="I32" s="14"/>
      <c r="J32" s="14"/>
      <c r="K32" s="14"/>
      <c r="L32" s="15"/>
      <c r="M32" s="380"/>
    </row>
    <row r="33" spans="2:13" x14ac:dyDescent="0.25">
      <c r="B33" s="382"/>
      <c r="C33" s="1" t="s">
        <v>33</v>
      </c>
      <c r="D33" s="13">
        <v>0.13918395711307455</v>
      </c>
      <c r="E33" s="13">
        <v>0.13603754967064033</v>
      </c>
      <c r="F33" s="14">
        <v>1.0231289629227516</v>
      </c>
      <c r="G33" s="13">
        <v>0.13350111393482081</v>
      </c>
      <c r="H33" s="14">
        <v>1.0189993600881704</v>
      </c>
      <c r="I33" s="14"/>
      <c r="J33" s="14"/>
      <c r="K33" s="14"/>
      <c r="L33" s="15"/>
      <c r="M33" s="380"/>
    </row>
    <row r="34" spans="2:13" x14ac:dyDescent="0.25">
      <c r="B34" s="382"/>
      <c r="C34" s="1" t="s">
        <v>34</v>
      </c>
      <c r="D34" s="13">
        <v>9.1134716569045968E-2</v>
      </c>
      <c r="E34" s="13">
        <v>8.8393738165719923E-2</v>
      </c>
      <c r="F34" s="14">
        <v>1.031008739535229</v>
      </c>
      <c r="G34" s="13">
        <v>0.10246565834107677</v>
      </c>
      <c r="H34" s="14">
        <v>0.86266696175887791</v>
      </c>
      <c r="I34" s="14"/>
      <c r="J34" s="14"/>
      <c r="K34" s="14"/>
      <c r="L34" s="15"/>
      <c r="M34" s="380"/>
    </row>
    <row r="35" spans="2:13" x14ac:dyDescent="0.25">
      <c r="B35" s="382"/>
      <c r="C35" s="1" t="s">
        <v>35</v>
      </c>
      <c r="D35" s="13">
        <v>1.7373175816539264E-2</v>
      </c>
      <c r="E35" s="13">
        <v>1.8548150518708163E-2</v>
      </c>
      <c r="F35" s="14">
        <v>0.93665272982425996</v>
      </c>
      <c r="G35" s="13">
        <v>3.3207572517716603E-2</v>
      </c>
      <c r="H35" s="14">
        <v>0.55855183358592442</v>
      </c>
      <c r="I35" s="14"/>
      <c r="J35" s="14"/>
      <c r="K35" s="14"/>
      <c r="L35" s="15"/>
      <c r="M35" s="380"/>
    </row>
    <row r="36" spans="2:13" x14ac:dyDescent="0.25">
      <c r="B36" s="382"/>
      <c r="C36" s="1" t="s">
        <v>36</v>
      </c>
      <c r="D36" s="13">
        <v>1.4692742976273206E-2</v>
      </c>
      <c r="E36" s="13">
        <v>1.4214470490972611E-2</v>
      </c>
      <c r="F36" s="14">
        <v>1.033646873135678</v>
      </c>
      <c r="G36" s="13">
        <v>2.6221465915833547E-2</v>
      </c>
      <c r="H36" s="14">
        <v>0.54209289963416418</v>
      </c>
      <c r="I36" s="14"/>
      <c r="J36" s="14"/>
      <c r="K36" s="14"/>
      <c r="L36" s="15"/>
      <c r="M36" s="380"/>
    </row>
    <row r="37" spans="2:13" x14ac:dyDescent="0.25">
      <c r="B37" s="382"/>
      <c r="C37" s="1" t="s">
        <v>37</v>
      </c>
      <c r="D37" s="13">
        <v>6.8202124491214142E-2</v>
      </c>
      <c r="E37" s="13">
        <v>6.6965357228578298E-2</v>
      </c>
      <c r="F37" s="14">
        <v>1.0184687622648572</v>
      </c>
      <c r="G37" s="13">
        <v>6.9525654086853336E-2</v>
      </c>
      <c r="H37" s="14">
        <v>0.96317478933637002</v>
      </c>
      <c r="I37" s="14"/>
      <c r="J37" s="14"/>
      <c r="K37" s="14"/>
      <c r="L37" s="15"/>
      <c r="M37" s="380"/>
    </row>
    <row r="38" spans="2:13" x14ac:dyDescent="0.25">
      <c r="B38" s="382"/>
      <c r="C38" s="1"/>
      <c r="D38" s="13"/>
      <c r="E38" s="13"/>
      <c r="F38" s="14"/>
      <c r="G38" s="13"/>
      <c r="H38" s="14"/>
      <c r="I38" s="14"/>
      <c r="J38" s="14"/>
      <c r="K38" s="14"/>
      <c r="L38" s="15"/>
      <c r="M38" s="380"/>
    </row>
    <row r="39" spans="2:13" x14ac:dyDescent="0.25">
      <c r="B39" s="382"/>
      <c r="C39" s="2" t="s">
        <v>38</v>
      </c>
      <c r="F39" s="14"/>
      <c r="G39" s="13"/>
      <c r="H39" s="14"/>
      <c r="I39" s="14"/>
      <c r="J39" s="14"/>
      <c r="K39" s="14"/>
      <c r="L39" s="15"/>
      <c r="M39" s="380"/>
    </row>
    <row r="40" spans="2:13" x14ac:dyDescent="0.25">
      <c r="B40" s="382"/>
      <c r="C40" s="1" t="s">
        <v>39</v>
      </c>
      <c r="D40" s="13">
        <v>0.33912266772528782</v>
      </c>
      <c r="E40" s="13">
        <v>0.23758482315455479</v>
      </c>
      <c r="F40" s="14">
        <v>1.4273751295329171</v>
      </c>
      <c r="G40" s="16" t="s">
        <v>12</v>
      </c>
      <c r="H40" s="16" t="s">
        <v>12</v>
      </c>
      <c r="I40" s="16"/>
      <c r="J40" s="16"/>
      <c r="K40" s="16"/>
      <c r="L40" s="36"/>
      <c r="M40" s="380"/>
    </row>
    <row r="41" spans="2:13" x14ac:dyDescent="0.25">
      <c r="B41" s="382"/>
      <c r="C41" s="1" t="s">
        <v>40</v>
      </c>
      <c r="D41" s="13">
        <v>5.3890432711393411E-2</v>
      </c>
      <c r="E41" s="13">
        <v>3.8888666693330132E-2</v>
      </c>
      <c r="F41" s="14">
        <v>1.3857619016965748</v>
      </c>
      <c r="G41" s="13">
        <v>0.23826371358004139</v>
      </c>
      <c r="H41" s="14">
        <v>0.16321690831141195</v>
      </c>
      <c r="I41" s="14"/>
      <c r="J41" s="14"/>
      <c r="K41" s="14"/>
      <c r="L41" s="15"/>
      <c r="M41" s="380"/>
    </row>
    <row r="42" spans="2:13" x14ac:dyDescent="0.25">
      <c r="B42" s="382"/>
      <c r="C42" s="1" t="s">
        <v>41</v>
      </c>
      <c r="D42" s="13">
        <v>9.9146486701071859E-2</v>
      </c>
      <c r="E42" s="13">
        <v>8.0723646495753837E-2</v>
      </c>
      <c r="F42" s="14">
        <v>1.2282211099852518</v>
      </c>
      <c r="G42" s="13">
        <v>0.2944472672851261</v>
      </c>
      <c r="H42" s="14">
        <v>0.27415315224367703</v>
      </c>
      <c r="I42" s="14"/>
      <c r="J42" s="14"/>
      <c r="K42" s="14"/>
      <c r="L42" s="15"/>
      <c r="M42" s="380"/>
    </row>
    <row r="43" spans="2:13" x14ac:dyDescent="0.25">
      <c r="B43" s="382"/>
      <c r="C43" s="1" t="s">
        <v>42</v>
      </c>
      <c r="D43" s="13">
        <v>0.13765383088527194</v>
      </c>
      <c r="E43" s="13">
        <v>0.13145089255955952</v>
      </c>
      <c r="F43" s="14">
        <v>1.0471882556666696</v>
      </c>
      <c r="G43" s="13">
        <v>0.2295170839287588</v>
      </c>
      <c r="H43" s="14">
        <v>0.57272813992513671</v>
      </c>
      <c r="I43" s="14"/>
      <c r="J43" s="14"/>
      <c r="K43" s="14"/>
      <c r="L43" s="15"/>
      <c r="M43" s="380"/>
    </row>
    <row r="44" spans="2:13" x14ac:dyDescent="0.25">
      <c r="B44" s="382"/>
      <c r="C44" s="1" t="s">
        <v>43</v>
      </c>
      <c r="D44" s="13">
        <v>0.18479555379118698</v>
      </c>
      <c r="E44" s="13">
        <v>0.21512085216440693</v>
      </c>
      <c r="F44" s="14">
        <v>0.85903133950936694</v>
      </c>
      <c r="G44" s="13">
        <v>0.16500439759050969</v>
      </c>
      <c r="H44" s="14">
        <v>1.3037279933488253</v>
      </c>
      <c r="I44" s="14"/>
      <c r="J44" s="14"/>
      <c r="K44" s="14"/>
      <c r="L44" s="15"/>
      <c r="M44" s="380"/>
    </row>
    <row r="45" spans="2:13" ht="15.75" thickBot="1" x14ac:dyDescent="0.3">
      <c r="B45" s="383"/>
      <c r="C45" s="9" t="s">
        <v>44</v>
      </c>
      <c r="D45" s="17">
        <v>0.18539102818578801</v>
      </c>
      <c r="E45" s="17">
        <v>0.29623111893239479</v>
      </c>
      <c r="F45" s="14">
        <v>0.62583238673212294</v>
      </c>
      <c r="G45" s="17">
        <v>7.2767537615563996E-2</v>
      </c>
      <c r="H45" s="14">
        <v>4.0709240499163863</v>
      </c>
      <c r="I45" s="14"/>
      <c r="J45" s="14"/>
      <c r="K45" s="14"/>
      <c r="L45" s="19"/>
      <c r="M45" s="384"/>
    </row>
    <row r="46" spans="2:13" ht="15.75" thickBot="1" x14ac:dyDescent="0.3">
      <c r="B46" s="60"/>
      <c r="C46" s="45"/>
      <c r="D46" s="43"/>
      <c r="E46" s="43"/>
      <c r="F46" s="43"/>
      <c r="G46" s="43"/>
      <c r="H46" s="43"/>
      <c r="I46" s="43"/>
      <c r="J46" s="43"/>
      <c r="K46" s="43"/>
      <c r="L46" s="26"/>
      <c r="M46" s="28"/>
    </row>
    <row r="47" spans="2:13" x14ac:dyDescent="0.25">
      <c r="B47" s="373" t="s">
        <v>45</v>
      </c>
      <c r="C47" s="5"/>
      <c r="D47" s="385" t="s">
        <v>46</v>
      </c>
      <c r="E47" s="385"/>
      <c r="F47" s="385" t="s">
        <v>47</v>
      </c>
      <c r="G47" s="385"/>
      <c r="H47" s="42"/>
      <c r="I47" s="95"/>
      <c r="J47" s="95"/>
      <c r="K47" s="95"/>
      <c r="L47" s="7"/>
      <c r="M47" s="386" t="s">
        <v>48</v>
      </c>
    </row>
    <row r="48" spans="2:13" x14ac:dyDescent="0.25">
      <c r="B48" s="374"/>
      <c r="C48" s="1"/>
      <c r="D48" s="40" t="s">
        <v>49</v>
      </c>
      <c r="E48" s="40" t="s">
        <v>50</v>
      </c>
      <c r="F48" s="40" t="s">
        <v>49</v>
      </c>
      <c r="G48" s="40" t="s">
        <v>50</v>
      </c>
      <c r="H48" s="41" t="s">
        <v>51</v>
      </c>
      <c r="I48" s="96" t="s">
        <v>52</v>
      </c>
      <c r="J48" s="97"/>
      <c r="K48" s="97"/>
      <c r="L48" s="99"/>
      <c r="M48" s="387"/>
    </row>
    <row r="49" spans="2:16" x14ac:dyDescent="0.25">
      <c r="B49" s="374"/>
      <c r="C49" s="2" t="s">
        <v>53</v>
      </c>
      <c r="H49" s="13"/>
      <c r="I49" s="13"/>
      <c r="J49" s="13"/>
      <c r="K49" s="13"/>
      <c r="L49" s="4"/>
      <c r="M49" s="387"/>
    </row>
    <row r="50" spans="2:16" x14ac:dyDescent="0.25">
      <c r="B50" s="374"/>
      <c r="C50" s="1" t="s">
        <v>54</v>
      </c>
      <c r="D50" s="73">
        <v>2667926</v>
      </c>
      <c r="E50" s="38">
        <v>0.63982493060177104</v>
      </c>
      <c r="F50" s="8">
        <v>78015</v>
      </c>
      <c r="G50" s="13">
        <v>0.54822773780076461</v>
      </c>
      <c r="H50" s="14">
        <v>0.85684022547408867</v>
      </c>
      <c r="I50" s="39">
        <v>2.9241815552605282E-2</v>
      </c>
      <c r="J50" s="14"/>
      <c r="K50" s="14"/>
      <c r="L50" s="82"/>
      <c r="M50" s="387"/>
    </row>
    <row r="51" spans="2:16" x14ac:dyDescent="0.25">
      <c r="B51" s="374"/>
      <c r="C51" s="1" t="s">
        <v>55</v>
      </c>
      <c r="D51" s="73">
        <v>1501849</v>
      </c>
      <c r="E51" s="38">
        <v>0.36017506939822891</v>
      </c>
      <c r="F51" s="8">
        <v>64289</v>
      </c>
      <c r="G51" s="13">
        <v>0.45177226219923544</v>
      </c>
      <c r="H51" s="14">
        <v>1.2543129732828113</v>
      </c>
      <c r="I51" s="39">
        <v>4.280656710494863E-2</v>
      </c>
      <c r="J51" s="14"/>
      <c r="K51" s="14"/>
      <c r="L51" s="82"/>
      <c r="M51" s="387"/>
    </row>
    <row r="52" spans="2:16" x14ac:dyDescent="0.25">
      <c r="B52" s="374"/>
      <c r="C52" s="1" t="s">
        <v>53</v>
      </c>
      <c r="D52" s="73">
        <v>4169775</v>
      </c>
      <c r="E52" s="38"/>
      <c r="F52" s="8">
        <v>142304</v>
      </c>
      <c r="H52" s="14"/>
      <c r="I52" s="39">
        <v>3.412750088434028E-2</v>
      </c>
      <c r="J52" s="14"/>
      <c r="K52" s="14"/>
      <c r="L52" s="82"/>
      <c r="M52" s="387"/>
    </row>
    <row r="53" spans="2:16" x14ac:dyDescent="0.25">
      <c r="B53" s="374"/>
      <c r="C53" s="1"/>
      <c r="D53" s="38"/>
      <c r="E53" s="38"/>
      <c r="F53" s="8"/>
      <c r="H53" s="14"/>
      <c r="I53" s="39"/>
      <c r="J53" s="14"/>
      <c r="K53" s="14"/>
      <c r="L53" s="82"/>
      <c r="M53" s="387"/>
    </row>
    <row r="54" spans="2:16" x14ac:dyDescent="0.25">
      <c r="B54" s="374"/>
      <c r="C54" s="2" t="s">
        <v>56</v>
      </c>
      <c r="D54" s="38"/>
      <c r="E54" s="38"/>
      <c r="H54" s="14"/>
      <c r="I54" s="39"/>
      <c r="J54" s="14"/>
      <c r="K54" s="14"/>
      <c r="L54" s="82"/>
      <c r="M54" s="387"/>
    </row>
    <row r="55" spans="2:16" x14ac:dyDescent="0.25">
      <c r="B55" s="374"/>
      <c r="C55" s="1" t="s">
        <v>57</v>
      </c>
      <c r="D55" s="73">
        <v>581004</v>
      </c>
      <c r="E55" s="38">
        <v>0.38685913164372715</v>
      </c>
      <c r="F55" s="8">
        <v>21432</v>
      </c>
      <c r="G55" s="13">
        <v>0.3333696277745804</v>
      </c>
      <c r="H55" s="14">
        <v>0.86173389874015638</v>
      </c>
      <c r="I55" s="39">
        <v>3.6887869963029514E-2</v>
      </c>
      <c r="J55" s="14"/>
      <c r="K55" s="14"/>
      <c r="L55" s="82"/>
      <c r="M55" s="387"/>
    </row>
    <row r="56" spans="2:16" x14ac:dyDescent="0.25">
      <c r="B56" s="374"/>
      <c r="C56" s="1" t="s">
        <v>58</v>
      </c>
      <c r="D56" s="73">
        <v>286472</v>
      </c>
      <c r="E56" s="38">
        <v>0.19074620684236565</v>
      </c>
      <c r="F56" s="8">
        <v>15529</v>
      </c>
      <c r="G56" s="13">
        <v>0.24154987633965375</v>
      </c>
      <c r="H56" s="14">
        <v>1.2663417026125856</v>
      </c>
      <c r="I56" s="39">
        <v>5.4207741070680555E-2</v>
      </c>
      <c r="J56" s="14"/>
      <c r="K56" s="14"/>
      <c r="L56" s="82"/>
      <c r="M56" s="387"/>
    </row>
    <row r="57" spans="2:16" x14ac:dyDescent="0.25">
      <c r="B57" s="374"/>
      <c r="C57" s="1" t="s">
        <v>59</v>
      </c>
      <c r="D57" s="73">
        <v>187958</v>
      </c>
      <c r="E57" s="38">
        <v>0.12515106378870314</v>
      </c>
      <c r="F57" s="8">
        <v>10603</v>
      </c>
      <c r="G57" s="13">
        <v>0.16492712594689604</v>
      </c>
      <c r="H57" s="14">
        <v>1.3178244031976285</v>
      </c>
      <c r="I57" s="39">
        <v>5.6411538748018172E-2</v>
      </c>
      <c r="J57" s="14"/>
      <c r="K57" s="14"/>
      <c r="L57" s="82"/>
      <c r="M57" s="387"/>
    </row>
    <row r="58" spans="2:16" x14ac:dyDescent="0.25">
      <c r="B58" s="374"/>
      <c r="C58" s="1" t="s">
        <v>60</v>
      </c>
      <c r="D58" s="73">
        <v>335145</v>
      </c>
      <c r="E58" s="38">
        <v>0.22315492436323492</v>
      </c>
      <c r="F58" s="8">
        <v>11205</v>
      </c>
      <c r="G58" s="13">
        <v>0.17429109178864191</v>
      </c>
      <c r="H58" s="14">
        <v>0.78103179791338095</v>
      </c>
      <c r="I58" s="39">
        <v>3.3433290068477825E-2</v>
      </c>
      <c r="J58" s="14"/>
      <c r="K58" s="14"/>
      <c r="L58" s="82"/>
      <c r="M58" s="387"/>
    </row>
    <row r="59" spans="2:16" x14ac:dyDescent="0.25">
      <c r="B59" s="374"/>
      <c r="C59" s="1" t="s">
        <v>61</v>
      </c>
      <c r="D59" s="73">
        <v>26023</v>
      </c>
      <c r="E59" s="38">
        <v>1.732730787182999E-2</v>
      </c>
      <c r="F59" s="8">
        <v>2300</v>
      </c>
      <c r="G59" s="13">
        <v>3.5775949229261618E-2</v>
      </c>
      <c r="H59" s="14">
        <v>2.0647148128200952</v>
      </c>
      <c r="I59" s="39">
        <v>8.838335318756485E-2</v>
      </c>
      <c r="J59" s="14"/>
      <c r="K59" s="14"/>
      <c r="L59" s="82"/>
      <c r="M59" s="387"/>
    </row>
    <row r="60" spans="2:16" x14ac:dyDescent="0.25">
      <c r="B60" s="374"/>
      <c r="C60" s="1" t="s">
        <v>62</v>
      </c>
      <c r="D60" s="73">
        <v>56695</v>
      </c>
      <c r="E60" s="38">
        <v>3.7750133335641596E-2</v>
      </c>
      <c r="F60" s="3">
        <v>1790</v>
      </c>
      <c r="G60" s="13">
        <v>2.7843021356686214E-2</v>
      </c>
      <c r="H60" s="14">
        <v>0.73756087453069652</v>
      </c>
      <c r="I60" s="39">
        <v>3.1572449069582856E-2</v>
      </c>
      <c r="J60" s="14"/>
      <c r="K60" s="14"/>
      <c r="L60" s="82"/>
      <c r="M60" s="387"/>
      <c r="P60" s="13"/>
    </row>
    <row r="61" spans="2:16" ht="15.75" thickBot="1" x14ac:dyDescent="0.3">
      <c r="B61" s="375"/>
      <c r="C61" s="9" t="s">
        <v>63</v>
      </c>
      <c r="D61" s="74">
        <v>28552</v>
      </c>
      <c r="E61" s="44">
        <v>1.9011232154497557E-2</v>
      </c>
      <c r="F61" s="10">
        <v>1430</v>
      </c>
      <c r="G61" s="17">
        <v>2.2243307564280047E-2</v>
      </c>
      <c r="H61" s="18">
        <v>1.1700087287092471</v>
      </c>
      <c r="I61" s="100">
        <v>5.0084057158868031E-2</v>
      </c>
      <c r="J61" s="18"/>
      <c r="K61" s="18"/>
      <c r="L61" s="83"/>
      <c r="M61" s="388"/>
    </row>
    <row r="62" spans="2:16" ht="15.75" thickBot="1" x14ac:dyDescent="0.3">
      <c r="C62" s="1"/>
      <c r="D62" s="8"/>
      <c r="L62" s="4"/>
      <c r="M62" s="28"/>
    </row>
    <row r="63" spans="2:16" x14ac:dyDescent="0.25">
      <c r="B63" s="373" t="s">
        <v>64</v>
      </c>
      <c r="C63" s="21" t="s">
        <v>65</v>
      </c>
      <c r="D63" s="23" t="s">
        <v>66</v>
      </c>
      <c r="E63" s="48" t="s">
        <v>67</v>
      </c>
      <c r="F63" s="48" t="s">
        <v>68</v>
      </c>
      <c r="G63" s="48" t="s">
        <v>51</v>
      </c>
      <c r="H63" s="6"/>
      <c r="I63" s="6"/>
      <c r="J63" s="6"/>
      <c r="K63" s="6"/>
      <c r="L63" s="7"/>
      <c r="M63" s="373" t="s">
        <v>19</v>
      </c>
    </row>
    <row r="64" spans="2:16" x14ac:dyDescent="0.25">
      <c r="B64" s="374"/>
      <c r="C64" s="1" t="s">
        <v>69</v>
      </c>
      <c r="D64" s="8">
        <v>40441</v>
      </c>
      <c r="E64" s="67"/>
      <c r="F64" s="68"/>
      <c r="L64" s="4"/>
      <c r="M64" s="374"/>
    </row>
    <row r="65" spans="2:16" x14ac:dyDescent="0.25">
      <c r="B65" s="374"/>
      <c r="C65" s="1" t="s">
        <v>70</v>
      </c>
      <c r="D65" s="69">
        <v>0.64752221599551674</v>
      </c>
      <c r="E65" s="68"/>
      <c r="F65" s="68"/>
      <c r="L65" s="4"/>
      <c r="M65" s="374"/>
    </row>
    <row r="66" spans="2:16" x14ac:dyDescent="0.25">
      <c r="B66" s="374"/>
      <c r="C66" s="1"/>
      <c r="D66" s="70"/>
      <c r="E66" s="68"/>
      <c r="F66" s="14"/>
      <c r="L66" s="4"/>
      <c r="M66" s="374"/>
      <c r="P66" s="8"/>
    </row>
    <row r="67" spans="2:16" ht="14.45" customHeight="1" x14ac:dyDescent="0.25">
      <c r="B67" s="374"/>
      <c r="C67" s="1" t="s">
        <v>71</v>
      </c>
      <c r="D67" s="8">
        <v>142304</v>
      </c>
      <c r="E67" s="67"/>
      <c r="F67" s="68"/>
      <c r="L67" s="4"/>
      <c r="M67" s="374"/>
      <c r="N67" s="24"/>
      <c r="P67" s="14"/>
    </row>
    <row r="68" spans="2:16" x14ac:dyDescent="0.25">
      <c r="B68" s="374"/>
      <c r="C68" s="1" t="s">
        <v>72</v>
      </c>
      <c r="D68" s="71">
        <v>3.5188051729680274</v>
      </c>
      <c r="E68" s="14"/>
      <c r="F68" s="14"/>
      <c r="L68" s="4"/>
      <c r="M68" s="374"/>
    </row>
    <row r="69" spans="2:16" x14ac:dyDescent="0.25">
      <c r="B69" s="374"/>
      <c r="C69" s="1"/>
      <c r="D69" s="71"/>
      <c r="F69" s="14"/>
      <c r="L69" s="4"/>
      <c r="M69" s="374"/>
      <c r="P69" s="8"/>
    </row>
    <row r="70" spans="2:16" x14ac:dyDescent="0.25">
      <c r="B70" s="374"/>
      <c r="C70" s="1" t="s">
        <v>73</v>
      </c>
      <c r="D70" s="8">
        <v>67136</v>
      </c>
      <c r="E70" s="67"/>
      <c r="F70" s="14"/>
      <c r="L70" s="4"/>
      <c r="M70" s="374"/>
      <c r="P70" s="14"/>
    </row>
    <row r="71" spans="2:16" x14ac:dyDescent="0.25">
      <c r="B71" s="374"/>
      <c r="C71" s="1" t="s">
        <v>74</v>
      </c>
      <c r="D71" s="71">
        <v>1.6600974258796766</v>
      </c>
      <c r="E71" s="72"/>
      <c r="F71" s="14"/>
      <c r="L71" s="4"/>
      <c r="M71" s="374"/>
    </row>
    <row r="72" spans="2:16" ht="15.75" thickBot="1" x14ac:dyDescent="0.3">
      <c r="B72" s="375"/>
      <c r="C72" s="9" t="s">
        <v>75</v>
      </c>
      <c r="D72" s="84">
        <v>2.1196377502383221</v>
      </c>
      <c r="E72" s="85"/>
      <c r="F72" s="18"/>
      <c r="G72" s="20"/>
      <c r="H72" s="20"/>
      <c r="I72" s="20"/>
      <c r="J72" s="20"/>
      <c r="K72" s="20"/>
      <c r="L72" s="11"/>
      <c r="M72" s="375"/>
    </row>
    <row r="73" spans="2:16" x14ac:dyDescent="0.25">
      <c r="D73" s="37"/>
      <c r="E73" s="22"/>
      <c r="F73" s="14"/>
    </row>
    <row r="74" spans="2:16" s="35" customFormat="1" x14ac:dyDescent="0.25">
      <c r="B74" s="47"/>
      <c r="C74" s="78"/>
      <c r="D74" s="8"/>
      <c r="E74" s="13"/>
    </row>
    <row r="75" spans="2:16" s="35" customFormat="1" x14ac:dyDescent="0.25">
      <c r="B75" s="47"/>
      <c r="C75" s="78"/>
      <c r="D75" s="8"/>
      <c r="E75" s="34"/>
    </row>
    <row r="76" spans="2:16" s="35" customFormat="1" x14ac:dyDescent="0.25">
      <c r="B76" s="47"/>
      <c r="C76" s="78"/>
      <c r="D76" s="8"/>
      <c r="E76" s="34"/>
    </row>
    <row r="77" spans="2:16" s="35" customFormat="1" x14ac:dyDescent="0.25">
      <c r="B77" s="47"/>
      <c r="C77" s="78"/>
      <c r="D77" s="8"/>
      <c r="E77" s="34"/>
    </row>
    <row r="78" spans="2:16" s="35" customFormat="1" x14ac:dyDescent="0.25">
      <c r="B78" s="47"/>
      <c r="C78" s="78"/>
      <c r="D78" s="8"/>
      <c r="E78" s="78"/>
    </row>
    <row r="79" spans="2:16" s="35" customFormat="1" x14ac:dyDescent="0.25">
      <c r="B79" s="47"/>
      <c r="C79" s="78"/>
      <c r="D79" s="8"/>
      <c r="E79" s="34"/>
    </row>
  </sheetData>
  <mergeCells count="11">
    <mergeCell ref="M63:M72"/>
    <mergeCell ref="B63:B72"/>
    <mergeCell ref="C2:L2"/>
    <mergeCell ref="B3:B15"/>
    <mergeCell ref="M3:M15"/>
    <mergeCell ref="B17:B45"/>
    <mergeCell ref="M17:M45"/>
    <mergeCell ref="B47:B61"/>
    <mergeCell ref="D47:E47"/>
    <mergeCell ref="F47:G47"/>
    <mergeCell ref="M47:M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4C23-BF39-4C9E-9C67-9394882CD82B}">
  <sheetPr codeName="Sheet12">
    <tabColor theme="4"/>
  </sheetPr>
  <dimension ref="B1:P80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1" width="13.28515625" style="3" customWidth="1"/>
    <col min="12" max="12" width="12" style="3" bestFit="1" customWidth="1"/>
    <col min="13" max="13" width="14.28515625" style="47" customWidth="1"/>
    <col min="14" max="16384" width="8.85546875" style="3"/>
  </cols>
  <sheetData>
    <row r="1" spans="2:15" ht="15.75" thickBot="1" x14ac:dyDescent="0.3"/>
    <row r="2" spans="2:15" ht="15.75" thickBot="1" x14ac:dyDescent="0.3">
      <c r="C2" s="376" t="s">
        <v>120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 x14ac:dyDescent="0.2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 x14ac:dyDescent="0.2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 x14ac:dyDescent="0.2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 x14ac:dyDescent="0.25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 x14ac:dyDescent="0.25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 x14ac:dyDescent="0.25">
      <c r="B15" s="374"/>
      <c r="C15" s="88" t="s">
        <v>121</v>
      </c>
      <c r="D15" s="89">
        <v>62455</v>
      </c>
      <c r="E15" s="89">
        <v>13238</v>
      </c>
      <c r="F15" s="89">
        <v>11589</v>
      </c>
      <c r="G15" s="89">
        <v>3606</v>
      </c>
      <c r="H15" s="89">
        <v>72087</v>
      </c>
      <c r="I15" s="103">
        <v>9632</v>
      </c>
      <c r="J15" s="105">
        <v>0.87543435564284633</v>
      </c>
      <c r="K15" s="104">
        <v>0.12</v>
      </c>
      <c r="L15" s="90">
        <v>0.06</v>
      </c>
      <c r="M15" s="380"/>
      <c r="O15" s="39"/>
    </row>
    <row r="16" spans="2:15" ht="15.75" thickBot="1" x14ac:dyDescent="0.3">
      <c r="B16" s="375"/>
      <c r="C16" s="58" t="s">
        <v>78</v>
      </c>
      <c r="D16" s="55"/>
      <c r="E16" s="55">
        <v>96412</v>
      </c>
      <c r="F16" s="55">
        <v>86608</v>
      </c>
      <c r="G16" s="55">
        <v>24325</v>
      </c>
      <c r="H16" s="55"/>
      <c r="I16" s="93"/>
      <c r="J16" s="93"/>
      <c r="K16" s="93"/>
      <c r="L16" s="56"/>
      <c r="M16" s="380"/>
      <c r="N16" s="8"/>
      <c r="O16" s="39"/>
    </row>
    <row r="17" spans="2:15" ht="15.75" thickBot="1" x14ac:dyDescent="0.3">
      <c r="C17" s="45"/>
      <c r="D17" s="25"/>
      <c r="E17" s="50"/>
      <c r="F17" s="50"/>
      <c r="G17" s="50"/>
      <c r="H17" s="50"/>
      <c r="I17" s="50"/>
      <c r="J17" s="50"/>
      <c r="K17" s="50"/>
      <c r="L17" s="51"/>
      <c r="M17" s="27"/>
    </row>
    <row r="18" spans="2:15" x14ac:dyDescent="0.25">
      <c r="B18" s="381" t="s">
        <v>13</v>
      </c>
      <c r="C18" s="5"/>
      <c r="D18" s="48" t="s">
        <v>122</v>
      </c>
      <c r="E18" s="48" t="s">
        <v>15</v>
      </c>
      <c r="F18" s="48" t="s">
        <v>123</v>
      </c>
      <c r="G18" s="48" t="s">
        <v>17</v>
      </c>
      <c r="H18" s="48" t="s">
        <v>18</v>
      </c>
      <c r="I18" s="94"/>
      <c r="J18" s="94"/>
      <c r="K18" s="94"/>
      <c r="L18" s="49"/>
      <c r="M18" s="380" t="s">
        <v>19</v>
      </c>
      <c r="O18" s="39"/>
    </row>
    <row r="19" spans="2:15" x14ac:dyDescent="0.25">
      <c r="B19" s="382"/>
      <c r="C19" s="2" t="s">
        <v>20</v>
      </c>
      <c r="D19" s="47"/>
      <c r="E19" s="47"/>
      <c r="F19" s="47"/>
      <c r="G19" s="47"/>
      <c r="H19" s="47"/>
      <c r="I19" s="47"/>
      <c r="J19" s="47"/>
      <c r="K19" s="47"/>
      <c r="L19" s="12"/>
      <c r="M19" s="380"/>
    </row>
    <row r="20" spans="2:15" x14ac:dyDescent="0.25">
      <c r="B20" s="382"/>
      <c r="C20" s="1" t="s">
        <v>21</v>
      </c>
      <c r="D20" s="13">
        <v>0.47141608391608392</v>
      </c>
      <c r="E20" s="13">
        <v>0.39164079460304863</v>
      </c>
      <c r="F20" s="14">
        <v>1.2036950450830648</v>
      </c>
      <c r="G20" s="13">
        <v>0.57235489190258093</v>
      </c>
      <c r="H20" s="14">
        <v>0.68426215997068618</v>
      </c>
      <c r="I20" s="14"/>
      <c r="J20" s="14"/>
      <c r="K20" s="14"/>
      <c r="L20" s="15"/>
      <c r="M20" s="380"/>
    </row>
    <row r="21" spans="2:15" x14ac:dyDescent="0.25">
      <c r="B21" s="382"/>
      <c r="C21" s="1" t="s">
        <v>22</v>
      </c>
      <c r="D21" s="13">
        <v>0.52858391608391608</v>
      </c>
      <c r="E21" s="13">
        <v>0.60835920539695143</v>
      </c>
      <c r="F21" s="14">
        <v>0.86886811507852113</v>
      </c>
      <c r="G21" s="13">
        <v>0.42764510809741907</v>
      </c>
      <c r="H21" s="14">
        <v>1.4225795966742709</v>
      </c>
      <c r="I21" s="14"/>
      <c r="J21" s="14"/>
      <c r="K21" s="14"/>
      <c r="L21" s="15"/>
      <c r="M21" s="380"/>
    </row>
    <row r="22" spans="2:15" x14ac:dyDescent="0.25">
      <c r="B22" s="382"/>
      <c r="C22" s="1"/>
      <c r="D22" s="13"/>
      <c r="E22" s="13"/>
      <c r="F22" s="14"/>
      <c r="G22" s="13"/>
      <c r="H22" s="14"/>
      <c r="I22" s="14"/>
      <c r="J22" s="14"/>
      <c r="K22" s="14"/>
      <c r="L22" s="15"/>
      <c r="M22" s="380"/>
    </row>
    <row r="23" spans="2:15" x14ac:dyDescent="0.25">
      <c r="B23" s="382"/>
      <c r="C23" s="2" t="s">
        <v>23</v>
      </c>
      <c r="F23" s="14"/>
      <c r="G23" s="13"/>
      <c r="H23" s="14"/>
      <c r="I23" s="14"/>
      <c r="J23" s="14"/>
      <c r="K23" s="14"/>
      <c r="L23" s="15"/>
      <c r="M23" s="380"/>
    </row>
    <row r="24" spans="2:15" x14ac:dyDescent="0.25">
      <c r="B24" s="382"/>
      <c r="C24" s="1" t="s">
        <v>24</v>
      </c>
      <c r="D24" s="13">
        <v>1.9084628670120899E-2</v>
      </c>
      <c r="E24" s="13">
        <v>1.3068949977467327E-2</v>
      </c>
      <c r="F24" s="14">
        <v>1.4603031385861474</v>
      </c>
      <c r="G24" s="13">
        <v>9.3529624053555957E-3</v>
      </c>
      <c r="H24" s="14">
        <v>1.3973059455455441</v>
      </c>
      <c r="I24" s="14"/>
      <c r="J24" s="14"/>
      <c r="K24" s="14"/>
      <c r="L24" s="15"/>
      <c r="M24" s="380"/>
    </row>
    <row r="25" spans="2:15" x14ac:dyDescent="0.25">
      <c r="B25" s="382"/>
      <c r="C25" s="1" t="s">
        <v>25</v>
      </c>
      <c r="D25" s="13">
        <v>0.1424006908462867</v>
      </c>
      <c r="E25" s="13">
        <v>0.13764574016939948</v>
      </c>
      <c r="F25" s="14">
        <v>1.0345448444029968</v>
      </c>
      <c r="G25" s="13">
        <v>0.11987086678511411</v>
      </c>
      <c r="H25" s="14">
        <v>1.1482835142599697</v>
      </c>
      <c r="I25" s="14"/>
      <c r="J25" s="14"/>
      <c r="K25" s="14"/>
      <c r="L25" s="15"/>
      <c r="M25" s="380"/>
    </row>
    <row r="26" spans="2:15" x14ac:dyDescent="0.25">
      <c r="B26" s="382"/>
      <c r="C26" s="1" t="s">
        <v>26</v>
      </c>
      <c r="D26" s="13">
        <v>0.31062176165803107</v>
      </c>
      <c r="E26" s="13">
        <v>0.35104748038501982</v>
      </c>
      <c r="F26" s="14">
        <v>0.88484258971848806</v>
      </c>
      <c r="G26" s="13">
        <v>0.29408078276439853</v>
      </c>
      <c r="H26" s="14">
        <v>1.1937110513822995</v>
      </c>
      <c r="I26" s="14"/>
      <c r="J26" s="14"/>
      <c r="K26" s="14"/>
      <c r="L26" s="15"/>
      <c r="M26" s="380"/>
    </row>
    <row r="27" spans="2:15" x14ac:dyDescent="0.25">
      <c r="B27" s="382"/>
      <c r="C27" s="1" t="s">
        <v>27</v>
      </c>
      <c r="D27" s="13">
        <v>0.38635578583765112</v>
      </c>
      <c r="E27" s="13">
        <v>0.35444471406616518</v>
      </c>
      <c r="F27" s="14">
        <v>1.0900311684871933</v>
      </c>
      <c r="G27" s="13">
        <v>0.32868783998543011</v>
      </c>
      <c r="H27" s="14">
        <v>1.078362722764179</v>
      </c>
      <c r="I27" s="14"/>
      <c r="J27" s="14"/>
      <c r="K27" s="14"/>
      <c r="L27" s="15"/>
      <c r="M27" s="380"/>
    </row>
    <row r="28" spans="2:15" x14ac:dyDescent="0.25">
      <c r="B28" s="382"/>
      <c r="C28" s="1" t="s">
        <v>28</v>
      </c>
      <c r="D28" s="13">
        <v>0.12616580310880829</v>
      </c>
      <c r="E28" s="13">
        <v>0.12842467732057639</v>
      </c>
      <c r="F28" s="14">
        <v>0.98241090218097693</v>
      </c>
      <c r="G28" s="13">
        <v>0.17578056392525954</v>
      </c>
      <c r="H28" s="14">
        <v>0.73059657138875445</v>
      </c>
      <c r="I28" s="14"/>
      <c r="J28" s="14"/>
      <c r="K28" s="14"/>
      <c r="L28" s="15"/>
      <c r="M28" s="380"/>
    </row>
    <row r="29" spans="2:15" x14ac:dyDescent="0.25">
      <c r="B29" s="382"/>
      <c r="C29" s="1" t="s">
        <v>29</v>
      </c>
      <c r="D29" s="13">
        <v>1.53713298791019E-2</v>
      </c>
      <c r="E29" s="13">
        <v>1.5368438081371835E-2</v>
      </c>
      <c r="F29" s="14">
        <v>1.000188164712299</v>
      </c>
      <c r="G29" s="13">
        <v>7.222698413444209E-2</v>
      </c>
      <c r="H29" s="14">
        <v>0.21277972859513672</v>
      </c>
      <c r="I29" s="14"/>
      <c r="J29" s="14"/>
      <c r="K29" s="14"/>
      <c r="L29" s="15"/>
      <c r="M29" s="380"/>
    </row>
    <row r="30" spans="2:15" x14ac:dyDescent="0.25">
      <c r="B30" s="382"/>
      <c r="C30" s="1"/>
      <c r="D30" s="13"/>
      <c r="E30" s="13"/>
      <c r="F30" s="14"/>
      <c r="G30" s="13"/>
      <c r="H30" s="14"/>
      <c r="I30" s="14"/>
      <c r="J30" s="14"/>
      <c r="K30" s="14"/>
      <c r="L30" s="15"/>
      <c r="M30" s="380"/>
    </row>
    <row r="31" spans="2:15" x14ac:dyDescent="0.25">
      <c r="B31" s="382"/>
      <c r="C31" s="2" t="s">
        <v>30</v>
      </c>
      <c r="F31" s="14"/>
      <c r="G31" s="13"/>
      <c r="H31" s="14"/>
      <c r="I31" s="14"/>
      <c r="J31" s="14"/>
      <c r="K31" s="14"/>
      <c r="L31" s="15"/>
      <c r="M31" s="380"/>
    </row>
    <row r="32" spans="2:15" x14ac:dyDescent="0.25">
      <c r="B32" s="382"/>
      <c r="C32" s="1" t="s">
        <v>31</v>
      </c>
      <c r="D32" s="13">
        <v>0.48087714754381422</v>
      </c>
      <c r="E32" s="13">
        <v>0.46179701306351573</v>
      </c>
      <c r="F32" s="14">
        <v>1.0413171457167356</v>
      </c>
      <c r="G32" s="13">
        <v>0.4916982188238192</v>
      </c>
      <c r="H32" s="14">
        <v>0.9391878908330612</v>
      </c>
      <c r="I32" s="14"/>
      <c r="J32" s="14"/>
      <c r="K32" s="14"/>
      <c r="L32" s="15"/>
      <c r="M32" s="380"/>
    </row>
    <row r="33" spans="2:13" x14ac:dyDescent="0.25">
      <c r="B33" s="382"/>
      <c r="C33" s="1" t="s">
        <v>32</v>
      </c>
      <c r="D33" s="13">
        <v>0.1985668652335319</v>
      </c>
      <c r="E33" s="13">
        <v>0.2145026970211488</v>
      </c>
      <c r="F33" s="14">
        <v>0.92570801202538855</v>
      </c>
      <c r="G33" s="13">
        <v>0.14338031637987977</v>
      </c>
      <c r="H33" s="14">
        <v>1.4960400593121403</v>
      </c>
      <c r="I33" s="14"/>
      <c r="J33" s="14"/>
      <c r="K33" s="14"/>
      <c r="L33" s="15"/>
      <c r="M33" s="380"/>
    </row>
    <row r="34" spans="2:13" x14ac:dyDescent="0.25">
      <c r="B34" s="382"/>
      <c r="C34" s="1" t="s">
        <v>33</v>
      </c>
      <c r="D34" s="13">
        <v>0.12647845981179315</v>
      </c>
      <c r="E34" s="13">
        <v>0.13478175496956465</v>
      </c>
      <c r="F34" s="14">
        <v>0.93839451667885987</v>
      </c>
      <c r="G34" s="13">
        <v>0.13350111393482081</v>
      </c>
      <c r="H34" s="14">
        <v>1.0095927366970818</v>
      </c>
      <c r="I34" s="14"/>
      <c r="J34" s="14"/>
      <c r="K34" s="14"/>
      <c r="L34" s="15"/>
      <c r="M34" s="380"/>
    </row>
    <row r="35" spans="2:13" x14ac:dyDescent="0.25">
      <c r="B35" s="382"/>
      <c r="C35" s="1" t="s">
        <v>34</v>
      </c>
      <c r="D35" s="13">
        <v>8.7024087024087024E-2</v>
      </c>
      <c r="E35" s="13">
        <v>8.8198944292364023E-2</v>
      </c>
      <c r="F35" s="14">
        <v>0.9866794633688295</v>
      </c>
      <c r="G35" s="13">
        <v>0.10246565834107677</v>
      </c>
      <c r="H35" s="14">
        <v>0.86076589679223814</v>
      </c>
      <c r="I35" s="14"/>
      <c r="J35" s="14"/>
      <c r="K35" s="14"/>
      <c r="L35" s="15"/>
      <c r="M35" s="380"/>
    </row>
    <row r="36" spans="2:13" x14ac:dyDescent="0.25">
      <c r="B36" s="382"/>
      <c r="C36" s="1" t="s">
        <v>35</v>
      </c>
      <c r="D36" s="13">
        <v>1.7957351290684626E-2</v>
      </c>
      <c r="E36" s="13">
        <v>1.8480658835487485E-2</v>
      </c>
      <c r="F36" s="14">
        <v>0.9716835016835017</v>
      </c>
      <c r="G36" s="13">
        <v>3.3207572517716603E-2</v>
      </c>
      <c r="H36" s="14">
        <v>0.55651941513122805</v>
      </c>
      <c r="I36" s="14"/>
      <c r="J36" s="14"/>
      <c r="K36" s="14"/>
      <c r="L36" s="15"/>
      <c r="M36" s="380"/>
    </row>
    <row r="37" spans="2:13" x14ac:dyDescent="0.25">
      <c r="B37" s="382"/>
      <c r="C37" s="1" t="s">
        <v>36</v>
      </c>
      <c r="D37" s="13">
        <v>1.5022015022015021E-2</v>
      </c>
      <c r="E37" s="13">
        <v>1.4310960185730621E-2</v>
      </c>
      <c r="F37" s="14">
        <v>1.0496860327368802</v>
      </c>
      <c r="G37" s="13">
        <v>2.6221465915833547E-2</v>
      </c>
      <c r="H37" s="14">
        <v>0.5457726975168502</v>
      </c>
      <c r="I37" s="14"/>
      <c r="J37" s="14"/>
      <c r="K37" s="14"/>
      <c r="L37" s="15"/>
      <c r="M37" s="380"/>
    </row>
    <row r="38" spans="2:13" x14ac:dyDescent="0.25">
      <c r="B38" s="382"/>
      <c r="C38" s="1" t="s">
        <v>37</v>
      </c>
      <c r="D38" s="13">
        <v>7.407407407407407E-2</v>
      </c>
      <c r="E38" s="13">
        <v>6.792797163218868E-2</v>
      </c>
      <c r="F38" s="14">
        <v>1.0904796992197094</v>
      </c>
      <c r="G38" s="13">
        <v>6.9525654086853336E-2</v>
      </c>
      <c r="H38" s="14">
        <v>0.97702024561079581</v>
      </c>
      <c r="I38" s="14"/>
      <c r="J38" s="14"/>
      <c r="K38" s="14"/>
      <c r="L38" s="15"/>
      <c r="M38" s="380"/>
    </row>
    <row r="39" spans="2:13" x14ac:dyDescent="0.25">
      <c r="B39" s="382"/>
      <c r="C39" s="1"/>
      <c r="D39" s="13"/>
      <c r="E39" s="13"/>
      <c r="F39" s="14"/>
      <c r="G39" s="13"/>
      <c r="H39" s="14"/>
      <c r="I39" s="14"/>
      <c r="J39" s="14"/>
      <c r="K39" s="14"/>
      <c r="L39" s="15"/>
      <c r="M39" s="380"/>
    </row>
    <row r="40" spans="2:13" x14ac:dyDescent="0.25">
      <c r="B40" s="382"/>
      <c r="C40" s="2" t="s">
        <v>38</v>
      </c>
      <c r="F40" s="14"/>
      <c r="G40" s="13"/>
      <c r="H40" s="14"/>
      <c r="I40" s="14"/>
      <c r="J40" s="14"/>
      <c r="K40" s="14"/>
      <c r="L40" s="15"/>
      <c r="M40" s="380"/>
    </row>
    <row r="41" spans="2:13" x14ac:dyDescent="0.25">
      <c r="B41" s="382"/>
      <c r="C41" s="1" t="s">
        <v>39</v>
      </c>
      <c r="D41" s="13">
        <v>0.34852014841660195</v>
      </c>
      <c r="E41" s="13">
        <v>0.25283493845123445</v>
      </c>
      <c r="F41" s="14">
        <v>1.3784493177703081</v>
      </c>
      <c r="G41" s="16" t="s">
        <v>12</v>
      </c>
      <c r="H41" s="16" t="s">
        <v>12</v>
      </c>
      <c r="I41" s="16"/>
      <c r="J41" s="16"/>
      <c r="K41" s="16"/>
      <c r="L41" s="36"/>
      <c r="M41" s="380"/>
    </row>
    <row r="42" spans="2:13" x14ac:dyDescent="0.25">
      <c r="B42" s="382"/>
      <c r="C42" s="1" t="s">
        <v>40</v>
      </c>
      <c r="D42" s="13">
        <v>5.6691690396065232E-2</v>
      </c>
      <c r="E42" s="13">
        <v>4.1224970553592463E-2</v>
      </c>
      <c r="F42" s="14">
        <v>1.3751784327502681</v>
      </c>
      <c r="G42" s="13">
        <v>0.23826371358004139</v>
      </c>
      <c r="H42" s="14">
        <v>0.17302244615499751</v>
      </c>
      <c r="I42" s="14"/>
      <c r="J42" s="14"/>
      <c r="K42" s="14"/>
      <c r="L42" s="15"/>
      <c r="M42" s="380"/>
    </row>
    <row r="43" spans="2:13" x14ac:dyDescent="0.25">
      <c r="B43" s="382"/>
      <c r="C43" s="1" t="s">
        <v>41</v>
      </c>
      <c r="D43" s="13">
        <v>0.10527224091811201</v>
      </c>
      <c r="E43" s="13">
        <v>8.3962678121896575E-2</v>
      </c>
      <c r="F43" s="14">
        <v>1.2537980358996925</v>
      </c>
      <c r="G43" s="13">
        <v>0.2944472672851261</v>
      </c>
      <c r="H43" s="14">
        <v>0.28515353155100559</v>
      </c>
      <c r="I43" s="14"/>
      <c r="J43" s="14"/>
      <c r="K43" s="14"/>
      <c r="L43" s="15"/>
      <c r="M43" s="380"/>
    </row>
    <row r="44" spans="2:13" x14ac:dyDescent="0.25">
      <c r="B44" s="382"/>
      <c r="C44" s="1" t="s">
        <v>42</v>
      </c>
      <c r="D44" s="13">
        <v>0.13788937785831393</v>
      </c>
      <c r="E44" s="13">
        <v>0.13220859604147903</v>
      </c>
      <c r="F44" s="14">
        <v>1.0429683242007397</v>
      </c>
      <c r="G44" s="13">
        <v>0.2295170839287588</v>
      </c>
      <c r="H44" s="14">
        <v>0.57602943440374166</v>
      </c>
      <c r="I44" s="14"/>
      <c r="J44" s="14"/>
      <c r="K44" s="14"/>
      <c r="L44" s="15"/>
      <c r="M44" s="380"/>
    </row>
    <row r="45" spans="2:13" x14ac:dyDescent="0.25">
      <c r="B45" s="382"/>
      <c r="C45" s="1" t="s">
        <v>43</v>
      </c>
      <c r="D45" s="13">
        <v>0.18241435844335147</v>
      </c>
      <c r="E45" s="13">
        <v>0.21061687336889998</v>
      </c>
      <c r="F45" s="14">
        <v>0.86609565285801582</v>
      </c>
      <c r="G45" s="13">
        <v>0.16500439759050969</v>
      </c>
      <c r="H45" s="14">
        <v>1.2764318796616951</v>
      </c>
      <c r="I45" s="14"/>
      <c r="J45" s="14"/>
      <c r="K45" s="14"/>
      <c r="L45" s="15"/>
      <c r="M45" s="380"/>
    </row>
    <row r="46" spans="2:13" ht="15.75" thickBot="1" x14ac:dyDescent="0.3">
      <c r="B46" s="383"/>
      <c r="C46" s="9" t="s">
        <v>44</v>
      </c>
      <c r="D46" s="17">
        <v>0.16921218396755544</v>
      </c>
      <c r="E46" s="17">
        <v>0.27915194346289751</v>
      </c>
      <c r="F46" s="14">
        <v>0.60616516535212905</v>
      </c>
      <c r="G46" s="17">
        <v>7.2767537615563996E-2</v>
      </c>
      <c r="H46" s="14">
        <v>3.8362153318651071</v>
      </c>
      <c r="I46" s="14"/>
      <c r="J46" s="14"/>
      <c r="K46" s="14"/>
      <c r="L46" s="19"/>
      <c r="M46" s="384"/>
    </row>
    <row r="47" spans="2:13" ht="15.75" thickBot="1" x14ac:dyDescent="0.3">
      <c r="B47" s="60"/>
      <c r="C47" s="45"/>
      <c r="D47" s="43"/>
      <c r="E47" s="43"/>
      <c r="F47" s="43"/>
      <c r="G47" s="43"/>
      <c r="H47" s="43"/>
      <c r="I47" s="43"/>
      <c r="J47" s="43"/>
      <c r="K47" s="43"/>
      <c r="L47" s="26"/>
      <c r="M47" s="28"/>
    </row>
    <row r="48" spans="2:13" x14ac:dyDescent="0.25">
      <c r="B48" s="373" t="s">
        <v>45</v>
      </c>
      <c r="C48" s="5"/>
      <c r="D48" s="385" t="s">
        <v>46</v>
      </c>
      <c r="E48" s="385"/>
      <c r="F48" s="385" t="s">
        <v>47</v>
      </c>
      <c r="G48" s="385"/>
      <c r="H48" s="42"/>
      <c r="I48" s="95"/>
      <c r="J48" s="95"/>
      <c r="K48" s="95"/>
      <c r="L48" s="7"/>
      <c r="M48" s="386" t="s">
        <v>48</v>
      </c>
    </row>
    <row r="49" spans="2:16" x14ac:dyDescent="0.25">
      <c r="B49" s="374"/>
      <c r="C49" s="1"/>
      <c r="D49" s="40" t="s">
        <v>49</v>
      </c>
      <c r="E49" s="40" t="s">
        <v>50</v>
      </c>
      <c r="F49" s="40" t="s">
        <v>49</v>
      </c>
      <c r="G49" s="40" t="s">
        <v>50</v>
      </c>
      <c r="H49" s="41" t="s">
        <v>51</v>
      </c>
      <c r="I49" s="96" t="s">
        <v>52</v>
      </c>
      <c r="J49" s="97"/>
      <c r="K49" s="97"/>
      <c r="L49" s="99"/>
      <c r="M49" s="387"/>
    </row>
    <row r="50" spans="2:16" x14ac:dyDescent="0.25">
      <c r="B50" s="374"/>
      <c r="C50" s="2" t="s">
        <v>53</v>
      </c>
      <c r="H50" s="13"/>
      <c r="I50" s="13"/>
      <c r="J50" s="13"/>
      <c r="K50" s="13"/>
      <c r="L50" s="4"/>
      <c r="M50" s="387"/>
    </row>
    <row r="51" spans="2:16" x14ac:dyDescent="0.25">
      <c r="B51" s="374"/>
      <c r="C51" s="1" t="s">
        <v>54</v>
      </c>
      <c r="D51" s="73">
        <v>3864822</v>
      </c>
      <c r="E51" s="38">
        <v>0.6797941281023302</v>
      </c>
      <c r="F51" s="8">
        <v>117060</v>
      </c>
      <c r="G51" s="13">
        <v>0.57117205911772306</v>
      </c>
      <c r="H51" s="14">
        <v>0.84021328738477108</v>
      </c>
      <c r="I51" s="39">
        <v>3.0288587676224159E-2</v>
      </c>
      <c r="J51" s="14"/>
      <c r="K51" s="14"/>
      <c r="L51" s="82"/>
      <c r="M51" s="387"/>
    </row>
    <row r="52" spans="2:16" x14ac:dyDescent="0.25">
      <c r="B52" s="374"/>
      <c r="C52" s="1" t="s">
        <v>55</v>
      </c>
      <c r="D52" s="73">
        <v>1820461</v>
      </c>
      <c r="E52" s="38">
        <v>0.3202058718976698</v>
      </c>
      <c r="F52" s="8">
        <v>87887</v>
      </c>
      <c r="G52" s="13">
        <v>0.42882794088227688</v>
      </c>
      <c r="H52" s="14">
        <v>1.3392257248153154</v>
      </c>
      <c r="I52" s="39">
        <v>4.8277331950533409E-2</v>
      </c>
      <c r="J52" s="14"/>
      <c r="K52" s="14"/>
      <c r="L52" s="82"/>
      <c r="M52" s="387"/>
    </row>
    <row r="53" spans="2:16" x14ac:dyDescent="0.25">
      <c r="B53" s="374"/>
      <c r="C53" s="1" t="s">
        <v>53</v>
      </c>
      <c r="D53" s="73">
        <v>5685283</v>
      </c>
      <c r="E53" s="38"/>
      <c r="F53" s="8">
        <v>204947</v>
      </c>
      <c r="H53" s="14"/>
      <c r="I53" s="39">
        <v>3.6048689220923566E-2</v>
      </c>
      <c r="J53" s="14"/>
      <c r="K53" s="14"/>
      <c r="L53" s="82"/>
      <c r="M53" s="387"/>
    </row>
    <row r="54" spans="2:16" x14ac:dyDescent="0.25">
      <c r="B54" s="374"/>
      <c r="C54" s="1"/>
      <c r="D54" s="38"/>
      <c r="E54" s="38"/>
      <c r="F54" s="8"/>
      <c r="H54" s="14"/>
      <c r="I54" s="39"/>
      <c r="J54" s="14"/>
      <c r="K54" s="14"/>
      <c r="L54" s="82"/>
      <c r="M54" s="387"/>
    </row>
    <row r="55" spans="2:16" x14ac:dyDescent="0.25">
      <c r="B55" s="374"/>
      <c r="C55" s="2" t="s">
        <v>56</v>
      </c>
      <c r="D55" s="38"/>
      <c r="E55" s="38"/>
      <c r="H55" s="14"/>
      <c r="I55" s="39"/>
      <c r="J55" s="14"/>
      <c r="K55" s="14"/>
      <c r="L55" s="82"/>
      <c r="M55" s="387"/>
    </row>
    <row r="56" spans="2:16" x14ac:dyDescent="0.25">
      <c r="B56" s="374"/>
      <c r="C56" s="1" t="s">
        <v>57</v>
      </c>
      <c r="D56" s="73">
        <v>576141</v>
      </c>
      <c r="E56" s="38">
        <v>0.31648082546124306</v>
      </c>
      <c r="F56" s="8">
        <v>27522</v>
      </c>
      <c r="G56" s="13">
        <v>0.31315211578504215</v>
      </c>
      <c r="H56" s="14">
        <v>0.98948211263241748</v>
      </c>
      <c r="I56" s="39">
        <v>4.7769556410670308E-2</v>
      </c>
      <c r="J56" s="14"/>
      <c r="K56" s="14"/>
      <c r="L56" s="82"/>
      <c r="M56" s="387"/>
    </row>
    <row r="57" spans="2:16" x14ac:dyDescent="0.25">
      <c r="B57" s="374"/>
      <c r="C57" s="1" t="s">
        <v>58</v>
      </c>
      <c r="D57" s="73">
        <v>282619</v>
      </c>
      <c r="E57" s="38">
        <v>0.15524584157529328</v>
      </c>
      <c r="F57" s="8">
        <v>21884</v>
      </c>
      <c r="G57" s="13">
        <v>0.2490015588198482</v>
      </c>
      <c r="H57" s="14">
        <v>1.6039177364959174</v>
      </c>
      <c r="I57" s="39">
        <v>7.7432868986161585E-2</v>
      </c>
      <c r="J57" s="14"/>
      <c r="K57" s="14"/>
      <c r="L57" s="82"/>
      <c r="M57" s="387"/>
    </row>
    <row r="58" spans="2:16" x14ac:dyDescent="0.25">
      <c r="B58" s="374"/>
      <c r="C58" s="1" t="s">
        <v>59</v>
      </c>
      <c r="D58" s="73">
        <v>206117</v>
      </c>
      <c r="E58" s="38">
        <v>0.11322242003536467</v>
      </c>
      <c r="F58" s="8">
        <v>16165</v>
      </c>
      <c r="G58" s="13">
        <v>0.18392936384220646</v>
      </c>
      <c r="H58" s="14">
        <v>1.6244959592345463</v>
      </c>
      <c r="I58" s="39">
        <v>7.8426330676266393E-2</v>
      </c>
      <c r="J58" s="14"/>
      <c r="K58" s="14"/>
      <c r="L58" s="82"/>
      <c r="M58" s="387"/>
    </row>
    <row r="59" spans="2:16" x14ac:dyDescent="0.25">
      <c r="B59" s="374"/>
      <c r="C59" s="1" t="s">
        <v>60</v>
      </c>
      <c r="D59" s="73">
        <v>667043</v>
      </c>
      <c r="E59" s="38">
        <v>0.36641433131498008</v>
      </c>
      <c r="F59" s="8">
        <v>17144</v>
      </c>
      <c r="G59" s="13">
        <v>0.19506866772105089</v>
      </c>
      <c r="H59" s="14">
        <v>0.53237182896474744</v>
      </c>
      <c r="I59" s="39">
        <v>2.5701491508043708E-2</v>
      </c>
      <c r="J59" s="14"/>
      <c r="K59" s="14"/>
      <c r="L59" s="82"/>
      <c r="M59" s="387"/>
    </row>
    <row r="60" spans="2:16" x14ac:dyDescent="0.25">
      <c r="B60" s="374"/>
      <c r="C60" s="1" t="s">
        <v>61</v>
      </c>
      <c r="D60" s="73">
        <v>19589</v>
      </c>
      <c r="E60" s="38">
        <v>1.0760461223832864E-2</v>
      </c>
      <c r="F60" s="8">
        <v>1502</v>
      </c>
      <c r="G60" s="13">
        <v>1.7090127095019742E-2</v>
      </c>
      <c r="H60" s="14">
        <v>1.5882336955192575</v>
      </c>
      <c r="I60" s="39">
        <v>7.6675685333605595E-2</v>
      </c>
      <c r="J60" s="14"/>
      <c r="K60" s="14"/>
      <c r="L60" s="82"/>
      <c r="M60" s="387"/>
    </row>
    <row r="61" spans="2:16" x14ac:dyDescent="0.25">
      <c r="B61" s="374"/>
      <c r="C61" s="1" t="s">
        <v>62</v>
      </c>
      <c r="D61" s="73">
        <v>48739</v>
      </c>
      <c r="E61" s="38">
        <v>2.6772888845188116E-2</v>
      </c>
      <c r="F61" s="3">
        <v>2582</v>
      </c>
      <c r="G61" s="13">
        <v>2.9378633927657105E-2</v>
      </c>
      <c r="H61" s="14">
        <v>1.0973277518737885</v>
      </c>
      <c r="I61" s="39">
        <v>5.2976056135743452E-2</v>
      </c>
      <c r="J61" s="14"/>
      <c r="K61" s="14"/>
      <c r="L61" s="82"/>
      <c r="M61" s="387"/>
      <c r="P61" s="13"/>
    </row>
    <row r="62" spans="2:16" ht="15.75" thickBot="1" x14ac:dyDescent="0.3">
      <c r="B62" s="375"/>
      <c r="C62" s="9" t="s">
        <v>63</v>
      </c>
      <c r="D62" s="74">
        <v>20213</v>
      </c>
      <c r="E62" s="44">
        <v>1.1103231544097897E-2</v>
      </c>
      <c r="F62" s="10">
        <v>1088</v>
      </c>
      <c r="G62" s="17">
        <v>1.2379532809175418E-2</v>
      </c>
      <c r="H62" s="18">
        <v>1.1149486309466328</v>
      </c>
      <c r="I62" s="100">
        <v>5.3826745164003362E-2</v>
      </c>
      <c r="J62" s="18"/>
      <c r="K62" s="18"/>
      <c r="L62" s="83"/>
      <c r="M62" s="388"/>
    </row>
    <row r="63" spans="2:16" ht="15.75" thickBot="1" x14ac:dyDescent="0.3">
      <c r="C63" s="1"/>
      <c r="D63" s="8"/>
      <c r="L63" s="4"/>
      <c r="M63" s="28"/>
    </row>
    <row r="64" spans="2:16" x14ac:dyDescent="0.25">
      <c r="B64" s="373" t="s">
        <v>64</v>
      </c>
      <c r="C64" s="21" t="s">
        <v>65</v>
      </c>
      <c r="D64" s="23" t="s">
        <v>66</v>
      </c>
      <c r="E64" s="48" t="s">
        <v>67</v>
      </c>
      <c r="F64" s="48" t="s">
        <v>68</v>
      </c>
      <c r="G64" s="48" t="s">
        <v>51</v>
      </c>
      <c r="H64" s="6"/>
      <c r="I64" s="6"/>
      <c r="J64" s="6"/>
      <c r="K64" s="6"/>
      <c r="L64" s="7"/>
      <c r="M64" s="373" t="s">
        <v>19</v>
      </c>
    </row>
    <row r="65" spans="2:16" x14ac:dyDescent="0.25">
      <c r="B65" s="374"/>
      <c r="C65" s="1" t="s">
        <v>69</v>
      </c>
      <c r="D65" s="8">
        <v>53402</v>
      </c>
      <c r="E65" s="67"/>
      <c r="F65" s="68"/>
      <c r="L65" s="4"/>
      <c r="M65" s="374"/>
    </row>
    <row r="66" spans="2:16" x14ac:dyDescent="0.25">
      <c r="B66" s="374"/>
      <c r="C66" s="1" t="s">
        <v>70</v>
      </c>
      <c r="D66" s="69">
        <v>0.74079931194251392</v>
      </c>
      <c r="E66" s="110"/>
      <c r="F66" s="68"/>
      <c r="L66" s="4"/>
      <c r="M66" s="374"/>
    </row>
    <row r="67" spans="2:16" x14ac:dyDescent="0.25">
      <c r="B67" s="374"/>
      <c r="C67" s="1"/>
      <c r="D67" s="70"/>
      <c r="E67" s="68"/>
      <c r="F67" s="14"/>
      <c r="L67" s="4"/>
      <c r="M67" s="374"/>
      <c r="P67" s="8"/>
    </row>
    <row r="68" spans="2:16" ht="14.45" customHeight="1" x14ac:dyDescent="0.25">
      <c r="B68" s="374"/>
      <c r="C68" s="1" t="s">
        <v>71</v>
      </c>
      <c r="D68" s="8">
        <v>204947</v>
      </c>
      <c r="E68" s="67"/>
      <c r="F68" s="68"/>
      <c r="L68" s="4"/>
      <c r="M68" s="374"/>
      <c r="N68" s="24"/>
      <c r="P68" s="14"/>
    </row>
    <row r="69" spans="2:16" x14ac:dyDescent="0.25">
      <c r="B69" s="374"/>
      <c r="C69" s="1" t="s">
        <v>72</v>
      </c>
      <c r="D69" s="71">
        <v>3.8378150631062509</v>
      </c>
      <c r="E69" s="14"/>
      <c r="F69" s="14"/>
      <c r="L69" s="4"/>
      <c r="M69" s="374"/>
    </row>
    <row r="70" spans="2:16" x14ac:dyDescent="0.25">
      <c r="B70" s="374"/>
      <c r="C70" s="1"/>
      <c r="D70" s="71"/>
      <c r="F70" s="14"/>
      <c r="L70" s="4"/>
      <c r="M70" s="374"/>
      <c r="P70" s="8"/>
    </row>
    <row r="71" spans="2:16" x14ac:dyDescent="0.25">
      <c r="B71" s="374"/>
      <c r="C71" s="1" t="s">
        <v>73</v>
      </c>
      <c r="D71" s="8">
        <v>93625</v>
      </c>
      <c r="E71" s="67"/>
      <c r="F71" s="14"/>
      <c r="L71" s="4"/>
      <c r="M71" s="374"/>
      <c r="P71" s="14"/>
    </row>
    <row r="72" spans="2:16" x14ac:dyDescent="0.25">
      <c r="B72" s="374"/>
      <c r="C72" s="1" t="s">
        <v>74</v>
      </c>
      <c r="D72" s="71">
        <v>1.7532114902063594</v>
      </c>
      <c r="E72" s="72"/>
      <c r="F72" s="14"/>
      <c r="L72" s="4"/>
      <c r="M72" s="374"/>
    </row>
    <row r="73" spans="2:16" ht="15.75" thickBot="1" x14ac:dyDescent="0.3">
      <c r="B73" s="375"/>
      <c r="C73" s="9" t="s">
        <v>75</v>
      </c>
      <c r="D73" s="84">
        <v>2.1890200267022695</v>
      </c>
      <c r="E73" s="85"/>
      <c r="F73" s="18"/>
      <c r="G73" s="20"/>
      <c r="H73" s="20"/>
      <c r="I73" s="20"/>
      <c r="J73" s="20"/>
      <c r="K73" s="20"/>
      <c r="L73" s="11"/>
      <c r="M73" s="375"/>
    </row>
    <row r="74" spans="2:16" x14ac:dyDescent="0.25">
      <c r="D74" s="37"/>
      <c r="E74" s="22"/>
      <c r="F74" s="14"/>
    </row>
    <row r="75" spans="2:16" s="35" customFormat="1" x14ac:dyDescent="0.25">
      <c r="B75" s="47"/>
      <c r="C75" s="78"/>
      <c r="D75" s="8"/>
      <c r="E75" s="13"/>
    </row>
    <row r="76" spans="2:16" s="35" customFormat="1" x14ac:dyDescent="0.25">
      <c r="B76" s="47"/>
      <c r="C76" s="78"/>
      <c r="D76" s="8"/>
      <c r="E76" s="34"/>
    </row>
    <row r="77" spans="2:16" s="35" customFormat="1" x14ac:dyDescent="0.25">
      <c r="B77" s="47"/>
      <c r="C77" s="78"/>
      <c r="D77" s="8"/>
      <c r="E77" s="34"/>
    </row>
    <row r="78" spans="2:16" s="35" customFormat="1" x14ac:dyDescent="0.25">
      <c r="B78" s="47"/>
      <c r="C78" s="78"/>
      <c r="D78" s="8"/>
      <c r="E78" s="34"/>
    </row>
    <row r="79" spans="2:16" s="35" customFormat="1" x14ac:dyDescent="0.25">
      <c r="B79" s="47"/>
      <c r="C79" s="78"/>
      <c r="D79" s="8"/>
      <c r="E79" s="78"/>
    </row>
    <row r="80" spans="2:16" s="35" customFormat="1" x14ac:dyDescent="0.25">
      <c r="B80" s="47"/>
      <c r="C80" s="78"/>
      <c r="D80" s="8"/>
      <c r="E80" s="34"/>
    </row>
  </sheetData>
  <mergeCells count="11">
    <mergeCell ref="B64:B73"/>
    <mergeCell ref="M64:M73"/>
    <mergeCell ref="C2:L2"/>
    <mergeCell ref="B3:B16"/>
    <mergeCell ref="M3:M16"/>
    <mergeCell ref="B18:B46"/>
    <mergeCell ref="M18:M46"/>
    <mergeCell ref="B48:B62"/>
    <mergeCell ref="D48:E48"/>
    <mergeCell ref="F48:G48"/>
    <mergeCell ref="M48:M6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A555A-B47B-4D86-873F-72BFCC76AB92}">
  <sheetPr codeName="Sheet13">
    <tabColor theme="4"/>
  </sheetPr>
  <dimension ref="B1:P81"/>
  <sheetViews>
    <sheetView topLeftCell="A42"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1" width="13.28515625" style="3" customWidth="1"/>
    <col min="12" max="12" width="12" style="3" bestFit="1" customWidth="1"/>
    <col min="13" max="13" width="14.28515625" style="47" customWidth="1"/>
    <col min="14" max="16384" width="8.85546875" style="3"/>
  </cols>
  <sheetData>
    <row r="1" spans="2:15" ht="15.75" thickBot="1" x14ac:dyDescent="0.3"/>
    <row r="2" spans="2:15" ht="15.75" thickBot="1" x14ac:dyDescent="0.3">
      <c r="C2" s="376" t="s">
        <v>124</v>
      </c>
      <c r="D2" s="377"/>
      <c r="E2" s="377"/>
      <c r="F2" s="377"/>
      <c r="G2" s="377"/>
      <c r="H2" s="377"/>
      <c r="I2" s="377"/>
      <c r="J2" s="377"/>
      <c r="K2" s="377"/>
      <c r="L2" s="378"/>
      <c r="M2" s="46" t="s">
        <v>1</v>
      </c>
    </row>
    <row r="3" spans="2:15" x14ac:dyDescent="0.25">
      <c r="B3" s="373" t="s">
        <v>2</v>
      </c>
      <c r="C3" s="61" t="s">
        <v>3</v>
      </c>
      <c r="D3" s="62" t="s">
        <v>4</v>
      </c>
      <c r="E3" s="62" t="s">
        <v>5</v>
      </c>
      <c r="F3" s="62" t="s">
        <v>6</v>
      </c>
      <c r="G3" s="62" t="s">
        <v>7</v>
      </c>
      <c r="H3" s="62" t="s">
        <v>8</v>
      </c>
      <c r="I3" s="91" t="s">
        <v>114</v>
      </c>
      <c r="J3" s="91" t="s">
        <v>115</v>
      </c>
      <c r="K3" s="91" t="s">
        <v>116</v>
      </c>
      <c r="L3" s="63" t="s">
        <v>9</v>
      </c>
      <c r="M3" s="379" t="s">
        <v>10</v>
      </c>
    </row>
    <row r="4" spans="2:15" x14ac:dyDescent="0.25">
      <c r="B4" s="374"/>
      <c r="C4" s="57" t="s">
        <v>11</v>
      </c>
      <c r="D4" s="52">
        <v>0</v>
      </c>
      <c r="E4" s="53">
        <v>16908</v>
      </c>
      <c r="F4" s="53">
        <v>16908</v>
      </c>
      <c r="G4" s="52">
        <v>0</v>
      </c>
      <c r="H4" s="53">
        <v>16908</v>
      </c>
      <c r="I4" s="92">
        <v>16908</v>
      </c>
      <c r="J4" s="98">
        <v>1</v>
      </c>
      <c r="K4" s="98">
        <v>0</v>
      </c>
      <c r="L4" s="54" t="s">
        <v>12</v>
      </c>
      <c r="M4" s="380"/>
    </row>
    <row r="5" spans="2:15" x14ac:dyDescent="0.25">
      <c r="B5" s="374"/>
      <c r="C5" s="57" t="s">
        <v>77</v>
      </c>
      <c r="D5" s="53">
        <v>16908</v>
      </c>
      <c r="E5" s="53">
        <v>8838</v>
      </c>
      <c r="F5" s="53">
        <v>8527</v>
      </c>
      <c r="G5" s="53">
        <v>1662</v>
      </c>
      <c r="H5" s="53">
        <v>24084</v>
      </c>
      <c r="I5" s="92">
        <v>7176</v>
      </c>
      <c r="J5" s="98">
        <v>0.96481104322244848</v>
      </c>
      <c r="K5" s="98">
        <v>3.5188956777551482E-2</v>
      </c>
      <c r="L5" s="59">
        <v>9.829666430092264E-2</v>
      </c>
      <c r="M5" s="380"/>
      <c r="O5" s="39"/>
    </row>
    <row r="6" spans="2:15" x14ac:dyDescent="0.25">
      <c r="B6" s="374"/>
      <c r="C6" s="57" t="s">
        <v>82</v>
      </c>
      <c r="D6" s="53">
        <v>24084</v>
      </c>
      <c r="E6" s="53">
        <v>10402</v>
      </c>
      <c r="F6" s="53">
        <v>9588</v>
      </c>
      <c r="G6" s="53">
        <v>2038</v>
      </c>
      <c r="H6" s="53">
        <v>32448</v>
      </c>
      <c r="I6" s="92">
        <v>8364</v>
      </c>
      <c r="J6" s="98">
        <v>0.92174581811190159</v>
      </c>
      <c r="K6" s="98">
        <v>7.8254181888098448E-2</v>
      </c>
      <c r="L6" s="59">
        <v>8.4620494934396273E-2</v>
      </c>
      <c r="M6" s="380"/>
      <c r="O6" s="39"/>
    </row>
    <row r="7" spans="2:15" x14ac:dyDescent="0.25">
      <c r="B7" s="374"/>
      <c r="C7" s="57" t="s">
        <v>86</v>
      </c>
      <c r="D7" s="53">
        <v>32448</v>
      </c>
      <c r="E7" s="53">
        <v>7055</v>
      </c>
      <c r="F7" s="53">
        <v>6350</v>
      </c>
      <c r="G7" s="53">
        <v>1765</v>
      </c>
      <c r="H7" s="53">
        <v>37738</v>
      </c>
      <c r="I7" s="92">
        <v>5290</v>
      </c>
      <c r="J7" s="98">
        <v>0.90007087172218281</v>
      </c>
      <c r="K7" s="98">
        <v>9.992912827781715E-2</v>
      </c>
      <c r="L7" s="59">
        <v>5.4394723865877709E-2</v>
      </c>
      <c r="M7" s="380"/>
      <c r="O7" s="39"/>
    </row>
    <row r="8" spans="2:15" x14ac:dyDescent="0.25">
      <c r="B8" s="374"/>
      <c r="C8" s="57" t="s">
        <v>90</v>
      </c>
      <c r="D8" s="53">
        <v>37738</v>
      </c>
      <c r="E8" s="53">
        <v>4453</v>
      </c>
      <c r="F8" s="53">
        <v>3751</v>
      </c>
      <c r="G8" s="53">
        <v>2136</v>
      </c>
      <c r="H8" s="53">
        <v>40055</v>
      </c>
      <c r="I8" s="92">
        <v>2317</v>
      </c>
      <c r="J8" s="98">
        <v>0.84235346957107571</v>
      </c>
      <c r="K8" s="98">
        <v>0.15764653042892432</v>
      </c>
      <c r="L8" s="59">
        <v>5.6600773755895915E-2</v>
      </c>
      <c r="M8" s="380"/>
      <c r="O8" s="39"/>
    </row>
    <row r="9" spans="2:15" x14ac:dyDescent="0.25">
      <c r="B9" s="374"/>
      <c r="C9" s="57" t="s">
        <v>94</v>
      </c>
      <c r="D9" s="53">
        <v>40055</v>
      </c>
      <c r="E9" s="53">
        <v>1126</v>
      </c>
      <c r="F9" s="52">
        <v>890</v>
      </c>
      <c r="G9" s="53">
        <v>2158</v>
      </c>
      <c r="H9" s="53">
        <v>39023</v>
      </c>
      <c r="I9" s="92">
        <v>-1032</v>
      </c>
      <c r="J9" s="98">
        <v>0.79040852575488452</v>
      </c>
      <c r="K9" s="98">
        <v>0.20959147424511546</v>
      </c>
      <c r="L9" s="59">
        <v>5.3875920609162402E-2</v>
      </c>
      <c r="M9" s="380"/>
      <c r="O9" s="39"/>
    </row>
    <row r="10" spans="2:15" x14ac:dyDescent="0.25">
      <c r="B10" s="374"/>
      <c r="C10" s="57" t="s">
        <v>98</v>
      </c>
      <c r="D10" s="53">
        <v>39023</v>
      </c>
      <c r="E10" s="53">
        <v>2415</v>
      </c>
      <c r="F10" s="53">
        <v>1593</v>
      </c>
      <c r="G10" s="53">
        <v>2117</v>
      </c>
      <c r="H10" s="53">
        <v>39321</v>
      </c>
      <c r="I10" s="92">
        <v>298</v>
      </c>
      <c r="J10" s="98">
        <v>0.65962732919254663</v>
      </c>
      <c r="K10" s="98">
        <v>0.34037267080745343</v>
      </c>
      <c r="L10" s="59">
        <v>5.4250057658304075E-2</v>
      </c>
      <c r="M10" s="380"/>
      <c r="O10" s="39"/>
    </row>
    <row r="11" spans="2:15" x14ac:dyDescent="0.25">
      <c r="B11" s="374"/>
      <c r="C11" s="57" t="s">
        <v>102</v>
      </c>
      <c r="D11" s="53">
        <v>39321</v>
      </c>
      <c r="E11" s="53">
        <v>4303</v>
      </c>
      <c r="F11" s="53">
        <v>3269</v>
      </c>
      <c r="G11" s="53">
        <v>1616</v>
      </c>
      <c r="H11" s="53">
        <v>42008</v>
      </c>
      <c r="I11" s="92">
        <v>2687</v>
      </c>
      <c r="J11" s="98">
        <v>0.75970253311643043</v>
      </c>
      <c r="K11" s="98">
        <v>0.24029746688356959</v>
      </c>
      <c r="L11" s="59">
        <v>4.1097632308435696E-2</v>
      </c>
      <c r="M11" s="380"/>
      <c r="O11" s="39"/>
    </row>
    <row r="12" spans="2:15" x14ac:dyDescent="0.25">
      <c r="B12" s="374"/>
      <c r="C12" s="57" t="s">
        <v>106</v>
      </c>
      <c r="D12" s="53">
        <v>42008</v>
      </c>
      <c r="E12" s="53">
        <v>7320</v>
      </c>
      <c r="F12" s="53">
        <v>6176</v>
      </c>
      <c r="G12" s="53">
        <v>1969</v>
      </c>
      <c r="H12" s="53">
        <v>47359</v>
      </c>
      <c r="I12" s="92">
        <v>5351</v>
      </c>
      <c r="J12" s="98">
        <v>0.8437158469945355</v>
      </c>
      <c r="K12" s="98">
        <v>0.15628415300546447</v>
      </c>
      <c r="L12" s="59">
        <v>4.6872024376309274E-2</v>
      </c>
      <c r="M12" s="380"/>
      <c r="O12" s="39"/>
    </row>
    <row r="13" spans="2:15" x14ac:dyDescent="0.25">
      <c r="B13" s="374"/>
      <c r="C13" s="57" t="s">
        <v>110</v>
      </c>
      <c r="D13" s="53">
        <v>47359</v>
      </c>
      <c r="E13" s="53">
        <v>9040</v>
      </c>
      <c r="F13" s="53">
        <v>7891</v>
      </c>
      <c r="G13" s="53">
        <v>2294</v>
      </c>
      <c r="H13" s="53">
        <v>54105</v>
      </c>
      <c r="I13" s="92">
        <v>6746</v>
      </c>
      <c r="J13" s="98">
        <v>0.87289823008849554</v>
      </c>
      <c r="K13" s="98">
        <v>0.12710176991150443</v>
      </c>
      <c r="L13" s="59">
        <v>4.8438522772862605E-2</v>
      </c>
      <c r="M13" s="380"/>
      <c r="O13" s="39"/>
    </row>
    <row r="14" spans="2:15" x14ac:dyDescent="0.25">
      <c r="B14" s="374"/>
      <c r="C14" s="88" t="s">
        <v>117</v>
      </c>
      <c r="D14" s="53">
        <v>54105</v>
      </c>
      <c r="E14" s="89">
        <v>11314</v>
      </c>
      <c r="F14" s="89">
        <v>10076</v>
      </c>
      <c r="G14" s="89">
        <v>2964</v>
      </c>
      <c r="H14" s="89">
        <v>62455</v>
      </c>
      <c r="I14" s="92">
        <v>8350</v>
      </c>
      <c r="J14" s="98">
        <v>0.89057804490012371</v>
      </c>
      <c r="K14" s="98">
        <v>0.10942195509987626</v>
      </c>
      <c r="L14" s="90">
        <v>5.4782367618519547E-2</v>
      </c>
      <c r="M14" s="380"/>
      <c r="O14" s="39"/>
    </row>
    <row r="15" spans="2:15" x14ac:dyDescent="0.25">
      <c r="B15" s="374"/>
      <c r="C15" s="88" t="s">
        <v>121</v>
      </c>
      <c r="D15" s="89">
        <v>62455</v>
      </c>
      <c r="E15" s="89">
        <v>13238</v>
      </c>
      <c r="F15" s="89">
        <v>11589</v>
      </c>
      <c r="G15" s="89">
        <v>3606</v>
      </c>
      <c r="H15" s="89">
        <v>72087</v>
      </c>
      <c r="I15" s="103">
        <v>9632</v>
      </c>
      <c r="J15" s="105">
        <v>0.87543435564284633</v>
      </c>
      <c r="K15" s="104">
        <v>0.12</v>
      </c>
      <c r="L15" s="90">
        <v>0.06</v>
      </c>
      <c r="M15" s="380"/>
      <c r="O15" s="39"/>
    </row>
    <row r="16" spans="2:15" x14ac:dyDescent="0.25">
      <c r="B16" s="374"/>
      <c r="C16" s="88" t="s">
        <v>125</v>
      </c>
      <c r="D16" s="89">
        <v>72087</v>
      </c>
      <c r="E16" s="89">
        <v>7144</v>
      </c>
      <c r="F16" s="89">
        <v>5996</v>
      </c>
      <c r="G16" s="89">
        <v>4912</v>
      </c>
      <c r="H16" s="89">
        <v>74319</v>
      </c>
      <c r="I16" s="103">
        <v>2232</v>
      </c>
      <c r="J16" s="104">
        <v>0.8393057110862262</v>
      </c>
      <c r="K16" s="104">
        <v>0.1606942889137738</v>
      </c>
      <c r="L16" s="90">
        <v>6.8139886526003307E-2</v>
      </c>
      <c r="M16" s="380"/>
      <c r="O16" s="39"/>
    </row>
    <row r="17" spans="2:15" ht="15.75" thickBot="1" x14ac:dyDescent="0.3">
      <c r="B17" s="375"/>
      <c r="C17" s="58" t="s">
        <v>78</v>
      </c>
      <c r="D17" s="55"/>
      <c r="E17" s="113">
        <v>103556</v>
      </c>
      <c r="F17" s="113">
        <v>92604</v>
      </c>
      <c r="G17" s="113">
        <v>29237</v>
      </c>
      <c r="H17" s="55"/>
      <c r="I17" s="93"/>
      <c r="J17" s="93"/>
      <c r="K17" s="93"/>
      <c r="L17" s="112"/>
      <c r="M17" s="380"/>
      <c r="N17" s="8"/>
      <c r="O17" s="73"/>
    </row>
    <row r="18" spans="2:15" ht="15.75" thickBot="1" x14ac:dyDescent="0.3">
      <c r="C18" s="45"/>
      <c r="D18" s="25"/>
      <c r="E18" s="50"/>
      <c r="F18" s="50"/>
      <c r="G18" s="50"/>
      <c r="H18" s="50"/>
      <c r="I18" s="50"/>
      <c r="J18" s="50"/>
      <c r="K18" s="50"/>
      <c r="L18" s="51"/>
      <c r="M18" s="27"/>
      <c r="O18" s="8"/>
    </row>
    <row r="19" spans="2:15" x14ac:dyDescent="0.25">
      <c r="B19" s="381" t="s">
        <v>13</v>
      </c>
      <c r="C19" s="5"/>
      <c r="D19" s="48" t="s">
        <v>14</v>
      </c>
      <c r="E19" s="48" t="s">
        <v>15</v>
      </c>
      <c r="F19" s="48" t="s">
        <v>16</v>
      </c>
      <c r="G19" s="48" t="s">
        <v>17</v>
      </c>
      <c r="H19" s="48" t="s">
        <v>18</v>
      </c>
      <c r="I19" s="94"/>
      <c r="J19" s="94"/>
      <c r="K19" s="94"/>
      <c r="L19" s="49"/>
      <c r="M19" s="380" t="s">
        <v>19</v>
      </c>
      <c r="O19" s="39"/>
    </row>
    <row r="20" spans="2:15" x14ac:dyDescent="0.25">
      <c r="B20" s="382"/>
      <c r="C20" s="2" t="s">
        <v>20</v>
      </c>
      <c r="D20" s="47"/>
      <c r="E20" s="47"/>
      <c r="F20" s="47"/>
      <c r="G20" s="47"/>
      <c r="H20" s="47"/>
      <c r="I20" s="47"/>
      <c r="J20" s="47"/>
      <c r="K20" s="47"/>
      <c r="L20" s="12"/>
      <c r="M20" s="380"/>
      <c r="O20" s="8"/>
    </row>
    <row r="21" spans="2:15" x14ac:dyDescent="0.25">
      <c r="B21" s="382"/>
      <c r="C21" s="1" t="s">
        <v>21</v>
      </c>
      <c r="D21" s="13">
        <v>0.47088388214904681</v>
      </c>
      <c r="E21" s="13">
        <v>0.39734701056429927</v>
      </c>
      <c r="F21" s="14">
        <v>1.1850696485178356</v>
      </c>
      <c r="G21" s="13">
        <v>0.57235489190258093</v>
      </c>
      <c r="H21" s="14">
        <v>0.69423187638611239</v>
      </c>
      <c r="I21" s="14"/>
      <c r="J21" s="14"/>
      <c r="K21" s="14"/>
      <c r="L21" s="15"/>
      <c r="M21" s="380"/>
      <c r="O21" s="8"/>
    </row>
    <row r="22" spans="2:15" x14ac:dyDescent="0.25">
      <c r="B22" s="382"/>
      <c r="C22" s="1" t="s">
        <v>22</v>
      </c>
      <c r="D22" s="13">
        <v>0.52911611785095325</v>
      </c>
      <c r="E22" s="13">
        <v>0.60265298943570078</v>
      </c>
      <c r="F22" s="14">
        <v>0.87797808544249589</v>
      </c>
      <c r="G22" s="13">
        <v>0.42764510809741907</v>
      </c>
      <c r="H22" s="14">
        <v>1.4092362522674158</v>
      </c>
      <c r="I22" s="14"/>
      <c r="J22" s="14"/>
      <c r="K22" s="14"/>
      <c r="L22" s="15"/>
      <c r="M22" s="380"/>
    </row>
    <row r="23" spans="2:15" x14ac:dyDescent="0.25">
      <c r="B23" s="382"/>
      <c r="C23" s="1"/>
      <c r="D23" s="13"/>
      <c r="E23" s="13"/>
      <c r="F23" s="14"/>
      <c r="G23" s="13"/>
      <c r="H23" s="14"/>
      <c r="I23" s="14"/>
      <c r="J23" s="14"/>
      <c r="K23" s="14"/>
      <c r="L23" s="15"/>
      <c r="M23" s="380"/>
    </row>
    <row r="24" spans="2:15" x14ac:dyDescent="0.25">
      <c r="B24" s="382"/>
      <c r="C24" s="2" t="s">
        <v>23</v>
      </c>
      <c r="F24" s="14"/>
      <c r="G24" s="13"/>
      <c r="H24" s="14"/>
      <c r="I24" s="14"/>
      <c r="J24" s="14"/>
      <c r="K24" s="14"/>
      <c r="L24" s="15"/>
      <c r="M24" s="380"/>
    </row>
    <row r="25" spans="2:15" x14ac:dyDescent="0.25">
      <c r="B25" s="382"/>
      <c r="C25" s="1" t="s">
        <v>24</v>
      </c>
      <c r="D25" s="13">
        <v>1.7887563884156729E-2</v>
      </c>
      <c r="E25" s="13">
        <v>1.1698983475885541E-2</v>
      </c>
      <c r="F25" s="14">
        <v>1.5289844558740819</v>
      </c>
      <c r="G25" s="13">
        <v>9.3529624053555957E-3</v>
      </c>
      <c r="H25" s="14">
        <v>1.2508318721763054</v>
      </c>
      <c r="I25" s="14"/>
      <c r="J25" s="14"/>
      <c r="K25" s="14"/>
      <c r="L25" s="15"/>
      <c r="M25" s="380"/>
    </row>
    <row r="26" spans="2:15" x14ac:dyDescent="0.25">
      <c r="B26" s="382"/>
      <c r="C26" s="1" t="s">
        <v>25</v>
      </c>
      <c r="D26" s="13">
        <v>0.13798977853492334</v>
      </c>
      <c r="E26" s="13">
        <v>0.13204737808427747</v>
      </c>
      <c r="F26" s="14">
        <v>1.0450020328828733</v>
      </c>
      <c r="G26" s="13">
        <v>0.11987086678511411</v>
      </c>
      <c r="H26" s="14">
        <v>1.1015802390166372</v>
      </c>
      <c r="I26" s="14"/>
      <c r="J26" s="14"/>
      <c r="K26" s="14"/>
      <c r="L26" s="15"/>
      <c r="M26" s="380"/>
    </row>
    <row r="27" spans="2:15" x14ac:dyDescent="0.25">
      <c r="B27" s="382"/>
      <c r="C27" s="1" t="s">
        <v>26</v>
      </c>
      <c r="D27" s="13">
        <v>0.31413969335604769</v>
      </c>
      <c r="E27" s="13">
        <v>0.34880883077336439</v>
      </c>
      <c r="F27" s="14">
        <v>0.90060705361028348</v>
      </c>
      <c r="G27" s="13">
        <v>0.29408078276439853</v>
      </c>
      <c r="H27" s="14">
        <v>1.1860986885797669</v>
      </c>
      <c r="I27" s="14"/>
      <c r="J27" s="14"/>
      <c r="K27" s="14"/>
      <c r="L27" s="15"/>
      <c r="M27" s="380"/>
    </row>
    <row r="28" spans="2:15" x14ac:dyDescent="0.25">
      <c r="B28" s="382"/>
      <c r="C28" s="1" t="s">
        <v>27</v>
      </c>
      <c r="D28" s="13">
        <v>0.36678023850085179</v>
      </c>
      <c r="E28" s="13">
        <v>0.35815682235457436</v>
      </c>
      <c r="F28" s="14">
        <v>1.024077207547202</v>
      </c>
      <c r="G28" s="13">
        <v>0.32868783998543011</v>
      </c>
      <c r="H28" s="14">
        <v>1.089656442326709</v>
      </c>
      <c r="I28" s="14"/>
      <c r="J28" s="14"/>
      <c r="K28" s="14"/>
      <c r="L28" s="15"/>
      <c r="M28" s="380"/>
    </row>
    <row r="29" spans="2:15" x14ac:dyDescent="0.25">
      <c r="B29" s="382"/>
      <c r="C29" s="1" t="s">
        <v>28</v>
      </c>
      <c r="D29" s="13">
        <v>0.14514480408858604</v>
      </c>
      <c r="E29" s="13">
        <v>0.13257355246070485</v>
      </c>
      <c r="F29" s="14">
        <v>1.0948247323432578</v>
      </c>
      <c r="G29" s="13">
        <v>0.17578056392525954</v>
      </c>
      <c r="H29" s="14">
        <v>0.75419915319576536</v>
      </c>
      <c r="I29" s="14"/>
      <c r="J29" s="14"/>
      <c r="K29" s="14"/>
      <c r="L29" s="15"/>
      <c r="M29" s="380"/>
    </row>
    <row r="30" spans="2:15" x14ac:dyDescent="0.25">
      <c r="B30" s="382"/>
      <c r="C30" s="1" t="s">
        <v>29</v>
      </c>
      <c r="D30" s="13">
        <v>1.8057921635434411E-2</v>
      </c>
      <c r="E30" s="13">
        <v>1.6714432851193409E-2</v>
      </c>
      <c r="F30" s="14">
        <v>1.0803789632709599</v>
      </c>
      <c r="G30" s="13">
        <v>7.222698413444209E-2</v>
      </c>
      <c r="H30" s="14">
        <v>0.23141535052995491</v>
      </c>
      <c r="I30" s="14"/>
      <c r="J30" s="14"/>
      <c r="K30" s="14"/>
      <c r="L30" s="15"/>
      <c r="M30" s="380"/>
    </row>
    <row r="31" spans="2:15" x14ac:dyDescent="0.25">
      <c r="B31" s="382"/>
      <c r="C31" s="1"/>
      <c r="D31" s="13"/>
      <c r="E31" s="13"/>
      <c r="F31" s="14"/>
      <c r="G31" s="13"/>
      <c r="H31" s="14"/>
      <c r="I31" s="14"/>
      <c r="J31" s="14"/>
      <c r="K31" s="14"/>
      <c r="L31" s="15"/>
      <c r="M31" s="380"/>
    </row>
    <row r="32" spans="2:15" x14ac:dyDescent="0.25">
      <c r="B32" s="382"/>
      <c r="C32" s="2" t="s">
        <v>30</v>
      </c>
      <c r="F32" s="14"/>
      <c r="G32" s="13"/>
      <c r="H32" s="14"/>
      <c r="I32" s="14"/>
      <c r="J32" s="14"/>
      <c r="K32" s="14"/>
      <c r="L32" s="15"/>
      <c r="M32" s="380"/>
    </row>
    <row r="33" spans="2:13" x14ac:dyDescent="0.25">
      <c r="B33" s="382"/>
      <c r="C33" s="1" t="s">
        <v>31</v>
      </c>
      <c r="D33" s="13">
        <v>0.46923470257371741</v>
      </c>
      <c r="E33" s="38">
        <v>0.46388288399287625</v>
      </c>
      <c r="F33" s="14">
        <v>1.0115370037686566</v>
      </c>
      <c r="G33" s="13">
        <v>0.4916982188238192</v>
      </c>
      <c r="H33" s="14">
        <v>0.94343006794395268</v>
      </c>
      <c r="I33" s="14"/>
      <c r="J33" s="14"/>
      <c r="K33" s="14"/>
      <c r="L33" s="15"/>
      <c r="M33" s="380"/>
    </row>
    <row r="34" spans="2:13" x14ac:dyDescent="0.25">
      <c r="B34" s="382"/>
      <c r="C34" s="1" t="s">
        <v>32</v>
      </c>
      <c r="D34" s="13">
        <v>0.20112493608317708</v>
      </c>
      <c r="E34" s="13">
        <v>0.20789883399231623</v>
      </c>
      <c r="F34" s="14">
        <v>0.96741733573460298</v>
      </c>
      <c r="G34" s="13">
        <v>0.14338031637987977</v>
      </c>
      <c r="H34" s="14">
        <v>1.4499816937319172</v>
      </c>
      <c r="I34" s="14"/>
      <c r="J34" s="14"/>
      <c r="K34" s="14"/>
      <c r="L34" s="15"/>
      <c r="M34" s="380"/>
    </row>
    <row r="35" spans="2:13" x14ac:dyDescent="0.25">
      <c r="B35" s="382"/>
      <c r="C35" s="1" t="s">
        <v>33</v>
      </c>
      <c r="D35" s="13">
        <v>0.12340207942730527</v>
      </c>
      <c r="E35" s="13">
        <v>0.13547418765891195</v>
      </c>
      <c r="F35" s="14">
        <v>0.91088997512942438</v>
      </c>
      <c r="G35" s="13">
        <v>0.13350111393482081</v>
      </c>
      <c r="H35" s="14">
        <v>1.01477945513664</v>
      </c>
      <c r="I35" s="14"/>
      <c r="J35" s="14"/>
      <c r="K35" s="14"/>
      <c r="L35" s="15"/>
      <c r="M35" s="380"/>
    </row>
    <row r="36" spans="2:13" x14ac:dyDescent="0.25">
      <c r="B36" s="382"/>
      <c r="C36" s="1" t="s">
        <v>34</v>
      </c>
      <c r="D36" s="13">
        <v>0.10346003068007499</v>
      </c>
      <c r="E36" s="13">
        <v>8.9080298838472655E-2</v>
      </c>
      <c r="F36" s="14">
        <v>1.1614243781071816</v>
      </c>
      <c r="G36" s="13">
        <v>0.10246565834107677</v>
      </c>
      <c r="H36" s="14">
        <v>0.86936735956891675</v>
      </c>
      <c r="I36" s="14"/>
      <c r="J36" s="14"/>
      <c r="K36" s="14"/>
      <c r="L36" s="15"/>
      <c r="M36" s="380"/>
    </row>
    <row r="37" spans="2:13" x14ac:dyDescent="0.25">
      <c r="B37" s="382"/>
      <c r="C37" s="1" t="s">
        <v>35</v>
      </c>
      <c r="D37" s="13">
        <v>1.9771603886142831E-2</v>
      </c>
      <c r="E37" s="13">
        <v>1.970228161157719E-2</v>
      </c>
      <c r="F37" s="14">
        <v>1.0035184896821749</v>
      </c>
      <c r="G37" s="13">
        <v>3.3207572517716603E-2</v>
      </c>
      <c r="H37" s="14">
        <v>0.5933068911034014</v>
      </c>
      <c r="I37" s="14"/>
      <c r="J37" s="14"/>
      <c r="K37" s="14"/>
      <c r="L37" s="15"/>
      <c r="M37" s="380"/>
    </row>
    <row r="38" spans="2:13" x14ac:dyDescent="0.25">
      <c r="B38" s="382"/>
      <c r="C38" s="1" t="s">
        <v>36</v>
      </c>
      <c r="D38" s="13">
        <v>1.4999147775694563E-2</v>
      </c>
      <c r="E38" s="13">
        <v>1.5669978382374355E-2</v>
      </c>
      <c r="F38" s="14">
        <v>0.95719007452911709</v>
      </c>
      <c r="G38" s="13">
        <v>2.6221465915833547E-2</v>
      </c>
      <c r="H38" s="14">
        <v>0.5976011574895288</v>
      </c>
      <c r="I38" s="14"/>
      <c r="J38" s="14"/>
      <c r="K38" s="14"/>
      <c r="L38" s="15"/>
      <c r="M38" s="380"/>
    </row>
    <row r="39" spans="2:13" x14ac:dyDescent="0.25">
      <c r="B39" s="382"/>
      <c r="C39" s="1" t="s">
        <v>37</v>
      </c>
      <c r="D39" s="13">
        <v>6.8007499573887853E-2</v>
      </c>
      <c r="E39" s="13">
        <v>6.8291535523471364E-2</v>
      </c>
      <c r="F39" s="14">
        <v>0.99584083228754039</v>
      </c>
      <c r="G39" s="13">
        <v>6.9525654086853336E-2</v>
      </c>
      <c r="H39" s="14">
        <v>0.98224945051447798</v>
      </c>
      <c r="I39" s="14"/>
      <c r="J39" s="14"/>
      <c r="K39" s="14"/>
      <c r="L39" s="15"/>
      <c r="M39" s="380"/>
    </row>
    <row r="40" spans="2:13" x14ac:dyDescent="0.25">
      <c r="B40" s="382"/>
      <c r="C40" s="1"/>
      <c r="D40" s="13"/>
      <c r="E40" s="13"/>
      <c r="F40" s="14"/>
      <c r="G40" s="13"/>
      <c r="H40" s="14"/>
      <c r="I40" s="14"/>
      <c r="J40" s="14"/>
      <c r="K40" s="14"/>
      <c r="L40" s="15"/>
      <c r="M40" s="380"/>
    </row>
    <row r="41" spans="2:13" x14ac:dyDescent="0.25">
      <c r="B41" s="382"/>
      <c r="C41" s="2" t="s">
        <v>38</v>
      </c>
      <c r="F41" s="14"/>
      <c r="G41" s="13"/>
      <c r="H41" s="14"/>
      <c r="I41" s="14"/>
      <c r="J41" s="14"/>
      <c r="K41" s="14"/>
      <c r="L41" s="15"/>
      <c r="M41" s="380"/>
    </row>
    <row r="42" spans="2:13" x14ac:dyDescent="0.25">
      <c r="B42" s="382"/>
      <c r="C42" s="1" t="s">
        <v>39</v>
      </c>
      <c r="D42" s="13">
        <v>0.38859239492995329</v>
      </c>
      <c r="E42" s="13">
        <v>0.26277364379596729</v>
      </c>
      <c r="F42" s="14">
        <v>1.4788103910134875</v>
      </c>
      <c r="G42" s="16" t="s">
        <v>12</v>
      </c>
      <c r="H42" s="16" t="s">
        <v>12</v>
      </c>
      <c r="I42" s="16"/>
      <c r="J42" s="16"/>
      <c r="K42" s="16"/>
      <c r="L42" s="36"/>
      <c r="M42" s="380"/>
    </row>
    <row r="43" spans="2:13" x14ac:dyDescent="0.25">
      <c r="B43" s="382"/>
      <c r="C43" s="1" t="s">
        <v>40</v>
      </c>
      <c r="D43" s="13">
        <v>5.7204803202134759E-2</v>
      </c>
      <c r="E43" s="13">
        <v>4.2217014245137324E-2</v>
      </c>
      <c r="F43" s="14">
        <v>1.3550177392927254</v>
      </c>
      <c r="G43" s="13">
        <v>0.23826371358004139</v>
      </c>
      <c r="H43" s="14">
        <v>0.17718608348205361</v>
      </c>
      <c r="I43" s="14"/>
      <c r="J43" s="14"/>
      <c r="K43" s="14"/>
      <c r="L43" s="15"/>
      <c r="M43" s="380"/>
    </row>
    <row r="44" spans="2:13" x14ac:dyDescent="0.25">
      <c r="B44" s="382"/>
      <c r="C44" s="1" t="s">
        <v>41</v>
      </c>
      <c r="D44" s="13">
        <v>0.10340226817878585</v>
      </c>
      <c r="E44" s="13">
        <v>8.5179225211409068E-2</v>
      </c>
      <c r="F44" s="14">
        <v>1.2139376464407656</v>
      </c>
      <c r="G44" s="13">
        <v>0.2944472672851261</v>
      </c>
      <c r="H44" s="14">
        <v>0.28928516130165444</v>
      </c>
      <c r="I44" s="14"/>
      <c r="J44" s="14"/>
      <c r="K44" s="14"/>
      <c r="L44" s="15"/>
      <c r="M44" s="380"/>
    </row>
    <row r="45" spans="2:13" x14ac:dyDescent="0.25">
      <c r="B45" s="382"/>
      <c r="C45" s="1" t="s">
        <v>42</v>
      </c>
      <c r="D45" s="13">
        <v>0.12758505670446965</v>
      </c>
      <c r="E45" s="13">
        <v>0.13180262006847171</v>
      </c>
      <c r="F45" s="14">
        <v>0.96800091408038003</v>
      </c>
      <c r="G45" s="13">
        <v>0.2295170839287588</v>
      </c>
      <c r="H45" s="14">
        <v>0.57426060758676567</v>
      </c>
      <c r="I45" s="14"/>
      <c r="J45" s="14"/>
      <c r="K45" s="14"/>
      <c r="L45" s="15"/>
      <c r="M45" s="380"/>
    </row>
    <row r="46" spans="2:13" x14ac:dyDescent="0.25">
      <c r="B46" s="382"/>
      <c r="C46" s="1" t="s">
        <v>43</v>
      </c>
      <c r="D46" s="13">
        <v>0.16310873915943963</v>
      </c>
      <c r="E46" s="13">
        <v>0.20713228861793009</v>
      </c>
      <c r="F46" s="14">
        <v>0.78746167605141004</v>
      </c>
      <c r="G46" s="13">
        <v>0.16500439759050969</v>
      </c>
      <c r="H46" s="14">
        <v>1.2553137470430873</v>
      </c>
      <c r="I46" s="14"/>
      <c r="J46" s="14"/>
      <c r="K46" s="14"/>
      <c r="L46" s="15"/>
      <c r="M46" s="380"/>
    </row>
    <row r="47" spans="2:13" ht="15.75" thickBot="1" x14ac:dyDescent="0.3">
      <c r="B47" s="383"/>
      <c r="C47" s="9" t="s">
        <v>44</v>
      </c>
      <c r="D47" s="17">
        <v>0.16010673782521681</v>
      </c>
      <c r="E47" s="17">
        <v>0.27089520806108452</v>
      </c>
      <c r="F47" s="14">
        <v>0.59102831301878966</v>
      </c>
      <c r="G47" s="17">
        <v>7.2767537615563996E-2</v>
      </c>
      <c r="H47" s="14">
        <v>3.7227480403726578</v>
      </c>
      <c r="I47" s="14"/>
      <c r="J47" s="14"/>
      <c r="K47" s="14"/>
      <c r="L47" s="19"/>
      <c r="M47" s="384"/>
    </row>
    <row r="48" spans="2:13" ht="15.75" thickBot="1" x14ac:dyDescent="0.3">
      <c r="B48" s="60"/>
      <c r="C48" s="45"/>
      <c r="D48" s="43"/>
      <c r="E48" s="43"/>
      <c r="F48" s="43"/>
      <c r="G48" s="43"/>
      <c r="H48" s="43"/>
      <c r="I48" s="43"/>
      <c r="J48" s="43"/>
      <c r="K48" s="43"/>
      <c r="L48" s="26"/>
      <c r="M48" s="28"/>
    </row>
    <row r="49" spans="2:16" x14ac:dyDescent="0.25">
      <c r="B49" s="373" t="s">
        <v>45</v>
      </c>
      <c r="C49" s="5"/>
      <c r="D49" s="385" t="s">
        <v>46</v>
      </c>
      <c r="E49" s="385"/>
      <c r="F49" s="385" t="s">
        <v>47</v>
      </c>
      <c r="G49" s="385"/>
      <c r="H49" s="42"/>
      <c r="I49" s="95"/>
      <c r="J49" s="95"/>
      <c r="K49" s="95"/>
      <c r="L49" s="7"/>
      <c r="M49" s="386" t="s">
        <v>48</v>
      </c>
    </row>
    <row r="50" spans="2:16" x14ac:dyDescent="0.25">
      <c r="B50" s="374"/>
      <c r="C50" s="1"/>
      <c r="D50" s="40" t="s">
        <v>49</v>
      </c>
      <c r="E50" s="40" t="s">
        <v>50</v>
      </c>
      <c r="F50" s="40" t="s">
        <v>49</v>
      </c>
      <c r="G50" s="40" t="s">
        <v>50</v>
      </c>
      <c r="H50" s="41" t="s">
        <v>51</v>
      </c>
      <c r="I50" s="96" t="s">
        <v>52</v>
      </c>
      <c r="J50" s="97"/>
      <c r="K50" s="97"/>
      <c r="L50" s="99"/>
      <c r="M50" s="387"/>
    </row>
    <row r="51" spans="2:16" x14ac:dyDescent="0.25">
      <c r="B51" s="374"/>
      <c r="C51" s="2" t="s">
        <v>53</v>
      </c>
      <c r="H51" s="13"/>
      <c r="I51" s="13"/>
      <c r="J51" s="13"/>
      <c r="K51" s="13"/>
      <c r="L51" s="4"/>
      <c r="M51" s="387"/>
    </row>
    <row r="52" spans="2:16" x14ac:dyDescent="0.25">
      <c r="B52" s="374"/>
      <c r="C52" s="1" t="s">
        <v>54</v>
      </c>
      <c r="D52" s="73">
        <v>2538421</v>
      </c>
      <c r="E52" s="38">
        <v>0.76801990832488687</v>
      </c>
      <c r="F52" s="8">
        <v>89657</v>
      </c>
      <c r="G52" s="13">
        <v>0.65832776509116009</v>
      </c>
      <c r="H52" s="14">
        <f>G52/E52</f>
        <v>0.85717539083983618</v>
      </c>
      <c r="I52" s="39">
        <f>F52/D52</f>
        <v>3.5319988291934237E-2</v>
      </c>
      <c r="J52" s="14"/>
      <c r="K52" s="14"/>
      <c r="L52" s="82"/>
      <c r="M52" s="387"/>
    </row>
    <row r="53" spans="2:16" x14ac:dyDescent="0.25">
      <c r="B53" s="374"/>
      <c r="C53" s="1" t="s">
        <v>55</v>
      </c>
      <c r="D53" s="73">
        <v>766729</v>
      </c>
      <c r="E53" s="38">
        <v>0.23198009167511308</v>
      </c>
      <c r="F53" s="8">
        <v>46532</v>
      </c>
      <c r="G53" s="13">
        <v>0.34167223490883991</v>
      </c>
      <c r="H53" s="14">
        <f t="shared" ref="H53:H63" si="0">G53/E53</f>
        <v>1.472851538430074</v>
      </c>
      <c r="I53" s="39">
        <f t="shared" ref="I53:I54" si="1">F53/D53</f>
        <v>6.0688978765639487E-2</v>
      </c>
      <c r="J53" s="14"/>
      <c r="K53" s="14"/>
      <c r="L53" s="82"/>
      <c r="M53" s="387"/>
    </row>
    <row r="54" spans="2:16" x14ac:dyDescent="0.25">
      <c r="B54" s="374"/>
      <c r="C54" s="1" t="s">
        <v>53</v>
      </c>
      <c r="D54" s="73">
        <v>3305150</v>
      </c>
      <c r="E54" s="38"/>
      <c r="F54" s="8">
        <v>136189</v>
      </c>
      <c r="H54" s="14"/>
      <c r="I54" s="39">
        <f t="shared" si="1"/>
        <v>4.1205089027729451E-2</v>
      </c>
      <c r="J54" s="14"/>
      <c r="K54" s="14"/>
      <c r="L54" s="82"/>
      <c r="M54" s="387"/>
    </row>
    <row r="55" spans="2:16" x14ac:dyDescent="0.25">
      <c r="B55" s="374"/>
      <c r="C55" s="1"/>
      <c r="D55" s="38"/>
      <c r="E55" s="38"/>
      <c r="F55" s="8"/>
      <c r="H55" s="14"/>
      <c r="I55" s="39"/>
      <c r="J55" s="14"/>
      <c r="K55" s="14"/>
      <c r="L55" s="82"/>
      <c r="M55" s="387"/>
    </row>
    <row r="56" spans="2:16" x14ac:dyDescent="0.25">
      <c r="B56" s="374"/>
      <c r="C56" s="2" t="s">
        <v>56</v>
      </c>
      <c r="D56" s="38"/>
      <c r="E56" s="38"/>
      <c r="H56" s="14"/>
      <c r="I56" s="39"/>
      <c r="J56" s="14"/>
      <c r="K56" s="14"/>
      <c r="L56" s="82"/>
      <c r="M56" s="387"/>
    </row>
    <row r="57" spans="2:16" x14ac:dyDescent="0.25">
      <c r="B57" s="374"/>
      <c r="C57" s="1" t="s">
        <v>57</v>
      </c>
      <c r="D57" s="73">
        <v>289163</v>
      </c>
      <c r="E57" s="38">
        <v>0.37713846743764745</v>
      </c>
      <c r="F57" s="8">
        <v>15201</v>
      </c>
      <c r="G57" s="13">
        <v>0.32667841485429383</v>
      </c>
      <c r="H57" s="14">
        <f t="shared" si="0"/>
        <v>0.86620284871445474</v>
      </c>
      <c r="I57" s="39">
        <f>F57/D57</f>
        <v>5.2568966292367972E-2</v>
      </c>
      <c r="J57" s="14"/>
      <c r="K57" s="14"/>
      <c r="L57" s="82"/>
      <c r="M57" s="387"/>
    </row>
    <row r="58" spans="2:16" x14ac:dyDescent="0.25">
      <c r="B58" s="374"/>
      <c r="C58" s="1" t="s">
        <v>58</v>
      </c>
      <c r="D58" s="73">
        <v>173351</v>
      </c>
      <c r="E58" s="38">
        <v>0.22609161776846839</v>
      </c>
      <c r="F58" s="8">
        <v>16802</v>
      </c>
      <c r="G58" s="13">
        <v>0.36108484483796099</v>
      </c>
      <c r="H58" s="14">
        <f t="shared" si="0"/>
        <v>1.5970731175347417</v>
      </c>
      <c r="I58" s="39">
        <f t="shared" ref="I58:I63" si="2">F58/D58</f>
        <v>9.6924736517239596E-2</v>
      </c>
      <c r="J58" s="14"/>
      <c r="K58" s="14"/>
      <c r="L58" s="82"/>
      <c r="M58" s="387"/>
    </row>
    <row r="59" spans="2:16" x14ac:dyDescent="0.25">
      <c r="B59" s="374"/>
      <c r="C59" s="1" t="s">
        <v>59</v>
      </c>
      <c r="D59" s="73">
        <v>77176</v>
      </c>
      <c r="E59" s="38">
        <v>0.10065616404231482</v>
      </c>
      <c r="F59" s="8">
        <v>6831</v>
      </c>
      <c r="G59" s="13">
        <v>0.14680220063612137</v>
      </c>
      <c r="H59" s="14">
        <f t="shared" si="0"/>
        <v>1.4584521676626503</v>
      </c>
      <c r="I59" s="39">
        <f t="shared" si="2"/>
        <v>8.8511972633979474E-2</v>
      </c>
      <c r="J59" s="14"/>
      <c r="K59" s="14"/>
      <c r="L59" s="82"/>
      <c r="M59" s="387"/>
    </row>
    <row r="60" spans="2:16" x14ac:dyDescent="0.25">
      <c r="B60" s="374"/>
      <c r="C60" s="1" t="s">
        <v>60</v>
      </c>
      <c r="D60" s="73">
        <v>167350</v>
      </c>
      <c r="E60" s="38">
        <v>0.2182648628133278</v>
      </c>
      <c r="F60" s="8">
        <v>3864</v>
      </c>
      <c r="G60" s="13">
        <v>8.3039628642654517E-2</v>
      </c>
      <c r="H60" s="14">
        <f t="shared" si="0"/>
        <v>0.38045348927131073</v>
      </c>
      <c r="I60" s="39">
        <f t="shared" si="2"/>
        <v>2.3089333731700031E-2</v>
      </c>
      <c r="J60" s="14"/>
      <c r="K60" s="14"/>
      <c r="L60" s="82"/>
      <c r="M60" s="387"/>
    </row>
    <row r="61" spans="2:16" x14ac:dyDescent="0.25">
      <c r="B61" s="374"/>
      <c r="C61" s="1" t="s">
        <v>61</v>
      </c>
      <c r="D61" s="73">
        <v>23842</v>
      </c>
      <c r="E61" s="38">
        <v>3.1095732651301829E-2</v>
      </c>
      <c r="F61" s="8">
        <v>1560</v>
      </c>
      <c r="G61" s="13">
        <v>3.3525315911630708E-2</v>
      </c>
      <c r="H61" s="14">
        <f t="shared" si="0"/>
        <v>1.0781323690801401</v>
      </c>
      <c r="I61" s="39">
        <f t="shared" si="2"/>
        <v>6.5430752453653221E-2</v>
      </c>
      <c r="J61" s="14"/>
      <c r="K61" s="14"/>
      <c r="L61" s="82"/>
      <c r="M61" s="387"/>
    </row>
    <row r="62" spans="2:16" x14ac:dyDescent="0.25">
      <c r="B62" s="374"/>
      <c r="C62" s="1" t="s">
        <v>62</v>
      </c>
      <c r="D62" s="73">
        <v>25234</v>
      </c>
      <c r="E62" s="38">
        <v>3.2911237216800199E-2</v>
      </c>
      <c r="F62" s="3">
        <v>1542</v>
      </c>
      <c r="G62" s="13">
        <v>3.313848534341958E-2</v>
      </c>
      <c r="H62" s="14">
        <f t="shared" si="0"/>
        <v>1.0069048794830289</v>
      </c>
      <c r="I62" s="39">
        <f t="shared" si="2"/>
        <v>6.1108028849964337E-2</v>
      </c>
      <c r="J62" s="14"/>
      <c r="K62" s="14"/>
      <c r="L62" s="82"/>
      <c r="M62" s="387"/>
      <c r="P62" s="13"/>
    </row>
    <row r="63" spans="2:16" ht="15.75" thickBot="1" x14ac:dyDescent="0.3">
      <c r="B63" s="375"/>
      <c r="C63" s="9" t="s">
        <v>63</v>
      </c>
      <c r="D63" s="74">
        <v>10613</v>
      </c>
      <c r="E63" s="44">
        <v>1.3841918070139514E-2</v>
      </c>
      <c r="F63" s="10">
        <v>732</v>
      </c>
      <c r="G63" s="17">
        <v>1.5731109773919023E-2</v>
      </c>
      <c r="H63" s="18">
        <f t="shared" si="0"/>
        <v>1.1364833756569452</v>
      </c>
      <c r="I63" s="100">
        <f t="shared" si="2"/>
        <v>6.8972015452746629E-2</v>
      </c>
      <c r="J63" s="18"/>
      <c r="K63" s="18"/>
      <c r="L63" s="83"/>
      <c r="M63" s="388"/>
    </row>
    <row r="64" spans="2:16" ht="15.75" thickBot="1" x14ac:dyDescent="0.3">
      <c r="C64" s="1"/>
      <c r="D64" s="8"/>
      <c r="L64" s="4"/>
      <c r="M64" s="28"/>
    </row>
    <row r="65" spans="2:16" x14ac:dyDescent="0.25">
      <c r="B65" s="373" t="s">
        <v>64</v>
      </c>
      <c r="C65" s="21" t="s">
        <v>65</v>
      </c>
      <c r="D65" s="23" t="s">
        <v>66</v>
      </c>
      <c r="E65" s="48" t="s">
        <v>67</v>
      </c>
      <c r="F65" s="48" t="s">
        <v>68</v>
      </c>
      <c r="G65" s="48" t="s">
        <v>51</v>
      </c>
      <c r="H65" s="6"/>
      <c r="I65" s="6"/>
      <c r="J65" s="6"/>
      <c r="K65" s="6"/>
      <c r="L65" s="7"/>
      <c r="M65" s="373" t="s">
        <v>19</v>
      </c>
    </row>
    <row r="66" spans="2:16" x14ac:dyDescent="0.25">
      <c r="B66" s="374"/>
      <c r="C66" s="1" t="s">
        <v>69</v>
      </c>
      <c r="D66" s="8">
        <v>40920</v>
      </c>
      <c r="E66" s="67"/>
      <c r="F66" s="68"/>
      <c r="L66" s="4"/>
      <c r="M66" s="374"/>
    </row>
    <row r="67" spans="2:16" x14ac:dyDescent="0.25">
      <c r="B67" s="374"/>
      <c r="C67" s="1" t="s">
        <v>70</v>
      </c>
      <c r="D67" s="69">
        <v>0.55059944294191254</v>
      </c>
      <c r="E67" s="110"/>
      <c r="F67" s="68"/>
      <c r="L67" s="4"/>
      <c r="M67" s="374"/>
    </row>
    <row r="68" spans="2:16" x14ac:dyDescent="0.25">
      <c r="B68" s="374"/>
      <c r="C68" s="1"/>
      <c r="D68" s="70"/>
      <c r="E68" s="68"/>
      <c r="F68" s="14"/>
      <c r="L68" s="4"/>
      <c r="M68" s="374"/>
      <c r="P68" s="8"/>
    </row>
    <row r="69" spans="2:16" ht="14.45" customHeight="1" x14ac:dyDescent="0.25">
      <c r="B69" s="374"/>
      <c r="C69" s="1" t="s">
        <v>71</v>
      </c>
      <c r="D69" s="8">
        <v>136189</v>
      </c>
      <c r="E69" s="67"/>
      <c r="F69" s="68"/>
      <c r="L69" s="4"/>
      <c r="M69" s="374"/>
      <c r="N69" s="24"/>
      <c r="P69" s="14"/>
    </row>
    <row r="70" spans="2:16" x14ac:dyDescent="0.25">
      <c r="B70" s="374"/>
      <c r="C70" s="1" t="s">
        <v>72</v>
      </c>
      <c r="D70" s="71">
        <v>3.3281769305962854</v>
      </c>
      <c r="E70" s="14"/>
      <c r="F70" s="14"/>
      <c r="L70" s="4"/>
      <c r="M70" s="374"/>
    </row>
    <row r="71" spans="2:16" x14ac:dyDescent="0.25">
      <c r="B71" s="374"/>
      <c r="C71" s="1"/>
      <c r="D71" s="71"/>
      <c r="F71" s="14"/>
      <c r="L71" s="4"/>
      <c r="M71" s="374"/>
      <c r="P71" s="8"/>
    </row>
    <row r="72" spans="2:16" x14ac:dyDescent="0.25">
      <c r="B72" s="374"/>
      <c r="C72" s="1" t="s">
        <v>73</v>
      </c>
      <c r="D72" s="8">
        <v>67064</v>
      </c>
      <c r="E72" s="67"/>
      <c r="F72" s="14"/>
      <c r="L72" s="4"/>
      <c r="M72" s="374"/>
      <c r="P72" s="14"/>
    </row>
    <row r="73" spans="2:16" x14ac:dyDescent="0.25">
      <c r="B73" s="374"/>
      <c r="C73" s="1" t="s">
        <v>74</v>
      </c>
      <c r="D73" s="71">
        <v>1.6389051808406647</v>
      </c>
      <c r="E73" s="72"/>
      <c r="F73" s="14"/>
      <c r="L73" s="4"/>
      <c r="M73" s="374"/>
    </row>
    <row r="74" spans="2:16" ht="15.75" thickBot="1" x14ac:dyDescent="0.3">
      <c r="B74" s="375"/>
      <c r="C74" s="9" t="s">
        <v>75</v>
      </c>
      <c r="D74" s="84">
        <v>2.0307318382440656</v>
      </c>
      <c r="E74" s="85"/>
      <c r="F74" s="18"/>
      <c r="G74" s="20"/>
      <c r="H74" s="20"/>
      <c r="I74" s="20"/>
      <c r="J74" s="20"/>
      <c r="K74" s="20"/>
      <c r="L74" s="11"/>
      <c r="M74" s="375"/>
    </row>
    <row r="75" spans="2:16" x14ac:dyDescent="0.25">
      <c r="D75" s="37"/>
      <c r="E75" s="22"/>
      <c r="F75" s="14"/>
    </row>
    <row r="76" spans="2:16" s="35" customFormat="1" x14ac:dyDescent="0.25">
      <c r="B76" s="47"/>
      <c r="C76" s="78"/>
      <c r="D76" s="8"/>
      <c r="E76" s="13"/>
    </row>
    <row r="77" spans="2:16" s="35" customFormat="1" x14ac:dyDescent="0.25">
      <c r="B77" s="47"/>
      <c r="C77" s="78"/>
      <c r="D77" s="8"/>
      <c r="E77" s="34"/>
    </row>
    <row r="78" spans="2:16" s="35" customFormat="1" x14ac:dyDescent="0.25">
      <c r="B78" s="47"/>
      <c r="C78" s="78"/>
      <c r="D78" s="8"/>
      <c r="E78" s="34"/>
    </row>
    <row r="79" spans="2:16" s="35" customFormat="1" x14ac:dyDescent="0.25">
      <c r="B79" s="47"/>
      <c r="C79" s="78"/>
      <c r="D79" s="8"/>
      <c r="E79" s="34"/>
    </row>
    <row r="80" spans="2:16" s="35" customFormat="1" x14ac:dyDescent="0.25">
      <c r="B80" s="47"/>
      <c r="C80" s="78"/>
      <c r="D80" s="8"/>
      <c r="E80" s="78"/>
    </row>
    <row r="81" spans="2:5" s="35" customFormat="1" x14ac:dyDescent="0.25">
      <c r="B81" s="47"/>
      <c r="C81" s="78"/>
      <c r="D81" s="8"/>
      <c r="E81" s="34"/>
    </row>
  </sheetData>
  <mergeCells count="11">
    <mergeCell ref="B65:B74"/>
    <mergeCell ref="M65:M74"/>
    <mergeCell ref="C2:L2"/>
    <mergeCell ref="B3:B17"/>
    <mergeCell ref="M3:M17"/>
    <mergeCell ref="B19:B47"/>
    <mergeCell ref="M19:M47"/>
    <mergeCell ref="B49:B63"/>
    <mergeCell ref="D49:E49"/>
    <mergeCell ref="F49:G49"/>
    <mergeCell ref="M49:M6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DE6C1-AD98-45A9-AF3A-D1F7C0DD8460}">
  <sheetPr codeName="Sheet14">
    <tabColor theme="4"/>
  </sheetPr>
  <dimension ref="B1:T83"/>
  <sheetViews>
    <sheetView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5" width="13.28515625" style="3" customWidth="1"/>
    <col min="16" max="16" width="12" style="3" bestFit="1" customWidth="1"/>
    <col min="17" max="17" width="14.28515625" style="47" customWidth="1"/>
    <col min="18" max="16384" width="8.85546875" style="3"/>
  </cols>
  <sheetData>
    <row r="1" spans="2:19" ht="15.75" thickBot="1" x14ac:dyDescent="0.3"/>
    <row r="2" spans="2:19" ht="15.75" thickBot="1" x14ac:dyDescent="0.3">
      <c r="C2" s="376" t="s">
        <v>126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8"/>
      <c r="Q2" s="46" t="s">
        <v>1</v>
      </c>
    </row>
    <row r="3" spans="2:19" ht="15.75" thickBot="1" x14ac:dyDescent="0.3">
      <c r="C3" s="5"/>
      <c r="D3" s="392" t="s">
        <v>127</v>
      </c>
      <c r="E3" s="392"/>
      <c r="F3" s="392"/>
      <c r="G3" s="392"/>
      <c r="H3" s="392"/>
      <c r="I3" s="392"/>
      <c r="J3" s="392"/>
      <c r="K3" s="393" t="s">
        <v>128</v>
      </c>
      <c r="L3" s="385"/>
      <c r="M3" s="394"/>
      <c r="N3" s="393" t="s">
        <v>129</v>
      </c>
      <c r="O3" s="385"/>
      <c r="P3" s="395"/>
      <c r="Q3" s="49"/>
    </row>
    <row r="4" spans="2:19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114" t="s">
        <v>115</v>
      </c>
      <c r="P4" s="115" t="s">
        <v>130</v>
      </c>
      <c r="Q4" s="379" t="s">
        <v>10</v>
      </c>
    </row>
    <row r="5" spans="2:19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4" t="s">
        <v>12</v>
      </c>
      <c r="Q5" s="380"/>
    </row>
    <row r="6" spans="2:19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05"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4" t="s">
        <v>12</v>
      </c>
      <c r="Q6" s="380"/>
      <c r="R6" s="39"/>
      <c r="S6" s="39"/>
    </row>
    <row r="7" spans="2:19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05"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4" t="s">
        <v>12</v>
      </c>
      <c r="Q7" s="380"/>
      <c r="R7" s="39"/>
      <c r="S7" s="39"/>
    </row>
    <row r="8" spans="2:19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05"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4" t="s">
        <v>12</v>
      </c>
      <c r="Q8" s="380"/>
      <c r="R8" s="39"/>
      <c r="S8" s="39"/>
    </row>
    <row r="9" spans="2:19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05"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4" t="s">
        <v>12</v>
      </c>
      <c r="Q9" s="380"/>
      <c r="R9" s="39"/>
      <c r="S9" s="39"/>
    </row>
    <row r="10" spans="2:19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05"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4" t="s">
        <v>12</v>
      </c>
      <c r="Q10" s="380"/>
      <c r="R10" s="39"/>
      <c r="S10" s="39"/>
    </row>
    <row r="11" spans="2:19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05"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4" t="s">
        <v>12</v>
      </c>
      <c r="Q11" s="380"/>
      <c r="R11" s="39"/>
      <c r="S11" s="39"/>
    </row>
    <row r="12" spans="2:19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05"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4" t="s">
        <v>12</v>
      </c>
      <c r="Q12" s="380"/>
      <c r="R12" s="39"/>
      <c r="S12" s="39"/>
    </row>
    <row r="13" spans="2:19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05"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4" t="s">
        <v>12</v>
      </c>
      <c r="Q13" s="380"/>
      <c r="R13" s="39"/>
      <c r="S13" s="39"/>
    </row>
    <row r="14" spans="2:19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05"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4" t="s">
        <v>12</v>
      </c>
      <c r="Q14" s="380"/>
      <c r="R14" s="39"/>
      <c r="S14" s="39"/>
    </row>
    <row r="15" spans="2:19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05"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4" t="s">
        <v>12</v>
      </c>
      <c r="Q15" s="380"/>
      <c r="R15" s="39"/>
      <c r="S15" s="39"/>
    </row>
    <row r="16" spans="2:19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05">
        <v>0.06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4" t="s">
        <v>12</v>
      </c>
      <c r="Q16" s="380"/>
      <c r="R16" s="39"/>
      <c r="S16" s="39"/>
    </row>
    <row r="17" spans="2:19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05">
        <v>6.76959784704593E-2</v>
      </c>
      <c r="K17" s="89">
        <v>7078</v>
      </c>
      <c r="L17" s="105">
        <v>0.84</v>
      </c>
      <c r="M17" s="104">
        <v>0.16</v>
      </c>
      <c r="N17" s="89">
        <v>66</v>
      </c>
      <c r="O17" s="104">
        <v>0.52</v>
      </c>
      <c r="P17" s="90">
        <v>0.48</v>
      </c>
      <c r="Q17" s="380"/>
      <c r="R17" s="39"/>
      <c r="S17" s="39"/>
    </row>
    <row r="18" spans="2:19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05">
        <v>6.0199948869064442E-2</v>
      </c>
      <c r="K18" s="89">
        <v>4413</v>
      </c>
      <c r="L18" s="105">
        <v>0.75</v>
      </c>
      <c r="M18" s="104">
        <v>0.25</v>
      </c>
      <c r="N18" s="89">
        <v>1718</v>
      </c>
      <c r="O18" s="104">
        <v>0.3</v>
      </c>
      <c r="P18" s="90">
        <v>0.7</v>
      </c>
      <c r="Q18" s="380"/>
      <c r="R18" s="39"/>
      <c r="S18" s="39"/>
    </row>
    <row r="19" spans="2:19" ht="15.75" thickBot="1" x14ac:dyDescent="0.3">
      <c r="B19" s="391"/>
      <c r="C19" s="58" t="s">
        <v>78</v>
      </c>
      <c r="D19" s="55"/>
      <c r="E19" s="113">
        <v>108444</v>
      </c>
      <c r="F19" s="113">
        <v>96423.52</v>
      </c>
      <c r="G19" s="113">
        <v>33679</v>
      </c>
      <c r="H19" s="55"/>
      <c r="I19" s="93"/>
      <c r="J19" s="93"/>
      <c r="K19" s="55">
        <v>107903</v>
      </c>
      <c r="L19" s="93"/>
      <c r="M19" s="93"/>
      <c r="N19" s="55">
        <v>1784</v>
      </c>
      <c r="O19" s="93"/>
      <c r="P19" s="112"/>
      <c r="Q19" s="380"/>
      <c r="R19" s="8"/>
      <c r="S19" s="73"/>
    </row>
    <row r="20" spans="2:19" ht="15.75" thickBot="1" x14ac:dyDescent="0.3">
      <c r="C20" s="45"/>
      <c r="D20" s="25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27"/>
      <c r="S20" s="8"/>
    </row>
    <row r="21" spans="2:19" x14ac:dyDescent="0.25">
      <c r="B21" s="381" t="s">
        <v>13</v>
      </c>
      <c r="C21" s="5"/>
      <c r="D21" s="48" t="s">
        <v>79</v>
      </c>
      <c r="E21" s="48" t="s">
        <v>15</v>
      </c>
      <c r="F21" s="48" t="s">
        <v>80</v>
      </c>
      <c r="G21" s="48" t="s">
        <v>17</v>
      </c>
      <c r="H21" s="48" t="s">
        <v>18</v>
      </c>
      <c r="I21" s="94"/>
      <c r="J21" s="94"/>
      <c r="K21" s="116"/>
      <c r="L21" s="94"/>
      <c r="M21" s="94"/>
      <c r="N21" s="94"/>
      <c r="O21" s="94"/>
      <c r="P21" s="49"/>
      <c r="Q21" s="380" t="s">
        <v>19</v>
      </c>
      <c r="S21" s="39"/>
    </row>
    <row r="22" spans="2:19" x14ac:dyDescent="0.25">
      <c r="B22" s="382"/>
      <c r="C22" s="2" t="s">
        <v>20</v>
      </c>
      <c r="D22" s="47"/>
      <c r="E22" s="47"/>
      <c r="F22" s="47"/>
      <c r="G22" s="47"/>
      <c r="H22" s="47"/>
      <c r="I22" s="47"/>
      <c r="J22" s="47"/>
      <c r="K22" s="47"/>
      <c r="L22" s="47"/>
      <c r="M22" s="124"/>
      <c r="N22" s="47"/>
      <c r="O22" s="47"/>
      <c r="P22" s="12"/>
      <c r="Q22" s="380"/>
      <c r="S22" s="8"/>
    </row>
    <row r="23" spans="2:19" x14ac:dyDescent="0.25">
      <c r="B23" s="382"/>
      <c r="C23" s="1" t="s">
        <v>21</v>
      </c>
      <c r="D23" s="13">
        <v>0.46886641830761044</v>
      </c>
      <c r="E23" s="13">
        <v>0.39929674587048752</v>
      </c>
      <c r="F23" s="14">
        <f>D23/E23</f>
        <v>1.1742305018926649</v>
      </c>
      <c r="G23" s="13">
        <v>0.57235489190258093</v>
      </c>
      <c r="H23" s="14">
        <f>E23/G23</f>
        <v>0.69763839100452874</v>
      </c>
      <c r="I23" s="14"/>
      <c r="J23" s="14"/>
      <c r="K23" s="14"/>
      <c r="L23" s="14"/>
      <c r="M23" s="14"/>
      <c r="N23" s="14"/>
      <c r="O23" s="14"/>
      <c r="P23" s="15"/>
      <c r="Q23" s="380"/>
      <c r="S23" s="8"/>
    </row>
    <row r="24" spans="2:19" x14ac:dyDescent="0.25">
      <c r="B24" s="382"/>
      <c r="C24" s="1" t="s">
        <v>22</v>
      </c>
      <c r="D24" s="13">
        <v>0.53113358169238956</v>
      </c>
      <c r="E24" s="13">
        <v>0.60070325412951242</v>
      </c>
      <c r="F24" s="14">
        <f>D24/E24</f>
        <v>0.88418629005441751</v>
      </c>
      <c r="G24" s="13">
        <v>0.42764510809741907</v>
      </c>
      <c r="H24" s="14">
        <f t="shared" ref="H24:H49" si="0">E24/G24</f>
        <v>1.4046770154860981</v>
      </c>
      <c r="I24" s="14"/>
      <c r="J24" s="14"/>
      <c r="K24" s="14"/>
      <c r="L24" s="14"/>
      <c r="M24" s="14"/>
      <c r="N24" s="14"/>
      <c r="O24" s="14"/>
      <c r="P24" s="15"/>
      <c r="Q24" s="380"/>
    </row>
    <row r="25" spans="2:19" x14ac:dyDescent="0.25">
      <c r="B25" s="382"/>
      <c r="C25" s="1"/>
      <c r="D25" s="13"/>
      <c r="E25" s="13"/>
      <c r="F25" s="14"/>
      <c r="G25" s="13"/>
      <c r="H25" s="14"/>
      <c r="I25" s="14"/>
      <c r="J25" s="14"/>
      <c r="K25" s="14"/>
      <c r="L25" s="14"/>
      <c r="M25" s="14"/>
      <c r="N25" s="14"/>
      <c r="O25" s="14"/>
      <c r="P25" s="15"/>
      <c r="Q25" s="380"/>
    </row>
    <row r="26" spans="2:19" x14ac:dyDescent="0.25">
      <c r="B26" s="382"/>
      <c r="C26" s="2" t="s">
        <v>23</v>
      </c>
      <c r="F26" s="14"/>
      <c r="G26" s="13"/>
      <c r="H26" s="14"/>
      <c r="I26" s="14"/>
      <c r="J26" s="14"/>
      <c r="K26" s="14"/>
      <c r="L26" s="14"/>
      <c r="M26" s="14"/>
      <c r="N26" s="14"/>
      <c r="O26" s="14"/>
      <c r="P26" s="15"/>
      <c r="Q26" s="380"/>
    </row>
    <row r="27" spans="2:19" x14ac:dyDescent="0.25">
      <c r="B27" s="382"/>
      <c r="C27" s="1" t="s">
        <v>24</v>
      </c>
      <c r="D27" s="13">
        <v>2.1033497792781096E-2</v>
      </c>
      <c r="E27" s="13">
        <v>1.2518539261748446E-2</v>
      </c>
      <c r="F27" s="14">
        <f t="shared" ref="F27:F49" si="1">D27/E27</f>
        <v>1.6801878680087614</v>
      </c>
      <c r="G27" s="13">
        <v>9.3529624053555957E-3</v>
      </c>
      <c r="H27" s="14">
        <f t="shared" si="0"/>
        <v>1.3384571346699963</v>
      </c>
      <c r="I27" s="14"/>
      <c r="J27" s="14"/>
      <c r="K27" s="14"/>
      <c r="L27" s="14"/>
      <c r="M27" s="14"/>
      <c r="N27" s="14"/>
      <c r="O27" s="14"/>
      <c r="P27" s="15"/>
      <c r="Q27" s="380"/>
    </row>
    <row r="28" spans="2:19" x14ac:dyDescent="0.25">
      <c r="B28" s="382"/>
      <c r="C28" s="1" t="s">
        <v>25</v>
      </c>
      <c r="D28" s="13">
        <v>0.19735133731498311</v>
      </c>
      <c r="E28" s="13">
        <v>0.13527697397761806</v>
      </c>
      <c r="F28" s="14">
        <f t="shared" si="1"/>
        <v>1.4588686567429829</v>
      </c>
      <c r="G28" s="13">
        <v>0.11987086678511411</v>
      </c>
      <c r="H28" s="14">
        <f t="shared" si="0"/>
        <v>1.1285225310009783</v>
      </c>
      <c r="I28" s="14"/>
      <c r="J28" s="14"/>
      <c r="K28" s="14"/>
      <c r="L28" s="14"/>
      <c r="M28" s="14"/>
      <c r="N28" s="14"/>
      <c r="O28" s="14"/>
      <c r="P28" s="15"/>
      <c r="Q28" s="380"/>
    </row>
    <row r="29" spans="2:19" x14ac:dyDescent="0.25">
      <c r="B29" s="382"/>
      <c r="C29" s="1" t="s">
        <v>26</v>
      </c>
      <c r="D29" s="13">
        <v>0.35107764217086473</v>
      </c>
      <c r="E29" s="13">
        <v>0.34981382951139323</v>
      </c>
      <c r="F29" s="14">
        <f t="shared" si="1"/>
        <v>1.0036128150257431</v>
      </c>
      <c r="G29" s="13">
        <v>0.29408078276439853</v>
      </c>
      <c r="H29" s="14">
        <f t="shared" si="0"/>
        <v>1.1895161126242138</v>
      </c>
      <c r="I29" s="14"/>
      <c r="J29" s="14"/>
      <c r="K29" s="14"/>
      <c r="L29" s="14"/>
      <c r="M29" s="14"/>
      <c r="N29" s="14"/>
      <c r="O29" s="14"/>
      <c r="P29" s="15"/>
      <c r="Q29" s="380"/>
    </row>
    <row r="30" spans="2:19" x14ac:dyDescent="0.25">
      <c r="B30" s="382"/>
      <c r="C30" s="1" t="s">
        <v>27</v>
      </c>
      <c r="D30" s="13">
        <v>0.29732537003375747</v>
      </c>
      <c r="E30" s="13">
        <v>0.3544291981704471</v>
      </c>
      <c r="F30" s="14">
        <f t="shared" si="1"/>
        <v>0.83888509064304551</v>
      </c>
      <c r="G30" s="13">
        <v>0.32868783998543011</v>
      </c>
      <c r="H30" s="14">
        <f t="shared" si="0"/>
        <v>1.078315517197588</v>
      </c>
      <c r="I30" s="14"/>
      <c r="J30" s="14"/>
      <c r="K30" s="14"/>
      <c r="L30" s="14"/>
      <c r="M30" s="14"/>
      <c r="N30" s="14"/>
      <c r="O30" s="14"/>
      <c r="P30" s="15"/>
      <c r="Q30" s="380"/>
    </row>
    <row r="31" spans="2:19" x14ac:dyDescent="0.25">
      <c r="B31" s="382"/>
      <c r="C31" s="1" t="s">
        <v>28</v>
      </c>
      <c r="D31" s="13">
        <v>0.11607374707868086</v>
      </c>
      <c r="E31" s="13">
        <v>0.13112832799195162</v>
      </c>
      <c r="F31" s="14">
        <f t="shared" si="1"/>
        <v>0.88519200127225917</v>
      </c>
      <c r="G31" s="13">
        <v>0.17578056392525954</v>
      </c>
      <c r="H31" s="14">
        <f t="shared" si="0"/>
        <v>0.74597739968399646</v>
      </c>
      <c r="I31" s="14"/>
      <c r="J31" s="14"/>
      <c r="K31" s="14"/>
      <c r="L31" s="14"/>
      <c r="M31" s="14"/>
      <c r="N31" s="14"/>
      <c r="O31" s="14"/>
      <c r="P31" s="15"/>
      <c r="Q31" s="380"/>
    </row>
    <row r="32" spans="2:19" x14ac:dyDescent="0.25">
      <c r="B32" s="382"/>
      <c r="C32" s="1" t="s">
        <v>29</v>
      </c>
      <c r="D32" s="13">
        <v>1.7138405608932743E-2</v>
      </c>
      <c r="E32" s="13">
        <v>1.6833131086841532E-2</v>
      </c>
      <c r="F32" s="14">
        <f t="shared" si="1"/>
        <v>1.0181353380138438</v>
      </c>
      <c r="G32" s="13">
        <v>7.222698413444209E-2</v>
      </c>
      <c r="H32" s="14">
        <f t="shared" si="0"/>
        <v>0.23305875620541799</v>
      </c>
      <c r="I32" s="14"/>
      <c r="J32" s="14"/>
      <c r="K32" s="14"/>
      <c r="L32" s="14"/>
      <c r="M32" s="14"/>
      <c r="N32" s="14"/>
      <c r="O32" s="14"/>
      <c r="P32" s="15"/>
      <c r="Q32" s="380"/>
    </row>
    <row r="33" spans="2:17" x14ac:dyDescent="0.25">
      <c r="B33" s="382"/>
      <c r="C33" s="1"/>
      <c r="D33" s="13"/>
      <c r="E33" s="13"/>
      <c r="F33" s="14"/>
      <c r="G33" s="13"/>
      <c r="H33" s="14"/>
      <c r="I33" s="14"/>
      <c r="J33" s="14"/>
      <c r="K33" s="14"/>
      <c r="L33" s="14"/>
      <c r="M33" s="14"/>
      <c r="N33" s="14"/>
      <c r="O33" s="14"/>
      <c r="P33" s="15"/>
      <c r="Q33" s="380"/>
    </row>
    <row r="34" spans="2:17" x14ac:dyDescent="0.25">
      <c r="B34" s="382"/>
      <c r="C34" s="2" t="s">
        <v>30</v>
      </c>
      <c r="F34" s="14"/>
      <c r="G34" s="13"/>
      <c r="H34" s="14"/>
      <c r="I34" s="14"/>
      <c r="J34" s="14"/>
      <c r="K34" s="14"/>
      <c r="L34" s="14"/>
      <c r="M34" s="14"/>
      <c r="N34" s="14"/>
      <c r="O34" s="14"/>
      <c r="P34" s="15"/>
      <c r="Q34" s="380"/>
    </row>
    <row r="35" spans="2:17" x14ac:dyDescent="0.25">
      <c r="B35" s="382"/>
      <c r="C35" s="1" t="s">
        <v>31</v>
      </c>
      <c r="D35" s="13">
        <v>0.49935014296854691</v>
      </c>
      <c r="E35" s="38">
        <v>0.46453701973970984</v>
      </c>
      <c r="F35" s="14">
        <f t="shared" si="1"/>
        <v>1.0749415477120501</v>
      </c>
      <c r="G35" s="13">
        <v>0.4916982188238192</v>
      </c>
      <c r="H35" s="14">
        <f t="shared" si="0"/>
        <v>0.94476042815635763</v>
      </c>
      <c r="I35" s="14"/>
      <c r="J35" s="14"/>
      <c r="K35" s="14"/>
      <c r="L35" s="14"/>
      <c r="M35" s="14"/>
      <c r="N35" s="14"/>
      <c r="O35" s="14"/>
      <c r="P35" s="15"/>
      <c r="Q35" s="380"/>
    </row>
    <row r="36" spans="2:17" x14ac:dyDescent="0.25">
      <c r="B36" s="382"/>
      <c r="C36" s="1" t="s">
        <v>32</v>
      </c>
      <c r="D36" s="13">
        <v>0.20171562256303613</v>
      </c>
      <c r="E36" s="13">
        <v>0.20867841501131246</v>
      </c>
      <c r="F36" s="14">
        <f t="shared" si="1"/>
        <v>0.96663386365140413</v>
      </c>
      <c r="G36" s="13">
        <v>0.14338031637987977</v>
      </c>
      <c r="H36" s="14">
        <f t="shared" si="0"/>
        <v>1.4554188488357653</v>
      </c>
      <c r="I36" s="14"/>
      <c r="J36" s="14"/>
      <c r="K36" s="14"/>
      <c r="L36" s="14"/>
      <c r="M36" s="14"/>
      <c r="N36" s="14"/>
      <c r="O36" s="14"/>
      <c r="P36" s="15"/>
      <c r="Q36" s="380"/>
    </row>
    <row r="37" spans="2:17" x14ac:dyDescent="0.25">
      <c r="B37" s="382"/>
      <c r="C37" s="1" t="s">
        <v>33</v>
      </c>
      <c r="D37" s="13">
        <v>0.12087340785027294</v>
      </c>
      <c r="E37" s="13">
        <v>0.13477385474396497</v>
      </c>
      <c r="F37" s="14">
        <f t="shared" si="1"/>
        <v>0.89686095333476035</v>
      </c>
      <c r="G37" s="13">
        <v>0.13350111393482081</v>
      </c>
      <c r="H37" s="14">
        <f t="shared" si="0"/>
        <v>1.0095335594710135</v>
      </c>
      <c r="I37" s="14"/>
      <c r="J37" s="14"/>
      <c r="K37" s="14"/>
      <c r="L37" s="14"/>
      <c r="M37" s="14"/>
      <c r="N37" s="14"/>
      <c r="O37" s="14"/>
      <c r="P37" s="15"/>
      <c r="Q37" s="380"/>
    </row>
    <row r="38" spans="2:17" x14ac:dyDescent="0.25">
      <c r="B38" s="382"/>
      <c r="C38" s="1" t="s">
        <v>34</v>
      </c>
      <c r="D38" s="13">
        <v>8.4481414088900447E-2</v>
      </c>
      <c r="E38" s="13">
        <v>8.9555181933287667E-2</v>
      </c>
      <c r="F38" s="14">
        <f t="shared" si="1"/>
        <v>0.94334478770679264</v>
      </c>
      <c r="G38" s="13">
        <v>0.10246565834107677</v>
      </c>
      <c r="H38" s="14">
        <f t="shared" si="0"/>
        <v>0.87400191813715689</v>
      </c>
      <c r="I38" s="14"/>
      <c r="J38" s="14"/>
      <c r="K38" s="14"/>
      <c r="L38" s="14"/>
      <c r="M38" s="14"/>
      <c r="N38" s="14"/>
      <c r="O38" s="14"/>
      <c r="P38" s="15"/>
      <c r="Q38" s="380"/>
    </row>
    <row r="39" spans="2:17" x14ac:dyDescent="0.25">
      <c r="B39" s="382"/>
      <c r="C39" s="1" t="s">
        <v>35</v>
      </c>
      <c r="D39" s="13">
        <v>2.0535482193917338E-2</v>
      </c>
      <c r="E39" s="13">
        <v>1.9532141893434628E-2</v>
      </c>
      <c r="F39" s="14">
        <f t="shared" si="1"/>
        <v>1.0513686776369346</v>
      </c>
      <c r="G39" s="13">
        <v>3.3207572517716603E-2</v>
      </c>
      <c r="H39" s="14">
        <f t="shared" si="0"/>
        <v>0.58818336941111904</v>
      </c>
      <c r="I39" s="14"/>
      <c r="J39" s="14"/>
      <c r="K39" s="14"/>
      <c r="L39" s="14"/>
      <c r="M39" s="14"/>
      <c r="N39" s="14"/>
      <c r="O39" s="14"/>
      <c r="P39" s="15"/>
      <c r="Q39" s="380"/>
    </row>
    <row r="40" spans="2:17" x14ac:dyDescent="0.25">
      <c r="B40" s="382"/>
      <c r="C40" s="1" t="s">
        <v>36</v>
      </c>
      <c r="D40" s="13">
        <v>1.4556797504549E-2</v>
      </c>
      <c r="E40" s="13">
        <v>1.5463810531996596E-2</v>
      </c>
      <c r="F40" s="14">
        <f t="shared" si="1"/>
        <v>0.94134608506933848</v>
      </c>
      <c r="G40" s="13">
        <v>2.6221465915833547E-2</v>
      </c>
      <c r="H40" s="14">
        <f t="shared" si="0"/>
        <v>0.58973859743893808</v>
      </c>
      <c r="I40" s="14"/>
      <c r="J40" s="14"/>
      <c r="K40" s="14"/>
      <c r="L40" s="14"/>
      <c r="M40" s="14"/>
      <c r="N40" s="14"/>
      <c r="O40" s="14"/>
      <c r="P40" s="15"/>
      <c r="Q40" s="380"/>
    </row>
    <row r="41" spans="2:17" x14ac:dyDescent="0.25">
      <c r="B41" s="382"/>
      <c r="C41" s="1" t="s">
        <v>37</v>
      </c>
      <c r="D41" s="13">
        <v>5.8487132830777229E-2</v>
      </c>
      <c r="E41" s="13">
        <v>6.7459576146293873E-2</v>
      </c>
      <c r="F41" s="14">
        <f t="shared" si="1"/>
        <v>0.86699526104257063</v>
      </c>
      <c r="G41" s="13">
        <v>6.9525654086853336E-2</v>
      </c>
      <c r="H41" s="14">
        <f t="shared" si="0"/>
        <v>0.97028322900812325</v>
      </c>
      <c r="I41" s="14"/>
      <c r="J41" s="14"/>
      <c r="K41" s="14"/>
      <c r="L41" s="14"/>
      <c r="M41" s="14"/>
      <c r="N41" s="14"/>
      <c r="O41" s="14"/>
      <c r="P41" s="15"/>
      <c r="Q41" s="380"/>
    </row>
    <row r="42" spans="2:17" x14ac:dyDescent="0.25">
      <c r="B42" s="382"/>
      <c r="C42" s="1"/>
      <c r="D42" s="13"/>
      <c r="E42" s="13"/>
      <c r="F42" s="14"/>
      <c r="G42" s="13"/>
      <c r="H42" s="14"/>
      <c r="I42" s="14"/>
      <c r="J42" s="14"/>
      <c r="K42" s="14"/>
      <c r="L42" s="14"/>
      <c r="M42" s="14"/>
      <c r="N42" s="14"/>
      <c r="O42" s="14"/>
      <c r="P42" s="15"/>
      <c r="Q42" s="380"/>
    </row>
    <row r="43" spans="2:17" x14ac:dyDescent="0.25">
      <c r="B43" s="382"/>
      <c r="C43" s="2" t="s">
        <v>38</v>
      </c>
      <c r="F43" s="14"/>
      <c r="G43" s="13"/>
      <c r="H43" s="14"/>
      <c r="I43" s="14"/>
      <c r="J43" s="14"/>
      <c r="K43" s="14"/>
      <c r="L43" s="14"/>
      <c r="M43" s="14"/>
      <c r="N43" s="14"/>
      <c r="O43" s="14"/>
      <c r="P43" s="15"/>
      <c r="Q43" s="380"/>
    </row>
    <row r="44" spans="2:17" x14ac:dyDescent="0.25">
      <c r="B44" s="382"/>
      <c r="C44" s="1" t="s">
        <v>39</v>
      </c>
      <c r="D44" s="13">
        <v>0.43120456905503635</v>
      </c>
      <c r="E44" s="13">
        <v>0.26903658549228171</v>
      </c>
      <c r="F44" s="14">
        <f t="shared" si="1"/>
        <v>1.6027729770135928</v>
      </c>
      <c r="G44" s="16" t="s">
        <v>12</v>
      </c>
      <c r="H44" s="16" t="s">
        <v>12</v>
      </c>
      <c r="I44" s="16"/>
      <c r="J44" s="16"/>
      <c r="K44" s="16"/>
      <c r="L44" s="16"/>
      <c r="M44" s="16"/>
      <c r="N44" s="16"/>
      <c r="O44" s="16"/>
      <c r="P44" s="36"/>
      <c r="Q44" s="380"/>
    </row>
    <row r="45" spans="2:17" x14ac:dyDescent="0.25">
      <c r="B45" s="382"/>
      <c r="C45" s="1" t="s">
        <v>40</v>
      </c>
      <c r="D45" s="13">
        <v>5.7113187954309447E-2</v>
      </c>
      <c r="E45" s="13">
        <v>4.2774650369587081E-2</v>
      </c>
      <c r="F45" s="14">
        <f t="shared" si="1"/>
        <v>1.335211099584279</v>
      </c>
      <c r="G45" s="13">
        <v>0.23826371358004139</v>
      </c>
      <c r="H45" s="14">
        <f t="shared" si="0"/>
        <v>0.17952649913356417</v>
      </c>
      <c r="I45" s="14"/>
      <c r="J45" s="14"/>
      <c r="K45" s="14"/>
      <c r="L45" s="14"/>
      <c r="M45" s="14"/>
      <c r="N45" s="14"/>
      <c r="O45" s="14"/>
      <c r="P45" s="15"/>
      <c r="Q45" s="380"/>
    </row>
    <row r="46" spans="2:17" x14ac:dyDescent="0.25">
      <c r="B46" s="382"/>
      <c r="C46" s="1" t="s">
        <v>41</v>
      </c>
      <c r="D46" s="13">
        <v>9.4496365524402909E-2</v>
      </c>
      <c r="E46" s="13">
        <v>8.553893364019946E-2</v>
      </c>
      <c r="F46" s="14">
        <f t="shared" si="1"/>
        <v>1.104717600547616</v>
      </c>
      <c r="G46" s="13">
        <v>0.2944472672851261</v>
      </c>
      <c r="H46" s="14">
        <f t="shared" si="0"/>
        <v>0.29050680085737862</v>
      </c>
      <c r="I46" s="14"/>
      <c r="J46" s="14"/>
      <c r="K46" s="14"/>
      <c r="L46" s="14"/>
      <c r="M46" s="14"/>
      <c r="N46" s="14"/>
      <c r="O46" s="14"/>
      <c r="P46" s="15"/>
      <c r="Q46" s="380"/>
    </row>
    <row r="47" spans="2:17" x14ac:dyDescent="0.25">
      <c r="B47" s="382"/>
      <c r="C47" s="1" t="s">
        <v>42</v>
      </c>
      <c r="D47" s="13">
        <v>0.11318795430944964</v>
      </c>
      <c r="E47" s="13">
        <v>0.13112306783192859</v>
      </c>
      <c r="F47" s="14">
        <f t="shared" si="1"/>
        <v>0.86321923503599007</v>
      </c>
      <c r="G47" s="13">
        <v>0.2295170839287588</v>
      </c>
      <c r="H47" s="14">
        <f t="shared" si="0"/>
        <v>0.57129981606349034</v>
      </c>
      <c r="I47" s="14"/>
      <c r="J47" s="14"/>
      <c r="K47" s="14"/>
      <c r="L47" s="14"/>
      <c r="M47" s="14"/>
      <c r="N47" s="14"/>
      <c r="O47" s="14"/>
      <c r="P47" s="15"/>
      <c r="Q47" s="380"/>
    </row>
    <row r="48" spans="2:17" x14ac:dyDescent="0.25">
      <c r="B48" s="382"/>
      <c r="C48" s="1" t="s">
        <v>43</v>
      </c>
      <c r="D48" s="13">
        <v>0.1539460020768432</v>
      </c>
      <c r="E48" s="13">
        <v>0.2051959900061166</v>
      </c>
      <c r="F48" s="14">
        <f t="shared" si="1"/>
        <v>0.75023884273885799</v>
      </c>
      <c r="G48" s="13">
        <v>0.16500439759050969</v>
      </c>
      <c r="H48" s="14">
        <f t="shared" si="0"/>
        <v>1.2435789166986331</v>
      </c>
      <c r="I48" s="14"/>
      <c r="J48" s="14"/>
      <c r="K48" s="14"/>
      <c r="L48" s="14"/>
      <c r="M48" s="14"/>
      <c r="N48" s="14"/>
      <c r="O48" s="14"/>
      <c r="P48" s="15"/>
      <c r="Q48" s="380"/>
    </row>
    <row r="49" spans="2:20" ht="15.75" thickBot="1" x14ac:dyDescent="0.3">
      <c r="B49" s="383"/>
      <c r="C49" s="9" t="s">
        <v>44</v>
      </c>
      <c r="D49" s="17">
        <v>0.15005192107995846</v>
      </c>
      <c r="E49" s="17">
        <v>0.26633077265988658</v>
      </c>
      <c r="F49" s="14">
        <f t="shared" si="1"/>
        <v>0.56340436961664897</v>
      </c>
      <c r="G49" s="17">
        <v>7.2767537615563996E-2</v>
      </c>
      <c r="H49" s="14">
        <f t="shared" si="0"/>
        <v>3.6600217815110185</v>
      </c>
      <c r="I49" s="14"/>
      <c r="J49" s="14"/>
      <c r="K49" s="14"/>
      <c r="L49" s="14"/>
      <c r="M49" s="14"/>
      <c r="N49" s="14"/>
      <c r="O49" s="14"/>
      <c r="P49" s="19"/>
      <c r="Q49" s="384"/>
    </row>
    <row r="50" spans="2:20" ht="15.75" thickBot="1" x14ac:dyDescent="0.3">
      <c r="B50" s="60"/>
      <c r="C50" s="45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26"/>
      <c r="Q50" s="28"/>
    </row>
    <row r="51" spans="2:20" x14ac:dyDescent="0.25">
      <c r="B51" s="373" t="s">
        <v>45</v>
      </c>
      <c r="C51" s="5"/>
      <c r="D51" s="385" t="s">
        <v>46</v>
      </c>
      <c r="E51" s="385"/>
      <c r="F51" s="385" t="s">
        <v>47</v>
      </c>
      <c r="G51" s="385"/>
      <c r="H51" s="42"/>
      <c r="I51" s="95"/>
      <c r="J51" s="95"/>
      <c r="K51" s="95"/>
      <c r="L51" s="95"/>
      <c r="M51" s="95"/>
      <c r="N51" s="95"/>
      <c r="O51" s="95"/>
      <c r="P51" s="7"/>
      <c r="Q51" s="386" t="s">
        <v>48</v>
      </c>
    </row>
    <row r="52" spans="2:20" x14ac:dyDescent="0.25">
      <c r="B52" s="374"/>
      <c r="C52" s="1"/>
      <c r="D52" s="40" t="s">
        <v>49</v>
      </c>
      <c r="E52" s="40" t="s">
        <v>50</v>
      </c>
      <c r="F52" s="40" t="s">
        <v>49</v>
      </c>
      <c r="G52" s="40" t="s">
        <v>50</v>
      </c>
      <c r="H52" s="41" t="s">
        <v>51</v>
      </c>
      <c r="I52" s="96" t="s">
        <v>52</v>
      </c>
      <c r="J52" s="97"/>
      <c r="K52" s="97"/>
      <c r="L52" s="97"/>
      <c r="M52" s="97"/>
      <c r="N52" s="97"/>
      <c r="O52" s="97"/>
      <c r="P52" s="99"/>
      <c r="Q52" s="387"/>
    </row>
    <row r="53" spans="2:20" x14ac:dyDescent="0.25">
      <c r="B53" s="374"/>
      <c r="C53" s="2" t="s">
        <v>53</v>
      </c>
      <c r="H53" s="13"/>
      <c r="I53" s="13"/>
      <c r="J53" s="13"/>
      <c r="K53" s="13"/>
      <c r="L53" s="13"/>
      <c r="M53" s="13"/>
      <c r="N53" s="13"/>
      <c r="O53" s="13"/>
      <c r="P53" s="4"/>
      <c r="Q53" s="387"/>
    </row>
    <row r="54" spans="2:20" x14ac:dyDescent="0.25">
      <c r="B54" s="374"/>
      <c r="C54" s="1" t="s">
        <v>54</v>
      </c>
      <c r="D54" s="73">
        <v>1662087</v>
      </c>
      <c r="E54" s="38">
        <v>0.71090819114131576</v>
      </c>
      <c r="F54" s="8">
        <v>71063</v>
      </c>
      <c r="G54" s="13">
        <v>0.64368659420289853</v>
      </c>
      <c r="H54" s="14">
        <f>G54/E54</f>
        <v>0.90544264677764164</v>
      </c>
      <c r="I54" s="38">
        <f>F54/D54</f>
        <v>4.2755282966535448E-2</v>
      </c>
      <c r="J54" s="39"/>
      <c r="K54" s="39"/>
      <c r="L54" s="14"/>
      <c r="M54" s="14"/>
      <c r="N54" s="14"/>
      <c r="O54" s="14"/>
      <c r="P54" s="82"/>
      <c r="Q54" s="387"/>
    </row>
    <row r="55" spans="2:20" x14ac:dyDescent="0.25">
      <c r="B55" s="374"/>
      <c r="C55" s="1" t="s">
        <v>55</v>
      </c>
      <c r="D55" s="73">
        <v>675890</v>
      </c>
      <c r="E55" s="38">
        <v>0.28909180885868424</v>
      </c>
      <c r="F55" s="8">
        <v>39337</v>
      </c>
      <c r="G55" s="13">
        <v>0.35631340579710147</v>
      </c>
      <c r="H55" s="14">
        <f>G55/E55</f>
        <v>1.2325268128619893</v>
      </c>
      <c r="I55" s="38">
        <f>F55/D55</f>
        <v>5.8200298865199958E-2</v>
      </c>
      <c r="J55" s="39"/>
      <c r="K55" s="39"/>
      <c r="L55" s="14"/>
      <c r="M55" s="14"/>
      <c r="N55" s="14"/>
      <c r="O55" s="14"/>
      <c r="P55" s="82"/>
      <c r="Q55" s="387"/>
    </row>
    <row r="56" spans="2:20" x14ac:dyDescent="0.25">
      <c r="B56" s="374"/>
      <c r="C56" s="1" t="s">
        <v>53</v>
      </c>
      <c r="D56" s="73">
        <v>2337977</v>
      </c>
      <c r="E56" s="38"/>
      <c r="F56" s="8">
        <v>110400</v>
      </c>
      <c r="H56" s="14"/>
      <c r="I56" s="38">
        <f t="shared" ref="I56:I65" si="2">F56/D56</f>
        <v>4.7220310550531504E-2</v>
      </c>
      <c r="J56" s="39"/>
      <c r="K56" s="39"/>
      <c r="L56" s="14"/>
      <c r="M56" s="14"/>
      <c r="N56" s="14"/>
      <c r="O56" s="14"/>
      <c r="P56" s="82"/>
      <c r="Q56" s="387"/>
    </row>
    <row r="57" spans="2:20" x14ac:dyDescent="0.25">
      <c r="B57" s="374"/>
      <c r="C57" s="1"/>
      <c r="D57" s="38"/>
      <c r="E57" s="38"/>
      <c r="F57" s="8"/>
      <c r="H57" s="14"/>
      <c r="I57" s="38"/>
      <c r="J57" s="39"/>
      <c r="K57" s="39"/>
      <c r="L57" s="14"/>
      <c r="M57" s="14"/>
      <c r="N57" s="14"/>
      <c r="O57" s="14"/>
      <c r="P57" s="82"/>
      <c r="Q57" s="387"/>
    </row>
    <row r="58" spans="2:20" x14ac:dyDescent="0.25">
      <c r="B58" s="374"/>
      <c r="C58" s="2" t="s">
        <v>56</v>
      </c>
      <c r="D58" s="38"/>
      <c r="E58" s="38"/>
      <c r="H58" s="14"/>
      <c r="I58" s="38"/>
      <c r="J58" s="39"/>
      <c r="K58" s="39"/>
      <c r="L58" s="14"/>
      <c r="M58" s="14"/>
      <c r="N58" s="14"/>
      <c r="O58" s="14"/>
      <c r="P58" s="82"/>
      <c r="Q58" s="387"/>
    </row>
    <row r="59" spans="2:20" x14ac:dyDescent="0.25">
      <c r="B59" s="374"/>
      <c r="C59" s="1" t="s">
        <v>57</v>
      </c>
      <c r="D59" s="73">
        <v>269500</v>
      </c>
      <c r="E59" s="38">
        <v>0.11527059504862537</v>
      </c>
      <c r="F59" s="8">
        <v>11986</v>
      </c>
      <c r="G59" s="13">
        <v>0.10856884057971014</v>
      </c>
      <c r="H59" s="14">
        <f t="shared" ref="H59:H65" si="3">G59/E59</f>
        <v>0.94186067603721324</v>
      </c>
      <c r="I59" s="38">
        <f>F59/D59</f>
        <v>4.4474953617810759E-2</v>
      </c>
      <c r="J59" s="39"/>
      <c r="K59" s="39"/>
      <c r="L59" s="14"/>
      <c r="M59" s="14"/>
      <c r="N59" s="14"/>
      <c r="O59" s="14"/>
      <c r="P59" s="82"/>
      <c r="Q59" s="387"/>
    </row>
    <row r="60" spans="2:20" x14ac:dyDescent="0.25">
      <c r="B60" s="374"/>
      <c r="C60" s="1" t="s">
        <v>58</v>
      </c>
      <c r="D60" s="73">
        <v>127490</v>
      </c>
      <c r="E60" s="38">
        <v>5.4530048841370124E-2</v>
      </c>
      <c r="F60" s="8">
        <v>11913</v>
      </c>
      <c r="G60" s="13">
        <v>0.10790760869565218</v>
      </c>
      <c r="H60" s="14">
        <f t="shared" si="3"/>
        <v>1.9788650659301497</v>
      </c>
      <c r="I60" s="38">
        <f t="shared" si="2"/>
        <v>9.3442622950819676E-2</v>
      </c>
      <c r="J60" s="39"/>
      <c r="K60" s="39"/>
      <c r="L60" s="14"/>
      <c r="M60" s="14"/>
      <c r="N60" s="14"/>
      <c r="O60" s="14"/>
      <c r="P60" s="82"/>
      <c r="Q60" s="387"/>
    </row>
    <row r="61" spans="2:20" x14ac:dyDescent="0.25">
      <c r="B61" s="374"/>
      <c r="C61" s="1" t="s">
        <v>59</v>
      </c>
      <c r="D61" s="73">
        <v>97849</v>
      </c>
      <c r="E61" s="38">
        <v>4.1851994266838381E-2</v>
      </c>
      <c r="F61" s="8">
        <v>7734</v>
      </c>
      <c r="G61" s="13">
        <v>7.0054347826086952E-2</v>
      </c>
      <c r="H61" s="14">
        <f t="shared" si="3"/>
        <v>1.6738592521884874</v>
      </c>
      <c r="I61" s="38">
        <f t="shared" si="2"/>
        <v>7.9040153706220806E-2</v>
      </c>
      <c r="J61" s="39"/>
      <c r="K61" s="39"/>
      <c r="L61" s="14"/>
      <c r="M61" s="14"/>
      <c r="N61" s="14"/>
      <c r="O61" s="14"/>
      <c r="P61" s="82"/>
      <c r="Q61" s="387"/>
    </row>
    <row r="62" spans="2:20" x14ac:dyDescent="0.25">
      <c r="B62" s="374"/>
      <c r="C62" s="1" t="s">
        <v>60</v>
      </c>
      <c r="D62" s="73">
        <v>104177</v>
      </c>
      <c r="E62" s="38">
        <v>4.4558607719408699E-2</v>
      </c>
      <c r="F62" s="8">
        <v>3670</v>
      </c>
      <c r="G62" s="13">
        <v>3.3242753623188404E-2</v>
      </c>
      <c r="H62" s="14">
        <f t="shared" si="3"/>
        <v>0.74604560879734638</v>
      </c>
      <c r="I62" s="38">
        <f t="shared" si="2"/>
        <v>3.5228505332271037E-2</v>
      </c>
      <c r="J62" s="39"/>
      <c r="K62" s="39"/>
      <c r="L62" s="14"/>
      <c r="M62" s="14"/>
      <c r="N62" s="14"/>
      <c r="O62" s="14"/>
      <c r="P62" s="82"/>
      <c r="Q62" s="387"/>
    </row>
    <row r="63" spans="2:20" x14ac:dyDescent="0.25">
      <c r="B63" s="374"/>
      <c r="C63" s="1" t="s">
        <v>61</v>
      </c>
      <c r="D63" s="73">
        <v>42950</v>
      </c>
      <c r="E63" s="38">
        <v>1.8370582773055508E-2</v>
      </c>
      <c r="F63" s="8">
        <v>2266</v>
      </c>
      <c r="G63" s="13">
        <v>2.0525362318840581E-2</v>
      </c>
      <c r="H63" s="14">
        <f t="shared" si="3"/>
        <v>1.1172951110155052</v>
      </c>
      <c r="I63" s="38">
        <f t="shared" si="2"/>
        <v>5.2759022118742727E-2</v>
      </c>
      <c r="J63" s="39"/>
      <c r="K63" s="39"/>
      <c r="L63" s="14"/>
      <c r="M63" s="14"/>
      <c r="N63" s="14"/>
      <c r="O63" s="14"/>
      <c r="P63" s="82"/>
      <c r="Q63" s="387"/>
    </row>
    <row r="64" spans="2:20" x14ac:dyDescent="0.25">
      <c r="B64" s="374"/>
      <c r="C64" s="1" t="s">
        <v>62</v>
      </c>
      <c r="D64" s="73">
        <v>24742</v>
      </c>
      <c r="E64" s="38">
        <v>1.0582653293851907E-2</v>
      </c>
      <c r="F64" s="3">
        <v>1122</v>
      </c>
      <c r="G64" s="13">
        <v>1.016304347826087E-2</v>
      </c>
      <c r="H64" s="14">
        <f t="shared" si="3"/>
        <v>0.96034928066340286</v>
      </c>
      <c r="I64" s="38">
        <f t="shared" si="2"/>
        <v>4.5347991269905422E-2</v>
      </c>
      <c r="J64" s="39"/>
      <c r="K64" s="39"/>
      <c r="L64" s="14"/>
      <c r="M64" s="14"/>
      <c r="N64" s="14"/>
      <c r="O64" s="14"/>
      <c r="P64" s="82"/>
      <c r="Q64" s="387"/>
      <c r="T64" s="13"/>
    </row>
    <row r="65" spans="2:20" ht="15.75" thickBot="1" x14ac:dyDescent="0.3">
      <c r="B65" s="375"/>
      <c r="C65" s="9" t="s">
        <v>63</v>
      </c>
      <c r="D65" s="74">
        <v>9182</v>
      </c>
      <c r="E65" s="44">
        <v>3.9273269155342414E-3</v>
      </c>
      <c r="F65" s="10">
        <v>646</v>
      </c>
      <c r="G65" s="17">
        <v>5.8514492753623188E-3</v>
      </c>
      <c r="H65" s="18">
        <f t="shared" si="3"/>
        <v>1.4899318037969691</v>
      </c>
      <c r="I65" s="44">
        <f t="shared" si="2"/>
        <v>7.0355042474406451E-2</v>
      </c>
      <c r="J65" s="100"/>
      <c r="K65" s="100"/>
      <c r="L65" s="18"/>
      <c r="M65" s="18"/>
      <c r="N65" s="18"/>
      <c r="O65" s="18"/>
      <c r="P65" s="83"/>
      <c r="Q65" s="388"/>
    </row>
    <row r="66" spans="2:20" ht="15.75" thickBot="1" x14ac:dyDescent="0.3">
      <c r="C66" s="1"/>
      <c r="D66" s="8"/>
      <c r="P66" s="4"/>
      <c r="Q66" s="28"/>
    </row>
    <row r="67" spans="2:20" x14ac:dyDescent="0.25">
      <c r="B67" s="373" t="s">
        <v>64</v>
      </c>
      <c r="C67" s="21" t="s">
        <v>65</v>
      </c>
      <c r="D67" s="23" t="s">
        <v>66</v>
      </c>
      <c r="E67" s="48" t="s">
        <v>67</v>
      </c>
      <c r="F67" s="48" t="s">
        <v>68</v>
      </c>
      <c r="G67" s="48" t="s">
        <v>51</v>
      </c>
      <c r="H67" s="6"/>
      <c r="I67" s="6"/>
      <c r="J67" s="6"/>
      <c r="K67" s="6"/>
      <c r="L67" s="6"/>
      <c r="M67" s="6"/>
      <c r="N67" s="6"/>
      <c r="O67" s="6"/>
      <c r="P67" s="7"/>
      <c r="Q67" s="373" t="s">
        <v>19</v>
      </c>
    </row>
    <row r="68" spans="2:20" x14ac:dyDescent="0.25">
      <c r="B68" s="374"/>
      <c r="C68" s="1" t="s">
        <v>69</v>
      </c>
      <c r="D68" s="8">
        <v>33938</v>
      </c>
      <c r="E68" s="67"/>
      <c r="F68" s="68"/>
      <c r="P68" s="4"/>
      <c r="Q68" s="374"/>
    </row>
    <row r="69" spans="2:20" x14ac:dyDescent="0.25">
      <c r="B69" s="374"/>
      <c r="C69" s="1" t="s">
        <v>70</v>
      </c>
      <c r="D69" s="69">
        <f>D68/H18</f>
        <v>0.45392897746271649</v>
      </c>
      <c r="E69" s="110"/>
      <c r="F69" s="68"/>
      <c r="P69" s="4"/>
      <c r="Q69" s="374"/>
    </row>
    <row r="70" spans="2:20" x14ac:dyDescent="0.25">
      <c r="B70" s="374"/>
      <c r="C70" s="1"/>
      <c r="D70" s="70"/>
      <c r="E70" s="68"/>
      <c r="F70" s="14"/>
      <c r="P70" s="4"/>
      <c r="Q70" s="374"/>
      <c r="T70" s="8"/>
    </row>
    <row r="71" spans="2:20" ht="14.45" customHeight="1" x14ac:dyDescent="0.25">
      <c r="B71" s="374"/>
      <c r="C71" s="1" t="s">
        <v>71</v>
      </c>
      <c r="D71" s="8">
        <v>110400</v>
      </c>
      <c r="E71" s="67"/>
      <c r="F71" s="68"/>
      <c r="P71" s="4"/>
      <c r="Q71" s="374"/>
      <c r="R71" s="24"/>
      <c r="T71" s="14"/>
    </row>
    <row r="72" spans="2:20" x14ac:dyDescent="0.25">
      <c r="B72" s="374"/>
      <c r="C72" s="1" t="s">
        <v>72</v>
      </c>
      <c r="D72" s="71">
        <f>D71/D68</f>
        <v>3.2529907478342861</v>
      </c>
      <c r="E72" s="14"/>
      <c r="F72" s="14"/>
      <c r="P72" s="4"/>
      <c r="Q72" s="374"/>
    </row>
    <row r="73" spans="2:20" x14ac:dyDescent="0.25">
      <c r="B73" s="374"/>
      <c r="C73" s="1"/>
      <c r="D73" s="71"/>
      <c r="F73" s="14"/>
      <c r="P73" s="4"/>
      <c r="Q73" s="374"/>
      <c r="T73" s="8"/>
    </row>
    <row r="74" spans="2:20" x14ac:dyDescent="0.25">
      <c r="B74" s="374"/>
      <c r="C74" s="1" t="s">
        <v>73</v>
      </c>
      <c r="D74" s="8">
        <v>57472</v>
      </c>
      <c r="E74" s="67"/>
      <c r="F74" s="14"/>
      <c r="P74" s="4"/>
      <c r="Q74" s="374"/>
      <c r="T74" s="14"/>
    </row>
    <row r="75" spans="2:20" x14ac:dyDescent="0.25">
      <c r="B75" s="374"/>
      <c r="C75" s="1" t="s">
        <v>74</v>
      </c>
      <c r="D75" s="71">
        <f>D74/D68</f>
        <v>1.6934409806117037</v>
      </c>
      <c r="E75" s="72"/>
      <c r="F75" s="14"/>
      <c r="P75" s="4"/>
      <c r="Q75" s="374"/>
    </row>
    <row r="76" spans="2:20" ht="15.75" thickBot="1" x14ac:dyDescent="0.3">
      <c r="B76" s="375"/>
      <c r="C76" s="9" t="s">
        <v>75</v>
      </c>
      <c r="D76" s="84">
        <f>D71/D74</f>
        <v>1.9209354120267261</v>
      </c>
      <c r="E76" s="85"/>
      <c r="F76" s="18"/>
      <c r="G76" s="20"/>
      <c r="H76" s="20"/>
      <c r="I76" s="20"/>
      <c r="J76" s="20"/>
      <c r="K76" s="20"/>
      <c r="L76" s="20"/>
      <c r="M76" s="20"/>
      <c r="N76" s="20"/>
      <c r="O76" s="20"/>
      <c r="P76" s="11"/>
      <c r="Q76" s="375"/>
    </row>
    <row r="77" spans="2:20" x14ac:dyDescent="0.25">
      <c r="D77" s="37"/>
      <c r="E77" s="22"/>
      <c r="F77" s="14"/>
    </row>
    <row r="78" spans="2:20" s="35" customFormat="1" x14ac:dyDescent="0.25">
      <c r="B78" s="47"/>
      <c r="C78" s="78"/>
      <c r="D78" s="8"/>
      <c r="E78" s="13"/>
    </row>
    <row r="79" spans="2:20" s="35" customFormat="1" x14ac:dyDescent="0.25">
      <c r="B79" s="47"/>
      <c r="C79" s="78"/>
      <c r="D79" s="8"/>
      <c r="E79" s="34"/>
    </row>
    <row r="80" spans="2:20" s="35" customFormat="1" x14ac:dyDescent="0.25">
      <c r="B80" s="47"/>
      <c r="C80" s="78"/>
      <c r="D80" s="8"/>
      <c r="E80" s="34"/>
    </row>
    <row r="81" spans="2:5" s="35" customFormat="1" x14ac:dyDescent="0.25">
      <c r="B81" s="47"/>
      <c r="C81" s="78"/>
      <c r="D81" s="8"/>
      <c r="E81" s="34"/>
    </row>
    <row r="82" spans="2:5" s="35" customFormat="1" x14ac:dyDescent="0.25">
      <c r="B82" s="47"/>
      <c r="C82" s="78"/>
      <c r="D82" s="8"/>
      <c r="E82" s="78"/>
    </row>
    <row r="83" spans="2:5" s="35" customFormat="1" x14ac:dyDescent="0.25">
      <c r="B83" s="47"/>
      <c r="C83" s="78"/>
      <c r="D83" s="8"/>
      <c r="E83" s="34"/>
    </row>
  </sheetData>
  <mergeCells count="14">
    <mergeCell ref="B67:B76"/>
    <mergeCell ref="Q67:Q76"/>
    <mergeCell ref="D3:J3"/>
    <mergeCell ref="K3:M3"/>
    <mergeCell ref="N3:P3"/>
    <mergeCell ref="B51:B65"/>
    <mergeCell ref="D51:E51"/>
    <mergeCell ref="F51:G51"/>
    <mergeCell ref="Q51:Q65"/>
    <mergeCell ref="C2:P2"/>
    <mergeCell ref="B4:B19"/>
    <mergeCell ref="Q4:Q19"/>
    <mergeCell ref="B21:B49"/>
    <mergeCell ref="Q21:Q4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169A6-BCD2-4E2D-BBAB-A70D1C97C8E9}">
  <sheetPr codeName="Sheet15">
    <tabColor theme="4"/>
  </sheetPr>
  <dimension ref="B1:T84"/>
  <sheetViews>
    <sheetView topLeftCell="A36" workbookViewId="0">
      <selection activeCell="F56" sqref="F56"/>
    </sheetView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5" width="13.28515625" style="3" customWidth="1"/>
    <col min="16" max="16" width="12" style="3" bestFit="1" customWidth="1"/>
    <col min="17" max="17" width="14.28515625" style="47" customWidth="1"/>
    <col min="18" max="16384" width="8.85546875" style="3"/>
  </cols>
  <sheetData>
    <row r="1" spans="2:19" ht="15.75" thickBot="1" x14ac:dyDescent="0.3"/>
    <row r="2" spans="2:19" ht="15.75" thickBot="1" x14ac:dyDescent="0.3">
      <c r="C2" s="376" t="s">
        <v>131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8"/>
      <c r="Q2" s="46" t="s">
        <v>1</v>
      </c>
    </row>
    <row r="3" spans="2:19" ht="15.75" thickBot="1" x14ac:dyDescent="0.3">
      <c r="C3" s="5"/>
      <c r="D3" s="392" t="s">
        <v>127</v>
      </c>
      <c r="E3" s="392"/>
      <c r="F3" s="392"/>
      <c r="G3" s="392"/>
      <c r="H3" s="392"/>
      <c r="I3" s="392"/>
      <c r="J3" s="392"/>
      <c r="K3" s="393" t="s">
        <v>128</v>
      </c>
      <c r="L3" s="385"/>
      <c r="M3" s="394"/>
      <c r="N3" s="393" t="s">
        <v>129</v>
      </c>
      <c r="O3" s="385"/>
      <c r="P3" s="395"/>
      <c r="Q3" s="373" t="s">
        <v>10</v>
      </c>
    </row>
    <row r="4" spans="2:19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114" t="s">
        <v>115</v>
      </c>
      <c r="P4" s="115" t="s">
        <v>130</v>
      </c>
      <c r="Q4" s="374"/>
    </row>
    <row r="5" spans="2:19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4" t="s">
        <v>12</v>
      </c>
      <c r="Q5" s="374"/>
    </row>
    <row r="6" spans="2:19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4" t="s">
        <v>12</v>
      </c>
      <c r="Q6" s="374"/>
      <c r="R6" s="39"/>
      <c r="S6" s="39"/>
    </row>
    <row r="7" spans="2:19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4" t="s">
        <v>12</v>
      </c>
      <c r="Q7" s="374"/>
      <c r="R7" s="39"/>
      <c r="S7" s="39"/>
    </row>
    <row r="8" spans="2:19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4" t="s">
        <v>12</v>
      </c>
      <c r="Q8" s="374"/>
      <c r="R8" s="39"/>
      <c r="S8" s="39"/>
    </row>
    <row r="9" spans="2:19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4" t="s">
        <v>12</v>
      </c>
      <c r="Q9" s="374"/>
      <c r="R9" s="39"/>
      <c r="S9" s="39"/>
    </row>
    <row r="10" spans="2:19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4" t="s">
        <v>12</v>
      </c>
      <c r="Q10" s="374"/>
      <c r="R10" s="39"/>
      <c r="S10" s="39"/>
    </row>
    <row r="11" spans="2:19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4" t="s">
        <v>12</v>
      </c>
      <c r="Q11" s="374"/>
      <c r="R11" s="39"/>
      <c r="S11" s="39"/>
    </row>
    <row r="12" spans="2:19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4" t="s">
        <v>12</v>
      </c>
      <c r="Q12" s="374"/>
      <c r="R12" s="39"/>
      <c r="S12" s="39"/>
    </row>
    <row r="13" spans="2:19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4" t="s">
        <v>12</v>
      </c>
      <c r="Q13" s="374"/>
      <c r="R13" s="39"/>
      <c r="S13" s="39"/>
    </row>
    <row r="14" spans="2:19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4" t="s">
        <v>12</v>
      </c>
      <c r="Q14" s="374"/>
      <c r="R14" s="39"/>
      <c r="S14" s="39"/>
    </row>
    <row r="15" spans="2:19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4" t="s">
        <v>12</v>
      </c>
      <c r="Q15" s="374"/>
      <c r="R15" s="39"/>
      <c r="S15" s="39"/>
    </row>
    <row r="16" spans="2:19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4" t="s">
        <v>12</v>
      </c>
      <c r="Q16" s="374"/>
      <c r="R16" s="39"/>
      <c r="S16" s="39"/>
    </row>
    <row r="17" spans="2:19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v>6.76959784704593E-2</v>
      </c>
      <c r="K17" s="89">
        <v>7078</v>
      </c>
      <c r="L17" s="105">
        <v>0.84</v>
      </c>
      <c r="M17" s="104">
        <v>0.16</v>
      </c>
      <c r="N17" s="89">
        <v>66</v>
      </c>
      <c r="O17" s="104">
        <v>0.52</v>
      </c>
      <c r="P17" s="90">
        <v>0.48</v>
      </c>
      <c r="Q17" s="374"/>
      <c r="R17" s="39"/>
      <c r="S17" s="39"/>
    </row>
    <row r="18" spans="2:19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v>6.0199948869064442E-2</v>
      </c>
      <c r="K18" s="89">
        <v>4413</v>
      </c>
      <c r="L18" s="105">
        <v>0.75</v>
      </c>
      <c r="M18" s="104">
        <v>0.25</v>
      </c>
      <c r="N18" s="89">
        <v>1718</v>
      </c>
      <c r="O18" s="104">
        <v>0.3</v>
      </c>
      <c r="P18" s="90">
        <v>0.7</v>
      </c>
      <c r="Q18" s="374"/>
      <c r="R18" s="39"/>
      <c r="S18" s="142"/>
    </row>
    <row r="19" spans="2:19" x14ac:dyDescent="0.25"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1">
        <v>6.5685815555406937E-2</v>
      </c>
      <c r="K19" s="135">
        <v>6929</v>
      </c>
      <c r="L19" s="137">
        <v>0.72</v>
      </c>
      <c r="M19" s="137">
        <v>0.28000000000000003</v>
      </c>
      <c r="N19" s="135">
        <v>1168</v>
      </c>
      <c r="O19" s="137">
        <v>0.63</v>
      </c>
      <c r="P19" s="138">
        <v>0.37</v>
      </c>
      <c r="Q19" s="374"/>
      <c r="R19" s="39"/>
      <c r="S19" s="142"/>
    </row>
    <row r="20" spans="2:19" ht="15.75" thickBot="1" x14ac:dyDescent="0.3">
      <c r="B20" s="391"/>
      <c r="C20" s="58" t="s">
        <v>78</v>
      </c>
      <c r="D20" s="113"/>
      <c r="E20" s="113">
        <v>116103</v>
      </c>
      <c r="F20" s="113">
        <v>102128.52</v>
      </c>
      <c r="G20" s="113">
        <v>38590</v>
      </c>
      <c r="H20" s="113"/>
      <c r="I20" s="130"/>
      <c r="J20" s="130"/>
      <c r="K20" s="113">
        <v>114832</v>
      </c>
      <c r="L20" s="130"/>
      <c r="M20" s="130"/>
      <c r="N20" s="113">
        <v>2952</v>
      </c>
      <c r="O20" s="130"/>
      <c r="P20" s="139"/>
      <c r="Q20" s="375"/>
      <c r="R20" s="8"/>
      <c r="S20" s="142"/>
    </row>
    <row r="21" spans="2:19" ht="15.75" thickBot="1" x14ac:dyDescent="0.3">
      <c r="C21" s="45"/>
      <c r="D21" s="25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1"/>
      <c r="Q21" s="27"/>
      <c r="S21" s="142"/>
    </row>
    <row r="22" spans="2:19" x14ac:dyDescent="0.25">
      <c r="B22" s="381" t="s">
        <v>13</v>
      </c>
      <c r="C22" s="5"/>
      <c r="D22" s="48" t="s">
        <v>83</v>
      </c>
      <c r="E22" s="48" t="s">
        <v>15</v>
      </c>
      <c r="F22" s="48" t="s">
        <v>84</v>
      </c>
      <c r="G22" s="48" t="s">
        <v>17</v>
      </c>
      <c r="H22" s="48" t="s">
        <v>18</v>
      </c>
      <c r="I22" s="94"/>
      <c r="J22" s="94"/>
      <c r="K22" s="116"/>
      <c r="L22" s="94"/>
      <c r="M22" s="94"/>
      <c r="N22" s="94"/>
      <c r="O22" s="94"/>
      <c r="P22" s="49"/>
      <c r="Q22" s="380" t="s">
        <v>19</v>
      </c>
      <c r="S22" s="142"/>
    </row>
    <row r="23" spans="2:19" x14ac:dyDescent="0.25">
      <c r="B23" s="382"/>
      <c r="C23" s="2" t="s">
        <v>20</v>
      </c>
      <c r="D23" s="47"/>
      <c r="E23" s="47"/>
      <c r="F23" s="47"/>
      <c r="G23" s="47"/>
      <c r="H23" s="47"/>
      <c r="I23" s="47"/>
      <c r="J23" s="47"/>
      <c r="K23" s="47"/>
      <c r="L23" s="47"/>
      <c r="M23" s="124"/>
      <c r="N23" s="47"/>
      <c r="O23" s="47"/>
      <c r="P23" s="12"/>
      <c r="Q23" s="380"/>
      <c r="S23" s="8"/>
    </row>
    <row r="24" spans="2:19" x14ac:dyDescent="0.25">
      <c r="B24" s="382"/>
      <c r="C24" s="1" t="s">
        <v>21</v>
      </c>
      <c r="D24" s="13">
        <v>0.46953595465816506</v>
      </c>
      <c r="E24" s="13">
        <v>0.40352006018550596</v>
      </c>
      <c r="F24" s="14">
        <v>1.1636000312904153</v>
      </c>
      <c r="G24" s="13">
        <v>0.57235489190258093</v>
      </c>
      <c r="H24" s="14">
        <v>0.70501722950974288</v>
      </c>
      <c r="I24" s="14"/>
      <c r="J24" s="39"/>
      <c r="K24" s="14"/>
      <c r="L24" s="14"/>
      <c r="M24" s="14"/>
      <c r="N24" s="14"/>
      <c r="O24" s="14"/>
      <c r="P24" s="15"/>
      <c r="Q24" s="380"/>
      <c r="S24" s="8"/>
    </row>
    <row r="25" spans="2:19" x14ac:dyDescent="0.25">
      <c r="B25" s="382"/>
      <c r="C25" s="1" t="s">
        <v>22</v>
      </c>
      <c r="D25" s="13">
        <v>0.53046404534183489</v>
      </c>
      <c r="E25" s="13">
        <v>0.59647993981449399</v>
      </c>
      <c r="F25" s="14">
        <v>0.88932420008426416</v>
      </c>
      <c r="G25" s="13">
        <v>0.42764510809741907</v>
      </c>
      <c r="H25" s="14">
        <v>1.3948012698384795</v>
      </c>
      <c r="I25" s="14"/>
      <c r="J25" s="39"/>
      <c r="K25" s="14"/>
      <c r="L25" s="14"/>
      <c r="M25" s="14"/>
      <c r="N25" s="14"/>
      <c r="O25" s="14"/>
      <c r="P25" s="15"/>
      <c r="Q25" s="380"/>
    </row>
    <row r="26" spans="2:19" x14ac:dyDescent="0.25">
      <c r="B26" s="382"/>
      <c r="C26" s="1"/>
      <c r="D26" s="13"/>
      <c r="E26" s="13"/>
      <c r="F26" s="14"/>
      <c r="G26" s="13"/>
      <c r="H26" s="14"/>
      <c r="I26" s="14"/>
      <c r="J26" s="39"/>
      <c r="K26" s="14"/>
      <c r="L26" s="14"/>
      <c r="M26" s="14"/>
      <c r="N26" s="14"/>
      <c r="O26" s="14"/>
      <c r="P26" s="15"/>
      <c r="Q26" s="380"/>
    </row>
    <row r="27" spans="2:19" x14ac:dyDescent="0.25">
      <c r="B27" s="382"/>
      <c r="C27" s="2" t="s">
        <v>23</v>
      </c>
      <c r="F27" s="14"/>
      <c r="G27" s="13"/>
      <c r="H27" s="14"/>
      <c r="I27" s="14"/>
      <c r="J27" s="39"/>
      <c r="K27" s="14"/>
      <c r="L27" s="14"/>
      <c r="M27" s="14"/>
      <c r="N27" s="14"/>
      <c r="O27" s="14"/>
      <c r="P27" s="15"/>
      <c r="Q27" s="380"/>
    </row>
    <row r="28" spans="2:19" x14ac:dyDescent="0.25">
      <c r="B28" s="382"/>
      <c r="C28" s="1" t="s">
        <v>24</v>
      </c>
      <c r="D28" s="13">
        <v>2.2739198880531747E-2</v>
      </c>
      <c r="E28" s="13">
        <v>1.2514933704146183E-2</v>
      </c>
      <c r="F28" s="14">
        <v>1.8169651887966676</v>
      </c>
      <c r="G28" s="13">
        <v>9.3529624053555957E-3</v>
      </c>
      <c r="H28" s="14">
        <v>1.3380716356755602</v>
      </c>
      <c r="I28" s="14"/>
      <c r="J28" s="39"/>
      <c r="K28" s="14"/>
      <c r="L28" s="14"/>
      <c r="M28" s="14"/>
      <c r="N28" s="14"/>
      <c r="O28" s="14"/>
      <c r="P28" s="15"/>
      <c r="Q28" s="380"/>
    </row>
    <row r="29" spans="2:19" x14ac:dyDescent="0.25">
      <c r="B29" s="382"/>
      <c r="C29" s="1" t="s">
        <v>25</v>
      </c>
      <c r="D29" s="13">
        <v>0.17579149903795696</v>
      </c>
      <c r="E29" s="13">
        <v>0.13601911514130713</v>
      </c>
      <c r="F29" s="14">
        <v>1.2924029012784799</v>
      </c>
      <c r="G29" s="13">
        <v>0.11987086678511411</v>
      </c>
      <c r="H29" s="14">
        <v>1.1347137030813426</v>
      </c>
      <c r="I29" s="14"/>
      <c r="J29" s="39"/>
      <c r="K29" s="14"/>
      <c r="L29" s="14"/>
      <c r="M29" s="14"/>
      <c r="N29" s="14"/>
      <c r="O29" s="14"/>
      <c r="P29" s="15"/>
      <c r="Q29" s="380"/>
    </row>
    <row r="30" spans="2:19" x14ac:dyDescent="0.25">
      <c r="B30" s="382"/>
      <c r="C30" s="1" t="s">
        <v>26</v>
      </c>
      <c r="D30" s="13">
        <v>0.34003848172118245</v>
      </c>
      <c r="E30" s="13">
        <v>0.35000685481501792</v>
      </c>
      <c r="F30" s="14">
        <v>0.97151949181365649</v>
      </c>
      <c r="G30" s="13">
        <v>0.29408078276439853</v>
      </c>
      <c r="H30" s="14">
        <v>1.1901724809248222</v>
      </c>
      <c r="I30" s="14"/>
      <c r="J30" s="39"/>
      <c r="K30" s="14"/>
      <c r="L30" s="14"/>
      <c r="M30" s="14"/>
      <c r="N30" s="14"/>
      <c r="O30" s="14"/>
      <c r="P30" s="15"/>
      <c r="Q30" s="380"/>
    </row>
    <row r="31" spans="2:19" x14ac:dyDescent="0.25">
      <c r="B31" s="382"/>
      <c r="C31" s="1" t="s">
        <v>27</v>
      </c>
      <c r="D31" s="13">
        <v>0.32307154101801644</v>
      </c>
      <c r="E31" s="13">
        <v>0.35363990677451573</v>
      </c>
      <c r="F31" s="14">
        <v>0.91356075722531516</v>
      </c>
      <c r="G31" s="13">
        <v>0.32868783998543011</v>
      </c>
      <c r="H31" s="14">
        <v>1.0759141767769433</v>
      </c>
      <c r="I31" s="14"/>
      <c r="J31" s="39"/>
      <c r="K31" s="14"/>
      <c r="L31" s="14"/>
      <c r="M31" s="14"/>
      <c r="N31" s="14"/>
      <c r="O31" s="14"/>
      <c r="P31" s="15"/>
      <c r="Q31" s="380"/>
    </row>
    <row r="32" spans="2:19" x14ac:dyDescent="0.25">
      <c r="B32" s="382"/>
      <c r="C32" s="1" t="s">
        <v>28</v>
      </c>
      <c r="D32" s="13">
        <v>0.12034283715235264</v>
      </c>
      <c r="E32" s="13">
        <v>0.13152431500812786</v>
      </c>
      <c r="F32" s="14">
        <v>0.91498546975831629</v>
      </c>
      <c r="G32" s="13">
        <v>0.17578056392525954</v>
      </c>
      <c r="H32" s="14">
        <v>0.74823013461289689</v>
      </c>
      <c r="I32" s="14"/>
      <c r="J32" s="39"/>
      <c r="K32" s="14"/>
      <c r="L32" s="14"/>
      <c r="M32" s="14"/>
      <c r="N32" s="14"/>
      <c r="O32" s="14"/>
      <c r="P32" s="15"/>
      <c r="Q32" s="380"/>
    </row>
    <row r="33" spans="2:17" x14ac:dyDescent="0.25">
      <c r="B33" s="382"/>
      <c r="C33" s="1" t="s">
        <v>29</v>
      </c>
      <c r="D33" s="13">
        <v>1.8016442189959771E-2</v>
      </c>
      <c r="E33" s="13">
        <v>1.6294874556885171E-2</v>
      </c>
      <c r="F33" s="14">
        <v>1.1056508675206203</v>
      </c>
      <c r="G33" s="13">
        <v>7.222698413444209E-2</v>
      </c>
      <c r="H33" s="14">
        <v>0.22560646484358485</v>
      </c>
      <c r="I33" s="14"/>
      <c r="J33" s="39"/>
      <c r="K33" s="14"/>
      <c r="L33" s="14"/>
      <c r="M33" s="14"/>
      <c r="N33" s="14"/>
      <c r="O33" s="14"/>
      <c r="P33" s="15"/>
      <c r="Q33" s="380"/>
    </row>
    <row r="34" spans="2:17" x14ac:dyDescent="0.25">
      <c r="B34" s="382"/>
      <c r="C34" s="1"/>
      <c r="D34" s="13"/>
      <c r="E34" s="13"/>
      <c r="F34" s="14"/>
      <c r="G34" s="13"/>
      <c r="H34" s="14"/>
      <c r="I34" s="14"/>
      <c r="J34" s="39"/>
      <c r="K34" s="14"/>
      <c r="L34" s="14"/>
      <c r="M34" s="14"/>
      <c r="N34" s="14"/>
      <c r="O34" s="14"/>
      <c r="P34" s="15"/>
      <c r="Q34" s="380"/>
    </row>
    <row r="35" spans="2:17" x14ac:dyDescent="0.25">
      <c r="B35" s="382"/>
      <c r="C35" s="2" t="s">
        <v>30</v>
      </c>
      <c r="F35" s="14"/>
      <c r="G35" s="13"/>
      <c r="H35" s="14"/>
      <c r="I35" s="14"/>
      <c r="J35" s="39"/>
      <c r="K35" s="14"/>
      <c r="L35" s="14"/>
      <c r="M35" s="14"/>
      <c r="N35" s="14"/>
      <c r="O35" s="14"/>
      <c r="P35" s="15"/>
      <c r="Q35" s="380"/>
    </row>
    <row r="36" spans="2:17" x14ac:dyDescent="0.25">
      <c r="B36" s="382"/>
      <c r="C36" s="1" t="s">
        <v>31</v>
      </c>
      <c r="D36" s="13">
        <v>0.49152542372881358</v>
      </c>
      <c r="E36" s="38">
        <v>0.46475494899257896</v>
      </c>
      <c r="F36" s="14">
        <v>1.0576012687853316</v>
      </c>
      <c r="G36" s="13">
        <v>0.4916982188238192</v>
      </c>
      <c r="H36" s="14">
        <v>0.94520364565141057</v>
      </c>
      <c r="I36" s="14"/>
      <c r="J36" s="39"/>
      <c r="K36" s="14"/>
      <c r="L36" s="14"/>
      <c r="M36" s="14"/>
      <c r="N36" s="14"/>
      <c r="O36" s="14"/>
      <c r="P36" s="15"/>
      <c r="Q36" s="380"/>
    </row>
    <row r="37" spans="2:17" x14ac:dyDescent="0.25">
      <c r="B37" s="382"/>
      <c r="C37" s="1" t="s">
        <v>32</v>
      </c>
      <c r="D37" s="13">
        <v>0.19709942337934649</v>
      </c>
      <c r="E37" s="13">
        <v>0.21268430224589296</v>
      </c>
      <c r="F37" s="14">
        <v>0.92672294710058967</v>
      </c>
      <c r="G37" s="13">
        <v>0.14338031637987977</v>
      </c>
      <c r="H37" s="14">
        <v>1.4833577412564454</v>
      </c>
      <c r="I37" s="14"/>
      <c r="J37" s="39"/>
      <c r="K37" s="14"/>
      <c r="L37" s="14"/>
      <c r="M37" s="14"/>
      <c r="N37" s="14"/>
      <c r="O37" s="14"/>
      <c r="P37" s="15"/>
      <c r="Q37" s="380"/>
    </row>
    <row r="38" spans="2:17" x14ac:dyDescent="0.25">
      <c r="B38" s="382"/>
      <c r="C38" s="1" t="s">
        <v>33</v>
      </c>
      <c r="D38" s="13">
        <v>0.12703127730211428</v>
      </c>
      <c r="E38" s="13">
        <v>0.13328503455973056</v>
      </c>
      <c r="F38" s="14">
        <v>0.95307982416575265</v>
      </c>
      <c r="G38" s="13">
        <v>0.13350111393482081</v>
      </c>
      <c r="H38" s="14">
        <v>0.99838144140732987</v>
      </c>
      <c r="I38" s="14"/>
      <c r="J38" s="39"/>
      <c r="K38" s="14"/>
      <c r="L38" s="14"/>
      <c r="M38" s="14"/>
      <c r="N38" s="14"/>
      <c r="O38" s="14"/>
      <c r="P38" s="15"/>
      <c r="Q38" s="380"/>
    </row>
    <row r="39" spans="2:17" x14ac:dyDescent="0.25">
      <c r="B39" s="382"/>
      <c r="C39" s="1" t="s">
        <v>34</v>
      </c>
      <c r="D39" s="13">
        <v>8.177529267866504E-2</v>
      </c>
      <c r="E39" s="13">
        <v>8.854340036419886E-2</v>
      </c>
      <c r="F39" s="14">
        <v>0.92356169225831541</v>
      </c>
      <c r="G39" s="13">
        <v>0.10246565834107677</v>
      </c>
      <c r="H39" s="14">
        <v>0.86412757013149732</v>
      </c>
      <c r="I39" s="14"/>
      <c r="J39" s="39"/>
      <c r="K39" s="14"/>
      <c r="L39" s="14"/>
      <c r="M39" s="14"/>
      <c r="N39" s="14"/>
      <c r="O39" s="14"/>
      <c r="P39" s="15"/>
      <c r="Q39" s="380"/>
    </row>
    <row r="40" spans="2:17" x14ac:dyDescent="0.25">
      <c r="B40" s="382"/>
      <c r="C40" s="1" t="s">
        <v>35</v>
      </c>
      <c r="D40" s="13">
        <v>1.6949152542372881E-2</v>
      </c>
      <c r="E40" s="13">
        <v>1.8425329443324E-2</v>
      </c>
      <c r="F40" s="14">
        <v>0.91988328320034585</v>
      </c>
      <c r="G40" s="13">
        <v>3.3207572517716603E-2</v>
      </c>
      <c r="H40" s="14">
        <v>0.55485324720721108</v>
      </c>
      <c r="I40" s="14"/>
      <c r="J40" s="39"/>
      <c r="K40" s="14"/>
      <c r="L40" s="14"/>
      <c r="M40" s="14"/>
      <c r="N40" s="14"/>
      <c r="O40" s="14"/>
      <c r="P40" s="15"/>
      <c r="Q40" s="380"/>
    </row>
    <row r="41" spans="2:17" x14ac:dyDescent="0.25">
      <c r="B41" s="382"/>
      <c r="C41" s="1" t="s">
        <v>36</v>
      </c>
      <c r="D41" s="13">
        <v>1.5900751354184867E-2</v>
      </c>
      <c r="E41" s="13">
        <v>1.4401519453310098E-2</v>
      </c>
      <c r="F41" s="14">
        <v>1.1041023418213125</v>
      </c>
      <c r="G41" s="13">
        <v>2.6221465915833547E-2</v>
      </c>
      <c r="H41" s="14">
        <v>0.54922632851788411</v>
      </c>
      <c r="I41" s="14"/>
      <c r="J41" s="39"/>
      <c r="K41" s="14"/>
      <c r="L41" s="14"/>
      <c r="M41" s="14"/>
      <c r="N41" s="14"/>
      <c r="O41" s="14"/>
      <c r="P41" s="15"/>
      <c r="Q41" s="380"/>
    </row>
    <row r="42" spans="2:17" x14ac:dyDescent="0.25">
      <c r="B42" s="382"/>
      <c r="C42" s="1" t="s">
        <v>37</v>
      </c>
      <c r="D42" s="13">
        <v>6.9718679014502891E-2</v>
      </c>
      <c r="E42" s="13">
        <v>6.7905464940964541E-2</v>
      </c>
      <c r="F42" s="14">
        <v>1.0267020345875655</v>
      </c>
      <c r="G42" s="13">
        <v>6.9525654086853336E-2</v>
      </c>
      <c r="H42" s="14">
        <v>0.97669652781885641</v>
      </c>
      <c r="I42" s="14"/>
      <c r="J42" s="39"/>
      <c r="K42" s="14"/>
      <c r="L42" s="14"/>
      <c r="M42" s="14"/>
      <c r="N42" s="14"/>
      <c r="O42" s="14"/>
      <c r="P42" s="15"/>
      <c r="Q42" s="380"/>
    </row>
    <row r="43" spans="2:17" x14ac:dyDescent="0.25">
      <c r="B43" s="382"/>
      <c r="C43" s="1"/>
      <c r="D43" s="13"/>
      <c r="E43" s="13"/>
      <c r="F43" s="14"/>
      <c r="G43" s="13"/>
      <c r="H43" s="14"/>
      <c r="I43" s="14"/>
      <c r="J43" s="39"/>
      <c r="K43" s="14"/>
      <c r="L43" s="14"/>
      <c r="M43" s="14"/>
      <c r="N43" s="14"/>
      <c r="O43" s="14"/>
      <c r="P43" s="15"/>
      <c r="Q43" s="380"/>
    </row>
    <row r="44" spans="2:17" x14ac:dyDescent="0.25">
      <c r="B44" s="382"/>
      <c r="C44" s="2" t="s">
        <v>38</v>
      </c>
      <c r="F44" s="14"/>
      <c r="G44" s="13"/>
      <c r="H44" s="14"/>
      <c r="I44" s="14"/>
      <c r="J44" s="39"/>
      <c r="K44" s="14"/>
      <c r="L44" s="14"/>
      <c r="M44" s="14"/>
      <c r="N44" s="14"/>
      <c r="O44" s="14"/>
      <c r="P44" s="15"/>
      <c r="Q44" s="380"/>
    </row>
    <row r="45" spans="2:17" x14ac:dyDescent="0.25">
      <c r="B45" s="382"/>
      <c r="C45" s="1" t="s">
        <v>39</v>
      </c>
      <c r="D45" s="13">
        <v>0.41160027952480782</v>
      </c>
      <c r="E45" s="13">
        <v>0.27738576419812289</v>
      </c>
      <c r="F45" s="14">
        <v>1.4838550951404348</v>
      </c>
      <c r="G45" s="16" t="s">
        <v>12</v>
      </c>
      <c r="H45" s="16" t="s">
        <v>12</v>
      </c>
      <c r="I45" s="148">
        <v>0.29112533478596397</v>
      </c>
      <c r="J45" s="38"/>
      <c r="K45" s="16"/>
      <c r="L45" s="16"/>
      <c r="M45" s="16"/>
      <c r="N45" s="16"/>
      <c r="O45" s="16"/>
      <c r="P45" s="36"/>
      <c r="Q45" s="380"/>
    </row>
    <row r="46" spans="2:17" x14ac:dyDescent="0.25">
      <c r="B46" s="382"/>
      <c r="C46" s="1" t="s">
        <v>40</v>
      </c>
      <c r="D46" s="13">
        <v>4.716981132075472E-2</v>
      </c>
      <c r="E46" s="13">
        <v>4.2973605143914115E-2</v>
      </c>
      <c r="F46" s="14">
        <v>1.0976461286593933</v>
      </c>
      <c r="G46" s="13">
        <v>0.23826371358004139</v>
      </c>
      <c r="H46" s="14">
        <v>0.18036151832863012</v>
      </c>
      <c r="I46" s="38">
        <v>4.2979708565981205E-2</v>
      </c>
      <c r="J46" s="38"/>
      <c r="K46" s="14"/>
      <c r="L46" s="14"/>
      <c r="M46" s="14"/>
      <c r="N46" s="14"/>
      <c r="O46" s="14"/>
      <c r="P46" s="15"/>
      <c r="Q46" s="380"/>
    </row>
    <row r="47" spans="2:17" x14ac:dyDescent="0.25">
      <c r="B47" s="382"/>
      <c r="C47" s="1" t="s">
        <v>41</v>
      </c>
      <c r="D47" s="13">
        <v>9.4164919636617744E-2</v>
      </c>
      <c r="E47" s="13">
        <v>8.5996144021765725E-2</v>
      </c>
      <c r="F47" s="14">
        <v>1.0949900220268538</v>
      </c>
      <c r="G47" s="13">
        <v>0.2944472672851261</v>
      </c>
      <c r="H47" s="14">
        <v>0.29205957594604509</v>
      </c>
      <c r="I47" s="38">
        <v>8.6050206545916746E-2</v>
      </c>
      <c r="J47" s="38"/>
      <c r="K47" s="14"/>
      <c r="L47" s="14"/>
      <c r="M47" s="14"/>
      <c r="N47" s="14"/>
      <c r="O47" s="14"/>
      <c r="P47" s="15"/>
      <c r="Q47" s="380"/>
    </row>
    <row r="48" spans="2:17" x14ac:dyDescent="0.25">
      <c r="B48" s="382"/>
      <c r="C48" s="1" t="s">
        <v>42</v>
      </c>
      <c r="D48" s="13">
        <v>0.11617749825296995</v>
      </c>
      <c r="E48" s="13">
        <v>0.13024202624805489</v>
      </c>
      <c r="F48" s="14">
        <v>0.89201236804855843</v>
      </c>
      <c r="G48" s="13">
        <v>0.2295170839287588</v>
      </c>
      <c r="H48" s="14">
        <v>0.56746114066385356</v>
      </c>
      <c r="I48" s="38">
        <v>0.12932044123655181</v>
      </c>
      <c r="J48" s="38"/>
      <c r="K48" s="14"/>
      <c r="L48" s="14"/>
      <c r="M48" s="14"/>
      <c r="N48" s="14"/>
      <c r="O48" s="14"/>
      <c r="P48" s="15"/>
      <c r="Q48" s="380"/>
    </row>
    <row r="49" spans="2:17" x14ac:dyDescent="0.25">
      <c r="B49" s="382"/>
      <c r="C49" s="1" t="s">
        <v>43</v>
      </c>
      <c r="D49" s="13">
        <v>0.16194968553459119</v>
      </c>
      <c r="E49" s="13">
        <v>0.2026639524755576</v>
      </c>
      <c r="F49" s="14">
        <v>0.79910454501830175</v>
      </c>
      <c r="G49" s="13">
        <v>0.16500439759050969</v>
      </c>
      <c r="H49" s="14">
        <v>1.2282336436784393</v>
      </c>
      <c r="I49" s="38">
        <v>0.19842026419719461</v>
      </c>
      <c r="J49" s="38"/>
      <c r="K49" s="14"/>
      <c r="L49" s="14"/>
      <c r="M49" s="14"/>
      <c r="N49" s="14"/>
      <c r="O49" s="14"/>
      <c r="P49" s="15"/>
      <c r="Q49" s="380"/>
    </row>
    <row r="50" spans="2:17" ht="15.75" thickBot="1" x14ac:dyDescent="0.3">
      <c r="B50" s="383"/>
      <c r="C50" s="9" t="s">
        <v>44</v>
      </c>
      <c r="D50" s="17">
        <v>0.16893780573025857</v>
      </c>
      <c r="E50" s="17">
        <v>0.26073850791258479</v>
      </c>
      <c r="F50" s="14">
        <v>0.64792042833541363</v>
      </c>
      <c r="G50" s="17">
        <v>7.2767537615563996E-2</v>
      </c>
      <c r="H50" s="14">
        <v>3.5831706892444899</v>
      </c>
      <c r="I50" s="38">
        <v>0.25210404466839165</v>
      </c>
      <c r="J50" s="38"/>
      <c r="K50" s="14"/>
      <c r="L50" s="14"/>
      <c r="M50" s="14"/>
      <c r="N50" s="14"/>
      <c r="O50" s="14"/>
      <c r="P50" s="19"/>
      <c r="Q50" s="384"/>
    </row>
    <row r="51" spans="2:17" ht="15.75" thickBot="1" x14ac:dyDescent="0.3">
      <c r="B51" s="60"/>
      <c r="C51" s="45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26"/>
      <c r="Q51" s="28"/>
    </row>
    <row r="52" spans="2:17" x14ac:dyDescent="0.25">
      <c r="B52" s="373" t="s">
        <v>45</v>
      </c>
      <c r="C52" s="5"/>
      <c r="D52" s="385" t="s">
        <v>46</v>
      </c>
      <c r="E52" s="385"/>
      <c r="F52" s="385" t="s">
        <v>47</v>
      </c>
      <c r="G52" s="385"/>
      <c r="H52" s="42"/>
      <c r="I52" s="95"/>
      <c r="J52" s="95"/>
      <c r="K52" s="95"/>
      <c r="L52" s="95"/>
      <c r="M52" s="95"/>
      <c r="N52" s="95"/>
      <c r="O52" s="95"/>
      <c r="P52" s="7"/>
      <c r="Q52" s="386" t="s">
        <v>48</v>
      </c>
    </row>
    <row r="53" spans="2:17" x14ac:dyDescent="0.25">
      <c r="B53" s="374"/>
      <c r="C53" s="1"/>
      <c r="D53" s="40" t="s">
        <v>49</v>
      </c>
      <c r="E53" s="40" t="s">
        <v>50</v>
      </c>
      <c r="F53" s="40" t="s">
        <v>49</v>
      </c>
      <c r="G53" s="40" t="s">
        <v>50</v>
      </c>
      <c r="H53" s="41" t="s">
        <v>51</v>
      </c>
      <c r="I53" s="96" t="s">
        <v>52</v>
      </c>
      <c r="J53" s="97"/>
      <c r="K53" s="97"/>
      <c r="L53" s="97"/>
      <c r="M53" s="97"/>
      <c r="N53" s="97"/>
      <c r="O53" s="97"/>
      <c r="P53" s="99"/>
      <c r="Q53" s="387"/>
    </row>
    <row r="54" spans="2:17" x14ac:dyDescent="0.25">
      <c r="B54" s="374"/>
      <c r="C54" s="2" t="s">
        <v>53</v>
      </c>
      <c r="H54" s="13"/>
      <c r="I54" s="13"/>
      <c r="J54" s="13"/>
      <c r="K54" s="13"/>
      <c r="L54" s="13"/>
      <c r="M54" s="13"/>
      <c r="N54" s="13"/>
      <c r="O54" s="13"/>
      <c r="P54" s="4"/>
      <c r="Q54" s="387"/>
    </row>
    <row r="55" spans="2:17" x14ac:dyDescent="0.25">
      <c r="B55" s="374"/>
      <c r="C55" s="1" t="s">
        <v>54</v>
      </c>
      <c r="D55" s="73">
        <v>2081289</v>
      </c>
      <c r="E55" s="38">
        <v>0.74196341676440491</v>
      </c>
      <c r="F55" s="8">
        <v>87240</v>
      </c>
      <c r="G55" s="13">
        <v>0.63639812086020253</v>
      </c>
      <c r="H55" s="14">
        <v>0.85772169689368605</v>
      </c>
      <c r="I55" s="38">
        <v>4.1916331657929295E-2</v>
      </c>
      <c r="J55" s="39"/>
      <c r="K55" s="39"/>
      <c r="L55" s="14"/>
      <c r="M55" s="14"/>
      <c r="N55" s="14"/>
      <c r="O55" s="14"/>
      <c r="P55" s="82"/>
      <c r="Q55" s="387"/>
    </row>
    <row r="56" spans="2:17" x14ac:dyDescent="0.25">
      <c r="B56" s="374"/>
      <c r="C56" s="1" t="s">
        <v>55</v>
      </c>
      <c r="D56" s="73">
        <v>723821</v>
      </c>
      <c r="E56" s="38">
        <v>0.25803658323559503</v>
      </c>
      <c r="F56" s="8">
        <v>49844</v>
      </c>
      <c r="G56" s="13">
        <v>0.36360187913979752</v>
      </c>
      <c r="H56" s="14">
        <v>1.4091098036584149</v>
      </c>
      <c r="I56" s="38">
        <v>6.8862329222280097E-2</v>
      </c>
      <c r="J56" s="39"/>
      <c r="K56" s="39"/>
      <c r="L56" s="14"/>
      <c r="M56" s="14"/>
      <c r="N56" s="14"/>
      <c r="O56" s="14"/>
      <c r="P56" s="82"/>
      <c r="Q56" s="387"/>
    </row>
    <row r="57" spans="2:17" x14ac:dyDescent="0.25">
      <c r="B57" s="374"/>
      <c r="C57" s="1" t="s">
        <v>53</v>
      </c>
      <c r="D57" s="73">
        <v>2805110</v>
      </c>
      <c r="E57" s="38"/>
      <c r="F57" s="8">
        <v>137084</v>
      </c>
      <c r="H57" s="14"/>
      <c r="I57" s="38">
        <v>4.8869384801309042E-2</v>
      </c>
      <c r="J57" s="39"/>
      <c r="K57" s="39"/>
      <c r="L57" s="14"/>
      <c r="M57" s="14"/>
      <c r="N57" s="14"/>
      <c r="O57" s="14"/>
      <c r="P57" s="82"/>
      <c r="Q57" s="387"/>
    </row>
    <row r="58" spans="2:17" x14ac:dyDescent="0.25">
      <c r="B58" s="374"/>
      <c r="C58" s="1"/>
      <c r="D58" s="38"/>
      <c r="E58" s="38"/>
      <c r="F58" s="8"/>
      <c r="H58" s="14"/>
      <c r="I58" s="38"/>
      <c r="J58" s="39"/>
      <c r="K58" s="39"/>
      <c r="L58" s="14"/>
      <c r="M58" s="14"/>
      <c r="N58" s="14"/>
      <c r="O58" s="14"/>
      <c r="P58" s="82"/>
      <c r="Q58" s="387"/>
    </row>
    <row r="59" spans="2:17" x14ac:dyDescent="0.25">
      <c r="B59" s="374"/>
      <c r="C59" s="2" t="s">
        <v>56</v>
      </c>
      <c r="D59" s="38"/>
      <c r="E59" s="38"/>
      <c r="H59" s="14"/>
      <c r="I59" s="38"/>
      <c r="J59" s="39"/>
      <c r="K59" s="39"/>
      <c r="L59" s="14"/>
      <c r="M59" s="14"/>
      <c r="N59" s="14"/>
      <c r="O59" s="14"/>
      <c r="P59" s="82"/>
      <c r="Q59" s="387"/>
    </row>
    <row r="60" spans="2:17" x14ac:dyDescent="0.25">
      <c r="B60" s="374"/>
      <c r="C60" s="1" t="s">
        <v>57</v>
      </c>
      <c r="D60" s="73">
        <v>383275</v>
      </c>
      <c r="E60" s="38">
        <v>0.52951627543273816</v>
      </c>
      <c r="F60" s="8">
        <v>20898</v>
      </c>
      <c r="G60" s="13">
        <v>0.4192681165235535</v>
      </c>
      <c r="H60" s="14">
        <v>0.79179457927126751</v>
      </c>
      <c r="I60" s="38">
        <v>5.4524818994194771E-2</v>
      </c>
      <c r="J60" s="39"/>
      <c r="K60" s="39"/>
      <c r="L60" s="14"/>
      <c r="M60" s="14"/>
      <c r="N60" s="14"/>
      <c r="O60" s="14"/>
      <c r="P60" s="82"/>
      <c r="Q60" s="387"/>
    </row>
    <row r="61" spans="2:17" x14ac:dyDescent="0.25">
      <c r="B61" s="374"/>
      <c r="C61" s="1" t="s">
        <v>58</v>
      </c>
      <c r="D61" s="73">
        <v>156150</v>
      </c>
      <c r="E61" s="38">
        <v>0.21573013217356224</v>
      </c>
      <c r="F61" s="8">
        <v>16110</v>
      </c>
      <c r="G61" s="13">
        <v>0.32320841023994862</v>
      </c>
      <c r="H61" s="14">
        <v>1.498207074660838</v>
      </c>
      <c r="I61" s="38">
        <v>0.10317002881844381</v>
      </c>
      <c r="J61" s="39"/>
      <c r="K61" s="39"/>
      <c r="L61" s="14"/>
      <c r="M61" s="14"/>
      <c r="N61" s="14"/>
      <c r="O61" s="14"/>
      <c r="P61" s="82"/>
      <c r="Q61" s="387"/>
    </row>
    <row r="62" spans="2:17" x14ac:dyDescent="0.25">
      <c r="B62" s="374"/>
      <c r="C62" s="1" t="s">
        <v>59</v>
      </c>
      <c r="D62" s="73">
        <v>84050</v>
      </c>
      <c r="E62" s="38">
        <v>0.11611986941522835</v>
      </c>
      <c r="F62" s="8">
        <v>7517</v>
      </c>
      <c r="G62" s="13">
        <v>0.15081052885001203</v>
      </c>
      <c r="H62" s="14">
        <v>1.2987486948571632</v>
      </c>
      <c r="I62" s="38">
        <v>8.943486020226056E-2</v>
      </c>
      <c r="J62" s="39"/>
      <c r="K62" s="39"/>
      <c r="L62" s="14"/>
      <c r="M62" s="14"/>
      <c r="N62" s="14"/>
      <c r="O62" s="14"/>
      <c r="P62" s="82"/>
      <c r="Q62" s="387"/>
    </row>
    <row r="63" spans="2:17" x14ac:dyDescent="0.25">
      <c r="B63" s="374"/>
      <c r="C63" s="1" t="s">
        <v>60</v>
      </c>
      <c r="D63" s="73">
        <v>38235</v>
      </c>
      <c r="E63" s="38">
        <v>5.282383351685016E-2</v>
      </c>
      <c r="F63" s="8">
        <v>1318</v>
      </c>
      <c r="G63" s="13">
        <v>2.6442500601877857E-2</v>
      </c>
      <c r="H63" s="14">
        <v>0.50057897811303342</v>
      </c>
      <c r="I63" s="38">
        <v>3.447103439257225E-2</v>
      </c>
      <c r="J63" s="39"/>
      <c r="K63" s="39"/>
      <c r="L63" s="14"/>
      <c r="M63" s="14"/>
      <c r="N63" s="14"/>
      <c r="O63" s="14"/>
      <c r="P63" s="82"/>
      <c r="Q63" s="387"/>
    </row>
    <row r="64" spans="2:17" x14ac:dyDescent="0.25">
      <c r="B64" s="374"/>
      <c r="C64" s="1" t="s">
        <v>61</v>
      </c>
      <c r="D64" s="73">
        <v>41896</v>
      </c>
      <c r="E64" s="38">
        <v>5.7881713849142258E-2</v>
      </c>
      <c r="F64" s="8">
        <v>2908</v>
      </c>
      <c r="G64" s="13">
        <v>5.834202712462884E-2</v>
      </c>
      <c r="H64" s="14">
        <v>1.0079526545583344</v>
      </c>
      <c r="I64" s="38">
        <v>6.9409967538667169E-2</v>
      </c>
      <c r="J64" s="39"/>
      <c r="K64" s="39"/>
      <c r="L64" s="14"/>
      <c r="M64" s="14"/>
      <c r="N64" s="14"/>
      <c r="O64" s="14"/>
      <c r="P64" s="82"/>
      <c r="Q64" s="387"/>
    </row>
    <row r="65" spans="2:20" x14ac:dyDescent="0.25">
      <c r="B65" s="374"/>
      <c r="C65" s="1" t="s">
        <v>62</v>
      </c>
      <c r="D65" s="73">
        <v>8300</v>
      </c>
      <c r="E65" s="38">
        <v>1.146692345206895E-2</v>
      </c>
      <c r="F65" s="3">
        <v>277</v>
      </c>
      <c r="G65" s="13">
        <v>5.5573388973597622E-3</v>
      </c>
      <c r="H65" s="14">
        <v>0.48464079494287238</v>
      </c>
      <c r="I65" s="38">
        <v>3.3373493975903612E-2</v>
      </c>
      <c r="J65" s="39"/>
      <c r="K65" s="39"/>
      <c r="L65" s="14"/>
      <c r="M65" s="14"/>
      <c r="N65" s="14"/>
      <c r="O65" s="14"/>
      <c r="P65" s="82"/>
      <c r="Q65" s="387"/>
      <c r="T65" s="13"/>
    </row>
    <row r="66" spans="2:20" ht="15.75" thickBot="1" x14ac:dyDescent="0.3">
      <c r="B66" s="375"/>
      <c r="C66" s="9" t="s">
        <v>63</v>
      </c>
      <c r="D66" s="74">
        <v>11915</v>
      </c>
      <c r="E66" s="44">
        <v>1.6461252160409823E-2</v>
      </c>
      <c r="F66" s="10">
        <v>816</v>
      </c>
      <c r="G66" s="17">
        <v>1.6371077762619372E-2</v>
      </c>
      <c r="H66" s="18">
        <v>0.99452202074837748</v>
      </c>
      <c r="I66" s="44">
        <v>6.8485102811582044E-2</v>
      </c>
      <c r="J66" s="100"/>
      <c r="K66" s="100"/>
      <c r="L66" s="18"/>
      <c r="M66" s="18"/>
      <c r="N66" s="18"/>
      <c r="O66" s="18"/>
      <c r="P66" s="83"/>
      <c r="Q66" s="388"/>
    </row>
    <row r="67" spans="2:20" ht="15.75" thickBot="1" x14ac:dyDescent="0.3">
      <c r="C67" s="1"/>
      <c r="D67" s="8"/>
      <c r="P67" s="4"/>
      <c r="Q67" s="28"/>
    </row>
    <row r="68" spans="2:20" x14ac:dyDescent="0.25">
      <c r="B68" s="373" t="s">
        <v>64</v>
      </c>
      <c r="C68" s="21" t="s">
        <v>65</v>
      </c>
      <c r="D68" s="23" t="s">
        <v>66</v>
      </c>
      <c r="E68" s="48" t="s">
        <v>67</v>
      </c>
      <c r="F68" s="48" t="s">
        <v>68</v>
      </c>
      <c r="G68" s="48" t="s">
        <v>51</v>
      </c>
      <c r="H68" s="6"/>
      <c r="I68" s="6"/>
      <c r="J68" s="6"/>
      <c r="K68" s="6"/>
      <c r="L68" s="6"/>
      <c r="M68" s="6"/>
      <c r="N68" s="6"/>
      <c r="O68" s="6"/>
      <c r="P68" s="7"/>
      <c r="Q68" s="373" t="s">
        <v>19</v>
      </c>
    </row>
    <row r="69" spans="2:20" x14ac:dyDescent="0.25">
      <c r="B69" s="374"/>
      <c r="C69" s="1" t="s">
        <v>69</v>
      </c>
      <c r="D69" s="8">
        <v>42175</v>
      </c>
      <c r="E69" s="67"/>
      <c r="F69" s="68"/>
      <c r="P69" s="4"/>
      <c r="Q69" s="374"/>
    </row>
    <row r="70" spans="2:20" x14ac:dyDescent="0.25">
      <c r="B70" s="374"/>
      <c r="C70" s="1" t="s">
        <v>70</v>
      </c>
      <c r="D70" s="69">
        <v>0.54410227961761248</v>
      </c>
      <c r="E70" s="110"/>
      <c r="F70" s="68"/>
      <c r="P70" s="4"/>
      <c r="Q70" s="374"/>
    </row>
    <row r="71" spans="2:20" x14ac:dyDescent="0.25">
      <c r="B71" s="374"/>
      <c r="C71" s="1"/>
      <c r="D71" s="70"/>
      <c r="E71" s="68"/>
      <c r="F71" s="14"/>
      <c r="P71" s="4"/>
      <c r="Q71" s="374"/>
      <c r="T71" s="8"/>
    </row>
    <row r="72" spans="2:20" ht="14.45" customHeight="1" x14ac:dyDescent="0.25">
      <c r="B72" s="374"/>
      <c r="C72" s="1" t="s">
        <v>71</v>
      </c>
      <c r="D72" s="8">
        <v>137084</v>
      </c>
      <c r="E72" s="67"/>
      <c r="F72" s="68"/>
      <c r="P72" s="4"/>
      <c r="Q72" s="374"/>
      <c r="R72" s="24"/>
      <c r="T72" s="14"/>
    </row>
    <row r="73" spans="2:20" x14ac:dyDescent="0.25">
      <c r="B73" s="374"/>
      <c r="C73" s="1" t="s">
        <v>72</v>
      </c>
      <c r="D73" s="71">
        <v>3.2503615886188499</v>
      </c>
      <c r="E73" s="14"/>
      <c r="F73" s="14"/>
      <c r="P73" s="4"/>
      <c r="Q73" s="374"/>
    </row>
    <row r="74" spans="2:20" x14ac:dyDescent="0.25">
      <c r="B74" s="374"/>
      <c r="C74" s="1"/>
      <c r="D74" s="71"/>
      <c r="F74" s="14"/>
      <c r="P74" s="4"/>
      <c r="Q74" s="374"/>
      <c r="T74" s="8"/>
    </row>
    <row r="75" spans="2:20" x14ac:dyDescent="0.25">
      <c r="B75" s="374"/>
      <c r="C75" s="1" t="s">
        <v>73</v>
      </c>
      <c r="D75" s="8">
        <v>69247</v>
      </c>
      <c r="E75" s="67"/>
      <c r="F75" s="14"/>
      <c r="P75" s="4"/>
      <c r="Q75" s="374"/>
      <c r="T75" s="14"/>
    </row>
    <row r="76" spans="2:20" x14ac:dyDescent="0.25">
      <c r="B76" s="374"/>
      <c r="C76" s="1" t="s">
        <v>74</v>
      </c>
      <c r="D76" s="71">
        <v>1.6418968583283935</v>
      </c>
      <c r="E76" s="72"/>
      <c r="F76" s="14"/>
      <c r="P76" s="4"/>
      <c r="Q76" s="374"/>
    </row>
    <row r="77" spans="2:20" ht="15.75" thickBot="1" x14ac:dyDescent="0.3">
      <c r="B77" s="375"/>
      <c r="C77" s="9" t="s">
        <v>75</v>
      </c>
      <c r="D77" s="84">
        <v>1.9796381070660101</v>
      </c>
      <c r="E77" s="85"/>
      <c r="F77" s="18"/>
      <c r="G77" s="20"/>
      <c r="H77" s="20"/>
      <c r="I77" s="20"/>
      <c r="J77" s="20"/>
      <c r="K77" s="20"/>
      <c r="L77" s="20"/>
      <c r="M77" s="20"/>
      <c r="N77" s="20"/>
      <c r="O77" s="20"/>
      <c r="P77" s="11"/>
      <c r="Q77" s="375"/>
    </row>
    <row r="78" spans="2:20" x14ac:dyDescent="0.25">
      <c r="D78" s="37"/>
      <c r="E78" s="22"/>
      <c r="F78" s="14"/>
    </row>
    <row r="79" spans="2:20" s="35" customFormat="1" x14ac:dyDescent="0.25">
      <c r="B79" s="47"/>
      <c r="C79" s="78"/>
      <c r="D79" s="8"/>
      <c r="E79" s="13"/>
    </row>
    <row r="80" spans="2:20" s="35" customFormat="1" x14ac:dyDescent="0.25">
      <c r="B80" s="47"/>
      <c r="C80" s="78"/>
      <c r="D80" s="8"/>
      <c r="E80" s="34"/>
    </row>
    <row r="81" spans="2:5" s="35" customFormat="1" x14ac:dyDescent="0.25">
      <c r="B81" s="47"/>
      <c r="C81" s="78"/>
      <c r="D81" s="8"/>
      <c r="E81" s="34"/>
    </row>
    <row r="82" spans="2:5" s="35" customFormat="1" x14ac:dyDescent="0.25">
      <c r="B82" s="47"/>
      <c r="C82" s="78"/>
      <c r="D82" s="8"/>
      <c r="E82" s="34"/>
    </row>
    <row r="83" spans="2:5" s="35" customFormat="1" x14ac:dyDescent="0.25">
      <c r="B83" s="47"/>
      <c r="C83" s="78"/>
      <c r="D83" s="8"/>
      <c r="E83" s="78"/>
    </row>
    <row r="84" spans="2:5" s="35" customFormat="1" x14ac:dyDescent="0.25">
      <c r="B84" s="47"/>
      <c r="C84" s="78"/>
      <c r="D84" s="8"/>
      <c r="E84" s="34"/>
    </row>
  </sheetData>
  <mergeCells count="14">
    <mergeCell ref="C2:P2"/>
    <mergeCell ref="D3:J3"/>
    <mergeCell ref="K3:M3"/>
    <mergeCell ref="N3:P3"/>
    <mergeCell ref="B4:B20"/>
    <mergeCell ref="B68:B77"/>
    <mergeCell ref="Q68:Q77"/>
    <mergeCell ref="Q3:Q20"/>
    <mergeCell ref="B22:B50"/>
    <mergeCell ref="Q22:Q50"/>
    <mergeCell ref="B52:B66"/>
    <mergeCell ref="D52:E52"/>
    <mergeCell ref="F52:G52"/>
    <mergeCell ref="Q52:Q6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87B6-A258-4E16-9455-B7770D601853}">
  <sheetPr codeName="Sheet16">
    <tabColor theme="4"/>
  </sheetPr>
  <dimension ref="A1:W85"/>
  <sheetViews>
    <sheetView zoomScale="80" zoomScaleNormal="80" workbookViewId="0"/>
  </sheetViews>
  <sheetFormatPr defaultColWidth="8.85546875" defaultRowHeight="15" x14ac:dyDescent="0.25"/>
  <cols>
    <col min="1" max="1" width="8.85546875" style="3"/>
    <col min="2" max="2" width="8.85546875" style="47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3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2:22" ht="15.75" thickBot="1" x14ac:dyDescent="0.3"/>
    <row r="2" spans="2:22" ht="15.75" thickBot="1" x14ac:dyDescent="0.3">
      <c r="C2" s="396" t="s">
        <v>132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2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2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2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2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2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2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2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2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2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2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2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2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2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2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ht="15.75" thickBot="1" x14ac:dyDescent="0.3">
      <c r="B21" s="391"/>
      <c r="C21" s="88" t="s">
        <v>78</v>
      </c>
      <c r="D21" s="135"/>
      <c r="E21" s="135">
        <v>125029</v>
      </c>
      <c r="F21" s="135">
        <v>108851.52</v>
      </c>
      <c r="G21" s="135">
        <v>43186</v>
      </c>
      <c r="H21" s="135"/>
      <c r="I21" s="136"/>
      <c r="J21" s="136"/>
      <c r="K21" s="135">
        <v>122344</v>
      </c>
      <c r="L21" s="136"/>
      <c r="M21" s="136"/>
      <c r="N21" s="135">
        <v>4510</v>
      </c>
      <c r="O21" s="135"/>
      <c r="P21" s="135"/>
      <c r="Q21" s="144">
        <f>SUM(Q17:Q20)</f>
        <v>343</v>
      </c>
      <c r="R21" s="93"/>
      <c r="S21" s="112"/>
      <c r="T21" s="375"/>
      <c r="U21" s="8"/>
      <c r="V21" s="142"/>
    </row>
    <row r="22" spans="1:22" ht="15.75" thickBot="1" x14ac:dyDescent="0.3">
      <c r="C22" s="45"/>
      <c r="D22" s="25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/>
      <c r="T22" s="27"/>
      <c r="V22" s="142"/>
    </row>
    <row r="23" spans="1:22" x14ac:dyDescent="0.25">
      <c r="B23" s="381" t="s">
        <v>13</v>
      </c>
      <c r="C23" s="5"/>
      <c r="D23" s="48" t="s">
        <v>87</v>
      </c>
      <c r="E23" s="48" t="s">
        <v>15</v>
      </c>
      <c r="F23" s="48" t="s">
        <v>88</v>
      </c>
      <c r="G23" s="48" t="s">
        <v>17</v>
      </c>
      <c r="H23" s="48" t="s">
        <v>18</v>
      </c>
      <c r="I23" s="94"/>
      <c r="J23" s="94"/>
      <c r="K23" s="116"/>
      <c r="L23" s="94"/>
      <c r="M23" s="94"/>
      <c r="N23" s="94"/>
      <c r="O23" s="94"/>
      <c r="P23" s="94"/>
      <c r="Q23" s="94"/>
      <c r="R23" s="94"/>
      <c r="S23" s="49"/>
      <c r="T23" s="380" t="s">
        <v>19</v>
      </c>
      <c r="V23" s="142"/>
    </row>
    <row r="24" spans="1:22" x14ac:dyDescent="0.25">
      <c r="B24" s="382"/>
      <c r="C24" s="2" t="s">
        <v>20</v>
      </c>
      <c r="D24" s="47"/>
      <c r="E24" s="47"/>
      <c r="F24" s="47"/>
      <c r="G24" s="47"/>
      <c r="H24" s="47"/>
      <c r="I24" s="47"/>
      <c r="J24" s="47"/>
      <c r="K24" s="47"/>
      <c r="L24" s="47"/>
      <c r="M24" s="124"/>
      <c r="N24" s="47"/>
      <c r="O24" s="47"/>
      <c r="P24" s="47"/>
      <c r="Q24" s="47"/>
      <c r="R24" s="47"/>
      <c r="S24" s="12"/>
      <c r="T24" s="380"/>
      <c r="V24" s="8"/>
    </row>
    <row r="25" spans="1:22" x14ac:dyDescent="0.25">
      <c r="B25" s="382"/>
      <c r="C25" s="1" t="s">
        <v>21</v>
      </c>
      <c r="D25" s="13">
        <v>0.44101433296582138</v>
      </c>
      <c r="E25" s="13">
        <v>0.40590917920871761</v>
      </c>
      <c r="F25" s="14">
        <f>D25/E25</f>
        <v>1.086485242402101</v>
      </c>
      <c r="G25" s="13">
        <v>0.57235489190258093</v>
      </c>
      <c r="H25" s="14">
        <f>E25/G25</f>
        <v>0.70919142118174883</v>
      </c>
      <c r="I25" s="149"/>
      <c r="J25" s="39"/>
      <c r="K25" s="14"/>
      <c r="L25" s="14"/>
      <c r="M25" s="14"/>
      <c r="N25" s="14"/>
      <c r="O25" s="14"/>
      <c r="P25" s="14"/>
      <c r="Q25" s="14"/>
      <c r="R25" s="14"/>
      <c r="S25" s="15"/>
      <c r="T25" s="380"/>
      <c r="V25" s="8"/>
    </row>
    <row r="26" spans="1:22" x14ac:dyDescent="0.25">
      <c r="B26" s="382"/>
      <c r="C26" s="1" t="s">
        <v>22</v>
      </c>
      <c r="D26" s="13">
        <v>0.55898566703417862</v>
      </c>
      <c r="E26" s="13">
        <v>0.59409082079128239</v>
      </c>
      <c r="F26" s="14">
        <f t="shared" ref="F26:F51" si="1">D26/E26</f>
        <v>0.9409094493156005</v>
      </c>
      <c r="G26" s="13">
        <v>0.42764510809741907</v>
      </c>
      <c r="H26" s="14">
        <f t="shared" ref="H26:H51" si="2">E26/G26</f>
        <v>1.389214583640102</v>
      </c>
      <c r="I26" s="149"/>
      <c r="J26" s="39"/>
      <c r="K26" s="14"/>
      <c r="L26" s="14"/>
      <c r="M26" s="14"/>
      <c r="N26" s="14"/>
      <c r="O26" s="14"/>
      <c r="P26" s="14"/>
      <c r="Q26" s="14"/>
      <c r="R26" s="14"/>
      <c r="S26" s="15"/>
      <c r="T26" s="380"/>
    </row>
    <row r="27" spans="1:22" x14ac:dyDescent="0.25">
      <c r="B27" s="382"/>
      <c r="C27" s="1"/>
      <c r="D27" s="13"/>
      <c r="E27" s="13"/>
      <c r="F27" s="14"/>
      <c r="G27" s="13"/>
      <c r="H27" s="14"/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</row>
    <row r="28" spans="1:22" x14ac:dyDescent="0.25">
      <c r="B28" s="382"/>
      <c r="C28" s="2" t="s">
        <v>23</v>
      </c>
      <c r="F28" s="14"/>
      <c r="G28" s="13"/>
      <c r="H28" s="14"/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 x14ac:dyDescent="0.25">
      <c r="B29" s="382"/>
      <c r="C29" s="1" t="s">
        <v>24</v>
      </c>
      <c r="D29" s="13">
        <v>1.6413750387116753E-2</v>
      </c>
      <c r="E29" s="13">
        <v>1.2057223821929704E-2</v>
      </c>
      <c r="F29" s="14">
        <f t="shared" si="1"/>
        <v>1.361320867019437</v>
      </c>
      <c r="G29" s="13">
        <v>9.3529624053555957E-3</v>
      </c>
      <c r="H29" s="14">
        <f t="shared" si="2"/>
        <v>1.2891342121749172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 x14ac:dyDescent="0.25">
      <c r="B30" s="382"/>
      <c r="C30" s="1" t="s">
        <v>25</v>
      </c>
      <c r="D30" s="13">
        <v>0.14942706720346857</v>
      </c>
      <c r="E30" s="13">
        <v>0.13475021710315829</v>
      </c>
      <c r="F30" s="14">
        <f t="shared" si="1"/>
        <v>1.1089189347210802</v>
      </c>
      <c r="G30" s="13">
        <v>0.11987086678511411</v>
      </c>
      <c r="H30" s="14">
        <f t="shared" si="2"/>
        <v>1.1241281615550305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25">
      <c r="B31" s="382"/>
      <c r="C31" s="1" t="s">
        <v>26</v>
      </c>
      <c r="D31" s="13">
        <v>0.34159182409414679</v>
      </c>
      <c r="E31" s="13">
        <v>0.34942182001005528</v>
      </c>
      <c r="F31" s="14">
        <f t="shared" si="1"/>
        <v>0.97759156564497551</v>
      </c>
      <c r="G31" s="13">
        <v>0.29408078276439853</v>
      </c>
      <c r="H31" s="14">
        <f t="shared" si="2"/>
        <v>1.1881831132433871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25">
      <c r="B32" s="382"/>
      <c r="C32" s="1" t="s">
        <v>27</v>
      </c>
      <c r="D32" s="13">
        <v>0.3333849489005884</v>
      </c>
      <c r="E32" s="13">
        <v>0.35307829425476484</v>
      </c>
      <c r="F32" s="14">
        <f t="shared" si="1"/>
        <v>0.94422385721630731</v>
      </c>
      <c r="G32" s="13">
        <v>0.32868783998543011</v>
      </c>
      <c r="H32" s="14">
        <f t="shared" si="2"/>
        <v>1.0742055266492849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25">
      <c r="B33" s="382"/>
      <c r="C33" s="1" t="s">
        <v>28</v>
      </c>
      <c r="D33" s="13">
        <v>0.13998141839578818</v>
      </c>
      <c r="E33" s="13">
        <v>0.13329676859088624</v>
      </c>
      <c r="F33" s="14">
        <f t="shared" si="1"/>
        <v>1.050148626073738</v>
      </c>
      <c r="G33" s="13">
        <v>0.17578056392525954</v>
      </c>
      <c r="H33" s="14">
        <f t="shared" si="2"/>
        <v>0.75831346546119249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25">
      <c r="B34" s="382"/>
      <c r="C34" s="1" t="s">
        <v>29</v>
      </c>
      <c r="D34" s="13">
        <v>1.9200991018891299E-2</v>
      </c>
      <c r="E34" s="13">
        <v>1.7395676219205632E-2</v>
      </c>
      <c r="F34" s="14">
        <f t="shared" si="1"/>
        <v>1.1037795126177685</v>
      </c>
      <c r="G34" s="13">
        <v>7.222698413444209E-2</v>
      </c>
      <c r="H34" s="14">
        <f t="shared" si="2"/>
        <v>0.2408473291204519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25">
      <c r="B35" s="382"/>
      <c r="C35" s="1"/>
      <c r="D35" s="13"/>
      <c r="E35" s="13"/>
      <c r="F35" s="14"/>
      <c r="G35" s="13"/>
      <c r="H35" s="14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25">
      <c r="B36" s="382"/>
      <c r="C36" s="2" t="s">
        <v>30</v>
      </c>
      <c r="F36" s="14"/>
      <c r="G36" s="13"/>
      <c r="H36" s="14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25">
      <c r="B37" s="382"/>
      <c r="C37" s="1" t="s">
        <v>31</v>
      </c>
      <c r="D37" s="13">
        <v>0.49356888269022159</v>
      </c>
      <c r="E37" s="38">
        <v>0.46666727631867733</v>
      </c>
      <c r="F37" s="14">
        <f t="shared" si="1"/>
        <v>1.0576462240587312</v>
      </c>
      <c r="G37" s="13">
        <v>0.4916982188238192</v>
      </c>
      <c r="H37" s="14">
        <f t="shared" si="2"/>
        <v>0.949092875371772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25">
      <c r="B38" s="382"/>
      <c r="C38" s="1" t="s">
        <v>32</v>
      </c>
      <c r="D38" s="13">
        <v>0.19308848597551526</v>
      </c>
      <c r="E38" s="13">
        <v>0.21153705464920625</v>
      </c>
      <c r="F38" s="14">
        <f t="shared" si="1"/>
        <v>0.91278800442653218</v>
      </c>
      <c r="G38" s="13">
        <v>0.14338031637987977</v>
      </c>
      <c r="H38" s="14">
        <f t="shared" si="2"/>
        <v>1.4753563110346906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25">
      <c r="B39" s="382"/>
      <c r="C39" s="1" t="s">
        <v>33</v>
      </c>
      <c r="D39" s="13">
        <v>0.12583294591662791</v>
      </c>
      <c r="E39" s="13">
        <v>0.13277306313556222</v>
      </c>
      <c r="F39" s="14">
        <f t="shared" si="1"/>
        <v>0.94772947874337732</v>
      </c>
      <c r="G39" s="13">
        <v>0.13350111393482081</v>
      </c>
      <c r="H39" s="14">
        <f t="shared" si="2"/>
        <v>0.99454648146521052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25">
      <c r="B40" s="382"/>
      <c r="C40" s="1" t="s">
        <v>34</v>
      </c>
      <c r="D40" s="13">
        <v>9.6854176352084306E-2</v>
      </c>
      <c r="E40" s="13">
        <v>8.9189040895456873E-2</v>
      </c>
      <c r="F40" s="14">
        <f t="shared" si="1"/>
        <v>1.085942570742656</v>
      </c>
      <c r="G40" s="13">
        <v>0.10246565834107677</v>
      </c>
      <c r="H40" s="14">
        <f t="shared" si="2"/>
        <v>0.87042861324887888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25">
      <c r="B41" s="382"/>
      <c r="C41" s="1" t="s">
        <v>35</v>
      </c>
      <c r="D41" s="13">
        <v>1.8596001859600187E-2</v>
      </c>
      <c r="E41" s="13">
        <v>1.8362718560245812E-2</v>
      </c>
      <c r="F41" s="14">
        <f t="shared" si="1"/>
        <v>1.012704180951693</v>
      </c>
      <c r="G41" s="13">
        <v>3.3207572517716603E-2</v>
      </c>
      <c r="H41" s="14">
        <f t="shared" si="2"/>
        <v>0.55296780728097783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25">
      <c r="B42" s="382"/>
      <c r="C42" s="1" t="s">
        <v>36</v>
      </c>
      <c r="D42" s="13">
        <v>1.7046335037966837E-2</v>
      </c>
      <c r="E42" s="13">
        <v>1.4540200453581096E-2</v>
      </c>
      <c r="F42" s="14">
        <f t="shared" si="1"/>
        <v>1.1723590119948111</v>
      </c>
      <c r="G42" s="13">
        <v>2.6221465915833547E-2</v>
      </c>
      <c r="H42" s="14">
        <f t="shared" si="2"/>
        <v>0.55451516327320027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25">
      <c r="B43" s="382"/>
      <c r="C43" s="1" t="s">
        <v>37</v>
      </c>
      <c r="D43" s="13">
        <v>5.5013172167983883E-2</v>
      </c>
      <c r="E43" s="13">
        <v>6.6930645987270471E-2</v>
      </c>
      <c r="F43" s="14">
        <f t="shared" si="1"/>
        <v>0.82194294342305962</v>
      </c>
      <c r="G43" s="13">
        <v>6.9525654086853336E-2</v>
      </c>
      <c r="H43" s="14">
        <f t="shared" si="2"/>
        <v>0.96267553130329253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25">
      <c r="B44" s="382"/>
      <c r="C44" s="1"/>
      <c r="D44" s="13"/>
      <c r="E44" s="13"/>
      <c r="F44" s="14"/>
      <c r="G44" s="13"/>
      <c r="H44" s="14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25">
      <c r="B45" s="382"/>
      <c r="C45" s="2" t="s">
        <v>38</v>
      </c>
      <c r="F45" s="14"/>
      <c r="G45" s="13"/>
      <c r="H45" s="14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25">
      <c r="B46" s="382"/>
      <c r="C46" s="1" t="s">
        <v>39</v>
      </c>
      <c r="D46" s="13">
        <v>0.40105295757200371</v>
      </c>
      <c r="E46" s="13">
        <v>0.28625622743269802</v>
      </c>
      <c r="F46" s="14">
        <f t="shared" si="1"/>
        <v>1.4010278873890898</v>
      </c>
      <c r="G46" s="16" t="s">
        <v>12</v>
      </c>
      <c r="H46" s="16" t="s">
        <v>12</v>
      </c>
      <c r="I46" s="149"/>
      <c r="J46" s="39"/>
      <c r="K46" s="16"/>
      <c r="L46" s="16"/>
      <c r="M46" s="16"/>
      <c r="N46" s="16"/>
      <c r="O46" s="16"/>
      <c r="P46" s="16"/>
      <c r="Q46" s="16"/>
      <c r="R46" s="16"/>
      <c r="S46" s="36"/>
      <c r="T46" s="380"/>
    </row>
    <row r="47" spans="2:20" x14ac:dyDescent="0.25">
      <c r="B47" s="382"/>
      <c r="C47" s="1" t="s">
        <v>40</v>
      </c>
      <c r="D47" s="13">
        <v>4.8776711056054509E-2</v>
      </c>
      <c r="E47" s="13">
        <v>4.3274372686137395E-2</v>
      </c>
      <c r="F47" s="14">
        <f t="shared" si="1"/>
        <v>1.1271500435101569</v>
      </c>
      <c r="G47" s="13">
        <v>0.23826371358004139</v>
      </c>
      <c r="H47" s="14">
        <f t="shared" si="2"/>
        <v>0.18162384878467855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25">
      <c r="B48" s="382"/>
      <c r="C48" s="1" t="s">
        <v>41</v>
      </c>
      <c r="D48" s="13">
        <v>9.7553422112109017E-2</v>
      </c>
      <c r="E48" s="13">
        <v>8.6640157228392523E-2</v>
      </c>
      <c r="F48" s="14">
        <f t="shared" si="1"/>
        <v>1.1259608157790848</v>
      </c>
      <c r="G48" s="13">
        <v>0.2944472672851261</v>
      </c>
      <c r="H48" s="14">
        <f t="shared" si="2"/>
        <v>0.29424676964142138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1" t="s">
        <v>42</v>
      </c>
      <c r="D49" s="13">
        <v>0.13100030969340354</v>
      </c>
      <c r="E49" s="13">
        <v>0.13020704785410667</v>
      </c>
      <c r="F49" s="14">
        <f t="shared" si="1"/>
        <v>1.0060923110720219</v>
      </c>
      <c r="G49" s="13">
        <v>0.2295170839287588</v>
      </c>
      <c r="H49" s="14">
        <f t="shared" si="2"/>
        <v>0.56730874070586579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1" t="s">
        <v>43</v>
      </c>
      <c r="D50" s="13">
        <v>0.161969650046454</v>
      </c>
      <c r="E50" s="13">
        <v>0.19978061154531743</v>
      </c>
      <c r="F50" s="14">
        <f t="shared" si="1"/>
        <v>0.81073758255922379</v>
      </c>
      <c r="G50" s="13">
        <v>0.16500439759050969</v>
      </c>
      <c r="H50" s="14">
        <f t="shared" si="2"/>
        <v>1.2107593158887293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ht="15.75" thickBot="1" x14ac:dyDescent="0.3">
      <c r="B51" s="383"/>
      <c r="C51" s="9" t="s">
        <v>44</v>
      </c>
      <c r="D51" s="17">
        <v>0.15964694951997521</v>
      </c>
      <c r="E51" s="17">
        <v>0.25384158325334794</v>
      </c>
      <c r="F51" s="14">
        <f t="shared" si="1"/>
        <v>0.62892354938016093</v>
      </c>
      <c r="G51" s="17">
        <v>7.2767537615563996E-2</v>
      </c>
      <c r="H51" s="14">
        <f t="shared" si="2"/>
        <v>3.4883904495217473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9"/>
      <c r="T51" s="384"/>
    </row>
    <row r="52" spans="2:20" ht="15.75" thickBot="1" x14ac:dyDescent="0.3">
      <c r="B52" s="60"/>
      <c r="C52" s="45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26"/>
      <c r="T52" s="28"/>
    </row>
    <row r="53" spans="2:20" x14ac:dyDescent="0.25">
      <c r="B53" s="373" t="s">
        <v>45</v>
      </c>
      <c r="C53" s="5"/>
      <c r="D53" s="385" t="s">
        <v>46</v>
      </c>
      <c r="E53" s="385"/>
      <c r="F53" s="385" t="s">
        <v>47</v>
      </c>
      <c r="G53" s="385"/>
      <c r="H53" s="42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7"/>
      <c r="T53" s="386" t="s">
        <v>48</v>
      </c>
    </row>
    <row r="54" spans="2:20" x14ac:dyDescent="0.25">
      <c r="B54" s="374"/>
      <c r="C54" s="1"/>
      <c r="D54" s="40" t="s">
        <v>49</v>
      </c>
      <c r="E54" s="40" t="s">
        <v>50</v>
      </c>
      <c r="F54" s="40" t="s">
        <v>49</v>
      </c>
      <c r="G54" s="40" t="s">
        <v>50</v>
      </c>
      <c r="H54" s="41" t="s">
        <v>51</v>
      </c>
      <c r="I54" s="96" t="s">
        <v>52</v>
      </c>
      <c r="J54" s="97"/>
      <c r="K54" s="97"/>
      <c r="L54" s="97"/>
      <c r="M54" s="97"/>
      <c r="N54" s="97"/>
      <c r="O54" s="97"/>
      <c r="P54" s="97"/>
      <c r="Q54" s="97"/>
      <c r="R54" s="97"/>
      <c r="S54" s="99"/>
      <c r="T54" s="387"/>
    </row>
    <row r="55" spans="2:20" x14ac:dyDescent="0.25">
      <c r="B55" s="374"/>
      <c r="C55" s="2" t="s">
        <v>53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4"/>
      <c r="T55" s="387"/>
    </row>
    <row r="56" spans="2:20" x14ac:dyDescent="0.25">
      <c r="B56" s="374"/>
      <c r="C56" s="1" t="s">
        <v>54</v>
      </c>
      <c r="D56" s="73">
        <v>1927537</v>
      </c>
      <c r="E56" s="38">
        <v>0.63204607174921423</v>
      </c>
      <c r="F56" s="8">
        <v>90588</v>
      </c>
      <c r="G56" s="13">
        <v>0.56442879840493476</v>
      </c>
      <c r="H56" s="14">
        <f>G56/E56</f>
        <v>0.89301844222028659</v>
      </c>
      <c r="I56" s="38">
        <f>F56/D56</f>
        <v>4.6996763226853755E-2</v>
      </c>
      <c r="J56" s="39"/>
      <c r="K56" s="39"/>
      <c r="L56" s="14"/>
      <c r="M56" s="14"/>
      <c r="N56" s="14"/>
      <c r="O56" s="14"/>
      <c r="P56" s="14"/>
      <c r="Q56" s="14"/>
      <c r="R56" s="14"/>
      <c r="S56" s="82"/>
      <c r="T56" s="387"/>
    </row>
    <row r="57" spans="2:20" x14ac:dyDescent="0.25">
      <c r="B57" s="374"/>
      <c r="C57" s="1" t="s">
        <v>55</v>
      </c>
      <c r="D57" s="73">
        <v>1122141</v>
      </c>
      <c r="E57" s="38">
        <v>0.36795392825078582</v>
      </c>
      <c r="F57" s="8">
        <v>69907</v>
      </c>
      <c r="G57" s="13">
        <v>0.43557120159506529</v>
      </c>
      <c r="H57" s="14">
        <f>G57/E57</f>
        <v>1.1837655971380028</v>
      </c>
      <c r="I57" s="38">
        <f t="shared" ref="I57:I67" si="3">F57/D57</f>
        <v>6.2297875222454217E-2</v>
      </c>
      <c r="J57" s="39"/>
      <c r="K57" s="39"/>
      <c r="L57" s="14"/>
      <c r="M57" s="14"/>
      <c r="N57" s="14"/>
      <c r="O57" s="14"/>
      <c r="P57" s="14"/>
      <c r="Q57" s="14"/>
      <c r="R57" s="14"/>
      <c r="S57" s="82"/>
      <c r="T57" s="387"/>
    </row>
    <row r="58" spans="2:20" x14ac:dyDescent="0.25">
      <c r="B58" s="374"/>
      <c r="C58" s="1" t="s">
        <v>53</v>
      </c>
      <c r="D58" s="73">
        <v>3049678</v>
      </c>
      <c r="E58" s="38"/>
      <c r="F58" s="8">
        <v>160495</v>
      </c>
      <c r="H58" s="14"/>
      <c r="I58" s="38">
        <f t="shared" si="3"/>
        <v>5.2626867492240166E-2</v>
      </c>
      <c r="J58" s="39"/>
      <c r="K58" s="39"/>
      <c r="L58" s="14"/>
      <c r="M58" s="14"/>
      <c r="N58" s="14"/>
      <c r="O58" s="14"/>
      <c r="P58" s="14"/>
      <c r="Q58" s="14"/>
      <c r="R58" s="14"/>
      <c r="S58" s="82"/>
      <c r="T58" s="387"/>
    </row>
    <row r="59" spans="2:20" x14ac:dyDescent="0.25">
      <c r="B59" s="374"/>
      <c r="C59" s="1"/>
      <c r="D59" s="38"/>
      <c r="E59" s="38"/>
      <c r="F59" s="8"/>
      <c r="H59" s="14"/>
      <c r="I59" s="38"/>
      <c r="J59" s="39"/>
      <c r="K59" s="39"/>
      <c r="L59" s="14"/>
      <c r="M59" s="14"/>
      <c r="N59" s="14"/>
      <c r="O59" s="14"/>
      <c r="P59" s="14"/>
      <c r="Q59" s="14"/>
      <c r="R59" s="14"/>
      <c r="S59" s="82"/>
      <c r="T59" s="387"/>
    </row>
    <row r="60" spans="2:20" x14ac:dyDescent="0.25">
      <c r="B60" s="374"/>
      <c r="C60" s="2" t="s">
        <v>56</v>
      </c>
      <c r="D60" s="38"/>
      <c r="E60" s="38"/>
      <c r="H60" s="14"/>
      <c r="I60" s="38"/>
      <c r="J60" s="39"/>
      <c r="K60" s="39"/>
      <c r="L60" s="14"/>
      <c r="M60" s="14"/>
      <c r="N60" s="14"/>
      <c r="O60" s="14"/>
      <c r="P60" s="14"/>
      <c r="Q60" s="14"/>
      <c r="R60" s="14"/>
      <c r="S60" s="82"/>
      <c r="T60" s="387"/>
    </row>
    <row r="61" spans="2:20" x14ac:dyDescent="0.25">
      <c r="B61" s="374"/>
      <c r="C61" s="1" t="s">
        <v>57</v>
      </c>
      <c r="D61" s="73">
        <v>408113</v>
      </c>
      <c r="E61" s="38">
        <v>0.36369137211812064</v>
      </c>
      <c r="F61" s="8">
        <v>22607</v>
      </c>
      <c r="G61" s="13">
        <v>0.3233867853004706</v>
      </c>
      <c r="H61" s="14">
        <f t="shared" ref="H61:H67" si="4">G61/E61</f>
        <v>0.88917915048982854</v>
      </c>
      <c r="I61" s="38">
        <f t="shared" si="3"/>
        <v>5.539397176762318E-2</v>
      </c>
      <c r="J61" s="39"/>
      <c r="K61" s="39"/>
      <c r="L61" s="14"/>
      <c r="M61" s="14"/>
      <c r="N61" s="14"/>
      <c r="O61" s="14"/>
      <c r="P61" s="14"/>
      <c r="Q61" s="14"/>
      <c r="R61" s="14"/>
      <c r="S61" s="82"/>
      <c r="T61" s="387"/>
    </row>
    <row r="62" spans="2:20" x14ac:dyDescent="0.25">
      <c r="B62" s="374"/>
      <c r="C62" s="1" t="s">
        <v>58</v>
      </c>
      <c r="D62" s="73">
        <v>198956</v>
      </c>
      <c r="E62" s="38">
        <v>0.17730035708525044</v>
      </c>
      <c r="F62" s="8">
        <v>19328</v>
      </c>
      <c r="G62" s="13">
        <v>0.27648161128356247</v>
      </c>
      <c r="H62" s="14">
        <f t="shared" si="4"/>
        <v>1.5593968101859108</v>
      </c>
      <c r="I62" s="38">
        <f t="shared" si="3"/>
        <v>9.7147107903254995E-2</v>
      </c>
      <c r="J62" s="39"/>
      <c r="K62" s="39"/>
      <c r="L62" s="14"/>
      <c r="M62" s="14"/>
      <c r="N62" s="14"/>
      <c r="O62" s="14"/>
      <c r="P62" s="14"/>
      <c r="Q62" s="14"/>
      <c r="R62" s="14"/>
      <c r="S62" s="82"/>
      <c r="T62" s="387"/>
    </row>
    <row r="63" spans="2:20" x14ac:dyDescent="0.25">
      <c r="B63" s="374"/>
      <c r="C63" s="1" t="s">
        <v>59</v>
      </c>
      <c r="D63" s="73">
        <v>143918</v>
      </c>
      <c r="E63" s="38">
        <v>0.12825304484908759</v>
      </c>
      <c r="F63" s="8">
        <v>12143</v>
      </c>
      <c r="G63" s="13">
        <v>0.17370220435721745</v>
      </c>
      <c r="H63" s="14">
        <f t="shared" si="4"/>
        <v>1.3543709980656509</v>
      </c>
      <c r="I63" s="38">
        <f t="shared" si="3"/>
        <v>8.4374435442404708E-2</v>
      </c>
      <c r="J63" s="39"/>
      <c r="K63" s="39"/>
      <c r="L63" s="14"/>
      <c r="M63" s="14"/>
      <c r="N63" s="14"/>
      <c r="O63" s="14"/>
      <c r="P63" s="14"/>
      <c r="Q63" s="14"/>
      <c r="R63" s="14"/>
      <c r="S63" s="82"/>
      <c r="T63" s="387"/>
    </row>
    <row r="64" spans="2:20" x14ac:dyDescent="0.25">
      <c r="B64" s="374"/>
      <c r="C64" s="1" t="s">
        <v>60</v>
      </c>
      <c r="D64" s="73">
        <v>272983</v>
      </c>
      <c r="E64" s="38">
        <v>0.24326978516959991</v>
      </c>
      <c r="F64" s="8">
        <v>10922</v>
      </c>
      <c r="G64" s="13">
        <v>0.15623614230334587</v>
      </c>
      <c r="H64" s="14">
        <f t="shared" si="4"/>
        <v>0.64223406204935407</v>
      </c>
      <c r="I64" s="38">
        <f t="shared" si="3"/>
        <v>4.0009817461160585E-2</v>
      </c>
      <c r="J64" s="39"/>
      <c r="K64" s="39"/>
      <c r="L64" s="14"/>
      <c r="M64" s="14"/>
      <c r="N64" s="14"/>
      <c r="O64" s="14"/>
      <c r="P64" s="14"/>
      <c r="Q64" s="14"/>
      <c r="R64" s="14"/>
      <c r="S64" s="82"/>
      <c r="T64" s="387"/>
    </row>
    <row r="65" spans="2:23" x14ac:dyDescent="0.25">
      <c r="B65" s="374"/>
      <c r="C65" s="1" t="s">
        <v>61</v>
      </c>
      <c r="D65" s="73">
        <v>35005</v>
      </c>
      <c r="E65" s="38">
        <v>3.1194832022000799E-2</v>
      </c>
      <c r="F65" s="8">
        <v>1306</v>
      </c>
      <c r="G65" s="13">
        <v>1.8681963179652969E-2</v>
      </c>
      <c r="H65" s="14">
        <f t="shared" si="4"/>
        <v>0.59888006982942332</v>
      </c>
      <c r="I65" s="38">
        <f t="shared" si="3"/>
        <v>3.7308955863448082E-2</v>
      </c>
      <c r="J65" s="39"/>
      <c r="K65" s="39"/>
      <c r="L65" s="14"/>
      <c r="M65" s="14"/>
      <c r="N65" s="14"/>
      <c r="O65" s="14"/>
      <c r="P65" s="14"/>
      <c r="Q65" s="14"/>
      <c r="R65" s="14"/>
      <c r="S65" s="82"/>
      <c r="T65" s="387"/>
    </row>
    <row r="66" spans="2:23" x14ac:dyDescent="0.25">
      <c r="B66" s="374"/>
      <c r="C66" s="1" t="s">
        <v>62</v>
      </c>
      <c r="D66" s="73">
        <v>46857</v>
      </c>
      <c r="E66" s="38">
        <v>4.1756784575200441E-2</v>
      </c>
      <c r="F66" s="8">
        <v>2716</v>
      </c>
      <c r="G66" s="13">
        <v>3.8851617148497289E-2</v>
      </c>
      <c r="H66" s="14">
        <f t="shared" si="4"/>
        <v>0.93042645749049013</v>
      </c>
      <c r="I66" s="38">
        <f t="shared" si="3"/>
        <v>5.7963591352412656E-2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  <c r="W66" s="13"/>
    </row>
    <row r="67" spans="2:23" ht="15.75" thickBot="1" x14ac:dyDescent="0.3">
      <c r="B67" s="375"/>
      <c r="C67" s="9" t="s">
        <v>63</v>
      </c>
      <c r="D67" s="74">
        <v>16309</v>
      </c>
      <c r="E67" s="44">
        <v>1.453382418074021E-2</v>
      </c>
      <c r="F67" s="10">
        <v>885</v>
      </c>
      <c r="G67" s="17">
        <v>1.2659676427253351E-2</v>
      </c>
      <c r="H67" s="18">
        <f t="shared" si="4"/>
        <v>0.87104923451802696</v>
      </c>
      <c r="I67" s="44">
        <f t="shared" si="3"/>
        <v>5.4264516524618306E-2</v>
      </c>
      <c r="J67" s="100"/>
      <c r="K67" s="100"/>
      <c r="L67" s="18"/>
      <c r="M67" s="18"/>
      <c r="N67" s="18"/>
      <c r="O67" s="18"/>
      <c r="P67" s="18"/>
      <c r="Q67" s="18"/>
      <c r="R67" s="18"/>
      <c r="S67" s="83"/>
      <c r="T67" s="388"/>
    </row>
    <row r="68" spans="2:23" ht="15.75" thickBot="1" x14ac:dyDescent="0.3">
      <c r="C68" s="1"/>
      <c r="D68" s="8"/>
      <c r="S68" s="4"/>
      <c r="T68" s="28"/>
    </row>
    <row r="69" spans="2:23" x14ac:dyDescent="0.25">
      <c r="B69" s="373" t="s">
        <v>64</v>
      </c>
      <c r="C69" s="21" t="s">
        <v>65</v>
      </c>
      <c r="D69" s="23" t="s">
        <v>66</v>
      </c>
      <c r="E69" s="48" t="s">
        <v>67</v>
      </c>
      <c r="F69" s="48" t="s">
        <v>68</v>
      </c>
      <c r="G69" s="48" t="s">
        <v>51</v>
      </c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7"/>
      <c r="T69" s="373" t="s">
        <v>19</v>
      </c>
    </row>
    <row r="70" spans="2:23" x14ac:dyDescent="0.25">
      <c r="B70" s="374"/>
      <c r="C70" s="1" t="s">
        <v>69</v>
      </c>
      <c r="D70" s="8">
        <v>49583</v>
      </c>
      <c r="E70" s="67"/>
      <c r="F70" s="68"/>
      <c r="S70" s="4"/>
      <c r="T70" s="374"/>
    </row>
    <row r="71" spans="2:23" x14ac:dyDescent="0.25">
      <c r="B71" s="374"/>
      <c r="C71" s="1" t="s">
        <v>70</v>
      </c>
      <c r="D71" s="69">
        <f>D70/H20</f>
        <v>0.6058306758061166</v>
      </c>
      <c r="E71" s="110"/>
      <c r="F71" s="68"/>
      <c r="S71" s="4"/>
      <c r="T71" s="374"/>
    </row>
    <row r="72" spans="2:23" x14ac:dyDescent="0.25">
      <c r="B72" s="374"/>
      <c r="C72" s="1"/>
      <c r="D72" s="70"/>
      <c r="E72" s="68"/>
      <c r="F72" s="14"/>
      <c r="S72" s="4"/>
      <c r="T72" s="374"/>
      <c r="W72" s="8"/>
    </row>
    <row r="73" spans="2:23" ht="14.45" customHeight="1" x14ac:dyDescent="0.25">
      <c r="B73" s="374"/>
      <c r="C73" s="1" t="s">
        <v>71</v>
      </c>
      <c r="D73" s="8">
        <v>160495</v>
      </c>
      <c r="E73" s="67"/>
      <c r="F73" s="68"/>
      <c r="S73" s="4"/>
      <c r="T73" s="374"/>
      <c r="U73" s="24"/>
      <c r="W73" s="14"/>
    </row>
    <row r="74" spans="2:23" x14ac:dyDescent="0.25">
      <c r="B74" s="374"/>
      <c r="C74" s="1" t="s">
        <v>72</v>
      </c>
      <c r="D74" s="71">
        <f>D73/D70</f>
        <v>3.2368957102232621</v>
      </c>
      <c r="E74" s="14"/>
      <c r="F74" s="14"/>
      <c r="S74" s="4"/>
      <c r="T74" s="374"/>
    </row>
    <row r="75" spans="2:23" x14ac:dyDescent="0.25">
      <c r="B75" s="374"/>
      <c r="C75" s="1"/>
      <c r="D75" s="71"/>
      <c r="F75" s="14"/>
      <c r="S75" s="4"/>
      <c r="T75" s="374"/>
      <c r="W75" s="8"/>
    </row>
    <row r="76" spans="2:23" x14ac:dyDescent="0.25">
      <c r="B76" s="374"/>
      <c r="C76" s="1" t="s">
        <v>73</v>
      </c>
      <c r="D76" s="8">
        <v>80083</v>
      </c>
      <c r="E76" s="67"/>
      <c r="F76" s="14"/>
      <c r="S76" s="4"/>
      <c r="T76" s="374"/>
      <c r="W76" s="14"/>
    </row>
    <row r="77" spans="2:23" x14ac:dyDescent="0.25">
      <c r="B77" s="374"/>
      <c r="C77" s="1" t="s">
        <v>74</v>
      </c>
      <c r="D77" s="71">
        <f>D76/D70</f>
        <v>1.6151301857491478</v>
      </c>
      <c r="E77" s="72"/>
      <c r="F77" s="14"/>
      <c r="S77" s="4"/>
      <c r="T77" s="374"/>
    </row>
    <row r="78" spans="2:23" ht="15.75" thickBot="1" x14ac:dyDescent="0.3">
      <c r="B78" s="375"/>
      <c r="C78" s="9" t="s">
        <v>75</v>
      </c>
      <c r="D78" s="84">
        <f>D73/D76</f>
        <v>2.0041082377033828</v>
      </c>
      <c r="E78" s="85"/>
      <c r="F78" s="18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11"/>
      <c r="T78" s="375"/>
    </row>
    <row r="79" spans="2:23" x14ac:dyDescent="0.25">
      <c r="D79" s="37"/>
      <c r="E79" s="22"/>
      <c r="F79" s="14"/>
    </row>
    <row r="80" spans="2:23" s="35" customFormat="1" x14ac:dyDescent="0.25">
      <c r="B80" s="47"/>
      <c r="C80" s="78"/>
      <c r="D80" s="8"/>
      <c r="E80" s="13"/>
    </row>
    <row r="81" spans="2:5" s="35" customFormat="1" x14ac:dyDescent="0.25">
      <c r="B81" s="47"/>
      <c r="C81" s="78"/>
      <c r="D81" s="8"/>
      <c r="E81" s="34"/>
    </row>
    <row r="82" spans="2:5" s="35" customFormat="1" x14ac:dyDescent="0.25">
      <c r="B82" s="47"/>
      <c r="C82" s="78"/>
      <c r="D82" s="8"/>
      <c r="E82" s="34"/>
    </row>
    <row r="83" spans="2:5" s="35" customFormat="1" x14ac:dyDescent="0.25">
      <c r="B83" s="47"/>
      <c r="C83" s="78"/>
      <c r="D83" s="8"/>
      <c r="E83" s="34"/>
    </row>
    <row r="84" spans="2:5" s="35" customFormat="1" x14ac:dyDescent="0.25">
      <c r="B84" s="47"/>
      <c r="C84" s="78"/>
      <c r="D84" s="8"/>
      <c r="E84" s="78"/>
    </row>
    <row r="85" spans="2:5" s="35" customFormat="1" x14ac:dyDescent="0.25">
      <c r="B85" s="47"/>
      <c r="C85" s="78"/>
      <c r="D85" s="8"/>
      <c r="E85" s="34"/>
    </row>
  </sheetData>
  <mergeCells count="15">
    <mergeCell ref="C2:S2"/>
    <mergeCell ref="D3:J3"/>
    <mergeCell ref="K3:M3"/>
    <mergeCell ref="T3:T21"/>
    <mergeCell ref="B69:B78"/>
    <mergeCell ref="T69:T78"/>
    <mergeCell ref="B23:B51"/>
    <mergeCell ref="T23:T51"/>
    <mergeCell ref="B53:B67"/>
    <mergeCell ref="D53:E53"/>
    <mergeCell ref="F53:G53"/>
    <mergeCell ref="T53:T67"/>
    <mergeCell ref="N3:P3"/>
    <mergeCell ref="Q3:S3"/>
    <mergeCell ref="B4:B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D900A-E967-4B87-89A5-0F3C0A37C1AE}">
  <sheetPr codeName="Sheet17">
    <tabColor theme="4"/>
  </sheetPr>
  <dimension ref="A1:W86"/>
  <sheetViews>
    <sheetView topLeftCell="A27" zoomScale="80" zoomScaleNormal="80" workbookViewId="0">
      <selection activeCell="H74" sqref="H74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134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ht="15.75" thickBot="1" x14ac:dyDescent="0.3">
      <c r="B22" s="391"/>
      <c r="C22" s="88" t="s">
        <v>78</v>
      </c>
      <c r="D22" s="135"/>
      <c r="E22" s="135">
        <v>137022</v>
      </c>
      <c r="F22" s="135">
        <v>118299.52</v>
      </c>
      <c r="G22" s="135">
        <v>48173</v>
      </c>
      <c r="H22" s="135"/>
      <c r="I22" s="136"/>
      <c r="J22" s="136"/>
      <c r="K22" s="135">
        <v>131687</v>
      </c>
      <c r="L22" s="136"/>
      <c r="M22" s="136"/>
      <c r="N22" s="135">
        <v>7037</v>
      </c>
      <c r="O22" s="135"/>
      <c r="P22" s="135"/>
      <c r="Q22" s="144">
        <v>1018</v>
      </c>
      <c r="R22" s="93"/>
      <c r="S22" s="112"/>
      <c r="T22" s="375"/>
      <c r="U22" s="8"/>
      <c r="V22" s="142"/>
    </row>
    <row r="23" spans="1:22" ht="15.75" thickBot="1" x14ac:dyDescent="0.3">
      <c r="C23" s="45"/>
      <c r="D23" s="25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1"/>
      <c r="T23" s="27"/>
      <c r="V23" s="142"/>
    </row>
    <row r="24" spans="1:22" x14ac:dyDescent="0.25">
      <c r="B24" s="381" t="s">
        <v>13</v>
      </c>
      <c r="C24" s="5"/>
      <c r="D24" s="48" t="s">
        <v>91</v>
      </c>
      <c r="E24" s="48" t="s">
        <v>15</v>
      </c>
      <c r="F24" s="48" t="s">
        <v>92</v>
      </c>
      <c r="G24" s="48" t="s">
        <v>17</v>
      </c>
      <c r="H24" s="48" t="s">
        <v>18</v>
      </c>
      <c r="I24" s="94"/>
      <c r="J24" s="94"/>
      <c r="K24" s="116"/>
      <c r="L24" s="94"/>
      <c r="M24" s="94"/>
      <c r="N24" s="94"/>
      <c r="O24" s="94"/>
      <c r="P24" s="94"/>
      <c r="Q24" s="94"/>
      <c r="R24" s="94"/>
      <c r="S24" s="49"/>
      <c r="T24" s="380" t="s">
        <v>19</v>
      </c>
      <c r="V24" s="142"/>
    </row>
    <row r="25" spans="1:22" x14ac:dyDescent="0.25">
      <c r="B25" s="382"/>
      <c r="C25" s="2" t="s">
        <v>20</v>
      </c>
      <c r="D25" s="47"/>
      <c r="E25" s="47"/>
      <c r="F25" s="47"/>
      <c r="G25" s="47"/>
      <c r="I25" s="47"/>
      <c r="J25" s="47"/>
      <c r="K25" s="47"/>
      <c r="L25" s="47"/>
      <c r="M25" s="124"/>
      <c r="N25" s="47"/>
      <c r="O25" s="47"/>
      <c r="P25" s="47"/>
      <c r="Q25" s="47"/>
      <c r="R25" s="47"/>
      <c r="S25" s="12"/>
      <c r="T25" s="380"/>
      <c r="V25" s="8"/>
    </row>
    <row r="26" spans="1:22" x14ac:dyDescent="0.25">
      <c r="B26" s="382"/>
      <c r="C26" s="1" t="s">
        <v>21</v>
      </c>
      <c r="D26" s="13">
        <v>0.43196420376319411</v>
      </c>
      <c r="E26" s="13">
        <v>0.40766514512100593</v>
      </c>
      <c r="F26" s="14">
        <f>D26/E26</f>
        <v>1.0596054358166322</v>
      </c>
      <c r="G26" s="13">
        <v>0.57235489190258093</v>
      </c>
      <c r="H26" s="14">
        <f>E26/G26</f>
        <v>0.71225938816714718</v>
      </c>
      <c r="I26" s="149"/>
      <c r="J26" s="39"/>
      <c r="K26" s="14"/>
      <c r="L26" s="14"/>
      <c r="M26" s="14"/>
      <c r="N26" s="14"/>
      <c r="O26" s="14"/>
      <c r="P26" s="14"/>
      <c r="Q26" s="14"/>
      <c r="R26" s="14"/>
      <c r="S26" s="15"/>
      <c r="T26" s="380"/>
      <c r="V26" s="8"/>
    </row>
    <row r="27" spans="1:22" x14ac:dyDescent="0.25">
      <c r="B27" s="382"/>
      <c r="C27" s="1" t="s">
        <v>22</v>
      </c>
      <c r="D27" s="13">
        <v>0.56803579623680589</v>
      </c>
      <c r="E27" s="13">
        <v>0.59233485487899407</v>
      </c>
      <c r="F27" s="14">
        <f t="shared" ref="F27:F52" si="1">D27/E27</f>
        <v>0.95897749652575803</v>
      </c>
      <c r="G27" s="13">
        <v>0.42764510809741907</v>
      </c>
      <c r="H27" s="14">
        <f t="shared" ref="H27:H52" si="2">E27/G27</f>
        <v>1.3851084547985946</v>
      </c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</row>
    <row r="28" spans="1:22" x14ac:dyDescent="0.25">
      <c r="B28" s="382"/>
      <c r="C28" s="1"/>
      <c r="D28" s="13"/>
      <c r="E28" s="13"/>
      <c r="F28" s="14"/>
      <c r="G28" s="13"/>
      <c r="H28" s="14"/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 x14ac:dyDescent="0.25">
      <c r="B29" s="382"/>
      <c r="C29" s="2" t="s">
        <v>23</v>
      </c>
      <c r="F29" s="14"/>
      <c r="G29" s="13"/>
      <c r="H29" s="14"/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 x14ac:dyDescent="0.25">
      <c r="B30" s="382"/>
      <c r="C30" s="1" t="s">
        <v>24</v>
      </c>
      <c r="D30" s="13">
        <v>1.3873223550642905E-2</v>
      </c>
      <c r="E30" s="13">
        <v>1.1428620055824085E-2</v>
      </c>
      <c r="F30" s="14">
        <f t="shared" si="1"/>
        <v>1.2139018956687633</v>
      </c>
      <c r="G30" s="13">
        <v>9.3529624053555957E-3</v>
      </c>
      <c r="H30" s="14">
        <f t="shared" si="2"/>
        <v>1.2219251570261791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25">
      <c r="B31" s="382"/>
      <c r="C31" s="1" t="s">
        <v>25</v>
      </c>
      <c r="D31" s="13">
        <v>0.12519738326189939</v>
      </c>
      <c r="E31" s="13">
        <v>0.13220777452515486</v>
      </c>
      <c r="F31" s="14">
        <f t="shared" si="1"/>
        <v>0.94697444013081378</v>
      </c>
      <c r="G31" s="13">
        <v>0.11987086678511411</v>
      </c>
      <c r="H31" s="14">
        <f t="shared" si="2"/>
        <v>1.102918315942075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25">
      <c r="B32" s="382"/>
      <c r="C32" s="1" t="s">
        <v>26</v>
      </c>
      <c r="D32" s="13">
        <v>0.29945860591021883</v>
      </c>
      <c r="E32" s="13">
        <v>0.34632207774525153</v>
      </c>
      <c r="F32" s="14">
        <f t="shared" si="1"/>
        <v>0.86468240159524379</v>
      </c>
      <c r="G32" s="13">
        <v>0.29408078276439853</v>
      </c>
      <c r="H32" s="14">
        <f t="shared" si="2"/>
        <v>1.1776426684184458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25">
      <c r="B33" s="382"/>
      <c r="C33" s="1" t="s">
        <v>27</v>
      </c>
      <c r="D33" s="13">
        <v>0.37457703586735847</v>
      </c>
      <c r="E33" s="13">
        <v>0.35549560895908505</v>
      </c>
      <c r="F33" s="14">
        <f t="shared" si="1"/>
        <v>1.0536755628688217</v>
      </c>
      <c r="G33" s="13">
        <v>0.32868783998543011</v>
      </c>
      <c r="H33" s="14">
        <f t="shared" si="2"/>
        <v>1.0815599657560901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25">
      <c r="B34" s="382"/>
      <c r="C34" s="1" t="s">
        <v>28</v>
      </c>
      <c r="D34" s="13">
        <v>0.15982404692082111</v>
      </c>
      <c r="E34" s="13">
        <v>0.13645414936346925</v>
      </c>
      <c r="F34" s="14">
        <f t="shared" si="1"/>
        <v>1.1712655691773952</v>
      </c>
      <c r="G34" s="13">
        <v>0.17578056392525954</v>
      </c>
      <c r="H34" s="14">
        <f t="shared" si="2"/>
        <v>0.77627552396229904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25">
      <c r="B35" s="382"/>
      <c r="C35" s="1" t="s">
        <v>29</v>
      </c>
      <c r="D35" s="13">
        <v>2.7069704489059328E-2</v>
      </c>
      <c r="E35" s="13">
        <v>1.8091769351215196E-2</v>
      </c>
      <c r="F35" s="14">
        <f t="shared" si="1"/>
        <v>1.4962441739973376</v>
      </c>
      <c r="G35" s="13">
        <v>7.222698413444209E-2</v>
      </c>
      <c r="H35" s="14">
        <f t="shared" si="2"/>
        <v>0.25048490627186487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25">
      <c r="B36" s="382"/>
      <c r="C36" s="1"/>
      <c r="D36" s="13"/>
      <c r="E36" s="13"/>
      <c r="F36" s="14"/>
      <c r="G36" s="13"/>
      <c r="H36" s="14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25">
      <c r="B37" s="382"/>
      <c r="C37" s="2" t="s">
        <v>30</v>
      </c>
      <c r="F37" s="14"/>
      <c r="G37" s="13"/>
      <c r="H37" s="14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25">
      <c r="B38" s="382"/>
      <c r="C38" s="1" t="s">
        <v>31</v>
      </c>
      <c r="D38" s="13">
        <v>0.46546275395033859</v>
      </c>
      <c r="E38" s="38">
        <v>0.46631255479796047</v>
      </c>
      <c r="F38" s="14">
        <f t="shared" si="1"/>
        <v>0.9981776153378713</v>
      </c>
      <c r="G38" s="13">
        <v>0.4916982188238192</v>
      </c>
      <c r="H38" s="14">
        <f t="shared" si="2"/>
        <v>0.94837145416840585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25">
      <c r="B39" s="382"/>
      <c r="C39" s="1" t="s">
        <v>32</v>
      </c>
      <c r="D39" s="13">
        <v>0.21015801354401806</v>
      </c>
      <c r="E39" s="13">
        <v>0.21147118159299266</v>
      </c>
      <c r="F39" s="14">
        <f t="shared" si="1"/>
        <v>0.99379032150346613</v>
      </c>
      <c r="G39" s="13">
        <v>0.14338031637987977</v>
      </c>
      <c r="H39" s="14">
        <f t="shared" si="2"/>
        <v>1.4748968821683248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25">
      <c r="B40" s="382"/>
      <c r="C40" s="1" t="s">
        <v>33</v>
      </c>
      <c r="D40" s="13">
        <v>0.12968397291196387</v>
      </c>
      <c r="E40" s="13">
        <v>0.1327153400240047</v>
      </c>
      <c r="F40" s="14">
        <f t="shared" si="1"/>
        <v>0.97715887921100508</v>
      </c>
      <c r="G40" s="13">
        <v>0.13350111393482081</v>
      </c>
      <c r="H40" s="14">
        <f t="shared" si="2"/>
        <v>0.99411410221490926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25">
      <c r="B41" s="382"/>
      <c r="C41" s="1" t="s">
        <v>34</v>
      </c>
      <c r="D41" s="13">
        <v>9.3566591422121898E-2</v>
      </c>
      <c r="E41" s="13">
        <v>8.9353660716565794E-2</v>
      </c>
      <c r="F41" s="14">
        <f t="shared" si="1"/>
        <v>1.047148943554979</v>
      </c>
      <c r="G41" s="13">
        <v>0.10246565834107677</v>
      </c>
      <c r="H41" s="14">
        <f t="shared" si="2"/>
        <v>0.87203519855535261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25">
      <c r="B42" s="382"/>
      <c r="C42" s="1" t="s">
        <v>35</v>
      </c>
      <c r="D42" s="13">
        <v>3.1151241534988713E-2</v>
      </c>
      <c r="E42" s="13">
        <v>1.9374005124407331E-2</v>
      </c>
      <c r="F42" s="14">
        <f t="shared" si="1"/>
        <v>1.607888577243352</v>
      </c>
      <c r="G42" s="13">
        <v>3.3207572517716603E-2</v>
      </c>
      <c r="H42" s="14">
        <f t="shared" si="2"/>
        <v>0.58342129988788216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25">
      <c r="B43" s="382"/>
      <c r="C43" s="1" t="s">
        <v>36</v>
      </c>
      <c r="D43" s="13">
        <v>1.2866817155756207E-2</v>
      </c>
      <c r="E43" s="13">
        <v>1.4402819275262392E-2</v>
      </c>
      <c r="F43" s="14">
        <f t="shared" si="1"/>
        <v>0.89335406560683928</v>
      </c>
      <c r="G43" s="13">
        <v>2.6221465915833547E-2</v>
      </c>
      <c r="H43" s="14">
        <f t="shared" si="2"/>
        <v>0.54927589942884947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25">
      <c r="B44" s="382"/>
      <c r="C44" s="1" t="s">
        <v>37</v>
      </c>
      <c r="D44" s="13">
        <v>5.7110609480812639E-2</v>
      </c>
      <c r="E44" s="13">
        <v>6.6370438468806664E-2</v>
      </c>
      <c r="F44" s="14">
        <f t="shared" si="1"/>
        <v>0.86048263049601459</v>
      </c>
      <c r="G44" s="13">
        <v>6.9525654086853336E-2</v>
      </c>
      <c r="H44" s="14">
        <f t="shared" si="2"/>
        <v>0.95461796570651325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25">
      <c r="B45" s="382"/>
      <c r="C45" s="1"/>
      <c r="D45" s="13"/>
      <c r="E45" s="13"/>
      <c r="F45" s="14"/>
      <c r="G45" s="13"/>
      <c r="H45" s="14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25">
      <c r="B46" s="382"/>
      <c r="C46" s="2" t="s">
        <v>38</v>
      </c>
      <c r="F46" s="14"/>
      <c r="G46" s="13"/>
      <c r="H46" s="14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25">
      <c r="B47" s="382"/>
      <c r="C47" s="1" t="s">
        <v>39</v>
      </c>
      <c r="D47" s="13">
        <v>0.43390480487254679</v>
      </c>
      <c r="E47" s="13">
        <v>0.29591619650591849</v>
      </c>
      <c r="F47" s="14">
        <f t="shared" si="1"/>
        <v>1.466309752544648</v>
      </c>
      <c r="G47" s="16" t="s">
        <v>12</v>
      </c>
      <c r="H47" s="16" t="s">
        <v>12</v>
      </c>
      <c r="I47" s="149"/>
      <c r="J47" s="39"/>
      <c r="K47" s="16"/>
      <c r="L47" s="16"/>
      <c r="M47" s="16"/>
      <c r="N47" s="16"/>
      <c r="O47" s="16"/>
      <c r="P47" s="16"/>
      <c r="Q47" s="16"/>
      <c r="R47" s="16"/>
      <c r="S47" s="36"/>
      <c r="T47" s="380"/>
    </row>
    <row r="48" spans="2:20" x14ac:dyDescent="0.25">
      <c r="B48" s="382"/>
      <c r="C48" s="1" t="s">
        <v>40</v>
      </c>
      <c r="D48" s="13">
        <v>5.7297541168508909E-2</v>
      </c>
      <c r="E48" s="13">
        <v>4.4309991235012294E-2</v>
      </c>
      <c r="F48" s="14">
        <f t="shared" si="1"/>
        <v>1.293106578708467</v>
      </c>
      <c r="G48" s="13">
        <v>0.23826371358004139</v>
      </c>
      <c r="H48" s="14">
        <f t="shared" si="2"/>
        <v>0.18597037110364256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1" t="s">
        <v>41</v>
      </c>
      <c r="D49" s="13">
        <v>0.1043311527182495</v>
      </c>
      <c r="E49" s="13">
        <v>8.8015793997259881E-2</v>
      </c>
      <c r="F49" s="14">
        <f t="shared" si="1"/>
        <v>1.1853685342144109</v>
      </c>
      <c r="G49" s="13">
        <v>0.2944472672851261</v>
      </c>
      <c r="H49" s="14">
        <f t="shared" si="2"/>
        <v>0.29891869878361055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1" t="s">
        <v>42</v>
      </c>
      <c r="D50" s="13">
        <v>0.1233927362959621</v>
      </c>
      <c r="E50" s="13">
        <v>0.12973032770842374</v>
      </c>
      <c r="F50" s="14">
        <f t="shared" si="1"/>
        <v>0.95114795804181018</v>
      </c>
      <c r="G50" s="13">
        <v>0.2295170839287588</v>
      </c>
      <c r="H50" s="14">
        <f t="shared" si="2"/>
        <v>0.56523168335779106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1" t="s">
        <v>43</v>
      </c>
      <c r="D51" s="13">
        <v>0.15181592600947438</v>
      </c>
      <c r="E51" s="13">
        <v>0.19675269970130965</v>
      </c>
      <c r="F51" s="14">
        <f t="shared" si="1"/>
        <v>0.77160784192514864</v>
      </c>
      <c r="G51" s="13">
        <v>0.16500439759050969</v>
      </c>
      <c r="H51" s="14">
        <f t="shared" si="2"/>
        <v>1.1924088240944311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ht="15.75" thickBot="1" x14ac:dyDescent="0.3">
      <c r="B52" s="383"/>
      <c r="C52" s="9" t="s">
        <v>44</v>
      </c>
      <c r="D52" s="17">
        <v>0.1292578389352583</v>
      </c>
      <c r="E52" s="17">
        <v>0.24527499085207594</v>
      </c>
      <c r="F52" s="14">
        <f t="shared" si="1"/>
        <v>0.52699151465145921</v>
      </c>
      <c r="G52" s="17">
        <v>7.2767537615563996E-2</v>
      </c>
      <c r="H52" s="14">
        <f t="shared" si="2"/>
        <v>3.3706649817928556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9"/>
      <c r="T52" s="384"/>
    </row>
    <row r="53" spans="2:20" ht="15.75" thickBot="1" x14ac:dyDescent="0.3">
      <c r="B53" s="60"/>
      <c r="C53" s="45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26"/>
      <c r="T53" s="28"/>
    </row>
    <row r="54" spans="2:20" x14ac:dyDescent="0.25">
      <c r="B54" s="373" t="s">
        <v>45</v>
      </c>
      <c r="C54" s="5"/>
      <c r="D54" s="385" t="s">
        <v>46</v>
      </c>
      <c r="E54" s="385"/>
      <c r="F54" s="385" t="s">
        <v>47</v>
      </c>
      <c r="G54" s="385"/>
      <c r="H54" s="42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7"/>
      <c r="T54" s="386" t="s">
        <v>48</v>
      </c>
    </row>
    <row r="55" spans="2:20" x14ac:dyDescent="0.25">
      <c r="B55" s="374"/>
      <c r="C55" s="1"/>
      <c r="D55" s="40" t="s">
        <v>49</v>
      </c>
      <c r="E55" s="40" t="s">
        <v>50</v>
      </c>
      <c r="F55" s="40" t="s">
        <v>49</v>
      </c>
      <c r="G55" s="40" t="s">
        <v>50</v>
      </c>
      <c r="H55" s="41" t="s">
        <v>51</v>
      </c>
      <c r="I55" s="96" t="s">
        <v>52</v>
      </c>
      <c r="J55" s="97"/>
      <c r="K55" s="97"/>
      <c r="L55" s="97"/>
      <c r="M55" s="97"/>
      <c r="N55" s="97"/>
      <c r="O55" s="97"/>
      <c r="P55" s="97"/>
      <c r="Q55" s="97"/>
      <c r="R55" s="97"/>
      <c r="S55" s="99"/>
      <c r="T55" s="387"/>
    </row>
    <row r="56" spans="2:20" x14ac:dyDescent="0.25">
      <c r="B56" s="374"/>
      <c r="C56" s="2" t="s">
        <v>53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4"/>
      <c r="T56" s="387"/>
    </row>
    <row r="57" spans="2:20" x14ac:dyDescent="0.25">
      <c r="B57" s="374"/>
      <c r="C57" s="1" t="s">
        <v>54</v>
      </c>
      <c r="D57" s="73">
        <v>1703434</v>
      </c>
      <c r="E57" s="38">
        <v>0.47349743172936526</v>
      </c>
      <c r="F57" s="8">
        <v>75408</v>
      </c>
      <c r="G57" s="13">
        <v>0.45106683335626313</v>
      </c>
      <c r="H57" s="14">
        <f>G57/E57</f>
        <v>0.95262783518977423</v>
      </c>
      <c r="I57" s="38">
        <f>F57/D57</f>
        <v>4.4268225243830991E-2</v>
      </c>
      <c r="J57" s="39"/>
      <c r="K57" s="39"/>
      <c r="L57" s="14"/>
      <c r="M57" s="14"/>
      <c r="N57" s="14"/>
      <c r="O57" s="14"/>
      <c r="P57" s="14"/>
      <c r="Q57" s="14"/>
      <c r="R57" s="14"/>
      <c r="S57" s="82"/>
      <c r="T57" s="387"/>
    </row>
    <row r="58" spans="2:20" x14ac:dyDescent="0.25">
      <c r="B58" s="374"/>
      <c r="C58" s="1" t="s">
        <v>55</v>
      </c>
      <c r="D58" s="73">
        <v>1894123</v>
      </c>
      <c r="E58" s="38">
        <v>0.5265025682706348</v>
      </c>
      <c r="F58" s="8">
        <v>91769</v>
      </c>
      <c r="G58" s="13">
        <v>0.54893316664373693</v>
      </c>
      <c r="H58" s="14">
        <f>G58/E58</f>
        <v>1.0426030179620553</v>
      </c>
      <c r="I58" s="38">
        <f t="shared" ref="I58:I68" si="3">F58/D58</f>
        <v>4.8449335127655382E-2</v>
      </c>
      <c r="J58" s="39"/>
      <c r="K58" s="39"/>
      <c r="L58" s="14"/>
      <c r="M58" s="14"/>
      <c r="N58" s="14"/>
      <c r="O58" s="14"/>
      <c r="P58" s="14"/>
      <c r="Q58" s="14"/>
      <c r="R58" s="14"/>
      <c r="S58" s="82"/>
      <c r="T58" s="387"/>
    </row>
    <row r="59" spans="2:20" x14ac:dyDescent="0.25">
      <c r="B59" s="374"/>
      <c r="C59" s="1" t="s">
        <v>53</v>
      </c>
      <c r="D59" s="73">
        <v>3597557</v>
      </c>
      <c r="E59" s="38"/>
      <c r="F59" s="8">
        <v>167177</v>
      </c>
      <c r="H59" s="14"/>
      <c r="I59" s="38">
        <f t="shared" si="3"/>
        <v>4.6469590335886268E-2</v>
      </c>
      <c r="J59" s="39"/>
      <c r="K59" s="39"/>
      <c r="L59" s="14"/>
      <c r="M59" s="14"/>
      <c r="N59" s="14"/>
      <c r="O59" s="14"/>
      <c r="P59" s="14"/>
      <c r="Q59" s="14"/>
      <c r="R59" s="14"/>
      <c r="S59" s="82"/>
      <c r="T59" s="387"/>
    </row>
    <row r="60" spans="2:20" x14ac:dyDescent="0.25">
      <c r="B60" s="374"/>
      <c r="C60" s="1"/>
      <c r="D60" s="38"/>
      <c r="E60" s="38"/>
      <c r="F60" s="8"/>
      <c r="H60" s="14"/>
      <c r="I60" s="38"/>
      <c r="J60" s="39"/>
      <c r="K60" s="39"/>
      <c r="L60" s="14"/>
      <c r="M60" s="14"/>
      <c r="N60" s="14"/>
      <c r="O60" s="14"/>
      <c r="P60" s="14"/>
      <c r="Q60" s="14"/>
      <c r="R60" s="14"/>
      <c r="S60" s="82"/>
      <c r="T60" s="387"/>
    </row>
    <row r="61" spans="2:20" x14ac:dyDescent="0.25">
      <c r="B61" s="374"/>
      <c r="C61" s="2" t="s">
        <v>56</v>
      </c>
      <c r="D61" s="38"/>
      <c r="E61" s="38"/>
      <c r="H61" s="14"/>
      <c r="I61" s="38"/>
      <c r="J61" s="39"/>
      <c r="K61" s="39"/>
      <c r="L61" s="14"/>
      <c r="M61" s="14"/>
      <c r="N61" s="14"/>
      <c r="O61" s="14"/>
      <c r="P61" s="14"/>
      <c r="Q61" s="14"/>
      <c r="R61" s="14"/>
      <c r="S61" s="82"/>
      <c r="T61" s="387"/>
    </row>
    <row r="62" spans="2:20" x14ac:dyDescent="0.25">
      <c r="B62" s="374"/>
      <c r="C62" s="1" t="s">
        <v>57</v>
      </c>
      <c r="D62" s="73">
        <v>502928</v>
      </c>
      <c r="E62" s="38">
        <v>0.26552024340552327</v>
      </c>
      <c r="F62" s="8">
        <v>25243</v>
      </c>
      <c r="G62" s="13">
        <v>0.27507110244200111</v>
      </c>
      <c r="H62" s="14">
        <f t="shared" ref="H62:H68" si="4">G62/E62</f>
        <v>1.0359703611068594</v>
      </c>
      <c r="I62" s="38">
        <f t="shared" si="3"/>
        <v>5.0192075207584383E-2</v>
      </c>
      <c r="J62" s="39"/>
      <c r="K62" s="39"/>
      <c r="L62" s="14"/>
      <c r="M62" s="14"/>
      <c r="N62" s="14"/>
      <c r="O62" s="14"/>
      <c r="P62" s="14"/>
      <c r="Q62" s="14"/>
      <c r="R62" s="14"/>
      <c r="S62" s="82"/>
      <c r="T62" s="387"/>
    </row>
    <row r="63" spans="2:20" x14ac:dyDescent="0.25">
      <c r="B63" s="374"/>
      <c r="C63" s="1" t="s">
        <v>58</v>
      </c>
      <c r="D63" s="73">
        <v>227759</v>
      </c>
      <c r="E63" s="38">
        <v>0.12024509495951424</v>
      </c>
      <c r="F63" s="8">
        <v>19573</v>
      </c>
      <c r="G63" s="13">
        <v>0.2132855321513801</v>
      </c>
      <c r="H63" s="14">
        <f t="shared" si="4"/>
        <v>1.7737566112213723</v>
      </c>
      <c r="I63" s="38">
        <f t="shared" si="3"/>
        <v>8.5937328491958606E-2</v>
      </c>
      <c r="J63" s="39"/>
      <c r="K63" s="39"/>
      <c r="L63" s="14"/>
      <c r="M63" s="14"/>
      <c r="N63" s="14"/>
      <c r="O63" s="14"/>
      <c r="P63" s="14"/>
      <c r="Q63" s="14"/>
      <c r="R63" s="14"/>
      <c r="S63" s="82"/>
      <c r="T63" s="387"/>
    </row>
    <row r="64" spans="2:20" x14ac:dyDescent="0.25">
      <c r="B64" s="374"/>
      <c r="C64" s="1" t="s">
        <v>59</v>
      </c>
      <c r="D64" s="73">
        <v>237808</v>
      </c>
      <c r="E64" s="38">
        <v>0.12555045263691958</v>
      </c>
      <c r="F64" s="8">
        <v>16343</v>
      </c>
      <c r="G64" s="13">
        <v>0.17808846124508276</v>
      </c>
      <c r="H64" s="14">
        <f t="shared" si="4"/>
        <v>1.4184613237524384</v>
      </c>
      <c r="I64" s="38">
        <f t="shared" si="3"/>
        <v>6.8723508040099579E-2</v>
      </c>
      <c r="J64" s="39"/>
      <c r="K64" s="39"/>
      <c r="L64" s="14"/>
      <c r="M64" s="14"/>
      <c r="N64" s="14"/>
      <c r="O64" s="14"/>
      <c r="P64" s="14"/>
      <c r="Q64" s="14"/>
      <c r="R64" s="14"/>
      <c r="S64" s="82"/>
      <c r="T64" s="387"/>
    </row>
    <row r="65" spans="2:23" x14ac:dyDescent="0.25">
      <c r="B65" s="374"/>
      <c r="C65" s="1" t="s">
        <v>60</v>
      </c>
      <c r="D65" s="73">
        <v>782634</v>
      </c>
      <c r="E65" s="38">
        <v>0.41319069564120176</v>
      </c>
      <c r="F65" s="8">
        <v>24128</v>
      </c>
      <c r="G65" s="13">
        <v>0.26292102997744338</v>
      </c>
      <c r="H65" s="14">
        <f t="shared" si="4"/>
        <v>0.6363188541054503</v>
      </c>
      <c r="I65" s="38">
        <f t="shared" si="3"/>
        <v>3.0829225410600614E-2</v>
      </c>
      <c r="J65" s="39"/>
      <c r="K65" s="39"/>
      <c r="L65" s="14"/>
      <c r="M65" s="14"/>
      <c r="N65" s="14"/>
      <c r="O65" s="14"/>
      <c r="P65" s="14"/>
      <c r="Q65" s="14"/>
      <c r="R65" s="14"/>
      <c r="S65" s="82"/>
      <c r="T65" s="387"/>
    </row>
    <row r="66" spans="2:23" x14ac:dyDescent="0.25">
      <c r="B66" s="374"/>
      <c r="C66" s="1" t="s">
        <v>61</v>
      </c>
      <c r="D66" s="73">
        <v>36535</v>
      </c>
      <c r="E66" s="38">
        <v>1.928861008498392E-2</v>
      </c>
      <c r="F66" s="8">
        <v>1845</v>
      </c>
      <c r="G66" s="13">
        <v>2.0104828427900488E-2</v>
      </c>
      <c r="H66" s="14">
        <f t="shared" si="4"/>
        <v>1.042316078728347</v>
      </c>
      <c r="I66" s="38">
        <f t="shared" si="3"/>
        <v>5.0499521007253322E-2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</row>
    <row r="67" spans="2:23" x14ac:dyDescent="0.25">
      <c r="B67" s="374"/>
      <c r="C67" s="1" t="s">
        <v>62</v>
      </c>
      <c r="D67" s="73">
        <v>77662</v>
      </c>
      <c r="E67" s="38">
        <v>4.100156114465639E-2</v>
      </c>
      <c r="F67" s="8">
        <v>2956</v>
      </c>
      <c r="G67" s="13">
        <v>3.2211313188549508E-2</v>
      </c>
      <c r="H67" s="14">
        <f t="shared" si="4"/>
        <v>0.78561187157985835</v>
      </c>
      <c r="I67" s="38">
        <f t="shared" si="3"/>
        <v>3.8062372846437126E-2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  <c r="W67" s="13"/>
    </row>
    <row r="68" spans="2:23" ht="15.75" thickBot="1" x14ac:dyDescent="0.3">
      <c r="B68" s="375"/>
      <c r="C68" s="9" t="s">
        <v>63</v>
      </c>
      <c r="D68" s="74">
        <v>28797</v>
      </c>
      <c r="E68" s="44">
        <v>1.5203342127200821E-2</v>
      </c>
      <c r="F68" s="10">
        <v>1681</v>
      </c>
      <c r="G68" s="17">
        <v>1.8317732567642669E-2</v>
      </c>
      <c r="H68" s="18">
        <f t="shared" si="4"/>
        <v>1.2048490663687548</v>
      </c>
      <c r="I68" s="44">
        <f t="shared" si="3"/>
        <v>5.8374136194742507E-2</v>
      </c>
      <c r="J68" s="100"/>
      <c r="K68" s="100"/>
      <c r="L68" s="18"/>
      <c r="M68" s="18"/>
      <c r="N68" s="18"/>
      <c r="O68" s="18"/>
      <c r="P68" s="18"/>
      <c r="Q68" s="18"/>
      <c r="R68" s="18"/>
      <c r="S68" s="83"/>
      <c r="T68" s="388"/>
    </row>
    <row r="69" spans="2:23" ht="15.75" thickBot="1" x14ac:dyDescent="0.3">
      <c r="C69" s="1"/>
      <c r="D69" s="8"/>
      <c r="S69" s="4"/>
      <c r="T69" s="28"/>
    </row>
    <row r="70" spans="2:23" x14ac:dyDescent="0.25">
      <c r="B70" s="373" t="s">
        <v>64</v>
      </c>
      <c r="C70" s="21" t="s">
        <v>65</v>
      </c>
      <c r="D70" s="23" t="s">
        <v>66</v>
      </c>
      <c r="E70" s="48" t="s">
        <v>67</v>
      </c>
      <c r="F70" s="48" t="s">
        <v>68</v>
      </c>
      <c r="G70" s="48" t="s">
        <v>51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7"/>
      <c r="T70" s="373" t="s">
        <v>19</v>
      </c>
    </row>
    <row r="71" spans="2:23" x14ac:dyDescent="0.25">
      <c r="B71" s="374"/>
      <c r="C71" s="1" t="s">
        <v>69</v>
      </c>
      <c r="D71" s="8">
        <v>50278</v>
      </c>
      <c r="E71" s="67">
        <v>710752</v>
      </c>
      <c r="F71" s="68"/>
      <c r="I71" s="8"/>
      <c r="S71" s="4"/>
      <c r="T71" s="374"/>
    </row>
    <row r="72" spans="2:23" x14ac:dyDescent="0.25">
      <c r="B72" s="374"/>
      <c r="C72" s="1" t="s">
        <v>70</v>
      </c>
      <c r="D72" s="70">
        <f>D71/H21</f>
        <v>0.56588143929588408</v>
      </c>
      <c r="E72" s="110">
        <v>0.24253343761474025</v>
      </c>
      <c r="F72" s="68"/>
      <c r="I72" s="8"/>
      <c r="S72" s="4"/>
      <c r="T72" s="374"/>
    </row>
    <row r="73" spans="2:23" x14ac:dyDescent="0.25">
      <c r="B73" s="374"/>
      <c r="C73" s="1"/>
      <c r="D73" s="70"/>
      <c r="E73" s="68"/>
      <c r="F73" s="14"/>
      <c r="I73" s="8"/>
      <c r="S73" s="4"/>
      <c r="T73" s="374"/>
      <c r="W73" s="8"/>
    </row>
    <row r="74" spans="2:23" ht="14.45" customHeight="1" x14ac:dyDescent="0.25">
      <c r="B74" s="374"/>
      <c r="C74" s="1" t="s">
        <v>71</v>
      </c>
      <c r="D74" s="8">
        <v>167177</v>
      </c>
      <c r="E74" s="67">
        <v>1649376</v>
      </c>
      <c r="F74" s="68"/>
      <c r="H74" s="159"/>
      <c r="I74" s="8"/>
      <c r="S74" s="4"/>
      <c r="T74" s="374"/>
      <c r="U74" s="24"/>
      <c r="W74" s="14"/>
    </row>
    <row r="75" spans="2:23" x14ac:dyDescent="0.25">
      <c r="B75" s="374"/>
      <c r="C75" s="1" t="s">
        <v>72</v>
      </c>
      <c r="D75" s="71">
        <f>D74/D71</f>
        <v>3.3250527069493616</v>
      </c>
      <c r="E75" s="14">
        <f>E74/E71</f>
        <v>2.3206069064877761</v>
      </c>
      <c r="F75" s="14"/>
      <c r="I75" s="8"/>
      <c r="S75" s="4"/>
      <c r="T75" s="374"/>
    </row>
    <row r="76" spans="2:23" x14ac:dyDescent="0.25">
      <c r="B76" s="374"/>
      <c r="C76" s="1"/>
      <c r="D76" s="71"/>
      <c r="F76" s="14"/>
      <c r="I76" s="8"/>
      <c r="S76" s="4"/>
      <c r="T76" s="374"/>
      <c r="W76" s="8"/>
    </row>
    <row r="77" spans="2:23" x14ac:dyDescent="0.25">
      <c r="B77" s="374"/>
      <c r="C77" s="1" t="s">
        <v>73</v>
      </c>
      <c r="D77" s="8">
        <v>77777</v>
      </c>
      <c r="E77" s="67">
        <v>1159679</v>
      </c>
      <c r="F77" s="14"/>
      <c r="I77" s="8"/>
      <c r="S77" s="4"/>
      <c r="T77" s="374"/>
      <c r="W77" s="14"/>
    </row>
    <row r="78" spans="2:23" x14ac:dyDescent="0.25">
      <c r="B78" s="374"/>
      <c r="C78" s="1" t="s">
        <v>74</v>
      </c>
      <c r="D78" s="71">
        <f>D77/D71</f>
        <v>1.5469390190540595</v>
      </c>
      <c r="E78" s="72">
        <f>E77/E71</f>
        <v>1.6316225631443879</v>
      </c>
      <c r="F78" s="14"/>
      <c r="S78" s="4"/>
      <c r="T78" s="374"/>
    </row>
    <row r="79" spans="2:23" ht="15.75" thickBot="1" x14ac:dyDescent="0.3">
      <c r="B79" s="375"/>
      <c r="C79" s="9" t="s">
        <v>75</v>
      </c>
      <c r="D79" s="84">
        <f>D74/D77</f>
        <v>2.1494400658292299</v>
      </c>
      <c r="E79" s="85">
        <f>E74/E77</f>
        <v>1.4222694383531995</v>
      </c>
      <c r="F79" s="18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11"/>
      <c r="T79" s="375"/>
    </row>
    <row r="80" spans="2:23" x14ac:dyDescent="0.25">
      <c r="D80" s="37"/>
      <c r="E80" s="22"/>
      <c r="F80" s="14"/>
    </row>
    <row r="81" spans="2:5" s="35" customFormat="1" x14ac:dyDescent="0.25">
      <c r="B81" s="47"/>
      <c r="C81" s="78"/>
      <c r="D81" s="8"/>
      <c r="E81" s="13"/>
    </row>
    <row r="82" spans="2:5" s="35" customFormat="1" x14ac:dyDescent="0.25">
      <c r="B82" s="47"/>
      <c r="C82" s="78"/>
      <c r="D82" s="8"/>
      <c r="E82" s="34"/>
    </row>
    <row r="83" spans="2:5" s="35" customFormat="1" x14ac:dyDescent="0.25">
      <c r="B83" s="47"/>
      <c r="C83" s="78"/>
      <c r="D83" s="8"/>
      <c r="E83" s="34"/>
    </row>
    <row r="84" spans="2:5" s="35" customFormat="1" x14ac:dyDescent="0.25">
      <c r="B84" s="47"/>
      <c r="C84" s="78"/>
      <c r="D84" s="8"/>
      <c r="E84" s="34"/>
    </row>
    <row r="85" spans="2:5" s="35" customFormat="1" x14ac:dyDescent="0.25">
      <c r="B85" s="47"/>
      <c r="C85" s="78"/>
      <c r="D85" s="8"/>
      <c r="E85" s="78"/>
    </row>
    <row r="86" spans="2:5" s="35" customFormat="1" x14ac:dyDescent="0.25">
      <c r="B86" s="47"/>
      <c r="C86" s="78"/>
      <c r="D86" s="8"/>
      <c r="E86" s="34"/>
    </row>
  </sheetData>
  <mergeCells count="15">
    <mergeCell ref="B70:B79"/>
    <mergeCell ref="T70:T79"/>
    <mergeCell ref="B4:B22"/>
    <mergeCell ref="B24:B52"/>
    <mergeCell ref="T24:T52"/>
    <mergeCell ref="B54:B68"/>
    <mergeCell ref="D54:E54"/>
    <mergeCell ref="F54:G54"/>
    <mergeCell ref="T54:T68"/>
    <mergeCell ref="T3:T22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horizontalDpi="240" verticalDpi="24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D234-8DD8-4D76-8F96-B30A1A12CFC7}">
  <sheetPr codeName="Sheet18">
    <tabColor rgb="FFFFC000"/>
  </sheetPr>
  <dimension ref="A1:W95"/>
  <sheetViews>
    <sheetView topLeftCell="B39" zoomScaleNormal="100" workbookViewId="0">
      <selection activeCell="F68" sqref="F68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135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ht="15.75" thickBot="1" x14ac:dyDescent="0.3">
      <c r="B23" s="391"/>
      <c r="C23" s="88" t="s">
        <v>78</v>
      </c>
      <c r="D23" s="135"/>
      <c r="E23" s="135">
        <f>SUM(E5:E22)</f>
        <v>147123</v>
      </c>
      <c r="F23" s="135">
        <f t="shared" ref="F23:G23" si="1">SUM(F5:F22)</f>
        <v>125806.52</v>
      </c>
      <c r="G23" s="135">
        <f t="shared" si="1"/>
        <v>54366</v>
      </c>
      <c r="H23" s="135"/>
      <c r="I23" s="136"/>
      <c r="J23" s="136"/>
      <c r="K23" s="135">
        <f>SUM(K5:K22)</f>
        <v>140587</v>
      </c>
      <c r="L23" s="136"/>
      <c r="M23" s="136"/>
      <c r="N23" s="135">
        <f>SUM(N17:N22)</f>
        <v>8211</v>
      </c>
      <c r="O23" s="135"/>
      <c r="P23" s="135"/>
      <c r="Q23" s="144">
        <f>SUM(Q20:Q22)</f>
        <v>1398</v>
      </c>
      <c r="R23" s="93"/>
      <c r="S23" s="112"/>
      <c r="T23" s="375"/>
      <c r="U23" s="8"/>
      <c r="V23" s="142"/>
    </row>
    <row r="24" spans="1:22" ht="15.75" thickBot="1" x14ac:dyDescent="0.3">
      <c r="C24" s="45"/>
      <c r="D24" s="25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1"/>
      <c r="T24" s="27"/>
      <c r="V24" s="142"/>
    </row>
    <row r="25" spans="1:22" x14ac:dyDescent="0.25">
      <c r="B25" s="381" t="s">
        <v>13</v>
      </c>
      <c r="C25" s="94"/>
      <c r="D25" s="48" t="s">
        <v>95</v>
      </c>
      <c r="E25" s="48" t="s">
        <v>15</v>
      </c>
      <c r="F25" s="48" t="s">
        <v>96</v>
      </c>
      <c r="G25" s="48" t="s">
        <v>17</v>
      </c>
      <c r="H25" s="48" t="s">
        <v>18</v>
      </c>
      <c r="I25" s="94"/>
      <c r="J25" s="94"/>
      <c r="K25" s="116"/>
      <c r="L25" s="94"/>
      <c r="M25" s="94"/>
      <c r="N25" s="94"/>
      <c r="O25" s="94"/>
      <c r="P25" s="94"/>
      <c r="Q25" s="94"/>
      <c r="R25" s="94"/>
      <c r="S25" s="49"/>
      <c r="T25" s="380" t="s">
        <v>19</v>
      </c>
      <c r="V25" s="142"/>
    </row>
    <row r="26" spans="1:22" x14ac:dyDescent="0.25">
      <c r="B26" s="382"/>
      <c r="C26" s="156" t="s">
        <v>20</v>
      </c>
      <c r="D26" s="47"/>
      <c r="E26" s="47"/>
      <c r="F26" s="47"/>
      <c r="G26" s="47"/>
      <c r="I26" s="47"/>
      <c r="J26" s="47"/>
      <c r="K26" s="47"/>
      <c r="L26" s="47"/>
      <c r="M26" s="124"/>
      <c r="N26" s="47"/>
      <c r="O26" s="47"/>
      <c r="P26" s="47"/>
      <c r="Q26" s="47"/>
      <c r="R26" s="47"/>
      <c r="S26" s="12"/>
      <c r="T26" s="380"/>
      <c r="V26" s="8"/>
    </row>
    <row r="27" spans="1:22" x14ac:dyDescent="0.25">
      <c r="B27" s="382"/>
      <c r="C27" s="47" t="s">
        <v>21</v>
      </c>
      <c r="D27" s="13">
        <v>0.45046059365404301</v>
      </c>
      <c r="E27" s="13">
        <v>0.41135464626159135</v>
      </c>
      <c r="F27" s="14">
        <f>D27/E27</f>
        <v>1.0950662591217777</v>
      </c>
      <c r="G27" s="13">
        <v>0.57235489190258093</v>
      </c>
      <c r="H27" s="14">
        <f>E27/G27</f>
        <v>0.7187055655175687</v>
      </c>
      <c r="I27" s="149"/>
      <c r="J27" s="39"/>
      <c r="K27" s="14"/>
      <c r="L27" s="14"/>
      <c r="M27" s="14"/>
      <c r="N27" s="14"/>
      <c r="O27" s="14"/>
      <c r="P27" s="14"/>
      <c r="Q27" s="14"/>
      <c r="R27" s="14"/>
      <c r="S27" s="15"/>
      <c r="T27" s="380"/>
      <c r="V27" s="8"/>
    </row>
    <row r="28" spans="1:22" x14ac:dyDescent="0.25">
      <c r="B28" s="382"/>
      <c r="C28" s="47" t="s">
        <v>22</v>
      </c>
      <c r="D28" s="13">
        <v>0.54953940634595699</v>
      </c>
      <c r="E28" s="13">
        <v>0.58864535373840865</v>
      </c>
      <c r="F28" s="14">
        <f t="shared" ref="F28:F61" si="2">D28/E28</f>
        <v>0.93356620052448391</v>
      </c>
      <c r="G28" s="13">
        <v>0.42764510809741907</v>
      </c>
      <c r="H28" s="14">
        <f t="shared" ref="H28:H61" si="3">E28/G28</f>
        <v>1.3764809712363486</v>
      </c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80"/>
    </row>
    <row r="29" spans="1:22" x14ac:dyDescent="0.25">
      <c r="B29" s="382"/>
      <c r="D29" s="13"/>
      <c r="E29" s="13"/>
      <c r="F29" s="14"/>
      <c r="G29" s="13"/>
      <c r="H29" s="14"/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</row>
    <row r="30" spans="1:22" x14ac:dyDescent="0.25">
      <c r="B30" s="382"/>
      <c r="C30" s="156" t="s">
        <v>23</v>
      </c>
      <c r="F30" s="14"/>
      <c r="G30" s="13"/>
      <c r="H30" s="14"/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25">
      <c r="B31" s="382"/>
      <c r="C31" s="47" t="s">
        <v>24</v>
      </c>
      <c r="D31" s="13">
        <v>1.8845107326413382E-2</v>
      </c>
      <c r="E31" s="13">
        <v>1.1615704432392595E-2</v>
      </c>
      <c r="F31" s="14">
        <f t="shared" si="2"/>
        <v>1.6223817880437992</v>
      </c>
      <c r="G31" s="13">
        <v>9.3529624053555957E-3</v>
      </c>
      <c r="H31" s="14">
        <f t="shared" si="3"/>
        <v>1.2419278437109222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25">
      <c r="B32" s="382"/>
      <c r="C32" s="47" t="s">
        <v>25</v>
      </c>
      <c r="D32" s="13">
        <v>0.16295475158722161</v>
      </c>
      <c r="E32" s="13">
        <v>0.13201047816648109</v>
      </c>
      <c r="F32" s="14">
        <f t="shared" si="2"/>
        <v>1.2344077064982377</v>
      </c>
      <c r="G32" s="13">
        <v>0.11987086678511411</v>
      </c>
      <c r="H32" s="14">
        <f t="shared" si="3"/>
        <v>1.1012724084420695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25">
      <c r="B33" s="382"/>
      <c r="C33" s="47" t="s">
        <v>26</v>
      </c>
      <c r="D33" s="13">
        <v>0.36097954247707348</v>
      </c>
      <c r="E33" s="13">
        <v>0.34686095601252892</v>
      </c>
      <c r="F33" s="14">
        <f t="shared" si="2"/>
        <v>1.0407038792340599</v>
      </c>
      <c r="G33" s="13">
        <v>0.29408078276439853</v>
      </c>
      <c r="H33" s="14">
        <f t="shared" si="3"/>
        <v>1.1794750841996193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25">
      <c r="B34" s="382"/>
      <c r="C34" s="47" t="s">
        <v>27</v>
      </c>
      <c r="D34" s="13">
        <v>0.32349087977426183</v>
      </c>
      <c r="E34" s="13">
        <v>0.35455936426048018</v>
      </c>
      <c r="F34" s="14">
        <f t="shared" si="2"/>
        <v>0.91237437896748474</v>
      </c>
      <c r="G34" s="13">
        <v>0.32868783998543011</v>
      </c>
      <c r="H34" s="14">
        <f t="shared" si="3"/>
        <v>1.0787115345556955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25">
      <c r="B35" s="382"/>
      <c r="C35" s="47" t="s">
        <v>28</v>
      </c>
      <c r="D35" s="13">
        <v>0.11468305955860122</v>
      </c>
      <c r="E35" s="13">
        <v>0.13688907402808598</v>
      </c>
      <c r="F35" s="14">
        <f t="shared" si="2"/>
        <v>0.83778095785110895</v>
      </c>
      <c r="G35" s="13">
        <v>0.17578056392525954</v>
      </c>
      <c r="H35" s="14">
        <f t="shared" si="3"/>
        <v>0.77874977171133719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25">
      <c r="B36" s="382"/>
      <c r="C36" s="47" t="s">
        <v>29</v>
      </c>
      <c r="D36" s="13">
        <v>1.9046659276428499E-2</v>
      </c>
      <c r="E36" s="13">
        <v>1.8064423100031243E-2</v>
      </c>
      <c r="F36" s="14">
        <f t="shared" si="2"/>
        <v>1.054374068352925</v>
      </c>
      <c r="G36" s="13">
        <v>7.222698413444209E-2</v>
      </c>
      <c r="H36" s="14">
        <f t="shared" si="3"/>
        <v>0.25010629083455055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25">
      <c r="B37" s="382"/>
      <c r="D37" s="13"/>
      <c r="E37" s="13"/>
      <c r="F37" s="14"/>
      <c r="G37" s="13"/>
      <c r="H37" s="14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25">
      <c r="B38" s="382"/>
      <c r="C38" s="156" t="s">
        <v>30</v>
      </c>
      <c r="F38" s="14"/>
      <c r="G38" s="13"/>
      <c r="H38" s="14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25">
      <c r="B39" s="382"/>
      <c r="C39" s="47" t="s">
        <v>31</v>
      </c>
      <c r="D39" s="13">
        <v>0.48122042090423928</v>
      </c>
      <c r="E39" s="38">
        <v>0.46670616398325099</v>
      </c>
      <c r="F39" s="14">
        <f t="shared" si="2"/>
        <v>1.0310993469576484</v>
      </c>
      <c r="G39" s="13">
        <v>0.4916982188238192</v>
      </c>
      <c r="H39" s="14">
        <f t="shared" si="3"/>
        <v>0.94917196385142255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25">
      <c r="B40" s="382"/>
      <c r="C40" s="47" t="s">
        <v>32</v>
      </c>
      <c r="D40" s="13">
        <v>0.20420904239250831</v>
      </c>
      <c r="E40" s="13">
        <v>0.21102775753985092</v>
      </c>
      <c r="F40" s="14">
        <f t="shared" si="2"/>
        <v>0.96768806517761086</v>
      </c>
      <c r="G40" s="13">
        <v>0.14338031637987977</v>
      </c>
      <c r="H40" s="14">
        <f t="shared" si="3"/>
        <v>1.4718042397168538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25">
      <c r="B41" s="382"/>
      <c r="C41" s="47" t="s">
        <v>33</v>
      </c>
      <c r="D41" s="13">
        <v>0.12214278521800423</v>
      </c>
      <c r="E41" s="13">
        <v>0.1320064369951082</v>
      </c>
      <c r="F41" s="14">
        <f t="shared" si="2"/>
        <v>0.92527900910264338</v>
      </c>
      <c r="G41" s="13">
        <v>0.13350111393482081</v>
      </c>
      <c r="H41" s="14">
        <f t="shared" si="3"/>
        <v>0.98880401147482289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25">
      <c r="B42" s="382"/>
      <c r="C42" s="47" t="s">
        <v>34</v>
      </c>
      <c r="D42" s="13">
        <v>9.7271171080455146E-2</v>
      </c>
      <c r="E42" s="13">
        <v>9.022201228153047E-2</v>
      </c>
      <c r="F42" s="14">
        <f t="shared" si="2"/>
        <v>1.0781312522372961</v>
      </c>
      <c r="G42" s="13">
        <v>0.10246565834107677</v>
      </c>
      <c r="H42" s="14">
        <f t="shared" si="3"/>
        <v>0.88050976046246687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25">
      <c r="B43" s="382"/>
      <c r="C43" s="47" t="s">
        <v>35</v>
      </c>
      <c r="D43" s="13">
        <v>2.2857718255966167E-2</v>
      </c>
      <c r="E43" s="13">
        <v>1.9567184134888675E-2</v>
      </c>
      <c r="F43" s="14">
        <f t="shared" si="2"/>
        <v>1.1681659506239535</v>
      </c>
      <c r="G43" s="13">
        <v>3.3207572517716603E-2</v>
      </c>
      <c r="H43" s="14">
        <f t="shared" si="3"/>
        <v>0.58923861792214316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25">
      <c r="B44" s="382"/>
      <c r="C44" s="47" t="s">
        <v>36</v>
      </c>
      <c r="D44" s="13">
        <v>1.3493102406605579E-2</v>
      </c>
      <c r="E44" s="13">
        <v>1.4387164439605134E-2</v>
      </c>
      <c r="F44" s="14">
        <f t="shared" si="2"/>
        <v>0.93785696710754396</v>
      </c>
      <c r="G44" s="13">
        <v>2.6221465915833547E-2</v>
      </c>
      <c r="H44" s="14">
        <f t="shared" si="3"/>
        <v>0.54867887576482144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25">
      <c r="B45" s="382"/>
      <c r="C45" s="47" t="s">
        <v>37</v>
      </c>
      <c r="D45" s="13">
        <v>5.8805759742221332E-2</v>
      </c>
      <c r="E45" s="13">
        <v>6.60832806257656E-2</v>
      </c>
      <c r="F45" s="14">
        <f t="shared" si="2"/>
        <v>0.88987349274081295</v>
      </c>
      <c r="G45" s="13">
        <v>6.9525654086853336E-2</v>
      </c>
      <c r="H45" s="14">
        <f t="shared" si="3"/>
        <v>0.95048772275069249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25">
      <c r="B46" s="382"/>
      <c r="D46" s="13"/>
      <c r="E46" s="13"/>
      <c r="F46" s="14"/>
      <c r="G46" s="13"/>
      <c r="H46" s="14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25">
      <c r="B47" s="382"/>
      <c r="C47" s="156" t="s">
        <v>38</v>
      </c>
      <c r="F47" s="14"/>
      <c r="G47" s="13"/>
      <c r="H47" s="14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25">
      <c r="B48" s="382"/>
      <c r="C48" s="47" t="s">
        <v>39</v>
      </c>
      <c r="D48" s="13">
        <v>0.4585262734044695</v>
      </c>
      <c r="E48" s="13">
        <v>0.30910022168335294</v>
      </c>
      <c r="F48" s="14">
        <f t="shared" si="2"/>
        <v>1.4834226611270145</v>
      </c>
      <c r="G48" s="16" t="s">
        <v>12</v>
      </c>
      <c r="H48" s="16" t="s">
        <v>12</v>
      </c>
      <c r="I48" s="149"/>
      <c r="J48" s="39"/>
      <c r="K48" s="16"/>
      <c r="L48" s="16"/>
      <c r="M48" s="16"/>
      <c r="N48" s="16"/>
      <c r="O48" s="16"/>
      <c r="P48" s="16"/>
      <c r="Q48" s="16"/>
      <c r="R48" s="16"/>
      <c r="S48" s="36"/>
      <c r="T48" s="380"/>
    </row>
    <row r="49" spans="2:20" x14ac:dyDescent="0.25">
      <c r="B49" s="382"/>
      <c r="C49" s="47" t="s">
        <v>40</v>
      </c>
      <c r="D49" s="13">
        <v>5.5164082947453189E-2</v>
      </c>
      <c r="E49" s="13">
        <v>4.5793218250062023E-2</v>
      </c>
      <c r="F49" s="14">
        <f t="shared" si="2"/>
        <v>1.2046343335430125</v>
      </c>
      <c r="G49" s="13">
        <v>0.23826371358004139</v>
      </c>
      <c r="H49" s="14">
        <f t="shared" si="3"/>
        <v>0.19219551967017598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41</v>
      </c>
      <c r="D50" s="13">
        <v>9.8047110932152209E-2</v>
      </c>
      <c r="E50" s="13">
        <v>8.9649708290317154E-2</v>
      </c>
      <c r="F50" s="14">
        <f t="shared" si="2"/>
        <v>1.0936690459119101</v>
      </c>
      <c r="G50" s="13">
        <v>0.2944472672851261</v>
      </c>
      <c r="H50" s="14">
        <f t="shared" si="3"/>
        <v>0.30446778846653533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42</v>
      </c>
      <c r="D51" s="13">
        <v>0.1117374672840749</v>
      </c>
      <c r="E51" s="13">
        <v>0.12900050418957529</v>
      </c>
      <c r="F51" s="14">
        <f t="shared" si="2"/>
        <v>0.86617853151851909</v>
      </c>
      <c r="G51" s="13">
        <v>0.2295170839287588</v>
      </c>
      <c r="H51" s="14">
        <f t="shared" si="3"/>
        <v>0.56205186115738792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43</v>
      </c>
      <c r="D52" s="13">
        <v>0.14827863901751559</v>
      </c>
      <c r="E52" s="13">
        <v>0.1927284659031796</v>
      </c>
      <c r="F52" s="14">
        <f t="shared" si="2"/>
        <v>0.76936553364154248</v>
      </c>
      <c r="G52" s="13">
        <v>0.16500439759050969</v>
      </c>
      <c r="H52" s="14">
        <f t="shared" si="3"/>
        <v>1.1680201783559281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44</v>
      </c>
      <c r="D53" s="13">
        <v>0.12824642641433462</v>
      </c>
      <c r="E53" s="13">
        <v>0.23372788168351299</v>
      </c>
      <c r="F53" s="14">
        <f t="shared" si="2"/>
        <v>0.54869973359871094</v>
      </c>
      <c r="G53" s="13">
        <v>7.2767537615563996E-2</v>
      </c>
      <c r="H53" s="14">
        <f t="shared" si="3"/>
        <v>3.2119800853824927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D54" s="13"/>
      <c r="E54" s="13"/>
      <c r="F54" s="14"/>
      <c r="G54" s="13"/>
      <c r="H54" s="14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156" t="s">
        <v>136</v>
      </c>
      <c r="D55" s="13"/>
      <c r="E55" s="13"/>
      <c r="F55" s="14"/>
      <c r="G55" s="13"/>
      <c r="H55" s="14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39</v>
      </c>
      <c r="D56" s="13">
        <v>0.3529293336017717</v>
      </c>
      <c r="E56" s="13">
        <v>7.2995446287804217E-2</v>
      </c>
      <c r="F56" s="14">
        <f t="shared" si="2"/>
        <v>4.8349500078436769</v>
      </c>
      <c r="G56" s="16" t="s">
        <v>12</v>
      </c>
      <c r="H56" s="16" t="s">
        <v>12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40</v>
      </c>
      <c r="D57" s="13">
        <v>7.841755586873364E-2</v>
      </c>
      <c r="E57" s="13">
        <v>5.3988299600649846E-2</v>
      </c>
      <c r="F57" s="14">
        <f t="shared" si="2"/>
        <v>1.4524916778040133</v>
      </c>
      <c r="G57" s="158">
        <v>0.32426781304121294</v>
      </c>
      <c r="H57" s="14">
        <f t="shared" si="3"/>
        <v>0.16649293401743881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41</v>
      </c>
      <c r="D58" s="13">
        <v>0.12522649486611637</v>
      </c>
      <c r="E58" s="13">
        <v>0.11366673869374885</v>
      </c>
      <c r="F58" s="14">
        <f t="shared" si="2"/>
        <v>1.1016986702109299</v>
      </c>
      <c r="G58" s="13">
        <v>0.3184408779811484</v>
      </c>
      <c r="H58" s="14">
        <f t="shared" si="3"/>
        <v>0.3569476990968411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42</v>
      </c>
      <c r="D59" s="13">
        <v>0.14344674854036643</v>
      </c>
      <c r="E59" s="13">
        <v>0.15894776435939914</v>
      </c>
      <c r="F59" s="14">
        <f t="shared" si="2"/>
        <v>0.90247729572349866</v>
      </c>
      <c r="G59" s="13">
        <v>0.1942446679732632</v>
      </c>
      <c r="H59" s="14">
        <f t="shared" si="3"/>
        <v>0.81828637057506004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43</v>
      </c>
      <c r="D60" s="13">
        <v>0.15451983088383331</v>
      </c>
      <c r="E60" s="13">
        <v>0.24471601322097108</v>
      </c>
      <c r="F60" s="14">
        <f t="shared" si="2"/>
        <v>0.63142509086361509</v>
      </c>
      <c r="G60" s="13">
        <v>0.11521247961916987</v>
      </c>
      <c r="H60" s="14">
        <f t="shared" si="3"/>
        <v>2.124040850694906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ht="15.75" thickBot="1" x14ac:dyDescent="0.3">
      <c r="B61" s="383"/>
      <c r="C61" s="47" t="s">
        <v>44</v>
      </c>
      <c r="D61" s="13">
        <v>0.14546003623917858</v>
      </c>
      <c r="E61" s="13">
        <v>0.35568573783742685</v>
      </c>
      <c r="F61" s="14">
        <f t="shared" si="2"/>
        <v>0.40895661750054185</v>
      </c>
      <c r="G61" s="13">
        <v>4.7834161385205604E-2</v>
      </c>
      <c r="H61" s="14">
        <f t="shared" si="3"/>
        <v>7.4358100474075659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ht="15.75" thickBot="1" x14ac:dyDescent="0.3">
      <c r="B62" s="60"/>
      <c r="C62" s="45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26"/>
      <c r="T62" s="27"/>
    </row>
    <row r="63" spans="2:20" x14ac:dyDescent="0.25">
      <c r="B63" s="373" t="s">
        <v>45</v>
      </c>
      <c r="C63" s="5"/>
      <c r="D63" s="385" t="s">
        <v>46</v>
      </c>
      <c r="E63" s="385"/>
      <c r="F63" s="385" t="s">
        <v>47</v>
      </c>
      <c r="G63" s="385"/>
      <c r="H63" s="42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7"/>
      <c r="T63" s="386" t="s">
        <v>48</v>
      </c>
    </row>
    <row r="64" spans="2:20" x14ac:dyDescent="0.25">
      <c r="B64" s="374"/>
      <c r="C64" s="1"/>
      <c r="D64" s="40" t="s">
        <v>49</v>
      </c>
      <c r="E64" s="40" t="s">
        <v>50</v>
      </c>
      <c r="F64" s="40" t="s">
        <v>49</v>
      </c>
      <c r="G64" s="40" t="s">
        <v>50</v>
      </c>
      <c r="H64" s="41" t="s">
        <v>51</v>
      </c>
      <c r="I64" s="96" t="s">
        <v>52</v>
      </c>
      <c r="J64" s="97"/>
      <c r="K64" s="97"/>
      <c r="L64" s="97"/>
      <c r="M64" s="97"/>
      <c r="N64" s="97"/>
      <c r="O64" s="97"/>
      <c r="P64" s="97"/>
      <c r="Q64" s="97"/>
      <c r="R64" s="97"/>
      <c r="S64" s="99"/>
      <c r="T64" s="387"/>
    </row>
    <row r="65" spans="2:23" x14ac:dyDescent="0.25">
      <c r="B65" s="374"/>
      <c r="C65" s="2" t="s">
        <v>53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4"/>
      <c r="T65" s="387"/>
    </row>
    <row r="66" spans="2:23" x14ac:dyDescent="0.25">
      <c r="B66" s="374"/>
      <c r="C66" s="1" t="s">
        <v>54</v>
      </c>
      <c r="D66" s="73">
        <v>2191077</v>
      </c>
      <c r="E66" s="38">
        <v>0.59364365725829171</v>
      </c>
      <c r="F66" s="8">
        <v>98011</v>
      </c>
      <c r="G66" s="13">
        <v>0.614092466933579</v>
      </c>
      <c r="H66" s="14">
        <f>G66/E66</f>
        <v>1.0344462699554964</v>
      </c>
      <c r="I66" s="38">
        <f>F66/D66</f>
        <v>4.4731882996352938E-2</v>
      </c>
      <c r="J66" s="39"/>
      <c r="K66" s="39"/>
      <c r="L66" s="14"/>
      <c r="M66" s="14"/>
      <c r="N66" s="14"/>
      <c r="O66" s="14"/>
      <c r="P66" s="14"/>
      <c r="Q66" s="14"/>
      <c r="R66" s="14"/>
      <c r="S66" s="82"/>
      <c r="T66" s="387"/>
    </row>
    <row r="67" spans="2:23" x14ac:dyDescent="0.25">
      <c r="B67" s="374"/>
      <c r="C67" s="1" t="s">
        <v>55</v>
      </c>
      <c r="D67" s="73">
        <v>1499819</v>
      </c>
      <c r="E67" s="38">
        <v>0.40635634274170823</v>
      </c>
      <c r="F67" s="8">
        <v>61592</v>
      </c>
      <c r="G67" s="13">
        <v>0.38590753306642106</v>
      </c>
      <c r="H67" s="14">
        <f>G67/E67</f>
        <v>0.94967764121185372</v>
      </c>
      <c r="I67" s="38">
        <f t="shared" ref="I67:I77" si="4">F67/D67</f>
        <v>4.1066288665498968E-2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</row>
    <row r="68" spans="2:23" x14ac:dyDescent="0.25">
      <c r="B68" s="374"/>
      <c r="C68" s="1" t="s">
        <v>53</v>
      </c>
      <c r="D68" s="73">
        <v>3690896</v>
      </c>
      <c r="E68" s="38"/>
      <c r="F68" s="8">
        <v>159603</v>
      </c>
      <c r="H68" s="14"/>
      <c r="I68" s="38">
        <f t="shared" si="4"/>
        <v>4.3242345490092378E-2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2:23" x14ac:dyDescent="0.25">
      <c r="B69" s="374"/>
      <c r="C69" s="1"/>
      <c r="D69" s="38"/>
      <c r="E69" s="38"/>
      <c r="F69" s="8"/>
      <c r="H69" s="14"/>
      <c r="I69" s="38"/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 x14ac:dyDescent="0.25">
      <c r="B70" s="374"/>
      <c r="C70" s="2" t="s">
        <v>56</v>
      </c>
      <c r="D70" s="38"/>
      <c r="E70" s="38"/>
      <c r="H70" s="14"/>
      <c r="I70" s="38"/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 x14ac:dyDescent="0.25">
      <c r="B71" s="374"/>
      <c r="C71" s="1" t="s">
        <v>57</v>
      </c>
      <c r="D71" s="73">
        <v>367323</v>
      </c>
      <c r="E71" s="38">
        <v>0.24491155266068773</v>
      </c>
      <c r="F71" s="8">
        <v>13634</v>
      </c>
      <c r="G71" s="13">
        <v>0.22135991687232109</v>
      </c>
      <c r="H71" s="14">
        <f t="shared" ref="H71:H77" si="5">G71/E71</f>
        <v>0.90383615826813934</v>
      </c>
      <c r="I71" s="38">
        <f t="shared" si="4"/>
        <v>3.7117196581755024E-2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 x14ac:dyDescent="0.25">
      <c r="B72" s="374"/>
      <c r="C72" s="1" t="s">
        <v>58</v>
      </c>
      <c r="D72" s="73">
        <v>176477</v>
      </c>
      <c r="E72" s="38">
        <v>0.11766553164081799</v>
      </c>
      <c r="F72" s="8">
        <v>18329</v>
      </c>
      <c r="G72" s="13">
        <v>0.29758734900636447</v>
      </c>
      <c r="H72" s="14">
        <f t="shared" si="5"/>
        <v>2.529095350665393</v>
      </c>
      <c r="I72" s="38">
        <f t="shared" si="4"/>
        <v>0.10386055973299636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 x14ac:dyDescent="0.25">
      <c r="B73" s="374"/>
      <c r="C73" s="1" t="s">
        <v>59</v>
      </c>
      <c r="D73" s="73">
        <v>171392</v>
      </c>
      <c r="E73" s="38">
        <v>0.11427512253145213</v>
      </c>
      <c r="F73" s="8">
        <v>8815</v>
      </c>
      <c r="G73" s="13">
        <v>0.14311923626444992</v>
      </c>
      <c r="H73" s="14">
        <f t="shared" si="5"/>
        <v>1.2524093879230711</v>
      </c>
      <c r="I73" s="38">
        <f t="shared" si="4"/>
        <v>5.1431805451829724E-2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 x14ac:dyDescent="0.25">
      <c r="B74" s="374"/>
      <c r="C74" s="1" t="s">
        <v>60</v>
      </c>
      <c r="D74" s="73">
        <v>653658</v>
      </c>
      <c r="E74" s="38">
        <v>0.43582458950046638</v>
      </c>
      <c r="F74" s="8">
        <v>15767</v>
      </c>
      <c r="G74" s="13">
        <v>0.25599103779711652</v>
      </c>
      <c r="H74" s="14">
        <f t="shared" si="5"/>
        <v>0.58737171780630471</v>
      </c>
      <c r="I74" s="38">
        <f t="shared" si="4"/>
        <v>2.412117651738371E-2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 x14ac:dyDescent="0.25">
      <c r="B75" s="374"/>
      <c r="C75" s="1" t="s">
        <v>61</v>
      </c>
      <c r="D75" s="73">
        <v>47702</v>
      </c>
      <c r="E75" s="38">
        <v>3.180517115731965E-2</v>
      </c>
      <c r="F75" s="8">
        <v>2095</v>
      </c>
      <c r="G75" s="13">
        <v>3.4014157682815953E-2</v>
      </c>
      <c r="H75" s="14">
        <f t="shared" si="5"/>
        <v>1.0694536908658618</v>
      </c>
      <c r="I75" s="38">
        <f t="shared" si="4"/>
        <v>4.3918493983480779E-2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25">
      <c r="B76" s="374"/>
      <c r="C76" s="1" t="s">
        <v>62</v>
      </c>
      <c r="D76" s="73">
        <v>55021</v>
      </c>
      <c r="E76" s="38">
        <v>3.6685093334595707E-2</v>
      </c>
      <c r="F76" s="8">
        <v>1578</v>
      </c>
      <c r="G76" s="13">
        <v>2.5620210416937263E-2</v>
      </c>
      <c r="H76" s="14">
        <f t="shared" si="5"/>
        <v>0.6983820426259143</v>
      </c>
      <c r="I76" s="38">
        <f t="shared" si="4"/>
        <v>2.8679958561276604E-2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  <c r="W76" s="13"/>
    </row>
    <row r="77" spans="2:23" ht="15.75" thickBot="1" x14ac:dyDescent="0.3">
      <c r="B77" s="375"/>
      <c r="C77" s="9" t="s">
        <v>63</v>
      </c>
      <c r="D77" s="74">
        <v>28246</v>
      </c>
      <c r="E77" s="44">
        <v>1.8832939174660408E-2</v>
      </c>
      <c r="F77" s="10">
        <v>1374</v>
      </c>
      <c r="G77" s="17">
        <v>2.2308091959994805E-2</v>
      </c>
      <c r="H77" s="18">
        <f t="shared" si="5"/>
        <v>1.1845252487200826</v>
      </c>
      <c r="I77" s="44">
        <f t="shared" si="4"/>
        <v>4.8644055795510871E-2</v>
      </c>
      <c r="J77" s="100"/>
      <c r="K77" s="100"/>
      <c r="L77" s="18"/>
      <c r="M77" s="18"/>
      <c r="N77" s="18"/>
      <c r="O77" s="18"/>
      <c r="P77" s="18"/>
      <c r="Q77" s="18"/>
      <c r="R77" s="18"/>
      <c r="S77" s="83"/>
      <c r="T77" s="388"/>
    </row>
    <row r="78" spans="2:23" ht="15.75" thickBot="1" x14ac:dyDescent="0.3">
      <c r="C78" s="1"/>
      <c r="D78" s="8"/>
      <c r="S78" s="4"/>
      <c r="T78" s="28"/>
    </row>
    <row r="79" spans="2:23" x14ac:dyDescent="0.25">
      <c r="B79" s="373" t="s">
        <v>64</v>
      </c>
      <c r="C79" s="21" t="s">
        <v>65</v>
      </c>
      <c r="D79" s="23" t="s">
        <v>66</v>
      </c>
      <c r="E79" s="48" t="s">
        <v>67</v>
      </c>
      <c r="F79" s="48" t="s">
        <v>68</v>
      </c>
      <c r="G79" s="48" t="s">
        <v>51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7"/>
      <c r="T79" s="373" t="s">
        <v>19</v>
      </c>
    </row>
    <row r="80" spans="2:23" x14ac:dyDescent="0.25">
      <c r="B80" s="374"/>
      <c r="C80" s="1" t="s">
        <v>69</v>
      </c>
      <c r="D80" s="8">
        <v>48917</v>
      </c>
      <c r="E80" s="67">
        <v>776808</v>
      </c>
      <c r="F80" s="68"/>
      <c r="I80" s="8"/>
      <c r="S80" s="4"/>
      <c r="T80" s="374"/>
    </row>
    <row r="81" spans="2:23" x14ac:dyDescent="0.25">
      <c r="B81" s="374"/>
      <c r="C81" s="1" t="s">
        <v>70</v>
      </c>
      <c r="D81" s="70">
        <f>D80/H22</f>
        <v>0.52736720678762794</v>
      </c>
      <c r="E81" s="110">
        <v>0.26507405481325574</v>
      </c>
      <c r="F81" s="68"/>
      <c r="I81" s="8"/>
      <c r="S81" s="4"/>
      <c r="T81" s="374"/>
    </row>
    <row r="82" spans="2:23" x14ac:dyDescent="0.25">
      <c r="B82" s="374"/>
      <c r="C82" s="1"/>
      <c r="D82" s="70"/>
      <c r="E82" s="68"/>
      <c r="F82" s="14"/>
      <c r="I82" s="8"/>
      <c r="S82" s="4"/>
      <c r="T82" s="374"/>
      <c r="W82" s="8"/>
    </row>
    <row r="83" spans="2:23" ht="14.45" customHeight="1" x14ac:dyDescent="0.25">
      <c r="B83" s="374"/>
      <c r="C83" s="1" t="s">
        <v>71</v>
      </c>
      <c r="D83" s="8">
        <v>159603</v>
      </c>
      <c r="E83" s="67">
        <v>1734077</v>
      </c>
      <c r="F83" s="68"/>
      <c r="I83" s="8"/>
      <c r="S83" s="4"/>
      <c r="T83" s="374"/>
      <c r="U83" s="24"/>
      <c r="W83" s="14"/>
    </row>
    <row r="84" spans="2:23" x14ac:dyDescent="0.25">
      <c r="B84" s="374"/>
      <c r="C84" s="1" t="s">
        <v>72</v>
      </c>
      <c r="D84" s="71">
        <f>D83/D80</f>
        <v>3.2627307480017174</v>
      </c>
      <c r="E84" s="14">
        <f>E83/E80</f>
        <v>2.2323109442745181</v>
      </c>
      <c r="F84" s="14"/>
      <c r="I84" s="8"/>
      <c r="S84" s="4"/>
      <c r="T84" s="374"/>
    </row>
    <row r="85" spans="2:23" x14ac:dyDescent="0.25">
      <c r="B85" s="374"/>
      <c r="C85" s="1"/>
      <c r="D85" s="71"/>
      <c r="F85" s="14"/>
      <c r="I85" s="8"/>
      <c r="S85" s="4"/>
      <c r="T85" s="374"/>
      <c r="W85" s="8"/>
    </row>
    <row r="86" spans="2:23" x14ac:dyDescent="0.25">
      <c r="B86" s="374"/>
      <c r="C86" s="1" t="s">
        <v>73</v>
      </c>
      <c r="D86" s="8">
        <v>77482</v>
      </c>
      <c r="E86" s="67">
        <v>1197118</v>
      </c>
      <c r="F86" s="14"/>
      <c r="I86" s="8"/>
      <c r="S86" s="4"/>
      <c r="T86" s="374"/>
      <c r="W86" s="14"/>
    </row>
    <row r="87" spans="2:23" x14ac:dyDescent="0.25">
      <c r="B87" s="374"/>
      <c r="C87" s="1" t="s">
        <v>74</v>
      </c>
      <c r="D87" s="71">
        <f>D86/D80</f>
        <v>1.5839483206247318</v>
      </c>
      <c r="E87" s="72">
        <f>E86/E80</f>
        <v>1.5410732124282962</v>
      </c>
      <c r="F87" s="14"/>
      <c r="S87" s="4"/>
      <c r="T87" s="374"/>
    </row>
    <row r="88" spans="2:23" ht="15.75" thickBot="1" x14ac:dyDescent="0.3">
      <c r="B88" s="375"/>
      <c r="C88" s="9" t="s">
        <v>75</v>
      </c>
      <c r="D88" s="84">
        <f>D83/D86</f>
        <v>2.0598719702640613</v>
      </c>
      <c r="E88" s="85">
        <f>E83/E86</f>
        <v>1.4485430843074785</v>
      </c>
      <c r="F88" s="18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11"/>
      <c r="T88" s="375"/>
    </row>
    <row r="89" spans="2:23" x14ac:dyDescent="0.25">
      <c r="D89" s="37"/>
      <c r="E89" s="22"/>
      <c r="F89" s="14"/>
    </row>
    <row r="90" spans="2:23" s="35" customFormat="1" x14ac:dyDescent="0.25">
      <c r="B90" s="47"/>
      <c r="C90" s="78"/>
      <c r="D90" s="8"/>
      <c r="E90" s="13"/>
    </row>
    <row r="91" spans="2:23" s="35" customFormat="1" x14ac:dyDescent="0.25">
      <c r="B91" s="47"/>
      <c r="C91" s="78"/>
      <c r="D91" s="168"/>
      <c r="E91" s="34"/>
    </row>
    <row r="92" spans="2:23" s="35" customFormat="1" x14ac:dyDescent="0.25">
      <c r="B92" s="47"/>
      <c r="C92" s="3"/>
      <c r="D92" s="8"/>
      <c r="E92" s="34"/>
    </row>
    <row r="93" spans="2:23" s="35" customFormat="1" x14ac:dyDescent="0.25">
      <c r="B93" s="47"/>
      <c r="C93" s="78"/>
      <c r="D93" s="8"/>
      <c r="E93" s="34"/>
    </row>
    <row r="94" spans="2:23" s="35" customFormat="1" x14ac:dyDescent="0.25">
      <c r="B94" s="47"/>
      <c r="C94" s="78"/>
      <c r="D94" s="8"/>
      <c r="E94" s="78"/>
    </row>
    <row r="95" spans="2:23" s="35" customFormat="1" x14ac:dyDescent="0.25">
      <c r="B95" s="47"/>
      <c r="C95" s="78"/>
      <c r="D95" s="8"/>
      <c r="E95" s="34"/>
    </row>
  </sheetData>
  <mergeCells count="15">
    <mergeCell ref="B79:B88"/>
    <mergeCell ref="T79:T88"/>
    <mergeCell ref="B4:B23"/>
    <mergeCell ref="B25:B61"/>
    <mergeCell ref="T25:T61"/>
    <mergeCell ref="B63:B77"/>
    <mergeCell ref="D63:E63"/>
    <mergeCell ref="F63:G63"/>
    <mergeCell ref="T63:T77"/>
    <mergeCell ref="T3:T23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horizontalDpi="240" verticalDpi="24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7117-433C-4AB9-9413-DE7A9DCF78E0}">
  <sheetPr codeName="Sheet19">
    <tabColor rgb="FFFFC000"/>
  </sheetPr>
  <dimension ref="A1:W96"/>
  <sheetViews>
    <sheetView topLeftCell="A57" workbookViewId="0">
      <selection activeCell="F69" sqref="F69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12.710937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76" t="s">
        <v>137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8"/>
      <c r="T2" s="46" t="s">
        <v>1</v>
      </c>
    </row>
    <row r="3" spans="1:22" ht="15.75" thickBot="1" x14ac:dyDescent="0.3">
      <c r="C3" s="1"/>
      <c r="D3" s="393" t="s">
        <v>127</v>
      </c>
      <c r="E3" s="385"/>
      <c r="F3" s="385"/>
      <c r="G3" s="385"/>
      <c r="H3" s="385"/>
      <c r="I3" s="385"/>
      <c r="J3" s="394"/>
      <c r="K3" s="393" t="s">
        <v>128</v>
      </c>
      <c r="L3" s="385"/>
      <c r="M3" s="394"/>
      <c r="N3" s="393" t="s">
        <v>129</v>
      </c>
      <c r="O3" s="385"/>
      <c r="P3" s="395"/>
      <c r="Q3" s="402" t="s">
        <v>133</v>
      </c>
      <c r="R3" s="385"/>
      <c r="S3" s="395"/>
      <c r="T3" s="373" t="s">
        <v>10</v>
      </c>
    </row>
    <row r="4" spans="1:22" x14ac:dyDescent="0.25">
      <c r="B4" s="373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74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74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74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74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74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74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74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74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74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74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74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74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74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74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74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74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74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74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25">
      <c r="A23" s="8"/>
      <c r="B23" s="374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ht="15.75" thickBot="1" x14ac:dyDescent="0.3">
      <c r="B24" s="375"/>
      <c r="C24" s="88" t="s">
        <v>78</v>
      </c>
      <c r="D24" s="135"/>
      <c r="E24" s="135">
        <f>SUM(E5:E23)</f>
        <v>155046</v>
      </c>
      <c r="F24" s="135">
        <f>SUM(F5:F23)</f>
        <v>131329.52000000002</v>
      </c>
      <c r="G24" s="135">
        <f>SUM(G5:G23)</f>
        <v>60309</v>
      </c>
      <c r="H24" s="135"/>
      <c r="I24" s="136"/>
      <c r="J24" s="136"/>
      <c r="K24" s="135">
        <f>SUM(K5:K23)</f>
        <v>147835</v>
      </c>
      <c r="L24" s="136"/>
      <c r="M24" s="136"/>
      <c r="N24" s="135">
        <f>SUM(N17:N23)</f>
        <v>8909</v>
      </c>
      <c r="O24" s="135"/>
      <c r="P24" s="135"/>
      <c r="Q24" s="144">
        <f>SUM(Q20:Q23)</f>
        <v>1520</v>
      </c>
      <c r="R24" s="93"/>
      <c r="S24" s="112"/>
      <c r="T24" s="375"/>
      <c r="U24" s="8"/>
      <c r="V24" s="142"/>
    </row>
    <row r="25" spans="1:22" ht="15.75" thickBot="1" x14ac:dyDescent="0.3">
      <c r="C25" s="45"/>
      <c r="D25" s="25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1"/>
      <c r="T25" s="27"/>
      <c r="V25" s="142"/>
    </row>
    <row r="26" spans="1:22" x14ac:dyDescent="0.25">
      <c r="B26" s="381" t="s">
        <v>13</v>
      </c>
      <c r="C26" s="94"/>
      <c r="D26" s="48" t="s">
        <v>99</v>
      </c>
      <c r="E26" s="48" t="s">
        <v>15</v>
      </c>
      <c r="F26" s="48" t="s">
        <v>100</v>
      </c>
      <c r="G26" s="48" t="s">
        <v>138</v>
      </c>
      <c r="H26" s="48" t="s">
        <v>18</v>
      </c>
      <c r="I26" s="94"/>
      <c r="J26" s="94"/>
      <c r="K26" s="116"/>
      <c r="L26" s="94"/>
      <c r="M26" s="94"/>
      <c r="N26" s="94"/>
      <c r="O26" s="94"/>
      <c r="P26" s="94"/>
      <c r="Q26" s="94"/>
      <c r="R26" s="94"/>
      <c r="S26" s="49"/>
      <c r="T26" s="373" t="s">
        <v>19</v>
      </c>
      <c r="V26" s="142"/>
    </row>
    <row r="27" spans="1:22" x14ac:dyDescent="0.25">
      <c r="B27" s="382"/>
      <c r="C27" s="156" t="s">
        <v>20</v>
      </c>
      <c r="D27" s="47"/>
      <c r="E27" s="47"/>
      <c r="F27" s="47"/>
      <c r="G27" s="47"/>
      <c r="I27" s="47"/>
      <c r="J27" s="47"/>
      <c r="K27" s="47"/>
      <c r="L27" s="47"/>
      <c r="M27" s="124"/>
      <c r="N27" s="47"/>
      <c r="O27" s="47"/>
      <c r="P27" s="47"/>
      <c r="Q27" s="47"/>
      <c r="R27" s="47"/>
      <c r="S27" s="12"/>
      <c r="T27" s="374"/>
      <c r="V27" s="8"/>
    </row>
    <row r="28" spans="1:22" x14ac:dyDescent="0.25">
      <c r="B28" s="382"/>
      <c r="C28" s="47" t="s">
        <v>21</v>
      </c>
      <c r="D28" s="160">
        <v>0.40899999999999997</v>
      </c>
      <c r="E28" s="160">
        <v>0.41299999999999998</v>
      </c>
      <c r="F28" s="161">
        <f>D28/E28</f>
        <v>0.99031476997578693</v>
      </c>
      <c r="G28" s="160">
        <v>0.54200000000000004</v>
      </c>
      <c r="H28" s="161">
        <f>E28/G28</f>
        <v>0.76199261992619916</v>
      </c>
      <c r="I28" s="149"/>
      <c r="J28" s="39"/>
      <c r="K28" s="14"/>
      <c r="L28" s="14"/>
      <c r="M28" s="14"/>
      <c r="N28" s="14"/>
      <c r="O28" s="14"/>
      <c r="P28" s="14"/>
      <c r="Q28" s="14"/>
      <c r="R28" s="14"/>
      <c r="S28" s="15"/>
      <c r="T28" s="374"/>
      <c r="V28" s="8"/>
    </row>
    <row r="29" spans="1:22" x14ac:dyDescent="0.25">
      <c r="B29" s="382"/>
      <c r="C29" s="47" t="s">
        <v>22</v>
      </c>
      <c r="D29" s="160">
        <v>0.59099999999999997</v>
      </c>
      <c r="E29" s="160">
        <v>0.58699999999999997</v>
      </c>
      <c r="F29" s="161">
        <f t="shared" ref="F29:F62" si="1">D29/E29</f>
        <v>1.0068143100511073</v>
      </c>
      <c r="G29" s="160">
        <v>0.45800000000000002</v>
      </c>
      <c r="H29" s="161">
        <f t="shared" ref="H29:H46" si="2">E29/G29</f>
        <v>1.2816593886462881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74"/>
    </row>
    <row r="30" spans="1:22" x14ac:dyDescent="0.25">
      <c r="B30" s="382"/>
      <c r="D30" s="13"/>
      <c r="E30" s="13"/>
      <c r="F30" s="161"/>
      <c r="G30" s="13"/>
      <c r="H30" s="14"/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74"/>
    </row>
    <row r="31" spans="1:22" x14ac:dyDescent="0.25">
      <c r="B31" s="382"/>
      <c r="C31" s="156" t="s">
        <v>23</v>
      </c>
      <c r="F31" s="161"/>
      <c r="G31" s="13"/>
      <c r="H31" s="14"/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74"/>
    </row>
    <row r="32" spans="1:22" x14ac:dyDescent="0.25">
      <c r="B32" s="382"/>
      <c r="C32" s="47" t="s">
        <v>24</v>
      </c>
      <c r="D32" s="160">
        <v>0</v>
      </c>
      <c r="E32" s="160">
        <v>0</v>
      </c>
      <c r="F32" s="162" t="s">
        <v>12</v>
      </c>
      <c r="G32" s="160">
        <v>1.6E-2</v>
      </c>
      <c r="H32" s="161">
        <f t="shared" si="2"/>
        <v>0</v>
      </c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74"/>
    </row>
    <row r="33" spans="2:20" x14ac:dyDescent="0.25">
      <c r="B33" s="382"/>
      <c r="C33" s="47" t="s">
        <v>25</v>
      </c>
      <c r="D33" s="160">
        <v>4.2999999999999997E-2</v>
      </c>
      <c r="E33" s="160">
        <v>5.8999999999999997E-2</v>
      </c>
      <c r="F33" s="161">
        <f t="shared" si="1"/>
        <v>0.72881355932203384</v>
      </c>
      <c r="G33" s="160">
        <v>0.151</v>
      </c>
      <c r="H33" s="161">
        <f t="shared" si="2"/>
        <v>0.39072847682119205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74"/>
    </row>
    <row r="34" spans="2:20" x14ac:dyDescent="0.25">
      <c r="B34" s="382"/>
      <c r="C34" s="47" t="s">
        <v>26</v>
      </c>
      <c r="D34" s="160">
        <v>0.34899999999999998</v>
      </c>
      <c r="E34" s="160">
        <v>0.37</v>
      </c>
      <c r="F34" s="161">
        <f t="shared" si="1"/>
        <v>0.94324324324324316</v>
      </c>
      <c r="G34" s="160">
        <v>0.27100000000000002</v>
      </c>
      <c r="H34" s="161">
        <f t="shared" si="2"/>
        <v>1.3653136531365313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74"/>
    </row>
    <row r="35" spans="2:20" x14ac:dyDescent="0.25">
      <c r="B35" s="382"/>
      <c r="C35" s="47" t="s">
        <v>27</v>
      </c>
      <c r="D35" s="160">
        <v>0.40400000000000003</v>
      </c>
      <c r="E35" s="160">
        <v>0.38900000000000001</v>
      </c>
      <c r="F35" s="161">
        <f t="shared" si="1"/>
        <v>1.038560411311054</v>
      </c>
      <c r="G35" s="160">
        <v>0.317</v>
      </c>
      <c r="H35" s="161">
        <f t="shared" si="2"/>
        <v>1.2271293375394321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74"/>
    </row>
    <row r="36" spans="2:20" x14ac:dyDescent="0.25">
      <c r="B36" s="382"/>
      <c r="C36" s="47" t="s">
        <v>28</v>
      </c>
      <c r="D36" s="160">
        <v>0.17799999999999999</v>
      </c>
      <c r="E36" s="160">
        <v>0.158</v>
      </c>
      <c r="F36" s="161">
        <f t="shared" si="1"/>
        <v>1.1265822784810127</v>
      </c>
      <c r="G36" s="160">
        <v>0.16900000000000001</v>
      </c>
      <c r="H36" s="161">
        <f t="shared" si="2"/>
        <v>0.9349112426035503</v>
      </c>
      <c r="I36" s="149"/>
      <c r="J36" s="39"/>
      <c r="K36" s="14" t="s">
        <v>139</v>
      </c>
      <c r="L36" s="14"/>
      <c r="M36" s="14"/>
      <c r="N36" s="14"/>
      <c r="O36" s="14"/>
      <c r="P36" s="14"/>
      <c r="Q36" s="14"/>
      <c r="R36" s="14"/>
      <c r="S36" s="15"/>
      <c r="T36" s="374"/>
    </row>
    <row r="37" spans="2:20" x14ac:dyDescent="0.25">
      <c r="B37" s="382"/>
      <c r="C37" s="47" t="s">
        <v>29</v>
      </c>
      <c r="D37" s="160">
        <v>2.5999999999999999E-2</v>
      </c>
      <c r="E37" s="160">
        <v>2.3E-2</v>
      </c>
      <c r="F37" s="161">
        <f t="shared" si="1"/>
        <v>1.1304347826086956</v>
      </c>
      <c r="G37" s="160">
        <v>7.5999999999999998E-2</v>
      </c>
      <c r="H37" s="161">
        <f t="shared" si="2"/>
        <v>0.30263157894736842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74"/>
    </row>
    <row r="38" spans="2:20" x14ac:dyDescent="0.25">
      <c r="B38" s="382"/>
      <c r="D38" s="13"/>
      <c r="E38" s="13"/>
      <c r="F38" s="161"/>
      <c r="G38" s="13"/>
      <c r="H38" s="14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74"/>
    </row>
    <row r="39" spans="2:20" x14ac:dyDescent="0.25">
      <c r="B39" s="382"/>
      <c r="C39" s="156" t="s">
        <v>30</v>
      </c>
      <c r="F39" s="161"/>
      <c r="G39" s="13"/>
      <c r="H39" s="14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74"/>
    </row>
    <row r="40" spans="2:20" x14ac:dyDescent="0.25">
      <c r="B40" s="382"/>
      <c r="C40" s="47" t="s">
        <v>31</v>
      </c>
      <c r="D40" s="160">
        <v>0.46200000000000002</v>
      </c>
      <c r="E40" s="163">
        <v>0.46800000000000003</v>
      </c>
      <c r="F40" s="161">
        <f t="shared" si="1"/>
        <v>0.98717948717948711</v>
      </c>
      <c r="G40" s="160">
        <v>0.4914</v>
      </c>
      <c r="H40" s="161">
        <f t="shared" si="2"/>
        <v>0.95238095238095244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74"/>
    </row>
    <row r="41" spans="2:20" x14ac:dyDescent="0.25">
      <c r="B41" s="382"/>
      <c r="C41" s="47" t="s">
        <v>32</v>
      </c>
      <c r="D41" s="160">
        <v>0.21</v>
      </c>
      <c r="E41" s="160">
        <v>0.20699999999999999</v>
      </c>
      <c r="F41" s="161">
        <f t="shared" si="1"/>
        <v>1.0144927536231885</v>
      </c>
      <c r="G41" s="160">
        <v>0.151</v>
      </c>
      <c r="H41" s="161">
        <f t="shared" si="2"/>
        <v>1.3708609271523178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74"/>
    </row>
    <row r="42" spans="2:20" x14ac:dyDescent="0.25">
      <c r="B42" s="382"/>
      <c r="C42" s="47" t="s">
        <v>33</v>
      </c>
      <c r="D42" s="160">
        <v>0.13600000000000001</v>
      </c>
      <c r="E42" s="160">
        <v>0.13300000000000001</v>
      </c>
      <c r="F42" s="161">
        <f t="shared" si="1"/>
        <v>1.0225563909774436</v>
      </c>
      <c r="G42" s="160">
        <v>0.13</v>
      </c>
      <c r="H42" s="161">
        <f t="shared" si="2"/>
        <v>1.023076923076923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74"/>
    </row>
    <row r="43" spans="2:20" x14ac:dyDescent="0.25">
      <c r="B43" s="382"/>
      <c r="C43" s="47" t="s">
        <v>34</v>
      </c>
      <c r="D43" s="160">
        <v>9.0999999999999998E-2</v>
      </c>
      <c r="E43" s="160">
        <v>9.0999999999999998E-2</v>
      </c>
      <c r="F43" s="161">
        <f t="shared" si="1"/>
        <v>1</v>
      </c>
      <c r="G43" s="160">
        <v>9.4E-2</v>
      </c>
      <c r="H43" s="161">
        <f t="shared" si="2"/>
        <v>0.96808510638297873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74"/>
    </row>
    <row r="44" spans="2:20" x14ac:dyDescent="0.25">
      <c r="B44" s="382"/>
      <c r="C44" s="47" t="s">
        <v>35</v>
      </c>
      <c r="D44" s="160">
        <v>1.9E-2</v>
      </c>
      <c r="E44" s="160">
        <v>2.1000000000000001E-2</v>
      </c>
      <c r="F44" s="161">
        <f t="shared" si="1"/>
        <v>0.90476190476190466</v>
      </c>
      <c r="G44" s="160">
        <v>3.4000000000000002E-2</v>
      </c>
      <c r="H44" s="161">
        <f t="shared" si="2"/>
        <v>0.61764705882352944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74"/>
    </row>
    <row r="45" spans="2:20" x14ac:dyDescent="0.25">
      <c r="B45" s="382"/>
      <c r="C45" s="47" t="s">
        <v>36</v>
      </c>
      <c r="D45" s="160">
        <v>1.4999999999999999E-2</v>
      </c>
      <c r="E45" s="160">
        <v>1.6E-2</v>
      </c>
      <c r="F45" s="161">
        <f t="shared" si="1"/>
        <v>0.9375</v>
      </c>
      <c r="G45" s="160">
        <v>2.1999999999999999E-2</v>
      </c>
      <c r="H45" s="161">
        <f t="shared" si="2"/>
        <v>0.72727272727272729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74"/>
    </row>
    <row r="46" spans="2:20" x14ac:dyDescent="0.25">
      <c r="B46" s="382"/>
      <c r="C46" s="47" t="s">
        <v>37</v>
      </c>
      <c r="D46" s="160">
        <v>6.7000000000000004E-2</v>
      </c>
      <c r="E46" s="160">
        <v>6.60832806257656E-2</v>
      </c>
      <c r="F46" s="161">
        <f t="shared" si="1"/>
        <v>1.0138721831839108</v>
      </c>
      <c r="G46" s="160">
        <v>7.8E-2</v>
      </c>
      <c r="H46" s="161">
        <f t="shared" si="2"/>
        <v>0.84722154648417436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74"/>
    </row>
    <row r="47" spans="2:20" x14ac:dyDescent="0.25">
      <c r="B47" s="382"/>
      <c r="D47" s="13"/>
      <c r="E47" s="13"/>
      <c r="F47" s="161"/>
      <c r="G47" s="13"/>
      <c r="H47" s="14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74"/>
    </row>
    <row r="48" spans="2:20" x14ac:dyDescent="0.25">
      <c r="B48" s="382"/>
      <c r="C48" s="156" t="s">
        <v>38</v>
      </c>
      <c r="F48" s="161"/>
      <c r="G48" s="13"/>
      <c r="H48" s="14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74"/>
    </row>
    <row r="49" spans="2:20" x14ac:dyDescent="0.25">
      <c r="B49" s="382"/>
      <c r="C49" s="47" t="s">
        <v>39</v>
      </c>
      <c r="D49" s="160">
        <v>0.45600000000000002</v>
      </c>
      <c r="E49" s="160">
        <v>0.31</v>
      </c>
      <c r="F49" s="161">
        <f t="shared" si="1"/>
        <v>1.4709677419354839</v>
      </c>
      <c r="G49" s="164">
        <v>0.318</v>
      </c>
      <c r="H49" s="165">
        <f>E49/G49</f>
        <v>0.97484276729559749</v>
      </c>
      <c r="I49" s="149"/>
      <c r="J49" s="39"/>
      <c r="K49" s="16"/>
      <c r="L49" s="16"/>
      <c r="M49" s="16"/>
      <c r="N49" s="16"/>
      <c r="O49" s="16"/>
      <c r="P49" s="16"/>
      <c r="Q49" s="16"/>
      <c r="R49" s="16"/>
      <c r="S49" s="36"/>
      <c r="T49" s="374"/>
    </row>
    <row r="50" spans="2:20" x14ac:dyDescent="0.25">
      <c r="B50" s="382"/>
      <c r="C50" s="47" t="s">
        <v>40</v>
      </c>
      <c r="D50" s="160">
        <v>5.1999999999999998E-2</v>
      </c>
      <c r="E50" s="160">
        <v>4.5999999999999999E-2</v>
      </c>
      <c r="F50" s="161">
        <f t="shared" si="1"/>
        <v>1.1304347826086956</v>
      </c>
      <c r="G50" s="160">
        <v>6.6000000000000003E-2</v>
      </c>
      <c r="H50" s="165">
        <f t="shared" ref="H50:H54" si="3">E50/G50</f>
        <v>0.69696969696969691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74"/>
    </row>
    <row r="51" spans="2:20" x14ac:dyDescent="0.25">
      <c r="B51" s="382"/>
      <c r="C51" s="47" t="s">
        <v>41</v>
      </c>
      <c r="D51" s="160">
        <v>9.1999999999999998E-2</v>
      </c>
      <c r="E51" s="160">
        <v>0.09</v>
      </c>
      <c r="F51" s="161">
        <f t="shared" si="1"/>
        <v>1.0222222222222221</v>
      </c>
      <c r="G51" s="160">
        <v>0.128</v>
      </c>
      <c r="H51" s="165">
        <f t="shared" si="3"/>
        <v>0.703125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74"/>
    </row>
    <row r="52" spans="2:20" x14ac:dyDescent="0.25">
      <c r="B52" s="382"/>
      <c r="C52" s="47" t="s">
        <v>42</v>
      </c>
      <c r="D52" s="160">
        <v>0.113</v>
      </c>
      <c r="E52" s="160">
        <v>0.13</v>
      </c>
      <c r="F52" s="161">
        <f t="shared" si="1"/>
        <v>0.86923076923076925</v>
      </c>
      <c r="G52" s="160">
        <v>0.159</v>
      </c>
      <c r="H52" s="165">
        <f t="shared" si="3"/>
        <v>0.8176100628930818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74"/>
    </row>
    <row r="53" spans="2:20" x14ac:dyDescent="0.25">
      <c r="B53" s="382"/>
      <c r="C53" s="47" t="s">
        <v>43</v>
      </c>
      <c r="D53" s="160">
        <v>0.15</v>
      </c>
      <c r="E53" s="160">
        <v>0.192</v>
      </c>
      <c r="F53" s="161">
        <f t="shared" si="1"/>
        <v>0.78125</v>
      </c>
      <c r="G53" s="160">
        <v>0.184</v>
      </c>
      <c r="H53" s="165">
        <f t="shared" si="3"/>
        <v>1.0434782608695652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74"/>
    </row>
    <row r="54" spans="2:20" x14ac:dyDescent="0.25">
      <c r="B54" s="382"/>
      <c r="C54" s="47" t="s">
        <v>44</v>
      </c>
      <c r="D54" s="160">
        <v>0.13800000000000001</v>
      </c>
      <c r="E54" s="160">
        <v>0.23100000000000001</v>
      </c>
      <c r="F54" s="161">
        <f t="shared" si="1"/>
        <v>0.59740259740259738</v>
      </c>
      <c r="G54" s="160">
        <v>0.14699999999999999</v>
      </c>
      <c r="H54" s="165">
        <f t="shared" si="3"/>
        <v>1.5714285714285716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74"/>
    </row>
    <row r="55" spans="2:20" x14ac:dyDescent="0.25">
      <c r="B55" s="382"/>
      <c r="D55" s="13"/>
      <c r="E55" s="13"/>
      <c r="F55" s="161"/>
      <c r="G55" s="13"/>
      <c r="H55" s="161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74"/>
    </row>
    <row r="56" spans="2:20" x14ac:dyDescent="0.25">
      <c r="B56" s="382"/>
      <c r="C56" s="156" t="s">
        <v>136</v>
      </c>
      <c r="D56" s="13"/>
      <c r="E56" s="13"/>
      <c r="F56" s="161"/>
      <c r="G56" s="13"/>
      <c r="H56" s="161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74"/>
    </row>
    <row r="57" spans="2:20" x14ac:dyDescent="0.25">
      <c r="B57" s="382"/>
      <c r="C57" s="47" t="s">
        <v>39</v>
      </c>
      <c r="D57" s="160">
        <v>0.32651773318187555</v>
      </c>
      <c r="E57" s="160">
        <v>7.8E-2</v>
      </c>
      <c r="F57" s="161">
        <f t="shared" si="1"/>
        <v>4.1861247843830203</v>
      </c>
      <c r="G57" s="164">
        <v>0.219</v>
      </c>
      <c r="H57" s="165">
        <f>E57/G57</f>
        <v>0.35616438356164382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74"/>
    </row>
    <row r="58" spans="2:20" x14ac:dyDescent="0.25">
      <c r="B58" s="382"/>
      <c r="C58" s="47" t="s">
        <v>40</v>
      </c>
      <c r="D58" s="160">
        <v>7.5476460936513945E-2</v>
      </c>
      <c r="E58" s="160">
        <v>5.7000000000000002E-2</v>
      </c>
      <c r="F58" s="161">
        <f t="shared" si="1"/>
        <v>1.3241484374827008</v>
      </c>
      <c r="G58" s="166">
        <v>0.12</v>
      </c>
      <c r="H58" s="165">
        <f t="shared" ref="H58:H62" si="4">E58/G58</f>
        <v>0.47500000000000003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74"/>
    </row>
    <row r="59" spans="2:20" x14ac:dyDescent="0.25">
      <c r="B59" s="382"/>
      <c r="C59" s="47" t="s">
        <v>41</v>
      </c>
      <c r="D59" s="160">
        <v>0.13037990660103496</v>
      </c>
      <c r="E59" s="160">
        <v>0.129</v>
      </c>
      <c r="F59" s="161">
        <f t="shared" si="1"/>
        <v>1.0106969503956198</v>
      </c>
      <c r="G59" s="160">
        <v>0.191</v>
      </c>
      <c r="H59" s="165">
        <f t="shared" si="4"/>
        <v>0.67539267015706805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74"/>
    </row>
    <row r="60" spans="2:20" x14ac:dyDescent="0.25">
      <c r="B60" s="382"/>
      <c r="C60" s="47" t="s">
        <v>42</v>
      </c>
      <c r="D60" s="160">
        <v>0.14943834406159284</v>
      </c>
      <c r="E60" s="160">
        <v>0.17599999999999999</v>
      </c>
      <c r="F60" s="161">
        <f t="shared" si="1"/>
        <v>0.84908150034995933</v>
      </c>
      <c r="G60" s="160">
        <v>0.19</v>
      </c>
      <c r="H60" s="165">
        <f t="shared" si="4"/>
        <v>0.92631578947368409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74"/>
    </row>
    <row r="61" spans="2:20" x14ac:dyDescent="0.25">
      <c r="B61" s="382"/>
      <c r="C61" s="47" t="s">
        <v>43</v>
      </c>
      <c r="D61" s="160">
        <v>0.18427363372459926</v>
      </c>
      <c r="E61" s="160">
        <v>0.26100000000000001</v>
      </c>
      <c r="F61" s="161">
        <f t="shared" si="1"/>
        <v>0.70602924798697031</v>
      </c>
      <c r="G61" s="160">
        <v>0.17299999999999999</v>
      </c>
      <c r="H61" s="165">
        <f t="shared" si="4"/>
        <v>1.5086705202312141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74"/>
    </row>
    <row r="62" spans="2:20" ht="15.75" thickBot="1" x14ac:dyDescent="0.3">
      <c r="B62" s="383"/>
      <c r="C62" s="47" t="s">
        <v>44</v>
      </c>
      <c r="D62" s="160">
        <v>0.13391392149438344</v>
      </c>
      <c r="E62" s="160">
        <v>0.3</v>
      </c>
      <c r="F62" s="161">
        <f t="shared" si="1"/>
        <v>0.44637973831461147</v>
      </c>
      <c r="G62" s="160">
        <v>0.106</v>
      </c>
      <c r="H62" s="165">
        <f t="shared" si="4"/>
        <v>2.8301886792452828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75"/>
    </row>
    <row r="63" spans="2:20" ht="15.75" thickBot="1" x14ac:dyDescent="0.3">
      <c r="B63" s="60"/>
      <c r="C63" s="45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26"/>
      <c r="T63" s="27"/>
    </row>
    <row r="64" spans="2:20" x14ac:dyDescent="0.25">
      <c r="B64" s="373" t="s">
        <v>45</v>
      </c>
      <c r="C64" s="5"/>
      <c r="D64" s="385" t="s">
        <v>46</v>
      </c>
      <c r="E64" s="385"/>
      <c r="F64" s="385" t="s">
        <v>47</v>
      </c>
      <c r="G64" s="385"/>
      <c r="H64" s="42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7"/>
      <c r="T64" s="386" t="s">
        <v>48</v>
      </c>
    </row>
    <row r="65" spans="1:23" x14ac:dyDescent="0.25">
      <c r="B65" s="374"/>
      <c r="C65" s="1"/>
      <c r="D65" s="40" t="s">
        <v>49</v>
      </c>
      <c r="E65" s="40" t="s">
        <v>50</v>
      </c>
      <c r="F65" s="40" t="s">
        <v>49</v>
      </c>
      <c r="G65" s="40" t="s">
        <v>50</v>
      </c>
      <c r="H65" s="41" t="s">
        <v>51</v>
      </c>
      <c r="I65" s="96" t="s">
        <v>52</v>
      </c>
      <c r="J65" s="97"/>
      <c r="K65" s="97"/>
      <c r="L65" s="97"/>
      <c r="M65" s="97"/>
      <c r="N65" s="97"/>
      <c r="O65" s="97"/>
      <c r="P65" s="97"/>
      <c r="Q65" s="97"/>
      <c r="R65" s="97"/>
      <c r="S65" s="99"/>
      <c r="T65" s="387"/>
    </row>
    <row r="66" spans="1:23" x14ac:dyDescent="0.25">
      <c r="B66" s="374"/>
      <c r="C66" s="2" t="s">
        <v>53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4"/>
      <c r="T66" s="387"/>
    </row>
    <row r="67" spans="1:23" x14ac:dyDescent="0.25">
      <c r="B67" s="374"/>
      <c r="C67" s="1" t="s">
        <v>54</v>
      </c>
      <c r="D67" s="167">
        <v>1793171</v>
      </c>
      <c r="E67" s="163">
        <f>D67/$D$69</f>
        <v>0.60313255945990307</v>
      </c>
      <c r="F67" s="168">
        <v>85370</v>
      </c>
      <c r="G67" s="160">
        <f>F67/$F$69</f>
        <v>0.51085805243221571</v>
      </c>
      <c r="H67" s="161">
        <f>G67/E67</f>
        <v>0.84700791628573668</v>
      </c>
      <c r="I67" s="163">
        <f>F67/D67</f>
        <v>4.7608398752823911E-2</v>
      </c>
      <c r="J67" s="39"/>
      <c r="K67" s="39"/>
      <c r="L67" s="14"/>
      <c r="M67" s="14"/>
      <c r="N67" s="14"/>
      <c r="O67" s="14"/>
      <c r="P67" s="14"/>
      <c r="Q67" s="14"/>
      <c r="R67" s="14"/>
      <c r="S67" s="82"/>
      <c r="T67" s="387"/>
    </row>
    <row r="68" spans="1:23" x14ac:dyDescent="0.25">
      <c r="B68" s="374"/>
      <c r="C68" s="1" t="s">
        <v>55</v>
      </c>
      <c r="D68" s="167">
        <f>D69-D67</f>
        <v>1179925</v>
      </c>
      <c r="E68" s="163">
        <f>D68/$D$69</f>
        <v>0.39686744054009693</v>
      </c>
      <c r="F68" s="168">
        <f>F69-F67</f>
        <v>81741</v>
      </c>
      <c r="G68" s="160">
        <f>F68/$F$69</f>
        <v>0.48914194756778429</v>
      </c>
      <c r="H68" s="161">
        <f>G68/E68</f>
        <v>1.2325071235425888</v>
      </c>
      <c r="I68" s="163">
        <f t="shared" ref="I68:I78" si="5">F68/D68</f>
        <v>6.9276437061677645E-2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1:23" x14ac:dyDescent="0.25">
      <c r="B69" s="374"/>
      <c r="C69" s="1" t="s">
        <v>53</v>
      </c>
      <c r="D69" s="167">
        <v>2973096</v>
      </c>
      <c r="E69" s="163"/>
      <c r="F69" s="168">
        <v>167111</v>
      </c>
      <c r="G69" s="169"/>
      <c r="H69" s="170"/>
      <c r="I69" s="163">
        <f t="shared" si="5"/>
        <v>5.620773765798346E-2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1:23" x14ac:dyDescent="0.25">
      <c r="B70" s="374"/>
      <c r="C70" s="1"/>
      <c r="D70" s="38"/>
      <c r="E70" s="163"/>
      <c r="F70" s="171"/>
      <c r="H70" s="14"/>
      <c r="I70" s="38"/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1:23" x14ac:dyDescent="0.25">
      <c r="B71" s="374"/>
      <c r="C71" s="2" t="s">
        <v>56</v>
      </c>
      <c r="D71" s="38"/>
      <c r="E71" s="163"/>
      <c r="F71" s="169"/>
      <c r="H71" s="14"/>
      <c r="I71" s="38"/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1:23" x14ac:dyDescent="0.25">
      <c r="A72" s="14"/>
      <c r="B72" s="374"/>
      <c r="C72" s="1" t="s">
        <v>57</v>
      </c>
      <c r="D72" s="167">
        <v>334800</v>
      </c>
      <c r="E72" s="163">
        <f>D72/$D$68</f>
        <v>0.28374684831663027</v>
      </c>
      <c r="F72" s="168">
        <v>26564</v>
      </c>
      <c r="G72" s="160">
        <f>F72/$F$68</f>
        <v>0.32497767338300243</v>
      </c>
      <c r="H72" s="161">
        <f t="shared" ref="H72:H78" si="6">G72/E72</f>
        <v>1.1453084864588983</v>
      </c>
      <c r="I72" s="163">
        <f t="shared" si="5"/>
        <v>7.9342891278375155E-2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1:23" x14ac:dyDescent="0.25">
      <c r="B73" s="374"/>
      <c r="C73" s="1" t="s">
        <v>58</v>
      </c>
      <c r="D73" s="167">
        <v>159033</v>
      </c>
      <c r="E73" s="163">
        <f t="shared" ref="E73:E78" si="7">D73/$D$68</f>
        <v>0.13478229548488252</v>
      </c>
      <c r="F73" s="168">
        <v>17840</v>
      </c>
      <c r="G73" s="160">
        <f t="shared" ref="G73:G78" si="8">F73/$F$68</f>
        <v>0.21825032725315324</v>
      </c>
      <c r="H73" s="161">
        <f t="shared" si="6"/>
        <v>1.6192803844747745</v>
      </c>
      <c r="I73" s="163">
        <f t="shared" si="5"/>
        <v>0.11217797564027591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1:23" x14ac:dyDescent="0.25">
      <c r="B74" s="374"/>
      <c r="C74" s="1" t="s">
        <v>59</v>
      </c>
      <c r="D74" s="167">
        <v>102498</v>
      </c>
      <c r="E74" s="163">
        <f t="shared" si="7"/>
        <v>8.6868233150412102E-2</v>
      </c>
      <c r="F74" s="168">
        <v>10733</v>
      </c>
      <c r="G74" s="160">
        <f t="shared" si="8"/>
        <v>0.13130497547130571</v>
      </c>
      <c r="H74" s="161">
        <f t="shared" si="6"/>
        <v>1.5115419147981461</v>
      </c>
      <c r="I74" s="163">
        <f t="shared" si="5"/>
        <v>0.1047142383266015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1:23" x14ac:dyDescent="0.25">
      <c r="B75" s="374"/>
      <c r="C75" s="172" t="s">
        <v>60</v>
      </c>
      <c r="D75" s="173">
        <v>446062</v>
      </c>
      <c r="E75" s="163">
        <f t="shared" si="7"/>
        <v>0.37804267220374177</v>
      </c>
      <c r="F75" s="174">
        <v>18039</v>
      </c>
      <c r="G75" s="160">
        <f t="shared" si="8"/>
        <v>0.22068484603809593</v>
      </c>
      <c r="H75" s="161">
        <f t="shared" si="6"/>
        <v>0.58375644408512795</v>
      </c>
      <c r="I75" s="163">
        <f t="shared" si="5"/>
        <v>4.0440566558012113E-2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1:23" x14ac:dyDescent="0.25">
      <c r="B76" s="374"/>
      <c r="C76" s="1" t="s">
        <v>61</v>
      </c>
      <c r="D76" s="167">
        <v>76561</v>
      </c>
      <c r="E76" s="163">
        <f t="shared" si="7"/>
        <v>6.4886327520816994E-2</v>
      </c>
      <c r="F76" s="168">
        <v>4257</v>
      </c>
      <c r="G76" s="160">
        <f t="shared" si="8"/>
        <v>5.2079127977392004E-2</v>
      </c>
      <c r="H76" s="161">
        <f t="shared" si="6"/>
        <v>0.80262098299035101</v>
      </c>
      <c r="I76" s="163">
        <f t="shared" si="5"/>
        <v>5.5602722012512901E-2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1:23" x14ac:dyDescent="0.25">
      <c r="B77" s="374"/>
      <c r="C77" s="1" t="s">
        <v>62</v>
      </c>
      <c r="D77" s="167">
        <v>44213</v>
      </c>
      <c r="E77" s="163">
        <f t="shared" si="7"/>
        <v>3.7471025700786066E-2</v>
      </c>
      <c r="F77" s="168">
        <v>3031</v>
      </c>
      <c r="G77" s="160">
        <f t="shared" si="8"/>
        <v>3.7080534860106922E-2</v>
      </c>
      <c r="H77" s="161">
        <f t="shared" si="6"/>
        <v>0.98957885904172216</v>
      </c>
      <c r="I77" s="163">
        <f t="shared" si="5"/>
        <v>6.8554497545970636E-2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  <c r="W77" s="13"/>
    </row>
    <row r="78" spans="1:23" ht="15.75" thickBot="1" x14ac:dyDescent="0.3">
      <c r="B78" s="375"/>
      <c r="C78" s="9" t="s">
        <v>63</v>
      </c>
      <c r="D78" s="175">
        <v>16758</v>
      </c>
      <c r="E78" s="176">
        <f t="shared" si="7"/>
        <v>1.4202597622730259E-2</v>
      </c>
      <c r="F78" s="177">
        <v>1277</v>
      </c>
      <c r="G78" s="176">
        <f t="shared" si="8"/>
        <v>1.5622515016943761E-2</v>
      </c>
      <c r="H78" s="178">
        <f t="shared" si="6"/>
        <v>1.0999758939830151</v>
      </c>
      <c r="I78" s="179">
        <f t="shared" si="5"/>
        <v>7.6202410788876948E-2</v>
      </c>
      <c r="J78" s="100"/>
      <c r="K78" s="100"/>
      <c r="L78" s="18"/>
      <c r="M78" s="18"/>
      <c r="N78" s="18"/>
      <c r="O78" s="18"/>
      <c r="P78" s="18"/>
      <c r="Q78" s="18"/>
      <c r="R78" s="18"/>
      <c r="S78" s="83"/>
      <c r="T78" s="388"/>
    </row>
    <row r="79" spans="1:23" ht="15.75" thickBot="1" x14ac:dyDescent="0.3">
      <c r="C79" s="1"/>
      <c r="D79" s="8"/>
      <c r="S79" s="4"/>
      <c r="T79" s="28"/>
    </row>
    <row r="80" spans="1:23" x14ac:dyDescent="0.25">
      <c r="B80" s="373" t="s">
        <v>64</v>
      </c>
      <c r="C80" s="21" t="s">
        <v>65</v>
      </c>
      <c r="D80" s="23" t="s">
        <v>66</v>
      </c>
      <c r="E80" s="48" t="s">
        <v>67</v>
      </c>
      <c r="F80" s="48" t="s">
        <v>68</v>
      </c>
      <c r="G80" s="48" t="s">
        <v>51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7"/>
      <c r="T80" s="373" t="s">
        <v>19</v>
      </c>
    </row>
    <row r="81" spans="2:23" x14ac:dyDescent="0.25">
      <c r="B81" s="374"/>
      <c r="C81" s="1" t="s">
        <v>69</v>
      </c>
      <c r="D81" s="168">
        <v>52648</v>
      </c>
      <c r="E81" s="180">
        <v>702530</v>
      </c>
      <c r="F81" s="68"/>
      <c r="I81" s="8"/>
      <c r="S81" s="4"/>
      <c r="T81" s="374"/>
    </row>
    <row r="82" spans="2:23" x14ac:dyDescent="0.25">
      <c r="B82" s="374"/>
      <c r="C82" s="1" t="s">
        <v>70</v>
      </c>
      <c r="D82" s="181">
        <f>D81/H23</f>
        <v>0.55572796267561775</v>
      </c>
      <c r="E82" s="182">
        <f>E81/2938423</f>
        <v>0.23908402568316406</v>
      </c>
      <c r="F82" s="68"/>
      <c r="I82" s="8"/>
      <c r="S82" s="4"/>
      <c r="T82" s="374"/>
    </row>
    <row r="83" spans="2:23" x14ac:dyDescent="0.25">
      <c r="B83" s="374"/>
      <c r="C83" s="1"/>
      <c r="D83" s="70"/>
      <c r="E83" s="68"/>
      <c r="F83" s="14"/>
      <c r="I83" s="8"/>
      <c r="S83" s="4"/>
      <c r="T83" s="374"/>
      <c r="W83" s="8"/>
    </row>
    <row r="84" spans="2:23" x14ac:dyDescent="0.25">
      <c r="B84" s="374"/>
      <c r="C84" s="1" t="s">
        <v>71</v>
      </c>
      <c r="D84" s="168">
        <v>167080</v>
      </c>
      <c r="E84" s="183">
        <v>1537020</v>
      </c>
      <c r="F84" s="68"/>
      <c r="I84" s="8"/>
      <c r="S84" s="4"/>
      <c r="T84" s="374"/>
      <c r="U84" s="24"/>
      <c r="W84" s="14"/>
    </row>
    <row r="85" spans="2:23" x14ac:dyDescent="0.25">
      <c r="B85" s="374"/>
      <c r="C85" s="1" t="s">
        <v>72</v>
      </c>
      <c r="D85" s="184">
        <f>D84/D81</f>
        <v>3.1735298586840908</v>
      </c>
      <c r="E85" s="161">
        <f>E84/E81</f>
        <v>2.187835394929754</v>
      </c>
      <c r="F85" s="14"/>
      <c r="I85" s="8"/>
      <c r="S85" s="4"/>
      <c r="T85" s="374"/>
    </row>
    <row r="86" spans="2:23" x14ac:dyDescent="0.25">
      <c r="B86" s="374"/>
      <c r="C86" s="1"/>
      <c r="D86" s="71"/>
      <c r="F86" s="14"/>
      <c r="I86" s="8"/>
      <c r="S86" s="4"/>
      <c r="T86" s="374"/>
      <c r="W86" s="8"/>
    </row>
    <row r="87" spans="2:23" x14ac:dyDescent="0.25">
      <c r="B87" s="374"/>
      <c r="C87" s="1" t="s">
        <v>73</v>
      </c>
      <c r="D87" s="168">
        <v>79791</v>
      </c>
      <c r="E87" s="183">
        <v>1066919</v>
      </c>
      <c r="F87" s="14"/>
      <c r="I87" s="8"/>
      <c r="S87" s="4"/>
      <c r="T87" s="374"/>
      <c r="W87" s="14"/>
    </row>
    <row r="88" spans="2:23" x14ac:dyDescent="0.25">
      <c r="B88" s="374"/>
      <c r="C88" s="1" t="s">
        <v>74</v>
      </c>
      <c r="D88" s="184">
        <f>D87/D81</f>
        <v>1.5155561464822975</v>
      </c>
      <c r="E88" s="165">
        <f>E87/E81</f>
        <v>1.5186810527664298</v>
      </c>
      <c r="F88" s="14"/>
      <c r="S88" s="4"/>
      <c r="T88" s="374"/>
    </row>
    <row r="89" spans="2:23" ht="15.75" thickBot="1" x14ac:dyDescent="0.3">
      <c r="B89" s="375"/>
      <c r="C89" s="9" t="s">
        <v>75</v>
      </c>
      <c r="D89" s="185">
        <f>D84/D87</f>
        <v>2.0939704979258313</v>
      </c>
      <c r="E89" s="186">
        <f>E84/E87</f>
        <v>1.440615454406567</v>
      </c>
      <c r="F89" s="18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11"/>
      <c r="T89" s="375"/>
    </row>
    <row r="90" spans="2:23" x14ac:dyDescent="0.25">
      <c r="D90" s="37"/>
      <c r="E90" s="22"/>
      <c r="F90" s="14"/>
    </row>
    <row r="91" spans="2:23" s="35" customFormat="1" x14ac:dyDescent="0.25">
      <c r="B91" s="47"/>
      <c r="C91" s="78"/>
      <c r="D91" s="8"/>
      <c r="E91" s="13"/>
    </row>
    <row r="92" spans="2:23" s="35" customFormat="1" x14ac:dyDescent="0.25">
      <c r="B92" s="47"/>
      <c r="C92" s="78"/>
      <c r="D92" s="8"/>
      <c r="E92" s="34"/>
    </row>
    <row r="93" spans="2:23" s="35" customFormat="1" x14ac:dyDescent="0.25">
      <c r="B93" s="47"/>
      <c r="C93" s="78"/>
      <c r="D93" s="168"/>
      <c r="E93" s="34"/>
    </row>
    <row r="94" spans="2:23" s="35" customFormat="1" x14ac:dyDescent="0.25">
      <c r="B94" s="47"/>
      <c r="C94" s="78"/>
      <c r="D94" s="8"/>
      <c r="E94" s="34"/>
    </row>
    <row r="95" spans="2:23" s="35" customFormat="1" x14ac:dyDescent="0.25">
      <c r="B95" s="47"/>
      <c r="C95" s="78"/>
      <c r="D95" s="8"/>
      <c r="E95" s="78"/>
    </row>
    <row r="96" spans="2:23" s="35" customFormat="1" x14ac:dyDescent="0.25">
      <c r="B96" s="47"/>
      <c r="C96" s="78"/>
      <c r="D96" s="8"/>
      <c r="E96" s="34"/>
    </row>
  </sheetData>
  <mergeCells count="15">
    <mergeCell ref="B80:B89"/>
    <mergeCell ref="T80:T89"/>
    <mergeCell ref="B4:B24"/>
    <mergeCell ref="B26:B62"/>
    <mergeCell ref="T26:T62"/>
    <mergeCell ref="B64:B78"/>
    <mergeCell ref="D64:E64"/>
    <mergeCell ref="F64:G64"/>
    <mergeCell ref="T64:T78"/>
    <mergeCell ref="T3:T24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CDA8-BDE0-49C5-A37C-2F951FFAF839}">
  <sheetPr codeName="Sheet20">
    <tabColor rgb="FFFFC000"/>
  </sheetPr>
  <dimension ref="A1:W97"/>
  <sheetViews>
    <sheetView topLeftCell="B60" workbookViewId="0">
      <selection activeCell="F70" sqref="F70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140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25">
      <c r="A23" s="8"/>
      <c r="B23" s="390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x14ac:dyDescent="0.25">
      <c r="A24" s="8"/>
      <c r="B24" s="390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 ht="15.75" thickBot="1" x14ac:dyDescent="0.3">
      <c r="B25" s="391"/>
      <c r="C25" s="88" t="s">
        <v>78</v>
      </c>
      <c r="D25" s="135"/>
      <c r="E25" s="135">
        <f>SUM(E5:E24)</f>
        <v>164263</v>
      </c>
      <c r="F25" s="135">
        <f>SUM(F5:F24)</f>
        <v>137460.52000000002</v>
      </c>
      <c r="G25" s="135">
        <f>SUM(G5:G24)</f>
        <v>66560</v>
      </c>
      <c r="H25" s="135"/>
      <c r="I25" s="136"/>
      <c r="J25" s="136"/>
      <c r="K25" s="135">
        <f>SUM(K5:K24)</f>
        <v>156265</v>
      </c>
      <c r="L25" s="136"/>
      <c r="M25" s="136"/>
      <c r="N25" s="135">
        <f>SUM(N17:N24)</f>
        <v>9751</v>
      </c>
      <c r="O25" s="135"/>
      <c r="P25" s="135"/>
      <c r="Q25" s="144">
        <f>SUM(Q20:Q24)</f>
        <v>1599</v>
      </c>
      <c r="R25" s="93"/>
      <c r="S25" s="112"/>
      <c r="T25" s="375"/>
      <c r="U25" s="8"/>
      <c r="V25" s="142"/>
    </row>
    <row r="26" spans="1:22" ht="15.75" thickBot="1" x14ac:dyDescent="0.3">
      <c r="C26" s="45"/>
      <c r="D26" s="25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1"/>
      <c r="T26" s="27"/>
      <c r="V26" s="142"/>
    </row>
    <row r="27" spans="1:22" x14ac:dyDescent="0.25">
      <c r="B27" s="381" t="s">
        <v>13</v>
      </c>
      <c r="C27" s="94"/>
      <c r="D27" s="48" t="s">
        <v>103</v>
      </c>
      <c r="E27" s="48" t="s">
        <v>15</v>
      </c>
      <c r="F27" s="48" t="s">
        <v>104</v>
      </c>
      <c r="G27" s="48" t="s">
        <v>138</v>
      </c>
      <c r="H27" s="48" t="s">
        <v>18</v>
      </c>
      <c r="I27" s="94"/>
      <c r="J27" s="94"/>
      <c r="K27" s="116"/>
      <c r="L27" s="94"/>
      <c r="M27" s="94"/>
      <c r="N27" s="94"/>
      <c r="O27" s="94"/>
      <c r="P27" s="94"/>
      <c r="Q27" s="94"/>
      <c r="R27" s="94"/>
      <c r="S27" s="49"/>
      <c r="T27" s="380" t="s">
        <v>19</v>
      </c>
      <c r="V27" s="142"/>
    </row>
    <row r="28" spans="1:22" x14ac:dyDescent="0.25">
      <c r="B28" s="382"/>
      <c r="C28" s="156" t="s">
        <v>20</v>
      </c>
      <c r="D28" s="47"/>
      <c r="E28" s="47"/>
      <c r="F28" s="47"/>
      <c r="G28" s="47"/>
      <c r="I28" s="47"/>
      <c r="J28" s="47"/>
      <c r="K28" s="47"/>
      <c r="L28" s="47"/>
      <c r="M28" s="124"/>
      <c r="N28" s="47"/>
      <c r="O28" s="47"/>
      <c r="P28" s="47"/>
      <c r="Q28" s="47"/>
      <c r="R28" s="47"/>
      <c r="S28" s="12"/>
      <c r="T28" s="380"/>
      <c r="V28" s="8"/>
    </row>
    <row r="29" spans="1:22" x14ac:dyDescent="0.25">
      <c r="B29" s="382"/>
      <c r="C29" s="47" t="s">
        <v>21</v>
      </c>
      <c r="D29" s="160">
        <v>0.39300000000000002</v>
      </c>
      <c r="E29" s="160">
        <v>0.41299999999999998</v>
      </c>
      <c r="F29" s="161">
        <f>D29/E29</f>
        <v>0.95157384987893467</v>
      </c>
      <c r="G29" s="160">
        <v>0.51210116874932765</v>
      </c>
      <c r="H29" s="161">
        <f>E29/G29</f>
        <v>0.80648126816160914</v>
      </c>
      <c r="I29" s="149"/>
      <c r="J29" s="39"/>
      <c r="K29" s="14"/>
      <c r="L29" s="14"/>
      <c r="M29" s="14"/>
      <c r="N29" s="14"/>
      <c r="O29" s="14"/>
      <c r="P29" s="14"/>
      <c r="Q29" s="14"/>
      <c r="R29" s="14"/>
      <c r="S29" s="15"/>
      <c r="T29" s="380"/>
      <c r="V29" s="8"/>
    </row>
    <row r="30" spans="1:22" x14ac:dyDescent="0.25">
      <c r="B30" s="382"/>
      <c r="C30" s="47" t="s">
        <v>22</v>
      </c>
      <c r="D30" s="160">
        <v>0.60699999999999998</v>
      </c>
      <c r="E30" s="160">
        <v>0.58699999999999997</v>
      </c>
      <c r="F30" s="161">
        <f t="shared" ref="F30:F63" si="1">D30/E30</f>
        <v>1.0340715502555367</v>
      </c>
      <c r="G30" s="160">
        <v>0.48789883125067235</v>
      </c>
      <c r="H30" s="161">
        <f t="shared" ref="H30:H47" si="2">E30/G30</f>
        <v>1.203118274530999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</row>
    <row r="31" spans="1:22" x14ac:dyDescent="0.25">
      <c r="B31" s="382"/>
      <c r="D31" s="190"/>
      <c r="E31" s="190"/>
      <c r="F31" s="170"/>
      <c r="G31" s="190"/>
      <c r="H31" s="170"/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25">
      <c r="B32" s="382"/>
      <c r="C32" s="156" t="s">
        <v>23</v>
      </c>
      <c r="D32" s="169"/>
      <c r="E32" s="169"/>
      <c r="F32" s="170"/>
      <c r="G32" s="190"/>
      <c r="H32" s="170"/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25">
      <c r="B33" s="382"/>
      <c r="C33" s="47" t="s">
        <v>24</v>
      </c>
      <c r="D33" s="160">
        <v>1.2999999999999999E-2</v>
      </c>
      <c r="E33" s="160">
        <v>6.0000000000000001E-3</v>
      </c>
      <c r="F33" s="161">
        <f>D33/E33</f>
        <v>2.1666666666666665</v>
      </c>
      <c r="G33" s="160">
        <v>1.5850956810538476E-2</v>
      </c>
      <c r="H33" s="161">
        <f t="shared" si="2"/>
        <v>0.37852604557037922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25">
      <c r="B34" s="382"/>
      <c r="C34" s="47" t="s">
        <v>25</v>
      </c>
      <c r="D34" s="160">
        <v>0.14499999999999999</v>
      </c>
      <c r="E34" s="160">
        <v>0.109</v>
      </c>
      <c r="F34" s="161">
        <f t="shared" si="1"/>
        <v>1.3302752293577982</v>
      </c>
      <c r="G34" s="160">
        <v>0.15296820809162712</v>
      </c>
      <c r="H34" s="161">
        <f t="shared" si="2"/>
        <v>0.71256636499729142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25">
      <c r="B35" s="382"/>
      <c r="C35" s="47" t="s">
        <v>26</v>
      </c>
      <c r="D35" s="160">
        <v>0.36199999999999999</v>
      </c>
      <c r="E35" s="160">
        <v>0.34699999999999998</v>
      </c>
      <c r="F35" s="161">
        <f t="shared" si="1"/>
        <v>1.043227665706052</v>
      </c>
      <c r="G35" s="160">
        <v>0.28798201768233517</v>
      </c>
      <c r="H35" s="161">
        <f t="shared" si="2"/>
        <v>1.2049363456532409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25">
      <c r="B36" s="382"/>
      <c r="C36" s="47" t="s">
        <v>27</v>
      </c>
      <c r="D36" s="160">
        <v>0.36799999999999999</v>
      </c>
      <c r="E36" s="160">
        <v>0.371</v>
      </c>
      <c r="F36" s="161">
        <f t="shared" si="1"/>
        <v>0.99191374663072773</v>
      </c>
      <c r="G36" s="160">
        <v>0.31423523915288504</v>
      </c>
      <c r="H36" s="161">
        <f t="shared" si="2"/>
        <v>1.1806441600889237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25">
      <c r="B37" s="382"/>
      <c r="C37" s="47" t="s">
        <v>28</v>
      </c>
      <c r="D37" s="160">
        <v>0.1</v>
      </c>
      <c r="E37" s="160">
        <v>0.14699999999999999</v>
      </c>
      <c r="F37" s="161">
        <f t="shared" si="1"/>
        <v>0.6802721088435375</v>
      </c>
      <c r="G37" s="160">
        <v>0.16213341617998714</v>
      </c>
      <c r="H37" s="161">
        <f t="shared" si="2"/>
        <v>0.90666072092635563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25">
      <c r="B38" s="382"/>
      <c r="C38" s="47" t="s">
        <v>29</v>
      </c>
      <c r="D38" s="160">
        <v>1.2999999999999999E-2</v>
      </c>
      <c r="E38" s="160">
        <v>0.02</v>
      </c>
      <c r="F38" s="161">
        <f t="shared" si="1"/>
        <v>0.64999999999999991</v>
      </c>
      <c r="G38" s="160">
        <v>6.6219504624928316E-2</v>
      </c>
      <c r="H38" s="161">
        <f t="shared" si="2"/>
        <v>0.30202581721626176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25">
      <c r="B39" s="382"/>
      <c r="D39" s="190"/>
      <c r="E39" s="190"/>
      <c r="F39" s="170"/>
      <c r="G39" s="190"/>
      <c r="H39" s="170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25">
      <c r="B40" s="382"/>
      <c r="C40" s="156" t="s">
        <v>30</v>
      </c>
      <c r="D40" s="169"/>
      <c r="E40" s="169"/>
      <c r="F40" s="170"/>
      <c r="G40" s="190"/>
      <c r="H40" s="170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25">
      <c r="B41" s="382"/>
      <c r="C41" s="47" t="s">
        <v>31</v>
      </c>
      <c r="D41" s="160">
        <v>0.496</v>
      </c>
      <c r="E41" s="163">
        <v>0.46899999999999997</v>
      </c>
      <c r="F41" s="161">
        <f t="shared" si="1"/>
        <v>1.0575692963752665</v>
      </c>
      <c r="G41" s="160">
        <v>0.49426623193254976</v>
      </c>
      <c r="H41" s="161">
        <f t="shared" si="2"/>
        <v>0.94888133095040617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25">
      <c r="B42" s="382"/>
      <c r="C42" s="47" t="s">
        <v>32</v>
      </c>
      <c r="D42" s="160">
        <v>0.18</v>
      </c>
      <c r="E42" s="160">
        <v>0.20499999999999999</v>
      </c>
      <c r="F42" s="161">
        <f t="shared" si="1"/>
        <v>0.87804878048780488</v>
      </c>
      <c r="G42" s="160">
        <v>0.15924717671989311</v>
      </c>
      <c r="H42" s="161">
        <f t="shared" si="2"/>
        <v>1.2873069665817909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25">
      <c r="B43" s="382"/>
      <c r="C43" s="47" t="s">
        <v>33</v>
      </c>
      <c r="D43" s="160">
        <v>0.126</v>
      </c>
      <c r="E43" s="160">
        <v>0.13200000000000001</v>
      </c>
      <c r="F43" s="161">
        <f t="shared" si="1"/>
        <v>0.95454545454545447</v>
      </c>
      <c r="G43" s="160">
        <v>0.12436077236495834</v>
      </c>
      <c r="H43" s="161">
        <f t="shared" si="2"/>
        <v>1.0614279526394628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25">
      <c r="B44" s="382"/>
      <c r="C44" s="47" t="s">
        <v>34</v>
      </c>
      <c r="D44" s="160">
        <v>9.5000000000000001E-2</v>
      </c>
      <c r="E44" s="160">
        <v>9.0999999999999998E-2</v>
      </c>
      <c r="F44" s="161">
        <f t="shared" si="1"/>
        <v>1.043956043956044</v>
      </c>
      <c r="G44" s="160">
        <v>9.7673982634365358E-2</v>
      </c>
      <c r="H44" s="161">
        <f t="shared" si="2"/>
        <v>0.9316708251843393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25">
      <c r="B45" s="382"/>
      <c r="C45" s="47" t="s">
        <v>35</v>
      </c>
      <c r="D45" s="160">
        <v>2.8000000000000001E-2</v>
      </c>
      <c r="E45" s="160">
        <v>2.1000000000000001E-2</v>
      </c>
      <c r="F45" s="161">
        <f t="shared" si="1"/>
        <v>1.3333333333333333</v>
      </c>
      <c r="G45" s="160">
        <v>3.2968424824457117E-2</v>
      </c>
      <c r="H45" s="161">
        <f t="shared" si="2"/>
        <v>0.63697310720230338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25">
      <c r="B46" s="382"/>
      <c r="C46" s="47" t="s">
        <v>36</v>
      </c>
      <c r="D46" s="160">
        <v>1.4E-2</v>
      </c>
      <c r="E46" s="160">
        <v>1.4999999999999999E-2</v>
      </c>
      <c r="F46" s="161">
        <f t="shared" si="1"/>
        <v>0.93333333333333335</v>
      </c>
      <c r="G46" s="160">
        <v>1.9512608950492043E-2</v>
      </c>
      <c r="H46" s="161">
        <f t="shared" si="2"/>
        <v>0.76873369614788234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25">
      <c r="B47" s="382"/>
      <c r="C47" s="47" t="s">
        <v>37</v>
      </c>
      <c r="D47" s="160">
        <v>6.2E-2</v>
      </c>
      <c r="E47" s="160">
        <v>6.6000000000000003E-2</v>
      </c>
      <c r="F47" s="161">
        <f t="shared" si="1"/>
        <v>0.93939393939393934</v>
      </c>
      <c r="G47" s="160">
        <v>7.1970802573284268E-2</v>
      </c>
      <c r="H47" s="161">
        <f t="shared" si="2"/>
        <v>0.91703854396781948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25">
      <c r="B48" s="382"/>
      <c r="D48" s="190"/>
      <c r="E48" s="190"/>
      <c r="F48" s="170"/>
      <c r="G48" s="190"/>
      <c r="H48" s="170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156" t="s">
        <v>38</v>
      </c>
      <c r="D49" s="169"/>
      <c r="E49" s="169"/>
      <c r="F49" s="170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39</v>
      </c>
      <c r="D50" s="160">
        <v>0.436</v>
      </c>
      <c r="E50" s="160">
        <v>0.33300000000000002</v>
      </c>
      <c r="F50" s="161">
        <f t="shared" si="1"/>
        <v>1.3093093093093093</v>
      </c>
      <c r="G50" s="164">
        <v>0.30199999999999999</v>
      </c>
      <c r="H50" s="165">
        <f>E50/G50</f>
        <v>1.1026490066225167</v>
      </c>
      <c r="I50" s="149"/>
      <c r="J50" s="39"/>
      <c r="K50" s="16"/>
      <c r="L50" s="16"/>
      <c r="M50" s="16"/>
      <c r="N50" s="16"/>
      <c r="O50" s="16"/>
      <c r="P50" s="16"/>
      <c r="Q50" s="16"/>
      <c r="R50" s="16"/>
      <c r="S50" s="36"/>
      <c r="T50" s="380"/>
    </row>
    <row r="51" spans="2:20" x14ac:dyDescent="0.25">
      <c r="B51" s="382"/>
      <c r="C51" s="47" t="s">
        <v>40</v>
      </c>
      <c r="D51" s="160">
        <v>5.0999999999999997E-2</v>
      </c>
      <c r="E51" s="160">
        <v>4.5999999999999999E-2</v>
      </c>
      <c r="F51" s="161">
        <f t="shared" si="1"/>
        <v>1.1086956521739131</v>
      </c>
      <c r="G51" s="160">
        <v>7.4999999999999997E-2</v>
      </c>
      <c r="H51" s="165">
        <f t="shared" ref="H51:H55" si="3">E51/G51</f>
        <v>0.6133333333333334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41</v>
      </c>
      <c r="D52" s="160">
        <v>9.1999999999999998E-2</v>
      </c>
      <c r="E52" s="160">
        <v>8.8999999999999996E-2</v>
      </c>
      <c r="F52" s="161">
        <f t="shared" si="1"/>
        <v>1.0337078651685394</v>
      </c>
      <c r="G52" s="160">
        <v>0.14199999999999999</v>
      </c>
      <c r="H52" s="165">
        <f t="shared" si="3"/>
        <v>0.62676056338028174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42</v>
      </c>
      <c r="D53" s="160">
        <v>0.11600000000000001</v>
      </c>
      <c r="E53" s="160">
        <v>0.126</v>
      </c>
      <c r="F53" s="161">
        <f t="shared" si="1"/>
        <v>0.92063492063492069</v>
      </c>
      <c r="G53" s="160">
        <v>0.16700000000000001</v>
      </c>
      <c r="H53" s="165">
        <f t="shared" si="3"/>
        <v>0.75449101796407181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43</v>
      </c>
      <c r="D54" s="160">
        <v>0.158</v>
      </c>
      <c r="E54" s="160">
        <v>0.186</v>
      </c>
      <c r="F54" s="161">
        <f t="shared" si="1"/>
        <v>0.84946236559139787</v>
      </c>
      <c r="G54" s="160">
        <v>0.17899999999999999</v>
      </c>
      <c r="H54" s="165">
        <f t="shared" si="3"/>
        <v>1.0391061452513968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44</v>
      </c>
      <c r="D55" s="160">
        <v>0.14699999999999999</v>
      </c>
      <c r="E55" s="160">
        <v>0.221</v>
      </c>
      <c r="F55" s="161">
        <f t="shared" si="1"/>
        <v>0.66515837104072395</v>
      </c>
      <c r="G55" s="160">
        <v>0.13400000000000001</v>
      </c>
      <c r="H55" s="165">
        <f t="shared" si="3"/>
        <v>1.6492537313432836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D56" s="190"/>
      <c r="E56" s="190"/>
      <c r="F56" s="170"/>
      <c r="G56" s="19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156" t="s">
        <v>136</v>
      </c>
      <c r="D57" s="190"/>
      <c r="E57" s="190"/>
      <c r="F57" s="170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39</v>
      </c>
      <c r="D58" s="160">
        <v>0.308</v>
      </c>
      <c r="E58" s="160">
        <v>0.109</v>
      </c>
      <c r="F58" s="161">
        <f t="shared" si="1"/>
        <v>2.8256880733944953</v>
      </c>
      <c r="G58" s="164">
        <v>0.22600000000000001</v>
      </c>
      <c r="H58" s="165">
        <f>E58/G58</f>
        <v>0.48230088495575218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40</v>
      </c>
      <c r="D59" s="160">
        <v>7.4999999999999997E-2</v>
      </c>
      <c r="E59" s="160">
        <v>5.8000000000000003E-2</v>
      </c>
      <c r="F59" s="161">
        <f t="shared" si="1"/>
        <v>1.2931034482758619</v>
      </c>
      <c r="G59" s="166">
        <v>0.13700000000000001</v>
      </c>
      <c r="H59" s="165">
        <f t="shared" ref="H59:H63" si="4">E59/G59</f>
        <v>0.42335766423357662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41</v>
      </c>
      <c r="D60" s="160">
        <v>0.13100000000000001</v>
      </c>
      <c r="E60" s="160">
        <v>0.127</v>
      </c>
      <c r="F60" s="161">
        <f t="shared" si="1"/>
        <v>1.0314960629921259</v>
      </c>
      <c r="G60" s="160">
        <v>0.20699999999999999</v>
      </c>
      <c r="H60" s="165">
        <f t="shared" si="4"/>
        <v>0.61352657004830924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42</v>
      </c>
      <c r="D61" s="160">
        <v>0.151</v>
      </c>
      <c r="E61" s="160">
        <v>0.17100000000000001</v>
      </c>
      <c r="F61" s="161">
        <f t="shared" si="1"/>
        <v>0.88304093567251452</v>
      </c>
      <c r="G61" s="160">
        <v>0.185</v>
      </c>
      <c r="H61" s="165">
        <f t="shared" si="4"/>
        <v>0.92432432432432443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43</v>
      </c>
      <c r="D62" s="160">
        <v>0.18099999999999999</v>
      </c>
      <c r="E62" s="160">
        <v>0.25</v>
      </c>
      <c r="F62" s="161">
        <f t="shared" si="1"/>
        <v>0.72399999999999998</v>
      </c>
      <c r="G62" s="160">
        <v>0.153</v>
      </c>
      <c r="H62" s="165">
        <f t="shared" si="4"/>
        <v>1.6339869281045751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ht="15.75" thickBot="1" x14ac:dyDescent="0.3">
      <c r="B63" s="383"/>
      <c r="C63" s="47" t="s">
        <v>44</v>
      </c>
      <c r="D63" s="160">
        <v>0.153</v>
      </c>
      <c r="E63" s="160">
        <v>0.28399999999999997</v>
      </c>
      <c r="F63" s="161">
        <f t="shared" si="1"/>
        <v>0.53873239436619724</v>
      </c>
      <c r="G63" s="160">
        <v>9.0999999999999998E-2</v>
      </c>
      <c r="H63" s="165">
        <f t="shared" si="4"/>
        <v>3.1208791208791209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ht="15.75" thickBot="1" x14ac:dyDescent="0.3">
      <c r="B64" s="60"/>
      <c r="C64" s="45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26"/>
      <c r="T64" s="27"/>
    </row>
    <row r="65" spans="2:23" x14ac:dyDescent="0.25">
      <c r="B65" s="373" t="s">
        <v>45</v>
      </c>
      <c r="C65" s="5"/>
      <c r="D65" s="385" t="s">
        <v>46</v>
      </c>
      <c r="E65" s="385"/>
      <c r="F65" s="385" t="s">
        <v>47</v>
      </c>
      <c r="G65" s="385"/>
      <c r="H65" s="42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7"/>
      <c r="T65" s="386" t="s">
        <v>48</v>
      </c>
    </row>
    <row r="66" spans="2:23" x14ac:dyDescent="0.25">
      <c r="B66" s="374"/>
      <c r="C66" s="1"/>
      <c r="D66" s="40" t="s">
        <v>49</v>
      </c>
      <c r="E66" s="40" t="s">
        <v>50</v>
      </c>
      <c r="F66" s="40" t="s">
        <v>49</v>
      </c>
      <c r="G66" s="40" t="s">
        <v>50</v>
      </c>
      <c r="H66" s="41" t="s">
        <v>51</v>
      </c>
      <c r="I66" s="96" t="s">
        <v>52</v>
      </c>
      <c r="J66" s="97"/>
      <c r="K66" s="97"/>
      <c r="L66" s="97"/>
      <c r="M66" s="97"/>
      <c r="N66" s="97"/>
      <c r="O66" s="97"/>
      <c r="P66" s="97"/>
      <c r="Q66" s="97"/>
      <c r="R66" s="97"/>
      <c r="S66" s="99"/>
      <c r="T66" s="387"/>
    </row>
    <row r="67" spans="2:23" x14ac:dyDescent="0.25">
      <c r="B67" s="374"/>
      <c r="C67" s="2" t="s">
        <v>53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4"/>
      <c r="T67" s="387"/>
    </row>
    <row r="68" spans="2:23" x14ac:dyDescent="0.25">
      <c r="B68" s="374"/>
      <c r="C68" s="1" t="s">
        <v>54</v>
      </c>
      <c r="D68" s="167">
        <v>2045068</v>
      </c>
      <c r="E68" s="191">
        <f>D68/$D$70</f>
        <v>0.61942250540045773</v>
      </c>
      <c r="F68" s="8">
        <v>110788</v>
      </c>
      <c r="G68" s="13">
        <f>F68/$F$70</f>
        <v>0.55507234758908175</v>
      </c>
      <c r="H68" s="14">
        <f>G68/E68</f>
        <v>0.89611265775728721</v>
      </c>
      <c r="I68" s="191">
        <f>F68/D68</f>
        <v>5.4173259764467491E-2</v>
      </c>
      <c r="J68" s="39"/>
      <c r="K68" s="39"/>
      <c r="L68" s="14"/>
      <c r="M68" s="14"/>
      <c r="N68" s="14"/>
      <c r="O68" s="14"/>
      <c r="P68" s="14"/>
      <c r="Q68" s="14"/>
      <c r="R68" s="14"/>
      <c r="S68" s="82"/>
      <c r="T68" s="387"/>
    </row>
    <row r="69" spans="2:23" x14ac:dyDescent="0.25">
      <c r="B69" s="374"/>
      <c r="C69" s="1" t="s">
        <v>55</v>
      </c>
      <c r="D69" s="167">
        <v>1256504</v>
      </c>
      <c r="E69" s="191">
        <f>D69/$D$70</f>
        <v>0.38057749459954227</v>
      </c>
      <c r="F69" s="8">
        <f>F70-F68</f>
        <v>88804</v>
      </c>
      <c r="G69" s="13">
        <f>F69/$F$70</f>
        <v>0.44492765241091825</v>
      </c>
      <c r="H69" s="14">
        <f>G69/E69</f>
        <v>1.16908555740819</v>
      </c>
      <c r="I69" s="191">
        <f t="shared" ref="I69:I79" si="5">F69/D69</f>
        <v>7.0675461439040382E-2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 x14ac:dyDescent="0.25">
      <c r="B70" s="374"/>
      <c r="C70" s="1" t="s">
        <v>53</v>
      </c>
      <c r="D70" s="167">
        <v>3301572</v>
      </c>
      <c r="E70" s="191"/>
      <c r="F70" s="8">
        <v>199592</v>
      </c>
      <c r="G70" s="169"/>
      <c r="H70" s="170"/>
      <c r="I70" s="191">
        <f t="shared" si="5"/>
        <v>6.0453626333152814E-2</v>
      </c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 x14ac:dyDescent="0.25">
      <c r="B71" s="374"/>
      <c r="C71" s="1"/>
      <c r="D71" s="192"/>
      <c r="E71" s="192"/>
      <c r="F71" s="171"/>
      <c r="G71" s="169"/>
      <c r="H71" s="170"/>
      <c r="I71" s="192"/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 x14ac:dyDescent="0.25">
      <c r="B72" s="374"/>
      <c r="C72" s="2" t="s">
        <v>56</v>
      </c>
      <c r="D72" s="192"/>
      <c r="E72" s="192"/>
      <c r="F72" s="169"/>
      <c r="G72" s="169"/>
      <c r="H72" s="170"/>
      <c r="I72" s="192"/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 x14ac:dyDescent="0.25">
      <c r="B73" s="374"/>
      <c r="C73" s="1" t="s">
        <v>57</v>
      </c>
      <c r="D73" s="193">
        <v>385850</v>
      </c>
      <c r="E73" s="191">
        <f>D73/$D$69</f>
        <v>0.30708218994925601</v>
      </c>
      <c r="F73" s="8">
        <v>30647</v>
      </c>
      <c r="G73" s="13">
        <f>F73/$F$69</f>
        <v>0.34510832845367329</v>
      </c>
      <c r="H73" s="14">
        <f t="shared" ref="H73:H79" si="6">G73/E73</f>
        <v>1.1238304914742887</v>
      </c>
      <c r="I73" s="191">
        <f t="shared" si="5"/>
        <v>7.9427238564208885E-2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 x14ac:dyDescent="0.25">
      <c r="B74" s="374"/>
      <c r="C74" s="1" t="s">
        <v>58</v>
      </c>
      <c r="D74" s="193">
        <v>187316</v>
      </c>
      <c r="E74" s="191">
        <f t="shared" ref="E74:E79" si="7">D74/$D$69</f>
        <v>0.14907712191922987</v>
      </c>
      <c r="F74" s="8">
        <v>20167</v>
      </c>
      <c r="G74" s="13">
        <f t="shared" ref="G74:G79" si="8">F74/$F$69</f>
        <v>0.22709562632313859</v>
      </c>
      <c r="H74" s="14">
        <f t="shared" si="6"/>
        <v>1.5233432427423654</v>
      </c>
      <c r="I74" s="191">
        <f t="shared" si="5"/>
        <v>0.10766298661086079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 x14ac:dyDescent="0.25">
      <c r="B75" s="374"/>
      <c r="C75" s="1" t="s">
        <v>59</v>
      </c>
      <c r="D75" s="193">
        <v>112559</v>
      </c>
      <c r="E75" s="191">
        <f t="shared" si="7"/>
        <v>8.9581091663854626E-2</v>
      </c>
      <c r="F75" s="8">
        <v>12750</v>
      </c>
      <c r="G75" s="13">
        <f t="shared" si="8"/>
        <v>0.14357461375613711</v>
      </c>
      <c r="H75" s="14">
        <f t="shared" si="6"/>
        <v>1.6027334685190995</v>
      </c>
      <c r="I75" s="191">
        <f t="shared" si="5"/>
        <v>0.11327392745138105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25">
      <c r="B76" s="374"/>
      <c r="C76" s="172" t="s">
        <v>60</v>
      </c>
      <c r="D76" s="194">
        <v>327281</v>
      </c>
      <c r="E76" s="191">
        <f t="shared" si="7"/>
        <v>0.2604695249676881</v>
      </c>
      <c r="F76" s="195">
        <v>13404</v>
      </c>
      <c r="G76" s="13">
        <f t="shared" si="8"/>
        <v>0.15093914688527543</v>
      </c>
      <c r="H76" s="14">
        <f t="shared" si="6"/>
        <v>0.57948870181262013</v>
      </c>
      <c r="I76" s="191">
        <f t="shared" si="5"/>
        <v>4.0955631399317405E-2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 x14ac:dyDescent="0.25">
      <c r="B77" s="374"/>
      <c r="C77" s="1" t="s">
        <v>61</v>
      </c>
      <c r="D77" s="193">
        <v>205423</v>
      </c>
      <c r="E77" s="191">
        <f t="shared" si="7"/>
        <v>0.16348774058817162</v>
      </c>
      <c r="F77" s="8">
        <v>8234</v>
      </c>
      <c r="G77" s="13">
        <f t="shared" si="8"/>
        <v>9.2721048601414349E-2</v>
      </c>
      <c r="H77" s="14">
        <f t="shared" si="6"/>
        <v>0.56714373975587706</v>
      </c>
      <c r="I77" s="191">
        <f t="shared" si="5"/>
        <v>4.0083145509509643E-2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 x14ac:dyDescent="0.25">
      <c r="B78" s="374"/>
      <c r="C78" s="1" t="s">
        <v>62</v>
      </c>
      <c r="D78" s="193">
        <v>22075</v>
      </c>
      <c r="E78" s="191">
        <f t="shared" si="7"/>
        <v>1.7568587127458409E-2</v>
      </c>
      <c r="F78" s="8">
        <v>2163</v>
      </c>
      <c r="G78" s="13">
        <f t="shared" si="8"/>
        <v>2.4357010945452909E-2</v>
      </c>
      <c r="H78" s="14">
        <f t="shared" si="6"/>
        <v>1.3863955461384083</v>
      </c>
      <c r="I78" s="191">
        <f t="shared" si="5"/>
        <v>9.7984144960362396E-2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  <c r="W78" s="13"/>
    </row>
    <row r="79" spans="2:23" ht="15.75" thickBot="1" x14ac:dyDescent="0.3">
      <c r="B79" s="375"/>
      <c r="C79" s="9" t="s">
        <v>63</v>
      </c>
      <c r="D79" s="196">
        <v>16000</v>
      </c>
      <c r="E79" s="197">
        <f t="shared" si="7"/>
        <v>1.2733743784341315E-2</v>
      </c>
      <c r="F79" s="10">
        <v>1439</v>
      </c>
      <c r="G79" s="17">
        <f t="shared" si="8"/>
        <v>1.6204225034908336E-2</v>
      </c>
      <c r="H79" s="18">
        <f t="shared" si="6"/>
        <v>1.272542098328904</v>
      </c>
      <c r="I79" s="198">
        <f t="shared" si="5"/>
        <v>8.9937500000000004E-2</v>
      </c>
      <c r="J79" s="100"/>
      <c r="K79" s="100"/>
      <c r="L79" s="18"/>
      <c r="M79" s="18"/>
      <c r="N79" s="18"/>
      <c r="O79" s="18"/>
      <c r="P79" s="18"/>
      <c r="Q79" s="18"/>
      <c r="R79" s="18"/>
      <c r="S79" s="83"/>
      <c r="T79" s="388"/>
    </row>
    <row r="80" spans="2:23" ht="15.75" thickBot="1" x14ac:dyDescent="0.3">
      <c r="C80" s="1"/>
      <c r="D80" s="8"/>
      <c r="S80" s="4"/>
      <c r="T80" s="28"/>
    </row>
    <row r="81" spans="2:23" x14ac:dyDescent="0.25">
      <c r="B81" s="373" t="s">
        <v>64</v>
      </c>
      <c r="C81" s="21" t="s">
        <v>65</v>
      </c>
      <c r="D81" s="23" t="s">
        <v>66</v>
      </c>
      <c r="E81" s="48" t="s">
        <v>67</v>
      </c>
      <c r="F81" s="48" t="s">
        <v>68</v>
      </c>
      <c r="G81" s="48" t="s">
        <v>51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7"/>
      <c r="T81" s="373" t="s">
        <v>19</v>
      </c>
    </row>
    <row r="82" spans="2:23" x14ac:dyDescent="0.25">
      <c r="B82" s="374"/>
      <c r="C82" s="1" t="s">
        <v>69</v>
      </c>
      <c r="D82" s="8">
        <v>56744</v>
      </c>
      <c r="E82" s="67">
        <v>736338</v>
      </c>
      <c r="F82" s="68"/>
      <c r="I82" s="8"/>
      <c r="S82" s="4"/>
      <c r="T82" s="374"/>
    </row>
    <row r="83" spans="2:23" x14ac:dyDescent="0.25">
      <c r="B83" s="374"/>
      <c r="C83" s="1" t="s">
        <v>70</v>
      </c>
      <c r="D83" s="70">
        <f>D82/H24</f>
        <v>0.57996729354047427</v>
      </c>
      <c r="E83" s="182">
        <f>E82/3200034</f>
        <v>0.23010318015371087</v>
      </c>
      <c r="F83" s="68"/>
      <c r="I83" s="8"/>
      <c r="S83" s="4"/>
      <c r="T83" s="374"/>
    </row>
    <row r="84" spans="2:23" x14ac:dyDescent="0.25">
      <c r="B84" s="374"/>
      <c r="C84" s="1"/>
      <c r="D84" s="199"/>
      <c r="E84" s="200"/>
      <c r="F84" s="14"/>
      <c r="I84" s="8"/>
      <c r="S84" s="4"/>
      <c r="T84" s="374"/>
      <c r="W84" s="8"/>
    </row>
    <row r="85" spans="2:23" ht="14.45" customHeight="1" x14ac:dyDescent="0.25">
      <c r="B85" s="374"/>
      <c r="C85" s="1" t="s">
        <v>71</v>
      </c>
      <c r="D85" s="8">
        <v>199592</v>
      </c>
      <c r="E85" s="201">
        <v>1678511</v>
      </c>
      <c r="F85" s="68"/>
      <c r="I85" s="8"/>
      <c r="S85" s="4"/>
      <c r="T85" s="374"/>
      <c r="U85" s="24"/>
      <c r="W85" s="14"/>
    </row>
    <row r="86" spans="2:23" x14ac:dyDescent="0.25">
      <c r="B86" s="374"/>
      <c r="C86" s="1" t="s">
        <v>72</v>
      </c>
      <c r="D86" s="71">
        <f>D85/D82</f>
        <v>3.517411532496828</v>
      </c>
      <c r="E86" s="14">
        <f>E85/E82</f>
        <v>2.2795387444353001</v>
      </c>
      <c r="F86" s="14"/>
      <c r="I86" s="8"/>
      <c r="S86" s="4"/>
      <c r="T86" s="374"/>
    </row>
    <row r="87" spans="2:23" x14ac:dyDescent="0.25">
      <c r="B87" s="374"/>
      <c r="C87" s="1"/>
      <c r="D87" s="202"/>
      <c r="E87" s="169"/>
      <c r="F87" s="14"/>
      <c r="I87" s="8"/>
      <c r="S87" s="4"/>
      <c r="T87" s="374"/>
      <c r="W87" s="8"/>
    </row>
    <row r="88" spans="2:23" x14ac:dyDescent="0.25">
      <c r="B88" s="374"/>
      <c r="C88" s="1" t="s">
        <v>73</v>
      </c>
      <c r="D88" s="8">
        <v>99039</v>
      </c>
      <c r="E88" s="201">
        <v>1201688</v>
      </c>
      <c r="F88" s="14"/>
      <c r="I88" s="8"/>
      <c r="S88" s="4"/>
      <c r="T88" s="374"/>
      <c r="W88" s="14"/>
    </row>
    <row r="89" spans="2:23" x14ac:dyDescent="0.25">
      <c r="B89" s="374"/>
      <c r="C89" s="1" t="s">
        <v>74</v>
      </c>
      <c r="D89" s="71">
        <f>D88/D82</f>
        <v>1.7453651487381925</v>
      </c>
      <c r="E89" s="72">
        <f>E88/E82</f>
        <v>1.6319787923480793</v>
      </c>
      <c r="F89" s="14"/>
      <c r="S89" s="4"/>
      <c r="T89" s="374"/>
    </row>
    <row r="90" spans="2:23" ht="15.75" thickBot="1" x14ac:dyDescent="0.3">
      <c r="B90" s="375"/>
      <c r="C90" s="9" t="s">
        <v>75</v>
      </c>
      <c r="D90" s="84">
        <f>D85/D88</f>
        <v>2.0152869071779804</v>
      </c>
      <c r="E90" s="85">
        <f>E85/E88</f>
        <v>1.3967943426247078</v>
      </c>
      <c r="F90" s="18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11"/>
      <c r="T90" s="375"/>
    </row>
    <row r="91" spans="2:23" x14ac:dyDescent="0.25">
      <c r="D91" s="37"/>
      <c r="E91" s="22"/>
      <c r="F91" s="14"/>
    </row>
    <row r="92" spans="2:23" s="35" customFormat="1" x14ac:dyDescent="0.25">
      <c r="B92" s="47"/>
      <c r="C92" s="78"/>
      <c r="D92" s="8"/>
      <c r="E92" s="13"/>
    </row>
    <row r="93" spans="2:23" s="35" customFormat="1" x14ac:dyDescent="0.25">
      <c r="B93" s="47"/>
      <c r="C93" s="78"/>
      <c r="D93" s="8"/>
      <c r="E93" s="34"/>
    </row>
    <row r="94" spans="2:23" s="35" customFormat="1" x14ac:dyDescent="0.25">
      <c r="B94" s="47"/>
      <c r="C94" s="78"/>
      <c r="D94" s="8"/>
      <c r="E94" s="34"/>
    </row>
    <row r="95" spans="2:23" s="35" customFormat="1" x14ac:dyDescent="0.25">
      <c r="B95" s="47"/>
      <c r="C95" s="78"/>
      <c r="D95" s="8"/>
      <c r="E95" s="34"/>
    </row>
    <row r="96" spans="2:23" s="35" customFormat="1" x14ac:dyDescent="0.25">
      <c r="B96" s="47"/>
      <c r="C96" s="78"/>
      <c r="D96" s="8"/>
      <c r="E96" s="78"/>
    </row>
    <row r="97" spans="2:5" s="35" customFormat="1" x14ac:dyDescent="0.25">
      <c r="B97" s="47"/>
      <c r="C97" s="78"/>
      <c r="D97" s="8"/>
      <c r="E97" s="34"/>
    </row>
  </sheetData>
  <mergeCells count="15">
    <mergeCell ref="C2:S2"/>
    <mergeCell ref="D3:J3"/>
    <mergeCell ref="K3:M3"/>
    <mergeCell ref="N3:P3"/>
    <mergeCell ref="Q3:S3"/>
    <mergeCell ref="B81:B90"/>
    <mergeCell ref="T81:T90"/>
    <mergeCell ref="B4:B25"/>
    <mergeCell ref="B27:B63"/>
    <mergeCell ref="T27:T63"/>
    <mergeCell ref="B65:B79"/>
    <mergeCell ref="D65:E65"/>
    <mergeCell ref="F65:G65"/>
    <mergeCell ref="T65:T79"/>
    <mergeCell ref="T3:T2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E9B36-C68C-4E5E-807A-8C842F983871}">
  <sheetPr codeName="Sheet21">
    <tabColor rgb="FFFFC000"/>
  </sheetPr>
  <dimension ref="A1:W98"/>
  <sheetViews>
    <sheetView topLeftCell="A62" workbookViewId="0">
      <selection activeCell="F71" sqref="F71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141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25">
      <c r="A23" s="8"/>
      <c r="B23" s="390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x14ac:dyDescent="0.25">
      <c r="A24" s="8"/>
      <c r="B24" s="390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 x14ac:dyDescent="0.25">
      <c r="A25" s="8"/>
      <c r="B25" s="390"/>
      <c r="C25" s="88" t="s">
        <v>106</v>
      </c>
      <c r="D25" s="135">
        <f>H24</f>
        <v>97840</v>
      </c>
      <c r="E25" s="135">
        <v>14278</v>
      </c>
      <c r="F25" s="135">
        <v>10008</v>
      </c>
      <c r="G25" s="135">
        <v>6480</v>
      </c>
      <c r="H25" s="135">
        <v>105727</v>
      </c>
      <c r="I25" s="136">
        <f>H25-D25</f>
        <v>7887</v>
      </c>
      <c r="J25" s="150">
        <f>G25/H24</f>
        <v>6.6230580539656581E-2</v>
      </c>
      <c r="K25" s="135">
        <v>13328</v>
      </c>
      <c r="L25" s="137">
        <v>0.7</v>
      </c>
      <c r="M25" s="137">
        <v>0.3</v>
      </c>
      <c r="N25" s="135">
        <v>1135</v>
      </c>
      <c r="O25" s="151">
        <v>0.63</v>
      </c>
      <c r="P25" s="151">
        <v>0.37</v>
      </c>
      <c r="Q25" s="122">
        <v>50</v>
      </c>
      <c r="R25" s="104">
        <v>0.92</v>
      </c>
      <c r="S25" s="90">
        <v>0.08</v>
      </c>
      <c r="T25" s="374"/>
      <c r="U25" s="39"/>
      <c r="V25" s="142"/>
    </row>
    <row r="26" spans="1:22" ht="15.75" thickBot="1" x14ac:dyDescent="0.3">
      <c r="B26" s="391"/>
      <c r="C26" s="88" t="s">
        <v>78</v>
      </c>
      <c r="D26" s="135"/>
      <c r="E26" s="135">
        <f>SUM(E5:E25)</f>
        <v>178541</v>
      </c>
      <c r="F26" s="135">
        <f>SUM(F5:F25)</f>
        <v>147468.52000000002</v>
      </c>
      <c r="G26" s="135">
        <f>SUM(G5:G25)</f>
        <v>73040</v>
      </c>
      <c r="H26" s="135"/>
      <c r="I26" s="136"/>
      <c r="J26" s="136"/>
      <c r="K26" s="135">
        <f>SUM(K5:K25)</f>
        <v>169593</v>
      </c>
      <c r="L26" s="136"/>
      <c r="M26" s="136"/>
      <c r="N26" s="135">
        <f>SUM(N17:N25)</f>
        <v>10886</v>
      </c>
      <c r="O26" s="135"/>
      <c r="P26" s="135"/>
      <c r="Q26" s="144">
        <f>SUM(Q20:Q25)</f>
        <v>1649</v>
      </c>
      <c r="R26" s="93"/>
      <c r="S26" s="112"/>
      <c r="T26" s="375"/>
      <c r="U26" s="8"/>
      <c r="V26" s="142"/>
    </row>
    <row r="27" spans="1:22" ht="15.75" thickBot="1" x14ac:dyDescent="0.3">
      <c r="C27" s="45"/>
      <c r="D27" s="25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1"/>
      <c r="T27" s="27"/>
      <c r="V27" s="142"/>
    </row>
    <row r="28" spans="1:22" x14ac:dyDescent="0.25">
      <c r="B28" s="381" t="s">
        <v>13</v>
      </c>
      <c r="C28" s="94"/>
      <c r="D28" s="48" t="s">
        <v>107</v>
      </c>
      <c r="E28" s="48" t="s">
        <v>15</v>
      </c>
      <c r="F28" s="48" t="s">
        <v>108</v>
      </c>
      <c r="G28" s="48" t="s">
        <v>138</v>
      </c>
      <c r="H28" s="48" t="s">
        <v>18</v>
      </c>
      <c r="I28" s="94"/>
      <c r="J28" s="94"/>
      <c r="K28" s="116"/>
      <c r="L28" s="94"/>
      <c r="M28" s="94"/>
      <c r="N28" s="94"/>
      <c r="O28" s="94"/>
      <c r="P28" s="94"/>
      <c r="Q28" s="94"/>
      <c r="R28" s="94"/>
      <c r="S28" s="49"/>
      <c r="T28" s="380" t="s">
        <v>19</v>
      </c>
      <c r="V28" s="142"/>
    </row>
    <row r="29" spans="1:22" x14ac:dyDescent="0.25">
      <c r="B29" s="382"/>
      <c r="C29" s="156" t="s">
        <v>20</v>
      </c>
      <c r="D29" s="47"/>
      <c r="E29" s="47"/>
      <c r="F29" s="47"/>
      <c r="G29" s="47"/>
      <c r="I29" s="47"/>
      <c r="J29" s="47"/>
      <c r="K29" s="47"/>
      <c r="L29" s="47"/>
      <c r="M29" s="124"/>
      <c r="N29" s="47"/>
      <c r="O29" s="47"/>
      <c r="P29" s="47"/>
      <c r="Q29" s="47"/>
      <c r="R29" s="47"/>
      <c r="S29" s="12"/>
      <c r="T29" s="380"/>
      <c r="V29" s="8"/>
    </row>
    <row r="30" spans="1:22" x14ac:dyDescent="0.25">
      <c r="B30" s="382"/>
      <c r="C30" s="47" t="s">
        <v>21</v>
      </c>
      <c r="D30" s="160">
        <v>0.42</v>
      </c>
      <c r="E30" s="160">
        <v>0.41299999999999998</v>
      </c>
      <c r="F30" s="161">
        <f>D30/E30</f>
        <v>1.0169491525423728</v>
      </c>
      <c r="G30" s="160">
        <v>0.50960000000000005</v>
      </c>
      <c r="H30" s="161">
        <f>E30/G30</f>
        <v>0.81043956043956034</v>
      </c>
      <c r="I30" s="149"/>
      <c r="J30" s="39"/>
      <c r="K30" s="14"/>
      <c r="L30" s="14"/>
      <c r="M30" s="14"/>
      <c r="N30" s="14"/>
      <c r="O30" s="14"/>
      <c r="P30" s="14"/>
      <c r="Q30" s="14"/>
      <c r="R30" s="14"/>
      <c r="S30" s="15"/>
      <c r="T30" s="380"/>
      <c r="V30" s="8"/>
    </row>
    <row r="31" spans="1:22" x14ac:dyDescent="0.25">
      <c r="B31" s="382"/>
      <c r="C31" s="47" t="s">
        <v>22</v>
      </c>
      <c r="D31" s="160">
        <v>0.57999999999999996</v>
      </c>
      <c r="E31" s="160">
        <v>0.58699999999999997</v>
      </c>
      <c r="F31" s="161">
        <f t="shared" ref="F31:F64" si="1">D31/E31</f>
        <v>0.98807495741056217</v>
      </c>
      <c r="G31" s="160">
        <v>0.49030000000000001</v>
      </c>
      <c r="H31" s="161">
        <f t="shared" ref="H31:H48" si="2">E31/G31</f>
        <v>1.1972261880481336</v>
      </c>
      <c r="I31" s="149"/>
      <c r="J31" s="39"/>
      <c r="K31" s="14"/>
      <c r="L31" s="14"/>
      <c r="M31" s="14"/>
      <c r="N31" s="14"/>
      <c r="O31" s="14"/>
      <c r="P31" s="14"/>
      <c r="Q31" s="14"/>
      <c r="R31" s="14"/>
      <c r="S31" s="15"/>
      <c r="T31" s="380"/>
    </row>
    <row r="32" spans="1:22" x14ac:dyDescent="0.25">
      <c r="B32" s="382"/>
      <c r="D32" s="190"/>
      <c r="E32" s="190"/>
      <c r="F32" s="170"/>
      <c r="G32" s="190"/>
      <c r="H32" s="170"/>
      <c r="I32" s="149"/>
      <c r="J32" s="39"/>
      <c r="K32" s="14"/>
      <c r="L32" s="14"/>
      <c r="M32" s="14"/>
      <c r="N32" s="14"/>
      <c r="O32" s="14"/>
      <c r="P32" s="14"/>
      <c r="Q32" s="14"/>
      <c r="R32" s="14"/>
      <c r="S32" s="15"/>
      <c r="T32" s="380"/>
    </row>
    <row r="33" spans="2:20" x14ac:dyDescent="0.25">
      <c r="B33" s="382"/>
      <c r="C33" s="156" t="s">
        <v>23</v>
      </c>
      <c r="D33" s="169"/>
      <c r="E33" s="169"/>
      <c r="F33" s="170"/>
      <c r="G33" s="190"/>
      <c r="H33" s="170"/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25">
      <c r="B34" s="382"/>
      <c r="C34" s="47" t="s">
        <v>24</v>
      </c>
      <c r="D34" s="160">
        <v>7.0000000000000001E-3</v>
      </c>
      <c r="E34" s="160">
        <v>6.0000000000000001E-3</v>
      </c>
      <c r="F34" s="161">
        <f>D34/E34</f>
        <v>1.1666666666666667</v>
      </c>
      <c r="G34" s="160">
        <v>1.5162636985969145E-2</v>
      </c>
      <c r="H34" s="161">
        <f t="shared" si="2"/>
        <v>0.39570953294945616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25">
      <c r="B35" s="382"/>
      <c r="C35" s="47" t="s">
        <v>25</v>
      </c>
      <c r="D35" s="160">
        <v>0.109</v>
      </c>
      <c r="E35" s="160">
        <v>0.106</v>
      </c>
      <c r="F35" s="161">
        <f t="shared" si="1"/>
        <v>1.0283018867924529</v>
      </c>
      <c r="G35" s="160">
        <v>0.14689127946269487</v>
      </c>
      <c r="H35" s="161">
        <f t="shared" si="2"/>
        <v>0.72162214385858214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25">
      <c r="B36" s="382"/>
      <c r="C36" s="47" t="s">
        <v>26</v>
      </c>
      <c r="D36" s="160">
        <v>0.36099999999999999</v>
      </c>
      <c r="E36" s="160">
        <v>0.34699999999999998</v>
      </c>
      <c r="F36" s="161">
        <f t="shared" si="1"/>
        <v>1.0403458213256485</v>
      </c>
      <c r="G36" s="160">
        <v>0.29231346625836307</v>
      </c>
      <c r="H36" s="161">
        <f t="shared" si="2"/>
        <v>1.1870818147437034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25">
      <c r="B37" s="382"/>
      <c r="C37" s="47" t="s">
        <v>27</v>
      </c>
      <c r="D37" s="160">
        <v>0.42899999999999999</v>
      </c>
      <c r="E37" s="160">
        <v>0.374</v>
      </c>
      <c r="F37" s="161">
        <f t="shared" si="1"/>
        <v>1.1470588235294117</v>
      </c>
      <c r="G37" s="160">
        <v>0.33756976623863771</v>
      </c>
      <c r="H37" s="161">
        <f t="shared" si="2"/>
        <v>1.1079191248887161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25">
      <c r="B38" s="382"/>
      <c r="C38" s="47" t="s">
        <v>28</v>
      </c>
      <c r="D38" s="160">
        <v>8.5000000000000006E-2</v>
      </c>
      <c r="E38" s="160">
        <v>0.14699999999999999</v>
      </c>
      <c r="F38" s="161">
        <f t="shared" si="1"/>
        <v>0.57823129251700689</v>
      </c>
      <c r="G38" s="160">
        <v>0.15019183694587174</v>
      </c>
      <c r="H38" s="161">
        <f t="shared" si="2"/>
        <v>0.9787482661456357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25">
      <c r="B39" s="382"/>
      <c r="C39" s="47" t="s">
        <v>29</v>
      </c>
      <c r="D39" s="160">
        <v>8.0000000000000002E-3</v>
      </c>
      <c r="E39" s="160">
        <v>0.02</v>
      </c>
      <c r="F39" s="161">
        <f t="shared" si="1"/>
        <v>0.4</v>
      </c>
      <c r="G39" s="160">
        <v>5.6998531917852077E-2</v>
      </c>
      <c r="H39" s="161">
        <f t="shared" si="2"/>
        <v>0.35088623034755662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25">
      <c r="B40" s="382"/>
      <c r="D40" s="190"/>
      <c r="E40" s="190"/>
      <c r="F40" s="170"/>
      <c r="G40" s="190"/>
      <c r="H40" s="170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25">
      <c r="B41" s="382"/>
      <c r="C41" s="156" t="s">
        <v>30</v>
      </c>
      <c r="D41" s="169"/>
      <c r="E41" s="169"/>
      <c r="F41" s="170"/>
      <c r="G41" s="190"/>
      <c r="H41" s="170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25">
      <c r="B42" s="382"/>
      <c r="C42" s="47" t="s">
        <v>31</v>
      </c>
      <c r="D42" s="160">
        <v>0.45300000000000001</v>
      </c>
      <c r="E42" s="163">
        <v>0.46800000000000003</v>
      </c>
      <c r="F42" s="161">
        <f t="shared" si="1"/>
        <v>0.96794871794871795</v>
      </c>
      <c r="G42" s="160">
        <v>0.48394756229248453</v>
      </c>
      <c r="H42" s="161">
        <f t="shared" si="2"/>
        <v>0.96704692091651401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25">
      <c r="B43" s="382"/>
      <c r="C43" s="47" t="s">
        <v>32</v>
      </c>
      <c r="D43" s="160">
        <v>0.20699999999999999</v>
      </c>
      <c r="E43" s="160">
        <v>0.20499999999999999</v>
      </c>
      <c r="F43" s="161">
        <f t="shared" si="1"/>
        <v>1.0097560975609756</v>
      </c>
      <c r="G43" s="160">
        <v>0.15961711188931163</v>
      </c>
      <c r="H43" s="161">
        <f t="shared" si="2"/>
        <v>1.2843234511232082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25">
      <c r="B44" s="382"/>
      <c r="C44" s="47" t="s">
        <v>33</v>
      </c>
      <c r="D44" s="160">
        <v>0.13200000000000001</v>
      </c>
      <c r="E44" s="160">
        <v>0.13300000000000001</v>
      </c>
      <c r="F44" s="161">
        <f t="shared" si="1"/>
        <v>0.99248120300751874</v>
      </c>
      <c r="G44" s="160">
        <v>0.12699633662666895</v>
      </c>
      <c r="H44" s="161">
        <f t="shared" si="2"/>
        <v>1.0472743035964889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25">
      <c r="B45" s="382"/>
      <c r="C45" s="47" t="s">
        <v>34</v>
      </c>
      <c r="D45" s="160">
        <v>9.6000000000000002E-2</v>
      </c>
      <c r="E45" s="160">
        <v>9.1999999999999998E-2</v>
      </c>
      <c r="F45" s="161">
        <f t="shared" si="1"/>
        <v>1.0434782608695652</v>
      </c>
      <c r="G45" s="160">
        <v>0.10108508512549325</v>
      </c>
      <c r="H45" s="161">
        <f t="shared" si="2"/>
        <v>0.9101243757749774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25">
      <c r="B46" s="382"/>
      <c r="C46" s="47" t="s">
        <v>35</v>
      </c>
      <c r="D46" s="160">
        <v>2.7E-2</v>
      </c>
      <c r="E46" s="160">
        <v>2.1000000000000001E-2</v>
      </c>
      <c r="F46" s="161">
        <f t="shared" si="1"/>
        <v>1.2857142857142856</v>
      </c>
      <c r="G46" s="160">
        <v>3.3890341006569853E-2</v>
      </c>
      <c r="H46" s="161">
        <f t="shared" si="2"/>
        <v>0.61964557972222889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25">
      <c r="B47" s="382"/>
      <c r="C47" s="47" t="s">
        <v>36</v>
      </c>
      <c r="D47" s="160">
        <v>1.7000000000000001E-2</v>
      </c>
      <c r="E47" s="160">
        <v>1.4999999999999999E-2</v>
      </c>
      <c r="F47" s="161">
        <f t="shared" si="1"/>
        <v>1.1333333333333335</v>
      </c>
      <c r="G47" s="160">
        <v>2.0727830536184641E-2</v>
      </c>
      <c r="H47" s="161">
        <f t="shared" si="2"/>
        <v>0.72366473538146936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25">
      <c r="B48" s="382"/>
      <c r="C48" s="47" t="s">
        <v>37</v>
      </c>
      <c r="D48" s="160">
        <v>6.7000000000000004E-2</v>
      </c>
      <c r="E48" s="160">
        <v>6.6000000000000003E-2</v>
      </c>
      <c r="F48" s="161">
        <f t="shared" si="1"/>
        <v>1.0151515151515151</v>
      </c>
      <c r="G48" s="160">
        <v>7.3735732523287134E-2</v>
      </c>
      <c r="H48" s="161">
        <f t="shared" si="2"/>
        <v>0.89508841563560737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D49" s="190"/>
      <c r="E49" s="190"/>
      <c r="F49" s="170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156" t="s">
        <v>38</v>
      </c>
      <c r="D50" s="169"/>
      <c r="E50" s="169"/>
      <c r="F50" s="170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39</v>
      </c>
      <c r="D51" s="160">
        <v>0.65500000000000003</v>
      </c>
      <c r="E51" s="160">
        <v>0.36499999999999999</v>
      </c>
      <c r="F51" s="161">
        <f t="shared" si="1"/>
        <v>1.7945205479452055</v>
      </c>
      <c r="G51" s="164">
        <v>0.34599999999999997</v>
      </c>
      <c r="H51" s="165">
        <f>E51/G51</f>
        <v>1.0549132947976878</v>
      </c>
      <c r="I51" s="149"/>
      <c r="J51" s="39"/>
      <c r="K51" s="16"/>
      <c r="L51" s="16"/>
      <c r="M51" s="16"/>
      <c r="N51" s="16"/>
      <c r="O51" s="16"/>
      <c r="P51" s="16"/>
      <c r="Q51" s="16"/>
      <c r="R51" s="16"/>
      <c r="S51" s="36"/>
      <c r="T51" s="380"/>
    </row>
    <row r="52" spans="2:20" x14ac:dyDescent="0.25">
      <c r="B52" s="382"/>
      <c r="C52" s="47" t="s">
        <v>40</v>
      </c>
      <c r="D52" s="160">
        <v>3.4000000000000002E-2</v>
      </c>
      <c r="E52" s="160">
        <v>4.3999999999999997E-2</v>
      </c>
      <c r="F52" s="161">
        <f t="shared" si="1"/>
        <v>0.77272727272727282</v>
      </c>
      <c r="G52" s="160">
        <v>8.1000000000000003E-2</v>
      </c>
      <c r="H52" s="165">
        <f t="shared" ref="H52:H56" si="3">E52/G52</f>
        <v>0.54320987654320985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41</v>
      </c>
      <c r="D53" s="160">
        <v>5.8999999999999997E-2</v>
      </c>
      <c r="E53" s="160">
        <v>8.5000000000000006E-2</v>
      </c>
      <c r="F53" s="161">
        <f t="shared" si="1"/>
        <v>0.69411764705882339</v>
      </c>
      <c r="G53" s="160">
        <v>0.14899999999999999</v>
      </c>
      <c r="H53" s="165">
        <f t="shared" si="3"/>
        <v>0.57046979865771819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42</v>
      </c>
      <c r="D54" s="160">
        <v>7.4999999999999997E-2</v>
      </c>
      <c r="E54" s="160">
        <v>0.121</v>
      </c>
      <c r="F54" s="161">
        <f t="shared" si="1"/>
        <v>0.6198347107438017</v>
      </c>
      <c r="G54" s="160">
        <v>0.16600000000000001</v>
      </c>
      <c r="H54" s="165">
        <f t="shared" si="3"/>
        <v>0.72891566265060237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43</v>
      </c>
      <c r="D55" s="160">
        <v>9.5000000000000001E-2</v>
      </c>
      <c r="E55" s="160">
        <v>0.17699999999999999</v>
      </c>
      <c r="F55" s="161">
        <f t="shared" si="1"/>
        <v>0.53672316384180796</v>
      </c>
      <c r="G55" s="160">
        <v>0.16200000000000001</v>
      </c>
      <c r="H55" s="165">
        <f t="shared" si="3"/>
        <v>1.0925925925925926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44</v>
      </c>
      <c r="D56" s="160">
        <v>8.1000000000000003E-2</v>
      </c>
      <c r="E56" s="160">
        <v>0.20799999999999999</v>
      </c>
      <c r="F56" s="161">
        <f t="shared" si="1"/>
        <v>0.38942307692307693</v>
      </c>
      <c r="G56" s="160">
        <v>9.6000000000000002E-2</v>
      </c>
      <c r="H56" s="165">
        <f t="shared" si="3"/>
        <v>2.1666666666666665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D57" s="160"/>
      <c r="E57" s="190"/>
      <c r="F57" s="170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156" t="s">
        <v>136</v>
      </c>
      <c r="D58" s="190"/>
      <c r="E58" s="190"/>
      <c r="F58" s="170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39</v>
      </c>
      <c r="D59" s="160">
        <v>0.57499999999999996</v>
      </c>
      <c r="E59" s="160">
        <v>0.156</v>
      </c>
      <c r="F59" s="161">
        <f t="shared" si="1"/>
        <v>3.6858974358974357</v>
      </c>
      <c r="G59" s="164">
        <v>0.29899999999999999</v>
      </c>
      <c r="H59" s="165">
        <f>E59/G59</f>
        <v>0.52173913043478259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40</v>
      </c>
      <c r="D60" s="160">
        <v>4.5999999999999999E-2</v>
      </c>
      <c r="E60" s="160">
        <v>5.7000000000000002E-2</v>
      </c>
      <c r="F60" s="161">
        <f t="shared" si="1"/>
        <v>0.80701754385964908</v>
      </c>
      <c r="G60" s="166">
        <v>0.14599999999999999</v>
      </c>
      <c r="H60" s="165">
        <f t="shared" ref="H60:H64" si="4">E60/G60</f>
        <v>0.39041095890410965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41</v>
      </c>
      <c r="D61" s="160">
        <v>8.4000000000000005E-2</v>
      </c>
      <c r="E61" s="160">
        <v>0.123</v>
      </c>
      <c r="F61" s="161">
        <f t="shared" si="1"/>
        <v>0.68292682926829273</v>
      </c>
      <c r="G61" s="160">
        <v>0.21099999999999999</v>
      </c>
      <c r="H61" s="165">
        <f t="shared" si="4"/>
        <v>0.58293838862559244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42</v>
      </c>
      <c r="D62" s="160">
        <v>9.4E-2</v>
      </c>
      <c r="E62" s="160">
        <v>0.16300000000000001</v>
      </c>
      <c r="F62" s="161">
        <f t="shared" si="1"/>
        <v>0.57668711656441718</v>
      </c>
      <c r="G62" s="160">
        <v>0.17299999999999999</v>
      </c>
      <c r="H62" s="165">
        <f t="shared" si="4"/>
        <v>0.94219653179190765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43</v>
      </c>
      <c r="D63" s="160">
        <v>0.112</v>
      </c>
      <c r="E63" s="160">
        <v>0.23599999999999999</v>
      </c>
      <c r="F63" s="161">
        <f t="shared" si="1"/>
        <v>0.47457627118644069</v>
      </c>
      <c r="G63" s="160">
        <v>0.121</v>
      </c>
      <c r="H63" s="165">
        <f t="shared" si="4"/>
        <v>1.9504132231404958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ht="15.75" thickBot="1" x14ac:dyDescent="0.3">
      <c r="B64" s="383"/>
      <c r="C64" s="47" t="s">
        <v>44</v>
      </c>
      <c r="D64" s="160">
        <v>8.7999999999999995E-2</v>
      </c>
      <c r="E64" s="160">
        <v>0.26600000000000001</v>
      </c>
      <c r="F64" s="161">
        <f t="shared" si="1"/>
        <v>0.33082706766917291</v>
      </c>
      <c r="G64" s="160">
        <v>5.0999999999999997E-2</v>
      </c>
      <c r="H64" s="165">
        <f t="shared" si="4"/>
        <v>5.2156862745098049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3" ht="15.75" thickBot="1" x14ac:dyDescent="0.3">
      <c r="B65" s="60"/>
      <c r="C65" s="45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26"/>
      <c r="T65" s="27"/>
    </row>
    <row r="66" spans="2:23" x14ac:dyDescent="0.25">
      <c r="B66" s="373" t="s">
        <v>45</v>
      </c>
      <c r="C66" s="5"/>
      <c r="D66" s="385" t="s">
        <v>46</v>
      </c>
      <c r="E66" s="385"/>
      <c r="F66" s="385" t="s">
        <v>47</v>
      </c>
      <c r="G66" s="385"/>
      <c r="H66" s="42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7"/>
      <c r="T66" s="386" t="s">
        <v>48</v>
      </c>
    </row>
    <row r="67" spans="2:23" x14ac:dyDescent="0.25">
      <c r="B67" s="374"/>
      <c r="C67" s="1"/>
      <c r="D67" s="40" t="s">
        <v>49</v>
      </c>
      <c r="E67" s="40" t="s">
        <v>50</v>
      </c>
      <c r="F67" s="40" t="s">
        <v>49</v>
      </c>
      <c r="G67" s="40" t="s">
        <v>50</v>
      </c>
      <c r="H67" s="41" t="s">
        <v>51</v>
      </c>
      <c r="I67" s="96" t="s">
        <v>52</v>
      </c>
      <c r="J67" s="97"/>
      <c r="K67" s="97"/>
      <c r="L67" s="97"/>
      <c r="M67" s="97"/>
      <c r="N67" s="97"/>
      <c r="O67" s="97"/>
      <c r="P67" s="97"/>
      <c r="Q67" s="97"/>
      <c r="R67" s="97"/>
      <c r="S67" s="99"/>
      <c r="T67" s="387"/>
    </row>
    <row r="68" spans="2:23" x14ac:dyDescent="0.25">
      <c r="B68" s="374"/>
      <c r="C68" s="2" t="s">
        <v>53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4"/>
      <c r="T68" s="387"/>
    </row>
    <row r="69" spans="2:23" x14ac:dyDescent="0.25">
      <c r="B69" s="374"/>
      <c r="C69" s="1" t="s">
        <v>54</v>
      </c>
      <c r="D69" s="167">
        <v>3021950</v>
      </c>
      <c r="E69" s="163">
        <v>0.63134621033494498</v>
      </c>
      <c r="F69" s="168">
        <v>153774</v>
      </c>
      <c r="G69" s="160">
        <f>F69/$F$71</f>
        <v>0.63249206166400684</v>
      </c>
      <c r="H69" s="161">
        <f>G69/E69</f>
        <v>1.0018149334078588</v>
      </c>
      <c r="I69" s="163">
        <f>F69/D69</f>
        <v>5.0885686394546568E-2</v>
      </c>
      <c r="J69" s="39"/>
      <c r="K69" s="39"/>
      <c r="L69" s="14"/>
      <c r="M69" s="14"/>
      <c r="N69" s="14"/>
      <c r="O69" s="14"/>
      <c r="P69" s="14"/>
      <c r="Q69" s="14"/>
      <c r="R69" s="14"/>
      <c r="S69" s="82"/>
      <c r="T69" s="387"/>
    </row>
    <row r="70" spans="2:23" x14ac:dyDescent="0.25">
      <c r="B70" s="374"/>
      <c r="C70" s="1" t="s">
        <v>55</v>
      </c>
      <c r="D70" s="167">
        <v>1764568</v>
      </c>
      <c r="E70" s="163">
        <v>0.36865378966505508</v>
      </c>
      <c r="F70" s="168">
        <v>89350</v>
      </c>
      <c r="G70" s="160">
        <f>F70/$F$71</f>
        <v>0.36750793833599316</v>
      </c>
      <c r="H70" s="161">
        <f>G70/E70</f>
        <v>0.99689179560556529</v>
      </c>
      <c r="I70" s="163">
        <f t="shared" ref="I70:I80" si="5">F70/D70</f>
        <v>5.0635622996676809E-2</v>
      </c>
      <c r="J70" s="39"/>
      <c r="K70" s="39"/>
      <c r="L70" s="14"/>
      <c r="M70" s="14"/>
      <c r="N70" s="14"/>
      <c r="O70" s="14"/>
      <c r="P70" s="14"/>
      <c r="Q70" s="14"/>
      <c r="R70" s="14"/>
      <c r="S70" s="82"/>
      <c r="T70" s="387"/>
    </row>
    <row r="71" spans="2:23" x14ac:dyDescent="0.25">
      <c r="B71" s="374"/>
      <c r="C71" s="1" t="s">
        <v>53</v>
      </c>
      <c r="D71" s="167">
        <v>4786518</v>
      </c>
      <c r="E71" s="163"/>
      <c r="F71" s="168">
        <v>243124</v>
      </c>
      <c r="G71" s="162"/>
      <c r="H71" s="170"/>
      <c r="I71" s="163">
        <f t="shared" si="5"/>
        <v>5.0793499575265362E-2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3" x14ac:dyDescent="0.25">
      <c r="B72" s="374"/>
      <c r="C72" s="1"/>
      <c r="D72" s="192"/>
      <c r="E72" s="192"/>
      <c r="F72" s="171"/>
      <c r="G72" s="162"/>
      <c r="H72" s="170"/>
      <c r="I72" s="163"/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3" x14ac:dyDescent="0.25">
      <c r="B73" s="374"/>
      <c r="C73" s="2" t="s">
        <v>56</v>
      </c>
      <c r="D73" s="192"/>
      <c r="E73" s="192"/>
      <c r="F73" s="169"/>
      <c r="G73" s="162"/>
      <c r="H73" s="170"/>
      <c r="I73" s="163"/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3" x14ac:dyDescent="0.25">
      <c r="B74" s="374"/>
      <c r="C74" s="1" t="s">
        <v>57</v>
      </c>
      <c r="D74" s="167">
        <v>728287</v>
      </c>
      <c r="E74" s="163">
        <v>0.4127282144978261</v>
      </c>
      <c r="F74" s="168">
        <v>36509</v>
      </c>
      <c r="G74" s="160">
        <f>F74/$F$70</f>
        <v>0.40860660324566311</v>
      </c>
      <c r="H74" s="161">
        <f t="shared" ref="H74:H80" si="6">G74/E74</f>
        <v>0.99001374001731912</v>
      </c>
      <c r="I74" s="163">
        <f t="shared" si="5"/>
        <v>5.0129962501046975E-2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3" x14ac:dyDescent="0.25">
      <c r="B75" s="374"/>
      <c r="C75" s="1" t="s">
        <v>58</v>
      </c>
      <c r="D75" s="167">
        <v>209351</v>
      </c>
      <c r="E75" s="163">
        <v>0.1186415031894492</v>
      </c>
      <c r="F75" s="168">
        <v>18489</v>
      </c>
      <c r="G75" s="160">
        <f t="shared" ref="G75:G80" si="7">F75/$F$70</f>
        <v>0.20692781197537774</v>
      </c>
      <c r="H75" s="161">
        <f t="shared" si="6"/>
        <v>1.7441435451551144</v>
      </c>
      <c r="I75" s="163">
        <f t="shared" si="5"/>
        <v>8.8315795004561715E-2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25">
      <c r="B76" s="374"/>
      <c r="C76" s="1" t="s">
        <v>59</v>
      </c>
      <c r="D76" s="167">
        <v>189860</v>
      </c>
      <c r="E76" s="163">
        <v>0.1075957401471635</v>
      </c>
      <c r="F76" s="168">
        <v>11434</v>
      </c>
      <c r="G76" s="160">
        <f t="shared" si="7"/>
        <v>0.12796866256295467</v>
      </c>
      <c r="H76" s="161">
        <f t="shared" si="6"/>
        <v>1.1893469238459276</v>
      </c>
      <c r="I76" s="163">
        <f t="shared" si="5"/>
        <v>6.0223322448119669E-2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 x14ac:dyDescent="0.25">
      <c r="B77" s="374"/>
      <c r="C77" s="172" t="s">
        <v>60</v>
      </c>
      <c r="D77" s="173">
        <v>510907</v>
      </c>
      <c r="E77" s="163">
        <v>0.28953658912549701</v>
      </c>
      <c r="F77" s="174">
        <v>18215</v>
      </c>
      <c r="G77" s="160">
        <f t="shared" si="7"/>
        <v>0.2038612199216564</v>
      </c>
      <c r="H77" s="161">
        <f t="shared" si="6"/>
        <v>0.7040948452746143</v>
      </c>
      <c r="I77" s="163">
        <f t="shared" si="5"/>
        <v>3.5652281139228859E-2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 x14ac:dyDescent="0.25">
      <c r="B78" s="374"/>
      <c r="C78" s="1" t="s">
        <v>61</v>
      </c>
      <c r="D78" s="167">
        <v>58759</v>
      </c>
      <c r="E78" s="163">
        <v>3.3299368457322134E-2</v>
      </c>
      <c r="F78" s="168">
        <v>103</v>
      </c>
      <c r="G78" s="160">
        <f t="shared" si="7"/>
        <v>1.152770005595971E-3</v>
      </c>
      <c r="H78" s="161">
        <f t="shared" si="6"/>
        <v>3.4618374431737625E-2</v>
      </c>
      <c r="I78" s="163">
        <f t="shared" si="5"/>
        <v>1.7529229564832622E-3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3" x14ac:dyDescent="0.25">
      <c r="B79" s="374"/>
      <c r="C79" s="1" t="s">
        <v>62</v>
      </c>
      <c r="D79" s="167">
        <v>34664</v>
      </c>
      <c r="E79" s="163">
        <v>1.9644468221117008E-2</v>
      </c>
      <c r="F79" s="168">
        <v>2743</v>
      </c>
      <c r="G79" s="160">
        <f t="shared" si="7"/>
        <v>3.0699496362618914E-2</v>
      </c>
      <c r="H79" s="161">
        <f t="shared" si="6"/>
        <v>1.5627552762979962</v>
      </c>
      <c r="I79" s="163">
        <f t="shared" si="5"/>
        <v>7.9131087006692816E-2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  <c r="W79" s="13"/>
    </row>
    <row r="80" spans="2:23" ht="15.75" thickBot="1" x14ac:dyDescent="0.3">
      <c r="B80" s="375"/>
      <c r="C80" s="9" t="s">
        <v>63</v>
      </c>
      <c r="D80" s="175">
        <v>32740</v>
      </c>
      <c r="E80" s="176">
        <v>1.8554116361625055E-2</v>
      </c>
      <c r="F80" s="177">
        <v>1857</v>
      </c>
      <c r="G80" s="176">
        <f t="shared" si="7"/>
        <v>2.0783435926133183E-2</v>
      </c>
      <c r="H80" s="178">
        <f t="shared" si="6"/>
        <v>1.1201522897160958</v>
      </c>
      <c r="I80" s="179">
        <f t="shared" si="5"/>
        <v>5.6719609040928529E-2</v>
      </c>
      <c r="J80" s="100"/>
      <c r="K80" s="100"/>
      <c r="L80" s="18"/>
      <c r="M80" s="18"/>
      <c r="N80" s="18"/>
      <c r="O80" s="18"/>
      <c r="P80" s="18"/>
      <c r="Q80" s="18"/>
      <c r="R80" s="18"/>
      <c r="S80" s="83"/>
      <c r="T80" s="388"/>
    </row>
    <row r="81" spans="2:23" ht="15.75" thickBot="1" x14ac:dyDescent="0.3">
      <c r="C81" s="1"/>
      <c r="D81" s="8"/>
      <c r="S81" s="4"/>
      <c r="T81" s="28"/>
    </row>
    <row r="82" spans="2:23" x14ac:dyDescent="0.25">
      <c r="B82" s="373" t="s">
        <v>64</v>
      </c>
      <c r="C82" s="21" t="s">
        <v>65</v>
      </c>
      <c r="D82" s="23" t="s">
        <v>66</v>
      </c>
      <c r="E82" s="48" t="s">
        <v>67</v>
      </c>
      <c r="F82" s="48" t="s">
        <v>68</v>
      </c>
      <c r="G82" s="48" t="s">
        <v>51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7"/>
      <c r="T82" s="373" t="s">
        <v>19</v>
      </c>
    </row>
    <row r="83" spans="2:23" x14ac:dyDescent="0.25">
      <c r="B83" s="374"/>
      <c r="C83" s="1" t="s">
        <v>69</v>
      </c>
      <c r="D83" s="168">
        <v>77138</v>
      </c>
      <c r="E83" s="180">
        <v>979501</v>
      </c>
      <c r="F83" s="68"/>
      <c r="I83" s="8"/>
      <c r="S83" s="4"/>
      <c r="T83" s="374"/>
    </row>
    <row r="84" spans="2:23" x14ac:dyDescent="0.25">
      <c r="B84" s="374"/>
      <c r="C84" s="1" t="s">
        <v>70</v>
      </c>
      <c r="D84" s="181">
        <f>D83/H25</f>
        <v>0.72959603507145765</v>
      </c>
      <c r="E84" s="182">
        <f>E83/3337212</f>
        <v>0.29350877319151436</v>
      </c>
      <c r="F84" s="68"/>
      <c r="I84" s="8"/>
      <c r="S84" s="4"/>
      <c r="T84" s="374"/>
    </row>
    <row r="85" spans="2:23" x14ac:dyDescent="0.25">
      <c r="B85" s="374"/>
      <c r="C85" s="1"/>
      <c r="D85" s="199"/>
      <c r="E85" s="200"/>
      <c r="F85" s="14"/>
      <c r="I85" s="8"/>
      <c r="S85" s="4"/>
      <c r="T85" s="374"/>
      <c r="W85" s="8"/>
    </row>
    <row r="86" spans="2:23" ht="14.45" customHeight="1" x14ac:dyDescent="0.25">
      <c r="B86" s="374"/>
      <c r="C86" s="1" t="s">
        <v>71</v>
      </c>
      <c r="D86" s="168">
        <v>243124</v>
      </c>
      <c r="E86" s="183">
        <v>2480679</v>
      </c>
      <c r="F86" s="68"/>
      <c r="I86" s="8"/>
      <c r="S86" s="4"/>
      <c r="T86" s="374"/>
      <c r="U86" s="24"/>
      <c r="W86" s="14"/>
    </row>
    <row r="87" spans="2:23" x14ac:dyDescent="0.25">
      <c r="B87" s="374"/>
      <c r="C87" s="1" t="s">
        <v>72</v>
      </c>
      <c r="D87" s="184">
        <f>D86/D83</f>
        <v>3.1518058544426872</v>
      </c>
      <c r="E87" s="161">
        <f>E86/E83</f>
        <v>2.532594657892131</v>
      </c>
      <c r="F87" s="14"/>
      <c r="I87" s="8"/>
      <c r="S87" s="4"/>
      <c r="T87" s="374"/>
    </row>
    <row r="88" spans="2:23" x14ac:dyDescent="0.25">
      <c r="B88" s="374"/>
      <c r="C88" s="1"/>
      <c r="D88" s="202"/>
      <c r="E88" s="169"/>
      <c r="F88" s="14"/>
      <c r="I88" s="8"/>
      <c r="S88" s="4"/>
      <c r="T88" s="374"/>
      <c r="W88" s="8"/>
    </row>
    <row r="89" spans="2:23" x14ac:dyDescent="0.25">
      <c r="B89" s="374"/>
      <c r="C89" s="1" t="s">
        <v>73</v>
      </c>
      <c r="D89" s="168">
        <v>127185</v>
      </c>
      <c r="E89" s="183">
        <v>1593554</v>
      </c>
      <c r="F89" s="14"/>
      <c r="I89" s="8"/>
      <c r="S89" s="4"/>
      <c r="T89" s="374"/>
      <c r="W89" s="14"/>
    </row>
    <row r="90" spans="2:23" x14ac:dyDescent="0.25">
      <c r="B90" s="374"/>
      <c r="C90" s="1" t="s">
        <v>74</v>
      </c>
      <c r="D90" s="184">
        <f>D89/D83</f>
        <v>1.6487982576680753</v>
      </c>
      <c r="E90" s="165">
        <f>E89/E83</f>
        <v>1.6269039031098489</v>
      </c>
      <c r="F90" s="14"/>
      <c r="S90" s="4"/>
      <c r="T90" s="374"/>
    </row>
    <row r="91" spans="2:23" ht="15.75" thickBot="1" x14ac:dyDescent="0.3">
      <c r="B91" s="375"/>
      <c r="C91" s="9" t="s">
        <v>75</v>
      </c>
      <c r="D91" s="185">
        <f>D86/D89</f>
        <v>1.9115776231473838</v>
      </c>
      <c r="E91" s="186">
        <f>E86/E89</f>
        <v>1.5566959136621665</v>
      </c>
      <c r="F91" s="18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11"/>
      <c r="T91" s="375"/>
    </row>
    <row r="92" spans="2:23" x14ac:dyDescent="0.25">
      <c r="D92" s="37"/>
      <c r="E92" s="22"/>
      <c r="F92" s="14"/>
    </row>
    <row r="93" spans="2:23" s="35" customFormat="1" x14ac:dyDescent="0.25">
      <c r="B93" s="47"/>
      <c r="C93" s="78"/>
      <c r="D93" s="8"/>
      <c r="E93" s="13"/>
    </row>
    <row r="94" spans="2:23" s="35" customFormat="1" x14ac:dyDescent="0.25">
      <c r="B94" s="47"/>
      <c r="C94" s="78"/>
      <c r="D94" s="8"/>
      <c r="E94" s="34"/>
    </row>
    <row r="95" spans="2:23" s="35" customFormat="1" x14ac:dyDescent="0.25">
      <c r="B95" s="47"/>
      <c r="C95" s="78"/>
      <c r="D95" s="8"/>
      <c r="E95" s="34"/>
    </row>
    <row r="96" spans="2:23" s="35" customFormat="1" x14ac:dyDescent="0.25">
      <c r="B96" s="47"/>
      <c r="C96" s="78"/>
      <c r="D96" s="8"/>
      <c r="E96" s="34"/>
    </row>
    <row r="97" spans="2:5" s="35" customFormat="1" x14ac:dyDescent="0.25">
      <c r="B97" s="47"/>
      <c r="C97" s="78"/>
      <c r="D97" s="8"/>
      <c r="E97" s="78"/>
    </row>
    <row r="98" spans="2:5" s="35" customFormat="1" x14ac:dyDescent="0.25">
      <c r="B98" s="47"/>
      <c r="C98" s="78"/>
      <c r="D98" s="8"/>
      <c r="E98" s="34"/>
    </row>
  </sheetData>
  <mergeCells count="15">
    <mergeCell ref="C2:S2"/>
    <mergeCell ref="D3:J3"/>
    <mergeCell ref="K3:M3"/>
    <mergeCell ref="N3:P3"/>
    <mergeCell ref="Q3:S3"/>
    <mergeCell ref="B82:B91"/>
    <mergeCell ref="T82:T91"/>
    <mergeCell ref="B4:B26"/>
    <mergeCell ref="B28:B64"/>
    <mergeCell ref="T28:T64"/>
    <mergeCell ref="B66:B80"/>
    <mergeCell ref="D66:E66"/>
    <mergeCell ref="F66:G66"/>
    <mergeCell ref="T66:T80"/>
    <mergeCell ref="T3:T26"/>
  </mergeCells>
  <pageMargins left="0.7" right="0.7" top="0.75" bottom="0.75" header="0.3" footer="0.3"/>
  <pageSetup orientation="portrait" horizontalDpi="240" verticalDpi="24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84AC7-6C8D-41B5-A9D7-46F67D6B6C91}">
  <sheetPr codeName="Sheet22">
    <tabColor rgb="FFFFC000"/>
  </sheetPr>
  <dimension ref="A1:W110"/>
  <sheetViews>
    <sheetView topLeftCell="B60" zoomScaleNormal="100" workbookViewId="0">
      <selection activeCell="F72" sqref="F72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5" width="14.28515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142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88" t="s">
        <v>94</v>
      </c>
      <c r="D22" s="135">
        <v>88849</v>
      </c>
      <c r="E22" s="135">
        <v>10101</v>
      </c>
      <c r="F22" s="135">
        <v>7507</v>
      </c>
      <c r="G22" s="135">
        <v>6193</v>
      </c>
      <c r="H22" s="135">
        <v>92757</v>
      </c>
      <c r="I22" s="136">
        <v>3908</v>
      </c>
      <c r="J22" s="150">
        <v>6.9702529009893183E-2</v>
      </c>
      <c r="K22" s="135">
        <v>8900</v>
      </c>
      <c r="L22" s="137">
        <v>0.70853932584269663</v>
      </c>
      <c r="M22" s="137">
        <v>0.29146067415730337</v>
      </c>
      <c r="N22" s="135">
        <v>1174</v>
      </c>
      <c r="O22" s="151">
        <v>0.70783645655877347</v>
      </c>
      <c r="P22" s="151">
        <v>0.29216354344122658</v>
      </c>
      <c r="Q22" s="122">
        <v>380</v>
      </c>
      <c r="R22" s="104">
        <v>0.97368421052631582</v>
      </c>
      <c r="S22" s="90">
        <v>2.6315789473684209E-2</v>
      </c>
      <c r="T22" s="374"/>
      <c r="U22" s="39"/>
      <c r="V22" s="142"/>
    </row>
    <row r="23" spans="1:22" x14ac:dyDescent="0.25">
      <c r="A23" s="8"/>
      <c r="B23" s="390"/>
      <c r="C23" s="88" t="s">
        <v>98</v>
      </c>
      <c r="D23" s="135">
        <f>H22</f>
        <v>92757</v>
      </c>
      <c r="E23" s="135">
        <v>7923</v>
      </c>
      <c r="F23" s="135">
        <v>5523</v>
      </c>
      <c r="G23" s="135">
        <v>5943</v>
      </c>
      <c r="H23" s="135">
        <f>D23+E23-G23</f>
        <v>94737</v>
      </c>
      <c r="I23" s="136">
        <f>H23-D23</f>
        <v>1980</v>
      </c>
      <c r="J23" s="150">
        <f>G23/H22</f>
        <v>6.4070636178401627E-2</v>
      </c>
      <c r="K23" s="135">
        <v>7248</v>
      </c>
      <c r="L23" s="137">
        <v>0.68184326710816778</v>
      </c>
      <c r="M23" s="137">
        <v>0.31815673289183222</v>
      </c>
      <c r="N23" s="135">
        <v>698</v>
      </c>
      <c r="O23" s="151">
        <v>0.66332378223495703</v>
      </c>
      <c r="P23" s="151">
        <v>0.33667621776504297</v>
      </c>
      <c r="Q23" s="122">
        <v>122</v>
      </c>
      <c r="R23" s="104">
        <v>0.96721311475409832</v>
      </c>
      <c r="S23" s="90">
        <v>3.2786885245901676E-2</v>
      </c>
      <c r="T23" s="374"/>
      <c r="U23" s="39"/>
      <c r="V23" s="142"/>
    </row>
    <row r="24" spans="1:22" x14ac:dyDescent="0.25">
      <c r="A24" s="8"/>
      <c r="B24" s="390"/>
      <c r="C24" s="88" t="s">
        <v>102</v>
      </c>
      <c r="D24" s="135">
        <f>H23</f>
        <v>94737</v>
      </c>
      <c r="E24" s="135">
        <v>9217</v>
      </c>
      <c r="F24" s="135">
        <v>6131</v>
      </c>
      <c r="G24" s="135">
        <v>6251</v>
      </c>
      <c r="H24" s="135">
        <v>97840</v>
      </c>
      <c r="I24" s="136">
        <f>H24-D24</f>
        <v>3103</v>
      </c>
      <c r="J24" s="150">
        <f>G24/H23</f>
        <v>6.5982667806664771E-2</v>
      </c>
      <c r="K24" s="135">
        <v>8430</v>
      </c>
      <c r="L24" s="137">
        <v>0.66</v>
      </c>
      <c r="M24" s="137">
        <v>0.34</v>
      </c>
      <c r="N24" s="135">
        <v>842</v>
      </c>
      <c r="O24" s="151">
        <v>0.61</v>
      </c>
      <c r="P24" s="151">
        <v>0.39</v>
      </c>
      <c r="Q24" s="122">
        <v>79</v>
      </c>
      <c r="R24" s="104">
        <v>0.97</v>
      </c>
      <c r="S24" s="90">
        <v>0.03</v>
      </c>
      <c r="T24" s="374"/>
      <c r="U24" s="39"/>
      <c r="V24" s="142"/>
    </row>
    <row r="25" spans="1:22" x14ac:dyDescent="0.25">
      <c r="A25" s="8"/>
      <c r="B25" s="390"/>
      <c r="C25" s="88" t="s">
        <v>106</v>
      </c>
      <c r="D25" s="135">
        <f>H24</f>
        <v>97840</v>
      </c>
      <c r="E25" s="135">
        <v>14278</v>
      </c>
      <c r="F25" s="135">
        <v>10008</v>
      </c>
      <c r="G25" s="135">
        <v>6480</v>
      </c>
      <c r="H25" s="135">
        <v>105727</v>
      </c>
      <c r="I25" s="136">
        <f>H25-D25</f>
        <v>7887</v>
      </c>
      <c r="J25" s="150">
        <f>G25/H24</f>
        <v>6.6230580539656581E-2</v>
      </c>
      <c r="K25" s="135">
        <v>13328</v>
      </c>
      <c r="L25" s="137">
        <v>0.7</v>
      </c>
      <c r="M25" s="137">
        <v>0.3</v>
      </c>
      <c r="N25" s="135">
        <v>1135</v>
      </c>
      <c r="O25" s="151">
        <v>0.63</v>
      </c>
      <c r="P25" s="151">
        <v>0.37</v>
      </c>
      <c r="Q25" s="122">
        <v>50</v>
      </c>
      <c r="R25" s="104">
        <v>0.92</v>
      </c>
      <c r="S25" s="90">
        <v>0.08</v>
      </c>
      <c r="T25" s="374"/>
      <c r="U25" s="39"/>
      <c r="V25" s="142"/>
    </row>
    <row r="26" spans="1:22" x14ac:dyDescent="0.25">
      <c r="A26" s="8"/>
      <c r="B26" s="390"/>
      <c r="C26" s="88" t="s">
        <v>110</v>
      </c>
      <c r="D26" s="135">
        <f>H25</f>
        <v>105727</v>
      </c>
      <c r="E26" s="135">
        <v>11508</v>
      </c>
      <c r="F26" s="135">
        <v>7633</v>
      </c>
      <c r="G26" s="135">
        <v>7684</v>
      </c>
      <c r="H26" s="220">
        <f>D26+E26-G26</f>
        <v>109551</v>
      </c>
      <c r="I26" s="221">
        <f>H26-D26</f>
        <v>3824</v>
      </c>
      <c r="J26" s="150">
        <f>G26/H25</f>
        <v>7.2677745514390837E-2</v>
      </c>
      <c r="K26" s="135">
        <v>10693</v>
      </c>
      <c r="L26" s="137">
        <v>0.66</v>
      </c>
      <c r="M26" s="137">
        <v>0.34</v>
      </c>
      <c r="N26" s="135">
        <v>913</v>
      </c>
      <c r="O26" s="151">
        <v>0.61</v>
      </c>
      <c r="P26" s="151">
        <v>0.39</v>
      </c>
      <c r="Q26" s="122">
        <v>63</v>
      </c>
      <c r="R26" s="104">
        <v>0.92</v>
      </c>
      <c r="S26" s="90">
        <v>0.08</v>
      </c>
      <c r="T26" s="374"/>
      <c r="U26" s="39"/>
      <c r="V26" s="142"/>
    </row>
    <row r="27" spans="1:22" ht="15.75" thickBot="1" x14ac:dyDescent="0.3">
      <c r="B27" s="391"/>
      <c r="C27" s="88" t="s">
        <v>78</v>
      </c>
      <c r="D27" s="135"/>
      <c r="E27" s="135">
        <f>SUM(E5:E26)</f>
        <v>190049</v>
      </c>
      <c r="F27" s="135">
        <f>SUM(F5:F26)</f>
        <v>155101.52000000002</v>
      </c>
      <c r="G27" s="135">
        <f>SUM(G5:G26)</f>
        <v>80724</v>
      </c>
      <c r="H27" s="135"/>
      <c r="I27" s="136"/>
      <c r="J27" s="136"/>
      <c r="K27" s="135">
        <f>SUM(K5:K26)</f>
        <v>180286</v>
      </c>
      <c r="L27" s="136"/>
      <c r="M27" s="136"/>
      <c r="N27" s="135">
        <f>SUM(N17:N26)</f>
        <v>11799</v>
      </c>
      <c r="O27" s="135"/>
      <c r="P27" s="135"/>
      <c r="Q27" s="144">
        <f>SUM(Q20:Q26)</f>
        <v>1712</v>
      </c>
      <c r="R27" s="93"/>
      <c r="S27" s="112"/>
      <c r="T27" s="375"/>
      <c r="U27" s="8"/>
      <c r="V27" s="142"/>
    </row>
    <row r="28" spans="1:22" ht="15.75" thickBot="1" x14ac:dyDescent="0.3">
      <c r="C28" s="45"/>
      <c r="D28" s="25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1"/>
      <c r="T28" s="27"/>
      <c r="V28" s="142"/>
    </row>
    <row r="29" spans="1:22" x14ac:dyDescent="0.25">
      <c r="B29" s="381" t="s">
        <v>13</v>
      </c>
      <c r="C29" s="94"/>
      <c r="D29" s="48" t="s">
        <v>143</v>
      </c>
      <c r="E29" s="48" t="s">
        <v>15</v>
      </c>
      <c r="F29" s="48" t="s">
        <v>112</v>
      </c>
      <c r="G29" s="48" t="s">
        <v>138</v>
      </c>
      <c r="H29" s="48" t="s">
        <v>18</v>
      </c>
      <c r="I29" s="94"/>
      <c r="J29" s="116"/>
      <c r="K29" s="116"/>
      <c r="L29" s="94"/>
      <c r="M29" s="94"/>
      <c r="N29" s="94"/>
      <c r="O29" s="94"/>
      <c r="P29" s="94"/>
      <c r="Q29" s="94"/>
      <c r="R29" s="94"/>
      <c r="S29" s="49"/>
      <c r="T29" s="380" t="s">
        <v>19</v>
      </c>
      <c r="V29" s="142"/>
    </row>
    <row r="30" spans="1:22" x14ac:dyDescent="0.25">
      <c r="B30" s="382"/>
      <c r="C30" s="156" t="s">
        <v>20</v>
      </c>
      <c r="D30" s="47"/>
      <c r="E30" s="47"/>
      <c r="F30" s="47"/>
      <c r="G30" s="47"/>
      <c r="I30" s="154"/>
      <c r="J30" s="47"/>
      <c r="K30" s="47"/>
      <c r="L30" s="47"/>
      <c r="M30" s="124"/>
      <c r="N30" s="47"/>
      <c r="O30" s="47"/>
      <c r="P30" s="47"/>
      <c r="Q30" s="47"/>
      <c r="R30" s="47"/>
      <c r="S30" s="12"/>
      <c r="T30" s="380"/>
      <c r="V30" s="8"/>
    </row>
    <row r="31" spans="1:22" x14ac:dyDescent="0.25">
      <c r="B31" s="382"/>
      <c r="C31" s="47" t="s">
        <v>21</v>
      </c>
      <c r="D31" s="160">
        <v>0.43</v>
      </c>
      <c r="E31" s="160">
        <v>0.41399999999999998</v>
      </c>
      <c r="F31" s="161">
        <f>D31/E31</f>
        <v>1.038647342995169</v>
      </c>
      <c r="G31" s="160">
        <v>0.51</v>
      </c>
      <c r="H31" s="161">
        <f>E31/G31</f>
        <v>0.81176470588235283</v>
      </c>
      <c r="I31" s="149"/>
      <c r="J31" s="222"/>
      <c r="K31" s="14"/>
      <c r="L31" s="14"/>
      <c r="M31" s="14"/>
      <c r="N31" s="14"/>
      <c r="O31" s="14"/>
      <c r="P31" s="14"/>
      <c r="Q31" s="14"/>
      <c r="R31" s="14"/>
      <c r="S31" s="15"/>
      <c r="T31" s="380"/>
      <c r="V31" s="8"/>
    </row>
    <row r="32" spans="1:22" x14ac:dyDescent="0.25">
      <c r="B32" s="382"/>
      <c r="C32" s="47" t="s">
        <v>22</v>
      </c>
      <c r="D32" s="160">
        <v>0.56999999999999995</v>
      </c>
      <c r="E32" s="160">
        <v>0.58599999999999997</v>
      </c>
      <c r="F32" s="161">
        <f t="shared" ref="F32:F65" si="1">D32/E32</f>
        <v>0.97269624573378832</v>
      </c>
      <c r="G32" s="160">
        <v>0.49</v>
      </c>
      <c r="H32" s="161">
        <f t="shared" ref="H32:H49" si="2">E32/G32</f>
        <v>1.1959183673469387</v>
      </c>
      <c r="I32" s="149"/>
      <c r="J32" s="39"/>
      <c r="K32" s="14"/>
      <c r="L32" s="14"/>
      <c r="M32" s="158"/>
      <c r="N32" s="14"/>
      <c r="O32" s="14"/>
      <c r="P32" s="14"/>
      <c r="Q32" s="14"/>
      <c r="R32" s="14"/>
      <c r="S32" s="15"/>
      <c r="T32" s="380"/>
    </row>
    <row r="33" spans="2:20" x14ac:dyDescent="0.25">
      <c r="B33" s="382"/>
      <c r="D33" s="190"/>
      <c r="E33" s="190"/>
      <c r="F33" s="170"/>
      <c r="G33" s="190"/>
      <c r="H33" s="170"/>
      <c r="I33" s="149"/>
      <c r="J33" s="39"/>
      <c r="K33" s="14"/>
      <c r="L33" s="14"/>
      <c r="M33" s="158"/>
      <c r="N33" s="14"/>
      <c r="O33" s="14"/>
      <c r="P33" s="14"/>
      <c r="Q33" s="14"/>
      <c r="R33" s="14"/>
      <c r="S33" s="15"/>
      <c r="T33" s="380"/>
    </row>
    <row r="34" spans="2:20" x14ac:dyDescent="0.25">
      <c r="B34" s="382"/>
      <c r="C34" s="156" t="s">
        <v>23</v>
      </c>
      <c r="D34" s="169"/>
      <c r="E34" s="169"/>
      <c r="F34" s="170"/>
      <c r="G34" s="190"/>
      <c r="H34" s="170"/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25">
      <c r="B35" s="382"/>
      <c r="C35" s="47" t="s">
        <v>24</v>
      </c>
      <c r="D35" s="13">
        <v>0</v>
      </c>
      <c r="E35" s="160">
        <v>0</v>
      </c>
      <c r="F35" s="161" t="s">
        <v>12</v>
      </c>
      <c r="G35" s="160">
        <v>0.01</v>
      </c>
      <c r="H35" s="161">
        <f t="shared" si="2"/>
        <v>0</v>
      </c>
      <c r="I35" s="149"/>
      <c r="M35" s="14"/>
      <c r="N35" s="14"/>
      <c r="O35" s="14"/>
      <c r="P35" s="14"/>
      <c r="Q35" s="14"/>
      <c r="R35" s="14"/>
      <c r="S35" s="15"/>
      <c r="T35" s="380"/>
    </row>
    <row r="36" spans="2:20" x14ac:dyDescent="0.25">
      <c r="B36" s="382"/>
      <c r="C36" s="47" t="s">
        <v>25</v>
      </c>
      <c r="D36" s="13">
        <v>4.5999999999999999E-2</v>
      </c>
      <c r="E36" s="160">
        <v>3.5000000000000003E-2</v>
      </c>
      <c r="F36" s="161">
        <f t="shared" si="1"/>
        <v>1.3142857142857141</v>
      </c>
      <c r="G36" s="160">
        <v>0.13</v>
      </c>
      <c r="H36" s="161">
        <f t="shared" si="2"/>
        <v>0.26923076923076927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25">
      <c r="B37" s="382"/>
      <c r="C37" s="47" t="s">
        <v>26</v>
      </c>
      <c r="D37" s="13">
        <v>0.437</v>
      </c>
      <c r="E37" s="160">
        <v>0.39800000000000002</v>
      </c>
      <c r="F37" s="161">
        <f t="shared" si="1"/>
        <v>1.0979899497487438</v>
      </c>
      <c r="G37" s="160">
        <v>0.3</v>
      </c>
      <c r="H37" s="161">
        <f t="shared" si="2"/>
        <v>1.3266666666666669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25">
      <c r="B38" s="382"/>
      <c r="C38" s="47" t="s">
        <v>27</v>
      </c>
      <c r="D38" s="13">
        <v>0.38800000000000001</v>
      </c>
      <c r="E38" s="160">
        <v>0.40300000000000002</v>
      </c>
      <c r="F38" s="161">
        <f t="shared" si="1"/>
        <v>0.96277915632754341</v>
      </c>
      <c r="G38" s="160">
        <v>0.34</v>
      </c>
      <c r="H38" s="161">
        <f t="shared" si="2"/>
        <v>1.1852941176470588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25">
      <c r="B39" s="382"/>
      <c r="C39" s="47" t="s">
        <v>28</v>
      </c>
      <c r="D39" s="13">
        <v>0.11600000000000001</v>
      </c>
      <c r="E39" s="160">
        <v>0.14599999999999999</v>
      </c>
      <c r="F39" s="161">
        <f t="shared" si="1"/>
        <v>0.79452054794520555</v>
      </c>
      <c r="G39" s="160">
        <v>0.16</v>
      </c>
      <c r="H39" s="161">
        <f t="shared" si="2"/>
        <v>0.91249999999999998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25">
      <c r="B40" s="382"/>
      <c r="C40" s="47" t="s">
        <v>29</v>
      </c>
      <c r="D40" s="13">
        <v>1.4E-2</v>
      </c>
      <c r="E40" s="160">
        <v>1.9E-2</v>
      </c>
      <c r="F40" s="161">
        <f t="shared" si="1"/>
        <v>0.73684210526315796</v>
      </c>
      <c r="G40" s="160">
        <v>0.06</v>
      </c>
      <c r="H40" s="161">
        <f t="shared" si="2"/>
        <v>0.31666666666666665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25">
      <c r="B41" s="382"/>
      <c r="D41" s="190"/>
      <c r="E41" s="190"/>
      <c r="F41" s="170"/>
      <c r="G41" s="13"/>
      <c r="H41" s="170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25">
      <c r="B42" s="382"/>
      <c r="C42" s="156" t="s">
        <v>30</v>
      </c>
      <c r="D42" s="169"/>
      <c r="E42" s="169"/>
      <c r="F42" s="170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25">
      <c r="B43" s="382"/>
      <c r="C43" s="47" t="s">
        <v>31</v>
      </c>
      <c r="D43" s="160">
        <v>0.48699999999999999</v>
      </c>
      <c r="E43" s="163">
        <v>0.47199999999999998</v>
      </c>
      <c r="F43" s="161">
        <f t="shared" si="1"/>
        <v>1.0317796610169492</v>
      </c>
      <c r="G43" s="181">
        <v>0.48</v>
      </c>
      <c r="H43" s="161">
        <f t="shared" si="2"/>
        <v>0.98333333333333328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25">
      <c r="B44" s="382"/>
      <c r="C44" s="47" t="s">
        <v>32</v>
      </c>
      <c r="D44" s="160">
        <v>0.19900000000000001</v>
      </c>
      <c r="E44" s="160">
        <v>0.20499999999999999</v>
      </c>
      <c r="F44" s="161">
        <f t="shared" si="1"/>
        <v>0.97073170731707326</v>
      </c>
      <c r="G44" s="181">
        <v>0.16</v>
      </c>
      <c r="H44" s="161">
        <f t="shared" si="2"/>
        <v>1.28125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25">
      <c r="B45" s="382"/>
      <c r="C45" s="47" t="s">
        <v>33</v>
      </c>
      <c r="D45" s="160">
        <v>0.11899999999999999</v>
      </c>
      <c r="E45" s="160">
        <v>0.13</v>
      </c>
      <c r="F45" s="161">
        <f t="shared" si="1"/>
        <v>0.91538461538461535</v>
      </c>
      <c r="G45" s="181">
        <v>0.13</v>
      </c>
      <c r="H45" s="161">
        <f t="shared" si="2"/>
        <v>1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25">
      <c r="B46" s="382"/>
      <c r="C46" s="47" t="s">
        <v>34</v>
      </c>
      <c r="D46" s="160">
        <v>8.7999999999999995E-2</v>
      </c>
      <c r="E46" s="160">
        <v>0.09</v>
      </c>
      <c r="F46" s="161">
        <f t="shared" si="1"/>
        <v>0.97777777777777775</v>
      </c>
      <c r="G46" s="181">
        <v>0.1</v>
      </c>
      <c r="H46" s="161">
        <f t="shared" si="2"/>
        <v>0.89999999999999991</v>
      </c>
      <c r="I46" s="223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25">
      <c r="B47" s="382"/>
      <c r="C47" s="47" t="s">
        <v>35</v>
      </c>
      <c r="D47" s="160">
        <v>2.4E-2</v>
      </c>
      <c r="E47" s="160">
        <v>2.1999999999999999E-2</v>
      </c>
      <c r="F47" s="161">
        <f t="shared" si="1"/>
        <v>1.0909090909090911</v>
      </c>
      <c r="G47" s="181">
        <v>3.3890341006569853E-2</v>
      </c>
      <c r="H47" s="161">
        <f t="shared" si="2"/>
        <v>0.64915251208995395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25">
      <c r="B48" s="382"/>
      <c r="C48" s="47" t="s">
        <v>36</v>
      </c>
      <c r="D48" s="160">
        <v>1.7000000000000001E-2</v>
      </c>
      <c r="E48" s="160">
        <v>1.6E-2</v>
      </c>
      <c r="F48" s="161">
        <f t="shared" si="1"/>
        <v>1.0625</v>
      </c>
      <c r="G48" s="181">
        <v>2.0727830536184641E-2</v>
      </c>
      <c r="H48" s="161">
        <f t="shared" si="2"/>
        <v>0.77190905107356744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37</v>
      </c>
      <c r="D49" s="160">
        <v>6.6000000000000003E-2</v>
      </c>
      <c r="E49" s="160">
        <v>6.5000000000000002E-2</v>
      </c>
      <c r="F49" s="161">
        <f t="shared" si="1"/>
        <v>1.0153846153846153</v>
      </c>
      <c r="G49" s="181">
        <v>7.3735732523287134E-2</v>
      </c>
      <c r="H49" s="161">
        <f t="shared" si="2"/>
        <v>0.88152646994415873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D50" s="190"/>
      <c r="E50" s="190"/>
      <c r="F50" s="170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156" t="s">
        <v>38</v>
      </c>
      <c r="D51" s="169"/>
      <c r="E51" s="169"/>
      <c r="F51" s="170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39</v>
      </c>
      <c r="D52" s="160">
        <v>0.44800000000000001</v>
      </c>
      <c r="E52" s="160">
        <v>0.33100000000000002</v>
      </c>
      <c r="F52" s="161">
        <f t="shared" si="1"/>
        <v>1.3534743202416919</v>
      </c>
      <c r="G52" s="16">
        <v>0.36199999999999999</v>
      </c>
      <c r="H52" s="165">
        <f>E52/G52</f>
        <v>0.91436464088397795</v>
      </c>
      <c r="I52" s="149"/>
      <c r="J52" s="39"/>
      <c r="K52" s="16"/>
      <c r="L52" s="16"/>
      <c r="M52" s="16"/>
      <c r="N52" s="16"/>
      <c r="O52" s="16"/>
      <c r="P52" s="16"/>
      <c r="Q52" s="16"/>
      <c r="R52" s="16"/>
      <c r="S52" s="36"/>
      <c r="T52" s="380"/>
    </row>
    <row r="53" spans="2:20" x14ac:dyDescent="0.25">
      <c r="B53" s="382"/>
      <c r="C53" s="47" t="s">
        <v>40</v>
      </c>
      <c r="D53" s="160">
        <v>4.7E-2</v>
      </c>
      <c r="E53" s="160">
        <v>4.4999999999999998E-2</v>
      </c>
      <c r="F53" s="161">
        <f t="shared" si="1"/>
        <v>1.0444444444444445</v>
      </c>
      <c r="G53" s="13">
        <v>8.1000000000000003E-2</v>
      </c>
      <c r="H53" s="165">
        <f t="shared" ref="H53:H57" si="3">E53/G53</f>
        <v>0.55555555555555547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41</v>
      </c>
      <c r="D54" s="160">
        <v>0.09</v>
      </c>
      <c r="E54" s="160">
        <v>8.7999999999999995E-2</v>
      </c>
      <c r="F54" s="161">
        <f t="shared" si="1"/>
        <v>1.0227272727272727</v>
      </c>
      <c r="G54" s="13">
        <v>0.14799999999999999</v>
      </c>
      <c r="H54" s="165">
        <f t="shared" si="3"/>
        <v>0.59459459459459463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42</v>
      </c>
      <c r="D55" s="160">
        <v>0.12</v>
      </c>
      <c r="E55" s="160">
        <v>0.126</v>
      </c>
      <c r="F55" s="161">
        <f t="shared" si="1"/>
        <v>0.95238095238095233</v>
      </c>
      <c r="G55" s="13">
        <v>0.16400000000000001</v>
      </c>
      <c r="H55" s="165">
        <f t="shared" si="3"/>
        <v>0.76829268292682928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43</v>
      </c>
      <c r="D56" s="160">
        <v>0.154</v>
      </c>
      <c r="E56" s="160">
        <v>0.186</v>
      </c>
      <c r="F56" s="161">
        <f t="shared" si="1"/>
        <v>0.82795698924731187</v>
      </c>
      <c r="G56" s="13">
        <v>0.157</v>
      </c>
      <c r="H56" s="165">
        <f t="shared" si="3"/>
        <v>1.1847133757961783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44</v>
      </c>
      <c r="D57" s="160">
        <v>0.14099999999999999</v>
      </c>
      <c r="E57" s="160">
        <v>0.223</v>
      </c>
      <c r="F57" s="161">
        <f t="shared" si="1"/>
        <v>0.63228699551569501</v>
      </c>
      <c r="G57" s="13">
        <v>8.8999999999999996E-2</v>
      </c>
      <c r="H57" s="165">
        <f t="shared" si="3"/>
        <v>2.50561797752809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D58" s="190"/>
      <c r="E58" s="190"/>
      <c r="F58" s="170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156" t="s">
        <v>136</v>
      </c>
      <c r="D59" s="190"/>
      <c r="E59" s="190"/>
      <c r="F59" s="170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39</v>
      </c>
      <c r="D60" s="160">
        <v>0.34200000000000003</v>
      </c>
      <c r="E60" s="160">
        <v>0.113</v>
      </c>
      <c r="F60" s="161">
        <f t="shared" si="1"/>
        <v>3.0265486725663719</v>
      </c>
      <c r="G60" s="16">
        <v>0.31900000000000001</v>
      </c>
      <c r="H60" s="165">
        <f>E60/G60</f>
        <v>0.35423197492163011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40</v>
      </c>
      <c r="D61" s="160">
        <v>6.4000000000000001E-2</v>
      </c>
      <c r="E61" s="160">
        <v>5.2999999999999999E-2</v>
      </c>
      <c r="F61" s="161">
        <f t="shared" si="1"/>
        <v>1.2075471698113207</v>
      </c>
      <c r="G61" s="158">
        <v>0.14299999999999999</v>
      </c>
      <c r="H61" s="165">
        <f t="shared" ref="H61:H65" si="4">E61/G61</f>
        <v>0.37062937062937062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41</v>
      </c>
      <c r="D62" s="160">
        <v>0.125</v>
      </c>
      <c r="E62" s="160">
        <v>0.123</v>
      </c>
      <c r="F62" s="161">
        <f t="shared" si="1"/>
        <v>1.0162601626016261</v>
      </c>
      <c r="G62" s="13">
        <v>0.20699999999999999</v>
      </c>
      <c r="H62" s="165">
        <f t="shared" si="4"/>
        <v>0.59420289855072461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42</v>
      </c>
      <c r="D63" s="160">
        <v>0.151</v>
      </c>
      <c r="E63" s="160">
        <v>0.16700000000000001</v>
      </c>
      <c r="F63" s="161">
        <f t="shared" si="1"/>
        <v>0.90419161676646698</v>
      </c>
      <c r="G63" s="13">
        <v>0.16700000000000001</v>
      </c>
      <c r="H63" s="165">
        <f t="shared" si="4"/>
        <v>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43</v>
      </c>
      <c r="D64" s="160">
        <v>0.17699999999999999</v>
      </c>
      <c r="E64" s="160">
        <v>0.249</v>
      </c>
      <c r="F64" s="161">
        <f t="shared" si="1"/>
        <v>0.71084337349397586</v>
      </c>
      <c r="G64" s="13">
        <v>0.11600000000000001</v>
      </c>
      <c r="H64" s="165">
        <f t="shared" si="4"/>
        <v>2.146551724137931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3" ht="15.75" thickBot="1" x14ac:dyDescent="0.3">
      <c r="B65" s="383"/>
      <c r="C65" s="47" t="s">
        <v>44</v>
      </c>
      <c r="D65" s="160">
        <v>0.14099999999999999</v>
      </c>
      <c r="E65" s="160">
        <v>0.29499999999999998</v>
      </c>
      <c r="F65" s="161">
        <f t="shared" si="1"/>
        <v>0.47796610169491521</v>
      </c>
      <c r="G65" s="13">
        <v>4.9000000000000002E-2</v>
      </c>
      <c r="H65" s="165">
        <f t="shared" si="4"/>
        <v>6.0204081632653059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3" ht="15.75" thickBot="1" x14ac:dyDescent="0.3">
      <c r="B66" s="60"/>
      <c r="C66" s="45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26"/>
      <c r="T66" s="27"/>
    </row>
    <row r="67" spans="2:23" x14ac:dyDescent="0.25">
      <c r="B67" s="373" t="s">
        <v>45</v>
      </c>
      <c r="C67" s="5"/>
      <c r="D67" s="385" t="s">
        <v>46</v>
      </c>
      <c r="E67" s="385"/>
      <c r="F67" s="385" t="s">
        <v>47</v>
      </c>
      <c r="G67" s="385"/>
      <c r="H67" s="42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7"/>
      <c r="T67" s="386" t="s">
        <v>48</v>
      </c>
    </row>
    <row r="68" spans="2:23" x14ac:dyDescent="0.25">
      <c r="B68" s="374"/>
      <c r="C68" s="1"/>
      <c r="D68" s="40" t="s">
        <v>49</v>
      </c>
      <c r="E68" s="40" t="s">
        <v>50</v>
      </c>
      <c r="F68" s="40" t="s">
        <v>49</v>
      </c>
      <c r="G68" s="40" t="s">
        <v>50</v>
      </c>
      <c r="H68" s="41" t="s">
        <v>51</v>
      </c>
      <c r="I68" s="96" t="s">
        <v>52</v>
      </c>
      <c r="J68" s="97"/>
      <c r="K68" s="97"/>
      <c r="L68" s="97"/>
      <c r="M68" s="97"/>
      <c r="N68" s="97"/>
      <c r="O68" s="97"/>
      <c r="P68" s="97"/>
      <c r="Q68" s="97"/>
      <c r="R68" s="97"/>
      <c r="S68" s="99"/>
      <c r="T68" s="387"/>
    </row>
    <row r="69" spans="2:23" x14ac:dyDescent="0.25">
      <c r="B69" s="374"/>
      <c r="C69" s="2" t="s">
        <v>53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4"/>
      <c r="T69" s="387"/>
    </row>
    <row r="70" spans="2:23" x14ac:dyDescent="0.25">
      <c r="B70" s="374"/>
      <c r="C70" s="1" t="s">
        <v>54</v>
      </c>
      <c r="D70" s="193">
        <v>2151132</v>
      </c>
      <c r="E70" s="191">
        <f>D70/D72</f>
        <v>0.59502203742295756</v>
      </c>
      <c r="F70" s="8">
        <v>106418</v>
      </c>
      <c r="G70" s="13">
        <f>F70/$F$72</f>
        <v>0.49209953156719211</v>
      </c>
      <c r="H70" s="14">
        <f>G70/E70</f>
        <v>0.82702740506633476</v>
      </c>
      <c r="I70" s="191">
        <f>F70/D70</f>
        <v>4.9470697288683356E-2</v>
      </c>
      <c r="J70" s="39"/>
      <c r="K70" s="168"/>
      <c r="L70" s="168"/>
      <c r="M70" s="14"/>
      <c r="N70" s="14"/>
      <c r="O70" s="14"/>
      <c r="P70" s="14"/>
      <c r="Q70" s="14"/>
      <c r="R70" s="14"/>
      <c r="S70" s="82"/>
      <c r="T70" s="387"/>
    </row>
    <row r="71" spans="2:23" x14ac:dyDescent="0.25">
      <c r="B71" s="374"/>
      <c r="C71" s="1" t="s">
        <v>55</v>
      </c>
      <c r="D71" s="193">
        <v>1464082</v>
      </c>
      <c r="E71" s="191">
        <f>D71/D72</f>
        <v>0.40497796257704244</v>
      </c>
      <c r="F71" s="8">
        <v>109835</v>
      </c>
      <c r="G71" s="13">
        <f>F71/$F$72</f>
        <v>0.50790046843280789</v>
      </c>
      <c r="H71" s="14">
        <f>G71/E71</f>
        <v>1.2541434728962211</v>
      </c>
      <c r="I71" s="191">
        <f t="shared" ref="I71:I81" si="5">F71/D71</f>
        <v>7.5019705180447538E-2</v>
      </c>
      <c r="J71" s="39"/>
      <c r="K71" s="8"/>
      <c r="L71" s="8"/>
      <c r="M71" s="14"/>
      <c r="N71" s="14"/>
      <c r="O71" s="14"/>
      <c r="P71" s="14"/>
      <c r="Q71" s="14"/>
      <c r="R71" s="14"/>
      <c r="S71" s="82"/>
      <c r="T71" s="387"/>
    </row>
    <row r="72" spans="2:23" x14ac:dyDescent="0.25">
      <c r="B72" s="374"/>
      <c r="C72" s="1" t="s">
        <v>53</v>
      </c>
      <c r="D72" s="193">
        <v>3615214</v>
      </c>
      <c r="E72" s="192"/>
      <c r="F72" s="8">
        <v>216253</v>
      </c>
      <c r="G72" s="169"/>
      <c r="H72" s="170"/>
      <c r="I72" s="191">
        <f t="shared" si="5"/>
        <v>5.9817482450554793E-2</v>
      </c>
      <c r="J72" s="39"/>
      <c r="K72" s="168"/>
      <c r="L72" s="168"/>
      <c r="M72" s="14"/>
      <c r="N72" s="14"/>
      <c r="O72" s="14"/>
      <c r="P72" s="14"/>
      <c r="Q72" s="14"/>
      <c r="R72" s="14"/>
      <c r="S72" s="82"/>
      <c r="T72" s="387"/>
    </row>
    <row r="73" spans="2:23" x14ac:dyDescent="0.25">
      <c r="B73" s="374"/>
      <c r="C73" s="1"/>
      <c r="D73" s="192"/>
      <c r="E73" s="192"/>
      <c r="F73" s="171"/>
      <c r="G73" s="169"/>
      <c r="H73" s="170"/>
      <c r="I73" s="192"/>
      <c r="J73" s="39"/>
      <c r="K73" s="222"/>
      <c r="L73" s="239"/>
      <c r="M73" s="14"/>
      <c r="N73" s="14"/>
      <c r="O73" s="14"/>
      <c r="P73" s="14"/>
      <c r="Q73" s="14"/>
      <c r="R73" s="14"/>
      <c r="S73" s="82"/>
      <c r="T73" s="387"/>
    </row>
    <row r="74" spans="2:23" x14ac:dyDescent="0.25">
      <c r="B74" s="374"/>
      <c r="C74" s="2" t="s">
        <v>56</v>
      </c>
      <c r="D74" s="192"/>
      <c r="E74" s="192"/>
      <c r="F74" s="169"/>
      <c r="G74" s="169"/>
      <c r="H74" s="170"/>
      <c r="I74" s="192"/>
      <c r="J74" s="39"/>
      <c r="K74" s="39"/>
      <c r="L74" s="149"/>
      <c r="M74" s="14"/>
      <c r="N74" s="14"/>
      <c r="O74" s="14"/>
      <c r="P74" s="14"/>
      <c r="Q74" s="14"/>
      <c r="R74" s="14"/>
      <c r="S74" s="82"/>
      <c r="T74" s="387"/>
    </row>
    <row r="75" spans="2:23" x14ac:dyDescent="0.25">
      <c r="B75" s="374"/>
      <c r="C75" s="1" t="s">
        <v>57</v>
      </c>
      <c r="D75" s="193">
        <v>516785</v>
      </c>
      <c r="E75" s="191">
        <f>D75/$D$71</f>
        <v>0.3529754480964864</v>
      </c>
      <c r="F75" s="8">
        <v>40932</v>
      </c>
      <c r="G75" s="13">
        <f>F75/$F$71</f>
        <v>0.37266809304866388</v>
      </c>
      <c r="H75" s="14">
        <f t="shared" ref="H75:H81" si="6">G75/E75</f>
        <v>1.0557904099516702</v>
      </c>
      <c r="I75" s="191">
        <f t="shared" si="5"/>
        <v>7.9205085286918164E-2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3" x14ac:dyDescent="0.25">
      <c r="B76" s="374"/>
      <c r="C76" s="1" t="s">
        <v>58</v>
      </c>
      <c r="D76" s="193">
        <v>233154</v>
      </c>
      <c r="E76" s="191">
        <f t="shared" ref="E76:E81" si="7">D76/$D$71</f>
        <v>0.15924927702136901</v>
      </c>
      <c r="F76" s="8">
        <v>22512</v>
      </c>
      <c r="G76" s="13">
        <f t="shared" ref="G76:G81" si="8">F76/$F$71</f>
        <v>0.20496198843720126</v>
      </c>
      <c r="H76" s="14">
        <f t="shared" si="6"/>
        <v>1.2870512963754193</v>
      </c>
      <c r="I76" s="191">
        <f t="shared" si="5"/>
        <v>9.6554208806196765E-2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3" x14ac:dyDescent="0.25">
      <c r="B77" s="374"/>
      <c r="C77" s="1" t="s">
        <v>59</v>
      </c>
      <c r="D77" s="193">
        <v>148177</v>
      </c>
      <c r="E77" s="191">
        <f t="shared" si="7"/>
        <v>0.10120812905288092</v>
      </c>
      <c r="F77" s="8">
        <v>16836</v>
      </c>
      <c r="G77" s="13">
        <f t="shared" si="8"/>
        <v>0.15328447216278965</v>
      </c>
      <c r="H77" s="14">
        <f t="shared" si="6"/>
        <v>1.5145470388322169</v>
      </c>
      <c r="I77" s="191">
        <f t="shared" si="5"/>
        <v>0.11362087233511274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3" x14ac:dyDescent="0.25">
      <c r="B78" s="374"/>
      <c r="C78" s="172" t="s">
        <v>60</v>
      </c>
      <c r="D78" s="8">
        <v>454841</v>
      </c>
      <c r="E78" s="191">
        <f t="shared" si="7"/>
        <v>0.31066634245896063</v>
      </c>
      <c r="F78" s="195">
        <v>22375</v>
      </c>
      <c r="G78" s="13">
        <f t="shared" si="8"/>
        <v>0.20371466290344609</v>
      </c>
      <c r="H78" s="14">
        <f t="shared" si="6"/>
        <v>0.65573457778213295</v>
      </c>
      <c r="I78" s="191">
        <f t="shared" si="5"/>
        <v>4.9193014701840863E-2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3" x14ac:dyDescent="0.25">
      <c r="B79" s="374"/>
      <c r="C79" s="1" t="s">
        <v>61</v>
      </c>
      <c r="D79" s="193">
        <v>28571</v>
      </c>
      <c r="E79" s="191">
        <f t="shared" si="7"/>
        <v>1.9514617350667517E-2</v>
      </c>
      <c r="F79" s="8">
        <v>434</v>
      </c>
      <c r="G79" s="13">
        <f t="shared" si="8"/>
        <v>3.9513816178813679E-3</v>
      </c>
      <c r="H79" s="14">
        <f t="shared" si="6"/>
        <v>0.2024831718130618</v>
      </c>
      <c r="I79" s="191">
        <f t="shared" si="5"/>
        <v>1.5190227853417801E-2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3" x14ac:dyDescent="0.25">
      <c r="B80" s="374"/>
      <c r="C80" s="1" t="s">
        <v>62</v>
      </c>
      <c r="D80" s="193">
        <v>61109</v>
      </c>
      <c r="E80" s="191">
        <f t="shared" si="7"/>
        <v>4.1738782390603808E-2</v>
      </c>
      <c r="F80" s="8">
        <v>4598</v>
      </c>
      <c r="G80" s="13">
        <f t="shared" si="8"/>
        <v>4.1862794191286933E-2</v>
      </c>
      <c r="H80" s="14">
        <f t="shared" si="6"/>
        <v>1.0029711408330646</v>
      </c>
      <c r="I80" s="191">
        <f t="shared" si="5"/>
        <v>7.5242599289793641E-2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  <c r="W80" s="13"/>
    </row>
    <row r="81" spans="2:23" ht="15.75" thickBot="1" x14ac:dyDescent="0.3">
      <c r="B81" s="375"/>
      <c r="C81" s="9" t="s">
        <v>63</v>
      </c>
      <c r="D81" s="196">
        <v>21445</v>
      </c>
      <c r="E81" s="198">
        <f t="shared" si="7"/>
        <v>1.4647403629031707E-2</v>
      </c>
      <c r="F81" s="10">
        <v>2148</v>
      </c>
      <c r="G81" s="17">
        <f t="shared" si="8"/>
        <v>1.9556607638730822E-2</v>
      </c>
      <c r="H81" s="18">
        <f t="shared" si="6"/>
        <v>1.3351586488658569</v>
      </c>
      <c r="I81" s="198">
        <f t="shared" si="5"/>
        <v>0.10016320820704126</v>
      </c>
      <c r="J81" s="100"/>
      <c r="K81" s="100"/>
      <c r="L81" s="18"/>
      <c r="M81" s="18"/>
      <c r="N81" s="18"/>
      <c r="O81" s="18"/>
      <c r="P81" s="18"/>
      <c r="Q81" s="18"/>
      <c r="R81" s="18"/>
      <c r="S81" s="83"/>
      <c r="T81" s="388"/>
    </row>
    <row r="82" spans="2:23" ht="15.75" thickBot="1" x14ac:dyDescent="0.3">
      <c r="C82" s="1"/>
      <c r="D82" s="8"/>
      <c r="S82" s="4"/>
      <c r="T82" s="28"/>
    </row>
    <row r="83" spans="2:23" x14ac:dyDescent="0.25">
      <c r="B83" s="373" t="s">
        <v>64</v>
      </c>
      <c r="C83" s="21" t="s">
        <v>65</v>
      </c>
      <c r="D83" s="23" t="s">
        <v>66</v>
      </c>
      <c r="E83" s="48" t="s">
        <v>67</v>
      </c>
      <c r="F83" s="48" t="s">
        <v>68</v>
      </c>
      <c r="G83" s="48" t="s">
        <v>51</v>
      </c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7"/>
      <c r="T83" s="373" t="s">
        <v>19</v>
      </c>
    </row>
    <row r="84" spans="2:23" x14ac:dyDescent="0.25">
      <c r="B84" s="374"/>
      <c r="C84" s="1" t="s">
        <v>69</v>
      </c>
      <c r="D84" s="168">
        <v>75925</v>
      </c>
      <c r="E84" s="180">
        <v>901258</v>
      </c>
      <c r="F84" s="68"/>
      <c r="I84" s="8"/>
      <c r="S84" s="4"/>
      <c r="T84" s="374"/>
    </row>
    <row r="85" spans="2:23" x14ac:dyDescent="0.25">
      <c r="B85" s="374"/>
      <c r="C85" s="1" t="s">
        <v>70</v>
      </c>
      <c r="D85" s="181">
        <f>D84/H26</f>
        <v>0.69305620213416586</v>
      </c>
      <c r="E85" s="182">
        <f>E84/3407100</f>
        <v>0.26452349505444511</v>
      </c>
      <c r="F85" s="68"/>
      <c r="I85" s="8"/>
      <c r="S85" s="4"/>
      <c r="T85" s="374"/>
    </row>
    <row r="86" spans="2:23" x14ac:dyDescent="0.25">
      <c r="B86" s="374"/>
      <c r="C86" s="1"/>
      <c r="D86" s="199"/>
      <c r="E86" s="200"/>
      <c r="F86" s="14"/>
      <c r="I86" s="8"/>
      <c r="S86" s="4"/>
      <c r="T86" s="374"/>
      <c r="W86" s="8"/>
    </row>
    <row r="87" spans="2:23" ht="14.45" customHeight="1" x14ac:dyDescent="0.25">
      <c r="B87" s="374"/>
      <c r="C87" s="1" t="s">
        <v>71</v>
      </c>
      <c r="D87" s="168">
        <v>216253</v>
      </c>
      <c r="E87" s="183">
        <v>2045151</v>
      </c>
      <c r="F87" s="68"/>
      <c r="I87" s="8"/>
      <c r="S87" s="4"/>
      <c r="T87" s="374"/>
      <c r="U87" s="24"/>
      <c r="W87" s="14"/>
    </row>
    <row r="88" spans="2:23" x14ac:dyDescent="0.25">
      <c r="B88" s="374"/>
      <c r="C88" s="1" t="s">
        <v>72</v>
      </c>
      <c r="D88" s="184">
        <f>D87/D84</f>
        <v>2.8482449785972999</v>
      </c>
      <c r="E88" s="161">
        <f>E87/E84</f>
        <v>2.2692181373147311</v>
      </c>
      <c r="F88" s="14"/>
      <c r="I88" s="8"/>
      <c r="S88" s="4"/>
      <c r="T88" s="374"/>
    </row>
    <row r="89" spans="2:23" x14ac:dyDescent="0.25">
      <c r="B89" s="374"/>
      <c r="C89" s="1"/>
      <c r="D89" s="202"/>
      <c r="E89" s="169"/>
      <c r="F89" s="14"/>
      <c r="I89" s="8"/>
      <c r="S89" s="4"/>
      <c r="T89" s="374"/>
      <c r="W89" s="8"/>
    </row>
    <row r="90" spans="2:23" x14ac:dyDescent="0.25">
      <c r="B90" s="374"/>
      <c r="C90" s="1" t="s">
        <v>73</v>
      </c>
      <c r="D90" s="168">
        <v>120628</v>
      </c>
      <c r="E90" s="183">
        <v>1476588</v>
      </c>
      <c r="F90" s="14"/>
      <c r="I90" s="8"/>
      <c r="S90" s="4"/>
      <c r="T90" s="374"/>
      <c r="W90" s="14"/>
    </row>
    <row r="91" spans="2:23" x14ac:dyDescent="0.25">
      <c r="B91" s="374"/>
      <c r="C91" s="1" t="s">
        <v>74</v>
      </c>
      <c r="D91" s="184">
        <f>D90/D84</f>
        <v>1.5887783997365821</v>
      </c>
      <c r="E91" s="165">
        <f>E90/E84</f>
        <v>1.6383632655687939</v>
      </c>
      <c r="F91" s="14"/>
      <c r="S91" s="4"/>
      <c r="T91" s="374"/>
    </row>
    <row r="92" spans="2:23" ht="15.75" thickBot="1" x14ac:dyDescent="0.3">
      <c r="B92" s="375"/>
      <c r="C92" s="9" t="s">
        <v>75</v>
      </c>
      <c r="D92" s="185">
        <f>D87/D90</f>
        <v>1.792726398514441</v>
      </c>
      <c r="E92" s="186">
        <f>E87/E90</f>
        <v>1.3850518898975206</v>
      </c>
      <c r="F92" s="18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11"/>
      <c r="T92" s="375"/>
    </row>
    <row r="93" spans="2:23" x14ac:dyDescent="0.25">
      <c r="D93" s="37"/>
      <c r="E93" s="22"/>
      <c r="F93" s="14"/>
    </row>
    <row r="94" spans="2:23" s="35" customFormat="1" x14ac:dyDescent="0.25">
      <c r="B94" s="47"/>
      <c r="C94" s="78"/>
      <c r="D94" s="168"/>
      <c r="E94" s="183"/>
      <c r="F94" s="180"/>
      <c r="H94" s="168"/>
      <c r="I94" s="168"/>
      <c r="J94" s="167"/>
      <c r="K94" s="167"/>
    </row>
    <row r="95" spans="2:23" s="35" customFormat="1" x14ac:dyDescent="0.25">
      <c r="B95" s="47"/>
      <c r="C95" s="78"/>
      <c r="D95" s="168"/>
      <c r="E95" s="3"/>
      <c r="F95" s="180"/>
      <c r="H95" s="8"/>
      <c r="I95" s="8"/>
      <c r="J95" s="193"/>
      <c r="K95" s="193"/>
    </row>
    <row r="96" spans="2:23" s="35" customFormat="1" x14ac:dyDescent="0.25">
      <c r="B96" s="47"/>
      <c r="C96" s="78"/>
      <c r="D96" s="168"/>
      <c r="E96" s="3"/>
      <c r="F96" s="180"/>
      <c r="H96" s="168"/>
      <c r="I96" s="168"/>
      <c r="J96" s="167"/>
      <c r="K96" s="167"/>
    </row>
    <row r="97" spans="2:11" s="35" customFormat="1" x14ac:dyDescent="0.25">
      <c r="B97" s="47"/>
      <c r="C97" s="78"/>
      <c r="D97" s="168"/>
      <c r="E97" s="3"/>
      <c r="F97" s="75"/>
      <c r="H97" s="222"/>
      <c r="I97" s="239"/>
      <c r="J97" s="75"/>
      <c r="K97" s="75"/>
    </row>
    <row r="98" spans="2:11" s="35" customFormat="1" x14ac:dyDescent="0.25">
      <c r="B98" s="47"/>
      <c r="C98" s="3"/>
      <c r="D98" s="8"/>
      <c r="E98" s="3"/>
      <c r="F98" s="101"/>
      <c r="H98" s="39"/>
      <c r="I98" s="149"/>
      <c r="J98" s="242"/>
      <c r="K98" s="76"/>
    </row>
    <row r="99" spans="2:11" s="35" customFormat="1" x14ac:dyDescent="0.25">
      <c r="B99" s="47"/>
      <c r="C99" s="78"/>
      <c r="D99" s="3"/>
      <c r="E99" s="3"/>
    </row>
    <row r="103" spans="2:11" x14ac:dyDescent="0.25">
      <c r="D103" s="8"/>
      <c r="E103" s="8"/>
    </row>
    <row r="104" spans="2:11" x14ac:dyDescent="0.25">
      <c r="D104" s="39"/>
      <c r="E104" s="14"/>
      <c r="F104" s="38"/>
      <c r="G104" s="149"/>
      <c r="H104" s="149"/>
      <c r="I104" s="149"/>
      <c r="J104" s="149"/>
      <c r="K104" s="149"/>
    </row>
    <row r="105" spans="2:11" x14ac:dyDescent="0.25">
      <c r="I105" s="158"/>
      <c r="J105" s="158"/>
      <c r="K105" s="158"/>
    </row>
    <row r="106" spans="2:11" x14ac:dyDescent="0.25">
      <c r="D106" s="168"/>
      <c r="E106" s="180"/>
    </row>
    <row r="107" spans="2:11" x14ac:dyDescent="0.25">
      <c r="D107" s="168"/>
      <c r="E107" s="180"/>
    </row>
    <row r="108" spans="2:11" x14ac:dyDescent="0.25">
      <c r="D108" s="168"/>
      <c r="E108" s="180"/>
    </row>
    <row r="109" spans="2:11" x14ac:dyDescent="0.25">
      <c r="D109" s="8"/>
      <c r="E109" s="8"/>
    </row>
    <row r="110" spans="2:11" x14ac:dyDescent="0.25">
      <c r="D110" s="149"/>
    </row>
  </sheetData>
  <mergeCells count="15">
    <mergeCell ref="C2:S2"/>
    <mergeCell ref="D3:J3"/>
    <mergeCell ref="K3:M3"/>
    <mergeCell ref="N3:P3"/>
    <mergeCell ref="Q3:S3"/>
    <mergeCell ref="B83:B92"/>
    <mergeCell ref="T83:T92"/>
    <mergeCell ref="B4:B27"/>
    <mergeCell ref="B29:B65"/>
    <mergeCell ref="T29:T65"/>
    <mergeCell ref="B67:B81"/>
    <mergeCell ref="D67:E67"/>
    <mergeCell ref="F67:G67"/>
    <mergeCell ref="T67:T81"/>
    <mergeCell ref="T3:T2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B4FB-3EDE-433B-85B1-0C28679F034A}">
  <sheetPr codeName="Sheet23">
    <tabColor theme="7"/>
  </sheetPr>
  <dimension ref="A1:W100"/>
  <sheetViews>
    <sheetView topLeftCell="A59" workbookViewId="0">
      <selection activeCell="F73" sqref="F73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144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88" t="s">
        <v>94</v>
      </c>
      <c r="D22" s="220">
        <v>88849</v>
      </c>
      <c r="E22" s="220">
        <v>10327</v>
      </c>
      <c r="F22" s="220">
        <v>7377</v>
      </c>
      <c r="G22" s="220">
        <v>6236</v>
      </c>
      <c r="H22" s="220">
        <f t="shared" ref="H22:H27" si="1">D22+E22-G22</f>
        <v>92940</v>
      </c>
      <c r="I22" s="221">
        <f t="shared" ref="I22:I27" si="2">H22-D22</f>
        <v>4091</v>
      </c>
      <c r="J22" s="227">
        <f>G22/D22</f>
        <v>7.0186496190165343E-2</v>
      </c>
      <c r="K22" s="220">
        <v>8900</v>
      </c>
      <c r="L22" s="228">
        <v>0.70853932584269663</v>
      </c>
      <c r="M22" s="228">
        <v>0.29146067415730337</v>
      </c>
      <c r="N22" s="220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88" t="s">
        <v>98</v>
      </c>
      <c r="D23" s="220">
        <f>H22</f>
        <v>92940</v>
      </c>
      <c r="E23" s="220">
        <v>7983</v>
      </c>
      <c r="F23" s="220">
        <v>5491</v>
      </c>
      <c r="G23" s="220">
        <v>5763</v>
      </c>
      <c r="H23" s="220">
        <f t="shared" si="1"/>
        <v>95160</v>
      </c>
      <c r="I23" s="221">
        <f t="shared" si="2"/>
        <v>2220</v>
      </c>
      <c r="J23" s="227">
        <f>G23/D23</f>
        <v>6.2007746933505491E-2</v>
      </c>
      <c r="K23" s="220">
        <v>7248</v>
      </c>
      <c r="L23" s="228">
        <v>0.68184326710816778</v>
      </c>
      <c r="M23" s="228">
        <v>0.31815673289183222</v>
      </c>
      <c r="N23" s="220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88" t="s">
        <v>102</v>
      </c>
      <c r="D24" s="220">
        <f>H23</f>
        <v>95160</v>
      </c>
      <c r="E24" s="220">
        <v>9226</v>
      </c>
      <c r="F24" s="220">
        <v>6131</v>
      </c>
      <c r="G24" s="220">
        <v>6072</v>
      </c>
      <c r="H24" s="220">
        <f t="shared" si="1"/>
        <v>98314</v>
      </c>
      <c r="I24" s="221">
        <f t="shared" si="2"/>
        <v>3154</v>
      </c>
      <c r="J24" s="227">
        <f t="shared" ref="J24:J27" si="3">G24/D24</f>
        <v>6.3808322824716268E-2</v>
      </c>
      <c r="K24" s="220">
        <v>8430</v>
      </c>
      <c r="L24" s="228">
        <v>0.66</v>
      </c>
      <c r="M24" s="228">
        <v>0.34</v>
      </c>
      <c r="N24" s="220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88" t="s">
        <v>106</v>
      </c>
      <c r="D25" s="220">
        <f>H24</f>
        <v>98314</v>
      </c>
      <c r="E25" s="220">
        <v>14385</v>
      </c>
      <c r="F25" s="220">
        <v>10008</v>
      </c>
      <c r="G25" s="220">
        <v>6214</v>
      </c>
      <c r="H25" s="220">
        <f t="shared" si="1"/>
        <v>106485</v>
      </c>
      <c r="I25" s="221">
        <f t="shared" si="2"/>
        <v>8171</v>
      </c>
      <c r="J25" s="227">
        <f t="shared" si="3"/>
        <v>6.3205647211994218E-2</v>
      </c>
      <c r="K25" s="220">
        <v>13328</v>
      </c>
      <c r="L25" s="228">
        <v>0.7</v>
      </c>
      <c r="M25" s="228">
        <v>0.3</v>
      </c>
      <c r="N25" s="220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88" t="s">
        <v>110</v>
      </c>
      <c r="D26" s="220">
        <f>H25</f>
        <v>106485</v>
      </c>
      <c r="E26" s="220">
        <v>11560</v>
      </c>
      <c r="F26" s="220">
        <v>7633</v>
      </c>
      <c r="G26" s="220">
        <v>7432</v>
      </c>
      <c r="H26" s="220">
        <f t="shared" si="1"/>
        <v>110613</v>
      </c>
      <c r="I26" s="221">
        <f t="shared" si="2"/>
        <v>4128</v>
      </c>
      <c r="J26" s="227">
        <f t="shared" si="3"/>
        <v>6.9793867680894017E-2</v>
      </c>
      <c r="K26" s="220">
        <v>10693</v>
      </c>
      <c r="L26" s="228">
        <v>0.66</v>
      </c>
      <c r="M26" s="228">
        <v>0.34</v>
      </c>
      <c r="N26" s="220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88" t="s">
        <v>117</v>
      </c>
      <c r="D27" s="220">
        <f>H26</f>
        <v>110613</v>
      </c>
      <c r="E27" s="220">
        <v>13848</v>
      </c>
      <c r="F27" s="220">
        <v>9168</v>
      </c>
      <c r="G27" s="220">
        <v>6824</v>
      </c>
      <c r="H27" s="220">
        <f t="shared" si="1"/>
        <v>117637</v>
      </c>
      <c r="I27" s="221">
        <f t="shared" si="2"/>
        <v>7024</v>
      </c>
      <c r="J27" s="227">
        <f t="shared" si="3"/>
        <v>6.1692567781363852E-2</v>
      </c>
      <c r="K27" s="220">
        <v>12662</v>
      </c>
      <c r="L27" s="228">
        <v>0.67</v>
      </c>
      <c r="M27" s="228">
        <v>0.33</v>
      </c>
      <c r="N27" s="220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 ht="15.75" thickBot="1" x14ac:dyDescent="0.3">
      <c r="B28" s="391"/>
      <c r="C28" s="88" t="s">
        <v>78</v>
      </c>
      <c r="D28" s="135"/>
      <c r="E28" s="135">
        <f>SUM(E5:E27)</f>
        <v>204351</v>
      </c>
      <c r="F28" s="135">
        <f>SUM(F5:F27)</f>
        <v>164107.52000000002</v>
      </c>
      <c r="G28" s="135">
        <f>SUM(G5:G27)</f>
        <v>86714</v>
      </c>
      <c r="H28" s="135"/>
      <c r="I28" s="136"/>
      <c r="J28" s="136"/>
      <c r="K28" s="135">
        <f>SUM(K5:K27)</f>
        <v>192948</v>
      </c>
      <c r="L28" s="136"/>
      <c r="M28" s="136"/>
      <c r="N28" s="135">
        <f>SUM(N17:N27)</f>
        <v>13352</v>
      </c>
      <c r="O28" s="135"/>
      <c r="P28" s="135"/>
      <c r="Q28" s="144">
        <f>SUM(Q20:Q27)</f>
        <v>1809</v>
      </c>
      <c r="R28" s="93"/>
      <c r="S28" s="112"/>
      <c r="T28" s="375"/>
      <c r="U28" s="8"/>
      <c r="V28" s="142"/>
    </row>
    <row r="29" spans="1:22" ht="15.75" thickBot="1" x14ac:dyDescent="0.3">
      <c r="C29" s="45"/>
      <c r="D29" s="25"/>
      <c r="E29" s="50"/>
      <c r="F29" s="50"/>
      <c r="G29" s="50"/>
      <c r="H29" s="50"/>
      <c r="I29" s="50"/>
      <c r="J29" s="238"/>
      <c r="K29" s="50"/>
      <c r="L29" s="50"/>
      <c r="M29" s="50"/>
      <c r="N29" s="50"/>
      <c r="O29" s="50"/>
      <c r="P29" s="50"/>
      <c r="Q29" s="50"/>
      <c r="R29" s="50"/>
      <c r="S29" s="51"/>
      <c r="T29" s="27"/>
      <c r="V29" s="142"/>
    </row>
    <row r="30" spans="1:22" x14ac:dyDescent="0.25">
      <c r="B30" s="381" t="s">
        <v>13</v>
      </c>
      <c r="C30" s="94"/>
      <c r="D30" s="48" t="s">
        <v>145</v>
      </c>
      <c r="E30" s="48" t="s">
        <v>15</v>
      </c>
      <c r="F30" s="48" t="s">
        <v>146</v>
      </c>
      <c r="G30" s="48" t="s">
        <v>138</v>
      </c>
      <c r="H30" s="48" t="s">
        <v>18</v>
      </c>
      <c r="I30" s="94"/>
      <c r="J30" s="116"/>
      <c r="K30" s="116"/>
      <c r="L30" s="94"/>
      <c r="M30" s="94"/>
      <c r="N30" s="94"/>
      <c r="O30" s="94"/>
      <c r="P30" s="94"/>
      <c r="Q30" s="94"/>
      <c r="R30" s="94"/>
      <c r="S30" s="49"/>
      <c r="T30" s="380" t="s">
        <v>19</v>
      </c>
      <c r="V30" s="142"/>
    </row>
    <row r="31" spans="1:22" x14ac:dyDescent="0.25">
      <c r="B31" s="382"/>
      <c r="C31" s="156" t="s">
        <v>20</v>
      </c>
      <c r="D31" s="47"/>
      <c r="E31" s="47"/>
      <c r="F31" s="47"/>
      <c r="G31" s="47"/>
      <c r="I31" s="154"/>
      <c r="J31" s="47"/>
      <c r="K31" s="47"/>
      <c r="L31" s="47"/>
      <c r="M31" s="124"/>
      <c r="N31" s="47"/>
      <c r="O31" s="47"/>
      <c r="P31" s="47"/>
      <c r="Q31" s="47"/>
      <c r="R31" s="47"/>
      <c r="S31" s="12"/>
      <c r="T31" s="380"/>
      <c r="V31" s="8"/>
    </row>
    <row r="32" spans="1:22" x14ac:dyDescent="0.25">
      <c r="B32" s="382"/>
      <c r="C32" s="47" t="s">
        <v>21</v>
      </c>
      <c r="D32" s="160">
        <v>0.40699999999999997</v>
      </c>
      <c r="E32" s="160">
        <v>0.40600000000000003</v>
      </c>
      <c r="F32" s="161">
        <f>D32/E32</f>
        <v>1.0024630541871919</v>
      </c>
      <c r="G32" s="160">
        <v>0.504</v>
      </c>
      <c r="H32" s="161">
        <f>E32/G32</f>
        <v>0.80555555555555558</v>
      </c>
      <c r="I32" s="149"/>
      <c r="J32" s="222"/>
      <c r="K32" s="14"/>
      <c r="L32" s="149"/>
      <c r="M32" s="158"/>
      <c r="N32" s="14"/>
      <c r="O32" s="14"/>
      <c r="P32" s="14"/>
      <c r="Q32" s="14"/>
      <c r="R32" s="14"/>
      <c r="S32" s="15"/>
      <c r="T32" s="380"/>
      <c r="V32" s="8"/>
    </row>
    <row r="33" spans="2:20" x14ac:dyDescent="0.25">
      <c r="B33" s="382"/>
      <c r="C33" s="47" t="s">
        <v>22</v>
      </c>
      <c r="D33" s="160">
        <v>0.59299999999999997</v>
      </c>
      <c r="E33" s="160">
        <v>0.59399999999999997</v>
      </c>
      <c r="F33" s="161">
        <f t="shared" ref="F33:F66" si="4">D33/E33</f>
        <v>0.99831649831649827</v>
      </c>
      <c r="G33" s="160">
        <v>0.496</v>
      </c>
      <c r="H33" s="161">
        <f t="shared" ref="H33:H50" si="5">E33/G33</f>
        <v>1.1975806451612903</v>
      </c>
      <c r="I33" s="149"/>
      <c r="J33" s="39"/>
      <c r="K33" s="14"/>
      <c r="L33" s="14"/>
      <c r="M33" s="14"/>
      <c r="N33" s="14"/>
      <c r="O33" s="14"/>
      <c r="P33" s="14"/>
      <c r="Q33" s="14"/>
      <c r="R33" s="14"/>
      <c r="S33" s="15"/>
      <c r="T33" s="380"/>
    </row>
    <row r="34" spans="2:20" x14ac:dyDescent="0.25">
      <c r="B34" s="382"/>
      <c r="D34" s="190"/>
      <c r="E34" s="190"/>
      <c r="F34" s="161"/>
      <c r="G34" s="190"/>
      <c r="H34" s="170"/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0" x14ac:dyDescent="0.25">
      <c r="B35" s="382"/>
      <c r="C35" s="156" t="s">
        <v>23</v>
      </c>
      <c r="D35" s="169"/>
      <c r="E35" s="169"/>
      <c r="F35" s="161"/>
      <c r="G35" s="190"/>
      <c r="H35" s="170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0" x14ac:dyDescent="0.25">
      <c r="B36" s="382"/>
      <c r="C36" s="47" t="s">
        <v>24</v>
      </c>
      <c r="D36" s="160">
        <v>0</v>
      </c>
      <c r="E36" s="160">
        <v>0</v>
      </c>
      <c r="F36" s="161" t="s">
        <v>12</v>
      </c>
      <c r="G36" s="160">
        <v>1.4999999999999999E-2</v>
      </c>
      <c r="H36" s="161">
        <f>E36/G36</f>
        <v>0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0" x14ac:dyDescent="0.25">
      <c r="B37" s="382"/>
      <c r="C37" s="47" t="s">
        <v>25</v>
      </c>
      <c r="D37" s="160">
        <v>4.8000000000000001E-2</v>
      </c>
      <c r="E37" s="160">
        <v>3.5999999999999997E-2</v>
      </c>
      <c r="F37" s="161">
        <f t="shared" si="4"/>
        <v>1.3333333333333335</v>
      </c>
      <c r="G37" s="160">
        <v>0.14699999999999999</v>
      </c>
      <c r="H37" s="161">
        <f t="shared" si="5"/>
        <v>0.24489795918367346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0" x14ac:dyDescent="0.25">
      <c r="B38" s="382"/>
      <c r="C38" s="47" t="s">
        <v>26</v>
      </c>
      <c r="D38" s="160">
        <v>0.43</v>
      </c>
      <c r="E38" s="160">
        <v>0.39700000000000002</v>
      </c>
      <c r="F38" s="161">
        <f t="shared" si="4"/>
        <v>1.0831234256926952</v>
      </c>
      <c r="G38" s="160">
        <v>0.28699999999999998</v>
      </c>
      <c r="H38" s="161">
        <f t="shared" si="5"/>
        <v>1.383275261324042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0" x14ac:dyDescent="0.25">
      <c r="B39" s="382"/>
      <c r="C39" s="47" t="s">
        <v>27</v>
      </c>
      <c r="D39" s="160">
        <v>0.39700000000000002</v>
      </c>
      <c r="E39" s="160">
        <v>0.4</v>
      </c>
      <c r="F39" s="161">
        <f t="shared" si="4"/>
        <v>0.99250000000000005</v>
      </c>
      <c r="G39" s="160">
        <v>0.32900000000000001</v>
      </c>
      <c r="H39" s="161">
        <f t="shared" si="5"/>
        <v>1.21580547112462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0" x14ac:dyDescent="0.25">
      <c r="B40" s="382"/>
      <c r="C40" s="47" t="s">
        <v>28</v>
      </c>
      <c r="D40" s="160">
        <v>0.112</v>
      </c>
      <c r="E40" s="160">
        <v>0.14599999999999999</v>
      </c>
      <c r="F40" s="161">
        <f t="shared" si="4"/>
        <v>0.76712328767123295</v>
      </c>
      <c r="G40" s="160">
        <v>0.158</v>
      </c>
      <c r="H40" s="161">
        <f t="shared" si="5"/>
        <v>0.92405063291139233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0" x14ac:dyDescent="0.25">
      <c r="B41" s="382"/>
      <c r="C41" s="47" t="s">
        <v>29</v>
      </c>
      <c r="D41" s="160">
        <v>1.2E-2</v>
      </c>
      <c r="E41" s="160">
        <v>2.1000000000000001E-2</v>
      </c>
      <c r="F41" s="161">
        <f t="shared" si="4"/>
        <v>0.5714285714285714</v>
      </c>
      <c r="G41" s="160">
        <v>6.4000000000000001E-2</v>
      </c>
      <c r="H41" s="161">
        <f t="shared" si="5"/>
        <v>0.328125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0" x14ac:dyDescent="0.25">
      <c r="B42" s="382"/>
      <c r="D42" s="190"/>
      <c r="E42" s="190"/>
      <c r="F42" s="161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0" x14ac:dyDescent="0.25">
      <c r="B43" s="382"/>
      <c r="C43" s="156" t="s">
        <v>30</v>
      </c>
      <c r="D43" s="169"/>
      <c r="E43" s="169"/>
      <c r="F43" s="161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0" x14ac:dyDescent="0.25">
      <c r="B44" s="382"/>
      <c r="C44" s="47" t="s">
        <v>31</v>
      </c>
      <c r="D44" s="160">
        <v>0.48799999999999999</v>
      </c>
      <c r="E44" s="163">
        <v>0.47199999999999998</v>
      </c>
      <c r="F44" s="161">
        <f t="shared" si="4"/>
        <v>1.0338983050847459</v>
      </c>
      <c r="G44" s="181">
        <v>0.48099999999999998</v>
      </c>
      <c r="H44" s="161">
        <f t="shared" si="5"/>
        <v>0.98128898128898123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0" x14ac:dyDescent="0.25">
      <c r="B45" s="382"/>
      <c r="C45" s="47" t="s">
        <v>32</v>
      </c>
      <c r="D45" s="160">
        <v>0.20499999999999999</v>
      </c>
      <c r="E45" s="160">
        <v>0.20499999999999999</v>
      </c>
      <c r="F45" s="161">
        <f t="shared" si="4"/>
        <v>1</v>
      </c>
      <c r="G45" s="181">
        <v>0.14699999999999999</v>
      </c>
      <c r="H45" s="161">
        <f t="shared" si="5"/>
        <v>1.3945578231292517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0" x14ac:dyDescent="0.25">
      <c r="B46" s="382"/>
      <c r="C46" s="47" t="s">
        <v>33</v>
      </c>
      <c r="D46" s="160">
        <v>0.121</v>
      </c>
      <c r="E46" s="160">
        <v>0.13</v>
      </c>
      <c r="F46" s="161">
        <f t="shared" si="4"/>
        <v>0.93076923076923068</v>
      </c>
      <c r="G46" s="181">
        <v>0.13100000000000001</v>
      </c>
      <c r="H46" s="161">
        <f t="shared" si="5"/>
        <v>0.99236641221374045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0" x14ac:dyDescent="0.25">
      <c r="B47" s="382"/>
      <c r="C47" s="47" t="s">
        <v>34</v>
      </c>
      <c r="D47" s="160">
        <v>8.4000000000000005E-2</v>
      </c>
      <c r="E47" s="160">
        <v>0.09</v>
      </c>
      <c r="F47" s="161">
        <f t="shared" si="4"/>
        <v>0.93333333333333346</v>
      </c>
      <c r="G47" s="181">
        <v>0.10100000000000001</v>
      </c>
      <c r="H47" s="161">
        <f t="shared" si="5"/>
        <v>0.89108910891089099</v>
      </c>
      <c r="I47" s="223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0" x14ac:dyDescent="0.25">
      <c r="B48" s="382"/>
      <c r="C48" s="47" t="s">
        <v>35</v>
      </c>
      <c r="D48" s="160">
        <v>2.3E-2</v>
      </c>
      <c r="E48" s="160">
        <v>2.1999999999999999E-2</v>
      </c>
      <c r="F48" s="161">
        <f t="shared" si="4"/>
        <v>1.0454545454545454</v>
      </c>
      <c r="G48" s="181">
        <v>3.5000000000000003E-2</v>
      </c>
      <c r="H48" s="161">
        <f t="shared" si="5"/>
        <v>0.62857142857142845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36</v>
      </c>
      <c r="D49" s="160">
        <v>1.6E-2</v>
      </c>
      <c r="E49" s="160">
        <v>1.6E-2</v>
      </c>
      <c r="F49" s="161">
        <f t="shared" si="4"/>
        <v>1</v>
      </c>
      <c r="G49" s="181">
        <v>2.3E-2</v>
      </c>
      <c r="H49" s="161">
        <f t="shared" si="5"/>
        <v>0.69565217391304346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37</v>
      </c>
      <c r="D50" s="160">
        <v>6.3E-2</v>
      </c>
      <c r="E50" s="160">
        <v>6.5000000000000002E-2</v>
      </c>
      <c r="F50" s="161">
        <f t="shared" si="4"/>
        <v>0.96923076923076923</v>
      </c>
      <c r="G50" s="181">
        <v>8.1000000000000003E-2</v>
      </c>
      <c r="H50" s="161">
        <f t="shared" si="5"/>
        <v>0.80246913580246915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D51" s="190"/>
      <c r="E51" s="190"/>
      <c r="F51" s="161"/>
      <c r="G51" s="190"/>
      <c r="H51" s="170"/>
      <c r="I51" s="149"/>
      <c r="J51" s="222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156" t="s">
        <v>38</v>
      </c>
      <c r="D52" s="169"/>
      <c r="E52" s="169"/>
      <c r="F52" s="161"/>
      <c r="G52" s="190"/>
      <c r="H52" s="170"/>
      <c r="I52" s="149"/>
      <c r="J52" s="222"/>
      <c r="K52" s="239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39</v>
      </c>
      <c r="D53" s="160">
        <v>0.46300000000000002</v>
      </c>
      <c r="E53" s="160">
        <v>0.33900000000000002</v>
      </c>
      <c r="F53" s="161">
        <f t="shared" si="4"/>
        <v>1.3657817109144543</v>
      </c>
      <c r="G53" s="164">
        <v>0.373</v>
      </c>
      <c r="H53" s="165">
        <f>E53/G53</f>
        <v>0.90884718498659522</v>
      </c>
      <c r="I53" s="149"/>
      <c r="J53" s="240"/>
      <c r="K53" s="241"/>
      <c r="L53" s="16"/>
      <c r="M53" s="16"/>
      <c r="N53" s="68"/>
      <c r="O53" s="16"/>
      <c r="P53" s="16"/>
      <c r="Q53" s="16"/>
      <c r="R53" s="16"/>
      <c r="S53" s="36"/>
      <c r="T53" s="380"/>
    </row>
    <row r="54" spans="2:20" x14ac:dyDescent="0.25">
      <c r="B54" s="382"/>
      <c r="C54" s="47" t="s">
        <v>40</v>
      </c>
      <c r="D54" s="160">
        <v>4.5999999999999999E-2</v>
      </c>
      <c r="E54" s="160">
        <v>4.5999999999999999E-2</v>
      </c>
      <c r="F54" s="161">
        <f t="shared" si="4"/>
        <v>1</v>
      </c>
      <c r="G54" s="160">
        <v>8.1000000000000003E-2</v>
      </c>
      <c r="H54" s="165">
        <f t="shared" ref="H54:H58" si="6">E54/G54</f>
        <v>0.5679012345679012</v>
      </c>
      <c r="I54" s="149"/>
      <c r="J54" s="240"/>
      <c r="K54" s="241"/>
      <c r="L54" s="14"/>
      <c r="M54" s="16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41</v>
      </c>
      <c r="D55" s="160">
        <v>9.7000000000000003E-2</v>
      </c>
      <c r="E55" s="160">
        <v>8.8999999999999996E-2</v>
      </c>
      <c r="F55" s="161">
        <f t="shared" si="4"/>
        <v>1.0898876404494382</v>
      </c>
      <c r="G55" s="160">
        <v>0.14799999999999999</v>
      </c>
      <c r="H55" s="165">
        <f t="shared" si="6"/>
        <v>0.60135135135135132</v>
      </c>
      <c r="I55" s="149"/>
      <c r="J55" s="240"/>
      <c r="K55" s="241"/>
      <c r="L55" s="14"/>
      <c r="M55" s="16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42</v>
      </c>
      <c r="D56" s="160">
        <v>0.11700000000000001</v>
      </c>
      <c r="E56" s="160">
        <v>0.125</v>
      </c>
      <c r="F56" s="161">
        <f t="shared" si="4"/>
        <v>0.93600000000000005</v>
      </c>
      <c r="G56" s="160">
        <v>0.16200000000000001</v>
      </c>
      <c r="H56" s="165">
        <f t="shared" si="6"/>
        <v>0.77160493827160492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43</v>
      </c>
      <c r="D57" s="160">
        <v>0.15</v>
      </c>
      <c r="E57" s="160">
        <v>0.184</v>
      </c>
      <c r="F57" s="161">
        <f t="shared" si="4"/>
        <v>0.81521739130434778</v>
      </c>
      <c r="G57" s="160">
        <v>0.152</v>
      </c>
      <c r="H57" s="165">
        <f t="shared" si="6"/>
        <v>1.2105263157894737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44</v>
      </c>
      <c r="D58" s="160">
        <v>0.127</v>
      </c>
      <c r="E58" s="160">
        <v>0.218</v>
      </c>
      <c r="F58" s="161">
        <f t="shared" si="4"/>
        <v>0.5825688073394496</v>
      </c>
      <c r="G58" s="160">
        <v>8.4000000000000005E-2</v>
      </c>
      <c r="H58" s="165">
        <f t="shared" si="6"/>
        <v>2.5952380952380949</v>
      </c>
      <c r="J58" s="34"/>
      <c r="K58" s="239"/>
      <c r="O58" s="14"/>
      <c r="P58" s="14"/>
      <c r="Q58" s="14"/>
      <c r="R58" s="14"/>
      <c r="S58" s="15"/>
      <c r="T58" s="380"/>
    </row>
    <row r="59" spans="2:20" x14ac:dyDescent="0.25">
      <c r="B59" s="382"/>
      <c r="D59" s="190"/>
      <c r="E59" s="190"/>
      <c r="F59" s="161"/>
      <c r="G59" s="190"/>
      <c r="H59" s="170"/>
      <c r="I59" s="149"/>
      <c r="J59" s="222"/>
      <c r="K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156" t="s">
        <v>136</v>
      </c>
      <c r="D60" s="190"/>
      <c r="E60" s="190"/>
      <c r="F60" s="161"/>
      <c r="G60" s="190"/>
      <c r="H60" s="170"/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39</v>
      </c>
      <c r="D61" s="160">
        <v>0.36299999999999999</v>
      </c>
      <c r="E61" s="160">
        <v>0.128</v>
      </c>
      <c r="F61" s="161">
        <f t="shared" si="4"/>
        <v>2.8359375</v>
      </c>
      <c r="G61" s="163">
        <v>0.33800000000000002</v>
      </c>
      <c r="H61" s="165">
        <f>E61/G61</f>
        <v>0.378698224852071</v>
      </c>
      <c r="I61" s="149"/>
      <c r="J61" s="38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40</v>
      </c>
      <c r="D62" s="160">
        <v>7.0000000000000007E-2</v>
      </c>
      <c r="E62" s="160">
        <v>5.3999999999999999E-2</v>
      </c>
      <c r="F62" s="161">
        <f t="shared" si="4"/>
        <v>1.2962962962962965</v>
      </c>
      <c r="G62" s="163">
        <v>0.14399999999999999</v>
      </c>
      <c r="H62" s="165">
        <f t="shared" ref="H62:H66" si="7">E62/G62</f>
        <v>0.375</v>
      </c>
      <c r="I62" s="149"/>
      <c r="J62" s="38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41</v>
      </c>
      <c r="D63" s="160">
        <v>0.13100000000000001</v>
      </c>
      <c r="E63" s="160">
        <v>0.124</v>
      </c>
      <c r="F63" s="161">
        <f t="shared" si="4"/>
        <v>1.0564516129032258</v>
      </c>
      <c r="G63" s="163">
        <v>0.20499999999999999</v>
      </c>
      <c r="H63" s="165">
        <f t="shared" si="7"/>
        <v>0.60487804878048779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42</v>
      </c>
      <c r="D64" s="160">
        <v>0.14000000000000001</v>
      </c>
      <c r="E64" s="160">
        <v>0.16500000000000001</v>
      </c>
      <c r="F64" s="161">
        <f t="shared" si="4"/>
        <v>0.84848484848484851</v>
      </c>
      <c r="G64" s="163">
        <v>0.161</v>
      </c>
      <c r="H64" s="165">
        <f t="shared" si="7"/>
        <v>1.0248447204968945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43</v>
      </c>
      <c r="D65" s="160">
        <v>0.16600000000000001</v>
      </c>
      <c r="E65" s="160">
        <v>0.24299999999999999</v>
      </c>
      <c r="F65" s="161">
        <f t="shared" si="4"/>
        <v>0.6831275720164609</v>
      </c>
      <c r="G65" s="163">
        <v>0.108</v>
      </c>
      <c r="H65" s="165">
        <f t="shared" si="7"/>
        <v>2.25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ht="15.75" thickBot="1" x14ac:dyDescent="0.3">
      <c r="B66" s="383"/>
      <c r="C66" s="47" t="s">
        <v>44</v>
      </c>
      <c r="D66" s="160">
        <v>0.129</v>
      </c>
      <c r="E66" s="160">
        <v>0.28499999999999998</v>
      </c>
      <c r="F66" s="161">
        <f t="shared" si="4"/>
        <v>0.4526315789473685</v>
      </c>
      <c r="G66" s="163">
        <v>4.4999999999999998E-2</v>
      </c>
      <c r="H66" s="165">
        <f t="shared" si="7"/>
        <v>6.333333333333333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ht="15.75" thickBot="1" x14ac:dyDescent="0.3">
      <c r="B67" s="60"/>
      <c r="C67" s="45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26"/>
      <c r="T67" s="27"/>
    </row>
    <row r="68" spans="2:20" x14ac:dyDescent="0.25">
      <c r="B68" s="373" t="s">
        <v>45</v>
      </c>
      <c r="C68" s="5"/>
      <c r="D68" s="385" t="s">
        <v>46</v>
      </c>
      <c r="E68" s="385"/>
      <c r="F68" s="385" t="s">
        <v>47</v>
      </c>
      <c r="G68" s="385"/>
      <c r="H68" s="42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7"/>
      <c r="T68" s="386" t="s">
        <v>48</v>
      </c>
    </row>
    <row r="69" spans="2:20" x14ac:dyDescent="0.25">
      <c r="B69" s="374"/>
      <c r="C69" s="1"/>
      <c r="D69" s="40" t="s">
        <v>49</v>
      </c>
      <c r="E69" s="40" t="s">
        <v>50</v>
      </c>
      <c r="F69" s="40" t="s">
        <v>49</v>
      </c>
      <c r="G69" s="40" t="s">
        <v>50</v>
      </c>
      <c r="H69" s="41" t="s">
        <v>51</v>
      </c>
      <c r="I69" s="96" t="s">
        <v>52</v>
      </c>
      <c r="J69" s="97"/>
      <c r="K69" s="97"/>
      <c r="L69" s="97"/>
      <c r="M69" s="97"/>
      <c r="N69" s="97"/>
      <c r="O69" s="97"/>
      <c r="P69" s="97"/>
      <c r="Q69" s="97"/>
      <c r="R69" s="97"/>
      <c r="S69" s="99"/>
      <c r="T69" s="387"/>
    </row>
    <row r="70" spans="2:20" x14ac:dyDescent="0.25">
      <c r="B70" s="374"/>
      <c r="C70" s="2" t="s">
        <v>53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4"/>
      <c r="T70" s="387"/>
    </row>
    <row r="71" spans="2:20" x14ac:dyDescent="0.25">
      <c r="B71" s="374"/>
      <c r="C71" s="1" t="s">
        <v>54</v>
      </c>
      <c r="D71" s="167">
        <v>2911859</v>
      </c>
      <c r="E71" s="163">
        <f>D71/D73</f>
        <v>0.65780655620011574</v>
      </c>
      <c r="F71" s="168">
        <v>147682</v>
      </c>
      <c r="G71" s="160">
        <f>F71/$F$73</f>
        <v>0.5585446568710879</v>
      </c>
      <c r="H71" s="161">
        <f>G71/E71</f>
        <v>0.84910168742855963</v>
      </c>
      <c r="I71" s="163">
        <f>F71/D71</f>
        <v>5.0717428282069973E-2</v>
      </c>
      <c r="J71" s="39"/>
      <c r="K71" s="39"/>
      <c r="L71" s="14"/>
      <c r="M71" s="14"/>
      <c r="N71" s="14"/>
      <c r="O71" s="14"/>
      <c r="P71" s="14"/>
      <c r="Q71" s="14"/>
      <c r="R71" s="14"/>
      <c r="S71" s="82"/>
      <c r="T71" s="387"/>
    </row>
    <row r="72" spans="2:20" x14ac:dyDescent="0.25">
      <c r="B72" s="374"/>
      <c r="C72" s="1" t="s">
        <v>55</v>
      </c>
      <c r="D72" s="167">
        <f>SUM(D76:D82)</f>
        <v>1514760</v>
      </c>
      <c r="E72" s="163">
        <f>D72/D73</f>
        <v>0.34219344379988431</v>
      </c>
      <c r="F72" s="168">
        <f>SUM(F76:F82)</f>
        <v>116723</v>
      </c>
      <c r="G72" s="160">
        <f>F72/$F$73</f>
        <v>0.4414553431289121</v>
      </c>
      <c r="H72" s="161">
        <f>G72/E72</f>
        <v>1.2900753977831219</v>
      </c>
      <c r="I72" s="163">
        <f t="shared" ref="I72:I82" si="8">F72/D72</f>
        <v>7.7057091552457158E-2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0" x14ac:dyDescent="0.25">
      <c r="B73" s="374"/>
      <c r="C73" s="1" t="s">
        <v>53</v>
      </c>
      <c r="D73" s="167">
        <f>SUM(D71:D72)</f>
        <v>4426619</v>
      </c>
      <c r="E73" s="192"/>
      <c r="F73" s="168">
        <f>SUM(F71:F72)</f>
        <v>264405</v>
      </c>
      <c r="G73" s="169"/>
      <c r="H73" s="170"/>
      <c r="I73" s="163">
        <f t="shared" si="8"/>
        <v>5.9730688365093085E-2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 x14ac:dyDescent="0.25">
      <c r="B74" s="374"/>
      <c r="C74" s="1"/>
      <c r="D74" s="192"/>
      <c r="E74" s="192"/>
      <c r="F74" s="171"/>
      <c r="G74" s="169"/>
      <c r="H74" s="170"/>
      <c r="I74" s="192"/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25">
      <c r="B75" s="374"/>
      <c r="C75" s="2" t="s">
        <v>56</v>
      </c>
      <c r="D75" s="192"/>
      <c r="E75" s="192"/>
      <c r="F75" s="169"/>
      <c r="G75" s="169"/>
      <c r="H75" s="170"/>
      <c r="I75" s="192"/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25">
      <c r="B76" s="374"/>
      <c r="C76" s="1" t="s">
        <v>57</v>
      </c>
      <c r="D76" s="167">
        <f>485992+70470</f>
        <v>556462</v>
      </c>
      <c r="E76" s="163">
        <f>D76/$D$72</f>
        <v>0.36735984578415065</v>
      </c>
      <c r="F76" s="168">
        <f>5492+41228</f>
        <v>46720</v>
      </c>
      <c r="G76" s="160">
        <f>F76/$F$72</f>
        <v>0.40026387258723645</v>
      </c>
      <c r="H76" s="161">
        <f t="shared" ref="H76:H82" si="9">G76/E76</f>
        <v>1.0895689258929491</v>
      </c>
      <c r="I76" s="163">
        <f t="shared" si="8"/>
        <v>8.3959012475245384E-2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25">
      <c r="B77" s="374"/>
      <c r="C77" s="1" t="s">
        <v>58</v>
      </c>
      <c r="D77" s="167">
        <f>192679+16309</f>
        <v>208988</v>
      </c>
      <c r="E77" s="163">
        <f t="shared" ref="E77:E82" si="10">D77/$D$72</f>
        <v>0.13796773086165465</v>
      </c>
      <c r="F77" s="168">
        <f>1624+19843</f>
        <v>21467</v>
      </c>
      <c r="G77" s="160">
        <f t="shared" ref="G77:G82" si="11">F77/$F$72</f>
        <v>0.1839140529287287</v>
      </c>
      <c r="H77" s="161">
        <f t="shared" si="9"/>
        <v>1.3330222348379863</v>
      </c>
      <c r="I77" s="163">
        <f t="shared" si="8"/>
        <v>0.10271881639137176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25">
      <c r="B78" s="374"/>
      <c r="C78" s="1" t="s">
        <v>59</v>
      </c>
      <c r="D78" s="167">
        <v>168976</v>
      </c>
      <c r="E78" s="163">
        <f t="shared" si="10"/>
        <v>0.1115529852913993</v>
      </c>
      <c r="F78" s="168">
        <f>21003</f>
        <v>21003</v>
      </c>
      <c r="G78" s="160">
        <f t="shared" si="11"/>
        <v>0.17993882953659518</v>
      </c>
      <c r="H78" s="161">
        <f t="shared" si="9"/>
        <v>1.61303464059306</v>
      </c>
      <c r="I78" s="163">
        <f t="shared" si="8"/>
        <v>0.12429575797746426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172" t="s">
        <v>60</v>
      </c>
      <c r="D79" s="168">
        <v>497258</v>
      </c>
      <c r="E79" s="163">
        <f t="shared" si="10"/>
        <v>0.3282751062874647</v>
      </c>
      <c r="F79" s="174">
        <f>23361</f>
        <v>23361</v>
      </c>
      <c r="G79" s="160">
        <f t="shared" si="11"/>
        <v>0.20014050358541161</v>
      </c>
      <c r="H79" s="161">
        <f t="shared" si="9"/>
        <v>0.60967310573392097</v>
      </c>
      <c r="I79" s="163">
        <f t="shared" si="8"/>
        <v>4.6979636325609642E-2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" t="s">
        <v>61</v>
      </c>
      <c r="D80" s="167">
        <f>10692+20355</f>
        <v>31047</v>
      </c>
      <c r="E80" s="163">
        <f t="shared" si="10"/>
        <v>2.0496316248118512E-2</v>
      </c>
      <c r="F80" s="168">
        <f>302+4</f>
        <v>306</v>
      </c>
      <c r="G80" s="160">
        <f t="shared" si="11"/>
        <v>2.6215912887777044E-3</v>
      </c>
      <c r="H80" s="161">
        <f t="shared" si="9"/>
        <v>0.12790548589522066</v>
      </c>
      <c r="I80" s="163">
        <f t="shared" si="8"/>
        <v>9.8560247366895355E-3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 t="s">
        <v>62</v>
      </c>
      <c r="D81" s="167">
        <v>31775</v>
      </c>
      <c r="E81" s="163">
        <f t="shared" si="10"/>
        <v>2.0976920436240724E-2</v>
      </c>
      <c r="F81" s="168">
        <f>2099</f>
        <v>2099</v>
      </c>
      <c r="G81" s="160">
        <f t="shared" si="11"/>
        <v>1.7982745474328109E-2</v>
      </c>
      <c r="H81" s="161">
        <f t="shared" si="9"/>
        <v>0.85726336851906371</v>
      </c>
      <c r="I81" s="163">
        <f t="shared" si="8"/>
        <v>6.6058221872541303E-2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  <c r="W81" s="13"/>
    </row>
    <row r="82" spans="2:23" ht="15.75" thickBot="1" x14ac:dyDescent="0.3">
      <c r="B82" s="375"/>
      <c r="C82" s="9" t="s">
        <v>63</v>
      </c>
      <c r="D82" s="175">
        <v>20254</v>
      </c>
      <c r="E82" s="179">
        <f t="shared" si="10"/>
        <v>1.3371095090971508E-2</v>
      </c>
      <c r="F82" s="177">
        <f>1767</f>
        <v>1767</v>
      </c>
      <c r="G82" s="176">
        <f t="shared" si="11"/>
        <v>1.5138404598922234E-2</v>
      </c>
      <c r="H82" s="178">
        <f t="shared" si="9"/>
        <v>1.1321738792467386</v>
      </c>
      <c r="I82" s="179">
        <f t="shared" si="8"/>
        <v>8.7242026266416514E-2</v>
      </c>
      <c r="J82" s="100"/>
      <c r="K82" s="100"/>
      <c r="L82" s="18"/>
      <c r="M82" s="18"/>
      <c r="N82" s="18"/>
      <c r="O82" s="18"/>
      <c r="P82" s="18"/>
      <c r="Q82" s="18"/>
      <c r="R82" s="18"/>
      <c r="S82" s="83"/>
      <c r="T82" s="388"/>
    </row>
    <row r="83" spans="2:23" ht="15.75" thickBot="1" x14ac:dyDescent="0.3">
      <c r="C83" s="1"/>
      <c r="D83" s="8"/>
      <c r="S83" s="4"/>
      <c r="T83" s="28"/>
    </row>
    <row r="84" spans="2:23" x14ac:dyDescent="0.25">
      <c r="B84" s="373" t="s">
        <v>64</v>
      </c>
      <c r="C84" s="21" t="s">
        <v>65</v>
      </c>
      <c r="D84" s="23" t="s">
        <v>66</v>
      </c>
      <c r="E84" s="48" t="s">
        <v>67</v>
      </c>
      <c r="F84" s="48" t="s">
        <v>68</v>
      </c>
      <c r="G84" s="48" t="s">
        <v>51</v>
      </c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7"/>
      <c r="T84" s="373" t="s">
        <v>19</v>
      </c>
    </row>
    <row r="85" spans="2:23" x14ac:dyDescent="0.25">
      <c r="B85" s="374"/>
      <c r="C85" s="1" t="s">
        <v>69</v>
      </c>
      <c r="D85" s="168">
        <v>83283</v>
      </c>
      <c r="E85" s="180">
        <v>917119</v>
      </c>
      <c r="F85" s="68"/>
      <c r="I85" s="8"/>
      <c r="S85" s="4"/>
      <c r="T85" s="374"/>
    </row>
    <row r="86" spans="2:23" x14ac:dyDescent="0.25">
      <c r="B86" s="374"/>
      <c r="C86" s="1" t="s">
        <v>70</v>
      </c>
      <c r="D86" s="181">
        <f>D85/H27</f>
        <v>0.7079660310956587</v>
      </c>
      <c r="E86" s="182">
        <v>0.2671</v>
      </c>
      <c r="F86" s="68"/>
      <c r="I86" s="8"/>
      <c r="S86" s="4"/>
      <c r="T86" s="374"/>
    </row>
    <row r="87" spans="2:23" x14ac:dyDescent="0.25">
      <c r="B87" s="374"/>
      <c r="C87" s="1"/>
      <c r="D87" s="199"/>
      <c r="E87" s="200"/>
      <c r="F87" s="14"/>
      <c r="I87" s="8"/>
      <c r="S87" s="4"/>
      <c r="T87" s="374"/>
      <c r="W87" s="8"/>
    </row>
    <row r="88" spans="2:23" ht="14.45" customHeight="1" x14ac:dyDescent="0.25">
      <c r="B88" s="374"/>
      <c r="C88" s="1" t="s">
        <v>71</v>
      </c>
      <c r="D88" s="168">
        <v>264405</v>
      </c>
      <c r="E88" s="183">
        <v>2221728</v>
      </c>
      <c r="F88" s="68"/>
      <c r="I88" s="8"/>
      <c r="S88" s="4"/>
      <c r="T88" s="374"/>
      <c r="U88" s="24"/>
      <c r="W88" s="14"/>
    </row>
    <row r="89" spans="2:23" x14ac:dyDescent="0.25">
      <c r="B89" s="374"/>
      <c r="C89" s="1" t="s">
        <v>72</v>
      </c>
      <c r="D89" s="184">
        <f>D88/D85</f>
        <v>3.1747775656496522</v>
      </c>
      <c r="E89" s="161">
        <f>E88/E85</f>
        <v>2.4225078752048534</v>
      </c>
      <c r="F89" s="14"/>
      <c r="I89" s="8"/>
      <c r="S89" s="4"/>
      <c r="T89" s="374"/>
    </row>
    <row r="90" spans="2:23" x14ac:dyDescent="0.25">
      <c r="B90" s="374"/>
      <c r="C90" s="1"/>
      <c r="D90" s="202"/>
      <c r="E90" s="169"/>
      <c r="F90" s="14"/>
      <c r="I90" s="8"/>
      <c r="S90" s="4"/>
      <c r="T90" s="374"/>
      <c r="W90" s="8"/>
    </row>
    <row r="91" spans="2:23" x14ac:dyDescent="0.25">
      <c r="B91" s="374"/>
      <c r="C91" s="1" t="s">
        <v>73</v>
      </c>
      <c r="D91" s="168">
        <v>146248</v>
      </c>
      <c r="E91" s="183">
        <v>1426891</v>
      </c>
      <c r="F91" s="14"/>
      <c r="I91" s="8"/>
      <c r="S91" s="4"/>
      <c r="T91" s="374"/>
      <c r="W91" s="14"/>
    </row>
    <row r="92" spans="2:23" x14ac:dyDescent="0.25">
      <c r="B92" s="374"/>
      <c r="C92" s="1" t="s">
        <v>74</v>
      </c>
      <c r="D92" s="184">
        <f>D91/D85</f>
        <v>1.7560366461342651</v>
      </c>
      <c r="E92" s="165">
        <f>E91/E85</f>
        <v>1.5558406270069642</v>
      </c>
      <c r="F92" s="14"/>
      <c r="S92" s="4"/>
      <c r="T92" s="374"/>
    </row>
    <row r="93" spans="2:23" ht="15.75" thickBot="1" x14ac:dyDescent="0.3">
      <c r="B93" s="375"/>
      <c r="C93" s="9" t="s">
        <v>75</v>
      </c>
      <c r="D93" s="185">
        <f>D88/D91</f>
        <v>1.8079221596192769</v>
      </c>
      <c r="E93" s="186">
        <f>E88/E91</f>
        <v>1.5570411475018064</v>
      </c>
      <c r="F93" s="18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11"/>
      <c r="T93" s="375"/>
    </row>
    <row r="94" spans="2:23" x14ac:dyDescent="0.25">
      <c r="D94" s="37"/>
      <c r="E94" s="22"/>
      <c r="F94" s="14"/>
    </row>
    <row r="95" spans="2:23" s="35" customFormat="1" x14ac:dyDescent="0.25">
      <c r="B95" s="47"/>
      <c r="C95" s="78"/>
      <c r="D95" s="8"/>
      <c r="E95" s="13"/>
    </row>
    <row r="96" spans="2:23" s="35" customFormat="1" x14ac:dyDescent="0.25">
      <c r="B96" s="47"/>
      <c r="C96" s="78"/>
      <c r="D96" s="8"/>
      <c r="E96" s="34"/>
    </row>
    <row r="97" spans="2:5" s="35" customFormat="1" x14ac:dyDescent="0.25">
      <c r="B97" s="47"/>
      <c r="C97" s="78"/>
      <c r="D97" s="8"/>
      <c r="E97" s="34"/>
    </row>
    <row r="98" spans="2:5" s="35" customFormat="1" x14ac:dyDescent="0.25">
      <c r="B98" s="47"/>
      <c r="C98" s="78"/>
      <c r="D98" s="8"/>
      <c r="E98" s="34"/>
    </row>
    <row r="99" spans="2:5" s="35" customFormat="1" x14ac:dyDescent="0.25">
      <c r="B99" s="47"/>
      <c r="C99" s="78"/>
      <c r="D99" s="8"/>
      <c r="E99" s="78"/>
    </row>
    <row r="100" spans="2:5" s="35" customFormat="1" x14ac:dyDescent="0.25">
      <c r="B100" s="47"/>
      <c r="C100" s="78"/>
      <c r="D100" s="8"/>
      <c r="E100" s="34"/>
    </row>
  </sheetData>
  <mergeCells count="15">
    <mergeCell ref="C2:S2"/>
    <mergeCell ref="D3:J3"/>
    <mergeCell ref="K3:M3"/>
    <mergeCell ref="N3:P3"/>
    <mergeCell ref="Q3:S3"/>
    <mergeCell ref="B84:B93"/>
    <mergeCell ref="T84:T93"/>
    <mergeCell ref="T3:T28"/>
    <mergeCell ref="B4:B28"/>
    <mergeCell ref="B30:B66"/>
    <mergeCell ref="T30:T66"/>
    <mergeCell ref="B68:B82"/>
    <mergeCell ref="D68:E68"/>
    <mergeCell ref="F68:G68"/>
    <mergeCell ref="T68:T82"/>
  </mergeCells>
  <pageMargins left="0.7" right="0.7" top="0.75" bottom="0.75" header="0.3" footer="0.3"/>
  <pageSetup orientation="portrait" horizontalDpi="240" verticalDpi="240" r:id="rId1"/>
  <ignoredErrors>
    <ignoredError sqref="E72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14A04-EB2B-4E25-9FA1-FFE64E3A4EB3}">
  <sheetPr codeName="Sheet24">
    <tabColor theme="7"/>
  </sheetPr>
  <dimension ref="A1:W101"/>
  <sheetViews>
    <sheetView topLeftCell="A58" workbookViewId="0">
      <selection activeCell="F74" sqref="F74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147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57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62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57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92">
        <v>16908</v>
      </c>
      <c r="J5" s="52" t="s">
        <v>12</v>
      </c>
      <c r="K5" s="53">
        <v>16908</v>
      </c>
      <c r="L5" s="105">
        <v>1</v>
      </c>
      <c r="M5" s="98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57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92">
        <v>7176</v>
      </c>
      <c r="J6" s="140">
        <f>G6/H5</f>
        <v>9.829666430092264E-2</v>
      </c>
      <c r="K6" s="53">
        <v>8838</v>
      </c>
      <c r="L6" s="105">
        <v>0.96481104322244848</v>
      </c>
      <c r="M6" s="98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57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92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98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57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92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98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57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92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98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57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92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98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57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92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98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57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92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98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57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92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98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57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92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98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88" t="s">
        <v>117</v>
      </c>
      <c r="D15" s="53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92">
        <v>8350</v>
      </c>
      <c r="J15" s="140">
        <f t="shared" si="0"/>
        <v>5.4782367618519547E-2</v>
      </c>
      <c r="K15" s="89">
        <v>11314</v>
      </c>
      <c r="L15" s="105">
        <v>0.89057804490012371</v>
      </c>
      <c r="M15" s="98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88" t="s">
        <v>121</v>
      </c>
      <c r="D16" s="89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40">
        <f t="shared" si="0"/>
        <v>5.773757105115683E-2</v>
      </c>
      <c r="K16" s="89">
        <v>13238</v>
      </c>
      <c r="L16" s="105">
        <v>0.87543435564284633</v>
      </c>
      <c r="M16" s="104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88" t="s">
        <v>125</v>
      </c>
      <c r="D17" s="89">
        <v>72087</v>
      </c>
      <c r="E17" s="89">
        <v>7112</v>
      </c>
      <c r="F17" s="89">
        <v>5979.5199999999995</v>
      </c>
      <c r="G17" s="89">
        <v>4880</v>
      </c>
      <c r="H17" s="89">
        <v>74319</v>
      </c>
      <c r="I17" s="103">
        <v>2232</v>
      </c>
      <c r="J17" s="140">
        <f t="shared" si="0"/>
        <v>6.76959784704593E-2</v>
      </c>
      <c r="K17" s="89">
        <v>7078</v>
      </c>
      <c r="L17" s="105">
        <v>0.84</v>
      </c>
      <c r="M17" s="104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88" t="s">
        <v>77</v>
      </c>
      <c r="D18" s="89">
        <v>74319</v>
      </c>
      <c r="E18" s="89">
        <v>4920</v>
      </c>
      <c r="F18" s="89">
        <v>3836</v>
      </c>
      <c r="G18" s="89">
        <v>4474</v>
      </c>
      <c r="H18" s="89">
        <v>74765</v>
      </c>
      <c r="I18" s="103">
        <v>446</v>
      </c>
      <c r="J18" s="140">
        <f t="shared" si="0"/>
        <v>6.0199948869064442E-2</v>
      </c>
      <c r="K18" s="89">
        <v>4413</v>
      </c>
      <c r="L18" s="105">
        <v>0.75</v>
      </c>
      <c r="M18" s="104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88" t="s">
        <v>82</v>
      </c>
      <c r="D19" s="135">
        <v>74765</v>
      </c>
      <c r="E19" s="135">
        <v>7659</v>
      </c>
      <c r="F19" s="135">
        <v>5705</v>
      </c>
      <c r="G19" s="135">
        <v>4911</v>
      </c>
      <c r="H19" s="135">
        <v>77513</v>
      </c>
      <c r="I19" s="136">
        <v>2748</v>
      </c>
      <c r="J19" s="140">
        <f t="shared" si="0"/>
        <v>6.5685815555406937E-2</v>
      </c>
      <c r="K19" s="135">
        <v>6929</v>
      </c>
      <c r="L19" s="137">
        <v>0.72</v>
      </c>
      <c r="M19" s="13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88" t="s">
        <v>86</v>
      </c>
      <c r="D20" s="135">
        <v>77513</v>
      </c>
      <c r="E20" s="135">
        <v>8926</v>
      </c>
      <c r="F20" s="135">
        <v>6723</v>
      </c>
      <c r="G20" s="135">
        <v>4596</v>
      </c>
      <c r="H20" s="135">
        <v>81843</v>
      </c>
      <c r="I20" s="136">
        <v>4330</v>
      </c>
      <c r="J20" s="140">
        <f t="shared" si="0"/>
        <v>5.9293279836930578E-2</v>
      </c>
      <c r="K20" s="135">
        <v>7512</v>
      </c>
      <c r="L20" s="137">
        <v>0.70673588924387643</v>
      </c>
      <c r="M20" s="13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88" t="s">
        <v>90</v>
      </c>
      <c r="D21" s="135">
        <v>81843</v>
      </c>
      <c r="E21" s="135">
        <v>11993</v>
      </c>
      <c r="F21" s="135">
        <v>9448</v>
      </c>
      <c r="G21" s="135">
        <v>4987</v>
      </c>
      <c r="H21" s="135">
        <v>88849</v>
      </c>
      <c r="I21" s="136">
        <v>7006</v>
      </c>
      <c r="J21" s="150">
        <v>6.0933738988062508E-2</v>
      </c>
      <c r="K21" s="135">
        <v>9343</v>
      </c>
      <c r="L21" s="137">
        <v>0.72760355346248529</v>
      </c>
      <c r="M21" s="137">
        <v>0.27239644653751471</v>
      </c>
      <c r="N21" s="135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88" t="s">
        <v>94</v>
      </c>
      <c r="D22" s="220">
        <v>88849</v>
      </c>
      <c r="E22" s="220">
        <v>10327</v>
      </c>
      <c r="F22" s="220">
        <v>7377</v>
      </c>
      <c r="G22" s="220">
        <v>6236</v>
      </c>
      <c r="H22" s="220">
        <f t="shared" ref="H22:H28" si="1">D22+E22-G22</f>
        <v>92940</v>
      </c>
      <c r="I22" s="221">
        <f t="shared" ref="I22:I28" si="2">H22-D22</f>
        <v>4091</v>
      </c>
      <c r="J22" s="227">
        <f>G22/D22</f>
        <v>7.0186496190165343E-2</v>
      </c>
      <c r="K22" s="220">
        <v>8900</v>
      </c>
      <c r="L22" s="228">
        <v>0.70853932584269663</v>
      </c>
      <c r="M22" s="228">
        <v>0.29146067415730337</v>
      </c>
      <c r="N22" s="220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88" t="s">
        <v>98</v>
      </c>
      <c r="D23" s="220">
        <f t="shared" ref="D23:D28" si="3">H22</f>
        <v>92940</v>
      </c>
      <c r="E23" s="220">
        <v>7983</v>
      </c>
      <c r="F23" s="220">
        <v>5491</v>
      </c>
      <c r="G23" s="220">
        <v>5763</v>
      </c>
      <c r="H23" s="220">
        <f t="shared" si="1"/>
        <v>95160</v>
      </c>
      <c r="I23" s="221">
        <f t="shared" si="2"/>
        <v>2220</v>
      </c>
      <c r="J23" s="227">
        <f>G23/D23</f>
        <v>6.2007746933505491E-2</v>
      </c>
      <c r="K23" s="220">
        <v>7248</v>
      </c>
      <c r="L23" s="228">
        <v>0.68184326710816778</v>
      </c>
      <c r="M23" s="228">
        <v>0.31815673289183222</v>
      </c>
      <c r="N23" s="220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88" t="s">
        <v>102</v>
      </c>
      <c r="D24" s="220">
        <f t="shared" si="3"/>
        <v>95160</v>
      </c>
      <c r="E24" s="220">
        <v>9226</v>
      </c>
      <c r="F24" s="220">
        <v>6131</v>
      </c>
      <c r="G24" s="220">
        <v>6072</v>
      </c>
      <c r="H24" s="220">
        <f t="shared" si="1"/>
        <v>98314</v>
      </c>
      <c r="I24" s="221">
        <f t="shared" si="2"/>
        <v>3154</v>
      </c>
      <c r="J24" s="227">
        <f t="shared" ref="J24:J28" si="4">G24/D24</f>
        <v>6.3808322824716268E-2</v>
      </c>
      <c r="K24" s="220">
        <v>8430</v>
      </c>
      <c r="L24" s="228">
        <v>0.66</v>
      </c>
      <c r="M24" s="228">
        <v>0.34</v>
      </c>
      <c r="N24" s="220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88" t="s">
        <v>106</v>
      </c>
      <c r="D25" s="220">
        <f t="shared" si="3"/>
        <v>98314</v>
      </c>
      <c r="E25" s="220">
        <v>14385</v>
      </c>
      <c r="F25" s="220">
        <v>10008</v>
      </c>
      <c r="G25" s="220">
        <v>6214</v>
      </c>
      <c r="H25" s="220">
        <f t="shared" si="1"/>
        <v>106485</v>
      </c>
      <c r="I25" s="221">
        <f t="shared" si="2"/>
        <v>8171</v>
      </c>
      <c r="J25" s="227">
        <f t="shared" si="4"/>
        <v>6.3205647211994218E-2</v>
      </c>
      <c r="K25" s="220">
        <v>13328</v>
      </c>
      <c r="L25" s="228">
        <v>0.7</v>
      </c>
      <c r="M25" s="228">
        <v>0.3</v>
      </c>
      <c r="N25" s="220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88" t="s">
        <v>110</v>
      </c>
      <c r="D26" s="220">
        <f t="shared" si="3"/>
        <v>106485</v>
      </c>
      <c r="E26" s="220">
        <v>11560</v>
      </c>
      <c r="F26" s="220">
        <v>7633</v>
      </c>
      <c r="G26" s="220">
        <v>7432</v>
      </c>
      <c r="H26" s="220">
        <f t="shared" si="1"/>
        <v>110613</v>
      </c>
      <c r="I26" s="221">
        <f t="shared" si="2"/>
        <v>4128</v>
      </c>
      <c r="J26" s="227">
        <f t="shared" si="4"/>
        <v>6.9793867680894017E-2</v>
      </c>
      <c r="K26" s="220">
        <v>10693</v>
      </c>
      <c r="L26" s="228">
        <v>0.66</v>
      </c>
      <c r="M26" s="228">
        <v>0.34</v>
      </c>
      <c r="N26" s="220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88" t="s">
        <v>117</v>
      </c>
      <c r="D27" s="220">
        <f t="shared" si="3"/>
        <v>110613</v>
      </c>
      <c r="E27" s="220">
        <v>13848</v>
      </c>
      <c r="F27" s="220">
        <v>9168</v>
      </c>
      <c r="G27" s="220">
        <v>6824</v>
      </c>
      <c r="H27" s="220">
        <f t="shared" si="1"/>
        <v>117637</v>
      </c>
      <c r="I27" s="221">
        <f t="shared" si="2"/>
        <v>7024</v>
      </c>
      <c r="J27" s="227">
        <f t="shared" si="4"/>
        <v>6.1692567781363852E-2</v>
      </c>
      <c r="K27" s="220">
        <v>12662</v>
      </c>
      <c r="L27" s="228">
        <v>0.67</v>
      </c>
      <c r="M27" s="228">
        <v>0.33</v>
      </c>
      <c r="N27" s="220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88" t="s">
        <v>121</v>
      </c>
      <c r="D28" s="220">
        <f t="shared" si="3"/>
        <v>117637</v>
      </c>
      <c r="E28" s="220">
        <v>22235</v>
      </c>
      <c r="F28" s="220">
        <v>15474</v>
      </c>
      <c r="G28" s="220">
        <v>7162</v>
      </c>
      <c r="H28" s="220">
        <f t="shared" si="1"/>
        <v>132710</v>
      </c>
      <c r="I28" s="221">
        <f t="shared" si="2"/>
        <v>15073</v>
      </c>
      <c r="J28" s="227">
        <f t="shared" si="4"/>
        <v>6.0882205428564144E-2</v>
      </c>
      <c r="K28" s="220">
        <v>20838</v>
      </c>
      <c r="L28" s="228">
        <v>0.7</v>
      </c>
      <c r="M28" s="228">
        <v>0.3</v>
      </c>
      <c r="N28" s="220">
        <v>1510</v>
      </c>
      <c r="O28" s="229">
        <v>0.63</v>
      </c>
      <c r="P28" s="229">
        <v>0.37</v>
      </c>
      <c r="Q28" s="230">
        <v>63</v>
      </c>
      <c r="R28" s="231">
        <v>0.95</v>
      </c>
      <c r="S28" s="232">
        <v>0.05</v>
      </c>
      <c r="T28" s="374"/>
      <c r="U28" s="39"/>
      <c r="V28" s="142"/>
    </row>
    <row r="29" spans="1:22" ht="15.75" thickBot="1" x14ac:dyDescent="0.3">
      <c r="B29" s="391"/>
      <c r="C29" s="88" t="s">
        <v>78</v>
      </c>
      <c r="D29" s="135"/>
      <c r="E29" s="135">
        <f>SUM(E5:E28)</f>
        <v>226586</v>
      </c>
      <c r="F29" s="135">
        <f>SUM(F5:F28)</f>
        <v>179581.52000000002</v>
      </c>
      <c r="G29" s="135">
        <f>SUM(G5:G28)</f>
        <v>93876</v>
      </c>
      <c r="H29" s="135"/>
      <c r="I29" s="136"/>
      <c r="J29" s="136"/>
      <c r="K29" s="135">
        <f>SUM(K5:K28)</f>
        <v>213786</v>
      </c>
      <c r="L29" s="136"/>
      <c r="M29" s="136"/>
      <c r="N29" s="135">
        <f>SUM(N17:N28)</f>
        <v>14862</v>
      </c>
      <c r="O29" s="135"/>
      <c r="P29" s="135"/>
      <c r="Q29" s="144">
        <f>SUM(Q20:Q28)</f>
        <v>1872</v>
      </c>
      <c r="R29" s="93"/>
      <c r="S29" s="112"/>
      <c r="T29" s="375"/>
      <c r="U29" s="8"/>
      <c r="V29" s="142"/>
    </row>
    <row r="30" spans="1:22" ht="15.75" thickBot="1" x14ac:dyDescent="0.3">
      <c r="C30" s="45"/>
      <c r="D30" s="25"/>
      <c r="E30" s="50"/>
      <c r="F30" s="50"/>
      <c r="G30" s="50"/>
      <c r="H30" s="50"/>
      <c r="I30" s="50"/>
      <c r="J30" s="238"/>
      <c r="K30" s="50"/>
      <c r="L30" s="50"/>
      <c r="M30" s="50"/>
      <c r="N30" s="50"/>
      <c r="O30" s="50"/>
      <c r="P30" s="50"/>
      <c r="Q30" s="50"/>
      <c r="R30" s="50"/>
      <c r="S30" s="51"/>
      <c r="T30" s="27"/>
      <c r="V30" s="142"/>
    </row>
    <row r="31" spans="1:22" x14ac:dyDescent="0.25">
      <c r="B31" s="381" t="s">
        <v>13</v>
      </c>
      <c r="C31" s="94"/>
      <c r="D31" s="48" t="s">
        <v>148</v>
      </c>
      <c r="E31" s="48" t="s">
        <v>15</v>
      </c>
      <c r="F31" s="48" t="s">
        <v>149</v>
      </c>
      <c r="G31" s="48" t="s">
        <v>138</v>
      </c>
      <c r="H31" s="48" t="s">
        <v>18</v>
      </c>
      <c r="I31" s="94"/>
      <c r="J31" s="116"/>
      <c r="K31" s="116"/>
      <c r="L31" s="94"/>
      <c r="M31" s="94"/>
      <c r="N31" s="94"/>
      <c r="O31" s="94"/>
      <c r="P31" s="94"/>
      <c r="Q31" s="94"/>
      <c r="R31" s="94"/>
      <c r="S31" s="49"/>
      <c r="T31" s="380" t="s">
        <v>19</v>
      </c>
      <c r="V31" s="142"/>
    </row>
    <row r="32" spans="1:22" x14ac:dyDescent="0.25">
      <c r="B32" s="382"/>
      <c r="C32" s="156" t="s">
        <v>20</v>
      </c>
      <c r="D32" s="47"/>
      <c r="E32" s="47"/>
      <c r="F32" s="47"/>
      <c r="G32" s="47"/>
      <c r="I32" s="154"/>
      <c r="J32" s="47"/>
      <c r="K32" s="47"/>
      <c r="L32" s="47"/>
      <c r="M32" s="124"/>
      <c r="N32" s="47"/>
      <c r="O32" s="47"/>
      <c r="P32" s="47"/>
      <c r="Q32" s="47"/>
      <c r="R32" s="47"/>
      <c r="S32" s="12"/>
      <c r="T32" s="380"/>
      <c r="V32" s="8"/>
    </row>
    <row r="33" spans="2:22" x14ac:dyDescent="0.25">
      <c r="B33" s="382"/>
      <c r="C33" s="47" t="s">
        <v>21</v>
      </c>
      <c r="D33" s="13">
        <v>0.46899999999999997</v>
      </c>
      <c r="E33" s="13">
        <v>0.41899999999999998</v>
      </c>
      <c r="F33" s="14">
        <f>D33/E33</f>
        <v>1.1193317422434368</v>
      </c>
      <c r="G33" s="13">
        <v>0.51300000000000001</v>
      </c>
      <c r="H33" s="14">
        <f>E33/G33</f>
        <v>0.81676413255360614</v>
      </c>
      <c r="I33" s="149"/>
      <c r="J33" s="222"/>
      <c r="K33" s="14"/>
      <c r="L33" s="14"/>
      <c r="M33" s="14"/>
      <c r="N33" s="14"/>
      <c r="O33" s="14"/>
      <c r="P33" s="14"/>
      <c r="Q33" s="14"/>
      <c r="R33" s="14"/>
      <c r="S33" s="15"/>
      <c r="T33" s="380"/>
      <c r="V33" s="8"/>
    </row>
    <row r="34" spans="2:22" x14ac:dyDescent="0.25">
      <c r="B34" s="382"/>
      <c r="C34" s="47" t="s">
        <v>22</v>
      </c>
      <c r="D34" s="13">
        <v>0.53100000000000003</v>
      </c>
      <c r="E34" s="13">
        <v>0.58099999999999996</v>
      </c>
      <c r="F34" s="14">
        <f t="shared" ref="F34:F67" si="5">D34/E34</f>
        <v>0.91394148020654054</v>
      </c>
      <c r="G34" s="13">
        <v>0.48699999999999999</v>
      </c>
      <c r="H34" s="14">
        <f t="shared" ref="H34:H51" si="6">E34/G34</f>
        <v>1.193018480492813</v>
      </c>
      <c r="I34" s="149"/>
      <c r="J34" s="39"/>
      <c r="K34" s="14"/>
      <c r="L34" s="14"/>
      <c r="M34" s="14"/>
      <c r="N34" s="14"/>
      <c r="O34" s="14"/>
      <c r="P34" s="14"/>
      <c r="Q34" s="14"/>
      <c r="R34" s="14"/>
      <c r="S34" s="15"/>
      <c r="T34" s="380"/>
    </row>
    <row r="35" spans="2:22" x14ac:dyDescent="0.25">
      <c r="B35" s="382"/>
      <c r="D35" s="13"/>
      <c r="E35" s="190"/>
      <c r="F35" s="170"/>
      <c r="G35" s="190"/>
      <c r="H35" s="170"/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2" x14ac:dyDescent="0.25">
      <c r="B36" s="382"/>
      <c r="C36" s="156" t="s">
        <v>23</v>
      </c>
      <c r="E36" s="169"/>
      <c r="F36" s="170"/>
      <c r="G36" s="190"/>
      <c r="H36" s="170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 x14ac:dyDescent="0.25">
      <c r="B37" s="382"/>
      <c r="C37" s="47" t="s">
        <v>24</v>
      </c>
      <c r="D37" s="13">
        <v>0</v>
      </c>
      <c r="E37" s="13">
        <v>0</v>
      </c>
      <c r="F37" s="14" t="s">
        <v>12</v>
      </c>
      <c r="G37" s="13">
        <v>1.4999999999999999E-2</v>
      </c>
      <c r="H37" s="14">
        <f>E37/G37</f>
        <v>0</v>
      </c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25">
      <c r="B38" s="382"/>
      <c r="C38" s="47" t="s">
        <v>25</v>
      </c>
      <c r="D38" s="13">
        <v>4.8000000000000001E-2</v>
      </c>
      <c r="E38" s="13">
        <v>3.5999999999999997E-2</v>
      </c>
      <c r="F38" s="14">
        <f t="shared" si="5"/>
        <v>1.3333333333333335</v>
      </c>
      <c r="G38" s="13">
        <v>0.14299999999999999</v>
      </c>
      <c r="H38" s="14">
        <f t="shared" si="6"/>
        <v>0.25174825174825177</v>
      </c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25">
      <c r="B39" s="382"/>
      <c r="C39" s="47" t="s">
        <v>26</v>
      </c>
      <c r="D39" s="13">
        <v>0.46400000000000002</v>
      </c>
      <c r="E39" s="13">
        <v>0.40600000000000003</v>
      </c>
      <c r="F39" s="14">
        <f t="shared" si="5"/>
        <v>1.1428571428571428</v>
      </c>
      <c r="G39" s="13">
        <v>0.28499999999999998</v>
      </c>
      <c r="H39" s="14">
        <f t="shared" si="6"/>
        <v>1.4245614035087721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25">
      <c r="B40" s="382"/>
      <c r="C40" s="47" t="s">
        <v>27</v>
      </c>
      <c r="D40" s="13">
        <v>0.35099999999999998</v>
      </c>
      <c r="E40" s="13">
        <v>0.39800000000000002</v>
      </c>
      <c r="F40" s="14">
        <f t="shared" si="5"/>
        <v>0.88190954773869334</v>
      </c>
      <c r="G40" s="13">
        <v>0.32400000000000001</v>
      </c>
      <c r="H40" s="14">
        <f t="shared" si="6"/>
        <v>1.2283950617283952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25">
      <c r="B41" s="382"/>
      <c r="C41" s="47" t="s">
        <v>28</v>
      </c>
      <c r="D41" s="13">
        <v>0.121</v>
      </c>
      <c r="E41" s="13">
        <v>0.14199999999999999</v>
      </c>
      <c r="F41" s="14">
        <f t="shared" si="5"/>
        <v>0.85211267605633811</v>
      </c>
      <c r="G41" s="13">
        <v>0.16500000000000001</v>
      </c>
      <c r="H41" s="14">
        <f t="shared" si="6"/>
        <v>0.86060606060606049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25">
      <c r="B42" s="382"/>
      <c r="C42" s="47" t="s">
        <v>29</v>
      </c>
      <c r="D42" s="13">
        <v>1.6E-2</v>
      </c>
      <c r="E42" s="13">
        <v>1.9E-2</v>
      </c>
      <c r="F42" s="14">
        <f t="shared" si="5"/>
        <v>0.8421052631578948</v>
      </c>
      <c r="G42" s="13">
        <v>6.8000000000000005E-2</v>
      </c>
      <c r="H42" s="14">
        <f t="shared" si="6"/>
        <v>0.2794117647058823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25">
      <c r="B43" s="382"/>
      <c r="D43" s="190"/>
      <c r="E43" s="190"/>
      <c r="F43" s="170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25">
      <c r="B44" s="382"/>
      <c r="C44" s="156" t="s">
        <v>30</v>
      </c>
      <c r="D44" s="169"/>
      <c r="E44" s="169"/>
      <c r="F44" s="170"/>
      <c r="G44" s="190"/>
      <c r="H44" s="170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25">
      <c r="B45" s="382"/>
      <c r="C45" s="47" t="s">
        <v>31</v>
      </c>
      <c r="D45" s="13">
        <v>0.498</v>
      </c>
      <c r="E45" s="191">
        <v>0.47499999999999998</v>
      </c>
      <c r="F45" s="14">
        <f t="shared" si="5"/>
        <v>1.0484210526315789</v>
      </c>
      <c r="G45" s="13">
        <v>0.47799999999999998</v>
      </c>
      <c r="H45" s="14">
        <f t="shared" si="6"/>
        <v>0.99372384937238489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25">
      <c r="B46" s="382"/>
      <c r="C46" s="47" t="s">
        <v>32</v>
      </c>
      <c r="D46" s="13">
        <v>0.20300000000000001</v>
      </c>
      <c r="E46" s="243">
        <v>0.20499999999999999</v>
      </c>
      <c r="F46" s="14">
        <f t="shared" si="5"/>
        <v>0.99024390243902449</v>
      </c>
      <c r="G46" s="13">
        <v>0.14499999999999999</v>
      </c>
      <c r="H46" s="14">
        <f t="shared" si="6"/>
        <v>1.4137931034482758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25">
      <c r="B47" s="382"/>
      <c r="C47" s="47" t="s">
        <v>33</v>
      </c>
      <c r="D47" s="13">
        <v>0.11</v>
      </c>
      <c r="E47" s="243">
        <v>0.128</v>
      </c>
      <c r="F47" s="14">
        <f t="shared" si="5"/>
        <v>0.859375</v>
      </c>
      <c r="G47" s="13">
        <v>0.13200000000000001</v>
      </c>
      <c r="H47" s="14">
        <f t="shared" si="6"/>
        <v>0.96969696969696972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25">
      <c r="B48" s="382"/>
      <c r="C48" s="47" t="s">
        <v>34</v>
      </c>
      <c r="D48" s="13">
        <v>0.09</v>
      </c>
      <c r="E48" s="243">
        <v>0.09</v>
      </c>
      <c r="F48" s="14">
        <f t="shared" si="5"/>
        <v>1</v>
      </c>
      <c r="G48" s="13">
        <v>0.106</v>
      </c>
      <c r="H48" s="14">
        <f t="shared" si="6"/>
        <v>0.84905660377358494</v>
      </c>
      <c r="I48" s="223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35</v>
      </c>
      <c r="D49" s="13">
        <v>2.1999999999999999E-2</v>
      </c>
      <c r="E49" s="243">
        <v>2.1999999999999999E-2</v>
      </c>
      <c r="F49" s="14">
        <f t="shared" si="5"/>
        <v>1</v>
      </c>
      <c r="G49" s="13">
        <v>3.5000000000000003E-2</v>
      </c>
      <c r="H49" s="14">
        <f t="shared" si="6"/>
        <v>0.62857142857142845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36</v>
      </c>
      <c r="D50" s="13">
        <v>1.4E-2</v>
      </c>
      <c r="E50" s="243">
        <v>1.4999999999999999E-2</v>
      </c>
      <c r="F50" s="14">
        <f t="shared" si="5"/>
        <v>0.93333333333333335</v>
      </c>
      <c r="G50" s="13">
        <v>2.4E-2</v>
      </c>
      <c r="H50" s="14">
        <f t="shared" si="6"/>
        <v>0.625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37</v>
      </c>
      <c r="D51" s="13">
        <v>6.2E-2</v>
      </c>
      <c r="E51" s="243">
        <v>6.5000000000000002E-2</v>
      </c>
      <c r="F51" s="14">
        <f t="shared" si="5"/>
        <v>0.95384615384615379</v>
      </c>
      <c r="G51" s="13">
        <v>8.1000000000000003E-2</v>
      </c>
      <c r="H51" s="14">
        <f t="shared" si="6"/>
        <v>0.80246913580246915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D52" s="190"/>
      <c r="E52" s="190"/>
      <c r="F52" s="14"/>
      <c r="G52" s="190"/>
      <c r="H52" s="170"/>
      <c r="I52" s="149"/>
      <c r="J52" s="222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156" t="s">
        <v>38</v>
      </c>
      <c r="D53" s="169"/>
      <c r="E53" s="169"/>
      <c r="F53" s="14"/>
      <c r="G53" s="190"/>
      <c r="H53" s="170"/>
      <c r="I53" s="149"/>
      <c r="J53" s="222"/>
      <c r="K53" s="239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39</v>
      </c>
      <c r="D54" s="13">
        <v>0.502</v>
      </c>
      <c r="E54" s="13">
        <v>0.35299999999999998</v>
      </c>
      <c r="F54" s="14">
        <f t="shared" si="5"/>
        <v>1.4220963172804533</v>
      </c>
      <c r="G54" s="16">
        <v>0.39</v>
      </c>
      <c r="H54" s="72">
        <f>E54/G54</f>
        <v>0.90512820512820502</v>
      </c>
      <c r="I54" s="149"/>
      <c r="J54" s="240"/>
      <c r="K54" s="241"/>
      <c r="L54" s="16"/>
      <c r="M54" s="16"/>
      <c r="N54" s="68"/>
      <c r="O54" s="16"/>
      <c r="P54" s="16"/>
      <c r="Q54" s="16"/>
      <c r="R54" s="16"/>
      <c r="S54" s="36"/>
      <c r="T54" s="380"/>
    </row>
    <row r="55" spans="2:20" x14ac:dyDescent="0.25">
      <c r="B55" s="382"/>
      <c r="C55" s="47" t="s">
        <v>40</v>
      </c>
      <c r="D55" s="13">
        <v>5.2999999999999999E-2</v>
      </c>
      <c r="E55" s="13">
        <v>4.5999999999999999E-2</v>
      </c>
      <c r="F55" s="14">
        <f t="shared" si="5"/>
        <v>1.1521739130434783</v>
      </c>
      <c r="G55" s="13">
        <v>8.3000000000000004E-2</v>
      </c>
      <c r="H55" s="72">
        <f t="shared" ref="H55:H59" si="7">E55/G55</f>
        <v>0.55421686746987953</v>
      </c>
      <c r="I55" s="149"/>
      <c r="J55" s="240"/>
      <c r="K55" s="241"/>
      <c r="L55" s="14"/>
      <c r="M55" s="16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41</v>
      </c>
      <c r="D56" s="13">
        <v>9.6000000000000002E-2</v>
      </c>
      <c r="E56" s="13">
        <v>0.09</v>
      </c>
      <c r="F56" s="14">
        <f t="shared" si="5"/>
        <v>1.0666666666666667</v>
      </c>
      <c r="G56" s="13">
        <v>0.14899999999999999</v>
      </c>
      <c r="H56" s="72">
        <f t="shared" si="7"/>
        <v>0.60402684563758391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42</v>
      </c>
      <c r="D57" s="13">
        <v>0.111</v>
      </c>
      <c r="E57" s="13">
        <v>0.124</v>
      </c>
      <c r="F57" s="14">
        <f t="shared" si="5"/>
        <v>0.89516129032258063</v>
      </c>
      <c r="G57" s="13">
        <v>0.159</v>
      </c>
      <c r="H57" s="72">
        <f t="shared" si="7"/>
        <v>0.77987421383647793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43</v>
      </c>
      <c r="D58" s="13">
        <v>0.13600000000000001</v>
      </c>
      <c r="E58" s="13">
        <v>0.17899999999999999</v>
      </c>
      <c r="F58" s="14">
        <f t="shared" si="5"/>
        <v>0.75977653631284925</v>
      </c>
      <c r="G58" s="13">
        <v>0.14299999999999999</v>
      </c>
      <c r="H58" s="72">
        <f t="shared" si="7"/>
        <v>1.2517482517482519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44</v>
      </c>
      <c r="D59" s="13">
        <v>0.10199999999999999</v>
      </c>
      <c r="E59" s="13">
        <v>0.20699999999999999</v>
      </c>
      <c r="F59" s="14">
        <f t="shared" si="5"/>
        <v>0.49275362318840576</v>
      </c>
      <c r="G59" s="13">
        <v>7.5999999999999998E-2</v>
      </c>
      <c r="H59" s="72">
        <f t="shared" si="7"/>
        <v>2.7236842105263159</v>
      </c>
      <c r="J59" s="34"/>
      <c r="K59" s="239"/>
      <c r="O59" s="14"/>
      <c r="P59" s="14"/>
      <c r="Q59" s="14"/>
      <c r="R59" s="14"/>
      <c r="S59" s="15"/>
      <c r="T59" s="380"/>
    </row>
    <row r="60" spans="2:20" x14ac:dyDescent="0.25">
      <c r="B60" s="382"/>
      <c r="D60" s="190"/>
      <c r="E60" s="190"/>
      <c r="F60" s="14"/>
      <c r="G60" s="190"/>
      <c r="H60" s="170"/>
      <c r="I60" s="149"/>
      <c r="J60" s="222"/>
      <c r="K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156" t="s">
        <v>136</v>
      </c>
      <c r="D61" s="190"/>
      <c r="E61" s="190"/>
      <c r="F61" s="14"/>
      <c r="G61" s="190"/>
      <c r="H61" s="170"/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39</v>
      </c>
      <c r="D62" s="13">
        <v>0.42599999999999999</v>
      </c>
      <c r="E62" s="13">
        <v>0.156</v>
      </c>
      <c r="F62" s="14">
        <f t="shared" si="5"/>
        <v>2.7307692307692308</v>
      </c>
      <c r="G62" s="191">
        <v>0.374</v>
      </c>
      <c r="H62" s="244">
        <f>E62/G62</f>
        <v>0.41711229946524064</v>
      </c>
      <c r="I62" s="149"/>
      <c r="J62" s="38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40</v>
      </c>
      <c r="D63" s="13">
        <v>7.8E-2</v>
      </c>
      <c r="E63" s="13">
        <v>5.7000000000000002E-2</v>
      </c>
      <c r="F63" s="14">
        <f t="shared" si="5"/>
        <v>1.368421052631579</v>
      </c>
      <c r="G63" s="191">
        <v>0.14399999999999999</v>
      </c>
      <c r="H63" s="244">
        <f t="shared" ref="H63:H67" si="8">E63/G63</f>
        <v>0.39583333333333337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41</v>
      </c>
      <c r="D64" s="13">
        <v>0.13500000000000001</v>
      </c>
      <c r="E64" s="13">
        <v>0.125</v>
      </c>
      <c r="F64" s="14">
        <f t="shared" si="5"/>
        <v>1.08</v>
      </c>
      <c r="G64" s="191">
        <v>0.19900000000000001</v>
      </c>
      <c r="H64" s="244">
        <f t="shared" si="8"/>
        <v>0.62814070351758788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42</v>
      </c>
      <c r="D65" s="13">
        <v>0.13500000000000001</v>
      </c>
      <c r="E65" s="13">
        <v>0.16300000000000001</v>
      </c>
      <c r="F65" s="14">
        <f t="shared" si="5"/>
        <v>0.82822085889570551</v>
      </c>
      <c r="G65" s="191">
        <v>0.14899999999999999</v>
      </c>
      <c r="H65" s="244">
        <f t="shared" si="8"/>
        <v>1.0939597315436242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43</v>
      </c>
      <c r="D66" s="13">
        <v>0.13600000000000001</v>
      </c>
      <c r="E66" s="13">
        <v>0.23300000000000001</v>
      </c>
      <c r="F66" s="14">
        <f t="shared" si="5"/>
        <v>0.58369098712446355</v>
      </c>
      <c r="G66" s="191">
        <v>9.6000000000000002E-2</v>
      </c>
      <c r="H66" s="244">
        <f t="shared" si="8"/>
        <v>2.4270833333333335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ht="15.75" thickBot="1" x14ac:dyDescent="0.3">
      <c r="B67" s="383"/>
      <c r="C67" s="47" t="s">
        <v>44</v>
      </c>
      <c r="D67" s="13">
        <v>0.09</v>
      </c>
      <c r="E67" s="13">
        <v>0.26600000000000001</v>
      </c>
      <c r="F67" s="14">
        <f t="shared" si="5"/>
        <v>0.33834586466165412</v>
      </c>
      <c r="G67" s="191">
        <v>3.7999999999999999E-2</v>
      </c>
      <c r="H67" s="244">
        <f t="shared" si="8"/>
        <v>7.0000000000000009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ht="15.75" thickBot="1" x14ac:dyDescent="0.3">
      <c r="B68" s="60"/>
      <c r="C68" s="45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26"/>
      <c r="T68" s="27"/>
    </row>
    <row r="69" spans="2:20" x14ac:dyDescent="0.25">
      <c r="B69" s="373" t="s">
        <v>45</v>
      </c>
      <c r="C69" s="5"/>
      <c r="D69" s="385" t="s">
        <v>46</v>
      </c>
      <c r="E69" s="385"/>
      <c r="F69" s="385" t="s">
        <v>47</v>
      </c>
      <c r="G69" s="385"/>
      <c r="H69" s="42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7"/>
      <c r="T69" s="386" t="s">
        <v>48</v>
      </c>
    </row>
    <row r="70" spans="2:20" x14ac:dyDescent="0.25">
      <c r="B70" s="374"/>
      <c r="C70" s="1"/>
      <c r="D70" s="40" t="s">
        <v>49</v>
      </c>
      <c r="E70" s="40" t="s">
        <v>50</v>
      </c>
      <c r="F70" s="40" t="s">
        <v>49</v>
      </c>
      <c r="G70" s="40" t="s">
        <v>50</v>
      </c>
      <c r="H70" s="41" t="s">
        <v>51</v>
      </c>
      <c r="I70" s="96" t="s">
        <v>52</v>
      </c>
      <c r="J70" s="97"/>
      <c r="K70" s="97"/>
      <c r="L70" s="97"/>
      <c r="M70" s="97"/>
      <c r="N70" s="97"/>
      <c r="O70" s="97"/>
      <c r="P70" s="97"/>
      <c r="Q70" s="97"/>
      <c r="R70" s="97"/>
      <c r="S70" s="99"/>
      <c r="T70" s="387"/>
    </row>
    <row r="71" spans="2:20" x14ac:dyDescent="0.25">
      <c r="B71" s="374"/>
      <c r="C71" s="2" t="s">
        <v>53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4"/>
      <c r="T71" s="387"/>
    </row>
    <row r="72" spans="2:20" x14ac:dyDescent="0.25">
      <c r="B72" s="374"/>
      <c r="C72" s="1" t="s">
        <v>54</v>
      </c>
      <c r="D72" s="167">
        <v>5050429</v>
      </c>
      <c r="E72" s="163">
        <f>D72/D74</f>
        <v>0.73908050098084477</v>
      </c>
      <c r="F72" s="168">
        <v>233601</v>
      </c>
      <c r="G72" s="160">
        <f>F72/$F$74</f>
        <v>0.62848848628012277</v>
      </c>
      <c r="H72" s="161">
        <f>G72/E72</f>
        <v>0.85036540058362564</v>
      </c>
      <c r="I72" s="163">
        <f>F72/D72</f>
        <v>4.6253694488131603E-2</v>
      </c>
      <c r="J72" s="39"/>
      <c r="K72" s="39"/>
      <c r="L72" s="14"/>
      <c r="M72" s="14"/>
      <c r="N72" s="14"/>
      <c r="O72" s="14"/>
      <c r="P72" s="14"/>
      <c r="Q72" s="14"/>
      <c r="R72" s="14"/>
      <c r="S72" s="82"/>
      <c r="T72" s="387"/>
    </row>
    <row r="73" spans="2:20" x14ac:dyDescent="0.25">
      <c r="B73" s="374"/>
      <c r="C73" s="1" t="s">
        <v>55</v>
      </c>
      <c r="D73" s="167">
        <f>SUM(D77:D83)</f>
        <v>1782966</v>
      </c>
      <c r="E73" s="163">
        <f>D73/D74</f>
        <v>0.26091949901915518</v>
      </c>
      <c r="F73" s="168">
        <f>SUM(F77:F83)</f>
        <v>138086</v>
      </c>
      <c r="G73" s="160">
        <f>F73/$F$74</f>
        <v>0.37151151371987723</v>
      </c>
      <c r="H73" s="161">
        <f>G73/E73</f>
        <v>1.4238549250495189</v>
      </c>
      <c r="I73" s="163">
        <f t="shared" ref="I73:I83" si="9">F73/D73</f>
        <v>7.7447354576587552E-2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 x14ac:dyDescent="0.25">
      <c r="B74" s="374"/>
      <c r="C74" s="1" t="s">
        <v>53</v>
      </c>
      <c r="D74" s="167">
        <f>SUM(D72:D73)</f>
        <v>6833395</v>
      </c>
      <c r="E74" s="192"/>
      <c r="F74" s="168">
        <f>SUM(F72:F73)</f>
        <v>371687</v>
      </c>
      <c r="G74" s="169"/>
      <c r="H74" s="161"/>
      <c r="I74" s="163">
        <f t="shared" si="9"/>
        <v>5.4392728650985343E-2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25">
      <c r="B75" s="374"/>
      <c r="C75" s="1"/>
      <c r="D75" s="192"/>
      <c r="E75" s="192"/>
      <c r="F75" s="171"/>
      <c r="G75" s="169"/>
      <c r="H75" s="161"/>
      <c r="I75" s="163"/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25">
      <c r="B76" s="374"/>
      <c r="C76" s="2" t="s">
        <v>56</v>
      </c>
      <c r="D76" s="192"/>
      <c r="E76" s="192"/>
      <c r="F76" s="169"/>
      <c r="G76" s="169"/>
      <c r="H76" s="161"/>
      <c r="I76" s="163"/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25">
      <c r="B77" s="374"/>
      <c r="C77" s="1" t="s">
        <v>57</v>
      </c>
      <c r="D77" s="167">
        <v>817315</v>
      </c>
      <c r="E77" s="163">
        <f>D77/$D$73</f>
        <v>0.45840189885841909</v>
      </c>
      <c r="F77" s="168">
        <v>55952</v>
      </c>
      <c r="G77" s="160">
        <f>F77/$F$73</f>
        <v>0.40519676143852384</v>
      </c>
      <c r="H77" s="161">
        <f t="shared" ref="H77:H83" si="10">G77/E77</f>
        <v>0.88393342708135669</v>
      </c>
      <c r="I77" s="163">
        <f t="shared" si="9"/>
        <v>6.8458305549268031E-2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25">
      <c r="B78" s="374"/>
      <c r="C78" s="1" t="s">
        <v>58</v>
      </c>
      <c r="D78" s="167">
        <v>338492</v>
      </c>
      <c r="E78" s="163">
        <f t="shared" ref="E78:E83" si="11">D78/$D$73</f>
        <v>0.18984770320914701</v>
      </c>
      <c r="F78" s="168">
        <v>30936</v>
      </c>
      <c r="G78" s="160">
        <f t="shared" ref="G78:G83" si="12">F78/$F$73</f>
        <v>0.22403429746679607</v>
      </c>
      <c r="H78" s="161">
        <f t="shared" si="10"/>
        <v>1.1800737837738662</v>
      </c>
      <c r="I78" s="163">
        <f t="shared" si="9"/>
        <v>9.1393592758469921E-2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1" t="s">
        <v>59</v>
      </c>
      <c r="D79" s="167">
        <v>332844</v>
      </c>
      <c r="E79" s="163">
        <f t="shared" si="11"/>
        <v>0.18667994790702683</v>
      </c>
      <c r="F79" s="168">
        <v>37358</v>
      </c>
      <c r="G79" s="160">
        <f t="shared" si="12"/>
        <v>0.27054154657242591</v>
      </c>
      <c r="H79" s="161">
        <f t="shared" si="10"/>
        <v>1.4492266020299358</v>
      </c>
      <c r="I79" s="163">
        <f t="shared" si="9"/>
        <v>0.11223876650923556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72" t="s">
        <v>60</v>
      </c>
      <c r="D80" s="168">
        <v>182788</v>
      </c>
      <c r="E80" s="163">
        <f t="shared" si="11"/>
        <v>0.10251906093554224</v>
      </c>
      <c r="F80" s="174">
        <v>7255</v>
      </c>
      <c r="G80" s="160">
        <f t="shared" si="12"/>
        <v>5.253972162275683E-2</v>
      </c>
      <c r="H80" s="161">
        <f t="shared" si="10"/>
        <v>0.512487347653239</v>
      </c>
      <c r="I80" s="163">
        <f t="shared" si="9"/>
        <v>3.9690789329715301E-2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 t="s">
        <v>61</v>
      </c>
      <c r="D81" s="167">
        <v>36002</v>
      </c>
      <c r="E81" s="163">
        <f t="shared" si="11"/>
        <v>2.0192196598252575E-2</v>
      </c>
      <c r="F81" s="168">
        <v>1770</v>
      </c>
      <c r="G81" s="160">
        <f t="shared" si="12"/>
        <v>1.2818098865924134E-2</v>
      </c>
      <c r="H81" s="161">
        <f t="shared" si="10"/>
        <v>0.6348045792617435</v>
      </c>
      <c r="I81" s="163">
        <f t="shared" si="9"/>
        <v>4.9163935336925729E-2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 t="s">
        <v>62</v>
      </c>
      <c r="D82" s="167">
        <v>55551</v>
      </c>
      <c r="E82" s="163">
        <f t="shared" si="11"/>
        <v>3.1156511116869307E-2</v>
      </c>
      <c r="F82" s="168">
        <v>3181</v>
      </c>
      <c r="G82" s="160">
        <f t="shared" si="12"/>
        <v>2.3036368639833146E-2</v>
      </c>
      <c r="H82" s="161">
        <f t="shared" si="10"/>
        <v>0.73937574568034314</v>
      </c>
      <c r="I82" s="163">
        <f t="shared" si="9"/>
        <v>5.7262695541034365E-2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  <c r="W82" s="13"/>
    </row>
    <row r="83" spans="2:23" ht="15.75" thickBot="1" x14ac:dyDescent="0.3">
      <c r="B83" s="375"/>
      <c r="C83" s="9" t="s">
        <v>63</v>
      </c>
      <c r="D83" s="175">
        <v>19974</v>
      </c>
      <c r="E83" s="179">
        <f t="shared" si="11"/>
        <v>1.1202681374742984E-2</v>
      </c>
      <c r="F83" s="177">
        <v>1634</v>
      </c>
      <c r="G83" s="176">
        <f t="shared" si="12"/>
        <v>1.1833205393740134E-2</v>
      </c>
      <c r="H83" s="178">
        <f t="shared" si="10"/>
        <v>1.0562833127092857</v>
      </c>
      <c r="I83" s="179">
        <f t="shared" si="9"/>
        <v>8.1806348252728547E-2</v>
      </c>
      <c r="J83" s="100"/>
      <c r="K83" s="100"/>
      <c r="L83" s="18"/>
      <c r="M83" s="18"/>
      <c r="N83" s="18"/>
      <c r="O83" s="18"/>
      <c r="P83" s="18"/>
      <c r="Q83" s="18"/>
      <c r="R83" s="18"/>
      <c r="S83" s="83"/>
      <c r="T83" s="388"/>
    </row>
    <row r="84" spans="2:23" ht="15.75" thickBot="1" x14ac:dyDescent="0.3">
      <c r="C84" s="1"/>
      <c r="D84" s="8"/>
      <c r="S84" s="4"/>
      <c r="T84" s="28"/>
    </row>
    <row r="85" spans="2:23" x14ac:dyDescent="0.25">
      <c r="B85" s="373" t="s">
        <v>64</v>
      </c>
      <c r="C85" s="21" t="s">
        <v>65</v>
      </c>
      <c r="D85" s="23" t="s">
        <v>66</v>
      </c>
      <c r="E85" s="48" t="s">
        <v>67</v>
      </c>
      <c r="F85" s="48" t="s">
        <v>68</v>
      </c>
      <c r="G85" s="48" t="s">
        <v>51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7"/>
      <c r="T85" s="373" t="s">
        <v>19</v>
      </c>
    </row>
    <row r="86" spans="2:23" x14ac:dyDescent="0.25">
      <c r="B86" s="374"/>
      <c r="C86" s="1" t="s">
        <v>69</v>
      </c>
      <c r="D86" s="168">
        <v>104073</v>
      </c>
      <c r="E86" s="180">
        <v>1402512</v>
      </c>
      <c r="F86" s="68"/>
      <c r="I86" s="8"/>
      <c r="S86" s="4"/>
      <c r="T86" s="374"/>
    </row>
    <row r="87" spans="2:23" x14ac:dyDescent="0.25">
      <c r="B87" s="374"/>
      <c r="C87" s="1" t="s">
        <v>70</v>
      </c>
      <c r="D87" s="181">
        <f>D86/H28</f>
        <v>0.78421369904302618</v>
      </c>
      <c r="E87" s="182">
        <v>0.38800000000000001</v>
      </c>
      <c r="F87" s="68"/>
      <c r="I87" s="8"/>
      <c r="S87" s="4"/>
      <c r="T87" s="374"/>
    </row>
    <row r="88" spans="2:23" x14ac:dyDescent="0.25">
      <c r="B88" s="374"/>
      <c r="C88" s="1"/>
      <c r="D88" s="199"/>
      <c r="E88" s="200"/>
      <c r="F88" s="14"/>
      <c r="I88" s="8"/>
      <c r="S88" s="4"/>
      <c r="T88" s="374"/>
      <c r="W88" s="8"/>
    </row>
    <row r="89" spans="2:23" ht="14.45" customHeight="1" x14ac:dyDescent="0.25">
      <c r="B89" s="374"/>
      <c r="C89" s="1" t="s">
        <v>71</v>
      </c>
      <c r="D89" s="168">
        <v>371687</v>
      </c>
      <c r="E89" s="183">
        <v>3602071</v>
      </c>
      <c r="F89" s="68"/>
      <c r="I89" s="8"/>
      <c r="S89" s="4"/>
      <c r="T89" s="374"/>
      <c r="U89" s="24"/>
      <c r="W89" s="14"/>
    </row>
    <row r="90" spans="2:23" x14ac:dyDescent="0.25">
      <c r="B90" s="374"/>
      <c r="C90" s="1" t="s">
        <v>72</v>
      </c>
      <c r="D90" s="184">
        <f>D89/D86</f>
        <v>3.5714066088226533</v>
      </c>
      <c r="E90" s="161">
        <f>E89/E86</f>
        <v>2.5682995938715676</v>
      </c>
      <c r="F90" s="14"/>
      <c r="I90" s="8"/>
      <c r="S90" s="4"/>
      <c r="T90" s="374"/>
    </row>
    <row r="91" spans="2:23" x14ac:dyDescent="0.25">
      <c r="B91" s="374"/>
      <c r="C91" s="1"/>
      <c r="D91" s="202"/>
      <c r="E91" s="169"/>
      <c r="F91" s="14"/>
      <c r="I91" s="8"/>
      <c r="S91" s="4"/>
      <c r="T91" s="374"/>
      <c r="W91" s="8"/>
    </row>
    <row r="92" spans="2:23" x14ac:dyDescent="0.25">
      <c r="B92" s="374"/>
      <c r="C92" s="1" t="s">
        <v>73</v>
      </c>
      <c r="D92" s="168">
        <v>198761</v>
      </c>
      <c r="E92" s="183">
        <v>2414912</v>
      </c>
      <c r="F92" s="14"/>
      <c r="I92" s="8"/>
      <c r="S92" s="4"/>
      <c r="T92" s="374"/>
      <c r="W92" s="14"/>
    </row>
    <row r="93" spans="2:23" x14ac:dyDescent="0.25">
      <c r="B93" s="374"/>
      <c r="C93" s="1" t="s">
        <v>74</v>
      </c>
      <c r="D93" s="184">
        <f>D92/D86</f>
        <v>1.9098229127631565</v>
      </c>
      <c r="E93" s="165">
        <f>E92/E86</f>
        <v>1.721847656205437</v>
      </c>
      <c r="F93" s="14"/>
      <c r="S93" s="4"/>
      <c r="T93" s="374"/>
    </row>
    <row r="94" spans="2:23" ht="15.75" thickBot="1" x14ac:dyDescent="0.3">
      <c r="B94" s="375"/>
      <c r="C94" s="9" t="s">
        <v>75</v>
      </c>
      <c r="D94" s="185">
        <f>D89/D92</f>
        <v>1.8700197724905792</v>
      </c>
      <c r="E94" s="186">
        <f>E89/E92</f>
        <v>1.4915951388704847</v>
      </c>
      <c r="F94" s="18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11"/>
      <c r="T94" s="375"/>
    </row>
    <row r="95" spans="2:23" x14ac:dyDescent="0.25">
      <c r="D95" s="37"/>
      <c r="E95" s="22"/>
      <c r="F95" s="14"/>
    </row>
    <row r="96" spans="2:23" s="35" customFormat="1" x14ac:dyDescent="0.25">
      <c r="B96" s="47"/>
      <c r="C96" s="78"/>
      <c r="D96" s="8"/>
      <c r="E96" s="13"/>
    </row>
    <row r="97" spans="2:5" s="35" customFormat="1" x14ac:dyDescent="0.25">
      <c r="B97" s="47"/>
      <c r="C97" s="78"/>
      <c r="D97" s="8"/>
      <c r="E97" s="34"/>
    </row>
    <row r="98" spans="2:5" s="35" customFormat="1" x14ac:dyDescent="0.25">
      <c r="B98" s="47"/>
      <c r="C98" s="78"/>
      <c r="D98" s="8"/>
      <c r="E98" s="34"/>
    </row>
    <row r="99" spans="2:5" s="35" customFormat="1" x14ac:dyDescent="0.25">
      <c r="B99" s="47"/>
      <c r="C99" s="78"/>
      <c r="D99" s="8"/>
      <c r="E99" s="34"/>
    </row>
    <row r="100" spans="2:5" s="35" customFormat="1" x14ac:dyDescent="0.25">
      <c r="B100" s="47"/>
      <c r="C100" s="78"/>
      <c r="D100" s="8"/>
      <c r="E100" s="78"/>
    </row>
    <row r="101" spans="2:5" s="35" customFormat="1" x14ac:dyDescent="0.25">
      <c r="B101" s="47"/>
      <c r="C101" s="78"/>
      <c r="D101" s="8"/>
      <c r="E101" s="34"/>
    </row>
  </sheetData>
  <mergeCells count="15">
    <mergeCell ref="B85:B94"/>
    <mergeCell ref="T85:T94"/>
    <mergeCell ref="B4:B29"/>
    <mergeCell ref="B31:B67"/>
    <mergeCell ref="T31:T67"/>
    <mergeCell ref="B69:B83"/>
    <mergeCell ref="D69:E69"/>
    <mergeCell ref="F69:G69"/>
    <mergeCell ref="T69:T83"/>
    <mergeCell ref="T3:T29"/>
    <mergeCell ref="C2:S2"/>
    <mergeCell ref="D3:J3"/>
    <mergeCell ref="K3:M3"/>
    <mergeCell ref="N3:P3"/>
    <mergeCell ref="Q3:S3"/>
  </mergeCells>
  <pageMargins left="0.7" right="0.7" top="0.75" bottom="0.75" header="0.3" footer="0.3"/>
  <ignoredErrors>
    <ignoredError sqref="E73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33D2-AEDF-49B0-BCD7-D816A4C5D338}">
  <sheetPr codeName="Sheet25">
    <tabColor theme="7"/>
  </sheetPr>
  <dimension ref="A1:W102"/>
  <sheetViews>
    <sheetView topLeftCell="A68" workbookViewId="0">
      <selection activeCell="F75" sqref="F75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399"/>
      <c r="Q3" s="402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62" t="s">
        <v>130</v>
      </c>
      <c r="Q4" s="57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52" t="s">
        <v>12</v>
      </c>
      <c r="Q5" s="120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52" t="s">
        <v>12</v>
      </c>
      <c r="Q6" s="120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52" t="s">
        <v>12</v>
      </c>
      <c r="Q7" s="120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52" t="s">
        <v>12</v>
      </c>
      <c r="Q8" s="120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52" t="s">
        <v>12</v>
      </c>
      <c r="Q9" s="120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52" t="s">
        <v>12</v>
      </c>
      <c r="Q10" s="120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52" t="s">
        <v>12</v>
      </c>
      <c r="Q11" s="120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52" t="s">
        <v>12</v>
      </c>
      <c r="Q12" s="120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52" t="s">
        <v>12</v>
      </c>
      <c r="Q13" s="120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52" t="s">
        <v>12</v>
      </c>
      <c r="Q14" s="120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52" t="s">
        <v>12</v>
      </c>
      <c r="Q15" s="120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52" t="s">
        <v>12</v>
      </c>
      <c r="Q16" s="120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105">
        <v>0.48</v>
      </c>
      <c r="Q17" s="120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105">
        <v>0.7</v>
      </c>
      <c r="Q18" s="120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147">
        <v>0.37</v>
      </c>
      <c r="Q19" s="120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147">
        <v>0.2997432605905006</v>
      </c>
      <c r="Q20" s="122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51">
        <v>0.20656905421448357</v>
      </c>
      <c r="Q21" s="122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29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9">
        <v>0.29216354344122658</v>
      </c>
      <c r="Q22" s="230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9">
        <v>0.33667621776504297</v>
      </c>
      <c r="Q23" s="230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29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9">
        <v>0.39</v>
      </c>
      <c r="Q24" s="230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9">
        <v>0.37</v>
      </c>
      <c r="Q25" s="230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9">
        <v>0.39</v>
      </c>
      <c r="Q26" s="230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9">
        <v>0.57999999999999996</v>
      </c>
      <c r="Q27" s="230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9">
        <v>0.37</v>
      </c>
      <c r="Q28" s="230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37">
        <v>0.36</v>
      </c>
      <c r="Q29" s="245">
        <v>64</v>
      </c>
      <c r="R29" s="231">
        <v>1</v>
      </c>
      <c r="S29" s="232">
        <v>0</v>
      </c>
      <c r="T29" s="374"/>
      <c r="U29" s="39"/>
      <c r="V29" s="142"/>
    </row>
    <row r="30" spans="1:22" ht="15.75" thickBot="1" x14ac:dyDescent="0.3">
      <c r="B30" s="391"/>
      <c r="C30" s="88" t="s">
        <v>78</v>
      </c>
      <c r="D30" s="135"/>
      <c r="E30" s="135">
        <f>SUM(E5:E29)</f>
        <v>241156</v>
      </c>
      <c r="F30" s="135">
        <f>SUM(F5:F29)</f>
        <v>189196.52000000002</v>
      </c>
      <c r="G30" s="135">
        <f>SUM(G5:G29)</f>
        <v>104162</v>
      </c>
      <c r="H30" s="135"/>
      <c r="I30" s="136"/>
      <c r="J30" s="136"/>
      <c r="K30" s="135">
        <f>SUM(K5:K29)</f>
        <v>227304</v>
      </c>
      <c r="L30" s="136"/>
      <c r="M30" s="136"/>
      <c r="N30" s="135">
        <f>SUM(N17:N29)</f>
        <v>15962</v>
      </c>
      <c r="O30" s="135"/>
      <c r="P30" s="135"/>
      <c r="Q30" s="144">
        <f>SUM(Q20:Q29)</f>
        <v>1936</v>
      </c>
      <c r="R30" s="93"/>
      <c r="S30" s="112"/>
      <c r="T30" s="375"/>
      <c r="U30" s="8"/>
      <c r="V30" s="142"/>
    </row>
    <row r="31" spans="1:22" ht="15.75" thickBot="1" x14ac:dyDescent="0.3">
      <c r="C31" s="45"/>
      <c r="D31" s="25"/>
      <c r="E31" s="50"/>
      <c r="F31" s="50"/>
      <c r="G31" s="50"/>
      <c r="H31" s="50"/>
      <c r="I31" s="50"/>
      <c r="J31" s="238"/>
      <c r="K31" s="50"/>
      <c r="L31" s="50"/>
      <c r="M31" s="50"/>
      <c r="N31" s="50"/>
      <c r="O31" s="50"/>
      <c r="P31" s="50"/>
      <c r="Q31" s="50"/>
      <c r="R31" s="50"/>
      <c r="S31" s="51"/>
      <c r="T31" s="27"/>
      <c r="V31" s="142"/>
    </row>
    <row r="32" spans="1:22" x14ac:dyDescent="0.25">
      <c r="B32" s="381" t="s">
        <v>13</v>
      </c>
      <c r="C32" s="94"/>
      <c r="D32" s="48" t="s">
        <v>14</v>
      </c>
      <c r="E32" s="48" t="s">
        <v>15</v>
      </c>
      <c r="F32" s="48" t="s">
        <v>16</v>
      </c>
      <c r="G32" s="48" t="s">
        <v>138</v>
      </c>
      <c r="H32" s="48" t="s">
        <v>18</v>
      </c>
      <c r="I32" s="94"/>
      <c r="J32" s="116"/>
      <c r="K32" s="116"/>
      <c r="L32" s="94"/>
      <c r="M32" s="94"/>
      <c r="N32" s="94"/>
      <c r="O32" s="94"/>
      <c r="P32" s="94"/>
      <c r="Q32" s="94"/>
      <c r="R32" s="94"/>
      <c r="S32" s="49"/>
      <c r="T32" s="380" t="s">
        <v>19</v>
      </c>
      <c r="V32" s="142"/>
    </row>
    <row r="33" spans="2:22" x14ac:dyDescent="0.25">
      <c r="B33" s="382"/>
      <c r="C33" s="156" t="s">
        <v>20</v>
      </c>
      <c r="D33" s="47"/>
      <c r="E33" s="47"/>
      <c r="F33" s="47"/>
      <c r="G33" s="47"/>
      <c r="I33" s="154"/>
      <c r="J33" s="47"/>
      <c r="K33" s="47"/>
      <c r="L33" s="47"/>
      <c r="M33" s="124"/>
      <c r="N33" s="47"/>
      <c r="O33" s="47"/>
      <c r="P33" s="47"/>
      <c r="Q33" s="47"/>
      <c r="R33" s="47"/>
      <c r="S33" s="12"/>
      <c r="T33" s="380"/>
      <c r="V33" s="8"/>
    </row>
    <row r="34" spans="2:22" x14ac:dyDescent="0.25">
      <c r="B34" s="382"/>
      <c r="C34" s="47" t="s">
        <v>21</v>
      </c>
      <c r="D34" s="160">
        <v>0.47499999999999998</v>
      </c>
      <c r="E34" s="160">
        <v>0.42299999999999999</v>
      </c>
      <c r="F34" s="161">
        <f>D34/E34</f>
        <v>1.1229314420803782</v>
      </c>
      <c r="G34" s="160">
        <v>0.52100000000000002</v>
      </c>
      <c r="H34" s="161">
        <f>E34/G34</f>
        <v>0.81190019193857965</v>
      </c>
      <c r="I34" s="149"/>
      <c r="J34" s="222"/>
      <c r="K34" s="14"/>
      <c r="L34" s="14"/>
      <c r="M34" s="14"/>
      <c r="N34" s="14"/>
      <c r="O34" s="14"/>
      <c r="P34" s="14"/>
      <c r="Q34" s="14"/>
      <c r="R34" s="14"/>
      <c r="S34" s="15"/>
      <c r="T34" s="380"/>
      <c r="V34" s="8"/>
    </row>
    <row r="35" spans="2:22" x14ac:dyDescent="0.25">
      <c r="B35" s="382"/>
      <c r="C35" s="47" t="s">
        <v>22</v>
      </c>
      <c r="D35" s="160">
        <v>0.52500000000000002</v>
      </c>
      <c r="E35" s="160">
        <v>0.57699999999999996</v>
      </c>
      <c r="F35" s="161">
        <f t="shared" ref="F35:F68" si="5">D35/E35</f>
        <v>0.90987868284228779</v>
      </c>
      <c r="G35" s="160">
        <v>0.47899999999999998</v>
      </c>
      <c r="H35" s="161">
        <f t="shared" ref="H35:H52" si="6">E35/G35</f>
        <v>1.2045929018789143</v>
      </c>
      <c r="I35" s="149"/>
      <c r="J35" s="39"/>
      <c r="K35" s="14"/>
      <c r="L35" s="14"/>
      <c r="M35" s="14"/>
      <c r="N35" s="14"/>
      <c r="O35" s="14"/>
      <c r="P35" s="14"/>
      <c r="Q35" s="14"/>
      <c r="R35" s="14"/>
      <c r="S35" s="15"/>
      <c r="T35" s="380"/>
    </row>
    <row r="36" spans="2:22" x14ac:dyDescent="0.25">
      <c r="B36" s="382"/>
      <c r="D36" s="190"/>
      <c r="E36" s="190"/>
      <c r="F36" s="170"/>
      <c r="G36" s="190"/>
      <c r="H36" s="170"/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 x14ac:dyDescent="0.25">
      <c r="B37" s="382"/>
      <c r="C37" s="156" t="s">
        <v>23</v>
      </c>
      <c r="D37" s="169"/>
      <c r="E37" s="169"/>
      <c r="F37" s="170"/>
      <c r="G37" s="190"/>
      <c r="H37" s="170"/>
      <c r="I37" s="39"/>
      <c r="J37" s="14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25">
      <c r="B38" s="382"/>
      <c r="C38" s="47" t="s">
        <v>24</v>
      </c>
      <c r="D38" s="160">
        <v>0</v>
      </c>
      <c r="E38" s="160">
        <v>0</v>
      </c>
      <c r="F38" s="161" t="s">
        <v>12</v>
      </c>
      <c r="G38" s="160">
        <v>1.4E-2</v>
      </c>
      <c r="H38" s="161">
        <f>E38/G38</f>
        <v>0</v>
      </c>
      <c r="I38" s="39"/>
      <c r="J38" s="239"/>
      <c r="K38" s="253"/>
      <c r="L38" s="158"/>
      <c r="M38" s="239"/>
      <c r="N38" s="14"/>
      <c r="O38" s="14"/>
      <c r="P38" s="14"/>
      <c r="Q38" s="14"/>
      <c r="R38" s="14"/>
      <c r="S38" s="15"/>
      <c r="T38" s="380"/>
    </row>
    <row r="39" spans="2:22" x14ac:dyDescent="0.25">
      <c r="B39" s="382"/>
      <c r="C39" s="47" t="s">
        <v>25</v>
      </c>
      <c r="D39" s="160">
        <v>3.7999999999999999E-2</v>
      </c>
      <c r="E39" s="160">
        <v>3.5999999999999997E-2</v>
      </c>
      <c r="F39" s="161">
        <f t="shared" si="5"/>
        <v>1.0555555555555556</v>
      </c>
      <c r="G39" s="160">
        <v>0.13700000000000001</v>
      </c>
      <c r="H39" s="161">
        <f t="shared" si="6"/>
        <v>0.26277372262773718</v>
      </c>
      <c r="I39" s="39"/>
      <c r="J39" s="239"/>
      <c r="K39" s="253"/>
      <c r="L39" s="158"/>
      <c r="M39" s="239"/>
      <c r="N39" s="14"/>
      <c r="O39" s="14"/>
      <c r="P39" s="14"/>
      <c r="Q39" s="14"/>
      <c r="R39" s="14"/>
      <c r="S39" s="15"/>
      <c r="T39" s="380"/>
    </row>
    <row r="40" spans="2:22" x14ac:dyDescent="0.25">
      <c r="B40" s="382"/>
      <c r="C40" s="47" t="s">
        <v>26</v>
      </c>
      <c r="D40" s="160">
        <v>0.42399999999999999</v>
      </c>
      <c r="E40" s="160">
        <v>0.40600000000000003</v>
      </c>
      <c r="F40" s="161">
        <f t="shared" si="5"/>
        <v>1.044334975369458</v>
      </c>
      <c r="G40" s="160">
        <v>0.28399999999999997</v>
      </c>
      <c r="H40" s="161">
        <f t="shared" si="6"/>
        <v>1.4295774647887327</v>
      </c>
      <c r="I40" s="39"/>
      <c r="J40" s="239"/>
      <c r="K40" s="253"/>
      <c r="L40" s="158"/>
      <c r="M40" s="239"/>
      <c r="N40" s="14"/>
      <c r="O40" s="14"/>
      <c r="P40" s="14"/>
      <c r="Q40" s="14"/>
      <c r="R40" s="14"/>
      <c r="S40" s="15"/>
      <c r="T40" s="380"/>
    </row>
    <row r="41" spans="2:22" x14ac:dyDescent="0.25">
      <c r="B41" s="382"/>
      <c r="C41" s="47" t="s">
        <v>27</v>
      </c>
      <c r="D41" s="160">
        <v>0.39900000000000002</v>
      </c>
      <c r="E41" s="160">
        <v>0.39800000000000002</v>
      </c>
      <c r="F41" s="161">
        <f t="shared" si="5"/>
        <v>1.0025125628140703</v>
      </c>
      <c r="G41" s="160">
        <v>0.32300000000000001</v>
      </c>
      <c r="H41" s="161">
        <f t="shared" si="6"/>
        <v>1.2321981424148607</v>
      </c>
      <c r="I41" s="39"/>
      <c r="J41" s="239"/>
      <c r="K41" s="253"/>
      <c r="L41" s="158"/>
      <c r="M41" s="239"/>
      <c r="N41" s="14"/>
      <c r="O41" s="14"/>
      <c r="P41" s="14"/>
      <c r="Q41" s="14"/>
      <c r="R41" s="14"/>
      <c r="S41" s="15"/>
      <c r="T41" s="380"/>
    </row>
    <row r="42" spans="2:22" x14ac:dyDescent="0.25">
      <c r="B42" s="382"/>
      <c r="C42" s="47" t="s">
        <v>28</v>
      </c>
      <c r="D42" s="160">
        <v>0.122</v>
      </c>
      <c r="E42" s="160">
        <v>0.14099999999999999</v>
      </c>
      <c r="F42" s="161">
        <f t="shared" si="5"/>
        <v>0.86524822695035464</v>
      </c>
      <c r="G42" s="160">
        <v>0.17</v>
      </c>
      <c r="H42" s="161">
        <f t="shared" si="6"/>
        <v>0.82941176470588218</v>
      </c>
      <c r="I42" s="39"/>
      <c r="J42" s="239"/>
      <c r="K42" s="253"/>
      <c r="L42" s="158"/>
      <c r="M42" s="239"/>
      <c r="N42" s="14"/>
      <c r="O42" s="14"/>
      <c r="P42" s="14"/>
      <c r="Q42" s="14"/>
      <c r="R42" s="14"/>
      <c r="S42" s="15"/>
      <c r="T42" s="380"/>
    </row>
    <row r="43" spans="2:22" x14ac:dyDescent="0.25">
      <c r="B43" s="382"/>
      <c r="C43" s="47" t="s">
        <v>29</v>
      </c>
      <c r="D43" s="160">
        <v>1.7000000000000001E-2</v>
      </c>
      <c r="E43" s="160">
        <v>1.9E-2</v>
      </c>
      <c r="F43" s="161">
        <f t="shared" si="5"/>
        <v>0.89473684210526327</v>
      </c>
      <c r="G43" s="160">
        <v>7.1999999999999995E-2</v>
      </c>
      <c r="H43" s="161">
        <f t="shared" si="6"/>
        <v>0.2638888888888889</v>
      </c>
      <c r="I43" s="39"/>
      <c r="J43" s="239"/>
      <c r="K43" s="253"/>
      <c r="L43" s="158"/>
      <c r="M43" s="239"/>
      <c r="N43" s="14"/>
      <c r="O43" s="14"/>
      <c r="P43" s="14"/>
      <c r="Q43" s="14"/>
      <c r="R43" s="14"/>
      <c r="S43" s="15"/>
      <c r="T43" s="380"/>
    </row>
    <row r="44" spans="2:22" x14ac:dyDescent="0.25">
      <c r="B44" s="382"/>
      <c r="D44" s="190"/>
      <c r="E44" s="190"/>
      <c r="F44" s="170"/>
      <c r="G44" s="190"/>
      <c r="H44" s="170"/>
      <c r="I44" s="149"/>
      <c r="J44" s="239"/>
      <c r="K44" s="239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25">
      <c r="B45" s="382"/>
      <c r="C45" s="156" t="s">
        <v>30</v>
      </c>
      <c r="D45" s="169"/>
      <c r="E45" s="169"/>
      <c r="F45" s="170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25">
      <c r="B46" s="382"/>
      <c r="C46" s="47" t="s">
        <v>31</v>
      </c>
      <c r="D46" s="160">
        <v>0.47699999999999998</v>
      </c>
      <c r="E46" s="163">
        <v>0.47499999999999998</v>
      </c>
      <c r="F46" s="161">
        <f t="shared" ref="F46:F52" si="7">D46/E46</f>
        <v>1.0042105263157894</v>
      </c>
      <c r="G46" s="160">
        <v>0.47399999999999998</v>
      </c>
      <c r="H46" s="161">
        <f t="shared" si="6"/>
        <v>1.0021097046413503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25">
      <c r="B47" s="382"/>
      <c r="C47" s="47" t="s">
        <v>32</v>
      </c>
      <c r="D47" s="160">
        <v>0.215</v>
      </c>
      <c r="E47" s="160">
        <v>0.20499999999999999</v>
      </c>
      <c r="F47" s="161">
        <f t="shared" si="7"/>
        <v>1.0487804878048781</v>
      </c>
      <c r="G47" s="160">
        <v>0.14499999999999999</v>
      </c>
      <c r="H47" s="161">
        <f t="shared" si="6"/>
        <v>1.4137931034482758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25">
      <c r="B48" s="382"/>
      <c r="C48" s="47" t="s">
        <v>33</v>
      </c>
      <c r="D48" s="160">
        <v>0.11700000000000001</v>
      </c>
      <c r="E48" s="160">
        <v>0.127</v>
      </c>
      <c r="F48" s="161">
        <f t="shared" si="7"/>
        <v>0.92125984251968507</v>
      </c>
      <c r="G48" s="160">
        <v>0.13100000000000001</v>
      </c>
      <c r="H48" s="161">
        <f t="shared" si="6"/>
        <v>0.96946564885496178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34</v>
      </c>
      <c r="D49" s="160">
        <v>9.2999999999999999E-2</v>
      </c>
      <c r="E49" s="160">
        <v>9.0999999999999998E-2</v>
      </c>
      <c r="F49" s="161">
        <f t="shared" si="7"/>
        <v>1.0219780219780219</v>
      </c>
      <c r="G49" s="160">
        <v>0.109</v>
      </c>
      <c r="H49" s="161">
        <f t="shared" si="6"/>
        <v>0.83486238532110091</v>
      </c>
      <c r="I49" s="223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35</v>
      </c>
      <c r="D50" s="160">
        <v>2.3E-2</v>
      </c>
      <c r="E50" s="160">
        <v>2.1999999999999999E-2</v>
      </c>
      <c r="F50" s="161">
        <f t="shared" si="7"/>
        <v>1.0454545454545454</v>
      </c>
      <c r="G50" s="160">
        <v>3.5000000000000003E-2</v>
      </c>
      <c r="H50" s="161">
        <f t="shared" si="6"/>
        <v>0.62857142857142845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36</v>
      </c>
      <c r="D51" s="160">
        <v>1.4999999999999999E-2</v>
      </c>
      <c r="E51" s="160">
        <v>1.4999999999999999E-2</v>
      </c>
      <c r="F51" s="161">
        <f t="shared" si="7"/>
        <v>1</v>
      </c>
      <c r="G51" s="160">
        <v>2.4E-2</v>
      </c>
      <c r="H51" s="161">
        <f t="shared" si="6"/>
        <v>0.625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37</v>
      </c>
      <c r="D52" s="160">
        <v>0.06</v>
      </c>
      <c r="E52" s="160">
        <v>6.5000000000000002E-2</v>
      </c>
      <c r="F52" s="161">
        <f t="shared" si="7"/>
        <v>0.92307692307692302</v>
      </c>
      <c r="G52" s="160">
        <v>8.2000000000000003E-2</v>
      </c>
      <c r="H52" s="161">
        <f t="shared" si="6"/>
        <v>0.79268292682926833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D53" s="190"/>
      <c r="E53" s="190"/>
      <c r="F53" s="170"/>
      <c r="G53" s="190"/>
      <c r="H53" s="170"/>
      <c r="I53" s="149"/>
      <c r="J53" s="222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156" t="s">
        <v>38</v>
      </c>
      <c r="D54" s="169"/>
      <c r="E54" s="169"/>
      <c r="F54" s="170"/>
      <c r="G54" s="190"/>
      <c r="H54" s="170"/>
      <c r="I54" s="149"/>
      <c r="J54" s="222"/>
      <c r="K54" s="239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39</v>
      </c>
      <c r="D55" s="160">
        <v>0.52700000000000002</v>
      </c>
      <c r="E55" s="160">
        <v>0.36199999999999999</v>
      </c>
      <c r="F55" s="161">
        <f t="shared" si="5"/>
        <v>1.4558011049723758</v>
      </c>
      <c r="G55" s="164">
        <v>0.40600000000000003</v>
      </c>
      <c r="H55" s="165">
        <f>E55/G55</f>
        <v>0.89162561576354671</v>
      </c>
      <c r="I55" s="149"/>
      <c r="J55" s="240"/>
      <c r="K55" s="241"/>
      <c r="L55" s="16"/>
      <c r="M55" s="16"/>
      <c r="N55" s="68"/>
      <c r="O55" s="16"/>
      <c r="P55" s="16"/>
      <c r="Q55" s="16"/>
      <c r="R55" s="16"/>
      <c r="S55" s="36"/>
      <c r="T55" s="380"/>
    </row>
    <row r="56" spans="2:20" x14ac:dyDescent="0.25">
      <c r="B56" s="382"/>
      <c r="C56" s="47" t="s">
        <v>40</v>
      </c>
      <c r="D56" s="160">
        <v>5.3999999999999999E-2</v>
      </c>
      <c r="E56" s="160">
        <v>4.7E-2</v>
      </c>
      <c r="F56" s="161">
        <f t="shared" si="5"/>
        <v>1.1489361702127658</v>
      </c>
      <c r="G56" s="160">
        <v>8.5000000000000006E-2</v>
      </c>
      <c r="H56" s="165">
        <f t="shared" ref="H56:H60" si="8">E56/G56</f>
        <v>0.55294117647058816</v>
      </c>
      <c r="I56" s="149"/>
      <c r="J56" s="240"/>
      <c r="K56" s="241"/>
      <c r="L56" s="14"/>
      <c r="M56" s="16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41</v>
      </c>
      <c r="D57" s="160">
        <v>9.6000000000000002E-2</v>
      </c>
      <c r="E57" s="160">
        <v>9.0999999999999998E-2</v>
      </c>
      <c r="F57" s="161">
        <f t="shared" si="5"/>
        <v>1.054945054945055</v>
      </c>
      <c r="G57" s="160">
        <v>0.14899999999999999</v>
      </c>
      <c r="H57" s="165">
        <f t="shared" si="8"/>
        <v>0.61073825503355705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42</v>
      </c>
      <c r="D58" s="160">
        <v>0.11</v>
      </c>
      <c r="E58" s="160">
        <v>0.124</v>
      </c>
      <c r="F58" s="161">
        <f t="shared" si="5"/>
        <v>0.88709677419354838</v>
      </c>
      <c r="G58" s="160">
        <v>0.155</v>
      </c>
      <c r="H58" s="165">
        <f t="shared" si="8"/>
        <v>0.8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43</v>
      </c>
      <c r="D59" s="160">
        <v>0.122</v>
      </c>
      <c r="E59" s="160">
        <v>0.17599999999999999</v>
      </c>
      <c r="F59" s="161">
        <f t="shared" si="5"/>
        <v>0.69318181818181823</v>
      </c>
      <c r="G59" s="160">
        <v>0.13600000000000001</v>
      </c>
      <c r="H59" s="165">
        <f t="shared" si="8"/>
        <v>1.2941176470588234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44</v>
      </c>
      <c r="D60" s="160">
        <v>9.1999999999999998E-2</v>
      </c>
      <c r="E60" s="160">
        <v>0.2</v>
      </c>
      <c r="F60" s="161">
        <f t="shared" si="5"/>
        <v>0.45999999999999996</v>
      </c>
      <c r="G60" s="160">
        <v>7.0000000000000007E-2</v>
      </c>
      <c r="H60" s="165">
        <f t="shared" si="8"/>
        <v>2.8571428571428572</v>
      </c>
      <c r="J60" s="34"/>
      <c r="K60" s="239"/>
      <c r="O60" s="14"/>
      <c r="P60" s="14"/>
      <c r="Q60" s="14"/>
      <c r="R60" s="14"/>
      <c r="S60" s="15"/>
      <c r="T60" s="380"/>
    </row>
    <row r="61" spans="2:20" x14ac:dyDescent="0.25">
      <c r="B61" s="382"/>
      <c r="D61" s="190"/>
      <c r="E61" s="190"/>
      <c r="F61" s="170"/>
      <c r="G61" s="190"/>
      <c r="H61" s="170"/>
      <c r="I61" s="149"/>
      <c r="J61" s="222"/>
      <c r="K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156" t="s">
        <v>136</v>
      </c>
      <c r="D62" s="190"/>
      <c r="E62" s="190"/>
      <c r="F62" s="170"/>
      <c r="G62" s="190"/>
      <c r="H62" s="170"/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39</v>
      </c>
      <c r="D63" s="160">
        <v>0.46400000000000002</v>
      </c>
      <c r="E63" s="160">
        <v>0.17399999999999999</v>
      </c>
      <c r="F63" s="161">
        <f t="shared" si="5"/>
        <v>2.666666666666667</v>
      </c>
      <c r="G63" s="163">
        <v>0.40400000000000003</v>
      </c>
      <c r="H63" s="165">
        <f>E63/G63</f>
        <v>0.43069306930693063</v>
      </c>
      <c r="I63" s="149"/>
      <c r="J63" s="38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40</v>
      </c>
      <c r="D64" s="160">
        <v>7.4999999999999997E-2</v>
      </c>
      <c r="E64" s="160">
        <v>5.8000000000000003E-2</v>
      </c>
      <c r="F64" s="161">
        <f t="shared" si="5"/>
        <v>1.2931034482758619</v>
      </c>
      <c r="G64" s="163">
        <v>0.14399999999999999</v>
      </c>
      <c r="H64" s="165">
        <f t="shared" ref="H64:H68" si="9">E64/G64</f>
        <v>0.40277777777777785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41</v>
      </c>
      <c r="D65" s="160">
        <v>0.125</v>
      </c>
      <c r="E65" s="160">
        <v>0.126</v>
      </c>
      <c r="F65" s="161">
        <f t="shared" si="5"/>
        <v>0.99206349206349209</v>
      </c>
      <c r="G65" s="163">
        <v>0.192</v>
      </c>
      <c r="H65" s="165">
        <f t="shared" si="9"/>
        <v>0.65625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42</v>
      </c>
      <c r="D66" s="160">
        <v>0.126</v>
      </c>
      <c r="E66" s="160">
        <v>0.161</v>
      </c>
      <c r="F66" s="161">
        <f t="shared" si="5"/>
        <v>0.78260869565217395</v>
      </c>
      <c r="G66" s="163">
        <v>0.13900000000000001</v>
      </c>
      <c r="H66" s="165">
        <f t="shared" si="9"/>
        <v>1.1582733812949639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43</v>
      </c>
      <c r="D67" s="160">
        <v>0.125</v>
      </c>
      <c r="E67" s="160">
        <v>0.22700000000000001</v>
      </c>
      <c r="F67" s="161">
        <f t="shared" si="5"/>
        <v>0.5506607929515418</v>
      </c>
      <c r="G67" s="163">
        <v>8.6999999999999994E-2</v>
      </c>
      <c r="H67" s="165">
        <f t="shared" si="9"/>
        <v>2.6091954022988508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ht="15.75" thickBot="1" x14ac:dyDescent="0.3">
      <c r="B68" s="383"/>
      <c r="C68" s="47" t="s">
        <v>44</v>
      </c>
      <c r="D68" s="160">
        <v>8.5000000000000006E-2</v>
      </c>
      <c r="E68" s="160">
        <v>0.255</v>
      </c>
      <c r="F68" s="161">
        <f t="shared" si="5"/>
        <v>0.33333333333333337</v>
      </c>
      <c r="G68" s="163">
        <v>3.4000000000000002E-2</v>
      </c>
      <c r="H68" s="165">
        <f t="shared" si="9"/>
        <v>7.5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ht="15.75" thickBot="1" x14ac:dyDescent="0.3">
      <c r="B69" s="60"/>
      <c r="C69" s="45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26"/>
      <c r="T69" s="27"/>
    </row>
    <row r="70" spans="2:20" x14ac:dyDescent="0.25">
      <c r="B70" s="373" t="s">
        <v>45</v>
      </c>
      <c r="C70" s="5"/>
      <c r="D70" s="385" t="s">
        <v>46</v>
      </c>
      <c r="E70" s="385"/>
      <c r="F70" s="385" t="s">
        <v>47</v>
      </c>
      <c r="G70" s="385"/>
      <c r="H70" s="42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7"/>
      <c r="T70" s="386" t="s">
        <v>48</v>
      </c>
    </row>
    <row r="71" spans="2:20" x14ac:dyDescent="0.25">
      <c r="B71" s="374"/>
      <c r="C71" s="1"/>
      <c r="D71" s="40" t="s">
        <v>49</v>
      </c>
      <c r="E71" s="40" t="s">
        <v>50</v>
      </c>
      <c r="F71" s="40" t="s">
        <v>49</v>
      </c>
      <c r="G71" s="40" t="s">
        <v>50</v>
      </c>
      <c r="H71" s="41" t="s">
        <v>51</v>
      </c>
      <c r="I71" s="96" t="s">
        <v>52</v>
      </c>
      <c r="J71" s="97"/>
      <c r="K71" s="97"/>
      <c r="L71" s="97"/>
      <c r="M71" s="97"/>
      <c r="N71" s="97"/>
      <c r="O71" s="97"/>
      <c r="P71" s="97"/>
      <c r="Q71" s="97"/>
      <c r="R71" s="97"/>
      <c r="S71" s="99"/>
      <c r="T71" s="387"/>
    </row>
    <row r="72" spans="2:20" x14ac:dyDescent="0.25">
      <c r="B72" s="374"/>
      <c r="C72" s="2" t="s">
        <v>53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4"/>
      <c r="T72" s="387"/>
    </row>
    <row r="73" spans="2:20" x14ac:dyDescent="0.25">
      <c r="B73" s="374"/>
      <c r="C73" s="1" t="s">
        <v>54</v>
      </c>
      <c r="D73" s="167">
        <v>4481414</v>
      </c>
      <c r="E73" s="163">
        <f>D73/D75</f>
        <v>0.73156053353114059</v>
      </c>
      <c r="F73" s="168">
        <v>162129</v>
      </c>
      <c r="G73" s="160">
        <f>F73/$F$75</f>
        <v>0.65360892071017362</v>
      </c>
      <c r="H73" s="161">
        <f>G73/E73</f>
        <v>0.89344475371750109</v>
      </c>
      <c r="I73" s="163">
        <f>F73/D73</f>
        <v>3.6178090218846104E-2</v>
      </c>
      <c r="J73" s="39"/>
      <c r="K73" s="39"/>
      <c r="L73" s="14"/>
      <c r="M73" s="14"/>
      <c r="N73" s="14"/>
      <c r="O73" s="14"/>
      <c r="P73" s="14"/>
      <c r="Q73" s="14"/>
      <c r="R73" s="14"/>
      <c r="S73" s="82"/>
      <c r="T73" s="387"/>
    </row>
    <row r="74" spans="2:20" x14ac:dyDescent="0.25">
      <c r="B74" s="374"/>
      <c r="C74" s="1" t="s">
        <v>55</v>
      </c>
      <c r="D74" s="167">
        <f>SUM(D78:D84)</f>
        <v>1644414</v>
      </c>
      <c r="E74" s="163">
        <f>D74/D75</f>
        <v>0.26843946646885941</v>
      </c>
      <c r="F74" s="168">
        <f>SUM(F78:F84)</f>
        <v>85923</v>
      </c>
      <c r="G74" s="160">
        <f>F74/$F$75</f>
        <v>0.34639107928982632</v>
      </c>
      <c r="H74" s="161">
        <f>G74/E74</f>
        <v>1.2903880485472867</v>
      </c>
      <c r="I74" s="163">
        <f t="shared" ref="I74:I84" si="10">F74/D74</f>
        <v>5.2251440330719635E-2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25">
      <c r="B75" s="374"/>
      <c r="C75" s="1" t="s">
        <v>53</v>
      </c>
      <c r="D75" s="167">
        <f>SUM(D73:D74)</f>
        <v>6125828</v>
      </c>
      <c r="E75" s="192"/>
      <c r="F75" s="168">
        <f>SUM(F73:F74)</f>
        <v>248052</v>
      </c>
      <c r="G75" s="169"/>
      <c r="H75" s="170"/>
      <c r="I75" s="163">
        <f t="shared" si="10"/>
        <v>4.0492811747244617E-2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25">
      <c r="B76" s="374"/>
      <c r="C76" s="1"/>
      <c r="D76" s="192"/>
      <c r="E76" s="192"/>
      <c r="F76" s="171"/>
      <c r="G76" s="169"/>
      <c r="H76" s="170"/>
      <c r="I76" s="192"/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25">
      <c r="B77" s="374"/>
      <c r="C77" s="2" t="s">
        <v>56</v>
      </c>
      <c r="D77" s="192"/>
      <c r="E77" s="192"/>
      <c r="F77" s="169"/>
      <c r="G77" s="169"/>
      <c r="H77" s="170"/>
      <c r="I77" s="192"/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25">
      <c r="B78" s="374"/>
      <c r="C78" s="1" t="s">
        <v>57</v>
      </c>
      <c r="D78" s="167">
        <v>596611</v>
      </c>
      <c r="E78" s="163">
        <f>D78/$D$74</f>
        <v>0.3628107033873465</v>
      </c>
      <c r="F78" s="168">
        <v>25764</v>
      </c>
      <c r="G78" s="160">
        <f>F78/$F$74</f>
        <v>0.29984986557731924</v>
      </c>
      <c r="H78" s="161">
        <f t="shared" ref="H78:H84" si="11">G78/E78</f>
        <v>0.82646367038734092</v>
      </c>
      <c r="I78" s="163">
        <f t="shared" si="10"/>
        <v>4.3183917158751681E-2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1" t="s">
        <v>58</v>
      </c>
      <c r="D79" s="167">
        <v>305091</v>
      </c>
      <c r="E79" s="163">
        <f t="shared" ref="E79:E84" si="12">D79/$D$74</f>
        <v>0.18553174565529118</v>
      </c>
      <c r="F79" s="168">
        <v>17998</v>
      </c>
      <c r="G79" s="160">
        <f t="shared" ref="G79:G84" si="13">F79/$F$74</f>
        <v>0.20946661545802636</v>
      </c>
      <c r="H79" s="161">
        <f t="shared" si="11"/>
        <v>1.1290068700544917</v>
      </c>
      <c r="I79" s="163">
        <f t="shared" si="10"/>
        <v>5.8992235103624821E-2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" t="s">
        <v>59</v>
      </c>
      <c r="D80" s="167">
        <v>263031</v>
      </c>
      <c r="E80" s="163">
        <f t="shared" si="12"/>
        <v>0.15995424509886197</v>
      </c>
      <c r="F80" s="168">
        <v>20121</v>
      </c>
      <c r="G80" s="160">
        <f t="shared" si="13"/>
        <v>0.23417478439998604</v>
      </c>
      <c r="H80" s="161">
        <f t="shared" si="11"/>
        <v>1.4640110630089938</v>
      </c>
      <c r="I80" s="163">
        <f t="shared" si="10"/>
        <v>7.6496686702327857E-2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72" t="s">
        <v>60</v>
      </c>
      <c r="D81" s="168">
        <v>351430</v>
      </c>
      <c r="E81" s="163">
        <f t="shared" si="12"/>
        <v>0.21371138898112033</v>
      </c>
      <c r="F81" s="174">
        <v>16200</v>
      </c>
      <c r="G81" s="160">
        <f t="shared" si="13"/>
        <v>0.18854090290143499</v>
      </c>
      <c r="H81" s="161">
        <f t="shared" si="11"/>
        <v>0.88222206500230582</v>
      </c>
      <c r="I81" s="163">
        <f t="shared" si="10"/>
        <v>4.6097373587912244E-2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 t="s">
        <v>61</v>
      </c>
      <c r="D82" s="167">
        <v>54709</v>
      </c>
      <c r="E82" s="163">
        <f t="shared" si="12"/>
        <v>3.3269602423720547E-2</v>
      </c>
      <c r="F82" s="168">
        <v>1646</v>
      </c>
      <c r="G82" s="160">
        <f t="shared" si="13"/>
        <v>1.9156686800972964E-2</v>
      </c>
      <c r="H82" s="161">
        <f t="shared" si="11"/>
        <v>0.57580149461944385</v>
      </c>
      <c r="I82" s="163">
        <f t="shared" si="10"/>
        <v>3.0086457438447057E-2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 t="s">
        <v>62</v>
      </c>
      <c r="D83" s="167">
        <v>54967</v>
      </c>
      <c r="E83" s="163">
        <f t="shared" si="12"/>
        <v>3.3426497220286379E-2</v>
      </c>
      <c r="F83" s="168">
        <v>2719</v>
      </c>
      <c r="G83" s="160">
        <f t="shared" si="13"/>
        <v>3.1644612036358134E-2</v>
      </c>
      <c r="H83" s="161">
        <f t="shared" si="11"/>
        <v>0.94669243468182396</v>
      </c>
      <c r="I83" s="163">
        <f t="shared" si="10"/>
        <v>4.9466043262321027E-2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  <c r="W83" s="13"/>
    </row>
    <row r="84" spans="2:23" ht="15.75" thickBot="1" x14ac:dyDescent="0.3">
      <c r="B84" s="375"/>
      <c r="C84" s="9" t="s">
        <v>63</v>
      </c>
      <c r="D84" s="175">
        <v>18575</v>
      </c>
      <c r="E84" s="179">
        <f t="shared" si="12"/>
        <v>1.1295817233373103E-2</v>
      </c>
      <c r="F84" s="177">
        <v>1475</v>
      </c>
      <c r="G84" s="176">
        <f t="shared" si="13"/>
        <v>1.7166532825902261E-2</v>
      </c>
      <c r="H84" s="178">
        <f t="shared" si="11"/>
        <v>1.5197247327253429</v>
      </c>
      <c r="I84" s="179">
        <f t="shared" si="10"/>
        <v>7.9407806191117092E-2</v>
      </c>
      <c r="J84" s="100"/>
      <c r="K84" s="100"/>
      <c r="L84" s="18"/>
      <c r="M84" s="18"/>
      <c r="N84" s="18"/>
      <c r="O84" s="18"/>
      <c r="P84" s="18"/>
      <c r="Q84" s="18"/>
      <c r="R84" s="18"/>
      <c r="S84" s="83"/>
      <c r="T84" s="388"/>
    </row>
    <row r="85" spans="2:23" ht="15.75" thickBot="1" x14ac:dyDescent="0.3">
      <c r="C85" s="1"/>
      <c r="D85" s="8"/>
      <c r="S85" s="4"/>
      <c r="T85" s="28"/>
    </row>
    <row r="86" spans="2:23" x14ac:dyDescent="0.25">
      <c r="B86" s="373" t="s">
        <v>64</v>
      </c>
      <c r="C86" s="21" t="s">
        <v>65</v>
      </c>
      <c r="D86" s="23" t="s">
        <v>66</v>
      </c>
      <c r="E86" s="48" t="s">
        <v>67</v>
      </c>
      <c r="F86" s="48" t="s">
        <v>68</v>
      </c>
      <c r="G86" s="48" t="s">
        <v>51</v>
      </c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7"/>
      <c r="T86" s="373" t="s">
        <v>19</v>
      </c>
    </row>
    <row r="87" spans="2:23" x14ac:dyDescent="0.25">
      <c r="B87" s="374"/>
      <c r="C87" s="1" t="s">
        <v>69</v>
      </c>
      <c r="D87" s="168">
        <v>91116</v>
      </c>
      <c r="E87" s="180">
        <v>1312825</v>
      </c>
      <c r="F87" s="68"/>
      <c r="I87" s="8"/>
      <c r="S87" s="4"/>
      <c r="T87" s="374"/>
    </row>
    <row r="88" spans="2:23" x14ac:dyDescent="0.25">
      <c r="B88" s="374"/>
      <c r="C88" s="1" t="s">
        <v>70</v>
      </c>
      <c r="D88" s="181">
        <f>D87/H29</f>
        <v>0.66510942085054825</v>
      </c>
      <c r="E88" s="182">
        <v>0.34</v>
      </c>
      <c r="F88" s="68"/>
      <c r="I88" s="8"/>
      <c r="S88" s="4"/>
      <c r="T88" s="374"/>
    </row>
    <row r="89" spans="2:23" x14ac:dyDescent="0.25">
      <c r="B89" s="374"/>
      <c r="C89" s="1"/>
      <c r="D89" s="199"/>
      <c r="E89" s="200"/>
      <c r="F89" s="14"/>
      <c r="I89" s="8"/>
      <c r="S89" s="4"/>
      <c r="T89" s="374"/>
      <c r="W89" s="8"/>
    </row>
    <row r="90" spans="2:23" ht="14.45" customHeight="1" x14ac:dyDescent="0.25">
      <c r="B90" s="374"/>
      <c r="C90" s="1" t="s">
        <v>71</v>
      </c>
      <c r="D90" s="168">
        <v>248049</v>
      </c>
      <c r="E90" s="183">
        <v>3271646</v>
      </c>
      <c r="F90" s="68"/>
      <c r="I90" s="8"/>
      <c r="S90" s="4"/>
      <c r="T90" s="374"/>
      <c r="U90" s="24"/>
      <c r="W90" s="14"/>
    </row>
    <row r="91" spans="2:23" x14ac:dyDescent="0.25">
      <c r="B91" s="374"/>
      <c r="C91" s="1" t="s">
        <v>72</v>
      </c>
      <c r="D91" s="184">
        <f>D90/D87</f>
        <v>2.7223429474516001</v>
      </c>
      <c r="E91" s="161">
        <f>E90/E87</f>
        <v>2.4920655837602119</v>
      </c>
      <c r="F91" s="14"/>
      <c r="I91" s="8"/>
      <c r="S91" s="4"/>
      <c r="T91" s="374"/>
    </row>
    <row r="92" spans="2:23" x14ac:dyDescent="0.25">
      <c r="B92" s="374"/>
      <c r="C92" s="1"/>
      <c r="D92" s="202"/>
      <c r="E92" s="169"/>
      <c r="F92" s="14"/>
      <c r="I92" s="8"/>
      <c r="S92" s="4"/>
      <c r="T92" s="374"/>
      <c r="W92" s="8"/>
    </row>
    <row r="93" spans="2:23" x14ac:dyDescent="0.25">
      <c r="B93" s="374"/>
      <c r="C93" s="1" t="s">
        <v>73</v>
      </c>
      <c r="D93" s="168">
        <v>150819</v>
      </c>
      <c r="E93" s="183">
        <v>2081030</v>
      </c>
      <c r="F93" s="14"/>
      <c r="I93" s="8"/>
      <c r="S93" s="4"/>
      <c r="T93" s="374"/>
      <c r="W93" s="14"/>
    </row>
    <row r="94" spans="2:23" x14ac:dyDescent="0.25">
      <c r="B94" s="374"/>
      <c r="C94" s="1" t="s">
        <v>74</v>
      </c>
      <c r="D94" s="184">
        <f>D93/D87</f>
        <v>1.655241669959173</v>
      </c>
      <c r="E94" s="165">
        <f>E93/E87</f>
        <v>1.5851541523051436</v>
      </c>
      <c r="F94" s="14"/>
      <c r="S94" s="4"/>
      <c r="T94" s="374"/>
    </row>
    <row r="95" spans="2:23" ht="15.75" thickBot="1" x14ac:dyDescent="0.3">
      <c r="B95" s="375"/>
      <c r="C95" s="9" t="s">
        <v>75</v>
      </c>
      <c r="D95" s="185">
        <f>D90/D93</f>
        <v>1.6446800469436875</v>
      </c>
      <c r="E95" s="186">
        <f>E90/E93</f>
        <v>1.572128224965522</v>
      </c>
      <c r="F95" s="18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11"/>
      <c r="T95" s="375"/>
    </row>
    <row r="96" spans="2:23" x14ac:dyDescent="0.25">
      <c r="D96" s="37"/>
      <c r="E96" s="22"/>
      <c r="F96" s="14"/>
    </row>
    <row r="97" spans="2:5" s="35" customFormat="1" x14ac:dyDescent="0.25">
      <c r="B97" s="47"/>
      <c r="C97" s="78"/>
      <c r="D97" s="8"/>
      <c r="E97" s="13"/>
    </row>
    <row r="98" spans="2:5" s="35" customFormat="1" x14ac:dyDescent="0.25">
      <c r="B98" s="47"/>
      <c r="C98" s="78"/>
      <c r="D98" s="8"/>
      <c r="E98" s="34"/>
    </row>
    <row r="99" spans="2:5" s="35" customFormat="1" x14ac:dyDescent="0.25">
      <c r="B99" s="47"/>
      <c r="C99" s="78"/>
      <c r="D99" s="8"/>
      <c r="E99" s="34"/>
    </row>
    <row r="100" spans="2:5" s="35" customFormat="1" x14ac:dyDescent="0.25">
      <c r="B100" s="47"/>
      <c r="C100" s="78"/>
      <c r="D100" s="8"/>
      <c r="E100" s="34"/>
    </row>
    <row r="101" spans="2:5" s="35" customFormat="1" x14ac:dyDescent="0.25">
      <c r="B101" s="47"/>
      <c r="C101" s="78"/>
      <c r="D101" s="8"/>
      <c r="E101" s="78"/>
    </row>
    <row r="102" spans="2:5" s="35" customFormat="1" x14ac:dyDescent="0.25">
      <c r="B102" s="47"/>
      <c r="C102" s="78"/>
      <c r="D102" s="8"/>
      <c r="E102" s="34"/>
    </row>
  </sheetData>
  <mergeCells count="15">
    <mergeCell ref="B86:B95"/>
    <mergeCell ref="T86:T95"/>
    <mergeCell ref="T3:T30"/>
    <mergeCell ref="B4:B30"/>
    <mergeCell ref="B32:B68"/>
    <mergeCell ref="T32:T68"/>
    <mergeCell ref="B70:B84"/>
    <mergeCell ref="D70:E70"/>
    <mergeCell ref="F70:G70"/>
    <mergeCell ref="T70:T84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horizontalDpi="240" verticalDpi="240" r:id="rId1"/>
  <ignoredErrors>
    <ignoredError sqref="E74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A31B-407E-4105-A035-AAF0AE30B96C}">
  <sheetPr codeName="Sheet26">
    <tabColor theme="7"/>
  </sheetPr>
  <dimension ref="A1:W103"/>
  <sheetViews>
    <sheetView topLeftCell="A87" zoomScale="110" zoomScaleNormal="110" workbookViewId="0">
      <selection activeCell="F76" sqref="F76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30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30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>H29</f>
        <v>136994</v>
      </c>
      <c r="E30" s="220">
        <v>8565</v>
      </c>
      <c r="F30" s="220">
        <v>5193</v>
      </c>
      <c r="G30" s="220">
        <v>10707</v>
      </c>
      <c r="H30" s="220">
        <f>D30+E30-G30</f>
        <v>134852</v>
      </c>
      <c r="I30" s="221">
        <f t="shared" si="2"/>
        <v>-2142</v>
      </c>
      <c r="J30" s="227">
        <f t="shared" si="4"/>
        <v>7.8156707593033267E-2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ht="15.75" thickBot="1" x14ac:dyDescent="0.3">
      <c r="B31" s="391"/>
      <c r="C31" s="88" t="s">
        <v>78</v>
      </c>
      <c r="D31" s="135"/>
      <c r="E31" s="135">
        <f>SUM(E5:E30)</f>
        <v>249721</v>
      </c>
      <c r="F31" s="135">
        <f>SUM(F5:F30)</f>
        <v>194389.52000000002</v>
      </c>
      <c r="G31" s="135">
        <f>SUM(G5:G30)</f>
        <v>114869</v>
      </c>
      <c r="H31" s="135"/>
      <c r="I31" s="136"/>
      <c r="J31" s="136"/>
      <c r="K31" s="135">
        <f>SUM(K5:K30)</f>
        <v>235202</v>
      </c>
      <c r="L31" s="136"/>
      <c r="M31" s="136"/>
      <c r="N31" s="135">
        <f>SUM(N17:N30)</f>
        <v>16681</v>
      </c>
      <c r="O31" s="135"/>
      <c r="P31" s="136"/>
      <c r="Q31" s="113">
        <f>SUM(Q20:Q30)</f>
        <v>1982</v>
      </c>
      <c r="R31" s="93"/>
      <c r="S31" s="112"/>
      <c r="T31" s="375"/>
      <c r="U31" s="8"/>
      <c r="V31" s="142"/>
    </row>
    <row r="32" spans="1:22" ht="15.75" thickBot="1" x14ac:dyDescent="0.3">
      <c r="C32" s="45"/>
      <c r="D32" s="25"/>
      <c r="E32" s="50"/>
      <c r="F32" s="50"/>
      <c r="G32" s="50"/>
      <c r="H32" s="50"/>
      <c r="I32" s="50"/>
      <c r="J32" s="238"/>
      <c r="K32" s="50"/>
      <c r="L32" s="50"/>
      <c r="M32" s="50"/>
      <c r="N32" s="50"/>
      <c r="O32" s="50"/>
      <c r="P32" s="50"/>
      <c r="Q32" s="50"/>
      <c r="R32" s="50"/>
      <c r="S32" s="51"/>
      <c r="T32" s="27"/>
      <c r="V32" s="142"/>
    </row>
    <row r="33" spans="2:22" x14ac:dyDescent="0.25">
      <c r="B33" s="381" t="s">
        <v>13</v>
      </c>
      <c r="C33" s="94"/>
      <c r="D33" s="48" t="s">
        <v>79</v>
      </c>
      <c r="E33" s="48" t="s">
        <v>15</v>
      </c>
      <c r="F33" s="48" t="s">
        <v>80</v>
      </c>
      <c r="G33" s="48" t="s">
        <v>138</v>
      </c>
      <c r="H33" s="48" t="s">
        <v>18</v>
      </c>
      <c r="I33" s="94"/>
      <c r="J33" s="116"/>
      <c r="K33" s="116"/>
      <c r="L33" s="94"/>
      <c r="M33" s="94"/>
      <c r="N33" s="94"/>
      <c r="O33" s="94"/>
      <c r="P33" s="94"/>
      <c r="Q33" s="94"/>
      <c r="R33" s="94"/>
      <c r="S33" s="49"/>
      <c r="T33" s="380" t="s">
        <v>19</v>
      </c>
      <c r="V33" s="142"/>
    </row>
    <row r="34" spans="2:22" x14ac:dyDescent="0.25">
      <c r="B34" s="382"/>
      <c r="C34" s="156" t="s">
        <v>20</v>
      </c>
      <c r="D34" s="47"/>
      <c r="E34" s="47"/>
      <c r="F34" s="47"/>
      <c r="G34" s="47"/>
      <c r="I34" s="154"/>
      <c r="J34" s="47"/>
      <c r="K34" s="47"/>
      <c r="L34" s="47"/>
      <c r="M34" s="254"/>
      <c r="O34" s="47"/>
      <c r="P34" s="47"/>
      <c r="Q34" s="47"/>
      <c r="R34" s="47"/>
      <c r="S34" s="12"/>
      <c r="T34" s="380"/>
      <c r="V34" s="8"/>
    </row>
    <row r="35" spans="2:22" x14ac:dyDescent="0.25">
      <c r="B35" s="382"/>
      <c r="C35" s="47" t="s">
        <v>21</v>
      </c>
      <c r="D35" s="160">
        <v>0.432</v>
      </c>
      <c r="E35" s="160">
        <v>0.42399999999999999</v>
      </c>
      <c r="F35" s="161">
        <f>D35/E35</f>
        <v>1.0188679245283019</v>
      </c>
      <c r="G35" s="160">
        <v>0.52</v>
      </c>
      <c r="H35" s="161">
        <f>E35/G35</f>
        <v>0.81538461538461537</v>
      </c>
      <c r="I35" s="149"/>
      <c r="J35" s="222"/>
      <c r="K35" s="14"/>
      <c r="L35" s="158"/>
      <c r="M35" s="14"/>
      <c r="N35" s="47"/>
      <c r="O35" s="14"/>
      <c r="P35" s="14"/>
      <c r="Q35" s="14"/>
      <c r="R35" s="14"/>
      <c r="S35" s="15"/>
      <c r="T35" s="380"/>
      <c r="V35" s="8"/>
    </row>
    <row r="36" spans="2:22" x14ac:dyDescent="0.25">
      <c r="B36" s="382"/>
      <c r="C36" s="47" t="s">
        <v>22</v>
      </c>
      <c r="D36" s="160">
        <v>0.56799999999999995</v>
      </c>
      <c r="E36" s="160">
        <v>0.57599999999999996</v>
      </c>
      <c r="F36" s="161">
        <f t="shared" ref="F36:F69" si="5">D36/E36</f>
        <v>0.98611111111111105</v>
      </c>
      <c r="G36" s="160">
        <v>0.48</v>
      </c>
      <c r="H36" s="161">
        <f t="shared" ref="H36:H53" si="6">E36/G36</f>
        <v>1.2</v>
      </c>
      <c r="I36" s="149"/>
      <c r="J36" s="39"/>
      <c r="K36" s="14"/>
      <c r="L36" s="14"/>
      <c r="M36" s="14"/>
      <c r="N36" s="14"/>
      <c r="O36" s="14"/>
      <c r="P36" s="14"/>
      <c r="Q36" s="14"/>
      <c r="R36" s="14"/>
      <c r="S36" s="15"/>
      <c r="T36" s="380"/>
    </row>
    <row r="37" spans="2:22" x14ac:dyDescent="0.25">
      <c r="B37" s="382"/>
      <c r="D37" s="190"/>
      <c r="E37" s="160"/>
      <c r="F37" s="161"/>
      <c r="G37" s="190"/>
      <c r="H37" s="161"/>
      <c r="I37" s="149"/>
      <c r="J37" s="39"/>
      <c r="K37" s="14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25">
      <c r="B38" s="382"/>
      <c r="C38" s="156" t="s">
        <v>23</v>
      </c>
      <c r="D38" s="169"/>
      <c r="E38" s="162"/>
      <c r="F38" s="161"/>
      <c r="G38" s="190"/>
      <c r="H38" s="161"/>
      <c r="I38" s="149"/>
      <c r="J38" s="39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25">
      <c r="B39" s="382"/>
      <c r="C39" s="47" t="s">
        <v>24</v>
      </c>
      <c r="D39" s="160">
        <v>0</v>
      </c>
      <c r="E39" s="160">
        <v>0</v>
      </c>
      <c r="F39" s="161" t="s">
        <v>12</v>
      </c>
      <c r="G39" s="160">
        <v>1.4E-2</v>
      </c>
      <c r="H39" s="161" t="s">
        <v>12</v>
      </c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25">
      <c r="B40" s="382"/>
      <c r="C40" s="47" t="s">
        <v>25</v>
      </c>
      <c r="D40" s="160">
        <v>4.7E-2</v>
      </c>
      <c r="E40" s="160">
        <v>3.5000000000000003E-2</v>
      </c>
      <c r="F40" s="161">
        <f t="shared" si="5"/>
        <v>1.3428571428571427</v>
      </c>
      <c r="G40" s="160">
        <v>0.13600000000000001</v>
      </c>
      <c r="H40" s="161">
        <f>E40/G40</f>
        <v>0.25735294117647062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25">
      <c r="B41" s="382"/>
      <c r="C41" s="47" t="s">
        <v>26</v>
      </c>
      <c r="D41" s="160">
        <v>0.42899999999999999</v>
      </c>
      <c r="E41" s="160">
        <v>0.39300000000000002</v>
      </c>
      <c r="F41" s="161">
        <f t="shared" si="5"/>
        <v>1.0916030534351144</v>
      </c>
      <c r="G41" s="160">
        <v>0.28399999999999997</v>
      </c>
      <c r="H41" s="161">
        <f>E41/G41</f>
        <v>1.3838028169014087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25">
      <c r="B42" s="382"/>
      <c r="C42" s="47" t="s">
        <v>27</v>
      </c>
      <c r="D42" s="160">
        <v>0.36299999999999999</v>
      </c>
      <c r="E42" s="160">
        <v>0.39600000000000002</v>
      </c>
      <c r="F42" s="161">
        <f t="shared" si="5"/>
        <v>0.91666666666666663</v>
      </c>
      <c r="G42" s="160">
        <v>0.32100000000000001</v>
      </c>
      <c r="H42" s="161">
        <f t="shared" si="6"/>
        <v>1.2336448598130842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25">
      <c r="B43" s="382"/>
      <c r="C43" s="47" t="s">
        <v>28</v>
      </c>
      <c r="D43" s="160">
        <v>0.13800000000000001</v>
      </c>
      <c r="E43" s="160">
        <v>0.152</v>
      </c>
      <c r="F43" s="161">
        <f t="shared" si="5"/>
        <v>0.90789473684210531</v>
      </c>
      <c r="G43" s="160">
        <v>0.17100000000000001</v>
      </c>
      <c r="H43" s="161">
        <f>E43/G43</f>
        <v>0.88888888888888884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25">
      <c r="B44" s="382"/>
      <c r="C44" s="47" t="s">
        <v>29</v>
      </c>
      <c r="D44" s="160">
        <v>2.4E-2</v>
      </c>
      <c r="E44" s="160">
        <v>2.3E-2</v>
      </c>
      <c r="F44" s="161">
        <f t="shared" si="5"/>
        <v>1.0434782608695652</v>
      </c>
      <c r="G44" s="160">
        <v>7.3999999999999996E-2</v>
      </c>
      <c r="H44" s="161">
        <f t="shared" si="6"/>
        <v>0.3108108108108108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25">
      <c r="B45" s="382"/>
      <c r="D45" s="190"/>
      <c r="E45" s="190"/>
      <c r="F45" s="161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25">
      <c r="B46" s="382"/>
      <c r="C46" s="156" t="s">
        <v>30</v>
      </c>
      <c r="D46" s="169"/>
      <c r="E46" s="169"/>
      <c r="F46" s="161"/>
      <c r="G46" s="19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25">
      <c r="B47" s="382"/>
      <c r="C47" s="47" t="s">
        <v>31</v>
      </c>
      <c r="D47" s="160">
        <v>0.51600000000000001</v>
      </c>
      <c r="E47" s="163">
        <v>0.47299999999999998</v>
      </c>
      <c r="F47" s="161">
        <f t="shared" ref="F47:F53" si="7">D47/E47</f>
        <v>1.0909090909090911</v>
      </c>
      <c r="G47" s="160">
        <v>0.47399999999999998</v>
      </c>
      <c r="H47" s="161">
        <f>E47/G47</f>
        <v>0.99789029535864981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25">
      <c r="B48" s="382"/>
      <c r="C48" s="47" t="s">
        <v>32</v>
      </c>
      <c r="D48" s="160">
        <v>0.192</v>
      </c>
      <c r="E48" s="160">
        <v>0.20399999999999999</v>
      </c>
      <c r="F48" s="161">
        <f t="shared" si="7"/>
        <v>0.94117647058823539</v>
      </c>
      <c r="G48" s="160">
        <v>0.14599999999999999</v>
      </c>
      <c r="H48" s="161">
        <f t="shared" si="6"/>
        <v>1.3972602739726028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33</v>
      </c>
      <c r="D49" s="160">
        <v>0.11600000000000001</v>
      </c>
      <c r="E49" s="160">
        <v>0.128</v>
      </c>
      <c r="F49" s="161">
        <f t="shared" si="7"/>
        <v>0.90625</v>
      </c>
      <c r="G49" s="160">
        <v>0.13200000000000001</v>
      </c>
      <c r="H49" s="161">
        <f t="shared" si="6"/>
        <v>0.96969696969696972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34</v>
      </c>
      <c r="D50" s="160">
        <v>8.7999999999999995E-2</v>
      </c>
      <c r="E50" s="160">
        <v>9.1999999999999998E-2</v>
      </c>
      <c r="F50" s="161">
        <f t="shared" si="7"/>
        <v>0.9565217391304347</v>
      </c>
      <c r="G50" s="160">
        <v>0.11</v>
      </c>
      <c r="H50" s="161">
        <f t="shared" si="6"/>
        <v>0.83636363636363631</v>
      </c>
      <c r="I50" s="223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35</v>
      </c>
      <c r="D51" s="160">
        <v>2.4E-2</v>
      </c>
      <c r="E51" s="160">
        <v>2.1999999999999999E-2</v>
      </c>
      <c r="F51" s="161">
        <f t="shared" si="7"/>
        <v>1.0909090909090911</v>
      </c>
      <c r="G51" s="160">
        <v>3.5000000000000003E-2</v>
      </c>
      <c r="H51" s="161">
        <f t="shared" si="6"/>
        <v>0.62857142857142845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36</v>
      </c>
      <c r="D52" s="160">
        <v>1.4999999999999999E-2</v>
      </c>
      <c r="E52" s="160">
        <v>1.4999999999999999E-2</v>
      </c>
      <c r="F52" s="161">
        <f t="shared" si="7"/>
        <v>1</v>
      </c>
      <c r="G52" s="160">
        <v>2.4E-2</v>
      </c>
      <c r="H52" s="161">
        <f t="shared" si="6"/>
        <v>0.625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37</v>
      </c>
      <c r="D53" s="160">
        <v>4.8000000000000001E-2</v>
      </c>
      <c r="E53" s="160">
        <v>6.5000000000000002E-2</v>
      </c>
      <c r="F53" s="161">
        <f t="shared" si="7"/>
        <v>0.7384615384615385</v>
      </c>
      <c r="G53" s="160">
        <v>8.1000000000000003E-2</v>
      </c>
      <c r="H53" s="161">
        <f t="shared" si="6"/>
        <v>0.80246913580246915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D54" s="190"/>
      <c r="E54" s="190"/>
      <c r="F54" s="161"/>
      <c r="G54" s="190"/>
      <c r="H54" s="170"/>
      <c r="I54" s="149"/>
      <c r="J54" s="222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156" t="s">
        <v>38</v>
      </c>
      <c r="D55" s="169"/>
      <c r="E55" s="169"/>
      <c r="F55" s="161"/>
      <c r="G55" s="190"/>
      <c r="H55" s="170"/>
      <c r="I55" s="149"/>
      <c r="J55" s="222"/>
      <c r="K55" s="239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39</v>
      </c>
      <c r="D56" s="160">
        <v>0.502</v>
      </c>
      <c r="E56" s="160">
        <v>0.38300000000000001</v>
      </c>
      <c r="F56" s="161">
        <f t="shared" si="5"/>
        <v>1.310704960835509</v>
      </c>
      <c r="G56" s="164">
        <v>0.41399999999999998</v>
      </c>
      <c r="H56" s="165">
        <f>E56/G56</f>
        <v>0.92512077294686001</v>
      </c>
      <c r="I56" s="149"/>
      <c r="J56" s="240"/>
      <c r="K56" s="241"/>
      <c r="L56" s="16"/>
      <c r="M56" s="16"/>
      <c r="N56" s="68"/>
      <c r="O56" s="16"/>
      <c r="P56" s="16"/>
      <c r="Q56" s="16"/>
      <c r="R56" s="16"/>
      <c r="S56" s="36"/>
      <c r="T56" s="380"/>
    </row>
    <row r="57" spans="2:20" x14ac:dyDescent="0.25">
      <c r="B57" s="382"/>
      <c r="C57" s="47" t="s">
        <v>40</v>
      </c>
      <c r="D57" s="160">
        <v>5.0999999999999997E-2</v>
      </c>
      <c r="E57" s="160">
        <v>4.8000000000000001E-2</v>
      </c>
      <c r="F57" s="161">
        <f t="shared" si="5"/>
        <v>1.0625</v>
      </c>
      <c r="G57" s="160">
        <v>8.5000000000000006E-2</v>
      </c>
      <c r="H57" s="165">
        <f t="shared" ref="H57:H61" si="8">E57/G57</f>
        <v>0.56470588235294117</v>
      </c>
      <c r="I57" s="149"/>
      <c r="J57" s="240"/>
      <c r="K57" s="241"/>
      <c r="L57" s="14"/>
      <c r="M57" s="16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41</v>
      </c>
      <c r="D58" s="160">
        <v>0.09</v>
      </c>
      <c r="E58" s="160">
        <v>9.1999999999999998E-2</v>
      </c>
      <c r="F58" s="161">
        <f t="shared" si="5"/>
        <v>0.97826086956521741</v>
      </c>
      <c r="G58" s="160">
        <v>0.14799999999999999</v>
      </c>
      <c r="H58" s="165">
        <f t="shared" si="8"/>
        <v>0.6216216216216216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42</v>
      </c>
      <c r="D59" s="160">
        <v>0.10199999999999999</v>
      </c>
      <c r="E59" s="160">
        <v>0.122</v>
      </c>
      <c r="F59" s="161">
        <f t="shared" si="5"/>
        <v>0.83606557377049173</v>
      </c>
      <c r="G59" s="160">
        <v>0.153</v>
      </c>
      <c r="H59" s="165">
        <f t="shared" si="8"/>
        <v>0.79738562091503262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43</v>
      </c>
      <c r="D60" s="160">
        <v>0.129</v>
      </c>
      <c r="E60" s="160">
        <v>0.16900000000000001</v>
      </c>
      <c r="F60" s="161">
        <f t="shared" si="5"/>
        <v>0.76331360946745563</v>
      </c>
      <c r="G60" s="160">
        <v>0.13300000000000001</v>
      </c>
      <c r="H60" s="165">
        <f t="shared" si="8"/>
        <v>1.2706766917293233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44</v>
      </c>
      <c r="D61" s="160">
        <v>0.127</v>
      </c>
      <c r="E61" s="160">
        <v>0.187</v>
      </c>
      <c r="F61" s="161">
        <f t="shared" si="5"/>
        <v>0.67914438502673802</v>
      </c>
      <c r="G61" s="160">
        <v>6.8000000000000005E-2</v>
      </c>
      <c r="H61" s="165">
        <f t="shared" si="8"/>
        <v>2.75</v>
      </c>
      <c r="J61" s="34"/>
      <c r="K61" s="239"/>
      <c r="O61" s="14"/>
      <c r="P61" s="14"/>
      <c r="Q61" s="14"/>
      <c r="R61" s="14"/>
      <c r="S61" s="15"/>
      <c r="T61" s="380"/>
    </row>
    <row r="62" spans="2:20" x14ac:dyDescent="0.25">
      <c r="B62" s="382"/>
      <c r="D62" s="190"/>
      <c r="E62" s="190"/>
      <c r="F62" s="161"/>
      <c r="G62" s="190"/>
      <c r="H62" s="170"/>
      <c r="I62" s="149"/>
      <c r="J62" s="222"/>
      <c r="K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156" t="s">
        <v>136</v>
      </c>
      <c r="D63" s="190"/>
      <c r="E63" s="190"/>
      <c r="F63" s="161"/>
      <c r="G63" s="190"/>
      <c r="H63" s="170"/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39</v>
      </c>
      <c r="D64" s="160">
        <v>0.40699999999999997</v>
      </c>
      <c r="E64" s="160">
        <v>0.21299999999999999</v>
      </c>
      <c r="F64" s="161">
        <f t="shared" si="5"/>
        <v>1.9107981220657275</v>
      </c>
      <c r="G64" s="163">
        <v>0.41499999999999998</v>
      </c>
      <c r="H64" s="165">
        <f>E64/G64</f>
        <v>0.51325301204819274</v>
      </c>
      <c r="I64" s="149"/>
      <c r="J64" s="38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40</v>
      </c>
      <c r="D65" s="160">
        <v>7.2999999999999995E-2</v>
      </c>
      <c r="E65" s="160">
        <v>6.5000000000000002E-2</v>
      </c>
      <c r="F65" s="161">
        <f t="shared" si="5"/>
        <v>1.1230769230769229</v>
      </c>
      <c r="G65" s="163">
        <v>0.14299999999999999</v>
      </c>
      <c r="H65" s="165">
        <f t="shared" ref="H65:H69" si="9">E65/G65</f>
        <v>0.45454545454545459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41</v>
      </c>
      <c r="D66" s="160">
        <v>0.11700000000000001</v>
      </c>
      <c r="E66" s="160">
        <v>0.13200000000000001</v>
      </c>
      <c r="F66" s="161">
        <f t="shared" si="5"/>
        <v>0.88636363636363635</v>
      </c>
      <c r="G66" s="163">
        <v>0.189</v>
      </c>
      <c r="H66" s="165">
        <f t="shared" si="9"/>
        <v>0.69841269841269848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42</v>
      </c>
      <c r="D67" s="160">
        <v>0.13300000000000001</v>
      </c>
      <c r="E67" s="160">
        <v>0.157</v>
      </c>
      <c r="F67" s="161">
        <f t="shared" si="5"/>
        <v>0.84713375796178347</v>
      </c>
      <c r="G67" s="163">
        <v>0.13500000000000001</v>
      </c>
      <c r="H67" s="165">
        <f t="shared" si="9"/>
        <v>1.162962962962963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43</v>
      </c>
      <c r="D68" s="160">
        <v>0.14099999999999999</v>
      </c>
      <c r="E68" s="160">
        <v>0.20899999999999999</v>
      </c>
      <c r="F68" s="161">
        <f t="shared" si="5"/>
        <v>0.67464114832535882</v>
      </c>
      <c r="G68" s="163">
        <v>8.5000000000000006E-2</v>
      </c>
      <c r="H68" s="165">
        <f t="shared" si="9"/>
        <v>2.4588235294117644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ht="15.75" thickBot="1" x14ac:dyDescent="0.3">
      <c r="B69" s="383"/>
      <c r="C69" s="47" t="s">
        <v>44</v>
      </c>
      <c r="D69" s="160">
        <v>0.129</v>
      </c>
      <c r="E69" s="160">
        <v>0.22500000000000001</v>
      </c>
      <c r="F69" s="161">
        <f t="shared" si="5"/>
        <v>0.57333333333333336</v>
      </c>
      <c r="G69" s="163">
        <v>3.3000000000000002E-2</v>
      </c>
      <c r="H69" s="165">
        <f t="shared" si="9"/>
        <v>6.8181818181818183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ht="15.75" thickBot="1" x14ac:dyDescent="0.3">
      <c r="B70" s="60"/>
      <c r="C70" s="45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26"/>
      <c r="T70" s="27"/>
    </row>
    <row r="71" spans="2:20" x14ac:dyDescent="0.25">
      <c r="B71" s="373" t="s">
        <v>45</v>
      </c>
      <c r="C71" s="5"/>
      <c r="D71" s="385" t="s">
        <v>46</v>
      </c>
      <c r="E71" s="385"/>
      <c r="F71" s="385" t="s">
        <v>47</v>
      </c>
      <c r="G71" s="385"/>
      <c r="H71" s="42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7"/>
      <c r="T71" s="386" t="s">
        <v>48</v>
      </c>
    </row>
    <row r="72" spans="2:20" x14ac:dyDescent="0.25">
      <c r="B72" s="374"/>
      <c r="C72" s="1"/>
      <c r="D72" s="40" t="s">
        <v>49</v>
      </c>
      <c r="E72" s="40" t="s">
        <v>50</v>
      </c>
      <c r="F72" s="40" t="s">
        <v>49</v>
      </c>
      <c r="G72" s="40" t="s">
        <v>50</v>
      </c>
      <c r="H72" s="41" t="s">
        <v>51</v>
      </c>
      <c r="I72" s="96" t="s">
        <v>52</v>
      </c>
      <c r="J72" s="97"/>
      <c r="K72" s="97"/>
      <c r="L72" s="97"/>
      <c r="M72" s="97"/>
      <c r="N72" s="97"/>
      <c r="O72" s="97"/>
      <c r="P72" s="97"/>
      <c r="Q72" s="97"/>
      <c r="R72" s="97"/>
      <c r="S72" s="99"/>
      <c r="T72" s="387"/>
    </row>
    <row r="73" spans="2:20" x14ac:dyDescent="0.25">
      <c r="B73" s="374"/>
      <c r="C73" s="2" t="s">
        <v>53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4"/>
      <c r="T73" s="387"/>
    </row>
    <row r="74" spans="2:20" x14ac:dyDescent="0.25">
      <c r="B74" s="374"/>
      <c r="C74" s="1" t="s">
        <v>54</v>
      </c>
      <c r="D74" s="167">
        <v>2077493</v>
      </c>
      <c r="E74" s="163">
        <f>D74/D76</f>
        <v>0.74893409465909955</v>
      </c>
      <c r="F74" s="168">
        <v>110275</v>
      </c>
      <c r="G74" s="160">
        <f>F74/$F$76</f>
        <v>0.66002896885249829</v>
      </c>
      <c r="H74" s="161">
        <f>G74/E74</f>
        <v>0.88129112235560703</v>
      </c>
      <c r="I74" s="163">
        <f>F74/D74</f>
        <v>5.3080804604395779E-2</v>
      </c>
      <c r="J74" s="39"/>
      <c r="K74" s="39"/>
      <c r="L74" s="14"/>
      <c r="M74" s="14"/>
      <c r="N74" s="14"/>
      <c r="O74" s="14"/>
      <c r="P74" s="14"/>
      <c r="Q74" s="14"/>
      <c r="R74" s="14"/>
      <c r="S74" s="82"/>
      <c r="T74" s="387"/>
    </row>
    <row r="75" spans="2:20" x14ac:dyDescent="0.25">
      <c r="B75" s="374"/>
      <c r="C75" s="1" t="s">
        <v>55</v>
      </c>
      <c r="D75" s="167">
        <f>SUM(D79:D85)</f>
        <v>696440</v>
      </c>
      <c r="E75" s="163">
        <f>D75/D76</f>
        <v>0.25106590534090045</v>
      </c>
      <c r="F75" s="168">
        <f>SUM(F79:F85)</f>
        <v>56801</v>
      </c>
      <c r="G75" s="160">
        <f>F75/$F$76</f>
        <v>0.33997103114750171</v>
      </c>
      <c r="H75" s="161">
        <f>G75/E75</f>
        <v>1.3541107092414033</v>
      </c>
      <c r="I75" s="163">
        <f t="shared" ref="I75:I85" si="10">F75/D75</f>
        <v>8.1559071851128595E-2</v>
      </c>
      <c r="J75" s="39"/>
      <c r="K75" s="39"/>
      <c r="L75" s="252"/>
      <c r="M75" s="14"/>
      <c r="N75" s="14"/>
      <c r="O75" s="14"/>
      <c r="P75" s="14"/>
      <c r="Q75" s="14"/>
      <c r="R75" s="14"/>
      <c r="S75" s="82"/>
      <c r="T75" s="387"/>
    </row>
    <row r="76" spans="2:20" x14ac:dyDescent="0.25">
      <c r="B76" s="374"/>
      <c r="C76" s="1" t="s">
        <v>53</v>
      </c>
      <c r="D76" s="167">
        <f>SUM(D74:D75)</f>
        <v>2773933</v>
      </c>
      <c r="E76" s="192"/>
      <c r="F76" s="168">
        <f>SUM(F74:F75)</f>
        <v>167076</v>
      </c>
      <c r="G76" s="169"/>
      <c r="H76" s="161"/>
      <c r="I76" s="163">
        <f t="shared" si="10"/>
        <v>6.0230726553236864E-2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25">
      <c r="B77" s="374"/>
      <c r="C77" s="1"/>
      <c r="D77" s="192"/>
      <c r="E77" s="192"/>
      <c r="F77" s="171"/>
      <c r="G77" s="169"/>
      <c r="H77" s="170"/>
      <c r="I77" s="163"/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25">
      <c r="B78" s="374"/>
      <c r="C78" s="2" t="s">
        <v>56</v>
      </c>
      <c r="D78" s="192"/>
      <c r="E78" s="192"/>
      <c r="F78" s="169"/>
      <c r="G78" s="169"/>
      <c r="H78" s="170"/>
      <c r="I78" s="163"/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1" t="s">
        <v>57</v>
      </c>
      <c r="D79" s="167">
        <v>337749</v>
      </c>
      <c r="E79" s="163">
        <f>D79/$D$75</f>
        <v>0.48496496467750272</v>
      </c>
      <c r="F79" s="168">
        <v>25647</v>
      </c>
      <c r="G79" s="160">
        <f>F79/$F$75</f>
        <v>0.45152374077921165</v>
      </c>
      <c r="H79" s="161">
        <f t="shared" ref="H79:H85" si="11">G79/E79</f>
        <v>0.93104404166488774</v>
      </c>
      <c r="I79" s="163">
        <f t="shared" si="10"/>
        <v>7.5935087890711739E-2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" t="s">
        <v>58</v>
      </c>
      <c r="D80" s="167">
        <v>153338</v>
      </c>
      <c r="E80" s="163">
        <f t="shared" ref="E80:E85" si="12">D80/$D$75</f>
        <v>0.22017402791338808</v>
      </c>
      <c r="F80" s="168">
        <v>14835</v>
      </c>
      <c r="G80" s="160">
        <f t="shared" ref="G80:G85" si="13">F80/$F$75</f>
        <v>0.26117497931374445</v>
      </c>
      <c r="H80" s="161">
        <f t="shared" si="11"/>
        <v>1.1862206536753068</v>
      </c>
      <c r="I80" s="163">
        <f t="shared" si="10"/>
        <v>9.674705552439708E-2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 t="s">
        <v>59</v>
      </c>
      <c r="D81" s="167">
        <v>99373</v>
      </c>
      <c r="E81" s="163">
        <f t="shared" si="12"/>
        <v>0.14268709436563093</v>
      </c>
      <c r="F81" s="168">
        <v>10918</v>
      </c>
      <c r="G81" s="160">
        <f t="shared" si="13"/>
        <v>0.19221492579355998</v>
      </c>
      <c r="H81" s="161">
        <f t="shared" si="11"/>
        <v>1.3471079963336812</v>
      </c>
      <c r="I81" s="163">
        <f t="shared" si="10"/>
        <v>0.10986887786420858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72" t="s">
        <v>60</v>
      </c>
      <c r="D82" s="168">
        <v>28740</v>
      </c>
      <c r="E82" s="163">
        <f t="shared" si="12"/>
        <v>4.1267015105393143E-2</v>
      </c>
      <c r="F82" s="174">
        <v>1438</v>
      </c>
      <c r="G82" s="160">
        <f t="shared" si="13"/>
        <v>2.5316455696202531E-2</v>
      </c>
      <c r="H82" s="161">
        <f t="shared" si="11"/>
        <v>0.61347920685676027</v>
      </c>
      <c r="I82" s="163">
        <f t="shared" si="10"/>
        <v>5.0034794711203895E-2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 t="s">
        <v>61</v>
      </c>
      <c r="D83" s="167">
        <v>30157</v>
      </c>
      <c r="E83" s="163">
        <f t="shared" si="12"/>
        <v>4.3301648383206021E-2</v>
      </c>
      <c r="F83" s="168">
        <v>772</v>
      </c>
      <c r="G83" s="160">
        <f t="shared" si="13"/>
        <v>1.3591310012147674E-2</v>
      </c>
      <c r="H83" s="161">
        <f t="shared" si="11"/>
        <v>0.31387511837583731</v>
      </c>
      <c r="I83" s="163">
        <f t="shared" si="10"/>
        <v>2.559936333189641E-2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 t="s">
        <v>62</v>
      </c>
      <c r="D84" s="167">
        <v>35642</v>
      </c>
      <c r="E84" s="163">
        <f t="shared" si="12"/>
        <v>5.1177416575727989E-2</v>
      </c>
      <c r="F84" s="168">
        <v>2224</v>
      </c>
      <c r="G84" s="160">
        <f t="shared" si="13"/>
        <v>3.9154240242249255E-2</v>
      </c>
      <c r="H84" s="161">
        <f t="shared" si="11"/>
        <v>0.76506871315616609</v>
      </c>
      <c r="I84" s="163">
        <f t="shared" si="10"/>
        <v>6.2398294147354247E-2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  <c r="W84" s="13"/>
    </row>
    <row r="85" spans="2:23" ht="15.75" thickBot="1" x14ac:dyDescent="0.3">
      <c r="B85" s="375"/>
      <c r="C85" s="9" t="s">
        <v>63</v>
      </c>
      <c r="D85" s="175">
        <v>11441</v>
      </c>
      <c r="E85" s="179">
        <f t="shared" si="12"/>
        <v>1.6427832979151111E-2</v>
      </c>
      <c r="F85" s="177">
        <v>967</v>
      </c>
      <c r="G85" s="176">
        <f t="shared" si="13"/>
        <v>1.7024348162884458E-2</v>
      </c>
      <c r="H85" s="178">
        <f t="shared" si="11"/>
        <v>1.0363112520373439</v>
      </c>
      <c r="I85" s="179">
        <f t="shared" si="10"/>
        <v>8.4520583865046767E-2</v>
      </c>
      <c r="J85" s="100"/>
      <c r="K85" s="100"/>
      <c r="L85" s="18"/>
      <c r="M85" s="18"/>
      <c r="N85" s="18"/>
      <c r="O85" s="18"/>
      <c r="P85" s="18"/>
      <c r="Q85" s="18"/>
      <c r="R85" s="18"/>
      <c r="S85" s="83"/>
      <c r="T85" s="388"/>
    </row>
    <row r="86" spans="2:23" ht="15.75" thickBot="1" x14ac:dyDescent="0.3">
      <c r="C86" s="1"/>
      <c r="D86" s="8"/>
      <c r="S86" s="4"/>
      <c r="T86" s="28"/>
    </row>
    <row r="87" spans="2:23" x14ac:dyDescent="0.25">
      <c r="B87" s="373" t="s">
        <v>64</v>
      </c>
      <c r="C87" s="21" t="s">
        <v>65</v>
      </c>
      <c r="D87" s="23" t="s">
        <v>66</v>
      </c>
      <c r="E87" s="48" t="s">
        <v>67</v>
      </c>
      <c r="F87" s="48" t="s">
        <v>68</v>
      </c>
      <c r="G87" s="48" t="s">
        <v>51</v>
      </c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7"/>
      <c r="T87" s="373" t="s">
        <v>19</v>
      </c>
    </row>
    <row r="88" spans="2:23" x14ac:dyDescent="0.25">
      <c r="B88" s="374"/>
      <c r="C88" s="1" t="s">
        <v>69</v>
      </c>
      <c r="D88" s="168">
        <v>66791</v>
      </c>
      <c r="E88" s="180">
        <v>763725</v>
      </c>
      <c r="F88" s="68"/>
      <c r="I88" s="8"/>
      <c r="S88" s="4"/>
      <c r="T88" s="374"/>
    </row>
    <row r="89" spans="2:23" x14ac:dyDescent="0.25">
      <c r="B89" s="374"/>
      <c r="C89" s="1" t="s">
        <v>70</v>
      </c>
      <c r="D89" s="181">
        <f>D88/H30</f>
        <v>0.4952911339839231</v>
      </c>
      <c r="E89" s="182">
        <v>0.19589999999999999</v>
      </c>
      <c r="F89" s="68"/>
      <c r="I89" s="8"/>
      <c r="S89" s="4"/>
      <c r="T89" s="374"/>
    </row>
    <row r="90" spans="2:23" x14ac:dyDescent="0.25">
      <c r="B90" s="374"/>
      <c r="C90" s="1"/>
      <c r="D90" s="199"/>
      <c r="E90" s="200"/>
      <c r="F90" s="14"/>
      <c r="I90" s="8"/>
      <c r="S90" s="4"/>
      <c r="T90" s="374"/>
      <c r="W90" s="8"/>
    </row>
    <row r="91" spans="2:23" ht="14.45" customHeight="1" x14ac:dyDescent="0.25">
      <c r="B91" s="374"/>
      <c r="C91" s="1" t="s">
        <v>71</v>
      </c>
      <c r="D91" s="168">
        <v>167076</v>
      </c>
      <c r="E91" s="183">
        <v>1588804</v>
      </c>
      <c r="F91" s="68"/>
      <c r="I91" s="8"/>
      <c r="S91" s="4"/>
      <c r="T91" s="374"/>
      <c r="U91" s="24"/>
      <c r="W91" s="14"/>
    </row>
    <row r="92" spans="2:23" x14ac:dyDescent="0.25">
      <c r="B92" s="374"/>
      <c r="C92" s="1" t="s">
        <v>72</v>
      </c>
      <c r="D92" s="184">
        <f>D91/D88</f>
        <v>2.5014747495920111</v>
      </c>
      <c r="E92" s="161">
        <f>E91/E88</f>
        <v>2.0803351991881893</v>
      </c>
      <c r="F92" s="14"/>
      <c r="I92" s="8"/>
      <c r="S92" s="4"/>
      <c r="T92" s="374"/>
    </row>
    <row r="93" spans="2:23" x14ac:dyDescent="0.25">
      <c r="B93" s="374"/>
      <c r="C93" s="1"/>
      <c r="D93" s="202"/>
      <c r="E93" s="169"/>
      <c r="F93" s="14"/>
      <c r="I93" s="8"/>
      <c r="S93" s="4"/>
      <c r="T93" s="374"/>
      <c r="W93" s="8"/>
    </row>
    <row r="94" spans="2:23" x14ac:dyDescent="0.25">
      <c r="B94" s="374"/>
      <c r="C94" s="1" t="s">
        <v>73</v>
      </c>
      <c r="D94" s="168">
        <v>105788</v>
      </c>
      <c r="E94" s="183">
        <v>1139339</v>
      </c>
      <c r="F94" s="14"/>
      <c r="I94" s="8"/>
      <c r="S94" s="4"/>
      <c r="T94" s="374"/>
      <c r="W94" s="14"/>
    </row>
    <row r="95" spans="2:23" x14ac:dyDescent="0.25">
      <c r="B95" s="374"/>
      <c r="C95" s="1" t="s">
        <v>74</v>
      </c>
      <c r="D95" s="184">
        <f>D94/D88</f>
        <v>1.58386608974263</v>
      </c>
      <c r="E95" s="165">
        <f>E94/E88</f>
        <v>1.4918183901273363</v>
      </c>
      <c r="F95" s="14"/>
      <c r="S95" s="4"/>
      <c r="T95" s="374"/>
    </row>
    <row r="96" spans="2:23" ht="15.75" thickBot="1" x14ac:dyDescent="0.3">
      <c r="B96" s="375"/>
      <c r="C96" s="9" t="s">
        <v>75</v>
      </c>
      <c r="D96" s="185">
        <f>D91/D94</f>
        <v>1.5793473739932695</v>
      </c>
      <c r="E96" s="186">
        <f>E91/E94</f>
        <v>1.3944962824936213</v>
      </c>
      <c r="F96" s="18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11"/>
      <c r="T96" s="375"/>
    </row>
    <row r="97" spans="2:6" x14ac:dyDescent="0.25">
      <c r="D97" s="37"/>
      <c r="E97" s="22"/>
      <c r="F97" s="14"/>
    </row>
    <row r="98" spans="2:6" s="35" customFormat="1" x14ac:dyDescent="0.25">
      <c r="B98" s="47"/>
      <c r="C98" s="78"/>
      <c r="D98" s="8"/>
      <c r="E98" s="13"/>
    </row>
    <row r="99" spans="2:6" s="35" customFormat="1" x14ac:dyDescent="0.25">
      <c r="B99" s="47"/>
      <c r="C99" s="78"/>
      <c r="D99" s="8"/>
      <c r="E99" s="34"/>
    </row>
    <row r="100" spans="2:6" s="35" customFormat="1" x14ac:dyDescent="0.25">
      <c r="B100" s="47"/>
      <c r="C100" s="78"/>
      <c r="D100" s="8"/>
      <c r="E100" s="34"/>
    </row>
    <row r="101" spans="2:6" s="35" customFormat="1" x14ac:dyDescent="0.25">
      <c r="B101" s="47"/>
      <c r="C101" s="78"/>
      <c r="D101" s="8"/>
      <c r="E101" s="34"/>
    </row>
    <row r="102" spans="2:6" s="35" customFormat="1" x14ac:dyDescent="0.25">
      <c r="B102" s="47"/>
      <c r="C102" s="78"/>
      <c r="D102" s="8"/>
      <c r="E102" s="78"/>
    </row>
    <row r="103" spans="2:6" s="35" customFormat="1" x14ac:dyDescent="0.25">
      <c r="B103" s="47"/>
      <c r="C103" s="78"/>
      <c r="D103" s="8"/>
      <c r="E103" s="34"/>
    </row>
  </sheetData>
  <mergeCells count="15">
    <mergeCell ref="B87:B96"/>
    <mergeCell ref="T87:T96"/>
    <mergeCell ref="B4:B31"/>
    <mergeCell ref="B33:B69"/>
    <mergeCell ref="T33:T69"/>
    <mergeCell ref="B71:B85"/>
    <mergeCell ref="D71:E71"/>
    <mergeCell ref="F71:G71"/>
    <mergeCell ref="T71:T85"/>
    <mergeCell ref="T3:T31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324F-9BDD-4DF0-85DE-E7337D545A0B}">
  <sheetPr codeName="Sheet27">
    <tabColor theme="7"/>
  </sheetPr>
  <dimension ref="A1:W104"/>
  <sheetViews>
    <sheetView topLeftCell="A83" zoomScaleNormal="100" workbookViewId="0">
      <selection activeCell="F77" sqref="F77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10327</v>
      </c>
      <c r="F22" s="246">
        <v>7377</v>
      </c>
      <c r="G22" s="246">
        <v>6236</v>
      </c>
      <c r="H22" s="246">
        <f t="shared" ref="H22:H29" si="1">D22+E22-G22</f>
        <v>92940</v>
      </c>
      <c r="I22" s="246">
        <f t="shared" ref="I22:I31" si="2">H22-D22</f>
        <v>4091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28" si="3">H22</f>
        <v>92940</v>
      </c>
      <c r="E23" s="246">
        <v>7983</v>
      </c>
      <c r="F23" s="246">
        <v>5491</v>
      </c>
      <c r="G23" s="246">
        <v>5763</v>
      </c>
      <c r="H23" s="246">
        <f t="shared" si="1"/>
        <v>95160</v>
      </c>
      <c r="I23" s="246">
        <f t="shared" si="2"/>
        <v>2220</v>
      </c>
      <c r="J23" s="247">
        <f>G23/D23</f>
        <v>6.2007746933505491E-2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3"/>
        <v>95160</v>
      </c>
      <c r="E24" s="246">
        <v>9226</v>
      </c>
      <c r="F24" s="246">
        <v>6131</v>
      </c>
      <c r="G24" s="246">
        <v>6072</v>
      </c>
      <c r="H24" s="246">
        <f t="shared" si="1"/>
        <v>98314</v>
      </c>
      <c r="I24" s="246">
        <f t="shared" si="2"/>
        <v>3154</v>
      </c>
      <c r="J24" s="247">
        <f t="shared" ref="J24:J31" si="4">G24/D24</f>
        <v>6.3808322824716268E-2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3"/>
        <v>98314</v>
      </c>
      <c r="E25" s="246">
        <v>14385</v>
      </c>
      <c r="F25" s="246">
        <v>10008</v>
      </c>
      <c r="G25" s="246">
        <v>6214</v>
      </c>
      <c r="H25" s="246">
        <f t="shared" si="1"/>
        <v>106485</v>
      </c>
      <c r="I25" s="246">
        <f t="shared" si="2"/>
        <v>8171</v>
      </c>
      <c r="J25" s="247">
        <f t="shared" si="4"/>
        <v>6.3205647211994218E-2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3"/>
        <v>106485</v>
      </c>
      <c r="E26" s="246">
        <v>11560</v>
      </c>
      <c r="F26" s="246">
        <v>7633</v>
      </c>
      <c r="G26" s="246">
        <v>7432</v>
      </c>
      <c r="H26" s="246">
        <f t="shared" si="1"/>
        <v>110613</v>
      </c>
      <c r="I26" s="246">
        <f t="shared" si="2"/>
        <v>4128</v>
      </c>
      <c r="J26" s="247">
        <f t="shared" si="4"/>
        <v>6.9793867680894017E-2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3"/>
        <v>110613</v>
      </c>
      <c r="E27" s="246">
        <v>13848</v>
      </c>
      <c r="F27" s="246">
        <v>9168</v>
      </c>
      <c r="G27" s="246">
        <v>6824</v>
      </c>
      <c r="H27" s="246">
        <f t="shared" si="1"/>
        <v>117637</v>
      </c>
      <c r="I27" s="246">
        <f t="shared" si="2"/>
        <v>7024</v>
      </c>
      <c r="J27" s="247">
        <f t="shared" si="4"/>
        <v>6.1692567781363852E-2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3"/>
        <v>117637</v>
      </c>
      <c r="E28" s="246">
        <v>22235</v>
      </c>
      <c r="F28" s="246">
        <v>15474</v>
      </c>
      <c r="G28" s="246">
        <v>7162</v>
      </c>
      <c r="H28" s="246">
        <f t="shared" si="1"/>
        <v>132710</v>
      </c>
      <c r="I28" s="246">
        <f t="shared" si="2"/>
        <v>15073</v>
      </c>
      <c r="J28" s="247">
        <f t="shared" si="4"/>
        <v>6.0882205428564144E-2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>H28</f>
        <v>132710</v>
      </c>
      <c r="E29" s="246">
        <v>14570</v>
      </c>
      <c r="F29" s="246">
        <v>9615</v>
      </c>
      <c r="G29" s="246">
        <v>10286</v>
      </c>
      <c r="H29" s="246">
        <f t="shared" si="1"/>
        <v>136994</v>
      </c>
      <c r="I29" s="246">
        <f t="shared" si="2"/>
        <v>4284</v>
      </c>
      <c r="J29" s="247">
        <f t="shared" si="4"/>
        <v>7.7507346846507424E-2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>H29</f>
        <v>136994</v>
      </c>
      <c r="E30" s="220">
        <v>8565</v>
      </c>
      <c r="F30" s="220">
        <v>5193</v>
      </c>
      <c r="G30" s="220">
        <v>10707</v>
      </c>
      <c r="H30" s="220">
        <f>D30+E30-G30</f>
        <v>134852</v>
      </c>
      <c r="I30" s="221">
        <f t="shared" si="2"/>
        <v>-2142</v>
      </c>
      <c r="J30" s="227">
        <f>G30/D30</f>
        <v>7.8156707593033267E-2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>H30</f>
        <v>134852</v>
      </c>
      <c r="E31" s="220">
        <v>8472</v>
      </c>
      <c r="F31" s="220">
        <v>4938</v>
      </c>
      <c r="G31" s="220">
        <v>8737</v>
      </c>
      <c r="H31" s="220">
        <f>D31+E31-G31</f>
        <v>134587</v>
      </c>
      <c r="I31" s="221">
        <f t="shared" si="2"/>
        <v>-265</v>
      </c>
      <c r="J31" s="227">
        <f t="shared" si="4"/>
        <v>6.4789547058998018E-2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ht="15.75" thickBot="1" x14ac:dyDescent="0.3">
      <c r="B32" s="391"/>
      <c r="C32" s="88" t="s">
        <v>78</v>
      </c>
      <c r="D32" s="135"/>
      <c r="E32" s="135">
        <f>SUM(E5:E31)</f>
        <v>258193</v>
      </c>
      <c r="F32" s="135">
        <f>SUM(F5:F31)</f>
        <v>199327.52000000002</v>
      </c>
      <c r="G32" s="135">
        <f>SUM(G5:G31)</f>
        <v>123606</v>
      </c>
      <c r="H32" s="135"/>
      <c r="I32" s="136"/>
      <c r="J32" s="136"/>
      <c r="K32" s="135">
        <f>SUM(K5:K31)</f>
        <v>243011</v>
      </c>
      <c r="L32" s="136"/>
      <c r="M32" s="136"/>
      <c r="N32" s="135">
        <f>SUM(N17:N31)</f>
        <v>17413</v>
      </c>
      <c r="O32" s="135"/>
      <c r="P32" s="136"/>
      <c r="Q32" s="113">
        <f>SUM(Q20:Q31)</f>
        <v>2014</v>
      </c>
      <c r="R32" s="93"/>
      <c r="S32" s="112"/>
      <c r="T32" s="375"/>
      <c r="U32" s="8"/>
      <c r="V32" s="142"/>
    </row>
    <row r="33" spans="2:22" ht="15.75" thickBot="1" x14ac:dyDescent="0.3">
      <c r="C33" s="45"/>
      <c r="D33" s="25"/>
      <c r="E33" s="50"/>
      <c r="F33" s="50"/>
      <c r="G33" s="50"/>
      <c r="H33" s="50"/>
      <c r="I33" s="50"/>
      <c r="J33" s="238"/>
      <c r="K33" s="50"/>
      <c r="L33" s="50"/>
      <c r="M33" s="50"/>
      <c r="N33" s="50"/>
      <c r="O33" s="50"/>
      <c r="P33" s="50"/>
      <c r="Q33" s="50"/>
      <c r="R33" s="50"/>
      <c r="S33" s="51"/>
      <c r="T33" s="27"/>
      <c r="V33" s="142"/>
    </row>
    <row r="34" spans="2:22" x14ac:dyDescent="0.25">
      <c r="B34" s="381" t="s">
        <v>13</v>
      </c>
      <c r="C34" s="94"/>
      <c r="D34" s="48" t="s">
        <v>83</v>
      </c>
      <c r="E34" s="48" t="s">
        <v>15</v>
      </c>
      <c r="F34" s="48" t="s">
        <v>84</v>
      </c>
      <c r="G34" s="48" t="s">
        <v>138</v>
      </c>
      <c r="H34" s="48" t="s">
        <v>18</v>
      </c>
      <c r="I34" s="94"/>
      <c r="J34" s="116"/>
      <c r="K34" s="116"/>
      <c r="L34" s="94"/>
      <c r="M34" s="94"/>
      <c r="N34" s="94"/>
      <c r="O34" s="94"/>
      <c r="P34" s="94"/>
      <c r="Q34" s="94"/>
      <c r="R34" s="94"/>
      <c r="S34" s="49"/>
      <c r="T34" s="380" t="s">
        <v>19</v>
      </c>
      <c r="V34" s="142"/>
    </row>
    <row r="35" spans="2:22" x14ac:dyDescent="0.25">
      <c r="B35" s="382"/>
      <c r="C35" s="156" t="s">
        <v>20</v>
      </c>
      <c r="D35" s="47"/>
      <c r="E35" s="47"/>
      <c r="F35" s="47"/>
      <c r="G35" s="47"/>
      <c r="I35" s="154"/>
      <c r="L35" s="47"/>
      <c r="M35" s="254"/>
      <c r="O35" s="47"/>
      <c r="P35" s="47"/>
      <c r="Q35" s="47"/>
      <c r="R35" s="47"/>
      <c r="S35" s="12"/>
      <c r="T35" s="380"/>
      <c r="V35" s="8"/>
    </row>
    <row r="36" spans="2:22" x14ac:dyDescent="0.25">
      <c r="B36" s="382"/>
      <c r="C36" s="47" t="s">
        <v>21</v>
      </c>
      <c r="D36" s="160">
        <v>0.46200000000000002</v>
      </c>
      <c r="E36" s="160">
        <v>0.42499999999999999</v>
      </c>
      <c r="F36" s="161">
        <f>D36/E36</f>
        <v>1.0870588235294119</v>
      </c>
      <c r="G36" s="160">
        <v>0.52300000000000002</v>
      </c>
      <c r="H36" s="161">
        <f>E36/G36</f>
        <v>0.81261950286806883</v>
      </c>
      <c r="I36" s="149"/>
      <c r="J36" s="222"/>
      <c r="K36" s="158"/>
      <c r="L36" s="158"/>
      <c r="M36" s="14"/>
      <c r="N36" s="47"/>
      <c r="O36" s="14"/>
      <c r="P36" s="14"/>
      <c r="Q36" s="14"/>
      <c r="R36" s="14"/>
      <c r="S36" s="15"/>
      <c r="T36" s="380"/>
      <c r="V36" s="8"/>
    </row>
    <row r="37" spans="2:22" x14ac:dyDescent="0.25">
      <c r="B37" s="382"/>
      <c r="C37" s="47" t="s">
        <v>22</v>
      </c>
      <c r="D37" s="160">
        <v>0.53800000000000003</v>
      </c>
      <c r="E37" s="160">
        <v>0.57499999999999996</v>
      </c>
      <c r="F37" s="161">
        <f t="shared" ref="F37:F70" si="5">D37/E37</f>
        <v>0.93565217391304356</v>
      </c>
      <c r="G37" s="160">
        <v>0.47699999999999998</v>
      </c>
      <c r="H37" s="161">
        <f t="shared" ref="H37:H54" si="6">E37/G37</f>
        <v>1.2054507337526206</v>
      </c>
      <c r="I37" s="149"/>
      <c r="J37" s="222"/>
      <c r="K37" s="158"/>
      <c r="L37" s="14"/>
      <c r="M37" s="14"/>
      <c r="N37" s="14"/>
      <c r="O37" s="14"/>
      <c r="P37" s="14"/>
      <c r="Q37" s="14"/>
      <c r="R37" s="14"/>
      <c r="S37" s="15"/>
      <c r="T37" s="380"/>
    </row>
    <row r="38" spans="2:22" x14ac:dyDescent="0.25">
      <c r="B38" s="382"/>
      <c r="D38" s="190"/>
      <c r="E38" s="190"/>
      <c r="F38" s="161"/>
      <c r="G38" s="190"/>
      <c r="H38" s="161"/>
      <c r="I38" s="149"/>
      <c r="J38" s="222"/>
      <c r="K38" s="14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25">
      <c r="B39" s="382"/>
      <c r="C39" s="156" t="s">
        <v>23</v>
      </c>
      <c r="D39" s="169"/>
      <c r="E39" s="169"/>
      <c r="F39" s="161"/>
      <c r="G39" s="190"/>
      <c r="H39" s="161"/>
      <c r="I39" s="149"/>
      <c r="J39" s="39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25">
      <c r="B40" s="382"/>
      <c r="C40" s="47" t="s">
        <v>24</v>
      </c>
      <c r="D40" s="160">
        <v>0</v>
      </c>
      <c r="E40" s="160">
        <v>0</v>
      </c>
      <c r="F40" s="161" t="s">
        <v>12</v>
      </c>
      <c r="G40" s="160">
        <v>1.4E-2</v>
      </c>
      <c r="H40" s="161" t="s">
        <v>12</v>
      </c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25">
      <c r="B41" s="382"/>
      <c r="C41" s="47" t="s">
        <v>25</v>
      </c>
      <c r="D41" s="160">
        <v>4.5999999999999999E-2</v>
      </c>
      <c r="E41" s="160">
        <v>3.5999999999999997E-2</v>
      </c>
      <c r="F41" s="161">
        <f t="shared" si="5"/>
        <v>1.2777777777777779</v>
      </c>
      <c r="G41" s="160">
        <v>0.13400000000000001</v>
      </c>
      <c r="H41" s="161">
        <f>E41/G41</f>
        <v>0.26865671641791039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25">
      <c r="B42" s="382"/>
      <c r="C42" s="47" t="s">
        <v>26</v>
      </c>
      <c r="D42" s="160">
        <v>0.42099999999999999</v>
      </c>
      <c r="E42" s="160">
        <v>0.39300000000000002</v>
      </c>
      <c r="F42" s="161">
        <f t="shared" si="5"/>
        <v>1.0712468193384224</v>
      </c>
      <c r="G42" s="160">
        <v>0.28399999999999997</v>
      </c>
      <c r="H42" s="161">
        <f>E42/G42</f>
        <v>1.3838028169014087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25">
      <c r="B43" s="382"/>
      <c r="C43" s="47" t="s">
        <v>27</v>
      </c>
      <c r="D43" s="160">
        <v>0.40400000000000003</v>
      </c>
      <c r="E43" s="160">
        <v>0.39600000000000002</v>
      </c>
      <c r="F43" s="161">
        <f t="shared" si="5"/>
        <v>1.0202020202020201</v>
      </c>
      <c r="G43" s="160">
        <v>0.32200000000000001</v>
      </c>
      <c r="H43" s="161">
        <f t="shared" si="6"/>
        <v>1.2298136645962734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25">
      <c r="B44" s="382"/>
      <c r="C44" s="47" t="s">
        <v>28</v>
      </c>
      <c r="D44" s="160">
        <v>0.114</v>
      </c>
      <c r="E44" s="160">
        <v>0.152</v>
      </c>
      <c r="F44" s="161">
        <f t="shared" si="5"/>
        <v>0.75</v>
      </c>
      <c r="G44" s="160">
        <v>0.17199999999999999</v>
      </c>
      <c r="H44" s="161">
        <f>E44/G44</f>
        <v>0.88372093023255816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25">
      <c r="B45" s="382"/>
      <c r="C45" s="47" t="s">
        <v>29</v>
      </c>
      <c r="D45" s="160">
        <v>1.6E-2</v>
      </c>
      <c r="E45" s="160">
        <v>2.3E-2</v>
      </c>
      <c r="F45" s="161">
        <f t="shared" si="5"/>
        <v>0.69565217391304346</v>
      </c>
      <c r="G45" s="160">
        <v>7.4999999999999997E-2</v>
      </c>
      <c r="H45" s="161">
        <f t="shared" si="6"/>
        <v>0.3066666666666667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25">
      <c r="B46" s="382"/>
      <c r="D46" s="190"/>
      <c r="E46" s="190"/>
      <c r="F46" s="161"/>
      <c r="G46" s="19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25">
      <c r="B47" s="382"/>
      <c r="C47" s="156" t="s">
        <v>30</v>
      </c>
      <c r="D47" s="169"/>
      <c r="E47" s="169"/>
      <c r="F47" s="161"/>
      <c r="G47" s="190"/>
      <c r="H47" s="170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25">
      <c r="B48" s="382"/>
      <c r="C48" s="47" t="s">
        <v>31</v>
      </c>
      <c r="D48" s="160">
        <v>0.46899999999999997</v>
      </c>
      <c r="E48" s="163">
        <v>0.47299999999999998</v>
      </c>
      <c r="F48" s="161">
        <f t="shared" ref="F48:F54" si="7">D48/E48</f>
        <v>0.9915433403805497</v>
      </c>
      <c r="G48" s="160">
        <v>0.47199999999999998</v>
      </c>
      <c r="H48" s="161">
        <f>E48/G48</f>
        <v>1.0021186440677967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32</v>
      </c>
      <c r="D49" s="160">
        <v>0.19400000000000001</v>
      </c>
      <c r="E49" s="160">
        <v>0.20399999999999999</v>
      </c>
      <c r="F49" s="161">
        <f t="shared" si="7"/>
        <v>0.95098039215686281</v>
      </c>
      <c r="G49" s="160">
        <v>0.14499999999999999</v>
      </c>
      <c r="H49" s="161">
        <f t="shared" si="6"/>
        <v>1.4068965517241379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33</v>
      </c>
      <c r="D50" s="160">
        <v>0.12</v>
      </c>
      <c r="E50" s="160">
        <v>0.128</v>
      </c>
      <c r="F50" s="161">
        <f t="shared" si="7"/>
        <v>0.9375</v>
      </c>
      <c r="G50" s="160">
        <v>0.13200000000000001</v>
      </c>
      <c r="H50" s="161">
        <f t="shared" si="6"/>
        <v>0.96969696969696972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34</v>
      </c>
      <c r="D51" s="160">
        <v>0.105</v>
      </c>
      <c r="E51" s="160">
        <v>9.2999999999999999E-2</v>
      </c>
      <c r="F51" s="161">
        <f t="shared" si="7"/>
        <v>1.129032258064516</v>
      </c>
      <c r="G51" s="160">
        <v>0.111</v>
      </c>
      <c r="H51" s="161">
        <f t="shared" si="6"/>
        <v>0.83783783783783783</v>
      </c>
      <c r="I51" s="223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35</v>
      </c>
      <c r="D52" s="160">
        <v>2.5000000000000001E-2</v>
      </c>
      <c r="E52" s="160">
        <v>2.1999999999999999E-2</v>
      </c>
      <c r="F52" s="161">
        <f t="shared" si="7"/>
        <v>1.1363636363636365</v>
      </c>
      <c r="G52" s="160">
        <v>3.5000000000000003E-2</v>
      </c>
      <c r="H52" s="161">
        <f t="shared" si="6"/>
        <v>0.62857142857142845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36</v>
      </c>
      <c r="D53" s="160">
        <v>1.6E-2</v>
      </c>
      <c r="E53" s="160">
        <v>1.4999999999999999E-2</v>
      </c>
      <c r="F53" s="161">
        <f t="shared" si="7"/>
        <v>1.0666666666666667</v>
      </c>
      <c r="G53" s="160">
        <v>2.4E-2</v>
      </c>
      <c r="H53" s="161">
        <f t="shared" si="6"/>
        <v>0.625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37</v>
      </c>
      <c r="D54" s="160">
        <v>7.0999999999999994E-2</v>
      </c>
      <c r="E54" s="160">
        <v>6.6000000000000003E-2</v>
      </c>
      <c r="F54" s="161">
        <f t="shared" si="7"/>
        <v>1.0757575757575757</v>
      </c>
      <c r="G54" s="160">
        <v>8.2000000000000003E-2</v>
      </c>
      <c r="H54" s="161">
        <f t="shared" si="6"/>
        <v>0.80487804878048785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D55" s="190"/>
      <c r="E55" s="190"/>
      <c r="F55" s="161"/>
      <c r="G55" s="190"/>
      <c r="H55" s="170"/>
      <c r="I55" s="149"/>
      <c r="J55" s="222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156" t="s">
        <v>38</v>
      </c>
      <c r="D56" s="169"/>
      <c r="E56" s="169"/>
      <c r="F56" s="161"/>
      <c r="G56" s="190"/>
      <c r="H56" s="170"/>
      <c r="I56" s="149"/>
      <c r="J56" s="222"/>
      <c r="K56" s="239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39</v>
      </c>
      <c r="D57" s="160">
        <v>0.52100000000000002</v>
      </c>
      <c r="E57" s="160">
        <v>0.38800000000000001</v>
      </c>
      <c r="F57" s="161">
        <f t="shared" si="5"/>
        <v>1.3427835051546393</v>
      </c>
      <c r="G57" s="164">
        <v>0.42099999999999999</v>
      </c>
      <c r="H57" s="165">
        <f>E57/G57</f>
        <v>0.9216152019002376</v>
      </c>
      <c r="I57" s="149"/>
      <c r="J57" s="240"/>
      <c r="K57" s="241"/>
      <c r="L57" s="16"/>
      <c r="M57" s="16"/>
      <c r="N57" s="68"/>
      <c r="O57" s="16"/>
      <c r="P57" s="16"/>
      <c r="Q57" s="16"/>
      <c r="R57" s="16"/>
      <c r="S57" s="36"/>
      <c r="T57" s="380"/>
    </row>
    <row r="58" spans="2:20" x14ac:dyDescent="0.25">
      <c r="B58" s="382"/>
      <c r="C58" s="47" t="s">
        <v>40</v>
      </c>
      <c r="D58" s="160">
        <v>4.7E-2</v>
      </c>
      <c r="E58" s="160">
        <v>4.8000000000000001E-2</v>
      </c>
      <c r="F58" s="161">
        <f t="shared" si="5"/>
        <v>0.97916666666666663</v>
      </c>
      <c r="G58" s="160">
        <v>8.5000000000000006E-2</v>
      </c>
      <c r="H58" s="165">
        <f t="shared" ref="H58:H62" si="8">E58/G58</f>
        <v>0.56470588235294117</v>
      </c>
      <c r="I58" s="149"/>
      <c r="J58" s="240"/>
      <c r="K58" s="241"/>
      <c r="L58" s="14"/>
      <c r="M58" s="16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41</v>
      </c>
      <c r="D59" s="160">
        <v>8.8999999999999996E-2</v>
      </c>
      <c r="E59" s="160">
        <v>9.1999999999999998E-2</v>
      </c>
      <c r="F59" s="161">
        <f t="shared" si="5"/>
        <v>0.96739130434782605</v>
      </c>
      <c r="G59" s="160">
        <v>0.14699999999999999</v>
      </c>
      <c r="H59" s="165">
        <f t="shared" si="8"/>
        <v>0.62585034013605445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42</v>
      </c>
      <c r="D60" s="160">
        <v>0.10299999999999999</v>
      </c>
      <c r="E60" s="160">
        <v>0.121</v>
      </c>
      <c r="F60" s="161">
        <f t="shared" si="5"/>
        <v>0.85123966942148754</v>
      </c>
      <c r="G60" s="160">
        <v>0.151</v>
      </c>
      <c r="H60" s="165">
        <f t="shared" si="8"/>
        <v>0.80132450331125826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43</v>
      </c>
      <c r="D61" s="160">
        <v>0.11899999999999999</v>
      </c>
      <c r="E61" s="160">
        <v>0.16700000000000001</v>
      </c>
      <c r="F61" s="161">
        <f t="shared" si="5"/>
        <v>0.71257485029940115</v>
      </c>
      <c r="G61" s="160">
        <v>0.13100000000000001</v>
      </c>
      <c r="H61" s="165">
        <f t="shared" si="8"/>
        <v>1.2748091603053435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44</v>
      </c>
      <c r="D62" s="160">
        <v>0.121</v>
      </c>
      <c r="E62" s="160">
        <v>0.184</v>
      </c>
      <c r="F62" s="161">
        <f t="shared" si="5"/>
        <v>0.65760869565217395</v>
      </c>
      <c r="G62" s="160">
        <v>6.6000000000000003E-2</v>
      </c>
      <c r="H62" s="165">
        <f t="shared" si="8"/>
        <v>2.7878787878787876</v>
      </c>
      <c r="J62" s="34"/>
      <c r="K62" s="239"/>
      <c r="O62" s="14"/>
      <c r="P62" s="14"/>
      <c r="Q62" s="14"/>
      <c r="R62" s="14"/>
      <c r="S62" s="15"/>
      <c r="T62" s="380"/>
    </row>
    <row r="63" spans="2:20" x14ac:dyDescent="0.25">
      <c r="B63" s="382"/>
      <c r="D63" s="190"/>
      <c r="E63" s="190"/>
      <c r="F63" s="161"/>
      <c r="G63" s="190"/>
      <c r="H63" s="170"/>
      <c r="I63" s="149"/>
      <c r="J63" s="222"/>
      <c r="K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156" t="s">
        <v>136</v>
      </c>
      <c r="D64" s="190"/>
      <c r="E64" s="190"/>
      <c r="F64" s="161"/>
      <c r="G64" s="190"/>
      <c r="H64" s="170"/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39</v>
      </c>
      <c r="D65" s="160">
        <v>0.44600000000000001</v>
      </c>
      <c r="E65" s="160">
        <v>0.222</v>
      </c>
      <c r="F65" s="161">
        <f t="shared" si="5"/>
        <v>2.0090090090090089</v>
      </c>
      <c r="G65" s="163">
        <v>0.42499999999999999</v>
      </c>
      <c r="H65" s="165">
        <f>E65/G65</f>
        <v>0.52235294117647058</v>
      </c>
      <c r="I65" s="149"/>
      <c r="J65" s="38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40</v>
      </c>
      <c r="D66" s="160">
        <v>6.6000000000000003E-2</v>
      </c>
      <c r="E66" s="160">
        <v>6.5000000000000002E-2</v>
      </c>
      <c r="F66" s="161">
        <f t="shared" si="5"/>
        <v>1.0153846153846153</v>
      </c>
      <c r="G66" s="163">
        <v>0.14199999999999999</v>
      </c>
      <c r="H66" s="165">
        <f t="shared" ref="H66:H70" si="9">E66/G66</f>
        <v>0.45774647887323949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41</v>
      </c>
      <c r="D67" s="160">
        <v>0.109</v>
      </c>
      <c r="E67" s="160">
        <v>0.13100000000000001</v>
      </c>
      <c r="F67" s="161">
        <f t="shared" si="5"/>
        <v>0.83206106870229002</v>
      </c>
      <c r="G67" s="163">
        <v>0.186</v>
      </c>
      <c r="H67" s="165">
        <f t="shared" si="9"/>
        <v>0.70430107526881724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42</v>
      </c>
      <c r="D68" s="160">
        <v>0.111</v>
      </c>
      <c r="E68" s="160">
        <v>0.155</v>
      </c>
      <c r="F68" s="161">
        <f t="shared" si="5"/>
        <v>0.71612903225806457</v>
      </c>
      <c r="G68" s="163">
        <v>0.13200000000000001</v>
      </c>
      <c r="H68" s="165">
        <f t="shared" si="9"/>
        <v>1.1742424242424241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43</v>
      </c>
      <c r="D69" s="160">
        <v>0.13600000000000001</v>
      </c>
      <c r="E69" s="160">
        <v>0.20599999999999999</v>
      </c>
      <c r="F69" s="161">
        <f t="shared" si="5"/>
        <v>0.66019417475728159</v>
      </c>
      <c r="G69" s="163">
        <v>8.2000000000000003E-2</v>
      </c>
      <c r="H69" s="165">
        <f t="shared" si="9"/>
        <v>2.5121951219512191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ht="15.75" thickBot="1" x14ac:dyDescent="0.3">
      <c r="B70" s="383"/>
      <c r="C70" s="47" t="s">
        <v>44</v>
      </c>
      <c r="D70" s="160">
        <v>0.13200000000000001</v>
      </c>
      <c r="E70" s="160">
        <v>0.221</v>
      </c>
      <c r="F70" s="161">
        <f t="shared" si="5"/>
        <v>0.59728506787330315</v>
      </c>
      <c r="G70" s="163">
        <v>3.2000000000000001E-2</v>
      </c>
      <c r="H70" s="165">
        <f t="shared" si="9"/>
        <v>6.90625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ht="15.75" thickBot="1" x14ac:dyDescent="0.3">
      <c r="B71" s="60"/>
      <c r="C71" s="45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26"/>
      <c r="T71" s="27"/>
    </row>
    <row r="72" spans="2:20" x14ac:dyDescent="0.25">
      <c r="B72" s="373" t="s">
        <v>45</v>
      </c>
      <c r="C72" s="5"/>
      <c r="D72" s="385" t="s">
        <v>46</v>
      </c>
      <c r="E72" s="385"/>
      <c r="F72" s="385" t="s">
        <v>47</v>
      </c>
      <c r="G72" s="385"/>
      <c r="H72" s="42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7"/>
      <c r="T72" s="386" t="s">
        <v>48</v>
      </c>
    </row>
    <row r="73" spans="2:20" x14ac:dyDescent="0.25">
      <c r="B73" s="374"/>
      <c r="C73" s="1"/>
      <c r="D73" s="40" t="s">
        <v>49</v>
      </c>
      <c r="E73" s="40" t="s">
        <v>50</v>
      </c>
      <c r="F73" s="40" t="s">
        <v>49</v>
      </c>
      <c r="G73" s="40" t="s">
        <v>50</v>
      </c>
      <c r="H73" s="41" t="s">
        <v>51</v>
      </c>
      <c r="I73" s="96" t="s">
        <v>52</v>
      </c>
      <c r="J73" s="97"/>
      <c r="K73" s="97"/>
      <c r="L73" s="97"/>
      <c r="M73" s="97"/>
      <c r="N73" s="97"/>
      <c r="O73" s="97"/>
      <c r="P73" s="97"/>
      <c r="Q73" s="97"/>
      <c r="R73" s="97"/>
      <c r="S73" s="99"/>
      <c r="T73" s="387"/>
    </row>
    <row r="74" spans="2:20" x14ac:dyDescent="0.25">
      <c r="B74" s="374"/>
      <c r="C74" s="2" t="s">
        <v>53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4"/>
      <c r="T74" s="387"/>
    </row>
    <row r="75" spans="2:20" x14ac:dyDescent="0.25">
      <c r="B75" s="374"/>
      <c r="C75" s="1" t="s">
        <v>54</v>
      </c>
      <c r="D75" s="167">
        <v>2175212</v>
      </c>
      <c r="E75" s="163">
        <f>D75/D77</f>
        <v>0.76838178671093993</v>
      </c>
      <c r="F75" s="168">
        <v>106626</v>
      </c>
      <c r="G75" s="160">
        <f>F75/$F$77</f>
        <v>0.71898368857930828</v>
      </c>
      <c r="H75" s="161">
        <f>G75/E75</f>
        <v>0.93571151869296598</v>
      </c>
      <c r="I75" s="163">
        <f>F75/D75</f>
        <v>4.9018670364084055E-2</v>
      </c>
      <c r="J75" s="39"/>
      <c r="K75" s="39"/>
      <c r="L75" s="14"/>
      <c r="M75" s="14"/>
      <c r="N75" s="14"/>
      <c r="O75" s="14"/>
      <c r="P75" s="14"/>
      <c r="Q75" s="14"/>
      <c r="R75" s="14"/>
      <c r="S75" s="82"/>
      <c r="T75" s="387"/>
    </row>
    <row r="76" spans="2:20" x14ac:dyDescent="0.25">
      <c r="B76" s="374"/>
      <c r="C76" s="1" t="s">
        <v>55</v>
      </c>
      <c r="D76" s="167">
        <f>SUM(D80:D86)</f>
        <v>655688</v>
      </c>
      <c r="E76" s="163">
        <f>D76/D77</f>
        <v>0.23161821328906002</v>
      </c>
      <c r="F76" s="168">
        <f>SUM(F80:F86)</f>
        <v>41675</v>
      </c>
      <c r="G76" s="160">
        <f>F76/$F$77</f>
        <v>0.28101631142069172</v>
      </c>
      <c r="H76" s="161">
        <f>G76/E76</f>
        <v>1.21327380705585</v>
      </c>
      <c r="I76" s="163">
        <f t="shared" ref="I76:I86" si="10">F76/D76</f>
        <v>6.355919278681324E-2</v>
      </c>
      <c r="J76" s="39"/>
      <c r="K76" s="39"/>
      <c r="L76" s="252"/>
      <c r="M76" s="14"/>
      <c r="N76" s="14"/>
      <c r="O76" s="14"/>
      <c r="P76" s="14"/>
      <c r="Q76" s="14"/>
      <c r="R76" s="14"/>
      <c r="S76" s="82"/>
      <c r="T76" s="387"/>
    </row>
    <row r="77" spans="2:20" x14ac:dyDescent="0.25">
      <c r="B77" s="374"/>
      <c r="C77" s="1" t="s">
        <v>53</v>
      </c>
      <c r="D77" s="167">
        <f>SUM(D75:D76)</f>
        <v>2830900</v>
      </c>
      <c r="E77" s="192"/>
      <c r="F77" s="168">
        <f>SUM(F75:F76)</f>
        <v>148301</v>
      </c>
      <c r="G77" s="169"/>
      <c r="H77" s="161"/>
      <c r="I77" s="163">
        <f t="shared" si="10"/>
        <v>5.2386520187926104E-2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25">
      <c r="B78" s="374"/>
      <c r="C78" s="1"/>
      <c r="D78" s="192"/>
      <c r="E78" s="192"/>
      <c r="F78" s="171"/>
      <c r="G78" s="169"/>
      <c r="H78" s="161"/>
      <c r="I78" s="163"/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2" t="s">
        <v>56</v>
      </c>
      <c r="D79" s="192"/>
      <c r="E79" s="192"/>
      <c r="F79" s="169"/>
      <c r="G79" s="169"/>
      <c r="H79" s="161"/>
      <c r="I79" s="163"/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" t="s">
        <v>57</v>
      </c>
      <c r="D80" s="167">
        <v>358711</v>
      </c>
      <c r="E80" s="163">
        <f>D80/$D$76</f>
        <v>0.54707574334134523</v>
      </c>
      <c r="F80" s="168">
        <v>17629</v>
      </c>
      <c r="G80" s="160">
        <f>F80/$F$76</f>
        <v>0.42301139772045593</v>
      </c>
      <c r="H80" s="161">
        <f t="shared" ref="H80:H86" si="11">G80/E80</f>
        <v>0.77322272622955623</v>
      </c>
      <c r="I80" s="163">
        <f t="shared" si="10"/>
        <v>4.914541232356967E-2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 t="s">
        <v>58</v>
      </c>
      <c r="D81" s="167">
        <v>137817</v>
      </c>
      <c r="E81" s="163">
        <f t="shared" ref="E81:E86" si="12">D81/$D$76</f>
        <v>0.21018685716377303</v>
      </c>
      <c r="F81" s="168">
        <v>11798</v>
      </c>
      <c r="G81" s="160">
        <f t="shared" ref="G81:G86" si="13">F81/$F$76</f>
        <v>0.28309538092381525</v>
      </c>
      <c r="H81" s="161">
        <f t="shared" si="11"/>
        <v>1.3468747986618093</v>
      </c>
      <c r="I81" s="163">
        <f t="shared" si="10"/>
        <v>8.5606274987846204E-2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 t="s">
        <v>59</v>
      </c>
      <c r="D82" s="167">
        <v>81806</v>
      </c>
      <c r="E82" s="163">
        <f t="shared" si="12"/>
        <v>0.12476360708141677</v>
      </c>
      <c r="F82" s="168">
        <v>8334</v>
      </c>
      <c r="G82" s="160">
        <f t="shared" si="13"/>
        <v>0.19997600479904018</v>
      </c>
      <c r="H82" s="161">
        <f t="shared" si="11"/>
        <v>1.6028392371546469</v>
      </c>
      <c r="I82" s="163">
        <f t="shared" si="10"/>
        <v>0.10187516808058089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72" t="s">
        <v>60</v>
      </c>
      <c r="D83" s="168">
        <v>7558</v>
      </c>
      <c r="E83" s="163">
        <f t="shared" si="12"/>
        <v>1.152682373323898E-2</v>
      </c>
      <c r="F83" s="174">
        <v>476</v>
      </c>
      <c r="G83" s="160">
        <f t="shared" si="13"/>
        <v>1.1421715656868626E-2</v>
      </c>
      <c r="H83" s="161">
        <f t="shared" si="11"/>
        <v>0.99088143630866299</v>
      </c>
      <c r="I83" s="163">
        <f t="shared" si="10"/>
        <v>6.2979624239216728E-2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 t="s">
        <v>61</v>
      </c>
      <c r="D84" s="167">
        <v>40885</v>
      </c>
      <c r="E84" s="163">
        <f t="shared" si="12"/>
        <v>6.2354351459840654E-2</v>
      </c>
      <c r="F84" s="168">
        <v>837</v>
      </c>
      <c r="G84" s="160">
        <f t="shared" si="13"/>
        <v>2.0083983203359329E-2</v>
      </c>
      <c r="H84" s="161">
        <f t="shared" si="11"/>
        <v>0.32209433236258461</v>
      </c>
      <c r="I84" s="163">
        <f t="shared" si="10"/>
        <v>2.0472055766173412E-2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 t="s">
        <v>62</v>
      </c>
      <c r="D85" s="167">
        <v>19562</v>
      </c>
      <c r="E85" s="163">
        <f t="shared" si="12"/>
        <v>2.9834311440807212E-2</v>
      </c>
      <c r="F85" s="168">
        <v>1714</v>
      </c>
      <c r="G85" s="160">
        <f>F85/$F$76</f>
        <v>4.1127774445110975E-2</v>
      </c>
      <c r="H85" s="161">
        <f t="shared" si="11"/>
        <v>1.3785394218569638</v>
      </c>
      <c r="I85" s="163">
        <f t="shared" si="10"/>
        <v>8.7618852878028827E-2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  <c r="W85" s="13"/>
    </row>
    <row r="86" spans="2:23" ht="15.75" thickBot="1" x14ac:dyDescent="0.3">
      <c r="B86" s="375"/>
      <c r="C86" s="9" t="s">
        <v>63</v>
      </c>
      <c r="D86" s="175">
        <v>9349</v>
      </c>
      <c r="E86" s="179">
        <f t="shared" si="12"/>
        <v>1.4258305779578092E-2</v>
      </c>
      <c r="F86" s="177">
        <v>887</v>
      </c>
      <c r="G86" s="176">
        <f t="shared" si="13"/>
        <v>2.128374325134973E-2</v>
      </c>
      <c r="H86" s="178">
        <f t="shared" si="11"/>
        <v>1.4927259648081079</v>
      </c>
      <c r="I86" s="179">
        <f t="shared" si="10"/>
        <v>9.4876457375120335E-2</v>
      </c>
      <c r="J86" s="100"/>
      <c r="K86" s="100"/>
      <c r="L86" s="18"/>
      <c r="M86" s="18"/>
      <c r="N86" s="18"/>
      <c r="O86" s="18"/>
      <c r="P86" s="18"/>
      <c r="Q86" s="18"/>
      <c r="R86" s="18"/>
      <c r="S86" s="83"/>
      <c r="T86" s="388"/>
    </row>
    <row r="87" spans="2:23" ht="15.75" thickBot="1" x14ac:dyDescent="0.3">
      <c r="C87" s="1"/>
      <c r="D87" s="8"/>
      <c r="S87" s="4"/>
      <c r="T87" s="28"/>
    </row>
    <row r="88" spans="2:23" x14ac:dyDescent="0.25">
      <c r="B88" s="373" t="s">
        <v>64</v>
      </c>
      <c r="C88" s="21" t="s">
        <v>65</v>
      </c>
      <c r="D88" s="23" t="s">
        <v>66</v>
      </c>
      <c r="E88" s="48" t="s">
        <v>67</v>
      </c>
      <c r="F88" s="48" t="s">
        <v>68</v>
      </c>
      <c r="G88" s="48" t="s">
        <v>51</v>
      </c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7"/>
      <c r="T88" s="373" t="s">
        <v>19</v>
      </c>
    </row>
    <row r="89" spans="2:23" x14ac:dyDescent="0.25">
      <c r="B89" s="374"/>
      <c r="C89" s="1" t="s">
        <v>69</v>
      </c>
      <c r="D89" s="168">
        <v>64953</v>
      </c>
      <c r="E89" s="180">
        <v>682755</v>
      </c>
      <c r="F89" s="68"/>
      <c r="I89" s="8"/>
      <c r="S89" s="4"/>
      <c r="T89" s="374"/>
    </row>
    <row r="90" spans="2:23" x14ac:dyDescent="0.25">
      <c r="B90" s="374"/>
      <c r="C90" s="1" t="s">
        <v>70</v>
      </c>
      <c r="D90" s="181">
        <f>D89/H31</f>
        <v>0.48260976171547026</v>
      </c>
      <c r="E90" s="182">
        <v>0.1731</v>
      </c>
      <c r="F90" s="68"/>
      <c r="I90" s="8"/>
      <c r="S90" s="4"/>
      <c r="T90" s="374"/>
    </row>
    <row r="91" spans="2:23" x14ac:dyDescent="0.25">
      <c r="B91" s="374"/>
      <c r="C91" s="1"/>
      <c r="D91" s="199"/>
      <c r="E91" s="200"/>
      <c r="F91" s="14"/>
      <c r="I91" s="8"/>
      <c r="S91" s="4"/>
      <c r="T91" s="374"/>
      <c r="W91" s="8"/>
    </row>
    <row r="92" spans="2:23" ht="14.45" customHeight="1" x14ac:dyDescent="0.25">
      <c r="B92" s="374"/>
      <c r="C92" s="1" t="s">
        <v>71</v>
      </c>
      <c r="D92" s="168">
        <v>148301</v>
      </c>
      <c r="E92" s="183">
        <v>1466450</v>
      </c>
      <c r="F92" s="68"/>
      <c r="I92" s="8"/>
      <c r="S92" s="4"/>
      <c r="T92" s="374"/>
      <c r="U92" s="24"/>
      <c r="W92" s="14"/>
    </row>
    <row r="93" spans="2:23" x14ac:dyDescent="0.25">
      <c r="B93" s="374"/>
      <c r="C93" s="1" t="s">
        <v>72</v>
      </c>
      <c r="D93" s="184">
        <f>D92/D89</f>
        <v>2.2832047788400844</v>
      </c>
      <c r="E93" s="161">
        <f>E92/E89</f>
        <v>2.1478421981530711</v>
      </c>
      <c r="F93" s="14"/>
      <c r="I93" s="8"/>
      <c r="S93" s="4"/>
      <c r="T93" s="374"/>
    </row>
    <row r="94" spans="2:23" x14ac:dyDescent="0.25">
      <c r="B94" s="374"/>
      <c r="C94" s="1"/>
      <c r="D94" s="202"/>
      <c r="E94" s="169"/>
      <c r="F94" s="14"/>
      <c r="I94" s="8"/>
      <c r="S94" s="4"/>
      <c r="T94" s="374"/>
      <c r="W94" s="8"/>
    </row>
    <row r="95" spans="2:23" x14ac:dyDescent="0.25">
      <c r="B95" s="374"/>
      <c r="C95" s="1" t="s">
        <v>73</v>
      </c>
      <c r="D95" s="168">
        <v>97201</v>
      </c>
      <c r="E95" s="183">
        <v>989406</v>
      </c>
      <c r="F95" s="14"/>
      <c r="I95" s="8"/>
      <c r="S95" s="4"/>
      <c r="T95" s="374"/>
      <c r="W95" s="14"/>
    </row>
    <row r="96" spans="2:23" x14ac:dyDescent="0.25">
      <c r="B96" s="374"/>
      <c r="C96" s="1" t="s">
        <v>74</v>
      </c>
      <c r="D96" s="184">
        <f>D95/D89</f>
        <v>1.4964820716518097</v>
      </c>
      <c r="E96" s="165">
        <f>E95/E89</f>
        <v>1.4491376848210558</v>
      </c>
      <c r="F96" s="14"/>
      <c r="S96" s="4"/>
      <c r="T96" s="374"/>
    </row>
    <row r="97" spans="2:20" ht="15.75" thickBot="1" x14ac:dyDescent="0.3">
      <c r="B97" s="375"/>
      <c r="C97" s="9" t="s">
        <v>75</v>
      </c>
      <c r="D97" s="185">
        <f>D92/D95</f>
        <v>1.5257147560210287</v>
      </c>
      <c r="E97" s="186">
        <f>E92/E95</f>
        <v>1.4821519174130742</v>
      </c>
      <c r="F97" s="18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11"/>
      <c r="T97" s="375"/>
    </row>
    <row r="98" spans="2:20" x14ac:dyDescent="0.25">
      <c r="D98" s="37"/>
      <c r="E98" s="22"/>
      <c r="F98" s="14"/>
    </row>
    <row r="99" spans="2:20" s="35" customFormat="1" x14ac:dyDescent="0.25">
      <c r="B99" s="47"/>
      <c r="C99" s="78"/>
      <c r="D99" s="8"/>
      <c r="E99" s="13"/>
    </row>
    <row r="100" spans="2:20" s="35" customFormat="1" x14ac:dyDescent="0.25">
      <c r="B100" s="47"/>
      <c r="C100" s="78"/>
      <c r="D100" s="8"/>
      <c r="E100" s="34"/>
    </row>
    <row r="101" spans="2:20" s="35" customFormat="1" x14ac:dyDescent="0.25">
      <c r="B101" s="47"/>
      <c r="C101" s="78"/>
      <c r="D101" s="8"/>
      <c r="E101" s="34"/>
    </row>
    <row r="102" spans="2:20" s="35" customFormat="1" x14ac:dyDescent="0.25">
      <c r="B102" s="47"/>
      <c r="C102" s="78"/>
      <c r="D102" s="8"/>
      <c r="E102" s="34"/>
    </row>
    <row r="103" spans="2:20" s="35" customFormat="1" x14ac:dyDescent="0.25">
      <c r="B103" s="47"/>
      <c r="C103" s="78"/>
      <c r="D103" s="8"/>
      <c r="E103" s="78"/>
    </row>
    <row r="104" spans="2:20" s="35" customFormat="1" x14ac:dyDescent="0.25">
      <c r="B104" s="47"/>
      <c r="C104" s="78"/>
      <c r="D104" s="8"/>
      <c r="E104" s="34"/>
    </row>
  </sheetData>
  <mergeCells count="15">
    <mergeCell ref="C2:S2"/>
    <mergeCell ref="D3:J3"/>
    <mergeCell ref="K3:M3"/>
    <mergeCell ref="N3:P3"/>
    <mergeCell ref="Q3:S3"/>
    <mergeCell ref="B88:B97"/>
    <mergeCell ref="T88:T97"/>
    <mergeCell ref="B4:B32"/>
    <mergeCell ref="B34:B70"/>
    <mergeCell ref="T34:T70"/>
    <mergeCell ref="B72:B86"/>
    <mergeCell ref="D72:E72"/>
    <mergeCell ref="F72:G72"/>
    <mergeCell ref="T72:T86"/>
    <mergeCell ref="T3:T3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3183-2325-4A49-A68D-B9D54D8B0B76}">
  <sheetPr codeName="Sheet28">
    <tabColor theme="7"/>
  </sheetPr>
  <dimension ref="A1:W105"/>
  <sheetViews>
    <sheetView topLeftCell="A79" zoomScaleNormal="100" workbookViewId="0">
      <selection activeCell="F78" sqref="F78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153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10327</v>
      </c>
      <c r="F22" s="246">
        <v>7377</v>
      </c>
      <c r="G22" s="258">
        <v>6236</v>
      </c>
      <c r="H22" s="246">
        <v>92600</v>
      </c>
      <c r="I22" s="246">
        <f t="shared" ref="I22:I32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28" si="2">H22</f>
        <v>92600</v>
      </c>
      <c r="E23" s="246">
        <v>7983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9226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2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14385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11560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13848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22235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>H28</f>
        <v>131596</v>
      </c>
      <c r="E29" s="246">
        <v>14570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>H29</f>
        <v>135723</v>
      </c>
      <c r="E30" s="220">
        <v>8565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>H30</f>
        <v>133491</v>
      </c>
      <c r="E31" s="220">
        <v>8472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>H31</f>
        <v>133068</v>
      </c>
      <c r="E32" s="220">
        <v>11034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8540</v>
      </c>
      <c r="L32" s="228">
        <v>0.56000000000000005</v>
      </c>
      <c r="M32" s="228">
        <v>0.44</v>
      </c>
      <c r="N32" s="220">
        <v>2260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2:22" ht="15.75" thickBot="1" x14ac:dyDescent="0.3">
      <c r="B33" s="391"/>
      <c r="C33" s="88" t="s">
        <v>78</v>
      </c>
      <c r="D33" s="135"/>
      <c r="E33" s="135">
        <f>SUM(E5:E32)</f>
        <v>269227</v>
      </c>
      <c r="F33" s="135">
        <f>SUM(F5:F32)</f>
        <v>205685.52000000002</v>
      </c>
      <c r="G33" s="135">
        <f>SUM(G5:G32)</f>
        <v>135065</v>
      </c>
      <c r="H33" s="135"/>
      <c r="I33" s="136"/>
      <c r="J33" s="136"/>
      <c r="K33" s="135">
        <f>SUM(K5:K32)</f>
        <v>251551</v>
      </c>
      <c r="L33" s="136"/>
      <c r="M33" s="136"/>
      <c r="N33" s="135">
        <f>SUM(N17:N32)</f>
        <v>19673</v>
      </c>
      <c r="O33" s="135"/>
      <c r="P33" s="136"/>
      <c r="Q33" s="113">
        <f>SUM(Q20:Q32)</f>
        <v>2283</v>
      </c>
      <c r="R33" s="93"/>
      <c r="S33" s="112"/>
      <c r="T33" s="375"/>
      <c r="U33" s="8"/>
      <c r="V33" s="142"/>
    </row>
    <row r="34" spans="2:22" ht="15.75" thickBot="1" x14ac:dyDescent="0.3">
      <c r="C34" s="45"/>
      <c r="D34" s="25"/>
      <c r="E34" s="50"/>
      <c r="F34" s="50"/>
      <c r="G34" s="50"/>
      <c r="H34" s="50"/>
      <c r="I34" s="50"/>
      <c r="J34" s="238"/>
      <c r="K34" s="50"/>
      <c r="L34" s="50"/>
      <c r="M34" s="50"/>
      <c r="N34" s="50"/>
      <c r="O34" s="50"/>
      <c r="P34" s="50"/>
      <c r="Q34" s="50"/>
      <c r="R34" s="50"/>
      <c r="S34" s="51"/>
      <c r="T34" s="27"/>
      <c r="V34" s="142"/>
    </row>
    <row r="35" spans="2:22" x14ac:dyDescent="0.25">
      <c r="B35" s="381" t="s">
        <v>13</v>
      </c>
      <c r="C35" s="94"/>
      <c r="D35" s="48" t="s">
        <v>87</v>
      </c>
      <c r="E35" s="48" t="s">
        <v>15</v>
      </c>
      <c r="F35" s="48" t="s">
        <v>88</v>
      </c>
      <c r="G35" s="48" t="s">
        <v>138</v>
      </c>
      <c r="H35" s="48" t="s">
        <v>18</v>
      </c>
      <c r="I35" s="94"/>
      <c r="J35" s="116"/>
      <c r="K35" s="116"/>
      <c r="L35" s="94"/>
      <c r="M35" s="94"/>
      <c r="N35" s="94"/>
      <c r="O35" s="94"/>
      <c r="Q35" s="94"/>
      <c r="R35" s="94"/>
      <c r="S35" s="49"/>
      <c r="T35" s="380" t="s">
        <v>19</v>
      </c>
      <c r="V35" s="142"/>
    </row>
    <row r="36" spans="2:22" x14ac:dyDescent="0.25">
      <c r="B36" s="382"/>
      <c r="C36" s="156" t="s">
        <v>20</v>
      </c>
      <c r="D36" s="47"/>
      <c r="E36" s="47"/>
      <c r="F36" s="47"/>
      <c r="G36" s="47"/>
      <c r="I36" s="154"/>
      <c r="L36" s="47"/>
      <c r="M36" s="254"/>
      <c r="O36" s="47"/>
      <c r="P36" s="47"/>
      <c r="Q36" s="47"/>
      <c r="R36" s="47"/>
      <c r="S36" s="12"/>
      <c r="T36" s="380"/>
      <c r="V36" s="8"/>
    </row>
    <row r="37" spans="2:22" x14ac:dyDescent="0.25">
      <c r="B37" s="382"/>
      <c r="C37" s="47" t="s">
        <v>21</v>
      </c>
      <c r="D37" s="160">
        <v>0.45800000000000002</v>
      </c>
      <c r="E37" s="160">
        <v>0.42699999999999999</v>
      </c>
      <c r="F37" s="161">
        <f>D37/E37</f>
        <v>1.0725995316159251</v>
      </c>
      <c r="G37" s="160">
        <v>0.52400000000000002</v>
      </c>
      <c r="H37" s="161">
        <f>E37/G37</f>
        <v>0.81488549618320605</v>
      </c>
      <c r="I37" s="149"/>
      <c r="J37" s="222"/>
      <c r="K37" s="158"/>
      <c r="L37" s="158"/>
      <c r="M37" s="14"/>
      <c r="N37" s="47"/>
      <c r="O37" s="14"/>
      <c r="P37" s="14"/>
      <c r="Q37" s="14"/>
      <c r="R37" s="14"/>
      <c r="S37" s="15"/>
      <c r="T37" s="380"/>
      <c r="V37" s="8"/>
    </row>
    <row r="38" spans="2:22" x14ac:dyDescent="0.25">
      <c r="B38" s="382"/>
      <c r="C38" s="47" t="s">
        <v>22</v>
      </c>
      <c r="D38" s="160">
        <v>0.54200000000000004</v>
      </c>
      <c r="E38" s="160">
        <v>0.57299999999999995</v>
      </c>
      <c r="F38" s="161">
        <f t="shared" ref="F38:F71" si="4">D38/E38</f>
        <v>0.94589877835951153</v>
      </c>
      <c r="G38" s="160">
        <v>0.47599999999999998</v>
      </c>
      <c r="H38" s="161">
        <f t="shared" ref="H38:H55" si="5">E38/G38</f>
        <v>1.203781512605042</v>
      </c>
      <c r="I38" s="149"/>
      <c r="J38" s="222"/>
      <c r="K38" s="158"/>
      <c r="L38" s="14"/>
      <c r="M38" s="14"/>
      <c r="N38" s="14"/>
      <c r="O38" s="14"/>
      <c r="P38" s="14"/>
      <c r="Q38" s="14"/>
      <c r="R38" s="14"/>
      <c r="S38" s="15"/>
      <c r="T38" s="380"/>
    </row>
    <row r="39" spans="2:22" x14ac:dyDescent="0.25">
      <c r="B39" s="382"/>
      <c r="D39" s="190"/>
      <c r="E39" s="190"/>
      <c r="F39" s="161"/>
      <c r="G39" s="190"/>
      <c r="H39" s="161"/>
      <c r="I39" s="149"/>
      <c r="J39" s="222"/>
      <c r="K39" s="14"/>
      <c r="L39" s="14"/>
      <c r="M39" s="14"/>
      <c r="N39" s="14"/>
      <c r="O39" s="14"/>
      <c r="P39" s="14"/>
      <c r="Q39" s="14"/>
      <c r="R39" s="14"/>
      <c r="S39" s="15"/>
      <c r="T39" s="380"/>
    </row>
    <row r="40" spans="2:22" x14ac:dyDescent="0.25">
      <c r="B40" s="382"/>
      <c r="C40" s="156" t="s">
        <v>23</v>
      </c>
      <c r="D40" s="169"/>
      <c r="E40" s="169"/>
      <c r="F40" s="161"/>
      <c r="G40" s="190"/>
      <c r="H40" s="161"/>
      <c r="I40" s="149"/>
      <c r="J40" s="39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2:22" x14ac:dyDescent="0.25">
      <c r="B41" s="382"/>
      <c r="C41" s="47" t="s">
        <v>24</v>
      </c>
      <c r="D41" s="160">
        <v>0</v>
      </c>
      <c r="E41" s="160">
        <v>0</v>
      </c>
      <c r="F41" s="161" t="s">
        <v>12</v>
      </c>
      <c r="G41" s="160">
        <v>1.4E-2</v>
      </c>
      <c r="H41" s="161" t="s">
        <v>12</v>
      </c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2:22" x14ac:dyDescent="0.25">
      <c r="B42" s="382"/>
      <c r="C42" s="47" t="s">
        <v>25</v>
      </c>
      <c r="D42" s="160">
        <v>4.5999999999999999E-2</v>
      </c>
      <c r="E42" s="160">
        <v>3.5999999999999997E-2</v>
      </c>
      <c r="F42" s="161">
        <f t="shared" si="4"/>
        <v>1.2777777777777779</v>
      </c>
      <c r="G42" s="160">
        <v>0.13200000000000001</v>
      </c>
      <c r="H42" s="161">
        <f>E42/G42</f>
        <v>0.27272727272727271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2:22" x14ac:dyDescent="0.25">
      <c r="B43" s="382"/>
      <c r="C43" s="47" t="s">
        <v>26</v>
      </c>
      <c r="D43" s="160">
        <v>0.41799999999999998</v>
      </c>
      <c r="E43" s="160">
        <v>0.39300000000000002</v>
      </c>
      <c r="F43" s="161">
        <f t="shared" si="4"/>
        <v>1.0636132315521627</v>
      </c>
      <c r="G43" s="160">
        <v>0.28399999999999997</v>
      </c>
      <c r="H43" s="161">
        <f>E43/G43</f>
        <v>1.3838028169014087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2:22" x14ac:dyDescent="0.25">
      <c r="B44" s="382"/>
      <c r="C44" s="47" t="s">
        <v>27</v>
      </c>
      <c r="D44" s="160">
        <v>0.39800000000000002</v>
      </c>
      <c r="E44" s="160">
        <v>0.39600000000000002</v>
      </c>
      <c r="F44" s="161">
        <f t="shared" si="4"/>
        <v>1.005050505050505</v>
      </c>
      <c r="G44" s="160">
        <v>0.32200000000000001</v>
      </c>
      <c r="H44" s="161">
        <f t="shared" si="5"/>
        <v>1.2298136645962734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2:22" x14ac:dyDescent="0.25">
      <c r="B45" s="382"/>
      <c r="C45" s="47" t="s">
        <v>28</v>
      </c>
      <c r="D45" s="160">
        <v>0.12</v>
      </c>
      <c r="E45" s="160">
        <v>0.151</v>
      </c>
      <c r="F45" s="161">
        <f t="shared" si="4"/>
        <v>0.79470198675496684</v>
      </c>
      <c r="G45" s="160">
        <v>0.17199999999999999</v>
      </c>
      <c r="H45" s="161">
        <f>E45/G45</f>
        <v>0.87790697674418605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2:22" x14ac:dyDescent="0.25">
      <c r="B46" s="382"/>
      <c r="C46" s="47" t="s">
        <v>29</v>
      </c>
      <c r="D46" s="160">
        <v>1.7999999999999999E-2</v>
      </c>
      <c r="E46" s="160">
        <v>2.3E-2</v>
      </c>
      <c r="F46" s="161">
        <f t="shared" si="4"/>
        <v>0.78260869565217384</v>
      </c>
      <c r="G46" s="160">
        <v>7.5999999999999998E-2</v>
      </c>
      <c r="H46" s="161">
        <f t="shared" si="5"/>
        <v>0.30263157894736842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2:22" x14ac:dyDescent="0.25">
      <c r="B47" s="382"/>
      <c r="D47" s="190"/>
      <c r="E47" s="190"/>
      <c r="F47" s="161"/>
      <c r="G47" s="190"/>
      <c r="H47" s="161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2:22" x14ac:dyDescent="0.25">
      <c r="B48" s="382"/>
      <c r="C48" s="156" t="s">
        <v>30</v>
      </c>
      <c r="D48" s="169"/>
      <c r="E48" s="169"/>
      <c r="F48" s="161"/>
      <c r="G48" s="190"/>
      <c r="H48" s="161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31</v>
      </c>
      <c r="D49" s="160">
        <v>0.48099999999999998</v>
      </c>
      <c r="E49" s="163">
        <v>0.47299999999999998</v>
      </c>
      <c r="F49" s="161">
        <f t="shared" ref="F49:F55" si="6">D49/E49</f>
        <v>1.0169133192389006</v>
      </c>
      <c r="G49" s="160">
        <v>0.47</v>
      </c>
      <c r="H49" s="161">
        <f>E49/G49</f>
        <v>1.0063829787234042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32</v>
      </c>
      <c r="D50" s="160">
        <v>0.19900000000000001</v>
      </c>
      <c r="E50" s="160">
        <v>0.20300000000000001</v>
      </c>
      <c r="F50" s="161">
        <f t="shared" si="6"/>
        <v>0.98029556650246308</v>
      </c>
      <c r="G50" s="160">
        <v>0.14499999999999999</v>
      </c>
      <c r="H50" s="161">
        <f t="shared" si="5"/>
        <v>1.4000000000000001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33</v>
      </c>
      <c r="D51" s="160">
        <v>0.124</v>
      </c>
      <c r="E51" s="160">
        <v>0.127</v>
      </c>
      <c r="F51" s="161">
        <f t="shared" si="6"/>
        <v>0.97637795275590544</v>
      </c>
      <c r="G51" s="160">
        <v>0.13200000000000001</v>
      </c>
      <c r="H51" s="161">
        <f t="shared" si="5"/>
        <v>0.96212121212121204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34</v>
      </c>
      <c r="D52" s="160">
        <v>0.1</v>
      </c>
      <c r="E52" s="160">
        <v>9.2999999999999999E-2</v>
      </c>
      <c r="F52" s="161">
        <f t="shared" si="6"/>
        <v>1.0752688172043012</v>
      </c>
      <c r="G52" s="160">
        <v>0.112</v>
      </c>
      <c r="H52" s="161">
        <f t="shared" si="5"/>
        <v>0.83035714285714279</v>
      </c>
      <c r="I52" s="223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35</v>
      </c>
      <c r="D53" s="160">
        <v>2.5000000000000001E-2</v>
      </c>
      <c r="E53" s="160">
        <v>2.1999999999999999E-2</v>
      </c>
      <c r="F53" s="161">
        <f t="shared" si="6"/>
        <v>1.1363636363636365</v>
      </c>
      <c r="G53" s="160">
        <v>3.5000000000000003E-2</v>
      </c>
      <c r="H53" s="161">
        <f t="shared" si="5"/>
        <v>0.62857142857142845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36</v>
      </c>
      <c r="D54" s="160">
        <v>1.4999999999999999E-2</v>
      </c>
      <c r="E54" s="160">
        <v>1.4999999999999999E-2</v>
      </c>
      <c r="F54" s="161">
        <f t="shared" si="6"/>
        <v>1</v>
      </c>
      <c r="G54" s="160">
        <v>2.4E-2</v>
      </c>
      <c r="H54" s="161">
        <f t="shared" si="5"/>
        <v>0.625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37</v>
      </c>
      <c r="D55" s="160">
        <v>5.7000000000000002E-2</v>
      </c>
      <c r="E55" s="160">
        <v>6.5000000000000002E-2</v>
      </c>
      <c r="F55" s="161">
        <f t="shared" si="6"/>
        <v>0.87692307692307692</v>
      </c>
      <c r="G55" s="160">
        <v>8.2000000000000003E-2</v>
      </c>
      <c r="H55" s="161">
        <f t="shared" si="5"/>
        <v>0.79268292682926833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D56" s="190"/>
      <c r="E56" s="190"/>
      <c r="F56" s="161"/>
      <c r="G56" s="190"/>
      <c r="H56" s="161"/>
      <c r="I56" s="149"/>
      <c r="J56" s="222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156" t="s">
        <v>38</v>
      </c>
      <c r="D57" s="169"/>
      <c r="E57" s="169"/>
      <c r="F57" s="161"/>
      <c r="G57" s="190"/>
      <c r="H57" s="161"/>
      <c r="I57" s="149"/>
      <c r="J57" s="222"/>
      <c r="K57" s="239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39</v>
      </c>
      <c r="D58" s="160">
        <v>0.54300000000000004</v>
      </c>
      <c r="E58" s="160">
        <v>0.39500000000000002</v>
      </c>
      <c r="F58" s="161">
        <f t="shared" si="4"/>
        <v>1.3746835443037975</v>
      </c>
      <c r="G58" s="164">
        <v>0.42699999999999999</v>
      </c>
      <c r="H58" s="165">
        <f>E58/G58</f>
        <v>0.92505854800936771</v>
      </c>
      <c r="I58" s="149"/>
      <c r="J58" s="240"/>
      <c r="K58" s="241"/>
      <c r="L58" s="16"/>
      <c r="M58" s="16"/>
      <c r="N58" s="68"/>
      <c r="O58" s="16"/>
      <c r="P58" s="16"/>
      <c r="Q58" s="16"/>
      <c r="R58" s="16"/>
      <c r="S58" s="36"/>
      <c r="T58" s="380"/>
    </row>
    <row r="59" spans="2:20" x14ac:dyDescent="0.25">
      <c r="B59" s="382"/>
      <c r="C59" s="47" t="s">
        <v>40</v>
      </c>
      <c r="D59" s="160">
        <v>4.3999999999999997E-2</v>
      </c>
      <c r="E59" s="160">
        <v>4.8000000000000001E-2</v>
      </c>
      <c r="F59" s="161">
        <f t="shared" si="4"/>
        <v>0.91666666666666663</v>
      </c>
      <c r="G59" s="160">
        <v>8.5000000000000006E-2</v>
      </c>
      <c r="H59" s="165">
        <f t="shared" ref="H59:H63" si="7">E59/G59</f>
        <v>0.56470588235294117</v>
      </c>
      <c r="I59" s="149"/>
      <c r="J59" s="240"/>
      <c r="K59" s="241"/>
      <c r="L59" s="14"/>
      <c r="M59" s="16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41</v>
      </c>
      <c r="D60" s="160">
        <v>7.0999999999999994E-2</v>
      </c>
      <c r="E60" s="160">
        <v>9.0999999999999998E-2</v>
      </c>
      <c r="F60" s="161">
        <f t="shared" si="4"/>
        <v>0.78021978021978022</v>
      </c>
      <c r="G60" s="160">
        <v>0.14599999999999999</v>
      </c>
      <c r="H60" s="165">
        <f t="shared" si="7"/>
        <v>0.62328767123287676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42</v>
      </c>
      <c r="D61" s="160">
        <v>0.10199999999999999</v>
      </c>
      <c r="E61" s="160">
        <v>0.12</v>
      </c>
      <c r="F61" s="161">
        <f t="shared" si="4"/>
        <v>0.85</v>
      </c>
      <c r="G61" s="160">
        <v>0.14899999999999999</v>
      </c>
      <c r="H61" s="165">
        <f t="shared" si="7"/>
        <v>0.80536912751677858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43</v>
      </c>
      <c r="D62" s="160">
        <v>0.12</v>
      </c>
      <c r="E62" s="160">
        <v>0.16500000000000001</v>
      </c>
      <c r="F62" s="161">
        <f t="shared" si="4"/>
        <v>0.72727272727272718</v>
      </c>
      <c r="G62" s="160">
        <v>0.129</v>
      </c>
      <c r="H62" s="165">
        <f t="shared" si="7"/>
        <v>1.2790697674418605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44</v>
      </c>
      <c r="D63" s="160">
        <v>0.121</v>
      </c>
      <c r="E63" s="160">
        <v>0.18099999999999999</v>
      </c>
      <c r="F63" s="161">
        <f t="shared" si="4"/>
        <v>0.66850828729281764</v>
      </c>
      <c r="G63" s="160">
        <v>6.5000000000000002E-2</v>
      </c>
      <c r="H63" s="165">
        <f t="shared" si="7"/>
        <v>2.7846153846153845</v>
      </c>
      <c r="J63" s="34"/>
      <c r="K63" s="239"/>
      <c r="O63" s="14"/>
      <c r="P63" s="14"/>
      <c r="Q63" s="14"/>
      <c r="R63" s="14"/>
      <c r="S63" s="15"/>
      <c r="T63" s="380"/>
    </row>
    <row r="64" spans="2:20" x14ac:dyDescent="0.25">
      <c r="B64" s="382"/>
      <c r="D64" s="190"/>
      <c r="E64" s="190"/>
      <c r="F64" s="161"/>
      <c r="G64" s="190"/>
      <c r="H64" s="161"/>
      <c r="I64" s="149"/>
      <c r="J64" s="222"/>
      <c r="K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156" t="s">
        <v>136</v>
      </c>
      <c r="D65" s="190"/>
      <c r="E65" s="190"/>
      <c r="F65" s="161"/>
      <c r="G65" s="190"/>
      <c r="H65" s="161"/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39</v>
      </c>
      <c r="D66" s="160">
        <v>0.45800000000000002</v>
      </c>
      <c r="E66" s="160">
        <v>0.23400000000000001</v>
      </c>
      <c r="F66" s="161">
        <f t="shared" si="4"/>
        <v>1.9572649572649572</v>
      </c>
      <c r="G66" s="163">
        <v>0.434</v>
      </c>
      <c r="H66" s="165">
        <f>E66/G66</f>
        <v>0.53917050691244239</v>
      </c>
      <c r="I66" s="149"/>
      <c r="J66" s="38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40</v>
      </c>
      <c r="D67" s="160">
        <v>0.06</v>
      </c>
      <c r="E67" s="160">
        <v>6.5000000000000002E-2</v>
      </c>
      <c r="F67" s="161">
        <f t="shared" si="4"/>
        <v>0.92307692307692302</v>
      </c>
      <c r="G67" s="163">
        <v>0.14099999999999999</v>
      </c>
      <c r="H67" s="165">
        <f t="shared" ref="H67:H71" si="8">E67/G67</f>
        <v>0.46099290780141849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41</v>
      </c>
      <c r="D68" s="160">
        <v>0.10199999999999999</v>
      </c>
      <c r="E68" s="160">
        <v>0.13</v>
      </c>
      <c r="F68" s="161">
        <f t="shared" si="4"/>
        <v>0.78461538461538449</v>
      </c>
      <c r="G68" s="163">
        <v>0.184</v>
      </c>
      <c r="H68" s="165">
        <f t="shared" si="8"/>
        <v>0.70652173913043481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42</v>
      </c>
      <c r="D69" s="160">
        <v>0.113</v>
      </c>
      <c r="E69" s="160">
        <v>0.153</v>
      </c>
      <c r="F69" s="161">
        <f t="shared" si="4"/>
        <v>0.73856209150326801</v>
      </c>
      <c r="G69" s="163">
        <v>0.13</v>
      </c>
      <c r="H69" s="165">
        <f t="shared" si="8"/>
        <v>1.176923076923077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43</v>
      </c>
      <c r="D70" s="160">
        <v>0.13800000000000001</v>
      </c>
      <c r="E70" s="160">
        <v>0.20200000000000001</v>
      </c>
      <c r="F70" s="161">
        <f t="shared" si="4"/>
        <v>0.68316831683168322</v>
      </c>
      <c r="G70" s="163">
        <v>0.08</v>
      </c>
      <c r="H70" s="165">
        <f t="shared" si="8"/>
        <v>2.5249999999999999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ht="15.75" thickBot="1" x14ac:dyDescent="0.3">
      <c r="B71" s="383"/>
      <c r="C71" s="47" t="s">
        <v>44</v>
      </c>
      <c r="D71" s="160">
        <v>0.129</v>
      </c>
      <c r="E71" s="160">
        <v>0.216</v>
      </c>
      <c r="F71" s="161">
        <f t="shared" si="4"/>
        <v>0.59722222222222221</v>
      </c>
      <c r="G71" s="163">
        <v>3.1E-2</v>
      </c>
      <c r="H71" s="165">
        <f t="shared" si="8"/>
        <v>6.967741935483871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ht="15.75" thickBot="1" x14ac:dyDescent="0.3">
      <c r="B72" s="60"/>
      <c r="C72" s="45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26"/>
      <c r="T72" s="27"/>
    </row>
    <row r="73" spans="2:20" x14ac:dyDescent="0.25">
      <c r="B73" s="373" t="s">
        <v>45</v>
      </c>
      <c r="C73" s="5"/>
      <c r="D73" s="385" t="s">
        <v>46</v>
      </c>
      <c r="E73" s="385"/>
      <c r="F73" s="385" t="s">
        <v>47</v>
      </c>
      <c r="G73" s="385"/>
      <c r="H73" s="42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7"/>
      <c r="T73" s="386" t="s">
        <v>48</v>
      </c>
    </row>
    <row r="74" spans="2:20" x14ac:dyDescent="0.25">
      <c r="B74" s="374"/>
      <c r="C74" s="1"/>
      <c r="D74" s="40" t="s">
        <v>49</v>
      </c>
      <c r="E74" s="40" t="s">
        <v>50</v>
      </c>
      <c r="F74" s="40" t="s">
        <v>49</v>
      </c>
      <c r="G74" s="40" t="s">
        <v>50</v>
      </c>
      <c r="H74" s="41" t="s">
        <v>51</v>
      </c>
      <c r="I74" s="96" t="s">
        <v>52</v>
      </c>
      <c r="J74" s="97"/>
      <c r="K74" s="97"/>
      <c r="L74" s="97"/>
      <c r="M74" s="97"/>
      <c r="N74" s="97"/>
      <c r="O74" s="97"/>
      <c r="P74" s="97"/>
      <c r="Q74" s="97"/>
      <c r="R74" s="97"/>
      <c r="S74" s="99"/>
      <c r="T74" s="387"/>
    </row>
    <row r="75" spans="2:20" x14ac:dyDescent="0.25">
      <c r="B75" s="374"/>
      <c r="C75" s="2" t="s">
        <v>53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4"/>
      <c r="T75" s="387"/>
    </row>
    <row r="76" spans="2:20" x14ac:dyDescent="0.25">
      <c r="B76" s="374"/>
      <c r="C76" s="1" t="s">
        <v>54</v>
      </c>
      <c r="D76" s="193">
        <v>1886826</v>
      </c>
      <c r="E76" s="191">
        <f>D76/D78</f>
        <v>0.69853364747416258</v>
      </c>
      <c r="F76" s="8">
        <v>119291</v>
      </c>
      <c r="G76" s="13">
        <f>F76/$F$78</f>
        <v>0.5939189660151154</v>
      </c>
      <c r="H76" s="14">
        <f>G76/E76</f>
        <v>0.85023673256495969</v>
      </c>
      <c r="I76" s="191">
        <f>F76/D76</f>
        <v>6.3223105893177214E-2</v>
      </c>
      <c r="J76" s="39"/>
      <c r="K76" s="39"/>
      <c r="L76" s="14"/>
      <c r="M76" s="14"/>
      <c r="N76" s="14"/>
      <c r="O76" s="14"/>
      <c r="P76" s="14"/>
      <c r="Q76" s="14"/>
      <c r="R76" s="14"/>
      <c r="S76" s="82"/>
      <c r="T76" s="387"/>
    </row>
    <row r="77" spans="2:20" x14ac:dyDescent="0.25">
      <c r="B77" s="374"/>
      <c r="C77" s="1" t="s">
        <v>55</v>
      </c>
      <c r="D77" s="193">
        <f>SUM(D81:D87)</f>
        <v>814298</v>
      </c>
      <c r="E77" s="191">
        <f>D77/D78</f>
        <v>0.30146635252583737</v>
      </c>
      <c r="F77" s="8">
        <f>SUM(F81:F87)</f>
        <v>81563</v>
      </c>
      <c r="G77" s="13">
        <f>F77/$F$78</f>
        <v>0.40608103398488454</v>
      </c>
      <c r="H77" s="14">
        <f>G77/E77</f>
        <v>1.3470194288103217</v>
      </c>
      <c r="I77" s="191">
        <f t="shared" ref="I77:I87" si="9">F77/D77</f>
        <v>0.10016357647937242</v>
      </c>
      <c r="J77" s="39"/>
      <c r="K77" s="39"/>
      <c r="L77" s="252"/>
      <c r="M77" s="14"/>
      <c r="N77" s="14"/>
      <c r="O77" s="14"/>
      <c r="P77" s="14"/>
      <c r="Q77" s="14"/>
      <c r="R77" s="14"/>
      <c r="S77" s="82"/>
      <c r="T77" s="387"/>
    </row>
    <row r="78" spans="2:20" x14ac:dyDescent="0.25">
      <c r="B78" s="374"/>
      <c r="C78" s="1" t="s">
        <v>53</v>
      </c>
      <c r="D78" s="193">
        <f>SUM(D76:D77)</f>
        <v>2701124</v>
      </c>
      <c r="E78" s="192"/>
      <c r="F78" s="8">
        <f>SUM(F76:F77)</f>
        <v>200854</v>
      </c>
      <c r="G78" s="169"/>
      <c r="H78" s="170"/>
      <c r="I78" s="191">
        <f t="shared" si="9"/>
        <v>7.4359414821385472E-2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1"/>
      <c r="D79" s="192"/>
      <c r="E79" s="192"/>
      <c r="F79" s="171"/>
      <c r="G79" s="169"/>
      <c r="H79" s="170"/>
      <c r="I79" s="192"/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2" t="s">
        <v>56</v>
      </c>
      <c r="D80" s="192"/>
      <c r="E80" s="192"/>
      <c r="F80" s="169"/>
      <c r="G80" s="169"/>
      <c r="H80" s="170"/>
      <c r="I80" s="192"/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 t="s">
        <v>57</v>
      </c>
      <c r="D81" s="193">
        <v>338184</v>
      </c>
      <c r="E81" s="191">
        <f>D81/$D$77</f>
        <v>0.41530741816877853</v>
      </c>
      <c r="F81" s="8">
        <v>31148</v>
      </c>
      <c r="G81" s="13">
        <f>F81/$F$77</f>
        <v>0.38188884665841127</v>
      </c>
      <c r="H81" s="14">
        <f t="shared" ref="H81:H87" si="10">G81/E81</f>
        <v>0.91953292898614647</v>
      </c>
      <c r="I81" s="38">
        <f t="shared" si="9"/>
        <v>9.2103706857805223E-2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 t="s">
        <v>58</v>
      </c>
      <c r="D82" s="193">
        <v>147380</v>
      </c>
      <c r="E82" s="191">
        <f t="shared" ref="E82:E87" si="11">D82/$D$77</f>
        <v>0.18099025172602659</v>
      </c>
      <c r="F82" s="8">
        <v>18731</v>
      </c>
      <c r="G82" s="13">
        <f t="shared" ref="G82:G87" si="12">F82/$F$77</f>
        <v>0.22965069945931366</v>
      </c>
      <c r="H82" s="14">
        <f t="shared" si="10"/>
        <v>1.2688567327203162</v>
      </c>
      <c r="I82" s="38">
        <f t="shared" si="9"/>
        <v>0.12709322838919798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 t="s">
        <v>59</v>
      </c>
      <c r="D83" s="193">
        <v>88011</v>
      </c>
      <c r="E83" s="191">
        <f t="shared" si="11"/>
        <v>0.10808205349884195</v>
      </c>
      <c r="F83" s="8">
        <v>12937</v>
      </c>
      <c r="G83" s="13">
        <f t="shared" si="12"/>
        <v>0.15861358704314457</v>
      </c>
      <c r="H83" s="14">
        <f t="shared" si="10"/>
        <v>1.4675293622622005</v>
      </c>
      <c r="I83" s="38">
        <f t="shared" si="9"/>
        <v>0.14699298951267456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72" t="s">
        <v>60</v>
      </c>
      <c r="D84" s="256">
        <v>159195</v>
      </c>
      <c r="E84" s="191">
        <f t="shared" si="11"/>
        <v>0.19549968193462344</v>
      </c>
      <c r="F84" s="195">
        <v>12717</v>
      </c>
      <c r="G84" s="13">
        <f t="shared" si="12"/>
        <v>0.15591628557066317</v>
      </c>
      <c r="H84" s="14">
        <f t="shared" si="10"/>
        <v>0.79752705491767883</v>
      </c>
      <c r="I84" s="38">
        <f t="shared" si="9"/>
        <v>7.9883162159615564E-2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 t="s">
        <v>61</v>
      </c>
      <c r="D85" s="193">
        <v>33589</v>
      </c>
      <c r="E85" s="191">
        <f t="shared" si="11"/>
        <v>4.1249026769069802E-2</v>
      </c>
      <c r="F85" s="8">
        <v>882</v>
      </c>
      <c r="G85" s="13">
        <f t="shared" si="12"/>
        <v>1.0813726812402683E-2</v>
      </c>
      <c r="H85" s="14">
        <f t="shared" si="10"/>
        <v>0.26215713822638004</v>
      </c>
      <c r="I85" s="38">
        <f t="shared" si="9"/>
        <v>2.6258596564351425E-2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 t="s">
        <v>62</v>
      </c>
      <c r="D86" s="193">
        <v>36251</v>
      </c>
      <c r="E86" s="191">
        <f t="shared" si="11"/>
        <v>4.4518100253224252E-2</v>
      </c>
      <c r="F86" s="8">
        <v>3776</v>
      </c>
      <c r="G86" s="13">
        <f>F86/$F$77</f>
        <v>4.6295501636771576E-2</v>
      </c>
      <c r="H86" s="14">
        <f t="shared" si="10"/>
        <v>1.0399253645918682</v>
      </c>
      <c r="I86" s="38">
        <f t="shared" si="9"/>
        <v>0.10416264378913685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  <c r="W86" s="13"/>
    </row>
    <row r="87" spans="2:23" ht="15.75" thickBot="1" x14ac:dyDescent="0.3">
      <c r="B87" s="375"/>
      <c r="C87" s="9" t="s">
        <v>63</v>
      </c>
      <c r="D87" s="196">
        <v>11688</v>
      </c>
      <c r="E87" s="198">
        <f t="shared" si="11"/>
        <v>1.4353467649435465E-2</v>
      </c>
      <c r="F87" s="10">
        <v>1372</v>
      </c>
      <c r="G87" s="17">
        <f t="shared" si="12"/>
        <v>1.6821352819293062E-2</v>
      </c>
      <c r="H87" s="18">
        <f t="shared" si="10"/>
        <v>1.1719365124952688</v>
      </c>
      <c r="I87" s="44">
        <f t="shared" si="9"/>
        <v>0.11738535249828884</v>
      </c>
      <c r="J87" s="100"/>
      <c r="K87" s="100"/>
      <c r="L87" s="18"/>
      <c r="M87" s="18"/>
      <c r="N87" s="18"/>
      <c r="O87" s="18"/>
      <c r="P87" s="18"/>
      <c r="Q87" s="18"/>
      <c r="R87" s="18"/>
      <c r="S87" s="83"/>
      <c r="T87" s="388"/>
    </row>
    <row r="88" spans="2:23" ht="15.75" thickBot="1" x14ac:dyDescent="0.3">
      <c r="C88" s="1"/>
      <c r="D88" s="8"/>
      <c r="S88" s="4"/>
      <c r="T88" s="28"/>
    </row>
    <row r="89" spans="2:23" x14ac:dyDescent="0.25">
      <c r="B89" s="373" t="s">
        <v>64</v>
      </c>
      <c r="C89" s="21" t="s">
        <v>65</v>
      </c>
      <c r="D89" s="23" t="s">
        <v>66</v>
      </c>
      <c r="E89" s="48" t="s">
        <v>67</v>
      </c>
      <c r="F89" s="48" t="s">
        <v>68</v>
      </c>
      <c r="G89" s="48" t="s">
        <v>51</v>
      </c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7"/>
      <c r="T89" s="373" t="s">
        <v>19</v>
      </c>
    </row>
    <row r="90" spans="2:23" x14ac:dyDescent="0.25">
      <c r="B90" s="374"/>
      <c r="C90" s="1" t="s">
        <v>69</v>
      </c>
      <c r="D90" s="8">
        <v>74989</v>
      </c>
      <c r="E90" s="67">
        <v>677678</v>
      </c>
      <c r="F90" s="68"/>
      <c r="I90" s="8"/>
      <c r="S90" s="4"/>
      <c r="T90" s="374"/>
    </row>
    <row r="91" spans="2:23" x14ac:dyDescent="0.25">
      <c r="B91" s="374"/>
      <c r="C91" s="1" t="s">
        <v>70</v>
      </c>
      <c r="D91" s="70">
        <f>D90/H32</f>
        <v>0.55626520681265201</v>
      </c>
      <c r="E91" s="257">
        <v>0.1744</v>
      </c>
      <c r="F91" s="68"/>
      <c r="I91" s="8"/>
      <c r="S91" s="4"/>
      <c r="T91" s="374"/>
    </row>
    <row r="92" spans="2:23" x14ac:dyDescent="0.25">
      <c r="B92" s="374"/>
      <c r="C92" s="1"/>
      <c r="D92" s="199"/>
      <c r="E92" s="200"/>
      <c r="F92" s="14"/>
      <c r="I92" s="8"/>
      <c r="S92" s="4"/>
      <c r="T92" s="374"/>
      <c r="W92" s="8"/>
    </row>
    <row r="93" spans="2:23" ht="14.45" customHeight="1" x14ac:dyDescent="0.25">
      <c r="B93" s="374"/>
      <c r="C93" s="1" t="s">
        <v>71</v>
      </c>
      <c r="D93" s="8">
        <v>200854</v>
      </c>
      <c r="E93" s="201">
        <v>1508762</v>
      </c>
      <c r="F93" s="68"/>
      <c r="I93" s="8"/>
      <c r="S93" s="4"/>
      <c r="T93" s="374"/>
      <c r="U93" s="24"/>
      <c r="W93" s="14"/>
    </row>
    <row r="94" spans="2:23" x14ac:dyDescent="0.25">
      <c r="B94" s="374"/>
      <c r="C94" s="1" t="s">
        <v>72</v>
      </c>
      <c r="D94" s="71">
        <f>D93/D90</f>
        <v>2.6784461721052422</v>
      </c>
      <c r="E94" s="14">
        <f>E93/E90</f>
        <v>2.2263700459510267</v>
      </c>
      <c r="F94" s="14"/>
      <c r="I94" s="8"/>
      <c r="S94" s="4"/>
      <c r="T94" s="374"/>
    </row>
    <row r="95" spans="2:23" x14ac:dyDescent="0.25">
      <c r="B95" s="374"/>
      <c r="C95" s="1"/>
      <c r="D95" s="202"/>
      <c r="E95" s="169"/>
      <c r="F95" s="14"/>
      <c r="I95" s="8"/>
      <c r="S95" s="4"/>
      <c r="T95" s="374"/>
      <c r="W95" s="8"/>
    </row>
    <row r="96" spans="2:23" x14ac:dyDescent="0.25">
      <c r="B96" s="374"/>
      <c r="C96" s="1" t="s">
        <v>73</v>
      </c>
      <c r="D96" s="8">
        <v>116066</v>
      </c>
      <c r="E96" s="201">
        <v>1004413</v>
      </c>
      <c r="F96" s="14"/>
      <c r="I96" s="8"/>
      <c r="S96" s="4"/>
      <c r="T96" s="374"/>
      <c r="W96" s="14"/>
    </row>
    <row r="97" spans="2:20" x14ac:dyDescent="0.25">
      <c r="B97" s="374"/>
      <c r="C97" s="1" t="s">
        <v>74</v>
      </c>
      <c r="D97" s="71">
        <f>D96/D90</f>
        <v>1.5477736734721093</v>
      </c>
      <c r="E97" s="72">
        <f>E96/E90</f>
        <v>1.4821390099722878</v>
      </c>
      <c r="F97" s="14"/>
      <c r="S97" s="4"/>
      <c r="T97" s="374"/>
    </row>
    <row r="98" spans="2:20" ht="15.75" thickBot="1" x14ac:dyDescent="0.3">
      <c r="B98" s="375"/>
      <c r="C98" s="9" t="s">
        <v>75</v>
      </c>
      <c r="D98" s="84">
        <f>D93/D96</f>
        <v>1.7305153964123861</v>
      </c>
      <c r="E98" s="85">
        <f>E93/E96</f>
        <v>1.5021330866884439</v>
      </c>
      <c r="F98" s="18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11"/>
      <c r="T98" s="375"/>
    </row>
    <row r="99" spans="2:20" x14ac:dyDescent="0.25">
      <c r="D99" s="37"/>
      <c r="E99" s="22"/>
      <c r="F99" s="14"/>
    </row>
    <row r="100" spans="2:20" s="35" customFormat="1" x14ac:dyDescent="0.25">
      <c r="B100" s="47"/>
      <c r="C100" s="78"/>
      <c r="D100" s="8"/>
      <c r="E100" s="13"/>
    </row>
    <row r="101" spans="2:20" s="35" customFormat="1" x14ac:dyDescent="0.25">
      <c r="B101" s="47"/>
      <c r="C101" s="78"/>
      <c r="D101" s="8"/>
      <c r="E101" s="34"/>
    </row>
    <row r="102" spans="2:20" s="35" customFormat="1" x14ac:dyDescent="0.25">
      <c r="B102" s="47"/>
      <c r="C102" s="78"/>
      <c r="D102" s="8"/>
      <c r="E102" s="34"/>
    </row>
    <row r="103" spans="2:20" s="35" customFormat="1" x14ac:dyDescent="0.25">
      <c r="B103" s="47"/>
      <c r="C103" s="78"/>
      <c r="D103" s="8"/>
      <c r="E103" s="34"/>
    </row>
    <row r="104" spans="2:20" s="35" customFormat="1" x14ac:dyDescent="0.25">
      <c r="B104" s="47"/>
      <c r="C104" s="78"/>
      <c r="D104" s="8"/>
      <c r="E104" s="78"/>
    </row>
    <row r="105" spans="2:20" s="35" customFormat="1" x14ac:dyDescent="0.25">
      <c r="B105" s="47"/>
      <c r="C105" s="78"/>
      <c r="D105" s="8"/>
      <c r="E105" s="34"/>
    </row>
  </sheetData>
  <mergeCells count="15">
    <mergeCell ref="C2:S2"/>
    <mergeCell ref="D3:J3"/>
    <mergeCell ref="K3:M3"/>
    <mergeCell ref="N3:P3"/>
    <mergeCell ref="Q3:S3"/>
    <mergeCell ref="B89:B98"/>
    <mergeCell ref="T89:T98"/>
    <mergeCell ref="B4:B33"/>
    <mergeCell ref="B35:B71"/>
    <mergeCell ref="T35:T71"/>
    <mergeCell ref="B73:B87"/>
    <mergeCell ref="D73:E73"/>
    <mergeCell ref="F73:G73"/>
    <mergeCell ref="T73:T87"/>
    <mergeCell ref="T3:T3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A785-F968-495F-B6E3-EFBCB6A24D29}">
  <sheetPr codeName="Sheet29">
    <tabColor theme="7"/>
  </sheetPr>
  <dimension ref="A1:W106"/>
  <sheetViews>
    <sheetView topLeftCell="A86" zoomScaleNormal="100" workbookViewId="0">
      <selection activeCell="F79" sqref="F79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10327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28" si="2">H22</f>
        <v>92600</v>
      </c>
      <c r="E23" s="246">
        <v>7983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9226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14385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11560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13848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22235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>H28</f>
        <v>131596</v>
      </c>
      <c r="E29" s="246">
        <v>14570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>H29</f>
        <v>135723</v>
      </c>
      <c r="E30" s="220">
        <v>8565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>H30</f>
        <v>133491</v>
      </c>
      <c r="E31" s="220">
        <v>8472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7809</v>
      </c>
      <c r="L31" s="228">
        <v>0.59</v>
      </c>
      <c r="M31" s="228">
        <v>0.41</v>
      </c>
      <c r="N31" s="220">
        <v>732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>H31</f>
        <v>133068</v>
      </c>
      <c r="E32" s="220">
        <v>11034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8540</v>
      </c>
      <c r="L32" s="228">
        <v>0.56000000000000005</v>
      </c>
      <c r="M32" s="228">
        <v>0.44</v>
      </c>
      <c r="N32" s="220">
        <v>2260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>H32</f>
        <v>134808</v>
      </c>
      <c r="E33" s="220">
        <v>16474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12897</v>
      </c>
      <c r="L33" s="248">
        <v>0.54</v>
      </c>
      <c r="M33" s="228">
        <v>0.46</v>
      </c>
      <c r="N33" s="220">
        <v>3010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ht="15.75" thickBot="1" x14ac:dyDescent="0.3">
      <c r="B34" s="391"/>
      <c r="C34" s="88" t="s">
        <v>78</v>
      </c>
      <c r="D34" s="135"/>
      <c r="E34" s="135">
        <f>SUM(E5:E33)</f>
        <v>285701</v>
      </c>
      <c r="F34" s="135">
        <f>SUM(F5:F33)</f>
        <v>214989.52000000002</v>
      </c>
      <c r="G34" s="135">
        <f>SUM(G5:G33)</f>
        <v>145380</v>
      </c>
      <c r="H34" s="135"/>
      <c r="I34" s="136"/>
      <c r="J34" s="136"/>
      <c r="K34" s="135">
        <f>SUM(K5:K33)</f>
        <v>264448</v>
      </c>
      <c r="M34" s="136"/>
      <c r="N34" s="135">
        <f>SUM(N17:N33)</f>
        <v>22683</v>
      </c>
      <c r="O34" s="135"/>
      <c r="P34" s="136"/>
      <c r="Q34" s="113">
        <f>SUM(Q20:Q33)</f>
        <v>3304</v>
      </c>
      <c r="R34" s="93"/>
      <c r="S34" s="112"/>
      <c r="T34" s="375"/>
      <c r="U34" s="8"/>
      <c r="V34" s="142"/>
    </row>
    <row r="35" spans="1:22" ht="15.75" thickBot="1" x14ac:dyDescent="0.3">
      <c r="C35" s="45"/>
      <c r="D35" s="25"/>
      <c r="E35" s="50"/>
      <c r="F35" s="50"/>
      <c r="G35" s="50"/>
      <c r="H35" s="50"/>
      <c r="I35" s="50"/>
      <c r="J35" s="238"/>
      <c r="K35" s="50"/>
      <c r="L35" s="50"/>
      <c r="M35" s="50"/>
      <c r="N35" s="50"/>
      <c r="O35" s="50"/>
      <c r="P35" s="50"/>
      <c r="Q35" s="50"/>
      <c r="R35" s="50"/>
      <c r="S35" s="51"/>
      <c r="T35" s="27"/>
      <c r="V35" s="142"/>
    </row>
    <row r="36" spans="1:22" x14ac:dyDescent="0.25">
      <c r="B36" s="381" t="s">
        <v>13</v>
      </c>
      <c r="C36" s="94"/>
      <c r="D36" s="48" t="s">
        <v>91</v>
      </c>
      <c r="E36" s="48" t="s">
        <v>15</v>
      </c>
      <c r="F36" s="48" t="s">
        <v>92</v>
      </c>
      <c r="G36" s="48" t="s">
        <v>138</v>
      </c>
      <c r="H36" s="48" t="s">
        <v>18</v>
      </c>
      <c r="I36" s="94"/>
      <c r="J36" s="116"/>
      <c r="K36" s="116"/>
      <c r="L36" s="47"/>
      <c r="M36" s="94"/>
      <c r="N36" s="94"/>
      <c r="O36" s="94"/>
      <c r="Q36" s="94"/>
      <c r="R36" s="94"/>
      <c r="S36" s="49"/>
      <c r="T36" s="380" t="s">
        <v>19</v>
      </c>
      <c r="V36" s="142"/>
    </row>
    <row r="37" spans="1:22" x14ac:dyDescent="0.25">
      <c r="B37" s="382"/>
      <c r="C37" s="156" t="s">
        <v>20</v>
      </c>
      <c r="D37" s="47"/>
      <c r="E37" s="47"/>
      <c r="F37" s="47"/>
      <c r="G37" s="47"/>
      <c r="I37" s="154"/>
      <c r="M37" s="254"/>
      <c r="O37" s="47"/>
      <c r="P37" s="47"/>
      <c r="Q37" s="47"/>
      <c r="R37" s="47"/>
      <c r="S37" s="12"/>
      <c r="T37" s="380"/>
      <c r="V37" s="8"/>
    </row>
    <row r="38" spans="1:22" x14ac:dyDescent="0.25">
      <c r="B38" s="382"/>
      <c r="C38" s="47" t="s">
        <v>21</v>
      </c>
      <c r="D38" s="13">
        <v>0.441</v>
      </c>
      <c r="E38" s="13">
        <v>0.43</v>
      </c>
      <c r="F38" s="161">
        <f>D38/E38</f>
        <v>1.0255813953488373</v>
      </c>
      <c r="G38" s="13">
        <v>0.52200000000000002</v>
      </c>
      <c r="H38" s="161">
        <f>E38/G38</f>
        <v>0.82375478927203061</v>
      </c>
      <c r="I38" s="149"/>
      <c r="J38" s="222"/>
      <c r="K38" s="158"/>
      <c r="L38" s="158"/>
      <c r="M38" s="14"/>
      <c r="N38" s="47"/>
      <c r="O38" s="14"/>
      <c r="P38" s="14"/>
      <c r="Q38" s="14"/>
      <c r="R38" s="14"/>
      <c r="S38" s="15"/>
      <c r="T38" s="380"/>
      <c r="V38" s="8"/>
    </row>
    <row r="39" spans="1:22" x14ac:dyDescent="0.25">
      <c r="B39" s="382"/>
      <c r="C39" s="47" t="s">
        <v>22</v>
      </c>
      <c r="D39" s="13">
        <v>0.55900000000000005</v>
      </c>
      <c r="E39" s="13">
        <v>0.56999999999999995</v>
      </c>
      <c r="F39" s="161">
        <f t="shared" ref="F39:F72" si="4">D39/E39</f>
        <v>0.98070175438596507</v>
      </c>
      <c r="G39" s="13">
        <v>0.47799999999999998</v>
      </c>
      <c r="H39" s="161">
        <f t="shared" ref="H39:H56" si="5">E39/G39</f>
        <v>1.1924686192468619</v>
      </c>
      <c r="I39" s="149"/>
      <c r="J39" s="222"/>
      <c r="K39" s="158"/>
      <c r="L39" s="14"/>
      <c r="M39" s="14"/>
      <c r="N39" s="14"/>
      <c r="O39" s="14"/>
      <c r="P39" s="14"/>
      <c r="Q39" s="14"/>
      <c r="R39" s="14"/>
      <c r="S39" s="15"/>
      <c r="T39" s="380"/>
    </row>
    <row r="40" spans="1:22" x14ac:dyDescent="0.25">
      <c r="B40" s="382"/>
      <c r="D40" s="190"/>
      <c r="E40" s="190"/>
      <c r="F40" s="161"/>
      <c r="G40" s="190"/>
      <c r="H40" s="161"/>
      <c r="I40" s="149"/>
      <c r="J40" s="222"/>
      <c r="K40" s="14"/>
      <c r="L40" s="14"/>
      <c r="M40" s="14"/>
      <c r="N40" s="14"/>
      <c r="O40" s="14"/>
      <c r="P40" s="14"/>
      <c r="Q40" s="14"/>
      <c r="R40" s="14"/>
      <c r="S40" s="15"/>
      <c r="T40" s="380"/>
    </row>
    <row r="41" spans="1:22" x14ac:dyDescent="0.25">
      <c r="B41" s="382"/>
      <c r="C41" s="156" t="s">
        <v>23</v>
      </c>
      <c r="D41" s="169"/>
      <c r="E41" s="169"/>
      <c r="F41" s="161"/>
      <c r="G41" s="190"/>
      <c r="H41" s="161"/>
      <c r="I41" s="149"/>
      <c r="J41" s="39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1:22" x14ac:dyDescent="0.25">
      <c r="B42" s="382"/>
      <c r="C42" s="47" t="s">
        <v>24</v>
      </c>
      <c r="D42" s="13">
        <v>0</v>
      </c>
      <c r="E42" s="13">
        <v>0</v>
      </c>
      <c r="F42" s="14" t="s">
        <v>12</v>
      </c>
      <c r="G42" s="13">
        <v>1.2999999999999999E-2</v>
      </c>
      <c r="H42" s="161" t="s">
        <v>12</v>
      </c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25">
      <c r="B43" s="382"/>
      <c r="C43" s="47" t="s">
        <v>25</v>
      </c>
      <c r="D43" s="13">
        <v>4.2000000000000003E-2</v>
      </c>
      <c r="E43" s="13">
        <v>3.4000000000000002E-2</v>
      </c>
      <c r="F43" s="14">
        <f t="shared" si="4"/>
        <v>1.2352941176470589</v>
      </c>
      <c r="G43" s="13">
        <v>0.13200000000000001</v>
      </c>
      <c r="H43" s="161">
        <f>E43/G43</f>
        <v>0.25757575757575757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25">
      <c r="B44" s="382"/>
      <c r="C44" s="47" t="s">
        <v>26</v>
      </c>
      <c r="D44" s="13">
        <v>0.41599999999999998</v>
      </c>
      <c r="E44" s="13">
        <v>0.39200000000000002</v>
      </c>
      <c r="F44" s="14">
        <f t="shared" si="4"/>
        <v>1.0612244897959182</v>
      </c>
      <c r="G44" s="13">
        <v>0.28499999999999998</v>
      </c>
      <c r="H44" s="161">
        <f>E44/G44</f>
        <v>1.3754385964912283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25">
      <c r="B45" s="382"/>
      <c r="C45" s="47" t="s">
        <v>27</v>
      </c>
      <c r="D45" s="13">
        <v>0.379</v>
      </c>
      <c r="E45" s="13">
        <v>0.39800000000000002</v>
      </c>
      <c r="F45" s="14">
        <f t="shared" si="4"/>
        <v>0.95226130653266328</v>
      </c>
      <c r="G45" s="13">
        <v>0.32100000000000001</v>
      </c>
      <c r="H45" s="161">
        <f t="shared" si="5"/>
        <v>1.2398753894080998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25">
      <c r="B46" s="382"/>
      <c r="C46" s="47" t="s">
        <v>28</v>
      </c>
      <c r="D46" s="13">
        <v>0.13700000000000001</v>
      </c>
      <c r="E46" s="13">
        <v>0.153</v>
      </c>
      <c r="F46" s="14">
        <f t="shared" si="4"/>
        <v>0.89542483660130723</v>
      </c>
      <c r="G46" s="13">
        <v>0.17299999999999999</v>
      </c>
      <c r="H46" s="161">
        <f>E46/G46</f>
        <v>0.88439306358381509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C47" s="47" t="s">
        <v>29</v>
      </c>
      <c r="D47" s="13">
        <v>2.5000000000000001E-2</v>
      </c>
      <c r="E47" s="13">
        <v>2.3E-2</v>
      </c>
      <c r="F47" s="14">
        <f t="shared" si="4"/>
        <v>1.0869565217391306</v>
      </c>
      <c r="G47" s="13">
        <v>7.5999999999999998E-2</v>
      </c>
      <c r="H47" s="161">
        <f t="shared" si="5"/>
        <v>0.30263157894736842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D48" s="190"/>
      <c r="E48" s="190"/>
      <c r="F48" s="161"/>
      <c r="G48" s="190"/>
      <c r="H48" s="161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156" t="s">
        <v>30</v>
      </c>
      <c r="D49" s="169"/>
      <c r="E49" s="169"/>
      <c r="F49" s="161"/>
      <c r="G49" s="190"/>
      <c r="H49" s="161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31</v>
      </c>
      <c r="D50" s="13">
        <v>0.504</v>
      </c>
      <c r="E50" s="191">
        <v>0.47399999999999998</v>
      </c>
      <c r="F50" s="161">
        <f t="shared" ref="F50:F56" si="6">D50/E50</f>
        <v>1.0632911392405064</v>
      </c>
      <c r="G50" s="13">
        <v>0.47099999999999997</v>
      </c>
      <c r="H50" s="161">
        <f>E50/G50</f>
        <v>1.0063694267515924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32</v>
      </c>
      <c r="D51" s="13">
        <v>0.20300000000000001</v>
      </c>
      <c r="E51" s="243">
        <v>0.20300000000000001</v>
      </c>
      <c r="F51" s="161">
        <f t="shared" si="6"/>
        <v>1</v>
      </c>
      <c r="G51" s="13">
        <v>0.14499999999999999</v>
      </c>
      <c r="H51" s="161">
        <f t="shared" si="5"/>
        <v>1.4000000000000001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33</v>
      </c>
      <c r="D52" s="13">
        <v>0.115</v>
      </c>
      <c r="E52" s="243">
        <v>0.127</v>
      </c>
      <c r="F52" s="161">
        <f t="shared" si="6"/>
        <v>0.9055118110236221</v>
      </c>
      <c r="G52" s="13">
        <v>0.13200000000000001</v>
      </c>
      <c r="H52" s="161">
        <f t="shared" si="5"/>
        <v>0.96212121212121204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34</v>
      </c>
      <c r="D53" s="13">
        <v>8.7999999999999995E-2</v>
      </c>
      <c r="E53" s="243">
        <v>9.4E-2</v>
      </c>
      <c r="F53" s="161">
        <f t="shared" si="6"/>
        <v>0.93617021276595735</v>
      </c>
      <c r="G53" s="13">
        <v>0.113</v>
      </c>
      <c r="H53" s="161">
        <f t="shared" si="5"/>
        <v>0.83185840707964598</v>
      </c>
      <c r="I53" s="223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35</v>
      </c>
      <c r="D54" s="13">
        <v>2.1000000000000001E-2</v>
      </c>
      <c r="E54" s="243">
        <v>2.3E-2</v>
      </c>
      <c r="F54" s="161">
        <f t="shared" si="6"/>
        <v>0.91304347826086962</v>
      </c>
      <c r="G54" s="13">
        <v>3.5000000000000003E-2</v>
      </c>
      <c r="H54" s="161">
        <f t="shared" si="5"/>
        <v>0.65714285714285703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36</v>
      </c>
      <c r="D55" s="13">
        <v>1.4999999999999999E-2</v>
      </c>
      <c r="E55" s="243">
        <v>1.4999999999999999E-2</v>
      </c>
      <c r="F55" s="161">
        <f t="shared" si="6"/>
        <v>1</v>
      </c>
      <c r="G55" s="13">
        <v>2.4E-2</v>
      </c>
      <c r="H55" s="161">
        <f t="shared" si="5"/>
        <v>0.625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37</v>
      </c>
      <c r="D56" s="13">
        <v>5.2999999999999999E-2</v>
      </c>
      <c r="E56" s="243">
        <v>6.5000000000000002E-2</v>
      </c>
      <c r="F56" s="161">
        <f t="shared" si="6"/>
        <v>0.81538461538461537</v>
      </c>
      <c r="G56" s="13">
        <v>8.1000000000000003E-2</v>
      </c>
      <c r="H56" s="161">
        <f t="shared" si="5"/>
        <v>0.80246913580246915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D57" s="190"/>
      <c r="E57" s="190"/>
      <c r="F57" s="161"/>
      <c r="G57" s="190"/>
      <c r="H57" s="161"/>
      <c r="I57" s="149"/>
      <c r="J57" s="222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156" t="s">
        <v>38</v>
      </c>
      <c r="D58" s="169"/>
      <c r="E58" s="169"/>
      <c r="F58" s="161"/>
      <c r="G58" s="190"/>
      <c r="H58" s="161"/>
      <c r="I58" s="149"/>
      <c r="J58" s="222"/>
      <c r="K58" s="239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39</v>
      </c>
      <c r="D59" s="13">
        <v>0.49</v>
      </c>
      <c r="E59" s="13">
        <v>0.39500000000000002</v>
      </c>
      <c r="F59" s="161">
        <f t="shared" si="4"/>
        <v>1.240506329113924</v>
      </c>
      <c r="G59" s="16">
        <v>0.436</v>
      </c>
      <c r="H59" s="165">
        <f>E59/G59</f>
        <v>0.90596330275229364</v>
      </c>
      <c r="I59" s="149"/>
      <c r="J59" s="240"/>
      <c r="K59" s="241"/>
      <c r="L59" s="16"/>
      <c r="M59" s="16"/>
      <c r="N59" s="68"/>
      <c r="O59" s="16"/>
      <c r="P59" s="16"/>
      <c r="Q59" s="16"/>
      <c r="R59" s="16"/>
      <c r="S59" s="36"/>
      <c r="T59" s="380"/>
    </row>
    <row r="60" spans="2:20" x14ac:dyDescent="0.25">
      <c r="B60" s="382"/>
      <c r="C60" s="47" t="s">
        <v>40</v>
      </c>
      <c r="D60" s="13">
        <v>4.9000000000000002E-2</v>
      </c>
      <c r="E60" s="13">
        <v>4.9000000000000002E-2</v>
      </c>
      <c r="F60" s="161">
        <f t="shared" si="4"/>
        <v>1</v>
      </c>
      <c r="G60" s="13">
        <v>8.4000000000000005E-2</v>
      </c>
      <c r="H60" s="165">
        <f t="shared" ref="H60:H64" si="7">E60/G60</f>
        <v>0.58333333333333337</v>
      </c>
      <c r="I60" s="149"/>
      <c r="J60" s="240"/>
      <c r="K60" s="241"/>
      <c r="L60" s="14"/>
      <c r="M60" s="16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41</v>
      </c>
      <c r="D61" s="13">
        <v>8.6999999999999994E-2</v>
      </c>
      <c r="E61" s="13">
        <v>9.2999999999999999E-2</v>
      </c>
      <c r="F61" s="161">
        <f t="shared" si="4"/>
        <v>0.93548387096774188</v>
      </c>
      <c r="G61" s="13">
        <v>0.14499999999999999</v>
      </c>
      <c r="H61" s="165">
        <f t="shared" si="7"/>
        <v>0.64137931034482765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42</v>
      </c>
      <c r="D62" s="13">
        <v>0.111</v>
      </c>
      <c r="E62" s="13">
        <v>0.121</v>
      </c>
      <c r="F62" s="161">
        <f t="shared" si="4"/>
        <v>0.9173553719008265</v>
      </c>
      <c r="G62" s="13">
        <v>0.14699999999999999</v>
      </c>
      <c r="H62" s="165">
        <f t="shared" si="7"/>
        <v>0.8231292517006803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43</v>
      </c>
      <c r="D63" s="13">
        <v>0.13700000000000001</v>
      </c>
      <c r="E63" s="13">
        <v>0.16400000000000001</v>
      </c>
      <c r="F63" s="161">
        <f t="shared" si="4"/>
        <v>0.83536585365853666</v>
      </c>
      <c r="G63" s="13">
        <v>0.126</v>
      </c>
      <c r="H63" s="165">
        <f t="shared" si="7"/>
        <v>1.3015873015873016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44</v>
      </c>
      <c r="D64" s="13">
        <v>0.126</v>
      </c>
      <c r="E64" s="13">
        <v>0.17799999999999999</v>
      </c>
      <c r="F64" s="161">
        <f t="shared" si="4"/>
        <v>0.70786516853932591</v>
      </c>
      <c r="G64" s="13">
        <v>6.3E-2</v>
      </c>
      <c r="H64" s="165">
        <f t="shared" si="7"/>
        <v>2.8253968253968251</v>
      </c>
      <c r="J64" s="34"/>
      <c r="K64" s="239"/>
      <c r="O64" s="14"/>
      <c r="P64" s="14"/>
      <c r="Q64" s="14"/>
      <c r="R64" s="14"/>
      <c r="S64" s="15"/>
      <c r="T64" s="380"/>
    </row>
    <row r="65" spans="2:20" x14ac:dyDescent="0.25">
      <c r="B65" s="382"/>
      <c r="D65" s="190"/>
      <c r="E65" s="190"/>
      <c r="F65" s="161"/>
      <c r="G65" s="190"/>
      <c r="H65" s="161"/>
      <c r="I65" s="149"/>
      <c r="J65" s="222"/>
      <c r="K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156" t="s">
        <v>136</v>
      </c>
      <c r="D66" s="190"/>
      <c r="E66" s="190"/>
      <c r="F66" s="161"/>
      <c r="G66" s="190"/>
      <c r="H66" s="161"/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39</v>
      </c>
      <c r="D67" s="13">
        <v>0.4</v>
      </c>
      <c r="E67" s="13">
        <v>0.24199999999999999</v>
      </c>
      <c r="F67" s="161">
        <f t="shared" si="4"/>
        <v>1.6528925619834711</v>
      </c>
      <c r="G67" s="191">
        <v>0.44600000000000001</v>
      </c>
      <c r="H67" s="165">
        <f>E67/G67</f>
        <v>0.54260089686098656</v>
      </c>
      <c r="I67" s="149"/>
      <c r="J67" s="38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40</v>
      </c>
      <c r="D68" s="13">
        <v>7.4999999999999997E-2</v>
      </c>
      <c r="E68" s="13">
        <v>6.8000000000000005E-2</v>
      </c>
      <c r="F68" s="161">
        <f t="shared" si="4"/>
        <v>1.1029411764705881</v>
      </c>
      <c r="G68" s="191">
        <v>0.14000000000000001</v>
      </c>
      <c r="H68" s="165">
        <f t="shared" ref="H68:H72" si="8">E68/G68</f>
        <v>0.48571428571428571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41</v>
      </c>
      <c r="D69" s="13">
        <v>0.126</v>
      </c>
      <c r="E69" s="13">
        <v>0.13200000000000001</v>
      </c>
      <c r="F69" s="161">
        <f t="shared" si="4"/>
        <v>0.95454545454545447</v>
      </c>
      <c r="G69" s="191">
        <v>0.18099999999999999</v>
      </c>
      <c r="H69" s="165">
        <f t="shared" si="8"/>
        <v>0.72928176795580113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42</v>
      </c>
      <c r="D70" s="13">
        <v>0.13200000000000001</v>
      </c>
      <c r="E70" s="13">
        <v>0.152</v>
      </c>
      <c r="F70" s="161">
        <f t="shared" si="4"/>
        <v>0.86842105263157898</v>
      </c>
      <c r="G70" s="191">
        <v>0.126</v>
      </c>
      <c r="H70" s="165">
        <f t="shared" si="8"/>
        <v>1.2063492063492063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25">
      <c r="B71" s="382"/>
      <c r="C71" s="47" t="s">
        <v>43</v>
      </c>
      <c r="D71" s="13">
        <v>0.152</v>
      </c>
      <c r="E71" s="13">
        <v>0.19800000000000001</v>
      </c>
      <c r="F71" s="161">
        <f t="shared" si="4"/>
        <v>0.76767676767676762</v>
      </c>
      <c r="G71" s="191">
        <v>7.6999999999999999E-2</v>
      </c>
      <c r="H71" s="165">
        <f t="shared" si="8"/>
        <v>2.5714285714285716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ht="15.75" thickBot="1" x14ac:dyDescent="0.3">
      <c r="B72" s="383"/>
      <c r="C72" s="47" t="s">
        <v>44</v>
      </c>
      <c r="D72" s="13">
        <v>0.11600000000000001</v>
      </c>
      <c r="E72" s="13">
        <v>0.20799999999999999</v>
      </c>
      <c r="F72" s="161">
        <f t="shared" si="4"/>
        <v>0.55769230769230771</v>
      </c>
      <c r="G72" s="191">
        <v>0.03</v>
      </c>
      <c r="H72" s="165">
        <f t="shared" si="8"/>
        <v>6.9333333333333336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ht="15.75" thickBot="1" x14ac:dyDescent="0.3">
      <c r="B73" s="60"/>
      <c r="C73" s="45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26"/>
      <c r="T73" s="27"/>
    </row>
    <row r="74" spans="2:20" x14ac:dyDescent="0.25">
      <c r="B74" s="373" t="s">
        <v>45</v>
      </c>
      <c r="C74" s="5"/>
      <c r="D74" s="385" t="s">
        <v>46</v>
      </c>
      <c r="E74" s="385"/>
      <c r="F74" s="385" t="s">
        <v>47</v>
      </c>
      <c r="G74" s="385"/>
      <c r="H74" s="42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7"/>
      <c r="T74" s="386" t="s">
        <v>48</v>
      </c>
    </row>
    <row r="75" spans="2:20" x14ac:dyDescent="0.25">
      <c r="B75" s="374"/>
      <c r="C75" s="1"/>
      <c r="D75" s="40" t="s">
        <v>49</v>
      </c>
      <c r="E75" s="40" t="s">
        <v>50</v>
      </c>
      <c r="F75" s="40" t="s">
        <v>49</v>
      </c>
      <c r="G75" s="40" t="s">
        <v>50</v>
      </c>
      <c r="H75" s="41" t="s">
        <v>51</v>
      </c>
      <c r="I75" s="96" t="s">
        <v>52</v>
      </c>
      <c r="J75" s="97"/>
      <c r="K75" s="97"/>
      <c r="L75" s="97"/>
      <c r="M75" s="97"/>
      <c r="N75" s="97"/>
      <c r="O75" s="97"/>
      <c r="P75" s="97"/>
      <c r="Q75" s="97"/>
      <c r="R75" s="97"/>
      <c r="S75" s="99"/>
      <c r="T75" s="387"/>
    </row>
    <row r="76" spans="2:20" x14ac:dyDescent="0.25">
      <c r="B76" s="374"/>
      <c r="C76" s="2" t="s">
        <v>53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4"/>
      <c r="T76" s="387"/>
    </row>
    <row r="77" spans="2:20" x14ac:dyDescent="0.25">
      <c r="B77" s="374"/>
      <c r="C77" s="1" t="s">
        <v>54</v>
      </c>
      <c r="D77" s="193">
        <v>2978249</v>
      </c>
      <c r="E77" s="191">
        <f>D77/D79</f>
        <v>0.73039299116783951</v>
      </c>
      <c r="F77" s="8">
        <v>194946</v>
      </c>
      <c r="G77" s="13">
        <f>F77/$F$79</f>
        <v>0.68519911426663382</v>
      </c>
      <c r="H77" s="14">
        <f>G77/E77</f>
        <v>0.93812389022388576</v>
      </c>
      <c r="I77" s="191">
        <f>F77/D77</f>
        <v>6.5456582038640826E-2</v>
      </c>
      <c r="J77" s="39"/>
      <c r="K77" s="39"/>
      <c r="L77" s="14"/>
      <c r="M77" s="14"/>
      <c r="N77" s="14"/>
      <c r="O77" s="14"/>
      <c r="P77" s="14"/>
      <c r="Q77" s="14"/>
      <c r="R77" s="14"/>
      <c r="S77" s="82"/>
      <c r="T77" s="387"/>
    </row>
    <row r="78" spans="2:20" x14ac:dyDescent="0.25">
      <c r="B78" s="374"/>
      <c r="C78" s="1" t="s">
        <v>55</v>
      </c>
      <c r="D78" s="193">
        <f>SUM(D82:D88)</f>
        <v>1099349</v>
      </c>
      <c r="E78" s="191">
        <f>D78/D79</f>
        <v>0.26960700883216049</v>
      </c>
      <c r="F78" s="8">
        <f>SUM(F82:F88)</f>
        <v>89564</v>
      </c>
      <c r="G78" s="13">
        <f>F78/$F$79</f>
        <v>0.31480088573336612</v>
      </c>
      <c r="H78" s="14">
        <f>G78/E78</f>
        <v>1.1676287166901524</v>
      </c>
      <c r="I78" s="191">
        <f t="shared" ref="I78:I88" si="9">F78/D78</f>
        <v>8.147003362899316E-2</v>
      </c>
      <c r="J78" s="39"/>
      <c r="K78" s="39"/>
      <c r="L78" s="252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1" t="s">
        <v>53</v>
      </c>
      <c r="D79" s="193">
        <f>SUM(D77:D78)</f>
        <v>4077598</v>
      </c>
      <c r="E79" s="192"/>
      <c r="F79" s="8">
        <f>SUM(F77:F78)</f>
        <v>284510</v>
      </c>
      <c r="G79" s="169"/>
      <c r="H79" s="170"/>
      <c r="I79" s="191">
        <f t="shared" si="9"/>
        <v>6.9773920822994315E-2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"/>
      <c r="D80" s="192"/>
      <c r="E80" s="192"/>
      <c r="F80" s="171"/>
      <c r="G80" s="169"/>
      <c r="H80" s="170"/>
      <c r="I80" s="191"/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2" t="s">
        <v>56</v>
      </c>
      <c r="D81" s="192"/>
      <c r="E81" s="192"/>
      <c r="F81" s="169"/>
      <c r="G81" s="169"/>
      <c r="H81" s="170"/>
      <c r="I81" s="191"/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 t="s">
        <v>57</v>
      </c>
      <c r="D82" s="193">
        <v>432031</v>
      </c>
      <c r="E82" s="191">
        <f>D82/$D$78</f>
        <v>0.39298803200803384</v>
      </c>
      <c r="F82" s="8">
        <v>35542</v>
      </c>
      <c r="G82" s="13">
        <f>F82/$F$78</f>
        <v>0.39683354919387254</v>
      </c>
      <c r="H82" s="14">
        <f t="shared" ref="H82:H88" si="10">G82/E82</f>
        <v>1.0097853289989251</v>
      </c>
      <c r="I82" s="191">
        <f t="shared" si="9"/>
        <v>8.2267244711606347E-2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 t="s">
        <v>58</v>
      </c>
      <c r="D83" s="193">
        <v>174703</v>
      </c>
      <c r="E83" s="191">
        <f t="shared" ref="E83:E88" si="11">D83/$D$78</f>
        <v>0.15891495785232898</v>
      </c>
      <c r="F83" s="8">
        <v>20166</v>
      </c>
      <c r="G83" s="13">
        <f t="shared" ref="G83:G88" si="12">F83/$F$78</f>
        <v>0.22515742932428207</v>
      </c>
      <c r="H83" s="14">
        <f t="shared" si="10"/>
        <v>1.4168422681363235</v>
      </c>
      <c r="I83" s="191">
        <f t="shared" si="9"/>
        <v>0.11543018723204525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 t="s">
        <v>59</v>
      </c>
      <c r="D84" s="193">
        <v>123361</v>
      </c>
      <c r="E84" s="191">
        <f t="shared" si="11"/>
        <v>0.11221277319577314</v>
      </c>
      <c r="F84" s="8">
        <v>16316</v>
      </c>
      <c r="G84" s="13">
        <f t="shared" si="12"/>
        <v>0.1821714081550623</v>
      </c>
      <c r="H84" s="14">
        <f t="shared" si="10"/>
        <v>1.6234462705705983</v>
      </c>
      <c r="I84" s="191">
        <f t="shared" si="9"/>
        <v>0.13226222225825018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72" t="s">
        <v>60</v>
      </c>
      <c r="D85" s="8">
        <v>203125</v>
      </c>
      <c r="E85" s="191">
        <f t="shared" si="11"/>
        <v>0.18476844023144606</v>
      </c>
      <c r="F85" s="195">
        <v>11525</v>
      </c>
      <c r="G85" s="13">
        <f t="shared" si="12"/>
        <v>0.12867893350006698</v>
      </c>
      <c r="H85" s="14">
        <f t="shared" si="10"/>
        <v>0.69643351071687454</v>
      </c>
      <c r="I85" s="191">
        <f t="shared" si="9"/>
        <v>5.6738461538461536E-2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 t="s">
        <v>61</v>
      </c>
      <c r="D86" s="193">
        <v>97121</v>
      </c>
      <c r="E86" s="191">
        <f t="shared" si="11"/>
        <v>8.8344101827536117E-2</v>
      </c>
      <c r="F86" s="8">
        <v>318</v>
      </c>
      <c r="G86" s="13">
        <f t="shared" si="12"/>
        <v>3.5505336965745166E-3</v>
      </c>
      <c r="H86" s="14">
        <f t="shared" si="10"/>
        <v>4.0189821653355072E-2</v>
      </c>
      <c r="I86" s="191">
        <f t="shared" si="9"/>
        <v>3.2742661216420754E-3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" t="s">
        <v>62</v>
      </c>
      <c r="D87" s="193">
        <v>51610</v>
      </c>
      <c r="E87" s="191">
        <f t="shared" si="11"/>
        <v>4.6945965294005819E-2</v>
      </c>
      <c r="F87" s="8">
        <v>4019</v>
      </c>
      <c r="G87" s="13">
        <f>F87/$F$78</f>
        <v>4.4872940020543969E-2</v>
      </c>
      <c r="H87" s="14">
        <f t="shared" si="10"/>
        <v>0.95584231231631445</v>
      </c>
      <c r="I87" s="191">
        <f t="shared" si="9"/>
        <v>7.7872505328424727E-2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  <c r="W87" s="13"/>
    </row>
    <row r="88" spans="2:23" ht="15.75" thickBot="1" x14ac:dyDescent="0.3">
      <c r="B88" s="375"/>
      <c r="C88" s="9" t="s">
        <v>63</v>
      </c>
      <c r="D88" s="196">
        <v>17398</v>
      </c>
      <c r="E88" s="198">
        <f t="shared" si="11"/>
        <v>1.5825729590876053E-2</v>
      </c>
      <c r="F88" s="10">
        <v>1678</v>
      </c>
      <c r="G88" s="17">
        <f t="shared" si="12"/>
        <v>1.8735206109597606E-2</v>
      </c>
      <c r="H88" s="18">
        <f t="shared" si="10"/>
        <v>1.1838447006196127</v>
      </c>
      <c r="I88" s="198">
        <f t="shared" si="9"/>
        <v>9.6447867570985168E-2</v>
      </c>
      <c r="J88" s="100"/>
      <c r="K88" s="100"/>
      <c r="L88" s="18"/>
      <c r="M88" s="18"/>
      <c r="N88" s="18"/>
      <c r="O88" s="18"/>
      <c r="P88" s="18"/>
      <c r="Q88" s="18"/>
      <c r="R88" s="18"/>
      <c r="S88" s="83"/>
      <c r="T88" s="388"/>
    </row>
    <row r="89" spans="2:23" ht="15.75" thickBot="1" x14ac:dyDescent="0.3">
      <c r="C89" s="1"/>
      <c r="D89" s="8"/>
      <c r="S89" s="4"/>
      <c r="T89" s="28"/>
    </row>
    <row r="90" spans="2:23" x14ac:dyDescent="0.25">
      <c r="B90" s="373" t="s">
        <v>64</v>
      </c>
      <c r="C90" s="21" t="s">
        <v>65</v>
      </c>
      <c r="D90" s="23" t="s">
        <v>66</v>
      </c>
      <c r="E90" s="48" t="s">
        <v>67</v>
      </c>
      <c r="F90" s="48" t="s">
        <v>68</v>
      </c>
      <c r="G90" s="48" t="s">
        <v>51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7"/>
      <c r="T90" s="373" t="s">
        <v>19</v>
      </c>
    </row>
    <row r="91" spans="2:23" x14ac:dyDescent="0.25">
      <c r="B91" s="374"/>
      <c r="C91" s="1" t="s">
        <v>69</v>
      </c>
      <c r="D91" s="8">
        <v>90921</v>
      </c>
      <c r="E91" s="67">
        <v>912209</v>
      </c>
      <c r="F91" s="68"/>
      <c r="I91" s="8"/>
      <c r="S91" s="4"/>
      <c r="T91" s="374"/>
    </row>
    <row r="92" spans="2:23" x14ac:dyDescent="0.25">
      <c r="B92" s="374"/>
      <c r="C92" s="1" t="s">
        <v>70</v>
      </c>
      <c r="D92" s="70">
        <f>D91/H33</f>
        <v>0.64354725688521452</v>
      </c>
      <c r="E92" s="257">
        <v>0.22750000000000001</v>
      </c>
      <c r="F92" s="68"/>
      <c r="I92" s="8"/>
      <c r="S92" s="4"/>
      <c r="T92" s="374"/>
    </row>
    <row r="93" spans="2:23" x14ac:dyDescent="0.25">
      <c r="B93" s="374"/>
      <c r="C93" s="1"/>
      <c r="D93" s="199"/>
      <c r="E93" s="200"/>
      <c r="F93" s="14"/>
      <c r="I93" s="8"/>
      <c r="S93" s="4"/>
      <c r="T93" s="374"/>
      <c r="W93" s="8"/>
    </row>
    <row r="94" spans="2:23" ht="14.45" customHeight="1" x14ac:dyDescent="0.25">
      <c r="B94" s="374"/>
      <c r="C94" s="1" t="s">
        <v>71</v>
      </c>
      <c r="D94" s="8">
        <v>284510</v>
      </c>
      <c r="E94" s="201">
        <v>2233507</v>
      </c>
      <c r="F94" s="68"/>
      <c r="I94" s="8"/>
      <c r="S94" s="4"/>
      <c r="T94" s="374"/>
      <c r="U94" s="24"/>
      <c r="W94" s="14"/>
    </row>
    <row r="95" spans="2:23" x14ac:dyDescent="0.25">
      <c r="B95" s="374"/>
      <c r="C95" s="1" t="s">
        <v>72</v>
      </c>
      <c r="D95" s="71">
        <f>D94/D91</f>
        <v>3.1292000747902025</v>
      </c>
      <c r="E95" s="14">
        <f>E94/E91</f>
        <v>2.4484597279790048</v>
      </c>
      <c r="F95" s="14"/>
      <c r="I95" s="8"/>
      <c r="S95" s="4"/>
      <c r="T95" s="374"/>
    </row>
    <row r="96" spans="2:23" x14ac:dyDescent="0.25">
      <c r="B96" s="374"/>
      <c r="C96" s="1"/>
      <c r="D96" s="202"/>
      <c r="E96" s="169"/>
      <c r="F96" s="14"/>
      <c r="I96" s="8"/>
      <c r="S96" s="4"/>
      <c r="T96" s="374"/>
      <c r="W96" s="8"/>
    </row>
    <row r="97" spans="2:23" x14ac:dyDescent="0.25">
      <c r="B97" s="374"/>
      <c r="C97" s="1" t="s">
        <v>73</v>
      </c>
      <c r="D97" s="8">
        <v>154116</v>
      </c>
      <c r="E97" s="201">
        <v>1417482</v>
      </c>
      <c r="F97" s="14"/>
      <c r="I97" s="8"/>
      <c r="S97" s="4"/>
      <c r="T97" s="374"/>
      <c r="W97" s="14"/>
    </row>
    <row r="98" spans="2:23" x14ac:dyDescent="0.25">
      <c r="B98" s="374"/>
      <c r="C98" s="1" t="s">
        <v>74</v>
      </c>
      <c r="D98" s="71">
        <f>D97/D91</f>
        <v>1.6950539479328208</v>
      </c>
      <c r="E98" s="72">
        <f>E97/E91</f>
        <v>1.5539004767547788</v>
      </c>
      <c r="F98" s="14"/>
      <c r="S98" s="4"/>
      <c r="T98" s="374"/>
    </row>
    <row r="99" spans="2:23" ht="15.75" thickBot="1" x14ac:dyDescent="0.3">
      <c r="B99" s="375"/>
      <c r="C99" s="9" t="s">
        <v>75</v>
      </c>
      <c r="D99" s="84">
        <f>D94/D97</f>
        <v>1.8460769809753692</v>
      </c>
      <c r="E99" s="85">
        <f>E94/E97</f>
        <v>1.5756863226481888</v>
      </c>
      <c r="F99" s="18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11"/>
      <c r="T99" s="375"/>
    </row>
    <row r="100" spans="2:23" x14ac:dyDescent="0.25">
      <c r="D100" s="37"/>
      <c r="E100" s="22"/>
      <c r="F100" s="14"/>
    </row>
    <row r="101" spans="2:23" s="35" customFormat="1" x14ac:dyDescent="0.25">
      <c r="B101" s="47"/>
      <c r="C101" s="78"/>
      <c r="D101" s="8"/>
      <c r="E101" s="13"/>
    </row>
    <row r="102" spans="2:23" s="35" customFormat="1" x14ac:dyDescent="0.25">
      <c r="B102" s="47"/>
      <c r="C102" s="78"/>
      <c r="D102" s="8"/>
      <c r="E102" s="34"/>
    </row>
    <row r="103" spans="2:23" s="35" customFormat="1" x14ac:dyDescent="0.25">
      <c r="B103" s="47"/>
      <c r="C103" s="78"/>
      <c r="D103" s="8"/>
      <c r="E103" s="34"/>
    </row>
    <row r="104" spans="2:23" s="35" customFormat="1" x14ac:dyDescent="0.25">
      <c r="B104" s="47"/>
      <c r="C104" s="78"/>
      <c r="D104" s="8"/>
      <c r="E104" s="34"/>
    </row>
    <row r="105" spans="2:23" s="35" customFormat="1" x14ac:dyDescent="0.25">
      <c r="B105" s="47"/>
      <c r="C105" s="78"/>
      <c r="D105" s="8"/>
      <c r="E105" s="78"/>
    </row>
    <row r="106" spans="2:23" s="35" customFormat="1" x14ac:dyDescent="0.25">
      <c r="B106" s="47"/>
      <c r="C106" s="78"/>
      <c r="D106" s="8"/>
      <c r="E106" s="34"/>
    </row>
  </sheetData>
  <mergeCells count="15">
    <mergeCell ref="C2:S2"/>
    <mergeCell ref="D3:J3"/>
    <mergeCell ref="K3:M3"/>
    <mergeCell ref="N3:P3"/>
    <mergeCell ref="Q3:S3"/>
    <mergeCell ref="B90:B99"/>
    <mergeCell ref="T90:T99"/>
    <mergeCell ref="B4:B34"/>
    <mergeCell ref="B36:B72"/>
    <mergeCell ref="T36:T72"/>
    <mergeCell ref="B74:B88"/>
    <mergeCell ref="D74:E74"/>
    <mergeCell ref="F74:G74"/>
    <mergeCell ref="T74:T88"/>
    <mergeCell ref="T3:T3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763B2-918B-4BB5-A4E5-50EA77A7C05F}">
  <sheetPr codeName="Sheet30">
    <tabColor theme="9"/>
  </sheetPr>
  <dimension ref="A1:W107"/>
  <sheetViews>
    <sheetView topLeftCell="B44" workbookViewId="0">
      <selection activeCell="Q32" sqref="Q32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4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28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4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ref="D29:D34" si="4">H28</f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4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4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4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4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 t="shared" si="4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ht="15.75" thickBot="1" x14ac:dyDescent="0.3">
      <c r="B35" s="391"/>
      <c r="C35" s="88" t="s">
        <v>78</v>
      </c>
      <c r="D35" s="135"/>
      <c r="E35" s="135">
        <f>SUM(E5:E34)</f>
        <v>298656</v>
      </c>
      <c r="F35" s="135">
        <f>SUM(F5:F34)</f>
        <v>221490.52000000002</v>
      </c>
      <c r="G35" s="135">
        <f>SUM(G5:G34)</f>
        <v>156622</v>
      </c>
      <c r="H35" s="135"/>
      <c r="I35" s="136"/>
      <c r="J35" s="136"/>
      <c r="K35" s="135">
        <f>SUM(K5:K34)</f>
        <v>273745</v>
      </c>
      <c r="M35" s="136"/>
      <c r="N35" s="135">
        <f>SUM(N17:N34)</f>
        <v>23836</v>
      </c>
      <c r="O35" s="135"/>
      <c r="P35" s="136"/>
      <c r="Q35" s="113">
        <f>SUM(Q20:Q34)</f>
        <v>3795</v>
      </c>
      <c r="R35" s="93"/>
      <c r="S35" s="112"/>
      <c r="T35" s="375"/>
      <c r="U35" s="8"/>
      <c r="V35" s="142"/>
    </row>
    <row r="36" spans="1:22" ht="15.75" thickBot="1" x14ac:dyDescent="0.3">
      <c r="C36" s="45"/>
      <c r="D36" s="25"/>
      <c r="E36" s="50"/>
      <c r="F36" s="50"/>
      <c r="G36" s="50"/>
      <c r="H36" s="50"/>
      <c r="I36" s="50"/>
      <c r="J36" s="238"/>
      <c r="K36" s="50"/>
      <c r="L36" s="50"/>
      <c r="M36" s="50"/>
      <c r="N36" s="50"/>
      <c r="O36" s="50"/>
      <c r="P36" s="50"/>
      <c r="Q36" s="50"/>
      <c r="R36" s="50"/>
      <c r="S36" s="51"/>
      <c r="T36" s="27"/>
      <c r="V36" s="142"/>
    </row>
    <row r="37" spans="1:22" x14ac:dyDescent="0.25">
      <c r="B37" s="381" t="s">
        <v>13</v>
      </c>
      <c r="C37" s="94"/>
      <c r="D37" s="48" t="s">
        <v>95</v>
      </c>
      <c r="E37" s="48" t="s">
        <v>15</v>
      </c>
      <c r="F37" s="48" t="s">
        <v>96</v>
      </c>
      <c r="G37" s="48" t="s">
        <v>156</v>
      </c>
      <c r="H37" s="48" t="s">
        <v>18</v>
      </c>
      <c r="I37" s="94"/>
      <c r="J37" s="116"/>
      <c r="K37" s="116"/>
      <c r="L37" s="47"/>
      <c r="M37" s="94"/>
      <c r="N37" s="94"/>
      <c r="O37" s="94"/>
      <c r="Q37" s="94"/>
      <c r="R37" s="94"/>
      <c r="S37" s="49"/>
      <c r="T37" s="380" t="s">
        <v>19</v>
      </c>
      <c r="V37" s="142"/>
    </row>
    <row r="38" spans="1:22" x14ac:dyDescent="0.25">
      <c r="B38" s="382"/>
      <c r="C38" s="156" t="s">
        <v>20</v>
      </c>
      <c r="D38" s="47"/>
      <c r="E38" s="47"/>
      <c r="F38" s="47"/>
      <c r="G38" s="47"/>
      <c r="I38" s="154"/>
      <c r="M38" s="254"/>
      <c r="O38" s="47"/>
      <c r="P38" s="47"/>
      <c r="Q38" s="47"/>
      <c r="R38" s="47"/>
      <c r="S38" s="12"/>
      <c r="T38" s="380"/>
      <c r="V38" s="8"/>
    </row>
    <row r="39" spans="1:22" x14ac:dyDescent="0.25">
      <c r="B39" s="382"/>
      <c r="C39" s="47" t="s">
        <v>21</v>
      </c>
      <c r="D39" s="13">
        <v>0.495</v>
      </c>
      <c r="E39" s="13">
        <v>0.432</v>
      </c>
      <c r="F39" s="14">
        <f>D39/E39</f>
        <v>1.1458333333333333</v>
      </c>
      <c r="G39" s="13">
        <v>0.57299999999999995</v>
      </c>
      <c r="H39" s="14">
        <f>E39/G39</f>
        <v>0.75392670157068065</v>
      </c>
      <c r="I39" s="149"/>
      <c r="J39" s="222"/>
      <c r="K39" s="158"/>
      <c r="L39" s="158"/>
      <c r="M39" s="14"/>
      <c r="N39" s="47"/>
      <c r="O39" s="14"/>
      <c r="P39" s="14"/>
      <c r="Q39" s="14"/>
      <c r="R39" s="14"/>
      <c r="S39" s="15"/>
      <c r="T39" s="380"/>
      <c r="V39" s="8"/>
    </row>
    <row r="40" spans="1:22" x14ac:dyDescent="0.25">
      <c r="B40" s="382"/>
      <c r="C40" s="47" t="s">
        <v>22</v>
      </c>
      <c r="D40" s="13">
        <v>0.505</v>
      </c>
      <c r="E40" s="13">
        <v>0.56799999999999995</v>
      </c>
      <c r="F40" s="14">
        <f t="shared" ref="F40:F73" si="5">D40/E40</f>
        <v>0.88908450704225361</v>
      </c>
      <c r="G40" s="13">
        <v>0.42699999999999999</v>
      </c>
      <c r="H40" s="14">
        <f t="shared" ref="H40:H57" si="6">E40/G40</f>
        <v>1.3302107728337236</v>
      </c>
      <c r="I40" s="149"/>
      <c r="J40" s="222"/>
      <c r="K40" s="158"/>
      <c r="L40" s="14"/>
      <c r="M40" s="14"/>
      <c r="N40" s="14"/>
      <c r="O40" s="14"/>
      <c r="P40" s="14"/>
      <c r="Q40" s="14"/>
      <c r="R40" s="14"/>
      <c r="S40" s="15"/>
      <c r="T40" s="380"/>
    </row>
    <row r="41" spans="1:22" x14ac:dyDescent="0.25">
      <c r="B41" s="382"/>
      <c r="D41" s="190"/>
      <c r="E41" s="190"/>
      <c r="F41" s="14"/>
      <c r="G41" s="190"/>
      <c r="H41" s="170"/>
      <c r="I41" s="149"/>
      <c r="J41" s="222"/>
      <c r="K41" s="14"/>
      <c r="L41" s="14"/>
      <c r="M41" s="14"/>
      <c r="N41" s="14"/>
      <c r="O41" s="14"/>
      <c r="P41" s="14"/>
      <c r="Q41" s="14"/>
      <c r="R41" s="14"/>
      <c r="S41" s="15"/>
      <c r="T41" s="380"/>
    </row>
    <row r="42" spans="1:22" x14ac:dyDescent="0.25">
      <c r="B42" s="382"/>
      <c r="C42" s="156" t="s">
        <v>23</v>
      </c>
      <c r="D42" s="169"/>
      <c r="E42" s="169"/>
      <c r="F42" s="14"/>
      <c r="G42" s="190"/>
      <c r="H42" s="170"/>
      <c r="I42" s="149"/>
      <c r="J42" s="39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25">
      <c r="B43" s="382"/>
      <c r="C43" s="47" t="s">
        <v>24</v>
      </c>
      <c r="D43" s="13">
        <v>0</v>
      </c>
      <c r="E43" s="13">
        <v>0</v>
      </c>
      <c r="F43" s="14" t="s">
        <v>12</v>
      </c>
      <c r="G43" s="13">
        <v>0.01</v>
      </c>
      <c r="H43" s="14" t="s">
        <v>12</v>
      </c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25">
      <c r="B44" s="382"/>
      <c r="C44" s="47" t="s">
        <v>25</v>
      </c>
      <c r="D44" s="13">
        <v>4.3999999999999997E-2</v>
      </c>
      <c r="E44" s="13">
        <v>3.2000000000000001E-2</v>
      </c>
      <c r="F44" s="14">
        <f t="shared" si="5"/>
        <v>1.375</v>
      </c>
      <c r="G44" s="13">
        <v>0.11</v>
      </c>
      <c r="H44" s="14">
        <f>E44/G44</f>
        <v>0.29090909090909089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25">
      <c r="B45" s="382"/>
      <c r="C45" s="47" t="s">
        <v>26</v>
      </c>
      <c r="D45" s="13">
        <v>0.44900000000000001</v>
      </c>
      <c r="E45" s="13">
        <v>0.39400000000000002</v>
      </c>
      <c r="F45" s="14">
        <f t="shared" si="5"/>
        <v>1.1395939086294415</v>
      </c>
      <c r="G45" s="13">
        <v>0.29099999999999998</v>
      </c>
      <c r="H45" s="14">
        <f>E45/G45</f>
        <v>1.3539518900343643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25">
      <c r="B46" s="382"/>
      <c r="C46" s="47" t="s">
        <v>27</v>
      </c>
      <c r="D46" s="13">
        <v>0.35699999999999998</v>
      </c>
      <c r="E46" s="13">
        <v>0.39800000000000002</v>
      </c>
      <c r="F46" s="14">
        <f t="shared" si="5"/>
        <v>0.89698492462311552</v>
      </c>
      <c r="G46" s="13">
        <v>0.32100000000000001</v>
      </c>
      <c r="H46" s="14">
        <f t="shared" si="6"/>
        <v>1.2398753894080998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C47" s="47" t="s">
        <v>28</v>
      </c>
      <c r="D47" s="13">
        <v>0.126</v>
      </c>
      <c r="E47" s="13">
        <v>0.153</v>
      </c>
      <c r="F47" s="14">
        <f t="shared" si="5"/>
        <v>0.82352941176470595</v>
      </c>
      <c r="G47" s="13">
        <v>0.183</v>
      </c>
      <c r="H47" s="14">
        <f>E47/G47</f>
        <v>0.83606557377049184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C48" s="47" t="s">
        <v>29</v>
      </c>
      <c r="D48" s="13">
        <v>2.3E-2</v>
      </c>
      <c r="E48" s="13">
        <v>2.3E-2</v>
      </c>
      <c r="F48" s="14">
        <f t="shared" si="5"/>
        <v>1</v>
      </c>
      <c r="G48" s="13">
        <v>8.5000000000000006E-2</v>
      </c>
      <c r="H48" s="14">
        <f t="shared" si="6"/>
        <v>0.27058823529411763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D49" s="190"/>
      <c r="E49" s="190"/>
      <c r="F49" s="14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156" t="s">
        <v>30</v>
      </c>
      <c r="D50" s="169"/>
      <c r="E50" s="169"/>
      <c r="F50" s="14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31</v>
      </c>
      <c r="D51" s="13">
        <v>0.503</v>
      </c>
      <c r="E51" s="191">
        <v>0.47399999999999998</v>
      </c>
      <c r="F51" s="14">
        <f t="shared" ref="F51:F57" si="7">D51/E51</f>
        <v>1.0611814345991561</v>
      </c>
      <c r="G51" s="13">
        <v>0.47599999999999998</v>
      </c>
      <c r="H51" s="14">
        <f>E51/G51</f>
        <v>0.99579831932773111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32</v>
      </c>
      <c r="D52" s="13">
        <v>0.20100000000000001</v>
      </c>
      <c r="E52" s="243">
        <v>0.20300000000000001</v>
      </c>
      <c r="F52" s="14">
        <f t="shared" si="7"/>
        <v>0.99014778325123154</v>
      </c>
      <c r="G52" s="13">
        <v>0.14399999999999999</v>
      </c>
      <c r="H52" s="14">
        <f t="shared" si="6"/>
        <v>1.4097222222222223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33</v>
      </c>
      <c r="D53" s="13">
        <v>0.11</v>
      </c>
      <c r="E53" s="243">
        <v>0.126</v>
      </c>
      <c r="F53" s="14">
        <f t="shared" si="7"/>
        <v>0.87301587301587302</v>
      </c>
      <c r="G53" s="13">
        <v>0.13300000000000001</v>
      </c>
      <c r="H53" s="14">
        <f t="shared" si="6"/>
        <v>0.94736842105263153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34</v>
      </c>
      <c r="D54" s="13">
        <v>0.09</v>
      </c>
      <c r="E54" s="243">
        <v>9.4E-2</v>
      </c>
      <c r="F54" s="14">
        <f t="shared" si="7"/>
        <v>0.95744680851063824</v>
      </c>
      <c r="G54" s="13">
        <v>0.11</v>
      </c>
      <c r="H54" s="14">
        <f t="shared" si="6"/>
        <v>0.8545454545454545</v>
      </c>
      <c r="I54" s="223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35</v>
      </c>
      <c r="D55" s="13">
        <v>2.1999999999999999E-2</v>
      </c>
      <c r="E55" s="243">
        <v>2.1999999999999999E-2</v>
      </c>
      <c r="F55" s="14">
        <f t="shared" si="7"/>
        <v>1</v>
      </c>
      <c r="G55" s="13">
        <v>3.5000000000000003E-2</v>
      </c>
      <c r="H55" s="14">
        <f t="shared" si="6"/>
        <v>0.62857142857142845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36</v>
      </c>
      <c r="D56" s="13">
        <v>1.2999999999999999E-2</v>
      </c>
      <c r="E56" s="243">
        <v>1.4999999999999999E-2</v>
      </c>
      <c r="F56" s="14">
        <f t="shared" si="7"/>
        <v>0.8666666666666667</v>
      </c>
      <c r="G56" s="13">
        <v>2.5999999999999999E-2</v>
      </c>
      <c r="H56" s="14">
        <f t="shared" si="6"/>
        <v>0.57692307692307698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37</v>
      </c>
      <c r="D57" s="13">
        <v>6.0999999999999999E-2</v>
      </c>
      <c r="E57" s="243">
        <v>6.5000000000000002E-2</v>
      </c>
      <c r="F57" s="14">
        <f t="shared" si="7"/>
        <v>0.93846153846153846</v>
      </c>
      <c r="G57" s="13">
        <v>7.6999999999999999E-2</v>
      </c>
      <c r="H57" s="14">
        <f t="shared" si="6"/>
        <v>0.84415584415584421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D58" s="190"/>
      <c r="E58" s="190"/>
      <c r="F58" s="14"/>
      <c r="G58" s="190"/>
      <c r="H58" s="170"/>
      <c r="I58" s="149"/>
      <c r="J58" s="222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156" t="s">
        <v>38</v>
      </c>
      <c r="D59" s="169"/>
      <c r="E59" s="169"/>
      <c r="F59" s="14"/>
      <c r="G59" s="190"/>
      <c r="H59" s="170"/>
      <c r="I59" s="149"/>
      <c r="J59" s="222"/>
      <c r="K59" s="239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39</v>
      </c>
      <c r="D60" s="13">
        <v>0.5</v>
      </c>
      <c r="E60" s="13">
        <v>0.4</v>
      </c>
      <c r="F60" s="14">
        <f t="shared" si="5"/>
        <v>1.25</v>
      </c>
      <c r="G60" s="16">
        <v>0.4</v>
      </c>
      <c r="H60" s="72">
        <f>E60/G60</f>
        <v>1</v>
      </c>
      <c r="I60" s="149"/>
      <c r="J60" s="240"/>
      <c r="K60" s="241"/>
      <c r="L60" s="16"/>
      <c r="M60" s="16"/>
      <c r="N60" s="68"/>
      <c r="O60" s="16"/>
      <c r="P60" s="16"/>
      <c r="Q60" s="16"/>
      <c r="R60" s="16"/>
      <c r="S60" s="36"/>
      <c r="T60" s="380"/>
    </row>
    <row r="61" spans="2:20" x14ac:dyDescent="0.25">
      <c r="B61" s="382"/>
      <c r="C61" s="47" t="s">
        <v>40</v>
      </c>
      <c r="D61" s="13">
        <v>5.2999999999999999E-2</v>
      </c>
      <c r="E61" s="13">
        <v>4.9000000000000002E-2</v>
      </c>
      <c r="F61" s="14">
        <f t="shared" si="5"/>
        <v>1.0816326530612244</v>
      </c>
      <c r="G61" s="13">
        <v>6.3E-2</v>
      </c>
      <c r="H61" s="72">
        <f t="shared" ref="H61:H65" si="8">E61/G61</f>
        <v>0.77777777777777779</v>
      </c>
      <c r="I61" s="149"/>
      <c r="J61" s="240"/>
      <c r="K61" s="241"/>
      <c r="L61" s="14"/>
      <c r="M61" s="16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41</v>
      </c>
      <c r="D62" s="13">
        <v>9.1999999999999998E-2</v>
      </c>
      <c r="E62" s="13">
        <v>9.2999999999999999E-2</v>
      </c>
      <c r="F62" s="14">
        <f t="shared" si="5"/>
        <v>0.989247311827957</v>
      </c>
      <c r="G62" s="13">
        <v>0.11899999999999999</v>
      </c>
      <c r="H62" s="72">
        <f t="shared" si="8"/>
        <v>0.78151260504201681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42</v>
      </c>
      <c r="D63" s="13">
        <v>0.109</v>
      </c>
      <c r="E63" s="13">
        <v>0.121</v>
      </c>
      <c r="F63" s="14">
        <f t="shared" si="5"/>
        <v>0.90082644628099173</v>
      </c>
      <c r="G63" s="13">
        <v>0.14000000000000001</v>
      </c>
      <c r="H63" s="72">
        <f t="shared" si="8"/>
        <v>0.86428571428571421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43</v>
      </c>
      <c r="D64" s="13">
        <v>0.13100000000000001</v>
      </c>
      <c r="E64" s="13">
        <v>0.16200000000000001</v>
      </c>
      <c r="F64" s="14">
        <f t="shared" si="5"/>
        <v>0.80864197530864201</v>
      </c>
      <c r="G64" s="13">
        <v>0.153</v>
      </c>
      <c r="H64" s="72">
        <f t="shared" si="8"/>
        <v>1.0588235294117647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44</v>
      </c>
      <c r="D65" s="13">
        <v>0.115</v>
      </c>
      <c r="E65" s="13">
        <v>0.17499999999999999</v>
      </c>
      <c r="F65" s="14">
        <f t="shared" si="5"/>
        <v>0.65714285714285725</v>
      </c>
      <c r="G65" s="13">
        <v>0.125</v>
      </c>
      <c r="H65" s="72">
        <f t="shared" si="8"/>
        <v>1.4</v>
      </c>
      <c r="J65" s="34"/>
      <c r="K65" s="239"/>
      <c r="O65" s="14"/>
      <c r="P65" s="14"/>
      <c r="Q65" s="14"/>
      <c r="R65" s="14"/>
      <c r="S65" s="15"/>
      <c r="T65" s="380"/>
    </row>
    <row r="66" spans="2:20" x14ac:dyDescent="0.25">
      <c r="B66" s="382"/>
      <c r="D66" s="190"/>
      <c r="E66" s="190"/>
      <c r="F66" s="14"/>
      <c r="G66" s="190"/>
      <c r="H66" s="170"/>
      <c r="I66" s="149"/>
      <c r="J66" s="222"/>
      <c r="K66" s="14"/>
      <c r="O66" s="14"/>
      <c r="P66" s="14"/>
      <c r="Q66" s="14"/>
      <c r="R66" s="14"/>
      <c r="S66" s="15"/>
      <c r="T66" s="380"/>
    </row>
    <row r="67" spans="2:20" x14ac:dyDescent="0.25">
      <c r="B67" s="382"/>
      <c r="C67" s="156" t="s">
        <v>157</v>
      </c>
      <c r="D67" s="190"/>
      <c r="E67" s="190"/>
      <c r="F67" s="14"/>
      <c r="G67" s="190"/>
      <c r="H67" s="170"/>
      <c r="I67" s="149"/>
      <c r="J67" s="39"/>
      <c r="K67" s="14"/>
      <c r="L67" s="14"/>
      <c r="M67" s="14"/>
      <c r="N67" s="14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39</v>
      </c>
      <c r="D68" s="13">
        <v>0.23899999999999999</v>
      </c>
      <c r="E68" s="13">
        <v>5.8999999999999997E-2</v>
      </c>
      <c r="F68" s="14">
        <f t="shared" si="5"/>
        <v>4.0508474576271185</v>
      </c>
      <c r="G68" s="191">
        <v>0.15</v>
      </c>
      <c r="H68" s="72">
        <f>E68/G68</f>
        <v>0.39333333333333331</v>
      </c>
      <c r="I68" s="149"/>
      <c r="J68" s="38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40</v>
      </c>
      <c r="D69" s="13">
        <v>6.2E-2</v>
      </c>
      <c r="E69" s="13">
        <v>5.0999999999999997E-2</v>
      </c>
      <c r="F69" s="14">
        <f t="shared" si="5"/>
        <v>1.215686274509804</v>
      </c>
      <c r="G69" s="191">
        <v>0.108</v>
      </c>
      <c r="H69" s="72">
        <f t="shared" ref="H69:H73" si="9">E69/G69</f>
        <v>0.47222222222222221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41</v>
      </c>
      <c r="D70" s="13">
        <v>0.12</v>
      </c>
      <c r="E70" s="13">
        <v>0.124</v>
      </c>
      <c r="F70" s="14">
        <f t="shared" si="5"/>
        <v>0.96774193548387089</v>
      </c>
      <c r="G70" s="191">
        <v>0.189</v>
      </c>
      <c r="H70" s="72">
        <f t="shared" si="9"/>
        <v>0.65608465608465605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25">
      <c r="B71" s="382"/>
      <c r="C71" s="47" t="s">
        <v>42</v>
      </c>
      <c r="D71" s="13">
        <v>0.159</v>
      </c>
      <c r="E71" s="13">
        <v>0.17100000000000001</v>
      </c>
      <c r="F71" s="14">
        <f t="shared" si="5"/>
        <v>0.92982456140350866</v>
      </c>
      <c r="G71" s="191">
        <v>0.19600000000000001</v>
      </c>
      <c r="H71" s="72">
        <f t="shared" si="9"/>
        <v>0.87244897959183676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25">
      <c r="B72" s="382"/>
      <c r="C72" s="47" t="s">
        <v>43</v>
      </c>
      <c r="D72" s="13">
        <v>0.20300000000000001</v>
      </c>
      <c r="E72" s="13">
        <v>0.25800000000000001</v>
      </c>
      <c r="F72" s="14">
        <f t="shared" si="5"/>
        <v>0.78682170542635665</v>
      </c>
      <c r="G72" s="191">
        <v>0.19500000000000001</v>
      </c>
      <c r="H72" s="72">
        <f t="shared" si="9"/>
        <v>1.323076923076923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ht="15.75" thickBot="1" x14ac:dyDescent="0.3">
      <c r="B73" s="383"/>
      <c r="C73" s="47" t="s">
        <v>44</v>
      </c>
      <c r="D73" s="13">
        <v>0.217</v>
      </c>
      <c r="E73" s="13">
        <v>0.33600000000000002</v>
      </c>
      <c r="F73" s="14">
        <f t="shared" si="5"/>
        <v>0.64583333333333326</v>
      </c>
      <c r="G73" s="191">
        <v>0.16200000000000001</v>
      </c>
      <c r="H73" s="72">
        <f t="shared" si="9"/>
        <v>2.074074074074074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ht="15.75" thickBot="1" x14ac:dyDescent="0.3">
      <c r="B74" s="60"/>
      <c r="C74" s="45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26"/>
      <c r="T74" s="27"/>
    </row>
    <row r="75" spans="2:20" x14ac:dyDescent="0.25">
      <c r="B75" s="373" t="s">
        <v>45</v>
      </c>
      <c r="C75" s="5"/>
      <c r="D75" s="385" t="s">
        <v>46</v>
      </c>
      <c r="E75" s="385"/>
      <c r="F75" s="385" t="s">
        <v>47</v>
      </c>
      <c r="G75" s="385"/>
      <c r="H75" s="42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7"/>
      <c r="T75" s="386" t="s">
        <v>48</v>
      </c>
    </row>
    <row r="76" spans="2:20" x14ac:dyDescent="0.25">
      <c r="B76" s="374"/>
      <c r="C76" s="1"/>
      <c r="D76" s="40" t="s">
        <v>49</v>
      </c>
      <c r="E76" s="40" t="s">
        <v>50</v>
      </c>
      <c r="F76" s="40" t="s">
        <v>49</v>
      </c>
      <c r="G76" s="40" t="s">
        <v>50</v>
      </c>
      <c r="H76" s="41" t="s">
        <v>51</v>
      </c>
      <c r="I76" s="96" t="s">
        <v>52</v>
      </c>
      <c r="J76" s="97"/>
      <c r="K76" s="97"/>
      <c r="L76" s="97"/>
      <c r="M76" s="97"/>
      <c r="N76" s="97"/>
      <c r="O76" s="97"/>
      <c r="P76" s="97"/>
      <c r="Q76" s="97"/>
      <c r="R76" s="97"/>
      <c r="S76" s="99"/>
      <c r="T76" s="387"/>
    </row>
    <row r="77" spans="2:20" x14ac:dyDescent="0.25">
      <c r="B77" s="374"/>
      <c r="C77" s="2" t="s">
        <v>53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4"/>
      <c r="T77" s="387"/>
    </row>
    <row r="78" spans="2:20" x14ac:dyDescent="0.25">
      <c r="B78" s="374"/>
      <c r="C78" s="1" t="s">
        <v>54</v>
      </c>
      <c r="D78" s="167">
        <v>2248958</v>
      </c>
      <c r="E78" s="163">
        <f>D78/D80</f>
        <v>0.74459833318103386</v>
      </c>
      <c r="F78" s="168">
        <v>145814</v>
      </c>
      <c r="G78" s="160">
        <f>F78/$F$80</f>
        <v>0.71300597537480559</v>
      </c>
      <c r="H78" s="161">
        <f>G78/E78</f>
        <v>0.95757127514473328</v>
      </c>
      <c r="I78" s="191">
        <f>F78/D78</f>
        <v>6.4836248609355981E-2</v>
      </c>
      <c r="J78" s="39"/>
      <c r="K78" s="39"/>
      <c r="L78" s="14"/>
      <c r="M78" s="14"/>
      <c r="N78" s="14"/>
      <c r="O78" s="14"/>
      <c r="P78" s="14"/>
      <c r="Q78" s="14"/>
      <c r="R78" s="14"/>
      <c r="S78" s="82"/>
      <c r="T78" s="387"/>
    </row>
    <row r="79" spans="2:20" x14ac:dyDescent="0.25">
      <c r="B79" s="374"/>
      <c r="C79" s="1" t="s">
        <v>55</v>
      </c>
      <c r="D79" s="167">
        <f>SUM(D83:D89)</f>
        <v>771406</v>
      </c>
      <c r="E79" s="163">
        <f>D79/D80</f>
        <v>0.2554016668189662</v>
      </c>
      <c r="F79" s="168">
        <f>SUM(F83:F89)</f>
        <v>58692</v>
      </c>
      <c r="G79" s="160">
        <f>F79/$F$80</f>
        <v>0.28699402462519435</v>
      </c>
      <c r="H79" s="161">
        <f>G79/E79</f>
        <v>1.1236967565627576</v>
      </c>
      <c r="I79" s="191">
        <f t="shared" ref="I79:I89" si="10">F79/D79</f>
        <v>7.6084448396823462E-2</v>
      </c>
      <c r="J79" s="39"/>
      <c r="K79" s="39"/>
      <c r="L79" s="252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" t="s">
        <v>53</v>
      </c>
      <c r="D80" s="167">
        <f>SUM(D78:D79)</f>
        <v>3020364</v>
      </c>
      <c r="E80" s="192"/>
      <c r="F80" s="168">
        <f>SUM(F78:F79)</f>
        <v>204506</v>
      </c>
      <c r="G80" s="169"/>
      <c r="H80" s="161"/>
      <c r="I80" s="191">
        <f t="shared" si="10"/>
        <v>6.770905758378791E-2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/>
      <c r="D81" s="192"/>
      <c r="E81" s="192"/>
      <c r="F81" s="171"/>
      <c r="G81" s="169"/>
      <c r="H81" s="161"/>
      <c r="I81" s="191"/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2" t="s">
        <v>56</v>
      </c>
      <c r="D82" s="192"/>
      <c r="E82" s="192"/>
      <c r="F82" s="169"/>
      <c r="G82" s="169"/>
      <c r="H82" s="161"/>
      <c r="I82" s="191"/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 t="s">
        <v>57</v>
      </c>
      <c r="D83" s="167">
        <v>285234</v>
      </c>
      <c r="E83" s="163">
        <f>D83/$D$79</f>
        <v>0.36975859664042021</v>
      </c>
      <c r="F83" s="168">
        <v>22271</v>
      </c>
      <c r="G83" s="160">
        <f>F83/$F$79</f>
        <v>0.37945546241395761</v>
      </c>
      <c r="H83" s="161">
        <f t="shared" ref="H83:H89" si="11">G83/E83</f>
        <v>1.0262248555182811</v>
      </c>
      <c r="I83" s="191">
        <f t="shared" si="10"/>
        <v>7.8079752063218266E-2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 t="s">
        <v>58</v>
      </c>
      <c r="D84" s="167">
        <v>142708</v>
      </c>
      <c r="E84" s="163">
        <f t="shared" ref="E84:E89" si="12">D84/$D$79</f>
        <v>0.18499726473478298</v>
      </c>
      <c r="F84" s="168">
        <v>16302</v>
      </c>
      <c r="G84" s="160">
        <f t="shared" ref="G84:G89" si="13">F84/$F$79</f>
        <v>0.27775506031486402</v>
      </c>
      <c r="H84" s="161">
        <f t="shared" si="11"/>
        <v>1.501400902943409</v>
      </c>
      <c r="I84" s="191">
        <f t="shared" si="10"/>
        <v>0.11423325952294196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 t="s">
        <v>59</v>
      </c>
      <c r="D85" s="167">
        <v>50005</v>
      </c>
      <c r="E85" s="163">
        <f t="shared" si="12"/>
        <v>6.4823192974905561E-2</v>
      </c>
      <c r="F85" s="168">
        <v>5774</v>
      </c>
      <c r="G85" s="160">
        <f t="shared" si="13"/>
        <v>9.8377973147958833E-2</v>
      </c>
      <c r="H85" s="161">
        <f t="shared" si="11"/>
        <v>1.5176354115423325</v>
      </c>
      <c r="I85" s="191">
        <f t="shared" si="10"/>
        <v>0.11546845315468453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72" t="s">
        <v>60</v>
      </c>
      <c r="D86" s="168">
        <v>177825</v>
      </c>
      <c r="E86" s="163">
        <f t="shared" si="12"/>
        <v>0.23052063375187645</v>
      </c>
      <c r="F86" s="174">
        <v>9310</v>
      </c>
      <c r="G86" s="160">
        <f t="shared" si="13"/>
        <v>0.15862468479520206</v>
      </c>
      <c r="H86" s="161">
        <f t="shared" si="11"/>
        <v>0.68811490847252998</v>
      </c>
      <c r="I86" s="191">
        <f t="shared" si="10"/>
        <v>5.2354843244763111E-2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" t="s">
        <v>61</v>
      </c>
      <c r="D87" s="167">
        <v>61609</v>
      </c>
      <c r="E87" s="163">
        <f t="shared" si="12"/>
        <v>7.986585533428571E-2</v>
      </c>
      <c r="F87" s="168">
        <v>975</v>
      </c>
      <c r="G87" s="160">
        <f t="shared" si="13"/>
        <v>1.6612144755673686E-2</v>
      </c>
      <c r="H87" s="161">
        <f t="shared" si="11"/>
        <v>0.20800058656032747</v>
      </c>
      <c r="I87" s="191">
        <f t="shared" si="10"/>
        <v>1.5825609894658248E-2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1" t="s">
        <v>62</v>
      </c>
      <c r="D88" s="167">
        <v>42043</v>
      </c>
      <c r="E88" s="163">
        <f t="shared" si="12"/>
        <v>5.4501779866892398E-2</v>
      </c>
      <c r="F88" s="168">
        <v>2943</v>
      </c>
      <c r="G88" s="160">
        <f>F88/$F$79</f>
        <v>5.0143120016356575E-2</v>
      </c>
      <c r="H88" s="161">
        <f t="shared" si="11"/>
        <v>0.92002720165871998</v>
      </c>
      <c r="I88" s="191">
        <f t="shared" si="10"/>
        <v>6.9999762148276759E-2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  <c r="W88" s="13"/>
    </row>
    <row r="89" spans="2:23" ht="15.75" thickBot="1" x14ac:dyDescent="0.3">
      <c r="B89" s="375"/>
      <c r="C89" s="9" t="s">
        <v>63</v>
      </c>
      <c r="D89" s="175">
        <v>11982</v>
      </c>
      <c r="E89" s="179">
        <f t="shared" si="12"/>
        <v>1.5532676696836686E-2</v>
      </c>
      <c r="F89" s="177">
        <v>1117</v>
      </c>
      <c r="G89" s="176">
        <f t="shared" si="13"/>
        <v>1.9031554555987186E-2</v>
      </c>
      <c r="H89" s="178">
        <f t="shared" si="11"/>
        <v>1.2252591699061801</v>
      </c>
      <c r="I89" s="198">
        <f t="shared" si="10"/>
        <v>9.3223168085461522E-2</v>
      </c>
      <c r="J89" s="100"/>
      <c r="K89" s="100"/>
      <c r="L89" s="18"/>
      <c r="M89" s="18"/>
      <c r="N89" s="18"/>
      <c r="O89" s="18"/>
      <c r="P89" s="18"/>
      <c r="Q89" s="18"/>
      <c r="R89" s="18"/>
      <c r="S89" s="83"/>
      <c r="T89" s="388"/>
    </row>
    <row r="90" spans="2:23" ht="15.75" thickBot="1" x14ac:dyDescent="0.3">
      <c r="C90" s="1"/>
      <c r="D90" s="8"/>
      <c r="S90" s="4"/>
      <c r="T90" s="28"/>
    </row>
    <row r="91" spans="2:23" x14ac:dyDescent="0.25">
      <c r="B91" s="373" t="s">
        <v>64</v>
      </c>
      <c r="C91" s="21" t="s">
        <v>65</v>
      </c>
      <c r="D91" s="23" t="s">
        <v>66</v>
      </c>
      <c r="E91" s="48" t="s">
        <v>67</v>
      </c>
      <c r="F91" s="48" t="s">
        <v>68</v>
      </c>
      <c r="G91" s="48" t="s">
        <v>51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7"/>
      <c r="T91" s="373" t="s">
        <v>19</v>
      </c>
    </row>
    <row r="92" spans="2:23" x14ac:dyDescent="0.25">
      <c r="B92" s="374"/>
      <c r="C92" s="1" t="s">
        <v>69</v>
      </c>
      <c r="D92" s="168">
        <v>77942</v>
      </c>
      <c r="E92" s="180">
        <v>717004</v>
      </c>
      <c r="F92" s="68"/>
      <c r="I92" s="8"/>
      <c r="S92" s="4"/>
      <c r="T92" s="374"/>
    </row>
    <row r="93" spans="2:23" x14ac:dyDescent="0.25">
      <c r="B93" s="374"/>
      <c r="C93" s="1" t="s">
        <v>70</v>
      </c>
      <c r="D93" s="181">
        <f>D92/H34</f>
        <v>0.55144260021791114</v>
      </c>
      <c r="E93" s="182">
        <v>0.17929999999999999</v>
      </c>
      <c r="F93" s="68"/>
      <c r="I93" s="8"/>
      <c r="S93" s="4"/>
      <c r="T93" s="374"/>
    </row>
    <row r="94" spans="2:23" x14ac:dyDescent="0.25">
      <c r="B94" s="374"/>
      <c r="C94" s="1"/>
      <c r="D94" s="199"/>
      <c r="E94" s="200"/>
      <c r="F94" s="14"/>
      <c r="I94" s="8"/>
      <c r="S94" s="4"/>
      <c r="T94" s="374"/>
      <c r="W94" s="8"/>
    </row>
    <row r="95" spans="2:23" ht="14.45" customHeight="1" x14ac:dyDescent="0.25">
      <c r="B95" s="374"/>
      <c r="C95" s="1" t="s">
        <v>71</v>
      </c>
      <c r="D95" s="168">
        <v>204506</v>
      </c>
      <c r="E95" s="183">
        <v>1589239</v>
      </c>
      <c r="F95" s="68"/>
      <c r="I95" s="8"/>
      <c r="S95" s="4"/>
      <c r="T95" s="374"/>
      <c r="U95" s="24"/>
      <c r="W95" s="14"/>
    </row>
    <row r="96" spans="2:23" x14ac:dyDescent="0.25">
      <c r="B96" s="374"/>
      <c r="C96" s="1" t="s">
        <v>72</v>
      </c>
      <c r="D96" s="184">
        <f>D95/D92</f>
        <v>2.6238228426265686</v>
      </c>
      <c r="E96" s="161">
        <f>E95/E92</f>
        <v>2.2164994895425969</v>
      </c>
      <c r="F96" s="14"/>
      <c r="I96" s="8"/>
      <c r="S96" s="4"/>
      <c r="T96" s="374"/>
    </row>
    <row r="97" spans="2:23" x14ac:dyDescent="0.25">
      <c r="B97" s="374"/>
      <c r="C97" s="1"/>
      <c r="D97" s="202"/>
      <c r="E97" s="169"/>
      <c r="F97" s="14"/>
      <c r="I97" s="8"/>
      <c r="S97" s="4"/>
      <c r="T97" s="374"/>
      <c r="W97" s="8"/>
    </row>
    <row r="98" spans="2:23" x14ac:dyDescent="0.25">
      <c r="B98" s="374"/>
      <c r="C98" s="1" t="s">
        <v>73</v>
      </c>
      <c r="D98" s="168">
        <v>120381</v>
      </c>
      <c r="E98" s="183">
        <v>1033137</v>
      </c>
      <c r="F98" s="14"/>
      <c r="I98" s="8"/>
      <c r="S98" s="4"/>
      <c r="T98" s="374"/>
      <c r="W98" s="14"/>
    </row>
    <row r="99" spans="2:23" x14ac:dyDescent="0.25">
      <c r="B99" s="374"/>
      <c r="C99" s="1" t="s">
        <v>74</v>
      </c>
      <c r="D99" s="184">
        <f>D98/D92</f>
        <v>1.5444946242077442</v>
      </c>
      <c r="E99" s="165">
        <f>E98/E92</f>
        <v>1.4409082794517185</v>
      </c>
      <c r="F99" s="14"/>
      <c r="S99" s="4"/>
      <c r="T99" s="374"/>
    </row>
    <row r="100" spans="2:23" ht="15.75" thickBot="1" x14ac:dyDescent="0.3">
      <c r="B100" s="375"/>
      <c r="C100" s="9" t="s">
        <v>75</v>
      </c>
      <c r="D100" s="185">
        <f>D95/D98</f>
        <v>1.698822903946636</v>
      </c>
      <c r="E100" s="186">
        <f>E95/E98</f>
        <v>1.5382654962507392</v>
      </c>
      <c r="F100" s="18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11"/>
      <c r="T100" s="375"/>
    </row>
    <row r="101" spans="2:23" x14ac:dyDescent="0.25">
      <c r="D101" s="37"/>
      <c r="E101" s="22"/>
      <c r="F101" s="14"/>
    </row>
    <row r="102" spans="2:23" s="35" customFormat="1" x14ac:dyDescent="0.25">
      <c r="B102" s="47"/>
      <c r="C102" s="78"/>
      <c r="D102" s="8"/>
      <c r="E102" s="13"/>
    </row>
    <row r="103" spans="2:23" s="35" customFormat="1" x14ac:dyDescent="0.25">
      <c r="B103" s="47"/>
      <c r="C103" s="78"/>
      <c r="D103" s="8"/>
      <c r="E103" s="34"/>
    </row>
    <row r="104" spans="2:23" s="35" customFormat="1" x14ac:dyDescent="0.25">
      <c r="B104" s="47"/>
      <c r="C104" s="78"/>
      <c r="D104" s="8"/>
      <c r="E104" s="34"/>
    </row>
    <row r="105" spans="2:23" s="35" customFormat="1" x14ac:dyDescent="0.25">
      <c r="B105" s="47"/>
      <c r="C105" s="78"/>
      <c r="D105" s="8"/>
      <c r="E105" s="34"/>
    </row>
    <row r="106" spans="2:23" s="35" customFormat="1" x14ac:dyDescent="0.25">
      <c r="B106" s="47"/>
      <c r="C106" s="78"/>
      <c r="D106" s="8"/>
      <c r="E106" s="78"/>
    </row>
    <row r="107" spans="2:23" s="35" customFormat="1" x14ac:dyDescent="0.25">
      <c r="B107" s="47"/>
      <c r="C107" s="78"/>
      <c r="D107" s="8"/>
      <c r="E107" s="34"/>
    </row>
  </sheetData>
  <mergeCells count="15">
    <mergeCell ref="B91:B100"/>
    <mergeCell ref="T91:T100"/>
    <mergeCell ref="B4:B35"/>
    <mergeCell ref="B37:B73"/>
    <mergeCell ref="T37:T73"/>
    <mergeCell ref="B75:B89"/>
    <mergeCell ref="D75:E75"/>
    <mergeCell ref="F75:G75"/>
    <mergeCell ref="T75:T89"/>
    <mergeCell ref="T3:T35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D4BAE-0B87-433D-8C2E-97FF2CB3BF80}">
  <sheetPr codeName="Sheet31">
    <tabColor theme="9"/>
  </sheetPr>
  <dimension ref="A1:W108"/>
  <sheetViews>
    <sheetView topLeftCell="A22" workbookViewId="0">
      <selection activeCell="E80" sqref="E80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158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25">
      <c r="A35" s="8"/>
      <c r="B35" s="390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ht="15.75" thickBot="1" x14ac:dyDescent="0.3">
      <c r="B36" s="391"/>
      <c r="C36" s="88" t="s">
        <v>78</v>
      </c>
      <c r="D36" s="135"/>
      <c r="E36" s="135">
        <f>SUM(E5:E35)</f>
        <v>307514</v>
      </c>
      <c r="F36" s="135">
        <f>SUM(F5:F35)</f>
        <v>226062.52000000002</v>
      </c>
      <c r="G36" s="135">
        <f>SUM(G5:G35)</f>
        <v>165709</v>
      </c>
      <c r="H36" s="135"/>
      <c r="I36" s="136"/>
      <c r="J36" s="136"/>
      <c r="K36" s="135">
        <f>SUM(K5:K35)</f>
        <v>281708</v>
      </c>
      <c r="M36" s="136"/>
      <c r="N36" s="135">
        <f>SUM(N17:N35)</f>
        <v>24564</v>
      </c>
      <c r="O36" s="135"/>
      <c r="P36" s="136"/>
      <c r="Q36" s="113">
        <f>SUM(Q20:Q35)</f>
        <v>3962</v>
      </c>
      <c r="R36" s="93"/>
      <c r="S36" s="112"/>
      <c r="T36" s="375"/>
      <c r="U36" s="8"/>
      <c r="V36" s="142"/>
    </row>
    <row r="37" spans="1:22" ht="15.75" thickBot="1" x14ac:dyDescent="0.3">
      <c r="C37" s="45"/>
      <c r="D37" s="25"/>
      <c r="E37" s="50"/>
      <c r="F37" s="50"/>
      <c r="G37" s="50"/>
      <c r="H37" s="50"/>
      <c r="I37" s="50"/>
      <c r="J37" s="238"/>
      <c r="K37" s="50"/>
      <c r="L37" s="50"/>
      <c r="M37" s="50"/>
      <c r="N37" s="50"/>
      <c r="O37" s="50"/>
      <c r="P37" s="50"/>
      <c r="Q37" s="50"/>
      <c r="R37" s="50"/>
      <c r="S37" s="51"/>
      <c r="T37" s="27"/>
      <c r="V37" s="142"/>
    </row>
    <row r="38" spans="1:22" x14ac:dyDescent="0.25">
      <c r="B38" s="381" t="s">
        <v>13</v>
      </c>
      <c r="C38" s="94"/>
      <c r="D38" s="48" t="s">
        <v>99</v>
      </c>
      <c r="E38" s="48" t="s">
        <v>15</v>
      </c>
      <c r="F38" s="48" t="s">
        <v>100</v>
      </c>
      <c r="G38" s="48" t="s">
        <v>156</v>
      </c>
      <c r="H38" s="48" t="s">
        <v>18</v>
      </c>
      <c r="I38" s="94"/>
      <c r="J38" s="116"/>
      <c r="K38" s="116"/>
      <c r="L38" s="47"/>
      <c r="M38" s="94"/>
      <c r="N38" s="94"/>
      <c r="O38" s="94"/>
      <c r="Q38" s="94"/>
      <c r="R38" s="94"/>
      <c r="S38" s="49"/>
      <c r="T38" s="380" t="s">
        <v>19</v>
      </c>
      <c r="V38" s="142"/>
    </row>
    <row r="39" spans="1:22" x14ac:dyDescent="0.25">
      <c r="B39" s="382"/>
      <c r="C39" s="156" t="s">
        <v>20</v>
      </c>
      <c r="D39" s="47"/>
      <c r="E39" s="47"/>
      <c r="F39" s="47"/>
      <c r="G39" s="47"/>
      <c r="I39" s="154"/>
      <c r="M39" s="254"/>
      <c r="O39" s="47"/>
      <c r="P39" s="47"/>
      <c r="Q39" s="47"/>
      <c r="R39" s="47"/>
      <c r="S39" s="12"/>
      <c r="T39" s="380"/>
      <c r="V39" s="8"/>
    </row>
    <row r="40" spans="1:22" x14ac:dyDescent="0.25">
      <c r="B40" s="382"/>
      <c r="C40" s="47" t="s">
        <v>21</v>
      </c>
      <c r="D40" s="160">
        <v>0.44800000000000001</v>
      </c>
      <c r="E40" s="160">
        <v>0.433</v>
      </c>
      <c r="F40" s="14">
        <f>D40/E40</f>
        <v>1.0346420323325636</v>
      </c>
      <c r="G40" s="160">
        <v>0.56000000000000005</v>
      </c>
      <c r="H40" s="14">
        <f>E40/G40</f>
        <v>0.77321428571428563</v>
      </c>
      <c r="I40" s="149"/>
      <c r="J40" s="222"/>
      <c r="K40" s="158"/>
      <c r="L40" s="158"/>
      <c r="M40" s="14"/>
      <c r="N40" s="47"/>
      <c r="O40" s="14"/>
      <c r="P40" s="14"/>
      <c r="Q40" s="14"/>
      <c r="R40" s="14"/>
      <c r="S40" s="15"/>
      <c r="T40" s="380"/>
      <c r="V40" s="8"/>
    </row>
    <row r="41" spans="1:22" x14ac:dyDescent="0.25">
      <c r="B41" s="382"/>
      <c r="C41" s="47" t="s">
        <v>22</v>
      </c>
      <c r="D41" s="160">
        <v>0.55200000000000005</v>
      </c>
      <c r="E41" s="160">
        <v>0.56699999999999995</v>
      </c>
      <c r="F41" s="14">
        <f>D41/E41</f>
        <v>0.97354497354497371</v>
      </c>
      <c r="G41" s="160">
        <v>0.44</v>
      </c>
      <c r="H41" s="14">
        <f t="shared" ref="H41:H58" si="4">E41/G41</f>
        <v>1.2886363636363636</v>
      </c>
      <c r="I41" s="149"/>
      <c r="J41" s="222"/>
      <c r="K41" s="158"/>
      <c r="L41" s="14"/>
      <c r="M41" s="14"/>
      <c r="N41" s="14"/>
      <c r="O41" s="14"/>
      <c r="P41" s="14"/>
      <c r="Q41" s="14"/>
      <c r="R41" s="14"/>
      <c r="S41" s="15"/>
      <c r="T41" s="380"/>
    </row>
    <row r="42" spans="1:22" x14ac:dyDescent="0.25">
      <c r="B42" s="382"/>
      <c r="D42" s="160"/>
      <c r="E42" s="190"/>
      <c r="F42" s="14"/>
      <c r="G42" s="190"/>
      <c r="H42" s="170"/>
      <c r="I42" s="149"/>
      <c r="J42" s="222"/>
      <c r="K42" s="14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25">
      <c r="B43" s="382"/>
      <c r="C43" s="156" t="s">
        <v>23</v>
      </c>
      <c r="D43" s="169"/>
      <c r="E43" s="169"/>
      <c r="F43" s="14"/>
      <c r="G43" s="190"/>
      <c r="H43" s="170"/>
      <c r="I43" s="149"/>
      <c r="J43" s="39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25">
      <c r="B44" s="382"/>
      <c r="C44" s="47" t="s">
        <v>24</v>
      </c>
      <c r="D44" s="160">
        <v>0</v>
      </c>
      <c r="E44" s="160">
        <v>0</v>
      </c>
      <c r="F44" s="14" t="s">
        <v>12</v>
      </c>
      <c r="G44" s="160">
        <v>8.9999999999999993E-3</v>
      </c>
      <c r="H44" s="14" t="s">
        <v>12</v>
      </c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25">
      <c r="B45" s="382"/>
      <c r="C45" s="47" t="s">
        <v>25</v>
      </c>
      <c r="D45" s="160">
        <v>3.7999999999999999E-2</v>
      </c>
      <c r="E45" s="160">
        <v>2.9000000000000001E-2</v>
      </c>
      <c r="F45" s="14">
        <f>D45/E45</f>
        <v>1.3103448275862069</v>
      </c>
      <c r="G45" s="160">
        <v>0.109</v>
      </c>
      <c r="H45" s="14">
        <f>E45/G45</f>
        <v>0.26605504587155965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25">
      <c r="B46" s="382"/>
      <c r="C46" s="47" t="s">
        <v>26</v>
      </c>
      <c r="D46" s="160">
        <v>0.44700000000000001</v>
      </c>
      <c r="E46" s="160">
        <v>0.39500000000000002</v>
      </c>
      <c r="F46" s="14">
        <f>D46/E46</f>
        <v>1.1316455696202532</v>
      </c>
      <c r="G46" s="160">
        <v>0.29099999999999998</v>
      </c>
      <c r="H46" s="14">
        <f>E46/G46</f>
        <v>1.3573883161512028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C47" s="47" t="s">
        <v>27</v>
      </c>
      <c r="D47" s="160">
        <v>0.37</v>
      </c>
      <c r="E47" s="160">
        <v>0.39800000000000002</v>
      </c>
      <c r="F47" s="14">
        <f t="shared" ref="F47:F74" si="5">D47/E47</f>
        <v>0.92964824120603007</v>
      </c>
      <c r="G47" s="160">
        <v>0.32100000000000001</v>
      </c>
      <c r="H47" s="14">
        <f t="shared" si="4"/>
        <v>1.2398753894080998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C48" s="47" t="s">
        <v>28</v>
      </c>
      <c r="D48" s="160">
        <v>0.126</v>
      </c>
      <c r="E48" s="160">
        <v>0.154</v>
      </c>
      <c r="F48" s="14">
        <f t="shared" si="5"/>
        <v>0.81818181818181823</v>
      </c>
      <c r="G48" s="160">
        <v>0.184</v>
      </c>
      <c r="H48" s="14">
        <f>E48/G48</f>
        <v>0.83695652173913049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29</v>
      </c>
      <c r="D49" s="160">
        <v>1.7999999999999999E-2</v>
      </c>
      <c r="E49" s="160">
        <v>2.3E-2</v>
      </c>
      <c r="F49" s="14">
        <f t="shared" si="5"/>
        <v>0.78260869565217384</v>
      </c>
      <c r="G49" s="160">
        <v>8.5000000000000006E-2</v>
      </c>
      <c r="H49" s="14">
        <f t="shared" si="4"/>
        <v>0.27058823529411763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D50" s="190"/>
      <c r="E50" s="190"/>
      <c r="F50" s="14"/>
      <c r="G50" s="19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156" t="s">
        <v>30</v>
      </c>
      <c r="D51" s="169"/>
      <c r="E51" s="169"/>
      <c r="F51" s="14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31</v>
      </c>
      <c r="D52" s="160">
        <v>0.497</v>
      </c>
      <c r="E52" s="163">
        <v>0.47499999999999998</v>
      </c>
      <c r="F52" s="14">
        <f>D52/E52</f>
        <v>1.0463157894736843</v>
      </c>
      <c r="G52" s="160">
        <v>0.47499999999999998</v>
      </c>
      <c r="H52" s="14">
        <f>E52/G52</f>
        <v>1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32</v>
      </c>
      <c r="D53" s="160">
        <v>0.20899999999999999</v>
      </c>
      <c r="E53" s="160">
        <v>0.20300000000000001</v>
      </c>
      <c r="F53" s="14">
        <f>D53/E53</f>
        <v>1.0295566502463054</v>
      </c>
      <c r="G53" s="160">
        <v>0.14399999999999999</v>
      </c>
      <c r="H53" s="14">
        <f t="shared" si="4"/>
        <v>1.4097222222222223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33</v>
      </c>
      <c r="D54" s="160">
        <v>0.106</v>
      </c>
      <c r="E54" s="160">
        <v>0.126</v>
      </c>
      <c r="F54" s="14">
        <f>D54/E54</f>
        <v>0.84126984126984128</v>
      </c>
      <c r="G54" s="160">
        <v>0.13300000000000001</v>
      </c>
      <c r="H54" s="14">
        <f t="shared" si="4"/>
        <v>0.94736842105263153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34</v>
      </c>
      <c r="D55" s="160">
        <v>0.10199999999999999</v>
      </c>
      <c r="E55" s="160">
        <v>9.4E-2</v>
      </c>
      <c r="F55" s="14">
        <f t="shared" ref="F55:F58" si="6">D55/E55</f>
        <v>1.0851063829787233</v>
      </c>
      <c r="G55" s="160">
        <v>0.111</v>
      </c>
      <c r="H55" s="14">
        <f t="shared" si="4"/>
        <v>0.84684684684684686</v>
      </c>
      <c r="I55" s="223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35</v>
      </c>
      <c r="D56" s="160">
        <v>2.5000000000000001E-2</v>
      </c>
      <c r="E56" s="160">
        <v>2.3E-2</v>
      </c>
      <c r="F56" s="14">
        <f t="shared" si="6"/>
        <v>1.0869565217391306</v>
      </c>
      <c r="G56" s="160">
        <v>3.5000000000000003E-2</v>
      </c>
      <c r="H56" s="14">
        <f t="shared" si="4"/>
        <v>0.65714285714285703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36</v>
      </c>
      <c r="D57" s="160">
        <v>1.2999999999999999E-2</v>
      </c>
      <c r="E57" s="160">
        <v>1.4999999999999999E-2</v>
      </c>
      <c r="F57" s="14">
        <f t="shared" si="6"/>
        <v>0.8666666666666667</v>
      </c>
      <c r="G57" s="160">
        <v>2.5999999999999999E-2</v>
      </c>
      <c r="H57" s="14">
        <f t="shared" si="4"/>
        <v>0.57692307692307698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37</v>
      </c>
      <c r="D58" s="160">
        <v>4.8000000000000001E-2</v>
      </c>
      <c r="E58" s="160">
        <v>6.4000000000000001E-2</v>
      </c>
      <c r="F58" s="14">
        <f t="shared" si="6"/>
        <v>0.75</v>
      </c>
      <c r="G58" s="160">
        <v>7.6999999999999999E-2</v>
      </c>
      <c r="H58" s="14">
        <f t="shared" si="4"/>
        <v>0.83116883116883122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D59" s="190"/>
      <c r="E59" s="190"/>
      <c r="F59" s="14"/>
      <c r="G59" s="190"/>
      <c r="H59" s="170"/>
      <c r="I59" s="149"/>
      <c r="J59" s="222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156" t="s">
        <v>38</v>
      </c>
      <c r="D60" s="169"/>
      <c r="E60" s="169"/>
      <c r="F60" s="14"/>
      <c r="G60" s="190"/>
      <c r="H60" s="170"/>
      <c r="I60" s="149"/>
      <c r="J60" s="222"/>
      <c r="K60" s="239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39</v>
      </c>
      <c r="D61" s="160">
        <v>0.50700000000000001</v>
      </c>
      <c r="E61" s="160">
        <v>0.40600000000000003</v>
      </c>
      <c r="F61" s="14">
        <f t="shared" si="5"/>
        <v>1.2487684729064039</v>
      </c>
      <c r="G61" s="164">
        <v>0.42299999999999999</v>
      </c>
      <c r="H61" s="72">
        <f>E61/G61</f>
        <v>0.95981087470449178</v>
      </c>
      <c r="I61" s="149"/>
      <c r="J61" s="240"/>
      <c r="K61" s="241"/>
      <c r="L61" s="16"/>
      <c r="M61" s="16"/>
      <c r="N61" s="68"/>
      <c r="O61" s="16"/>
      <c r="P61" s="16"/>
      <c r="Q61" s="16"/>
      <c r="R61" s="16"/>
      <c r="S61" s="36"/>
      <c r="T61" s="380"/>
    </row>
    <row r="62" spans="2:20" x14ac:dyDescent="0.25">
      <c r="B62" s="382"/>
      <c r="C62" s="47" t="s">
        <v>40</v>
      </c>
      <c r="D62" s="160">
        <v>4.9000000000000002E-2</v>
      </c>
      <c r="E62" s="160">
        <v>4.9000000000000002E-2</v>
      </c>
      <c r="F62" s="14">
        <f t="shared" si="5"/>
        <v>1</v>
      </c>
      <c r="G62" s="160">
        <v>6.5000000000000002E-2</v>
      </c>
      <c r="H62" s="72">
        <f t="shared" ref="H62:H66" si="7">E62/G62</f>
        <v>0.75384615384615383</v>
      </c>
      <c r="I62" s="149"/>
      <c r="J62" s="240"/>
      <c r="K62" s="241"/>
      <c r="L62" s="14"/>
      <c r="M62" s="16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41</v>
      </c>
      <c r="D63" s="160">
        <v>8.5000000000000006E-2</v>
      </c>
      <c r="E63" s="160">
        <v>9.1999999999999998E-2</v>
      </c>
      <c r="F63" s="14">
        <f t="shared" si="5"/>
        <v>0.92391304347826098</v>
      </c>
      <c r="G63" s="160">
        <v>0.12</v>
      </c>
      <c r="H63" s="72">
        <f t="shared" si="7"/>
        <v>0.76666666666666672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42</v>
      </c>
      <c r="D64" s="160">
        <v>0.105</v>
      </c>
      <c r="E64" s="160">
        <v>0.12</v>
      </c>
      <c r="F64" s="14">
        <f t="shared" si="5"/>
        <v>0.875</v>
      </c>
      <c r="G64" s="160">
        <v>0.13900000000000001</v>
      </c>
      <c r="H64" s="72">
        <f t="shared" si="7"/>
        <v>0.86330935251798546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43</v>
      </c>
      <c r="D65" s="160">
        <v>0.13300000000000001</v>
      </c>
      <c r="E65" s="160">
        <v>0.16</v>
      </c>
      <c r="F65" s="14">
        <f t="shared" si="5"/>
        <v>0.83125000000000004</v>
      </c>
      <c r="G65" s="160">
        <v>0.14699999999999999</v>
      </c>
      <c r="H65" s="72">
        <f t="shared" si="7"/>
        <v>1.08843537414966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44</v>
      </c>
      <c r="D66" s="160">
        <v>0.121</v>
      </c>
      <c r="E66" s="160">
        <v>0.17299999999999999</v>
      </c>
      <c r="F66" s="14">
        <f t="shared" si="5"/>
        <v>0.69942196531791911</v>
      </c>
      <c r="G66" s="160">
        <v>0.107</v>
      </c>
      <c r="H66" s="72">
        <f t="shared" si="7"/>
        <v>1.6168224299065419</v>
      </c>
      <c r="J66" s="34"/>
      <c r="K66" s="239"/>
      <c r="O66" s="14"/>
      <c r="P66" s="14"/>
      <c r="Q66" s="14"/>
      <c r="R66" s="14"/>
      <c r="S66" s="15"/>
      <c r="T66" s="380"/>
    </row>
    <row r="67" spans="2:20" x14ac:dyDescent="0.25">
      <c r="B67" s="382"/>
      <c r="D67" s="190"/>
      <c r="E67" s="190"/>
      <c r="F67" s="14"/>
      <c r="G67" s="190"/>
      <c r="H67" s="170"/>
      <c r="I67" s="149"/>
      <c r="J67" s="222"/>
      <c r="K67" s="14"/>
      <c r="O67" s="14"/>
      <c r="P67" s="14"/>
      <c r="Q67" s="14"/>
      <c r="R67" s="14"/>
      <c r="S67" s="15"/>
      <c r="T67" s="380"/>
    </row>
    <row r="68" spans="2:20" x14ac:dyDescent="0.25">
      <c r="B68" s="382"/>
      <c r="C68" s="156" t="s">
        <v>157</v>
      </c>
      <c r="D68" s="190"/>
      <c r="E68" s="190"/>
      <c r="F68" s="14"/>
      <c r="G68" s="190"/>
      <c r="H68" s="170"/>
      <c r="I68" s="149"/>
      <c r="J68" s="39"/>
      <c r="K68" s="14"/>
      <c r="L68" s="14"/>
      <c r="M68" s="14"/>
      <c r="N68" s="14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39</v>
      </c>
      <c r="D69" s="160">
        <v>0.24</v>
      </c>
      <c r="E69" s="160">
        <v>7.0999999999999994E-2</v>
      </c>
      <c r="F69" s="14">
        <f t="shared" si="5"/>
        <v>3.3802816901408455</v>
      </c>
      <c r="G69" s="163">
        <v>0.17399999999999999</v>
      </c>
      <c r="H69" s="72">
        <f>E69/G69</f>
        <v>0.40804597701149425</v>
      </c>
      <c r="I69" s="149"/>
      <c r="J69" s="38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40</v>
      </c>
      <c r="D70" s="160">
        <v>5.8000000000000003E-2</v>
      </c>
      <c r="E70" s="160">
        <v>5.1999999999999998E-2</v>
      </c>
      <c r="F70" s="14">
        <f t="shared" si="5"/>
        <v>1.1153846153846154</v>
      </c>
      <c r="G70" s="163">
        <v>0.115</v>
      </c>
      <c r="H70" s="72">
        <f t="shared" ref="H70:H74" si="8">E70/G70</f>
        <v>0.4521739130434782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25">
      <c r="B71" s="382"/>
      <c r="C71" s="47" t="s">
        <v>41</v>
      </c>
      <c r="D71" s="160">
        <v>0.114</v>
      </c>
      <c r="E71" s="160">
        <v>0.124</v>
      </c>
      <c r="F71" s="14">
        <f t="shared" si="5"/>
        <v>0.91935483870967749</v>
      </c>
      <c r="G71" s="163">
        <v>0.19800000000000001</v>
      </c>
      <c r="H71" s="72">
        <f t="shared" si="8"/>
        <v>0.62626262626262619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25">
      <c r="B72" s="382"/>
      <c r="C72" s="47" t="s">
        <v>42</v>
      </c>
      <c r="D72" s="160">
        <v>0.151</v>
      </c>
      <c r="E72" s="160">
        <v>0.17</v>
      </c>
      <c r="F72" s="14">
        <f t="shared" si="5"/>
        <v>0.88823529411764701</v>
      </c>
      <c r="G72" s="163">
        <v>0.19800000000000001</v>
      </c>
      <c r="H72" s="72">
        <f t="shared" si="8"/>
        <v>0.85858585858585856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25">
      <c r="B73" s="382"/>
      <c r="C73" s="47" t="s">
        <v>43</v>
      </c>
      <c r="D73" s="160">
        <v>0.20399999999999999</v>
      </c>
      <c r="E73" s="160">
        <v>0.254</v>
      </c>
      <c r="F73" s="14">
        <f t="shared" si="5"/>
        <v>0.8031496062992125</v>
      </c>
      <c r="G73" s="163">
        <v>0.185</v>
      </c>
      <c r="H73" s="72">
        <f t="shared" si="8"/>
        <v>1.3729729729729729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ht="15.75" thickBot="1" x14ac:dyDescent="0.3">
      <c r="B74" s="383"/>
      <c r="C74" s="47" t="s">
        <v>44</v>
      </c>
      <c r="D74" s="160">
        <v>0.23300000000000001</v>
      </c>
      <c r="E74" s="160">
        <v>0.33</v>
      </c>
      <c r="F74" s="14">
        <f t="shared" si="5"/>
        <v>0.70606060606060606</v>
      </c>
      <c r="G74" s="163">
        <v>0.13</v>
      </c>
      <c r="H74" s="72">
        <f t="shared" si="8"/>
        <v>2.5384615384615383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ht="15.75" thickBot="1" x14ac:dyDescent="0.3">
      <c r="B75" s="60"/>
      <c r="C75" s="45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26"/>
      <c r="T75" s="27"/>
    </row>
    <row r="76" spans="2:20" x14ac:dyDescent="0.25">
      <c r="B76" s="373" t="s">
        <v>45</v>
      </c>
      <c r="C76" s="5"/>
      <c r="D76" s="385" t="s">
        <v>46</v>
      </c>
      <c r="E76" s="385"/>
      <c r="F76" s="385" t="s">
        <v>47</v>
      </c>
      <c r="G76" s="385"/>
      <c r="H76" s="42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7"/>
      <c r="T76" s="386" t="s">
        <v>48</v>
      </c>
    </row>
    <row r="77" spans="2:20" x14ac:dyDescent="0.25">
      <c r="B77" s="374"/>
      <c r="C77" s="1"/>
      <c r="D77" s="40" t="s">
        <v>49</v>
      </c>
      <c r="E77" s="40" t="s">
        <v>50</v>
      </c>
      <c r="F77" s="40" t="s">
        <v>49</v>
      </c>
      <c r="G77" s="40" t="s">
        <v>50</v>
      </c>
      <c r="H77" s="41" t="s">
        <v>51</v>
      </c>
      <c r="I77" s="96" t="s">
        <v>52</v>
      </c>
      <c r="J77" s="97"/>
      <c r="K77" s="97"/>
      <c r="L77" s="97"/>
      <c r="M77" s="97"/>
      <c r="N77" s="97"/>
      <c r="O77" s="97"/>
      <c r="P77" s="97"/>
      <c r="Q77" s="97"/>
      <c r="R77" s="97"/>
      <c r="S77" s="99"/>
      <c r="T77" s="387"/>
    </row>
    <row r="78" spans="2:20" x14ac:dyDescent="0.25">
      <c r="B78" s="374"/>
      <c r="C78" s="2" t="s">
        <v>53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4"/>
      <c r="T78" s="387"/>
    </row>
    <row r="79" spans="2:20" x14ac:dyDescent="0.25">
      <c r="B79" s="374"/>
      <c r="C79" s="1" t="s">
        <v>54</v>
      </c>
      <c r="D79" s="167">
        <v>1901355</v>
      </c>
      <c r="E79" s="163">
        <f>D79/D81</f>
        <v>0.76076688269052328</v>
      </c>
      <c r="F79" s="168">
        <v>107704</v>
      </c>
      <c r="G79" s="160">
        <f>F79/$F$81</f>
        <v>0.65979735110697268</v>
      </c>
      <c r="H79" s="161">
        <f>G79/E79</f>
        <v>0.86727927584536491</v>
      </c>
      <c r="I79" s="191">
        <f>F79/D79</f>
        <v>5.6645918305629407E-2</v>
      </c>
      <c r="J79" s="39"/>
      <c r="K79" s="39"/>
      <c r="L79" s="14"/>
      <c r="M79" s="14"/>
      <c r="N79" s="14"/>
      <c r="O79" s="14"/>
      <c r="P79" s="14"/>
      <c r="Q79" s="14"/>
      <c r="R79" s="14"/>
      <c r="S79" s="82"/>
      <c r="T79" s="387"/>
    </row>
    <row r="80" spans="2:20" x14ac:dyDescent="0.25">
      <c r="B80" s="374"/>
      <c r="C80" s="1" t="s">
        <v>55</v>
      </c>
      <c r="D80" s="167">
        <f>SUM(D84:D90)</f>
        <v>597906</v>
      </c>
      <c r="E80" s="163">
        <f>D80/D81</f>
        <v>0.23923311730947669</v>
      </c>
      <c r="F80" s="168">
        <f>SUM(F84:F90)</f>
        <v>55534</v>
      </c>
      <c r="G80" s="160">
        <f>F80/$F$81</f>
        <v>0.34020264889302737</v>
      </c>
      <c r="H80" s="161">
        <f>G80/E80</f>
        <v>1.4220549927163073</v>
      </c>
      <c r="I80" s="191">
        <f t="shared" ref="I80:I90" si="9">F80/D80</f>
        <v>9.2880820731017916E-2</v>
      </c>
      <c r="J80" s="39"/>
      <c r="K80" s="39"/>
      <c r="L80" s="252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 t="s">
        <v>53</v>
      </c>
      <c r="D81" s="167">
        <f>SUM(D79:D80)</f>
        <v>2499261</v>
      </c>
      <c r="E81" s="192"/>
      <c r="F81" s="168">
        <f>SUM(F79:F80)</f>
        <v>163238</v>
      </c>
      <c r="G81" s="169"/>
      <c r="H81" s="161"/>
      <c r="I81" s="191">
        <f t="shared" si="9"/>
        <v>6.5314506968259814E-2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/>
      <c r="D82" s="192"/>
      <c r="E82" s="192"/>
      <c r="F82" s="171"/>
      <c r="G82" s="169"/>
      <c r="H82" s="161"/>
      <c r="I82" s="191"/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2" t="s">
        <v>56</v>
      </c>
      <c r="D83" s="192"/>
      <c r="E83" s="192"/>
      <c r="F83" s="169"/>
      <c r="G83" s="169"/>
      <c r="H83" s="161"/>
      <c r="I83" s="191"/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 t="s">
        <v>57</v>
      </c>
      <c r="D84" s="167">
        <v>250460</v>
      </c>
      <c r="E84" s="163">
        <f>D84/$D$80</f>
        <v>0.41889527785304043</v>
      </c>
      <c r="F84" s="168">
        <v>24460</v>
      </c>
      <c r="G84" s="160">
        <f>F84/$F$80</f>
        <v>0.44045089494723955</v>
      </c>
      <c r="H84" s="161">
        <f t="shared" ref="H84:H90" si="10">G84/E84</f>
        <v>1.0514582480009751</v>
      </c>
      <c r="I84" s="191">
        <f t="shared" si="9"/>
        <v>9.7660305038728745E-2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 t="s">
        <v>58</v>
      </c>
      <c r="D85" s="167">
        <v>127750</v>
      </c>
      <c r="E85" s="163">
        <f t="shared" ref="E85:E90" si="11">D85/$D$80</f>
        <v>0.2136623482621014</v>
      </c>
      <c r="F85" s="168">
        <v>12833</v>
      </c>
      <c r="G85" s="160">
        <f t="shared" ref="G85:G90" si="12">F85/$F$80</f>
        <v>0.23108366046025858</v>
      </c>
      <c r="H85" s="161">
        <f t="shared" si="10"/>
        <v>1.0815366504199715</v>
      </c>
      <c r="I85" s="191">
        <f t="shared" si="9"/>
        <v>0.10045401174168297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 t="s">
        <v>59</v>
      </c>
      <c r="D86" s="167">
        <v>46900</v>
      </c>
      <c r="E86" s="163">
        <f t="shared" si="11"/>
        <v>7.8440423745538598E-2</v>
      </c>
      <c r="F86" s="168">
        <v>10706</v>
      </c>
      <c r="G86" s="160">
        <f t="shared" si="12"/>
        <v>0.19278279972629381</v>
      </c>
      <c r="H86" s="161">
        <f t="shared" si="10"/>
        <v>2.4576970714957231</v>
      </c>
      <c r="I86" s="191">
        <f t="shared" si="9"/>
        <v>0.22827292110874201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72" t="s">
        <v>60</v>
      </c>
      <c r="D87" s="168">
        <v>93389</v>
      </c>
      <c r="E87" s="163">
        <f t="shared" si="11"/>
        <v>0.15619344846848834</v>
      </c>
      <c r="F87" s="174">
        <v>3345</v>
      </c>
      <c r="G87" s="160">
        <f t="shared" si="12"/>
        <v>6.0233370547772537E-2</v>
      </c>
      <c r="H87" s="161">
        <f t="shared" si="10"/>
        <v>0.38563314363293844</v>
      </c>
      <c r="I87" s="191">
        <f t="shared" si="9"/>
        <v>3.5817922881709839E-2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1" t="s">
        <v>61</v>
      </c>
      <c r="D88" s="167">
        <v>46759</v>
      </c>
      <c r="E88" s="163">
        <f t="shared" si="11"/>
        <v>7.8204600723190604E-2</v>
      </c>
      <c r="F88" s="168">
        <v>196</v>
      </c>
      <c r="G88" s="160">
        <f t="shared" si="12"/>
        <v>3.5293693953253862E-3</v>
      </c>
      <c r="H88" s="161">
        <f t="shared" si="10"/>
        <v>4.5129945843183562E-2</v>
      </c>
      <c r="I88" s="191">
        <f t="shared" si="9"/>
        <v>4.1917064094612799E-3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25">
      <c r="B89" s="374"/>
      <c r="C89" s="1" t="s">
        <v>62</v>
      </c>
      <c r="D89" s="167">
        <v>24766</v>
      </c>
      <c r="E89" s="163">
        <f t="shared" si="11"/>
        <v>4.1421226748017244E-2</v>
      </c>
      <c r="F89" s="168">
        <v>3070</v>
      </c>
      <c r="G89" s="160">
        <f>F89/$F$80</f>
        <v>5.5281449202290486E-2</v>
      </c>
      <c r="H89" s="161">
        <f t="shared" si="10"/>
        <v>1.334616416326605</v>
      </c>
      <c r="I89" s="191">
        <f t="shared" si="9"/>
        <v>0.12396026810950497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  <c r="W89" s="13"/>
    </row>
    <row r="90" spans="2:23" ht="15.75" thickBot="1" x14ac:dyDescent="0.3">
      <c r="B90" s="375"/>
      <c r="C90" s="9" t="s">
        <v>63</v>
      </c>
      <c r="D90" s="175">
        <v>7882</v>
      </c>
      <c r="E90" s="179">
        <f t="shared" si="11"/>
        <v>1.3182674199623353E-2</v>
      </c>
      <c r="F90" s="177">
        <v>924</v>
      </c>
      <c r="G90" s="176">
        <f t="shared" si="12"/>
        <v>1.6638455720819678E-2</v>
      </c>
      <c r="H90" s="178">
        <f t="shared" si="10"/>
        <v>1.2621457125364641</v>
      </c>
      <c r="I90" s="198">
        <f t="shared" si="9"/>
        <v>0.11722912966252221</v>
      </c>
      <c r="J90" s="100"/>
      <c r="K90" s="100"/>
      <c r="L90" s="18"/>
      <c r="M90" s="18"/>
      <c r="N90" s="18"/>
      <c r="O90" s="18"/>
      <c r="P90" s="18"/>
      <c r="Q90" s="18"/>
      <c r="R90" s="18"/>
      <c r="S90" s="83"/>
      <c r="T90" s="388"/>
    </row>
    <row r="91" spans="2:23" ht="15.75" thickBot="1" x14ac:dyDescent="0.3">
      <c r="C91" s="1"/>
      <c r="D91" s="8"/>
      <c r="S91" s="4"/>
      <c r="T91" s="28"/>
    </row>
    <row r="92" spans="2:23" x14ac:dyDescent="0.25">
      <c r="B92" s="373" t="s">
        <v>64</v>
      </c>
      <c r="C92" s="21" t="s">
        <v>65</v>
      </c>
      <c r="D92" s="23" t="s">
        <v>66</v>
      </c>
      <c r="E92" s="48" t="s">
        <v>67</v>
      </c>
      <c r="F92" s="48" t="s">
        <v>68</v>
      </c>
      <c r="G92" s="48" t="s">
        <v>51</v>
      </c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7"/>
      <c r="T92" s="373" t="s">
        <v>19</v>
      </c>
    </row>
    <row r="93" spans="2:23" x14ac:dyDescent="0.25">
      <c r="B93" s="374"/>
      <c r="C93" s="1" t="s">
        <v>69</v>
      </c>
      <c r="D93" s="168">
        <v>69949</v>
      </c>
      <c r="E93" s="180">
        <v>701750</v>
      </c>
      <c r="F93" s="68"/>
      <c r="I93" s="8"/>
      <c r="S93" s="4"/>
      <c r="T93" s="374"/>
    </row>
    <row r="94" spans="2:23" x14ac:dyDescent="0.25">
      <c r="B94" s="374"/>
      <c r="C94" s="1" t="s">
        <v>70</v>
      </c>
      <c r="D94" s="181">
        <f>D93/H35</f>
        <v>0.49557904581072082</v>
      </c>
      <c r="E94" s="182">
        <v>0.17499999999999999</v>
      </c>
      <c r="F94" s="68"/>
      <c r="I94" s="8"/>
      <c r="S94" s="4"/>
      <c r="T94" s="374"/>
    </row>
    <row r="95" spans="2:23" x14ac:dyDescent="0.25">
      <c r="B95" s="374"/>
      <c r="C95" s="1"/>
      <c r="D95" s="199"/>
      <c r="E95" s="200"/>
      <c r="F95" s="14"/>
      <c r="I95" s="8"/>
      <c r="S95" s="4"/>
      <c r="T95" s="374"/>
      <c r="W95" s="8"/>
    </row>
    <row r="96" spans="2:23" ht="14.45" customHeight="1" x14ac:dyDescent="0.25">
      <c r="B96" s="374"/>
      <c r="C96" s="1" t="s">
        <v>71</v>
      </c>
      <c r="D96" s="168">
        <v>163238</v>
      </c>
      <c r="E96" s="183">
        <v>1469647</v>
      </c>
      <c r="F96" s="68"/>
      <c r="I96" s="8"/>
      <c r="S96" s="4"/>
      <c r="T96" s="374"/>
      <c r="U96" s="24"/>
      <c r="W96" s="14"/>
    </row>
    <row r="97" spans="2:23" x14ac:dyDescent="0.25">
      <c r="B97" s="374"/>
      <c r="C97" s="1" t="s">
        <v>72</v>
      </c>
      <c r="D97" s="184">
        <f>D96/D93</f>
        <v>2.3336716750775564</v>
      </c>
      <c r="E97" s="161">
        <f>E96/E93</f>
        <v>2.0942600641254008</v>
      </c>
      <c r="F97" s="14"/>
      <c r="I97" s="8"/>
      <c r="S97" s="4"/>
      <c r="T97" s="374"/>
    </row>
    <row r="98" spans="2:23" x14ac:dyDescent="0.25">
      <c r="B98" s="374"/>
      <c r="C98" s="1"/>
      <c r="D98" s="202"/>
      <c r="E98" s="169"/>
      <c r="F98" s="14"/>
      <c r="I98" s="8"/>
      <c r="S98" s="4"/>
      <c r="T98" s="374"/>
      <c r="W98" s="8"/>
    </row>
    <row r="99" spans="2:23" x14ac:dyDescent="0.25">
      <c r="B99" s="374"/>
      <c r="C99" s="1" t="s">
        <v>73</v>
      </c>
      <c r="D99" s="168">
        <v>106035</v>
      </c>
      <c r="E99" s="183">
        <v>1052804</v>
      </c>
      <c r="F99" s="14"/>
      <c r="I99" s="8"/>
      <c r="S99" s="4"/>
      <c r="T99" s="374"/>
      <c r="W99" s="14"/>
    </row>
    <row r="100" spans="2:23" x14ac:dyDescent="0.25">
      <c r="B100" s="374"/>
      <c r="C100" s="1" t="s">
        <v>74</v>
      </c>
      <c r="D100" s="184">
        <f>D99/D93</f>
        <v>1.515890148536791</v>
      </c>
      <c r="E100" s="165">
        <f>E99/E93</f>
        <v>1.5002550765942286</v>
      </c>
      <c r="F100" s="14"/>
      <c r="S100" s="4"/>
      <c r="T100" s="374"/>
    </row>
    <row r="101" spans="2:23" ht="15.75" thickBot="1" x14ac:dyDescent="0.3">
      <c r="B101" s="375"/>
      <c r="C101" s="9" t="s">
        <v>75</v>
      </c>
      <c r="D101" s="185">
        <f>D96/D99</f>
        <v>1.5394728155797615</v>
      </c>
      <c r="E101" s="186">
        <f>E96/E99</f>
        <v>1.395935995683907</v>
      </c>
      <c r="F101" s="18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11"/>
      <c r="T101" s="375"/>
    </row>
    <row r="102" spans="2:23" x14ac:dyDescent="0.25">
      <c r="D102" s="37"/>
      <c r="E102" s="22"/>
      <c r="F102" s="14"/>
    </row>
    <row r="103" spans="2:23" s="35" customFormat="1" x14ac:dyDescent="0.25">
      <c r="B103" s="47"/>
      <c r="C103" s="78"/>
      <c r="D103" s="8"/>
      <c r="E103" s="13"/>
    </row>
    <row r="104" spans="2:23" s="35" customFormat="1" x14ac:dyDescent="0.25">
      <c r="B104" s="47"/>
      <c r="C104" s="78"/>
      <c r="D104" s="8"/>
      <c r="E104" s="34"/>
    </row>
    <row r="105" spans="2:23" s="35" customFormat="1" x14ac:dyDescent="0.25">
      <c r="B105" s="47"/>
      <c r="C105" s="78"/>
      <c r="D105" s="8"/>
      <c r="E105" s="34"/>
    </row>
    <row r="106" spans="2:23" s="35" customFormat="1" x14ac:dyDescent="0.25">
      <c r="B106" s="47"/>
      <c r="C106" s="78"/>
      <c r="D106" s="8"/>
      <c r="E106" s="34"/>
    </row>
    <row r="107" spans="2:23" s="35" customFormat="1" x14ac:dyDescent="0.25">
      <c r="B107" s="47"/>
      <c r="C107" s="78"/>
      <c r="D107" s="8"/>
      <c r="E107" s="78"/>
    </row>
    <row r="108" spans="2:23" s="35" customFormat="1" x14ac:dyDescent="0.25">
      <c r="B108" s="47"/>
      <c r="C108" s="78"/>
      <c r="D108" s="8"/>
      <c r="E108" s="34"/>
    </row>
  </sheetData>
  <mergeCells count="15">
    <mergeCell ref="B92:B101"/>
    <mergeCell ref="T92:T101"/>
    <mergeCell ref="T3:T36"/>
    <mergeCell ref="B4:B36"/>
    <mergeCell ref="B38:B74"/>
    <mergeCell ref="T38:T74"/>
    <mergeCell ref="B76:B90"/>
    <mergeCell ref="D76:E76"/>
    <mergeCell ref="F76:G76"/>
    <mergeCell ref="T76:T90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0A4A-3BFD-49D9-AC93-BF2571A0F54D}">
  <sheetPr>
    <tabColor theme="9"/>
  </sheetPr>
  <dimension ref="A1:W109"/>
  <sheetViews>
    <sheetView topLeftCell="A31" workbookViewId="0">
      <selection activeCell="E81" sqref="E81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159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25">
      <c r="A35" s="8"/>
      <c r="B35" s="390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25">
      <c r="A36" s="8"/>
      <c r="B36" s="390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ht="15.75" thickBot="1" x14ac:dyDescent="0.3">
      <c r="B37" s="391"/>
      <c r="C37" s="88" t="s">
        <v>78</v>
      </c>
      <c r="D37" s="135"/>
      <c r="E37" s="135">
        <f>SUM(E5:E36)</f>
        <v>322896</v>
      </c>
      <c r="F37" s="135">
        <f>SUM(F5:F36)</f>
        <v>234387.52000000002</v>
      </c>
      <c r="G37" s="135">
        <f>SUM(G5:G36)</f>
        <v>174029</v>
      </c>
      <c r="H37" s="135"/>
      <c r="I37" s="136"/>
      <c r="J37" s="136"/>
      <c r="K37" s="135">
        <f>SUM(K5:K36)</f>
        <v>295925</v>
      </c>
      <c r="M37" s="136"/>
      <c r="N37" s="135">
        <f>SUM(N17:N36)</f>
        <v>25582</v>
      </c>
      <c r="O37" s="135"/>
      <c r="P37" s="136"/>
      <c r="Q37" s="113">
        <f>SUM(Q20:Q36)</f>
        <v>4109</v>
      </c>
      <c r="R37" s="93"/>
      <c r="S37" s="112"/>
      <c r="T37" s="375"/>
      <c r="U37" s="8"/>
      <c r="V37" s="142"/>
    </row>
    <row r="38" spans="1:22" ht="15.75" thickBot="1" x14ac:dyDescent="0.3">
      <c r="C38" s="45"/>
      <c r="D38" s="25"/>
      <c r="E38" s="50"/>
      <c r="F38" s="50"/>
      <c r="G38" s="50"/>
      <c r="H38" s="50"/>
      <c r="I38" s="50"/>
      <c r="J38" s="238"/>
      <c r="K38" s="50"/>
      <c r="L38" s="50"/>
      <c r="M38" s="50"/>
      <c r="N38" s="50"/>
      <c r="O38" s="50"/>
      <c r="P38" s="50"/>
      <c r="Q38" s="50"/>
      <c r="R38" s="50"/>
      <c r="S38" s="51"/>
      <c r="T38" s="27"/>
      <c r="V38" s="142"/>
    </row>
    <row r="39" spans="1:22" x14ac:dyDescent="0.25">
      <c r="B39" s="381" t="s">
        <v>13</v>
      </c>
      <c r="C39" s="94"/>
      <c r="D39" s="48" t="s">
        <v>103</v>
      </c>
      <c r="E39" s="48" t="s">
        <v>15</v>
      </c>
      <c r="F39" s="48" t="s">
        <v>104</v>
      </c>
      <c r="G39" s="48" t="s">
        <v>156</v>
      </c>
      <c r="H39" s="48" t="s">
        <v>18</v>
      </c>
      <c r="I39" s="94"/>
      <c r="J39" s="116"/>
      <c r="K39" s="116"/>
      <c r="L39" s="47"/>
      <c r="M39" s="94"/>
      <c r="N39" s="94"/>
      <c r="O39" s="94"/>
      <c r="Q39" s="94"/>
      <c r="R39" s="94"/>
      <c r="S39" s="49"/>
      <c r="T39" s="380" t="s">
        <v>19</v>
      </c>
      <c r="V39" s="142"/>
    </row>
    <row r="40" spans="1:22" x14ac:dyDescent="0.25">
      <c r="B40" s="382"/>
      <c r="C40" s="156" t="s">
        <v>20</v>
      </c>
      <c r="D40" s="47"/>
      <c r="E40" s="47"/>
      <c r="F40" s="47"/>
      <c r="G40" s="47"/>
      <c r="I40" s="154"/>
      <c r="M40" s="254"/>
      <c r="O40" s="47"/>
      <c r="P40" s="47"/>
      <c r="Q40" s="47"/>
      <c r="R40" s="47"/>
      <c r="S40" s="12"/>
      <c r="T40" s="380"/>
      <c r="V40" s="8"/>
    </row>
    <row r="41" spans="1:22" x14ac:dyDescent="0.25">
      <c r="B41" s="382"/>
      <c r="C41" s="47" t="s">
        <v>21</v>
      </c>
      <c r="D41" s="160">
        <v>0.42099999999999999</v>
      </c>
      <c r="E41" s="160">
        <v>0.433</v>
      </c>
      <c r="F41" s="14">
        <f>D41/E41</f>
        <v>0.97228637413394914</v>
      </c>
      <c r="G41" s="160">
        <v>0.52700000000000002</v>
      </c>
      <c r="H41" s="14">
        <f>E41/G41</f>
        <v>0.82163187855787467</v>
      </c>
      <c r="I41" s="149"/>
      <c r="J41" s="222"/>
      <c r="K41" s="158"/>
      <c r="L41" s="158"/>
      <c r="M41" s="14"/>
      <c r="N41" s="47"/>
      <c r="O41" s="14"/>
      <c r="P41" s="14"/>
      <c r="Q41" s="14"/>
      <c r="R41" s="14"/>
      <c r="S41" s="15"/>
      <c r="T41" s="380"/>
      <c r="V41" s="8"/>
    </row>
    <row r="42" spans="1:22" x14ac:dyDescent="0.25">
      <c r="B42" s="382"/>
      <c r="C42" s="47" t="s">
        <v>22</v>
      </c>
      <c r="D42" s="160">
        <v>0.57899999999999996</v>
      </c>
      <c r="E42" s="160">
        <v>0.56699999999999995</v>
      </c>
      <c r="F42" s="14">
        <f>D42/E42</f>
        <v>1.0211640211640212</v>
      </c>
      <c r="G42" s="160">
        <v>0.47299999999999998</v>
      </c>
      <c r="H42" s="14">
        <f t="shared" ref="H42:H59" si="4">E42/G42</f>
        <v>1.1987315010570825</v>
      </c>
      <c r="I42" s="149"/>
      <c r="J42" s="222"/>
      <c r="K42" s="158"/>
      <c r="L42" s="14"/>
      <c r="M42" s="14"/>
      <c r="N42" s="14"/>
      <c r="O42" s="14"/>
      <c r="P42" s="14"/>
      <c r="Q42" s="14"/>
      <c r="R42" s="14"/>
      <c r="S42" s="15"/>
      <c r="T42" s="380"/>
    </row>
    <row r="43" spans="1:22" x14ac:dyDescent="0.25">
      <c r="B43" s="382"/>
      <c r="D43" s="190"/>
      <c r="E43" s="190"/>
      <c r="F43" s="14"/>
      <c r="G43" s="190"/>
      <c r="H43" s="170"/>
      <c r="I43" s="149"/>
      <c r="J43" s="222"/>
      <c r="K43" s="14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25">
      <c r="B44" s="382"/>
      <c r="C44" s="156" t="s">
        <v>23</v>
      </c>
      <c r="D44" s="169"/>
      <c r="E44" s="169"/>
      <c r="F44" s="14"/>
      <c r="G44" s="190"/>
      <c r="H44" s="170"/>
      <c r="I44" s="149"/>
      <c r="J44" s="39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25">
      <c r="B45" s="382"/>
      <c r="C45" s="47" t="s">
        <v>24</v>
      </c>
      <c r="D45" s="160">
        <v>0</v>
      </c>
      <c r="E45" s="160">
        <v>0</v>
      </c>
      <c r="F45" s="14" t="s">
        <v>12</v>
      </c>
      <c r="G45" s="160">
        <v>8.9999999999999993E-3</v>
      </c>
      <c r="H45" s="14" t="s">
        <v>12</v>
      </c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25">
      <c r="B46" s="382"/>
      <c r="C46" s="47" t="s">
        <v>25</v>
      </c>
      <c r="D46" s="160">
        <v>0.03</v>
      </c>
      <c r="E46" s="160">
        <v>2.7E-2</v>
      </c>
      <c r="F46" s="14">
        <f>D46/E46</f>
        <v>1.1111111111111112</v>
      </c>
      <c r="G46" s="160">
        <v>0.108</v>
      </c>
      <c r="H46" s="14">
        <f>E46/G46</f>
        <v>0.25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C47" s="47" t="s">
        <v>26</v>
      </c>
      <c r="D47" s="160">
        <v>0.441</v>
      </c>
      <c r="E47" s="160">
        <v>0.39700000000000002</v>
      </c>
      <c r="F47" s="14">
        <f>D47/E47</f>
        <v>1.1108312342569269</v>
      </c>
      <c r="G47" s="160">
        <v>0.28999999999999998</v>
      </c>
      <c r="H47" s="14">
        <f>E47/G47</f>
        <v>1.3689655172413795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C48" s="47" t="s">
        <v>27</v>
      </c>
      <c r="D48" s="160">
        <v>0.40699999999999997</v>
      </c>
      <c r="E48" s="160">
        <v>0.4</v>
      </c>
      <c r="F48" s="14">
        <f t="shared" ref="F48:F75" si="5">D48/E48</f>
        <v>1.0174999999999998</v>
      </c>
      <c r="G48" s="160">
        <v>0.32200000000000001</v>
      </c>
      <c r="H48" s="14">
        <f t="shared" si="4"/>
        <v>1.2422360248447206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28</v>
      </c>
      <c r="D49" s="160">
        <v>0.107</v>
      </c>
      <c r="E49" s="160">
        <v>0.154</v>
      </c>
      <c r="F49" s="14">
        <f t="shared" si="5"/>
        <v>0.69480519480519476</v>
      </c>
      <c r="G49" s="160">
        <v>0.184</v>
      </c>
      <c r="H49" s="14">
        <f>E49/G49</f>
        <v>0.83695652173913049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29</v>
      </c>
      <c r="D50" s="160">
        <v>1.4E-2</v>
      </c>
      <c r="E50" s="160">
        <v>2.3E-2</v>
      </c>
      <c r="F50" s="14">
        <f t="shared" si="5"/>
        <v>0.60869565217391308</v>
      </c>
      <c r="G50" s="160">
        <v>8.5999999999999993E-2</v>
      </c>
      <c r="H50" s="14">
        <f t="shared" si="4"/>
        <v>0.26744186046511631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D51" s="190"/>
      <c r="E51" s="190"/>
      <c r="F51" s="14"/>
      <c r="G51" s="19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156" t="s">
        <v>30</v>
      </c>
      <c r="D52" s="169"/>
      <c r="E52" s="169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31</v>
      </c>
      <c r="D53" s="160">
        <v>0.5</v>
      </c>
      <c r="E53" s="163">
        <v>0.47599999999999998</v>
      </c>
      <c r="F53" s="14">
        <f>D53/E53</f>
        <v>1.0504201680672269</v>
      </c>
      <c r="G53" s="160">
        <v>0.47399999999999998</v>
      </c>
      <c r="H53" s="14">
        <f>E53/G53</f>
        <v>1.0042194092827004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32</v>
      </c>
      <c r="D54" s="160">
        <v>0.2</v>
      </c>
      <c r="E54" s="160">
        <v>0.20200000000000001</v>
      </c>
      <c r="F54" s="14">
        <f>D54/E54</f>
        <v>0.99009900990099009</v>
      </c>
      <c r="G54" s="160">
        <v>0.14399999999999999</v>
      </c>
      <c r="H54" s="14">
        <f t="shared" si="4"/>
        <v>1.4027777777777779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33</v>
      </c>
      <c r="D55" s="160">
        <v>0.106</v>
      </c>
      <c r="E55" s="160">
        <v>0.125</v>
      </c>
      <c r="F55" s="14">
        <f>D55/E55</f>
        <v>0.84799999999999998</v>
      </c>
      <c r="G55" s="160">
        <v>0.13300000000000001</v>
      </c>
      <c r="H55" s="14">
        <f t="shared" si="4"/>
        <v>0.93984962406015038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34</v>
      </c>
      <c r="D56" s="160">
        <v>0.104</v>
      </c>
      <c r="E56" s="160">
        <v>9.5000000000000001E-2</v>
      </c>
      <c r="F56" s="14">
        <f t="shared" ref="F56:F59" si="6">D56/E56</f>
        <v>1.094736842105263</v>
      </c>
      <c r="G56" s="160">
        <v>0.112</v>
      </c>
      <c r="H56" s="14">
        <f t="shared" si="4"/>
        <v>0.8482142857142857</v>
      </c>
      <c r="I56" s="223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35</v>
      </c>
      <c r="D57" s="160">
        <v>2.1999999999999999E-2</v>
      </c>
      <c r="E57" s="160">
        <v>2.3E-2</v>
      </c>
      <c r="F57" s="14">
        <f t="shared" si="6"/>
        <v>0.9565217391304347</v>
      </c>
      <c r="G57" s="160">
        <v>3.5000000000000003E-2</v>
      </c>
      <c r="H57" s="14">
        <f t="shared" si="4"/>
        <v>0.65714285714285703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36</v>
      </c>
      <c r="D58" s="160">
        <v>1.0999999999999999E-2</v>
      </c>
      <c r="E58" s="160">
        <v>1.4999999999999999E-2</v>
      </c>
      <c r="F58" s="14">
        <f t="shared" si="6"/>
        <v>0.73333333333333328</v>
      </c>
      <c r="G58" s="160">
        <v>2.5999999999999999E-2</v>
      </c>
      <c r="H58" s="14">
        <f t="shared" si="4"/>
        <v>0.57692307692307698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37</v>
      </c>
      <c r="D59" s="160">
        <v>5.5E-2</v>
      </c>
      <c r="E59" s="160">
        <v>6.4000000000000001E-2</v>
      </c>
      <c r="F59" s="14">
        <f t="shared" si="6"/>
        <v>0.859375</v>
      </c>
      <c r="G59" s="160">
        <v>7.6999999999999999E-2</v>
      </c>
      <c r="H59" s="14">
        <f t="shared" si="4"/>
        <v>0.83116883116883122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D60" s="190"/>
      <c r="E60" s="190"/>
      <c r="F60" s="14"/>
      <c r="G60" s="190"/>
      <c r="H60" s="170"/>
      <c r="I60" s="149"/>
      <c r="J60" s="222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156" t="s">
        <v>38</v>
      </c>
      <c r="D61" s="169"/>
      <c r="E61" s="169"/>
      <c r="F61" s="14"/>
      <c r="G61" s="190"/>
      <c r="H61" s="170"/>
      <c r="I61" s="149"/>
      <c r="J61" s="222"/>
      <c r="K61" s="239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39</v>
      </c>
      <c r="D62" s="160">
        <v>0.52700000000000002</v>
      </c>
      <c r="E62" s="160">
        <v>0.41099999999999998</v>
      </c>
      <c r="F62" s="14">
        <f t="shared" si="5"/>
        <v>1.2822384428223845</v>
      </c>
      <c r="G62" s="164">
        <v>0.434</v>
      </c>
      <c r="H62" s="72">
        <f>E62/G62</f>
        <v>0.94700460829493083</v>
      </c>
      <c r="I62" s="149"/>
      <c r="J62" s="240"/>
      <c r="K62" s="241"/>
      <c r="L62" s="16"/>
      <c r="M62" s="16"/>
      <c r="N62" s="68"/>
      <c r="O62" s="16"/>
      <c r="P62" s="16"/>
      <c r="Q62" s="16"/>
      <c r="R62" s="16"/>
      <c r="S62" s="36"/>
      <c r="T62" s="380"/>
    </row>
    <row r="63" spans="2:20" x14ac:dyDescent="0.25">
      <c r="B63" s="382"/>
      <c r="C63" s="47" t="s">
        <v>40</v>
      </c>
      <c r="D63" s="160">
        <v>4.9000000000000002E-2</v>
      </c>
      <c r="E63" s="160">
        <v>0.05</v>
      </c>
      <c r="F63" s="14">
        <f t="shared" si="5"/>
        <v>0.98</v>
      </c>
      <c r="G63" s="160">
        <v>6.7000000000000004E-2</v>
      </c>
      <c r="H63" s="72">
        <f t="shared" ref="H63:H67" si="7">E63/G63</f>
        <v>0.74626865671641796</v>
      </c>
      <c r="I63" s="149"/>
      <c r="J63" s="240"/>
      <c r="K63" s="241"/>
      <c r="L63" s="14"/>
      <c r="M63" s="16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41</v>
      </c>
      <c r="D64" s="160">
        <v>9.1999999999999998E-2</v>
      </c>
      <c r="E64" s="160">
        <v>9.1999999999999998E-2</v>
      </c>
      <c r="F64" s="14">
        <f t="shared" si="5"/>
        <v>1</v>
      </c>
      <c r="G64" s="160">
        <v>0.124</v>
      </c>
      <c r="H64" s="72">
        <f t="shared" si="7"/>
        <v>0.74193548387096775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42</v>
      </c>
      <c r="D65" s="160">
        <v>0.108</v>
      </c>
      <c r="E65" s="160">
        <v>0.11899999999999999</v>
      </c>
      <c r="F65" s="14">
        <f t="shared" si="5"/>
        <v>0.90756302521008403</v>
      </c>
      <c r="G65" s="160">
        <v>0.14099999999999999</v>
      </c>
      <c r="H65" s="72">
        <f t="shared" si="7"/>
        <v>0.84397163120567376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43</v>
      </c>
      <c r="D66" s="160">
        <v>0.128</v>
      </c>
      <c r="E66" s="160">
        <v>0.159</v>
      </c>
      <c r="F66" s="14">
        <f t="shared" si="5"/>
        <v>0.80503144654088055</v>
      </c>
      <c r="G66" s="160">
        <v>0.14299999999999999</v>
      </c>
      <c r="H66" s="72">
        <f t="shared" si="7"/>
        <v>1.1118881118881121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44</v>
      </c>
      <c r="D67" s="160">
        <v>9.6000000000000002E-2</v>
      </c>
      <c r="E67" s="160">
        <v>0.17</v>
      </c>
      <c r="F67" s="14">
        <f t="shared" si="5"/>
        <v>0.56470588235294117</v>
      </c>
      <c r="G67" s="160">
        <v>9.1999999999999998E-2</v>
      </c>
      <c r="H67" s="72">
        <f t="shared" si="7"/>
        <v>1.847826086956522</v>
      </c>
      <c r="J67" s="34"/>
      <c r="K67" s="239"/>
      <c r="O67" s="14"/>
      <c r="P67" s="14"/>
      <c r="Q67" s="14"/>
      <c r="R67" s="14"/>
      <c r="S67" s="15"/>
      <c r="T67" s="380"/>
    </row>
    <row r="68" spans="2:20" x14ac:dyDescent="0.25">
      <c r="B68" s="382"/>
      <c r="D68" s="190"/>
      <c r="E68" s="190"/>
      <c r="F68" s="14"/>
      <c r="G68" s="190"/>
      <c r="H68" s="170"/>
      <c r="I68" s="149"/>
      <c r="J68" s="222"/>
      <c r="K68" s="14"/>
      <c r="O68" s="14"/>
      <c r="P68" s="14"/>
      <c r="Q68" s="14"/>
      <c r="R68" s="14"/>
      <c r="S68" s="15"/>
      <c r="T68" s="380"/>
    </row>
    <row r="69" spans="2:20" x14ac:dyDescent="0.25">
      <c r="B69" s="382"/>
      <c r="C69" s="156" t="s">
        <v>157</v>
      </c>
      <c r="D69" s="190"/>
      <c r="E69" s="190"/>
      <c r="F69" s="14"/>
      <c r="G69" s="190"/>
      <c r="H69" s="170"/>
      <c r="I69" s="149"/>
      <c r="J69" s="39"/>
      <c r="K69" s="14"/>
      <c r="L69" s="14"/>
      <c r="M69" s="14"/>
      <c r="N69" s="14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39</v>
      </c>
      <c r="D70" s="160">
        <v>0.26700000000000002</v>
      </c>
      <c r="E70" s="160">
        <v>8.1000000000000003E-2</v>
      </c>
      <c r="F70" s="14">
        <f t="shared" si="5"/>
        <v>3.2962962962962963</v>
      </c>
      <c r="G70" s="163">
        <v>0.19900000000000001</v>
      </c>
      <c r="H70" s="72">
        <f>E70/G70</f>
        <v>0.40703517587939697</v>
      </c>
      <c r="I70" s="149"/>
      <c r="J70" s="38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25">
      <c r="B71" s="382"/>
      <c r="C71" s="47" t="s">
        <v>40</v>
      </c>
      <c r="D71" s="160">
        <v>0.06</v>
      </c>
      <c r="E71" s="160">
        <v>5.2999999999999999E-2</v>
      </c>
      <c r="F71" s="14">
        <f t="shared" si="5"/>
        <v>1.1320754716981132</v>
      </c>
      <c r="G71" s="163">
        <v>0.122</v>
      </c>
      <c r="H71" s="72">
        <f t="shared" ref="H71:H75" si="8">E71/G71</f>
        <v>0.4344262295081967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25">
      <c r="B72" s="382"/>
      <c r="C72" s="47" t="s">
        <v>41</v>
      </c>
      <c r="D72" s="160">
        <v>0.125</v>
      </c>
      <c r="E72" s="160">
        <v>0.125</v>
      </c>
      <c r="F72" s="14">
        <f t="shared" si="5"/>
        <v>1</v>
      </c>
      <c r="G72" s="163">
        <v>0.20699999999999999</v>
      </c>
      <c r="H72" s="72">
        <f t="shared" si="8"/>
        <v>0.60386473429951693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25">
      <c r="B73" s="382"/>
      <c r="C73" s="47" t="s">
        <v>42</v>
      </c>
      <c r="D73" s="160">
        <v>0.158</v>
      </c>
      <c r="E73" s="160">
        <v>0.16900000000000001</v>
      </c>
      <c r="F73" s="14">
        <f t="shared" si="5"/>
        <v>0.9349112426035503</v>
      </c>
      <c r="G73" s="163">
        <v>0.19700000000000001</v>
      </c>
      <c r="H73" s="72">
        <f t="shared" si="8"/>
        <v>0.85786802030456855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25">
      <c r="B74" s="382"/>
      <c r="C74" s="47" t="s">
        <v>43</v>
      </c>
      <c r="D74" s="160">
        <v>0.19700000000000001</v>
      </c>
      <c r="E74" s="160">
        <v>0.25</v>
      </c>
      <c r="F74" s="14">
        <f t="shared" si="5"/>
        <v>0.78800000000000003</v>
      </c>
      <c r="G74" s="163">
        <v>0.17100000000000001</v>
      </c>
      <c r="H74" s="72">
        <f t="shared" si="8"/>
        <v>1.4619883040935671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ht="15.75" thickBot="1" x14ac:dyDescent="0.3">
      <c r="B75" s="383"/>
      <c r="C75" s="47" t="s">
        <v>44</v>
      </c>
      <c r="D75" s="160">
        <v>0.193</v>
      </c>
      <c r="E75" s="160">
        <v>0.32200000000000001</v>
      </c>
      <c r="F75" s="14">
        <f t="shared" si="5"/>
        <v>0.59937888198757761</v>
      </c>
      <c r="G75" s="163">
        <v>0.10299999999999999</v>
      </c>
      <c r="H75" s="72">
        <f t="shared" si="8"/>
        <v>3.1262135922330101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ht="15.75" thickBot="1" x14ac:dyDescent="0.3">
      <c r="B76" s="60"/>
      <c r="C76" s="45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26"/>
      <c r="T76" s="27"/>
    </row>
    <row r="77" spans="2:20" x14ac:dyDescent="0.25">
      <c r="B77" s="373" t="s">
        <v>45</v>
      </c>
      <c r="C77" s="5"/>
      <c r="D77" s="385" t="s">
        <v>46</v>
      </c>
      <c r="E77" s="385"/>
      <c r="F77" s="385" t="s">
        <v>47</v>
      </c>
      <c r="G77" s="385"/>
      <c r="H77" s="42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7"/>
      <c r="T77" s="386" t="s">
        <v>48</v>
      </c>
    </row>
    <row r="78" spans="2:20" x14ac:dyDescent="0.25">
      <c r="B78" s="374"/>
      <c r="C78" s="1"/>
      <c r="D78" s="40" t="s">
        <v>49</v>
      </c>
      <c r="E78" s="40" t="s">
        <v>50</v>
      </c>
      <c r="F78" s="40" t="s">
        <v>49</v>
      </c>
      <c r="G78" s="40" t="s">
        <v>50</v>
      </c>
      <c r="H78" s="41" t="s">
        <v>51</v>
      </c>
      <c r="I78" s="96" t="s">
        <v>52</v>
      </c>
      <c r="J78" s="97"/>
      <c r="K78" s="97"/>
      <c r="L78" s="97"/>
      <c r="M78" s="97"/>
      <c r="N78" s="97"/>
      <c r="O78" s="97"/>
      <c r="P78" s="97"/>
      <c r="Q78" s="97"/>
      <c r="R78" s="97"/>
      <c r="S78" s="99"/>
      <c r="T78" s="387"/>
    </row>
    <row r="79" spans="2:20" x14ac:dyDescent="0.25">
      <c r="B79" s="374"/>
      <c r="C79" s="2" t="s">
        <v>53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4"/>
      <c r="T79" s="387"/>
    </row>
    <row r="80" spans="2:20" x14ac:dyDescent="0.25">
      <c r="B80" s="374"/>
      <c r="C80" s="1" t="s">
        <v>54</v>
      </c>
      <c r="D80" s="167">
        <v>2659523</v>
      </c>
      <c r="E80" s="163">
        <f>D80/D82</f>
        <v>0.6142830250780984</v>
      </c>
      <c r="F80" s="168">
        <v>172242</v>
      </c>
      <c r="G80" s="160">
        <f>F80/$F$82</f>
        <v>0.54245177545075196</v>
      </c>
      <c r="H80" s="161">
        <f>G80/E80</f>
        <v>0.88306489566724722</v>
      </c>
      <c r="I80" s="191">
        <f>F80/D80</f>
        <v>6.4764245317675384E-2</v>
      </c>
      <c r="J80" s="39"/>
      <c r="K80" s="39"/>
      <c r="L80" s="14"/>
      <c r="M80" s="14"/>
      <c r="N80" s="14"/>
      <c r="O80" s="14"/>
      <c r="P80" s="14"/>
      <c r="Q80" s="14"/>
      <c r="R80" s="14"/>
      <c r="S80" s="82"/>
      <c r="T80" s="387"/>
    </row>
    <row r="81" spans="2:23" x14ac:dyDescent="0.25">
      <c r="B81" s="374"/>
      <c r="C81" s="1" t="s">
        <v>55</v>
      </c>
      <c r="D81" s="167">
        <f>SUM(D85:D91)</f>
        <v>1669952</v>
      </c>
      <c r="E81" s="163">
        <f>D81/D82</f>
        <v>0.3857169749219016</v>
      </c>
      <c r="F81" s="168">
        <f>SUM(F85:F91)</f>
        <v>145283</v>
      </c>
      <c r="G81" s="160">
        <f>F81/$F$82</f>
        <v>0.45754822454924809</v>
      </c>
      <c r="H81" s="161">
        <f>G81/E81</f>
        <v>1.1862278673161599</v>
      </c>
      <c r="I81" s="191">
        <f t="shared" ref="I81:I91" si="9">F81/D81</f>
        <v>8.6998308933430427E-2</v>
      </c>
      <c r="J81" s="39"/>
      <c r="K81" s="39"/>
      <c r="L81" s="252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 t="s">
        <v>53</v>
      </c>
      <c r="D82" s="167">
        <f>SUM(D80:D81)</f>
        <v>4329475</v>
      </c>
      <c r="E82" s="192"/>
      <c r="F82" s="168">
        <f>SUM(F80:F81)</f>
        <v>317525</v>
      </c>
      <c r="G82" s="169"/>
      <c r="H82" s="161"/>
      <c r="I82" s="191">
        <f t="shared" si="9"/>
        <v>7.3340301075765543E-2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/>
      <c r="D83" s="192"/>
      <c r="E83" s="192"/>
      <c r="F83" s="171"/>
      <c r="G83" s="169"/>
      <c r="H83" s="161"/>
      <c r="I83" s="191"/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2" t="s">
        <v>56</v>
      </c>
      <c r="D84" s="192"/>
      <c r="E84" s="192"/>
      <c r="F84" s="169"/>
      <c r="G84" s="169"/>
      <c r="H84" s="161"/>
      <c r="I84" s="191"/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 t="s">
        <v>57</v>
      </c>
      <c r="D85" s="167">
        <v>527641</v>
      </c>
      <c r="E85" s="163">
        <f>D85/$D$81</f>
        <v>0.31596177614685933</v>
      </c>
      <c r="F85" s="168">
        <v>48986</v>
      </c>
      <c r="G85" s="160">
        <f>F85/$F$81</f>
        <v>0.33717640742550747</v>
      </c>
      <c r="H85" s="161">
        <f t="shared" ref="H85:H91" si="10">G85/E85</f>
        <v>1.0671430308354375</v>
      </c>
      <c r="I85" s="191">
        <f t="shared" si="9"/>
        <v>9.2839639072778646E-2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 t="s">
        <v>58</v>
      </c>
      <c r="D86" s="167">
        <v>225048</v>
      </c>
      <c r="E86" s="163">
        <f t="shared" ref="E86:E91" si="11">D86/$D$81</f>
        <v>0.13476315486912199</v>
      </c>
      <c r="F86" s="168">
        <v>24557</v>
      </c>
      <c r="G86" s="160">
        <f t="shared" ref="G86:G91" si="12">F86/$F$81</f>
        <v>0.16902872325048354</v>
      </c>
      <c r="H86" s="161">
        <f t="shared" si="10"/>
        <v>1.254265109885853</v>
      </c>
      <c r="I86" s="191">
        <f t="shared" si="9"/>
        <v>0.10911894351427251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" t="s">
        <v>59</v>
      </c>
      <c r="D87" s="167">
        <v>358455</v>
      </c>
      <c r="E87" s="163">
        <f t="shared" si="11"/>
        <v>0.21464988215230138</v>
      </c>
      <c r="F87" s="168">
        <v>41169</v>
      </c>
      <c r="G87" s="160">
        <f t="shared" si="12"/>
        <v>0.28337107576247739</v>
      </c>
      <c r="H87" s="161">
        <f t="shared" si="10"/>
        <v>1.320154816397318</v>
      </c>
      <c r="I87" s="191">
        <f t="shared" si="9"/>
        <v>0.11485123655688999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172" t="s">
        <v>60</v>
      </c>
      <c r="D88" s="168">
        <v>373395</v>
      </c>
      <c r="E88" s="163">
        <f t="shared" si="11"/>
        <v>0.22359624707776032</v>
      </c>
      <c r="F88" s="174">
        <v>20981</v>
      </c>
      <c r="G88" s="160">
        <f t="shared" si="12"/>
        <v>0.1444146940798304</v>
      </c>
      <c r="H88" s="161">
        <f t="shared" si="10"/>
        <v>0.64587262070461826</v>
      </c>
      <c r="I88" s="191">
        <f t="shared" si="9"/>
        <v>5.6189825787704713E-2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25">
      <c r="B89" s="374"/>
      <c r="C89" s="1" t="s">
        <v>61</v>
      </c>
      <c r="D89" s="167">
        <v>88487</v>
      </c>
      <c r="E89" s="163">
        <f t="shared" si="11"/>
        <v>5.298775054612348E-2</v>
      </c>
      <c r="F89" s="168">
        <v>833</v>
      </c>
      <c r="G89" s="160">
        <f t="shared" si="12"/>
        <v>5.7336371082645594E-3</v>
      </c>
      <c r="H89" s="161">
        <f t="shared" si="10"/>
        <v>0.10820684118820412</v>
      </c>
      <c r="I89" s="191">
        <f t="shared" si="9"/>
        <v>9.4138121984020245E-3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25">
      <c r="B90" s="374"/>
      <c r="C90" s="1" t="s">
        <v>62</v>
      </c>
      <c r="D90" s="167">
        <v>77920</v>
      </c>
      <c r="E90" s="163">
        <f t="shared" si="11"/>
        <v>4.6660023761161996E-2</v>
      </c>
      <c r="F90" s="168">
        <v>6400</v>
      </c>
      <c r="G90" s="160">
        <f>F90/$F$81</f>
        <v>4.405195377298101E-2</v>
      </c>
      <c r="H90" s="161">
        <f t="shared" si="10"/>
        <v>0.94410482940319795</v>
      </c>
      <c r="I90" s="191">
        <f t="shared" si="9"/>
        <v>8.2135523613963035E-2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  <c r="W90" s="13"/>
    </row>
    <row r="91" spans="2:23" ht="15.75" thickBot="1" x14ac:dyDescent="0.3">
      <c r="B91" s="375"/>
      <c r="C91" s="9" t="s">
        <v>63</v>
      </c>
      <c r="D91" s="175">
        <v>19006</v>
      </c>
      <c r="E91" s="179">
        <f t="shared" si="11"/>
        <v>1.1381165446671521E-2</v>
      </c>
      <c r="F91" s="177">
        <v>2357</v>
      </c>
      <c r="G91" s="176">
        <f t="shared" si="12"/>
        <v>1.6223508600455662E-2</v>
      </c>
      <c r="H91" s="178">
        <f t="shared" si="10"/>
        <v>1.4254698850020064</v>
      </c>
      <c r="I91" s="198">
        <f t="shared" si="9"/>
        <v>0.1240134694307061</v>
      </c>
      <c r="J91" s="100"/>
      <c r="K91" s="100"/>
      <c r="L91" s="18"/>
      <c r="M91" s="18"/>
      <c r="N91" s="18"/>
      <c r="O91" s="18"/>
      <c r="P91" s="18"/>
      <c r="Q91" s="18"/>
      <c r="R91" s="18"/>
      <c r="S91" s="83"/>
      <c r="T91" s="388"/>
    </row>
    <row r="92" spans="2:23" ht="15.75" thickBot="1" x14ac:dyDescent="0.3">
      <c r="C92" s="1"/>
      <c r="D92" s="8"/>
      <c r="S92" s="4"/>
      <c r="T92" s="28"/>
    </row>
    <row r="93" spans="2:23" x14ac:dyDescent="0.25">
      <c r="B93" s="373" t="s">
        <v>64</v>
      </c>
      <c r="C93" s="21" t="s">
        <v>65</v>
      </c>
      <c r="D93" s="23" t="s">
        <v>66</v>
      </c>
      <c r="E93" s="48" t="s">
        <v>67</v>
      </c>
      <c r="F93" s="48" t="s">
        <v>68</v>
      </c>
      <c r="G93" s="48" t="s">
        <v>51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7"/>
      <c r="T93" s="373" t="s">
        <v>19</v>
      </c>
    </row>
    <row r="94" spans="2:23" x14ac:dyDescent="0.25">
      <c r="B94" s="374"/>
      <c r="C94" s="1" t="s">
        <v>69</v>
      </c>
      <c r="D94" s="168">
        <v>104987</v>
      </c>
      <c r="E94" s="180">
        <v>1002877</v>
      </c>
      <c r="F94" s="68"/>
      <c r="I94" s="8"/>
      <c r="S94" s="4"/>
      <c r="T94" s="374"/>
    </row>
    <row r="95" spans="2:23" x14ac:dyDescent="0.25">
      <c r="B95" s="374"/>
      <c r="C95" s="1" t="s">
        <v>70</v>
      </c>
      <c r="D95" s="181">
        <f>D94/H36</f>
        <v>0.70855773773368425</v>
      </c>
      <c r="E95" s="182">
        <v>0.24579999999999999</v>
      </c>
      <c r="F95" s="68"/>
      <c r="I95" s="8"/>
      <c r="S95" s="4"/>
      <c r="T95" s="374"/>
    </row>
    <row r="96" spans="2:23" x14ac:dyDescent="0.25">
      <c r="B96" s="374"/>
      <c r="C96" s="1"/>
      <c r="D96" s="199"/>
      <c r="E96" s="200"/>
      <c r="F96" s="14"/>
      <c r="I96" s="8"/>
      <c r="S96" s="4"/>
      <c r="T96" s="374"/>
      <c r="W96" s="8"/>
    </row>
    <row r="97" spans="2:23" ht="14.45" customHeight="1" x14ac:dyDescent="0.25">
      <c r="B97" s="374"/>
      <c r="C97" s="1" t="s">
        <v>71</v>
      </c>
      <c r="D97" s="168">
        <v>317525</v>
      </c>
      <c r="E97" s="183">
        <v>2365402</v>
      </c>
      <c r="F97" s="68"/>
      <c r="I97" s="8"/>
      <c r="S97" s="4"/>
      <c r="T97" s="374"/>
      <c r="U97" s="24"/>
      <c r="W97" s="14"/>
    </row>
    <row r="98" spans="2:23" x14ac:dyDescent="0.25">
      <c r="B98" s="374"/>
      <c r="C98" s="1" t="s">
        <v>72</v>
      </c>
      <c r="D98" s="184">
        <f>D97/D94</f>
        <v>3.0244220713040662</v>
      </c>
      <c r="E98" s="161">
        <f>E97/E94</f>
        <v>2.3586162610170538</v>
      </c>
      <c r="F98" s="14"/>
      <c r="I98" s="8"/>
      <c r="S98" s="4"/>
      <c r="T98" s="374"/>
    </row>
    <row r="99" spans="2:23" x14ac:dyDescent="0.25">
      <c r="B99" s="374"/>
      <c r="C99" s="1"/>
      <c r="D99" s="202"/>
      <c r="E99" s="169"/>
      <c r="F99" s="14"/>
      <c r="I99" s="8"/>
      <c r="S99" s="4"/>
      <c r="T99" s="374"/>
      <c r="W99" s="8"/>
    </row>
    <row r="100" spans="2:23" x14ac:dyDescent="0.25">
      <c r="B100" s="374"/>
      <c r="C100" s="1" t="s">
        <v>73</v>
      </c>
      <c r="D100" s="168">
        <v>168227</v>
      </c>
      <c r="E100" s="183">
        <v>1548847</v>
      </c>
      <c r="F100" s="14"/>
      <c r="I100" s="8"/>
      <c r="S100" s="4"/>
      <c r="T100" s="374"/>
      <c r="W100" s="14"/>
    </row>
    <row r="101" spans="2:23" x14ac:dyDescent="0.25">
      <c r="B101" s="374"/>
      <c r="C101" s="1" t="s">
        <v>74</v>
      </c>
      <c r="D101" s="184">
        <f>D100/D94</f>
        <v>1.6023602922266567</v>
      </c>
      <c r="E101" s="165">
        <f>E100/E94</f>
        <v>1.5444037504100703</v>
      </c>
      <c r="F101" s="14"/>
      <c r="S101" s="4"/>
      <c r="T101" s="374"/>
    </row>
    <row r="102" spans="2:23" ht="15.75" thickBot="1" x14ac:dyDescent="0.3">
      <c r="B102" s="375"/>
      <c r="C102" s="9" t="s">
        <v>75</v>
      </c>
      <c r="D102" s="185">
        <f>D97/D100</f>
        <v>1.8874794176915715</v>
      </c>
      <c r="E102" s="186">
        <f>E97/E100</f>
        <v>1.5272018475679006</v>
      </c>
      <c r="F102" s="18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11"/>
      <c r="T102" s="375"/>
    </row>
    <row r="103" spans="2:23" x14ac:dyDescent="0.25">
      <c r="D103" s="37"/>
      <c r="E103" s="22"/>
      <c r="F103" s="14"/>
    </row>
    <row r="104" spans="2:23" s="35" customFormat="1" x14ac:dyDescent="0.25">
      <c r="B104" s="47"/>
      <c r="C104" s="78"/>
      <c r="D104" s="8"/>
      <c r="E104" s="13"/>
    </row>
    <row r="105" spans="2:23" s="35" customFormat="1" x14ac:dyDescent="0.25">
      <c r="B105" s="47"/>
      <c r="C105" s="78"/>
      <c r="D105" s="8"/>
      <c r="E105" s="34"/>
    </row>
    <row r="106" spans="2:23" s="35" customFormat="1" x14ac:dyDescent="0.25">
      <c r="B106" s="47"/>
      <c r="C106" s="78"/>
      <c r="D106" s="8"/>
      <c r="E106" s="34"/>
    </row>
    <row r="107" spans="2:23" s="35" customFormat="1" x14ac:dyDescent="0.25">
      <c r="B107" s="47"/>
      <c r="C107" s="78"/>
      <c r="D107" s="8"/>
      <c r="E107" s="34"/>
    </row>
    <row r="108" spans="2:23" s="35" customFormat="1" x14ac:dyDescent="0.25">
      <c r="B108" s="47"/>
      <c r="C108" s="78"/>
      <c r="D108" s="8"/>
      <c r="E108" s="78"/>
    </row>
    <row r="109" spans="2:23" s="35" customFormat="1" x14ac:dyDescent="0.25">
      <c r="B109" s="47"/>
      <c r="C109" s="78"/>
      <c r="D109" s="8"/>
      <c r="E109" s="34"/>
    </row>
  </sheetData>
  <mergeCells count="15">
    <mergeCell ref="C2:S2"/>
    <mergeCell ref="D3:J3"/>
    <mergeCell ref="K3:M3"/>
    <mergeCell ref="N3:P3"/>
    <mergeCell ref="Q3:S3"/>
    <mergeCell ref="F77:G77"/>
    <mergeCell ref="T77:T91"/>
    <mergeCell ref="B93:B102"/>
    <mergeCell ref="T93:T102"/>
    <mergeCell ref="T3:T37"/>
    <mergeCell ref="B4:B37"/>
    <mergeCell ref="B39:B75"/>
    <mergeCell ref="T39:T75"/>
    <mergeCell ref="B77:B91"/>
    <mergeCell ref="D77:E7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D0FCE-3B43-4276-B404-902A11C266EB}">
  <sheetPr>
    <tabColor theme="9"/>
  </sheetPr>
  <dimension ref="A1:W110"/>
  <sheetViews>
    <sheetView topLeftCell="B37" zoomScaleNormal="100" workbookViewId="0">
      <selection activeCell="E82" sqref="E82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160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25">
      <c r="A35" s="8"/>
      <c r="B35" s="390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25">
      <c r="A36" s="8"/>
      <c r="B36" s="390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25">
      <c r="A37" s="8"/>
      <c r="B37" s="390"/>
      <c r="C37" s="234" t="s">
        <v>106</v>
      </c>
      <c r="D37" s="220">
        <f>H36</f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>H37-D37</f>
        <v>-1980</v>
      </c>
      <c r="J37" s="227">
        <f>G37/D37</f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ht="15.75" thickBot="1" x14ac:dyDescent="0.3">
      <c r="B38" s="391"/>
      <c r="C38" s="88" t="s">
        <v>78</v>
      </c>
      <c r="D38" s="135"/>
      <c r="E38" s="135">
        <f>SUM(E5:E37)</f>
        <v>331348</v>
      </c>
      <c r="F38" s="135">
        <f>SUM(F5:F37)</f>
        <v>238732.52000000002</v>
      </c>
      <c r="G38" s="135">
        <f>SUM(G5:G37)</f>
        <v>184483</v>
      </c>
      <c r="H38" s="135"/>
      <c r="I38" s="136"/>
      <c r="J38" s="136"/>
      <c r="K38" s="135">
        <f>SUM(K5:K37)</f>
        <v>303591</v>
      </c>
      <c r="M38" s="136"/>
      <c r="N38" s="135">
        <f>SUM(N17:N37)</f>
        <v>26297</v>
      </c>
      <c r="O38" s="135"/>
      <c r="P38" s="136"/>
      <c r="Q38" s="113">
        <f>SUM(Q20:Q37)</f>
        <v>4180</v>
      </c>
      <c r="R38" s="93"/>
      <c r="S38" s="112"/>
      <c r="T38" s="375"/>
      <c r="U38" s="8"/>
      <c r="V38" s="142"/>
    </row>
    <row r="39" spans="1:22" ht="15.75" thickBot="1" x14ac:dyDescent="0.3">
      <c r="C39" s="45"/>
      <c r="D39" s="25"/>
      <c r="E39" s="50"/>
      <c r="F39" s="50"/>
      <c r="G39" s="50"/>
      <c r="H39" s="50"/>
      <c r="I39" s="50"/>
      <c r="J39" s="238"/>
      <c r="K39" s="50"/>
      <c r="L39" s="50"/>
      <c r="M39" s="50"/>
      <c r="N39" s="50"/>
      <c r="O39" s="50"/>
      <c r="P39" s="50"/>
      <c r="Q39" s="50"/>
      <c r="R39" s="50"/>
      <c r="S39" s="51"/>
      <c r="T39" s="27"/>
      <c r="V39" s="142"/>
    </row>
    <row r="40" spans="1:22" x14ac:dyDescent="0.25">
      <c r="B40" s="381" t="s">
        <v>13</v>
      </c>
      <c r="C40" s="94"/>
      <c r="D40" s="48" t="s">
        <v>107</v>
      </c>
      <c r="E40" s="48" t="s">
        <v>15</v>
      </c>
      <c r="F40" s="48" t="s">
        <v>108</v>
      </c>
      <c r="G40" s="48" t="s">
        <v>156</v>
      </c>
      <c r="H40" s="48" t="s">
        <v>18</v>
      </c>
      <c r="I40" s="94"/>
      <c r="J40" s="116"/>
      <c r="K40" s="116"/>
      <c r="L40" s="47"/>
      <c r="M40" s="94"/>
      <c r="N40" s="94"/>
      <c r="O40" s="94"/>
      <c r="Q40" s="94"/>
      <c r="R40" s="94"/>
      <c r="S40" s="49"/>
      <c r="T40" s="380" t="s">
        <v>19</v>
      </c>
      <c r="V40" s="142"/>
    </row>
    <row r="41" spans="1:22" x14ac:dyDescent="0.25">
      <c r="B41" s="382"/>
      <c r="C41" s="156" t="s">
        <v>20</v>
      </c>
      <c r="D41" s="47"/>
      <c r="E41" s="47"/>
      <c r="F41" s="47"/>
      <c r="G41" s="47"/>
      <c r="I41" s="154"/>
      <c r="M41" s="254"/>
      <c r="O41" s="47"/>
      <c r="P41" s="47"/>
      <c r="Q41" s="47"/>
      <c r="R41" s="47"/>
      <c r="S41" s="12"/>
      <c r="T41" s="380"/>
      <c r="V41" s="8"/>
    </row>
    <row r="42" spans="1:22" x14ac:dyDescent="0.25">
      <c r="B42" s="382"/>
      <c r="C42" s="47" t="s">
        <v>21</v>
      </c>
      <c r="D42" s="160">
        <v>0.41</v>
      </c>
      <c r="E42" s="160">
        <v>0.433</v>
      </c>
      <c r="F42" s="14">
        <f>D42/E42</f>
        <v>0.94688221709006926</v>
      </c>
      <c r="G42" s="160">
        <v>0.55000000000000004</v>
      </c>
      <c r="H42" s="14">
        <f>E42/G42</f>
        <v>0.78727272727272724</v>
      </c>
      <c r="I42" s="149"/>
      <c r="J42" s="222"/>
      <c r="K42" s="158"/>
      <c r="L42" s="158"/>
      <c r="M42" s="14"/>
      <c r="N42" s="47"/>
      <c r="O42" s="14"/>
      <c r="P42" s="14"/>
      <c r="Q42" s="14"/>
      <c r="R42" s="14"/>
      <c r="S42" s="15"/>
      <c r="T42" s="380"/>
      <c r="V42" s="8"/>
    </row>
    <row r="43" spans="1:22" x14ac:dyDescent="0.25">
      <c r="B43" s="382"/>
      <c r="C43" s="47" t="s">
        <v>22</v>
      </c>
      <c r="D43" s="160">
        <v>0.59</v>
      </c>
      <c r="E43" s="160">
        <v>0.56699999999999995</v>
      </c>
      <c r="F43" s="14">
        <f>D43/E43</f>
        <v>1.0405643738977073</v>
      </c>
      <c r="G43" s="160">
        <v>0.45</v>
      </c>
      <c r="H43" s="14">
        <f t="shared" ref="H43:H60" si="4">E43/G43</f>
        <v>1.2599999999999998</v>
      </c>
      <c r="I43" s="149"/>
      <c r="J43" s="222"/>
      <c r="K43" s="158"/>
      <c r="L43" s="14"/>
      <c r="M43" s="14"/>
      <c r="N43" s="14"/>
      <c r="O43" s="14"/>
      <c r="P43" s="14"/>
      <c r="Q43" s="14"/>
      <c r="R43" s="14"/>
      <c r="S43" s="15"/>
      <c r="T43" s="380"/>
    </row>
    <row r="44" spans="1:22" x14ac:dyDescent="0.25">
      <c r="B44" s="382"/>
      <c r="D44" s="190"/>
      <c r="E44" s="190"/>
      <c r="F44" s="14"/>
      <c r="G44" s="190"/>
      <c r="H44" s="170"/>
      <c r="I44" s="149"/>
      <c r="J44" s="222"/>
      <c r="K44" s="14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25">
      <c r="B45" s="382"/>
      <c r="C45" s="156" t="s">
        <v>23</v>
      </c>
      <c r="D45" s="169"/>
      <c r="E45" s="169"/>
      <c r="F45" s="14"/>
      <c r="G45" s="190"/>
      <c r="H45" s="170"/>
      <c r="I45" s="149"/>
      <c r="J45" s="39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25">
      <c r="B46" s="382"/>
      <c r="C46" s="47" t="s">
        <v>24</v>
      </c>
      <c r="D46" s="160">
        <v>0</v>
      </c>
      <c r="E46" s="160">
        <v>0</v>
      </c>
      <c r="F46" s="14" t="s">
        <v>12</v>
      </c>
      <c r="G46" s="160">
        <v>1.2999999999999999E-2</v>
      </c>
      <c r="H46" s="14" t="s">
        <v>12</v>
      </c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C47" s="47" t="s">
        <v>25</v>
      </c>
      <c r="D47" s="160">
        <v>3.3000000000000002E-2</v>
      </c>
      <c r="E47" s="160">
        <v>2.4E-2</v>
      </c>
      <c r="F47" s="14">
        <f>D47/E47</f>
        <v>1.375</v>
      </c>
      <c r="G47" s="160">
        <v>0.13800000000000001</v>
      </c>
      <c r="H47" s="14">
        <f>E47/G47</f>
        <v>0.17391304347826086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C48" s="47" t="s">
        <v>26</v>
      </c>
      <c r="D48" s="160">
        <v>0.47199999999999998</v>
      </c>
      <c r="E48" s="160">
        <v>0.39800000000000002</v>
      </c>
      <c r="F48" s="14">
        <f>D48/E48</f>
        <v>1.1859296482412058</v>
      </c>
      <c r="G48" s="160">
        <v>0.28499999999999998</v>
      </c>
      <c r="H48" s="14">
        <f>E48/G48</f>
        <v>1.3964912280701756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27</v>
      </c>
      <c r="D49" s="160">
        <v>0.36199999999999999</v>
      </c>
      <c r="E49" s="160">
        <v>0.4</v>
      </c>
      <c r="F49" s="14">
        <f t="shared" ref="F49:F76" si="5">D49/E49</f>
        <v>0.90499999999999992</v>
      </c>
      <c r="G49" s="160">
        <v>0.32500000000000001</v>
      </c>
      <c r="H49" s="14">
        <f t="shared" si="4"/>
        <v>1.2307692307692308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28</v>
      </c>
      <c r="D50" s="160">
        <v>0.11899999999999999</v>
      </c>
      <c r="E50" s="160">
        <v>0.154</v>
      </c>
      <c r="F50" s="14">
        <f t="shared" si="5"/>
        <v>0.77272727272727271</v>
      </c>
      <c r="G50" s="160">
        <v>0.16800000000000001</v>
      </c>
      <c r="H50" s="14">
        <f>E50/G50</f>
        <v>0.91666666666666663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29</v>
      </c>
      <c r="D51" s="160">
        <v>1.4999999999999999E-2</v>
      </c>
      <c r="E51" s="160">
        <v>2.4E-2</v>
      </c>
      <c r="F51" s="14">
        <f t="shared" si="5"/>
        <v>0.625</v>
      </c>
      <c r="G51" s="160">
        <v>7.0000000000000007E-2</v>
      </c>
      <c r="H51" s="14">
        <f t="shared" si="4"/>
        <v>0.3428571428571428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D52" s="190"/>
      <c r="E52" s="190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156" t="s">
        <v>30</v>
      </c>
      <c r="D53" s="169"/>
      <c r="E53" s="169"/>
      <c r="F53" s="14"/>
      <c r="G53" s="190"/>
      <c r="H53" s="170"/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31</v>
      </c>
      <c r="D54" s="160">
        <v>0.51</v>
      </c>
      <c r="E54" s="163">
        <v>0.47599999999999998</v>
      </c>
      <c r="F54" s="14">
        <f>D54/E54</f>
        <v>1.0714285714285714</v>
      </c>
      <c r="G54" s="160">
        <v>0.47499999999999998</v>
      </c>
      <c r="H54" s="14">
        <f>E54/G54</f>
        <v>1.0021052631578948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32</v>
      </c>
      <c r="D55" s="160">
        <v>0.186</v>
      </c>
      <c r="E55" s="160">
        <v>0.20200000000000001</v>
      </c>
      <c r="F55" s="14">
        <f>D55/E55</f>
        <v>0.92079207920792072</v>
      </c>
      <c r="G55" s="160">
        <v>0.14699999999999999</v>
      </c>
      <c r="H55" s="14">
        <f t="shared" si="4"/>
        <v>1.3741496598639458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33</v>
      </c>
      <c r="D56" s="160">
        <v>0.108</v>
      </c>
      <c r="E56" s="160">
        <v>0.125</v>
      </c>
      <c r="F56" s="14">
        <f>D56/E56</f>
        <v>0.86399999999999999</v>
      </c>
      <c r="G56" s="160">
        <v>0.124</v>
      </c>
      <c r="H56" s="14">
        <f t="shared" si="4"/>
        <v>1.0080645161290323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34</v>
      </c>
      <c r="D57" s="160">
        <v>9.1999999999999998E-2</v>
      </c>
      <c r="E57" s="160">
        <v>9.5000000000000001E-2</v>
      </c>
      <c r="F57" s="14">
        <f t="shared" ref="F57:F60" si="6">D57/E57</f>
        <v>0.96842105263157896</v>
      </c>
      <c r="G57" s="160">
        <v>0.124</v>
      </c>
      <c r="H57" s="14">
        <f t="shared" si="4"/>
        <v>0.7661290322580645</v>
      </c>
      <c r="I57" s="223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35</v>
      </c>
      <c r="D58" s="160">
        <v>2.5999999999999999E-2</v>
      </c>
      <c r="E58" s="160">
        <v>2.3E-2</v>
      </c>
      <c r="F58" s="14">
        <f t="shared" si="6"/>
        <v>1.1304347826086956</v>
      </c>
      <c r="G58" s="160">
        <v>3.3000000000000002E-2</v>
      </c>
      <c r="H58" s="14">
        <f t="shared" si="4"/>
        <v>0.69696969696969691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36</v>
      </c>
      <c r="D59" s="160">
        <v>1.4E-2</v>
      </c>
      <c r="E59" s="160">
        <v>1.4999999999999999E-2</v>
      </c>
      <c r="F59" s="14">
        <f t="shared" si="6"/>
        <v>0.93333333333333335</v>
      </c>
      <c r="G59" s="160">
        <v>0.02</v>
      </c>
      <c r="H59" s="14">
        <f t="shared" si="4"/>
        <v>0.75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37</v>
      </c>
      <c r="D60" s="160">
        <v>6.3E-2</v>
      </c>
      <c r="E60" s="160">
        <v>6.4000000000000001E-2</v>
      </c>
      <c r="F60" s="14">
        <f t="shared" si="6"/>
        <v>0.984375</v>
      </c>
      <c r="G60" s="160">
        <v>7.5999999999999998E-2</v>
      </c>
      <c r="H60" s="14">
        <f t="shared" si="4"/>
        <v>0.8421052631578948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D61" s="190"/>
      <c r="E61" s="190"/>
      <c r="F61" s="14"/>
      <c r="G61" s="190"/>
      <c r="H61" s="170"/>
      <c r="I61" s="149"/>
      <c r="J61" s="222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156" t="s">
        <v>38</v>
      </c>
      <c r="D62" s="169"/>
      <c r="E62" s="169"/>
      <c r="F62" s="14"/>
      <c r="G62" s="190"/>
      <c r="H62" s="170"/>
      <c r="I62" s="149"/>
      <c r="J62" s="222"/>
      <c r="K62" s="239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39</v>
      </c>
      <c r="D63" s="160">
        <v>0.48799999999999999</v>
      </c>
      <c r="E63" s="160">
        <v>0.41299999999999998</v>
      </c>
      <c r="F63" s="14">
        <f t="shared" si="5"/>
        <v>1.1815980629539953</v>
      </c>
      <c r="G63" s="164">
        <v>0.44</v>
      </c>
      <c r="H63" s="72">
        <f>E63/G63</f>
        <v>0.9386363636363636</v>
      </c>
      <c r="I63" s="149"/>
      <c r="J63" s="240"/>
      <c r="K63" s="241"/>
      <c r="L63" s="16"/>
      <c r="M63" s="16"/>
      <c r="N63" s="68"/>
      <c r="O63" s="16"/>
      <c r="P63" s="16"/>
      <c r="Q63" s="16"/>
      <c r="R63" s="16"/>
      <c r="S63" s="36"/>
      <c r="T63" s="380"/>
    </row>
    <row r="64" spans="2:20" x14ac:dyDescent="0.25">
      <c r="B64" s="382"/>
      <c r="C64" s="47" t="s">
        <v>40</v>
      </c>
      <c r="D64" s="160">
        <v>0.05</v>
      </c>
      <c r="E64" s="160">
        <v>0.05</v>
      </c>
      <c r="F64" s="14">
        <f t="shared" si="5"/>
        <v>1</v>
      </c>
      <c r="G64" s="160">
        <v>6.8000000000000005E-2</v>
      </c>
      <c r="H64" s="72">
        <f t="shared" ref="H64:H68" si="7">E64/G64</f>
        <v>0.73529411764705876</v>
      </c>
      <c r="I64" s="149"/>
      <c r="J64" s="240"/>
      <c r="K64" s="241"/>
      <c r="L64" s="14"/>
      <c r="M64" s="16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41</v>
      </c>
      <c r="D65" s="160">
        <v>8.7999999999999995E-2</v>
      </c>
      <c r="E65" s="160">
        <v>9.1999999999999998E-2</v>
      </c>
      <c r="F65" s="14">
        <f t="shared" si="5"/>
        <v>0.9565217391304347</v>
      </c>
      <c r="G65" s="160">
        <v>0.124</v>
      </c>
      <c r="H65" s="72">
        <f t="shared" si="7"/>
        <v>0.74193548387096775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42</v>
      </c>
      <c r="D66" s="160">
        <v>0.111</v>
      </c>
      <c r="E66" s="160">
        <v>0.11899999999999999</v>
      </c>
      <c r="F66" s="14">
        <f t="shared" si="5"/>
        <v>0.9327731092436975</v>
      </c>
      <c r="G66" s="160">
        <v>0.14000000000000001</v>
      </c>
      <c r="H66" s="72">
        <f t="shared" si="7"/>
        <v>0.84999999999999987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43</v>
      </c>
      <c r="D67" s="160">
        <v>0.13700000000000001</v>
      </c>
      <c r="E67" s="160">
        <v>0.158</v>
      </c>
      <c r="F67" s="14">
        <f t="shared" si="5"/>
        <v>0.86708860759493678</v>
      </c>
      <c r="G67" s="160">
        <v>0.14000000000000001</v>
      </c>
      <c r="H67" s="72">
        <f t="shared" si="7"/>
        <v>1.1285714285714286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44</v>
      </c>
      <c r="D68" s="160">
        <v>0.126</v>
      </c>
      <c r="E68" s="160">
        <v>0.16800000000000001</v>
      </c>
      <c r="F68" s="14">
        <f t="shared" si="5"/>
        <v>0.75</v>
      </c>
      <c r="G68" s="160">
        <v>8.6999999999999994E-2</v>
      </c>
      <c r="H68" s="72">
        <f t="shared" si="7"/>
        <v>1.931034482758621</v>
      </c>
      <c r="J68" s="34"/>
      <c r="K68" s="239"/>
      <c r="O68" s="14"/>
      <c r="P68" s="14"/>
      <c r="Q68" s="14"/>
      <c r="R68" s="14"/>
      <c r="S68" s="15"/>
      <c r="T68" s="380"/>
    </row>
    <row r="69" spans="2:20" x14ac:dyDescent="0.25">
      <c r="B69" s="382"/>
      <c r="D69" s="190"/>
      <c r="E69" s="190"/>
      <c r="F69" s="14"/>
      <c r="G69" s="190"/>
      <c r="H69" s="170"/>
      <c r="I69" s="149"/>
      <c r="J69" s="222"/>
      <c r="K69" s="14"/>
      <c r="O69" s="14"/>
      <c r="P69" s="14"/>
      <c r="Q69" s="14"/>
      <c r="R69" s="14"/>
      <c r="S69" s="15"/>
      <c r="T69" s="380"/>
    </row>
    <row r="70" spans="2:20" x14ac:dyDescent="0.25">
      <c r="B70" s="382"/>
      <c r="C70" s="156" t="s">
        <v>157</v>
      </c>
      <c r="D70" s="190"/>
      <c r="E70" s="190"/>
      <c r="F70" s="14"/>
      <c r="G70" s="190"/>
      <c r="H70" s="170"/>
      <c r="I70" s="149"/>
      <c r="J70" s="39"/>
      <c r="K70" s="14"/>
      <c r="L70" s="14"/>
      <c r="M70" s="14"/>
      <c r="N70" s="14"/>
      <c r="O70" s="14"/>
      <c r="P70" s="14"/>
      <c r="Q70" s="14"/>
      <c r="R70" s="14"/>
      <c r="S70" s="15"/>
      <c r="T70" s="380"/>
    </row>
    <row r="71" spans="2:20" x14ac:dyDescent="0.25">
      <c r="B71" s="382"/>
      <c r="C71" s="47" t="s">
        <v>39</v>
      </c>
      <c r="D71" s="160">
        <v>0.22900000000000001</v>
      </c>
      <c r="E71" s="160">
        <v>8.7999999999999995E-2</v>
      </c>
      <c r="F71" s="14">
        <f t="shared" si="5"/>
        <v>2.6022727272727275</v>
      </c>
      <c r="G71" s="163">
        <v>0.21</v>
      </c>
      <c r="H71" s="72">
        <f>E71/G71</f>
        <v>0.41904761904761906</v>
      </c>
      <c r="I71" s="149"/>
      <c r="J71" s="38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25">
      <c r="B72" s="382"/>
      <c r="C72" s="47" t="s">
        <v>40</v>
      </c>
      <c r="D72" s="160">
        <v>5.2999999999999999E-2</v>
      </c>
      <c r="E72" s="160">
        <v>5.2999999999999999E-2</v>
      </c>
      <c r="F72" s="14">
        <f t="shared" si="5"/>
        <v>1</v>
      </c>
      <c r="G72" s="163">
        <v>0.125</v>
      </c>
      <c r="H72" s="72">
        <f t="shared" ref="H72:H76" si="8">E72/G72</f>
        <v>0.42399999999999999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25">
      <c r="B73" s="382"/>
      <c r="C73" s="47" t="s">
        <v>41</v>
      </c>
      <c r="D73" s="160">
        <v>0.12</v>
      </c>
      <c r="E73" s="160">
        <v>0.125</v>
      </c>
      <c r="F73" s="14">
        <f t="shared" si="5"/>
        <v>0.96</v>
      </c>
      <c r="G73" s="163">
        <v>0.20899999999999999</v>
      </c>
      <c r="H73" s="72">
        <f t="shared" si="8"/>
        <v>0.59808612440191389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25">
      <c r="B74" s="382"/>
      <c r="C74" s="47" t="s">
        <v>42</v>
      </c>
      <c r="D74" s="160">
        <v>0.14699999999999999</v>
      </c>
      <c r="E74" s="160">
        <v>0.16800000000000001</v>
      </c>
      <c r="F74" s="14">
        <f t="shared" si="5"/>
        <v>0.87499999999999989</v>
      </c>
      <c r="G74" s="163">
        <v>0.19600000000000001</v>
      </c>
      <c r="H74" s="72">
        <f t="shared" si="8"/>
        <v>0.85714285714285721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25">
      <c r="B75" s="382"/>
      <c r="C75" s="47" t="s">
        <v>43</v>
      </c>
      <c r="D75" s="160">
        <v>0.20899999999999999</v>
      </c>
      <c r="E75" s="160">
        <v>0.248</v>
      </c>
      <c r="F75" s="14">
        <f t="shared" si="5"/>
        <v>0.84274193548387089</v>
      </c>
      <c r="G75" s="163">
        <v>0.16500000000000001</v>
      </c>
      <c r="H75" s="72">
        <f t="shared" si="8"/>
        <v>1.5030303030303029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ht="15.75" thickBot="1" x14ac:dyDescent="0.3">
      <c r="B76" s="383"/>
      <c r="C76" s="47" t="s">
        <v>44</v>
      </c>
      <c r="D76" s="160">
        <v>0.24199999999999999</v>
      </c>
      <c r="E76" s="160">
        <v>0.318</v>
      </c>
      <c r="F76" s="14">
        <f t="shared" si="5"/>
        <v>0.76100628930817604</v>
      </c>
      <c r="G76" s="163">
        <v>9.5000000000000001E-2</v>
      </c>
      <c r="H76" s="72">
        <f t="shared" si="8"/>
        <v>3.3473684210526318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ht="15.75" thickBot="1" x14ac:dyDescent="0.3">
      <c r="B77" s="60"/>
      <c r="C77" s="45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26"/>
      <c r="T77" s="27"/>
    </row>
    <row r="78" spans="2:20" x14ac:dyDescent="0.25">
      <c r="B78" s="373" t="s">
        <v>45</v>
      </c>
      <c r="C78" s="5"/>
      <c r="D78" s="385" t="s">
        <v>46</v>
      </c>
      <c r="E78" s="385"/>
      <c r="F78" s="385" t="s">
        <v>47</v>
      </c>
      <c r="G78" s="385"/>
      <c r="H78" s="42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7"/>
      <c r="T78" s="386" t="s">
        <v>48</v>
      </c>
    </row>
    <row r="79" spans="2:20" x14ac:dyDescent="0.25">
      <c r="B79" s="374"/>
      <c r="C79" s="1"/>
      <c r="D79" s="40" t="s">
        <v>49</v>
      </c>
      <c r="E79" s="40" t="s">
        <v>50</v>
      </c>
      <c r="F79" s="40" t="s">
        <v>49</v>
      </c>
      <c r="G79" s="40" t="s">
        <v>50</v>
      </c>
      <c r="H79" s="41" t="s">
        <v>51</v>
      </c>
      <c r="I79" s="96" t="s">
        <v>52</v>
      </c>
      <c r="J79" s="97"/>
      <c r="K79" s="97"/>
      <c r="L79" s="97"/>
      <c r="M79" s="97"/>
      <c r="N79" s="97"/>
      <c r="O79" s="97"/>
      <c r="P79" s="97"/>
      <c r="Q79" s="97"/>
      <c r="R79" s="97"/>
      <c r="S79" s="99"/>
      <c r="T79" s="387"/>
    </row>
    <row r="80" spans="2:20" x14ac:dyDescent="0.25">
      <c r="B80" s="374"/>
      <c r="C80" s="2" t="s">
        <v>53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4"/>
      <c r="T80" s="387"/>
    </row>
    <row r="81" spans="2:23" x14ac:dyDescent="0.25">
      <c r="B81" s="374"/>
      <c r="C81" s="1" t="s">
        <v>54</v>
      </c>
      <c r="D81" s="167">
        <v>1453455</v>
      </c>
      <c r="E81" s="163">
        <f>D81/D83</f>
        <v>0.64800869923440318</v>
      </c>
      <c r="F81" s="168">
        <v>117356</v>
      </c>
      <c r="G81" s="160">
        <f>F81/$F$83</f>
        <v>0.62746817372521135</v>
      </c>
      <c r="H81" s="161">
        <f>G81/E81</f>
        <v>0.96830208370125326</v>
      </c>
      <c r="I81" s="191">
        <f>F81/D81</f>
        <v>8.0742781854271375E-2</v>
      </c>
      <c r="J81" s="39"/>
      <c r="K81" s="39"/>
      <c r="L81" s="14"/>
      <c r="M81" s="14"/>
      <c r="N81" s="14"/>
      <c r="O81" s="14"/>
      <c r="P81" s="14"/>
      <c r="Q81" s="14"/>
      <c r="R81" s="14"/>
      <c r="S81" s="82"/>
      <c r="T81" s="387"/>
    </row>
    <row r="82" spans="2:23" x14ac:dyDescent="0.25">
      <c r="B82" s="374"/>
      <c r="C82" s="1" t="s">
        <v>55</v>
      </c>
      <c r="D82" s="167">
        <f>SUM(D86:D92)</f>
        <v>789501</v>
      </c>
      <c r="E82" s="163">
        <f>D82/D83</f>
        <v>0.35199130076559682</v>
      </c>
      <c r="F82" s="168">
        <f>SUM(F86:F92)</f>
        <v>69675</v>
      </c>
      <c r="G82" s="160">
        <f>F82/$F$83</f>
        <v>0.37253182627478865</v>
      </c>
      <c r="H82" s="161">
        <f>G82/E82</f>
        <v>1.0583552078262026</v>
      </c>
      <c r="I82" s="191">
        <f t="shared" ref="I82:I92" si="9">F82/D82</f>
        <v>8.8251946482651694E-2</v>
      </c>
      <c r="J82" s="39"/>
      <c r="K82" s="39"/>
      <c r="L82" s="252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 t="s">
        <v>53</v>
      </c>
      <c r="D83" s="167">
        <f>SUM(D81:D82)</f>
        <v>2242956</v>
      </c>
      <c r="E83" s="192"/>
      <c r="F83" s="168">
        <f>SUM(F81:F82)</f>
        <v>187031</v>
      </c>
      <c r="G83" s="169"/>
      <c r="H83" s="161"/>
      <c r="I83" s="191">
        <f t="shared" si="9"/>
        <v>8.3385942479477976E-2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/>
      <c r="D84" s="192"/>
      <c r="E84" s="192"/>
      <c r="F84" s="171"/>
      <c r="G84" s="169"/>
      <c r="H84" s="161"/>
      <c r="I84" s="191"/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2" t="s">
        <v>56</v>
      </c>
      <c r="D85" s="192"/>
      <c r="E85" s="192"/>
      <c r="F85" s="169"/>
      <c r="G85" s="169"/>
      <c r="H85" s="161"/>
      <c r="I85" s="191"/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 t="s">
        <v>57</v>
      </c>
      <c r="D86" s="167">
        <v>239717</v>
      </c>
      <c r="E86" s="163">
        <f>D86/$D$82</f>
        <v>0.3036310276997749</v>
      </c>
      <c r="F86" s="168">
        <v>28729</v>
      </c>
      <c r="G86" s="160">
        <f>F86/$F$82</f>
        <v>0.41232866881951918</v>
      </c>
      <c r="H86" s="161">
        <f t="shared" ref="H86:H92" si="10">G86/E86</f>
        <v>1.357992534370442</v>
      </c>
      <c r="I86" s="191">
        <f t="shared" si="9"/>
        <v>0.11984548446710079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" t="s">
        <v>58</v>
      </c>
      <c r="D87" s="167">
        <v>114184</v>
      </c>
      <c r="E87" s="163">
        <f t="shared" ref="E87:E92" si="11">D87/$D$82</f>
        <v>0.14462806253570293</v>
      </c>
      <c r="F87" s="168">
        <v>14151</v>
      </c>
      <c r="G87" s="160">
        <f t="shared" ref="G87:G92" si="12">F87/$F$82</f>
        <v>0.20310010764262648</v>
      </c>
      <c r="H87" s="161">
        <f t="shared" si="10"/>
        <v>1.4042925285851018</v>
      </c>
      <c r="I87" s="191">
        <f t="shared" si="9"/>
        <v>0.12393154907868002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1" t="s">
        <v>59</v>
      </c>
      <c r="D88" s="167">
        <v>101892</v>
      </c>
      <c r="E88" s="163">
        <f t="shared" si="11"/>
        <v>0.12905873456778397</v>
      </c>
      <c r="F88" s="168">
        <v>12853</v>
      </c>
      <c r="G88" s="160">
        <f t="shared" si="12"/>
        <v>0.1844707570864729</v>
      </c>
      <c r="H88" s="161">
        <f t="shared" si="10"/>
        <v>1.4293550739069547</v>
      </c>
      <c r="I88" s="191">
        <f t="shared" si="9"/>
        <v>0.12614336748714325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25">
      <c r="B89" s="374"/>
      <c r="C89" s="172" t="s">
        <v>60</v>
      </c>
      <c r="D89" s="168">
        <v>209769</v>
      </c>
      <c r="E89" s="163">
        <f t="shared" si="11"/>
        <v>0.26569820684204326</v>
      </c>
      <c r="F89" s="174">
        <v>9934</v>
      </c>
      <c r="G89" s="160">
        <f t="shared" si="12"/>
        <v>0.14257624686042339</v>
      </c>
      <c r="H89" s="161">
        <f t="shared" si="10"/>
        <v>0.5366097443976523</v>
      </c>
      <c r="I89" s="191">
        <f t="shared" si="9"/>
        <v>4.7356854444651021E-2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25">
      <c r="B90" s="374"/>
      <c r="C90" s="1" t="s">
        <v>61</v>
      </c>
      <c r="D90" s="167">
        <v>75024</v>
      </c>
      <c r="E90" s="163">
        <f t="shared" si="11"/>
        <v>9.5027112061922658E-2</v>
      </c>
      <c r="F90" s="168">
        <v>471</v>
      </c>
      <c r="G90" s="160">
        <f t="shared" si="12"/>
        <v>6.7599569429494079E-3</v>
      </c>
      <c r="H90" s="161">
        <f t="shared" si="10"/>
        <v>7.1137139667513075E-2</v>
      </c>
      <c r="I90" s="191">
        <f t="shared" si="9"/>
        <v>6.2779910428662827E-3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25">
      <c r="B91" s="374"/>
      <c r="C91" s="1" t="s">
        <v>62</v>
      </c>
      <c r="D91" s="167">
        <v>38183</v>
      </c>
      <c r="E91" s="163">
        <f t="shared" si="11"/>
        <v>4.8363459957618801E-2</v>
      </c>
      <c r="F91" s="168">
        <v>2535</v>
      </c>
      <c r="G91" s="160">
        <f>F91/$F$82</f>
        <v>3.6383207750269105E-2</v>
      </c>
      <c r="H91" s="161">
        <f t="shared" si="10"/>
        <v>0.75228711473810883</v>
      </c>
      <c r="I91" s="191">
        <f t="shared" si="9"/>
        <v>6.6390802189456047E-2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  <c r="W91" s="13"/>
    </row>
    <row r="92" spans="2:23" ht="15.75" thickBot="1" x14ac:dyDescent="0.3">
      <c r="B92" s="375"/>
      <c r="C92" s="9" t="s">
        <v>63</v>
      </c>
      <c r="D92" s="175">
        <v>10732</v>
      </c>
      <c r="E92" s="179">
        <f t="shared" si="11"/>
        <v>1.359339633515347E-2</v>
      </c>
      <c r="F92" s="177">
        <v>1002</v>
      </c>
      <c r="G92" s="176">
        <f t="shared" si="12"/>
        <v>1.4381054897739505E-2</v>
      </c>
      <c r="H92" s="178">
        <f t="shared" si="10"/>
        <v>1.0579442063753481</v>
      </c>
      <c r="I92" s="198">
        <f t="shared" si="9"/>
        <v>9.3365635482668657E-2</v>
      </c>
      <c r="J92" s="100"/>
      <c r="K92" s="100"/>
      <c r="L92" s="18"/>
      <c r="M92" s="18"/>
      <c r="N92" s="18"/>
      <c r="O92" s="18"/>
      <c r="P92" s="18"/>
      <c r="Q92" s="18"/>
      <c r="R92" s="18"/>
      <c r="S92" s="83"/>
      <c r="T92" s="388"/>
    </row>
    <row r="93" spans="2:23" ht="15.75" thickBot="1" x14ac:dyDescent="0.3">
      <c r="C93" s="1"/>
      <c r="D93" s="8"/>
      <c r="S93" s="4"/>
      <c r="T93" s="28"/>
    </row>
    <row r="94" spans="2:23" x14ac:dyDescent="0.25">
      <c r="B94" s="373" t="s">
        <v>64</v>
      </c>
      <c r="C94" s="21" t="s">
        <v>65</v>
      </c>
      <c r="D94" s="23" t="s">
        <v>66</v>
      </c>
      <c r="E94" s="48" t="s">
        <v>67</v>
      </c>
      <c r="F94" s="48" t="s">
        <v>68</v>
      </c>
      <c r="G94" s="48" t="s">
        <v>51</v>
      </c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7"/>
      <c r="T94" s="373" t="s">
        <v>19</v>
      </c>
    </row>
    <row r="95" spans="2:23" x14ac:dyDescent="0.25">
      <c r="B95" s="374"/>
      <c r="C95" s="1" t="s">
        <v>69</v>
      </c>
      <c r="D95" s="168">
        <v>74166</v>
      </c>
      <c r="E95" s="180">
        <v>576197</v>
      </c>
      <c r="F95" s="68"/>
      <c r="I95" s="8"/>
      <c r="S95" s="4"/>
      <c r="T95" s="374"/>
    </row>
    <row r="96" spans="2:23" x14ac:dyDescent="0.25">
      <c r="B96" s="374"/>
      <c r="C96" s="1" t="s">
        <v>70</v>
      </c>
      <c r="D96" s="181">
        <f>D95/H37</f>
        <v>0.50732608249538269</v>
      </c>
      <c r="E96" s="182">
        <v>0.1439</v>
      </c>
      <c r="F96" s="68"/>
      <c r="I96" s="8"/>
      <c r="S96" s="4"/>
      <c r="T96" s="374"/>
    </row>
    <row r="97" spans="2:23" x14ac:dyDescent="0.25">
      <c r="B97" s="374"/>
      <c r="C97" s="1"/>
      <c r="D97" s="199"/>
      <c r="E97" s="259"/>
      <c r="F97" s="14"/>
      <c r="I97" s="8"/>
      <c r="S97" s="4"/>
      <c r="T97" s="374"/>
      <c r="W97" s="8"/>
    </row>
    <row r="98" spans="2:23" ht="14.45" customHeight="1" x14ac:dyDescent="0.25">
      <c r="B98" s="374"/>
      <c r="C98" s="1" t="s">
        <v>71</v>
      </c>
      <c r="D98" s="168">
        <v>187031</v>
      </c>
      <c r="E98" s="183">
        <v>1240895</v>
      </c>
      <c r="F98" s="68"/>
      <c r="I98" s="8"/>
      <c r="S98" s="4"/>
      <c r="T98" s="374"/>
      <c r="U98" s="24"/>
      <c r="W98" s="14"/>
    </row>
    <row r="99" spans="2:23" x14ac:dyDescent="0.25">
      <c r="B99" s="374"/>
      <c r="C99" s="1" t="s">
        <v>72</v>
      </c>
      <c r="D99" s="184">
        <f>D98/D95</f>
        <v>2.5217889599007632</v>
      </c>
      <c r="E99" s="161">
        <f>E98/E95</f>
        <v>2.1535950378082496</v>
      </c>
      <c r="F99" s="14"/>
      <c r="I99" s="8"/>
      <c r="S99" s="4"/>
      <c r="T99" s="374"/>
    </row>
    <row r="100" spans="2:23" x14ac:dyDescent="0.25">
      <c r="B100" s="374"/>
      <c r="C100" s="1"/>
      <c r="D100" s="202"/>
      <c r="E100" s="162"/>
      <c r="F100" s="14"/>
      <c r="I100" s="8"/>
      <c r="S100" s="4"/>
      <c r="T100" s="374"/>
      <c r="W100" s="8"/>
    </row>
    <row r="101" spans="2:23" x14ac:dyDescent="0.25">
      <c r="B101" s="374"/>
      <c r="C101" s="1" t="s">
        <v>73</v>
      </c>
      <c r="D101" s="168">
        <v>116718</v>
      </c>
      <c r="E101" s="183">
        <v>840785</v>
      </c>
      <c r="F101" s="14"/>
      <c r="I101" s="8"/>
      <c r="S101" s="4"/>
      <c r="T101" s="374"/>
      <c r="W101" s="14"/>
    </row>
    <row r="102" spans="2:23" x14ac:dyDescent="0.25">
      <c r="B102" s="374"/>
      <c r="C102" s="1" t="s">
        <v>74</v>
      </c>
      <c r="D102" s="184">
        <f>D101/D95</f>
        <v>1.5737399886740555</v>
      </c>
      <c r="E102" s="165">
        <f>E101/E95</f>
        <v>1.4591971148756415</v>
      </c>
      <c r="F102" s="14"/>
      <c r="S102" s="4"/>
      <c r="T102" s="374"/>
    </row>
    <row r="103" spans="2:23" ht="15.75" thickBot="1" x14ac:dyDescent="0.3">
      <c r="B103" s="375"/>
      <c r="C103" s="9" t="s">
        <v>75</v>
      </c>
      <c r="D103" s="185">
        <f>D98/D101</f>
        <v>1.6024177933137991</v>
      </c>
      <c r="E103" s="186">
        <f>E98/E101</f>
        <v>1.4758767104551105</v>
      </c>
      <c r="F103" s="18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11"/>
      <c r="T103" s="375"/>
    </row>
    <row r="104" spans="2:23" x14ac:dyDescent="0.25">
      <c r="D104" s="37"/>
      <c r="E104" s="22"/>
      <c r="F104" s="14"/>
    </row>
    <row r="105" spans="2:23" s="35" customFormat="1" x14ac:dyDescent="0.25">
      <c r="B105" s="47"/>
      <c r="C105" s="78"/>
      <c r="D105" s="8"/>
      <c r="E105" s="13"/>
    </row>
    <row r="106" spans="2:23" s="35" customFormat="1" x14ac:dyDescent="0.25">
      <c r="B106" s="47"/>
      <c r="C106" s="78"/>
      <c r="D106" s="8"/>
      <c r="E106" s="34"/>
    </row>
    <row r="107" spans="2:23" s="35" customFormat="1" x14ac:dyDescent="0.25">
      <c r="B107" s="47"/>
      <c r="C107" s="78"/>
      <c r="D107" s="8"/>
      <c r="E107" s="34"/>
    </row>
    <row r="108" spans="2:23" s="35" customFormat="1" x14ac:dyDescent="0.25">
      <c r="B108" s="47"/>
      <c r="C108" s="78"/>
      <c r="D108" s="8"/>
      <c r="E108" s="34"/>
    </row>
    <row r="109" spans="2:23" s="35" customFormat="1" x14ac:dyDescent="0.25">
      <c r="B109" s="47"/>
      <c r="C109" s="78"/>
      <c r="D109" s="8"/>
      <c r="E109" s="78"/>
    </row>
    <row r="110" spans="2:23" s="35" customFormat="1" x14ac:dyDescent="0.25">
      <c r="B110" s="47"/>
      <c r="C110" s="78"/>
      <c r="D110" s="8"/>
      <c r="E110" s="34"/>
    </row>
  </sheetData>
  <mergeCells count="15">
    <mergeCell ref="C2:S2"/>
    <mergeCell ref="D3:J3"/>
    <mergeCell ref="K3:M3"/>
    <mergeCell ref="N3:P3"/>
    <mergeCell ref="Q3:S3"/>
    <mergeCell ref="B94:B103"/>
    <mergeCell ref="T94:T103"/>
    <mergeCell ref="B4:B38"/>
    <mergeCell ref="B40:B76"/>
    <mergeCell ref="T40:T76"/>
    <mergeCell ref="B78:B92"/>
    <mergeCell ref="D78:E78"/>
    <mergeCell ref="F78:G78"/>
    <mergeCell ref="T78:T92"/>
    <mergeCell ref="T3:T3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24258-1825-4BCE-A5BE-7097625E9F13}">
  <sheetPr>
    <tabColor theme="9"/>
  </sheetPr>
  <dimension ref="A1:W111"/>
  <sheetViews>
    <sheetView topLeftCell="A39" zoomScaleNormal="100" workbookViewId="0">
      <selection activeCell="E83" sqref="E83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4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161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>H34-D34</f>
        <v>61</v>
      </c>
      <c r="J34" s="227">
        <f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25">
      <c r="A35" s="8"/>
      <c r="B35" s="390"/>
      <c r="C35" s="234" t="s">
        <v>98</v>
      </c>
      <c r="D35" s="220">
        <f>H34</f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>H35-D35</f>
        <v>-196</v>
      </c>
      <c r="J35" s="227">
        <f>G35/D35</f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25">
      <c r="A36" s="8"/>
      <c r="B36" s="390"/>
      <c r="C36" s="234" t="s">
        <v>102</v>
      </c>
      <c r="D36" s="220">
        <f>H35</f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>H36-D36</f>
        <v>7024</v>
      </c>
      <c r="J36" s="227">
        <f>G36/D36</f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25">
      <c r="A37" s="8"/>
      <c r="B37" s="390"/>
      <c r="C37" s="234" t="s">
        <v>106</v>
      </c>
      <c r="D37" s="220">
        <f>H36</f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>H37-D37</f>
        <v>-1980</v>
      </c>
      <c r="J37" s="227">
        <f>G37/D37</f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25">
      <c r="A38" s="8"/>
      <c r="B38" s="390"/>
      <c r="C38" s="234" t="s">
        <v>110</v>
      </c>
      <c r="D38" s="220">
        <f>H37</f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>H38-D38</f>
        <v>2148</v>
      </c>
      <c r="J38" s="227">
        <f>G38/D38</f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ht="15.75" thickBot="1" x14ac:dyDescent="0.3">
      <c r="B39" s="391"/>
      <c r="C39" s="88" t="s">
        <v>78</v>
      </c>
      <c r="D39" s="135"/>
      <c r="E39" s="135">
        <f>SUM(E5:E38)</f>
        <v>342622</v>
      </c>
      <c r="F39" s="135">
        <f>SUM(F5:F38)</f>
        <v>244382.52000000002</v>
      </c>
      <c r="G39" s="135">
        <f>SUM(G5:G38)</f>
        <v>193526</v>
      </c>
      <c r="H39" s="135"/>
      <c r="I39" s="136"/>
      <c r="J39" s="136"/>
      <c r="K39" s="135">
        <f>SUM(K5:K38)</f>
        <v>312937</v>
      </c>
      <c r="M39" s="136"/>
      <c r="N39" s="135">
        <f>SUM(N17:N38)</f>
        <v>27882</v>
      </c>
      <c r="O39" s="135"/>
      <c r="P39" s="136"/>
      <c r="Q39" s="113">
        <f>SUM(Q20:Q38)</f>
        <v>4523</v>
      </c>
      <c r="R39" s="93"/>
      <c r="S39" s="112"/>
      <c r="T39" s="375"/>
      <c r="U39" s="8"/>
      <c r="V39" s="142"/>
    </row>
    <row r="40" spans="1:22" ht="15.75" thickBot="1" x14ac:dyDescent="0.3">
      <c r="C40" s="45"/>
      <c r="D40" s="25"/>
      <c r="E40" s="50"/>
      <c r="F40" s="50"/>
      <c r="G40" s="50"/>
      <c r="H40" s="50"/>
      <c r="I40" s="50"/>
      <c r="J40" s="238"/>
      <c r="K40" s="50"/>
      <c r="L40" s="50"/>
      <c r="M40" s="50"/>
      <c r="N40" s="50"/>
      <c r="O40" s="50"/>
      <c r="P40" s="50"/>
      <c r="Q40" s="50"/>
      <c r="R40" s="50"/>
      <c r="S40" s="51"/>
      <c r="T40" s="27"/>
      <c r="V40" s="142"/>
    </row>
    <row r="41" spans="1:22" x14ac:dyDescent="0.25">
      <c r="B41" s="381" t="s">
        <v>13</v>
      </c>
      <c r="C41" s="94"/>
      <c r="D41" s="48" t="s">
        <v>111</v>
      </c>
      <c r="E41" s="48" t="s">
        <v>15</v>
      </c>
      <c r="F41" s="48" t="s">
        <v>112</v>
      </c>
      <c r="G41" s="48" t="s">
        <v>156</v>
      </c>
      <c r="H41" s="48" t="s">
        <v>18</v>
      </c>
      <c r="I41" s="94"/>
      <c r="J41" s="116"/>
      <c r="K41" s="116"/>
      <c r="L41" s="47"/>
      <c r="M41" s="94"/>
      <c r="N41" s="94"/>
      <c r="O41" s="94"/>
      <c r="Q41" s="94"/>
      <c r="R41" s="94"/>
      <c r="S41" s="49"/>
      <c r="T41" s="380" t="s">
        <v>19</v>
      </c>
      <c r="V41" s="142"/>
    </row>
    <row r="42" spans="1:22" x14ac:dyDescent="0.25">
      <c r="B42" s="382"/>
      <c r="C42" s="156" t="s">
        <v>20</v>
      </c>
      <c r="D42" s="47"/>
      <c r="E42" s="47"/>
      <c r="F42" s="47"/>
      <c r="G42" s="47"/>
      <c r="I42" s="154"/>
      <c r="M42" s="254"/>
      <c r="O42" s="47"/>
      <c r="P42" s="47"/>
      <c r="Q42" s="47"/>
      <c r="R42" s="47"/>
      <c r="S42" s="12"/>
      <c r="T42" s="380"/>
      <c r="V42" s="8"/>
    </row>
    <row r="43" spans="1:22" x14ac:dyDescent="0.25">
      <c r="B43" s="382"/>
      <c r="C43" s="47" t="s">
        <v>21</v>
      </c>
      <c r="D43" s="160">
        <v>0.436</v>
      </c>
      <c r="E43" s="160">
        <v>0.434</v>
      </c>
      <c r="F43" s="14">
        <f>D43/E43</f>
        <v>1.0046082949308757</v>
      </c>
      <c r="G43" s="160">
        <v>0.52</v>
      </c>
      <c r="H43" s="14">
        <f>E43/G43</f>
        <v>0.83461538461538454</v>
      </c>
      <c r="I43" s="149"/>
      <c r="J43" s="222"/>
      <c r="K43" s="158"/>
      <c r="L43" s="158"/>
      <c r="M43" s="14"/>
      <c r="N43" s="47"/>
      <c r="O43" s="14"/>
      <c r="P43" s="14"/>
      <c r="Q43" s="14"/>
      <c r="R43" s="14"/>
      <c r="S43" s="15"/>
      <c r="T43" s="380"/>
      <c r="V43" s="8"/>
    </row>
    <row r="44" spans="1:22" x14ac:dyDescent="0.25">
      <c r="B44" s="382"/>
      <c r="C44" s="47" t="s">
        <v>22</v>
      </c>
      <c r="D44" s="160">
        <v>0.56399999999999995</v>
      </c>
      <c r="E44" s="160">
        <v>0.56599999999999995</v>
      </c>
      <c r="F44" s="14">
        <f>D44/E44</f>
        <v>0.99646643109540634</v>
      </c>
      <c r="G44" s="160">
        <v>0.48</v>
      </c>
      <c r="H44" s="14">
        <f t="shared" ref="H44:H61" si="4">E44/G44</f>
        <v>1.1791666666666667</v>
      </c>
      <c r="I44" s="149"/>
      <c r="J44" s="222"/>
      <c r="K44" s="158"/>
      <c r="L44" s="14"/>
      <c r="M44" s="14"/>
      <c r="N44" s="14"/>
      <c r="O44" s="14"/>
      <c r="P44" s="14"/>
      <c r="Q44" s="14"/>
      <c r="R44" s="14"/>
      <c r="S44" s="15"/>
      <c r="T44" s="380"/>
    </row>
    <row r="45" spans="1:22" x14ac:dyDescent="0.25">
      <c r="B45" s="382"/>
      <c r="D45" s="190"/>
      <c r="E45" s="190"/>
      <c r="F45" s="14"/>
      <c r="G45" s="160"/>
      <c r="H45" s="170"/>
      <c r="I45" s="149"/>
      <c r="J45" s="222"/>
      <c r="K45" s="14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25">
      <c r="B46" s="382"/>
      <c r="C46" s="156" t="s">
        <v>23</v>
      </c>
      <c r="D46" s="169"/>
      <c r="E46" s="169"/>
      <c r="F46" s="14"/>
      <c r="G46" s="160"/>
      <c r="H46" s="170"/>
      <c r="I46" s="149"/>
      <c r="J46" s="39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C47" s="47" t="s">
        <v>24</v>
      </c>
      <c r="D47" s="160">
        <v>0</v>
      </c>
      <c r="E47" s="160">
        <v>0</v>
      </c>
      <c r="F47" s="14" t="s">
        <v>12</v>
      </c>
      <c r="G47" s="160">
        <v>1.2E-2</v>
      </c>
      <c r="H47" s="14" t="s">
        <v>12</v>
      </c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C48" s="47" t="s">
        <v>25</v>
      </c>
      <c r="D48" s="160">
        <v>2.8000000000000001E-2</v>
      </c>
      <c r="E48" s="160">
        <v>2.1000000000000001E-2</v>
      </c>
      <c r="F48" s="14">
        <f>D48/E48</f>
        <v>1.3333333333333333</v>
      </c>
      <c r="G48" s="160">
        <v>0.14399999999999999</v>
      </c>
      <c r="H48" s="14">
        <f>E48/G48</f>
        <v>0.14583333333333334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26</v>
      </c>
      <c r="D49" s="160">
        <v>0.42499999999999999</v>
      </c>
      <c r="E49" s="160">
        <v>0.39900000000000002</v>
      </c>
      <c r="F49" s="14">
        <f>D49/E49</f>
        <v>1.0651629072681703</v>
      </c>
      <c r="G49" s="160">
        <v>0.28599999999999998</v>
      </c>
      <c r="H49" s="14">
        <f>E49/G49</f>
        <v>1.3951048951048952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27</v>
      </c>
      <c r="D50" s="160">
        <v>0.39700000000000002</v>
      </c>
      <c r="E50" s="160">
        <v>0.40100000000000002</v>
      </c>
      <c r="F50" s="14">
        <f t="shared" ref="F50:F77" si="5">D50/E50</f>
        <v>0.9900249376558603</v>
      </c>
      <c r="G50" s="160">
        <v>0.309</v>
      </c>
      <c r="H50" s="14">
        <f t="shared" si="4"/>
        <v>1.2977346278317152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28</v>
      </c>
      <c r="D51" s="160">
        <v>0.13200000000000001</v>
      </c>
      <c r="E51" s="160">
        <v>0.155</v>
      </c>
      <c r="F51" s="14">
        <f t="shared" si="5"/>
        <v>0.85161290322580652</v>
      </c>
      <c r="G51" s="160">
        <v>0.17199999999999999</v>
      </c>
      <c r="H51" s="14">
        <f>E51/G51</f>
        <v>0.90116279069767447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29</v>
      </c>
      <c r="D52" s="160">
        <v>1.9E-2</v>
      </c>
      <c r="E52" s="160">
        <v>2.4E-2</v>
      </c>
      <c r="F52" s="14">
        <f t="shared" si="5"/>
        <v>0.79166666666666663</v>
      </c>
      <c r="G52" s="160">
        <v>7.5999999999999998E-2</v>
      </c>
      <c r="H52" s="14">
        <f t="shared" si="4"/>
        <v>0.31578947368421056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D53" s="190"/>
      <c r="E53" s="190"/>
      <c r="F53" s="14"/>
      <c r="G53" s="190"/>
      <c r="H53" s="170"/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156" t="s">
        <v>30</v>
      </c>
      <c r="D54" s="169"/>
      <c r="E54" s="169"/>
      <c r="F54" s="14"/>
      <c r="G54" s="190"/>
      <c r="H54" s="170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31</v>
      </c>
      <c r="D55" s="160">
        <v>0.48799999999999999</v>
      </c>
      <c r="E55" s="163">
        <v>0.47599999999999998</v>
      </c>
      <c r="F55" s="14">
        <f>D55/E55</f>
        <v>1.0252100840336136</v>
      </c>
      <c r="G55" s="160">
        <v>0.48099999999999998</v>
      </c>
      <c r="H55" s="14">
        <f>E55/G55</f>
        <v>0.98960498960498955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32</v>
      </c>
      <c r="D56" s="160">
        <v>0.2</v>
      </c>
      <c r="E56" s="160">
        <v>0.20200000000000001</v>
      </c>
      <c r="F56" s="14">
        <f>D56/E56</f>
        <v>0.99009900990099009</v>
      </c>
      <c r="G56" s="160">
        <v>0.155</v>
      </c>
      <c r="H56" s="14">
        <f t="shared" si="4"/>
        <v>1.3032258064516129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33</v>
      </c>
      <c r="D57" s="160">
        <v>0.121</v>
      </c>
      <c r="E57" s="160">
        <v>0.125</v>
      </c>
      <c r="F57" s="14">
        <f>D57/E57</f>
        <v>0.96799999999999997</v>
      </c>
      <c r="G57" s="160">
        <v>0.121</v>
      </c>
      <c r="H57" s="14">
        <f t="shared" si="4"/>
        <v>1.0330578512396695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34</v>
      </c>
      <c r="D58" s="160">
        <v>9.4E-2</v>
      </c>
      <c r="E58" s="160">
        <v>9.5000000000000001E-2</v>
      </c>
      <c r="F58" s="14">
        <f t="shared" ref="F58:F61" si="6">D58/E58</f>
        <v>0.98947368421052628</v>
      </c>
      <c r="G58" s="160">
        <v>0.11799999999999999</v>
      </c>
      <c r="H58" s="14">
        <f t="shared" si="4"/>
        <v>0.80508474576271194</v>
      </c>
      <c r="I58" s="223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35</v>
      </c>
      <c r="D59" s="160">
        <v>2.1999999999999999E-2</v>
      </c>
      <c r="E59" s="160">
        <v>2.3E-2</v>
      </c>
      <c r="F59" s="14">
        <f t="shared" si="6"/>
        <v>0.9565217391304347</v>
      </c>
      <c r="G59" s="160">
        <v>3.2000000000000001E-2</v>
      </c>
      <c r="H59" s="14">
        <f t="shared" si="4"/>
        <v>0.71875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36</v>
      </c>
      <c r="D60" s="160">
        <v>1.2E-2</v>
      </c>
      <c r="E60" s="160">
        <v>1.4999999999999999E-2</v>
      </c>
      <c r="F60" s="14">
        <f t="shared" si="6"/>
        <v>0.8</v>
      </c>
      <c r="G60" s="160">
        <v>1.9E-2</v>
      </c>
      <c r="H60" s="14">
        <f t="shared" si="4"/>
        <v>0.78947368421052633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37</v>
      </c>
      <c r="D61" s="160">
        <v>6.4000000000000001E-2</v>
      </c>
      <c r="E61" s="160">
        <v>6.4000000000000001E-2</v>
      </c>
      <c r="F61" s="14">
        <f t="shared" si="6"/>
        <v>1</v>
      </c>
      <c r="G61" s="160">
        <v>7.2999999999999995E-2</v>
      </c>
      <c r="H61" s="14">
        <f t="shared" si="4"/>
        <v>0.87671232876712335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D62" s="190"/>
      <c r="E62" s="190"/>
      <c r="F62" s="14"/>
      <c r="G62" s="190"/>
      <c r="H62" s="170"/>
      <c r="I62" s="149"/>
      <c r="J62" s="222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156" t="s">
        <v>38</v>
      </c>
      <c r="D63" s="169"/>
      <c r="E63" s="169"/>
      <c r="F63" s="14"/>
      <c r="G63" s="160"/>
      <c r="H63" s="170"/>
      <c r="I63" s="149"/>
      <c r="J63" s="222"/>
      <c r="K63" s="239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39</v>
      </c>
      <c r="D64" s="160">
        <v>0.47399999999999998</v>
      </c>
      <c r="E64" s="160">
        <v>0.41699999999999998</v>
      </c>
      <c r="F64" s="14">
        <f t="shared" si="5"/>
        <v>1.1366906474820144</v>
      </c>
      <c r="G64" s="164">
        <v>0.44600000000000001</v>
      </c>
      <c r="H64" s="72">
        <f>E64/G64</f>
        <v>0.93497757847533625</v>
      </c>
      <c r="I64" s="149"/>
      <c r="J64" s="240"/>
      <c r="K64" s="241"/>
      <c r="L64" s="16"/>
      <c r="M64" s="16"/>
      <c r="N64" s="68"/>
      <c r="O64" s="16"/>
      <c r="P64" s="16"/>
      <c r="Q64" s="16"/>
      <c r="R64" s="16"/>
      <c r="S64" s="36"/>
      <c r="T64" s="380"/>
    </row>
    <row r="65" spans="2:20" x14ac:dyDescent="0.25">
      <c r="B65" s="382"/>
      <c r="C65" s="47" t="s">
        <v>40</v>
      </c>
      <c r="D65" s="160">
        <v>4.5999999999999999E-2</v>
      </c>
      <c r="E65" s="160">
        <v>0.05</v>
      </c>
      <c r="F65" s="14">
        <f t="shared" si="5"/>
        <v>0.91999999999999993</v>
      </c>
      <c r="G65" s="160">
        <v>6.9000000000000006E-2</v>
      </c>
      <c r="H65" s="72">
        <f t="shared" ref="H65:H69" si="7">E65/G65</f>
        <v>0.72463768115942029</v>
      </c>
      <c r="I65" s="149"/>
      <c r="J65" s="240"/>
      <c r="K65" s="241"/>
      <c r="L65" s="14"/>
      <c r="M65" s="16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41</v>
      </c>
      <c r="D66" s="160">
        <v>9.7000000000000003E-2</v>
      </c>
      <c r="E66" s="160">
        <v>9.4E-2</v>
      </c>
      <c r="F66" s="14">
        <f t="shared" si="5"/>
        <v>1.0319148936170213</v>
      </c>
      <c r="G66" s="160">
        <v>0.126</v>
      </c>
      <c r="H66" s="72">
        <f t="shared" si="7"/>
        <v>0.74603174603174605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42</v>
      </c>
      <c r="D67" s="160">
        <v>0.112</v>
      </c>
      <c r="E67" s="160">
        <v>0.12</v>
      </c>
      <c r="F67" s="14">
        <f t="shared" si="5"/>
        <v>0.93333333333333335</v>
      </c>
      <c r="G67" s="160">
        <v>0.14099999999999999</v>
      </c>
      <c r="H67" s="72">
        <f t="shared" si="7"/>
        <v>0.85106382978723405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43</v>
      </c>
      <c r="D68" s="160">
        <v>0.14099999999999999</v>
      </c>
      <c r="E68" s="160">
        <v>0.158</v>
      </c>
      <c r="F68" s="14">
        <f t="shared" si="5"/>
        <v>0.89240506329113911</v>
      </c>
      <c r="G68" s="160">
        <v>0.13700000000000001</v>
      </c>
      <c r="H68" s="72">
        <f t="shared" si="7"/>
        <v>1.1532846715328466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44</v>
      </c>
      <c r="D69" s="160">
        <v>0.13</v>
      </c>
      <c r="E69" s="160">
        <v>0.161</v>
      </c>
      <c r="F69" s="14">
        <f t="shared" si="5"/>
        <v>0.80745341614906829</v>
      </c>
      <c r="G69" s="160">
        <v>8.1000000000000003E-2</v>
      </c>
      <c r="H69" s="72">
        <f t="shared" si="7"/>
        <v>1.9876543209876543</v>
      </c>
      <c r="J69" s="34"/>
      <c r="K69" s="239"/>
      <c r="O69" s="14"/>
      <c r="P69" s="14"/>
      <c r="Q69" s="14"/>
      <c r="R69" s="14"/>
      <c r="S69" s="15"/>
      <c r="T69" s="380"/>
    </row>
    <row r="70" spans="2:20" x14ac:dyDescent="0.25">
      <c r="B70" s="382"/>
      <c r="D70" s="190"/>
      <c r="E70" s="190"/>
      <c r="F70" s="14"/>
      <c r="G70" s="190"/>
      <c r="H70" s="170"/>
      <c r="I70" s="149"/>
      <c r="J70" s="222"/>
      <c r="K70" s="14"/>
      <c r="O70" s="14"/>
      <c r="P70" s="14"/>
      <c r="Q70" s="14"/>
      <c r="R70" s="14"/>
      <c r="S70" s="15"/>
      <c r="T70" s="380"/>
    </row>
    <row r="71" spans="2:20" x14ac:dyDescent="0.25">
      <c r="B71" s="382"/>
      <c r="C71" s="156" t="s">
        <v>157</v>
      </c>
      <c r="D71" s="190"/>
      <c r="E71" s="190"/>
      <c r="F71" s="14"/>
      <c r="G71" s="190"/>
      <c r="H71" s="170"/>
      <c r="I71" s="149"/>
      <c r="J71" s="39"/>
      <c r="K71" s="14"/>
      <c r="L71" s="14"/>
      <c r="M71" s="14"/>
      <c r="N71" s="14"/>
      <c r="O71" s="14"/>
      <c r="P71" s="14"/>
      <c r="Q71" s="14"/>
      <c r="R71" s="14"/>
      <c r="S71" s="15"/>
      <c r="T71" s="380"/>
    </row>
    <row r="72" spans="2:20" x14ac:dyDescent="0.25">
      <c r="B72" s="382"/>
      <c r="C72" s="47" t="s">
        <v>39</v>
      </c>
      <c r="D72" s="160">
        <v>0.22800000000000001</v>
      </c>
      <c r="E72" s="160">
        <v>9.6000000000000002E-2</v>
      </c>
      <c r="F72" s="14">
        <f t="shared" si="5"/>
        <v>2.375</v>
      </c>
      <c r="G72" s="163">
        <v>0.221</v>
      </c>
      <c r="H72" s="72">
        <f>E72/G72</f>
        <v>0.43438914027149322</v>
      </c>
      <c r="I72" s="149"/>
      <c r="J72" s="38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25">
      <c r="B73" s="382"/>
      <c r="C73" s="47" t="s">
        <v>40</v>
      </c>
      <c r="D73" s="160">
        <v>5.6000000000000001E-2</v>
      </c>
      <c r="E73" s="160">
        <v>5.5E-2</v>
      </c>
      <c r="F73" s="14">
        <f t="shared" si="5"/>
        <v>1.0181818181818183</v>
      </c>
      <c r="G73" s="163">
        <v>0.129</v>
      </c>
      <c r="H73" s="72">
        <f t="shared" ref="H73:H77" si="8">E73/G73</f>
        <v>0.4263565891472868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25">
      <c r="B74" s="382"/>
      <c r="C74" s="47" t="s">
        <v>41</v>
      </c>
      <c r="D74" s="160">
        <v>0.112</v>
      </c>
      <c r="E74" s="160">
        <v>0.128</v>
      </c>
      <c r="F74" s="14">
        <f t="shared" si="5"/>
        <v>0.875</v>
      </c>
      <c r="G74" s="163">
        <v>0.21299999999999999</v>
      </c>
      <c r="H74" s="72">
        <f t="shared" si="8"/>
        <v>0.60093896713615025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25">
      <c r="B75" s="382"/>
      <c r="C75" s="47" t="s">
        <v>42</v>
      </c>
      <c r="D75" s="160">
        <v>0.15</v>
      </c>
      <c r="E75" s="160">
        <v>0.17</v>
      </c>
      <c r="F75" s="14">
        <f t="shared" si="5"/>
        <v>0.88235294117647045</v>
      </c>
      <c r="G75" s="163">
        <v>0.19500000000000001</v>
      </c>
      <c r="H75" s="72">
        <f t="shared" si="8"/>
        <v>0.87179487179487181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25">
      <c r="B76" s="382"/>
      <c r="C76" s="47" t="s">
        <v>43</v>
      </c>
      <c r="D76" s="160">
        <v>0.20899999999999999</v>
      </c>
      <c r="E76" s="160">
        <v>0.248</v>
      </c>
      <c r="F76" s="14">
        <f t="shared" si="5"/>
        <v>0.84274193548387089</v>
      </c>
      <c r="G76" s="163">
        <v>0.157</v>
      </c>
      <c r="H76" s="72">
        <f t="shared" si="8"/>
        <v>1.5796178343949043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ht="15.75" thickBot="1" x14ac:dyDescent="0.3">
      <c r="B77" s="383"/>
      <c r="C77" s="47" t="s">
        <v>44</v>
      </c>
      <c r="D77" s="160">
        <v>0.24399999999999999</v>
      </c>
      <c r="E77" s="160">
        <v>0.30299999999999999</v>
      </c>
      <c r="F77" s="14">
        <f t="shared" si="5"/>
        <v>0.80528052805280526</v>
      </c>
      <c r="G77" s="163">
        <v>8.4000000000000005E-2</v>
      </c>
      <c r="H77" s="72">
        <f t="shared" si="8"/>
        <v>3.6071428571428568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ht="15.75" thickBot="1" x14ac:dyDescent="0.3">
      <c r="B78" s="60"/>
      <c r="C78" s="45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26"/>
      <c r="T78" s="27"/>
    </row>
    <row r="79" spans="2:20" x14ac:dyDescent="0.25">
      <c r="B79" s="373" t="s">
        <v>45</v>
      </c>
      <c r="C79" s="5"/>
      <c r="D79" s="385" t="s">
        <v>46</v>
      </c>
      <c r="E79" s="385"/>
      <c r="F79" s="385" t="s">
        <v>47</v>
      </c>
      <c r="G79" s="385"/>
      <c r="H79" s="42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7"/>
      <c r="T79" s="386" t="s">
        <v>48</v>
      </c>
    </row>
    <row r="80" spans="2:20" x14ac:dyDescent="0.25">
      <c r="B80" s="374"/>
      <c r="C80" s="1"/>
      <c r="D80" s="40" t="s">
        <v>49</v>
      </c>
      <c r="E80" s="40" t="s">
        <v>50</v>
      </c>
      <c r="F80" s="40" t="s">
        <v>49</v>
      </c>
      <c r="G80" s="40" t="s">
        <v>50</v>
      </c>
      <c r="H80" s="41" t="s">
        <v>51</v>
      </c>
      <c r="I80" s="96" t="s">
        <v>52</v>
      </c>
      <c r="J80" s="97"/>
      <c r="K80" s="97"/>
      <c r="L80" s="97"/>
      <c r="M80" s="97"/>
      <c r="N80" s="97"/>
      <c r="O80" s="97"/>
      <c r="P80" s="97"/>
      <c r="Q80" s="97"/>
      <c r="R80" s="97"/>
      <c r="S80" s="99"/>
      <c r="T80" s="387"/>
    </row>
    <row r="81" spans="2:23" x14ac:dyDescent="0.25">
      <c r="B81" s="374"/>
      <c r="C81" s="2" t="s">
        <v>53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4"/>
      <c r="T81" s="387"/>
    </row>
    <row r="82" spans="2:23" x14ac:dyDescent="0.25">
      <c r="B82" s="374"/>
      <c r="C82" s="1" t="s">
        <v>54</v>
      </c>
      <c r="D82" s="167">
        <v>1869871</v>
      </c>
      <c r="E82" s="163">
        <f>D82/D84</f>
        <v>0.72510442030106703</v>
      </c>
      <c r="F82" s="168">
        <v>159442</v>
      </c>
      <c r="G82" s="160">
        <f>F82/$F$84</f>
        <v>0.64588025601555532</v>
      </c>
      <c r="H82" s="161">
        <f>G82/E82</f>
        <v>0.8907410269921987</v>
      </c>
      <c r="I82" s="191">
        <f>F82/D82</f>
        <v>8.5268983796208397E-2</v>
      </c>
      <c r="J82" s="39"/>
      <c r="K82" s="39"/>
      <c r="L82" s="14"/>
      <c r="M82" s="14"/>
      <c r="N82" s="14"/>
      <c r="O82" s="14"/>
      <c r="P82" s="14"/>
      <c r="Q82" s="14"/>
      <c r="R82" s="14"/>
      <c r="S82" s="82"/>
      <c r="T82" s="387"/>
    </row>
    <row r="83" spans="2:23" x14ac:dyDescent="0.25">
      <c r="B83" s="374"/>
      <c r="C83" s="1" t="s">
        <v>55</v>
      </c>
      <c r="D83" s="167">
        <f>SUM(D87:D93)</f>
        <v>708890</v>
      </c>
      <c r="E83" s="163">
        <f>D83/D84</f>
        <v>0.27489557969893291</v>
      </c>
      <c r="F83" s="168">
        <f>SUM(F87:F93)</f>
        <v>87418</v>
      </c>
      <c r="G83" s="160">
        <f>F83/$F$84</f>
        <v>0.35411974398444462</v>
      </c>
      <c r="H83" s="161">
        <f>G83/E83</f>
        <v>1.2881973015800343</v>
      </c>
      <c r="I83" s="191">
        <f t="shared" ref="I83:I93" si="9">F83/D83</f>
        <v>0.12331673461326863</v>
      </c>
      <c r="J83" s="39"/>
      <c r="K83" s="39"/>
      <c r="L83" s="252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 t="s">
        <v>53</v>
      </c>
      <c r="D84" s="167">
        <f>SUM(D82:D83)</f>
        <v>2578761</v>
      </c>
      <c r="E84" s="192"/>
      <c r="F84" s="168">
        <f>SUM(F82:F83)</f>
        <v>246860</v>
      </c>
      <c r="G84" s="169"/>
      <c r="H84" s="161"/>
      <c r="I84" s="191">
        <f t="shared" si="9"/>
        <v>9.5728142313304718E-2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/>
      <c r="D85" s="192"/>
      <c r="E85" s="192"/>
      <c r="F85" s="171"/>
      <c r="G85" s="169"/>
      <c r="H85" s="161"/>
      <c r="I85" s="191"/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2" t="s">
        <v>56</v>
      </c>
      <c r="D86" s="192"/>
      <c r="E86" s="192"/>
      <c r="F86" s="169"/>
      <c r="G86" s="169"/>
      <c r="H86" s="161"/>
      <c r="I86" s="191"/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" t="s">
        <v>57</v>
      </c>
      <c r="D87" s="167">
        <v>291733</v>
      </c>
      <c r="E87" s="163">
        <f>D87/$D$83</f>
        <v>0.41153493489822118</v>
      </c>
      <c r="F87" s="168">
        <v>37703</v>
      </c>
      <c r="G87" s="160">
        <f>F87/$F$83</f>
        <v>0.43129561417557027</v>
      </c>
      <c r="H87" s="161">
        <f t="shared" ref="H87:H93" si="10">G87/E87</f>
        <v>1.0480170153288109</v>
      </c>
      <c r="I87" s="191">
        <f t="shared" si="9"/>
        <v>0.12923803614949286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1" t="s">
        <v>58</v>
      </c>
      <c r="D88" s="167">
        <v>123108</v>
      </c>
      <c r="E88" s="163">
        <f t="shared" ref="E88:E93" si="11">D88/$D$83</f>
        <v>0.17366305068487353</v>
      </c>
      <c r="F88" s="168">
        <v>17717</v>
      </c>
      <c r="G88" s="160">
        <f t="shared" ref="G88:G93" si="12">F88/$F$83</f>
        <v>0.20266993067789243</v>
      </c>
      <c r="H88" s="161">
        <f t="shared" si="10"/>
        <v>1.1670296581721022</v>
      </c>
      <c r="I88" s="191">
        <f t="shared" si="9"/>
        <v>0.14391428664262274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25">
      <c r="B89" s="374"/>
      <c r="C89" s="1" t="s">
        <v>59</v>
      </c>
      <c r="D89" s="167">
        <v>104801</v>
      </c>
      <c r="E89" s="163">
        <f t="shared" si="11"/>
        <v>0.14783816953264964</v>
      </c>
      <c r="F89" s="168">
        <v>19478</v>
      </c>
      <c r="G89" s="160">
        <f t="shared" si="12"/>
        <v>0.22281452332471574</v>
      </c>
      <c r="H89" s="161">
        <f t="shared" si="10"/>
        <v>1.5071515294668729</v>
      </c>
      <c r="I89" s="191">
        <f t="shared" si="9"/>
        <v>0.18585700518124826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25">
      <c r="B90" s="374"/>
      <c r="C90" s="172" t="s">
        <v>60</v>
      </c>
      <c r="D90" s="168">
        <v>99833</v>
      </c>
      <c r="E90" s="163">
        <f t="shared" si="11"/>
        <v>0.14083003004697484</v>
      </c>
      <c r="F90" s="174">
        <v>6399</v>
      </c>
      <c r="G90" s="160">
        <f t="shared" si="12"/>
        <v>7.3200027454300029E-2</v>
      </c>
      <c r="H90" s="161">
        <f t="shared" si="10"/>
        <v>0.51977570003985407</v>
      </c>
      <c r="I90" s="191">
        <f t="shared" si="9"/>
        <v>6.4097042060240597E-2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25">
      <c r="B91" s="374"/>
      <c r="C91" s="1" t="s">
        <v>61</v>
      </c>
      <c r="D91" s="167">
        <v>47678</v>
      </c>
      <c r="E91" s="163">
        <f t="shared" si="11"/>
        <v>6.7257261352254932E-2</v>
      </c>
      <c r="F91" s="168">
        <v>1023</v>
      </c>
      <c r="G91" s="160">
        <f t="shared" si="12"/>
        <v>1.1702395387677596E-2</v>
      </c>
      <c r="H91" s="161">
        <f t="shared" si="10"/>
        <v>0.17399452716915079</v>
      </c>
      <c r="I91" s="191">
        <f t="shared" si="9"/>
        <v>2.1456436931079324E-2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25">
      <c r="B92" s="374"/>
      <c r="C92" s="1" t="s">
        <v>62</v>
      </c>
      <c r="D92" s="167">
        <v>29962</v>
      </c>
      <c r="E92" s="163">
        <f t="shared" si="11"/>
        <v>4.2266077952855877E-2</v>
      </c>
      <c r="F92" s="168">
        <v>3483</v>
      </c>
      <c r="G92" s="160">
        <f>F92/$F$83</f>
        <v>3.9843052918163306E-2</v>
      </c>
      <c r="H92" s="161">
        <f t="shared" si="10"/>
        <v>0.94267211077887936</v>
      </c>
      <c r="I92" s="191">
        <f t="shared" si="9"/>
        <v>0.11624724651224885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  <c r="W92" s="13"/>
    </row>
    <row r="93" spans="2:23" ht="15.75" thickBot="1" x14ac:dyDescent="0.3">
      <c r="B93" s="375"/>
      <c r="C93" s="9" t="s">
        <v>63</v>
      </c>
      <c r="D93" s="175">
        <v>11775</v>
      </c>
      <c r="E93" s="179">
        <f t="shared" si="11"/>
        <v>1.6610475532170012E-2</v>
      </c>
      <c r="F93" s="177">
        <v>1615</v>
      </c>
      <c r="G93" s="176">
        <f t="shared" si="12"/>
        <v>1.8474456061680661E-2</v>
      </c>
      <c r="H93" s="178">
        <f t="shared" si="10"/>
        <v>1.1122171683706839</v>
      </c>
      <c r="I93" s="198">
        <f t="shared" si="9"/>
        <v>0.13715498938428874</v>
      </c>
      <c r="J93" s="100"/>
      <c r="K93" s="100"/>
      <c r="L93" s="18"/>
      <c r="M93" s="18"/>
      <c r="N93" s="18"/>
      <c r="O93" s="18"/>
      <c r="P93" s="18"/>
      <c r="Q93" s="18"/>
      <c r="R93" s="18"/>
      <c r="S93" s="83"/>
      <c r="T93" s="388"/>
    </row>
    <row r="94" spans="2:23" ht="15.75" thickBot="1" x14ac:dyDescent="0.3">
      <c r="C94" s="1"/>
      <c r="D94" s="8"/>
      <c r="S94" s="4"/>
      <c r="T94" s="28"/>
    </row>
    <row r="95" spans="2:23" x14ac:dyDescent="0.25">
      <c r="B95" s="373" t="s">
        <v>64</v>
      </c>
      <c r="C95" s="21" t="s">
        <v>65</v>
      </c>
      <c r="D95" s="23" t="s">
        <v>66</v>
      </c>
      <c r="E95" s="48" t="s">
        <v>67</v>
      </c>
      <c r="F95" s="48" t="s">
        <v>68</v>
      </c>
      <c r="G95" s="48" t="s">
        <v>51</v>
      </c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7"/>
      <c r="T95" s="373" t="s">
        <v>19</v>
      </c>
    </row>
    <row r="96" spans="2:23" x14ac:dyDescent="0.25">
      <c r="B96" s="374"/>
      <c r="C96" s="1" t="s">
        <v>69</v>
      </c>
      <c r="D96" s="168">
        <v>86592</v>
      </c>
      <c r="E96" s="180">
        <v>676901</v>
      </c>
      <c r="F96" s="68"/>
      <c r="I96" s="8"/>
      <c r="S96" s="4"/>
      <c r="T96" s="374"/>
    </row>
    <row r="97" spans="2:23" x14ac:dyDescent="0.25">
      <c r="B97" s="374"/>
      <c r="C97" s="1" t="s">
        <v>70</v>
      </c>
      <c r="D97" s="181">
        <f>D96/H38</f>
        <v>0.58374792703150913</v>
      </c>
      <c r="E97" s="182">
        <v>0.17069999999999999</v>
      </c>
      <c r="F97" s="68"/>
      <c r="I97" s="8"/>
      <c r="S97" s="4"/>
      <c r="T97" s="374"/>
    </row>
    <row r="98" spans="2:23" x14ac:dyDescent="0.25">
      <c r="B98" s="374"/>
      <c r="C98" s="1"/>
      <c r="D98" s="199"/>
      <c r="E98" s="259"/>
      <c r="F98" s="14"/>
      <c r="I98" s="8"/>
      <c r="S98" s="4"/>
      <c r="T98" s="374"/>
      <c r="W98" s="8"/>
    </row>
    <row r="99" spans="2:23" ht="14.45" customHeight="1" x14ac:dyDescent="0.25">
      <c r="B99" s="374"/>
      <c r="C99" s="1" t="s">
        <v>71</v>
      </c>
      <c r="D99" s="168">
        <v>246852</v>
      </c>
      <c r="E99" s="183">
        <v>1525092</v>
      </c>
      <c r="F99" s="68"/>
      <c r="I99" s="8"/>
      <c r="S99" s="4"/>
      <c r="T99" s="374"/>
      <c r="U99" s="24"/>
      <c r="W99" s="14"/>
    </row>
    <row r="100" spans="2:23" x14ac:dyDescent="0.25">
      <c r="B100" s="374"/>
      <c r="C100" s="1" t="s">
        <v>72</v>
      </c>
      <c r="D100" s="184">
        <f>D99/D96</f>
        <v>2.8507483370288247</v>
      </c>
      <c r="E100" s="161">
        <f>E99/E96</f>
        <v>2.2530502983449572</v>
      </c>
      <c r="F100" s="14"/>
      <c r="I100" s="8"/>
      <c r="S100" s="4"/>
      <c r="T100" s="374"/>
    </row>
    <row r="101" spans="2:23" x14ac:dyDescent="0.25">
      <c r="B101" s="374"/>
      <c r="C101" s="1"/>
      <c r="D101" s="202"/>
      <c r="E101" s="162"/>
      <c r="F101" s="14"/>
      <c r="I101" s="8"/>
      <c r="S101" s="4"/>
      <c r="T101" s="374"/>
      <c r="W101" s="8"/>
    </row>
    <row r="102" spans="2:23" x14ac:dyDescent="0.25">
      <c r="B102" s="374"/>
      <c r="C102" s="1" t="s">
        <v>73</v>
      </c>
      <c r="D102" s="168">
        <v>140934</v>
      </c>
      <c r="E102" s="183">
        <v>1011955</v>
      </c>
      <c r="F102" s="14"/>
      <c r="I102" s="8"/>
      <c r="S102" s="4"/>
      <c r="T102" s="374"/>
      <c r="W102" s="14"/>
    </row>
    <row r="103" spans="2:23" x14ac:dyDescent="0.25">
      <c r="B103" s="374"/>
      <c r="C103" s="1" t="s">
        <v>74</v>
      </c>
      <c r="D103" s="184">
        <f>D102/D96</f>
        <v>1.6275637472283815</v>
      </c>
      <c r="E103" s="165">
        <f>E102/E96</f>
        <v>1.4949822795357075</v>
      </c>
      <c r="F103" s="14"/>
      <c r="S103" s="4"/>
      <c r="T103" s="374"/>
    </row>
    <row r="104" spans="2:23" ht="15.75" thickBot="1" x14ac:dyDescent="0.3">
      <c r="B104" s="375"/>
      <c r="C104" s="9" t="s">
        <v>75</v>
      </c>
      <c r="D104" s="185">
        <f>D99/D102</f>
        <v>1.7515432755758014</v>
      </c>
      <c r="E104" s="186">
        <f>E99/E102</f>
        <v>1.5070749193392987</v>
      </c>
      <c r="F104" s="18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11"/>
      <c r="T104" s="375"/>
    </row>
    <row r="105" spans="2:23" x14ac:dyDescent="0.25">
      <c r="D105" s="37"/>
      <c r="E105" s="22"/>
      <c r="F105" s="14"/>
    </row>
    <row r="106" spans="2:23" s="35" customFormat="1" x14ac:dyDescent="0.25">
      <c r="B106" s="47"/>
      <c r="C106" s="78"/>
      <c r="D106" s="8"/>
      <c r="E106" s="13"/>
    </row>
    <row r="107" spans="2:23" s="35" customFormat="1" x14ac:dyDescent="0.25">
      <c r="B107" s="47"/>
      <c r="C107" s="78"/>
      <c r="D107" s="8"/>
      <c r="E107" s="34"/>
    </row>
    <row r="108" spans="2:23" s="35" customFormat="1" x14ac:dyDescent="0.25">
      <c r="B108" s="47"/>
      <c r="C108" s="78"/>
      <c r="D108" s="8"/>
      <c r="E108" s="34"/>
    </row>
    <row r="109" spans="2:23" s="35" customFormat="1" x14ac:dyDescent="0.25">
      <c r="B109" s="47"/>
      <c r="C109" s="78"/>
      <c r="D109" s="8"/>
      <c r="E109" s="34"/>
    </row>
    <row r="110" spans="2:23" s="35" customFormat="1" x14ac:dyDescent="0.25">
      <c r="B110" s="47"/>
      <c r="C110" s="78"/>
      <c r="D110" s="8"/>
      <c r="E110" s="78"/>
    </row>
    <row r="111" spans="2:23" s="35" customFormat="1" x14ac:dyDescent="0.25">
      <c r="B111" s="47"/>
      <c r="C111" s="78"/>
      <c r="D111" s="8"/>
      <c r="E111" s="34"/>
    </row>
  </sheetData>
  <mergeCells count="15">
    <mergeCell ref="B95:B104"/>
    <mergeCell ref="T95:T104"/>
    <mergeCell ref="B4:B39"/>
    <mergeCell ref="B41:B77"/>
    <mergeCell ref="T41:T77"/>
    <mergeCell ref="B79:B93"/>
    <mergeCell ref="D79:E79"/>
    <mergeCell ref="F79:G79"/>
    <mergeCell ref="T79:T93"/>
    <mergeCell ref="T3:T39"/>
    <mergeCell ref="C2:S2"/>
    <mergeCell ref="D3:J3"/>
    <mergeCell ref="K3:M3"/>
    <mergeCell ref="N3:P3"/>
    <mergeCell ref="Q3:S3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9BEF1-D869-4787-9425-AC3FAE4D9420}">
  <sheetPr>
    <tabColor theme="9"/>
  </sheetPr>
  <dimension ref="A1:W112"/>
  <sheetViews>
    <sheetView topLeftCell="A27" zoomScaleNormal="100" workbookViewId="0">
      <selection activeCell="J68" sqref="J68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162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3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33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33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 t="shared" ref="D34:D39" si="4">H33</f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ref="I34:I39" si="5">H34-D34</f>
        <v>61</v>
      </c>
      <c r="J34" s="227">
        <f t="shared" ref="J34:J39" si="6">G34/D34</f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25">
      <c r="A35" s="8"/>
      <c r="B35" s="390"/>
      <c r="C35" s="234" t="s">
        <v>98</v>
      </c>
      <c r="D35" s="220">
        <f t="shared" si="4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5"/>
        <v>-196</v>
      </c>
      <c r="J35" s="227">
        <f t="shared" si="6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25">
      <c r="A36" s="8"/>
      <c r="B36" s="390"/>
      <c r="C36" s="234" t="s">
        <v>102</v>
      </c>
      <c r="D36" s="220">
        <f t="shared" si="4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5"/>
        <v>7024</v>
      </c>
      <c r="J36" s="227">
        <f t="shared" si="6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25">
      <c r="A37" s="8"/>
      <c r="B37" s="390"/>
      <c r="C37" s="234" t="s">
        <v>106</v>
      </c>
      <c r="D37" s="220">
        <f t="shared" si="4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5"/>
        <v>-1980</v>
      </c>
      <c r="J37" s="227">
        <f t="shared" si="6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25">
      <c r="A38" s="8"/>
      <c r="B38" s="390"/>
      <c r="C38" s="234" t="s">
        <v>110</v>
      </c>
      <c r="D38" s="220">
        <f t="shared" si="4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5"/>
        <v>2148</v>
      </c>
      <c r="J38" s="227">
        <f t="shared" si="6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x14ac:dyDescent="0.25">
      <c r="A39" s="8"/>
      <c r="B39" s="390"/>
      <c r="C39" s="234" t="s">
        <v>117</v>
      </c>
      <c r="D39" s="220">
        <f t="shared" si="4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5"/>
        <v>5438</v>
      </c>
      <c r="J39" s="227">
        <f t="shared" si="6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 ht="15.75" thickBot="1" x14ac:dyDescent="0.3">
      <c r="B40" s="391"/>
      <c r="C40" s="88" t="s">
        <v>78</v>
      </c>
      <c r="D40" s="135"/>
      <c r="E40" s="135">
        <f>SUM(E5:E39)</f>
        <v>356807</v>
      </c>
      <c r="F40" s="135">
        <f>SUM(F5:F39)</f>
        <v>251715.52000000002</v>
      </c>
      <c r="G40" s="135">
        <f>SUM(G5:G39)</f>
        <v>202276</v>
      </c>
      <c r="H40" s="135"/>
      <c r="I40" s="136"/>
      <c r="J40" s="136"/>
      <c r="K40" s="135">
        <f>SUM(K5:K39)</f>
        <v>325375</v>
      </c>
      <c r="M40" s="136"/>
      <c r="N40" s="135">
        <f>SUM(N17:N39)</f>
        <v>29265</v>
      </c>
      <c r="O40" s="135"/>
      <c r="P40" s="136"/>
      <c r="Q40" s="113">
        <f>SUM(Q20:Q39)</f>
        <v>4887</v>
      </c>
      <c r="R40" s="93"/>
      <c r="S40" s="112"/>
      <c r="T40" s="375"/>
      <c r="U40" s="8"/>
      <c r="V40" s="142"/>
    </row>
    <row r="41" spans="1:22" ht="15.75" thickBot="1" x14ac:dyDescent="0.3">
      <c r="C41" s="45"/>
      <c r="D41" s="25"/>
      <c r="E41" s="50"/>
      <c r="F41" s="50"/>
      <c r="G41" s="50"/>
      <c r="H41" s="50"/>
      <c r="I41" s="50"/>
      <c r="J41" s="238"/>
      <c r="K41" s="50"/>
      <c r="L41" s="50"/>
      <c r="M41" s="50"/>
      <c r="N41" s="50"/>
      <c r="O41" s="50"/>
      <c r="P41" s="50"/>
      <c r="Q41" s="50"/>
      <c r="R41" s="50"/>
      <c r="S41" s="51"/>
      <c r="T41" s="27"/>
      <c r="V41" s="142"/>
    </row>
    <row r="42" spans="1:22" x14ac:dyDescent="0.25">
      <c r="B42" s="381" t="s">
        <v>13</v>
      </c>
      <c r="C42" s="94"/>
      <c r="D42" s="48" t="s">
        <v>145</v>
      </c>
      <c r="E42" s="48" t="s">
        <v>15</v>
      </c>
      <c r="F42" s="48" t="s">
        <v>146</v>
      </c>
      <c r="G42" s="48" t="s">
        <v>156</v>
      </c>
      <c r="H42" s="48" t="s">
        <v>18</v>
      </c>
      <c r="I42" s="94"/>
      <c r="J42" s="116"/>
      <c r="K42" s="116"/>
      <c r="L42" s="47"/>
      <c r="M42" s="94"/>
      <c r="N42" s="94"/>
      <c r="O42" s="94"/>
      <c r="Q42" s="94"/>
      <c r="R42" s="94"/>
      <c r="S42" s="49"/>
      <c r="T42" s="380" t="s">
        <v>19</v>
      </c>
      <c r="V42" s="142"/>
    </row>
    <row r="43" spans="1:22" x14ac:dyDescent="0.25">
      <c r="B43" s="382"/>
      <c r="C43" s="156" t="s">
        <v>20</v>
      </c>
      <c r="D43" s="47"/>
      <c r="E43" s="47"/>
      <c r="F43" s="47"/>
      <c r="G43" s="260"/>
      <c r="I43" s="154"/>
      <c r="M43" s="254"/>
      <c r="O43" s="47"/>
      <c r="P43" s="47"/>
      <c r="Q43" s="47"/>
      <c r="R43" s="47"/>
      <c r="S43" s="12"/>
      <c r="T43" s="380"/>
      <c r="V43" s="8"/>
    </row>
    <row r="44" spans="1:22" x14ac:dyDescent="0.25">
      <c r="B44" s="382"/>
      <c r="C44" s="47" t="s">
        <v>21</v>
      </c>
      <c r="D44" s="13">
        <v>0.47699999999999998</v>
      </c>
      <c r="E44" s="13">
        <v>0.435</v>
      </c>
      <c r="F44" s="14">
        <f>D44/E44</f>
        <v>1.096551724137931</v>
      </c>
      <c r="G44" s="160">
        <v>0.52100000000000002</v>
      </c>
      <c r="H44" s="14">
        <f>E44/G44</f>
        <v>0.83493282149712089</v>
      </c>
      <c r="I44" s="149"/>
      <c r="J44" s="222"/>
      <c r="K44" s="158"/>
      <c r="L44" s="158"/>
      <c r="M44" s="14"/>
      <c r="N44" s="47"/>
      <c r="O44" s="14"/>
      <c r="P44" s="14"/>
      <c r="Q44" s="14"/>
      <c r="R44" s="14"/>
      <c r="S44" s="15"/>
      <c r="T44" s="380"/>
      <c r="V44" s="8"/>
    </row>
    <row r="45" spans="1:22" x14ac:dyDescent="0.25">
      <c r="B45" s="382"/>
      <c r="C45" s="47" t="s">
        <v>22</v>
      </c>
      <c r="D45" s="13">
        <v>0.52300000000000002</v>
      </c>
      <c r="E45" s="13">
        <v>0.56499999999999995</v>
      </c>
      <c r="F45" s="14">
        <f>D45/E45</f>
        <v>0.92566371681415938</v>
      </c>
      <c r="G45" s="160">
        <v>0.47899999999999998</v>
      </c>
      <c r="H45" s="14">
        <f t="shared" ref="H45:H62" si="7">E45/G45</f>
        <v>1.1795407098121085</v>
      </c>
      <c r="I45" s="149"/>
      <c r="J45" s="222"/>
      <c r="K45" s="158"/>
      <c r="L45" s="14"/>
      <c r="M45" s="14"/>
      <c r="N45" s="14"/>
      <c r="O45" s="14"/>
      <c r="P45" s="14"/>
      <c r="Q45" s="14"/>
      <c r="R45" s="14"/>
      <c r="S45" s="15"/>
      <c r="T45" s="380"/>
    </row>
    <row r="46" spans="1:22" x14ac:dyDescent="0.25">
      <c r="B46" s="382"/>
      <c r="D46" s="190"/>
      <c r="E46" s="190"/>
      <c r="F46" s="14"/>
      <c r="G46" s="190"/>
      <c r="H46" s="170"/>
      <c r="I46" s="149"/>
      <c r="J46" s="222"/>
      <c r="K46" s="14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C47" s="156" t="s">
        <v>23</v>
      </c>
      <c r="D47" s="169"/>
      <c r="E47" s="169"/>
      <c r="F47" s="14"/>
      <c r="G47" s="190"/>
      <c r="H47" s="170"/>
      <c r="I47" s="149"/>
      <c r="J47" s="39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C48" s="47" t="s">
        <v>24</v>
      </c>
      <c r="D48" s="13">
        <v>0</v>
      </c>
      <c r="E48" s="13">
        <v>0</v>
      </c>
      <c r="F48" s="14" t="s">
        <v>12</v>
      </c>
      <c r="G48" s="160">
        <v>1.0999999999999999E-2</v>
      </c>
      <c r="H48" s="14" t="s">
        <v>12</v>
      </c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25</v>
      </c>
      <c r="D49" s="13">
        <v>0.02</v>
      </c>
      <c r="E49" s="13">
        <v>1.7999999999999999E-2</v>
      </c>
      <c r="F49" s="14">
        <f>D49/E49</f>
        <v>1.1111111111111112</v>
      </c>
      <c r="G49" s="160">
        <v>0.14000000000000001</v>
      </c>
      <c r="H49" s="14">
        <f>E49/G49</f>
        <v>0.12857142857142856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26</v>
      </c>
      <c r="D50" s="13">
        <v>0.42399999999999999</v>
      </c>
      <c r="E50" s="13">
        <v>0.39900000000000002</v>
      </c>
      <c r="F50" s="14">
        <f>D50/E50</f>
        <v>1.06265664160401</v>
      </c>
      <c r="G50" s="160">
        <v>0.29099999999999998</v>
      </c>
      <c r="H50" s="14">
        <f>E50/G50</f>
        <v>1.3711340206185569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27</v>
      </c>
      <c r="D51" s="13">
        <v>0.432</v>
      </c>
      <c r="E51" s="13">
        <v>0.40300000000000002</v>
      </c>
      <c r="F51" s="14">
        <f t="shared" ref="F51:F78" si="8">D51/E51</f>
        <v>1.0719602977667493</v>
      </c>
      <c r="G51" s="160">
        <v>0.32200000000000001</v>
      </c>
      <c r="H51" s="14">
        <f t="shared" si="7"/>
        <v>1.2515527950310559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28</v>
      </c>
      <c r="D52" s="13">
        <v>0.107</v>
      </c>
      <c r="E52" s="13">
        <v>0.155</v>
      </c>
      <c r="F52" s="14">
        <f t="shared" si="8"/>
        <v>0.69032258064516128</v>
      </c>
      <c r="G52" s="160">
        <v>0.16800000000000001</v>
      </c>
      <c r="H52" s="14">
        <f>E52/G52</f>
        <v>0.92261904761904756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29</v>
      </c>
      <c r="D53" s="13">
        <v>1.7000000000000001E-2</v>
      </c>
      <c r="E53" s="13">
        <v>2.4E-2</v>
      </c>
      <c r="F53" s="14">
        <f t="shared" si="8"/>
        <v>0.70833333333333337</v>
      </c>
      <c r="G53" s="160">
        <v>6.9000000000000006E-2</v>
      </c>
      <c r="H53" s="14">
        <f t="shared" si="7"/>
        <v>0.34782608695652173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D54" s="190"/>
      <c r="E54" s="190"/>
      <c r="F54" s="14"/>
      <c r="G54" s="190"/>
      <c r="H54" s="170"/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156" t="s">
        <v>30</v>
      </c>
      <c r="D55" s="169"/>
      <c r="F55" s="14"/>
      <c r="G55" s="190"/>
      <c r="H55" s="170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47" t="s">
        <v>31</v>
      </c>
      <c r="D56" s="13">
        <v>0.49099999999999999</v>
      </c>
      <c r="E56" s="38">
        <v>0.47599999999999998</v>
      </c>
      <c r="F56" s="14">
        <f>D56/E56</f>
        <v>1.0315126050420169</v>
      </c>
      <c r="G56" s="160">
        <v>0.48299999999999998</v>
      </c>
      <c r="H56" s="14">
        <f>E56/G56</f>
        <v>0.98550724637681153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32</v>
      </c>
      <c r="D57" s="13">
        <v>0.20399999999999999</v>
      </c>
      <c r="E57" s="13">
        <v>0.20200000000000001</v>
      </c>
      <c r="F57" s="14">
        <f>D57/E57</f>
        <v>1.0099009900990097</v>
      </c>
      <c r="G57" s="160">
        <v>0.158</v>
      </c>
      <c r="H57" s="14">
        <f t="shared" si="7"/>
        <v>1.278481012658228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33</v>
      </c>
      <c r="D58" s="13">
        <v>0.113</v>
      </c>
      <c r="E58" s="13">
        <v>0.125</v>
      </c>
      <c r="F58" s="14">
        <f>D58/E58</f>
        <v>0.90400000000000003</v>
      </c>
      <c r="G58" s="160">
        <v>0.121</v>
      </c>
      <c r="H58" s="14">
        <f t="shared" si="7"/>
        <v>1.0330578512396695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34</v>
      </c>
      <c r="D59" s="13">
        <v>9.1999999999999998E-2</v>
      </c>
      <c r="E59" s="13">
        <v>9.5000000000000001E-2</v>
      </c>
      <c r="F59" s="14">
        <f t="shared" ref="F59:F62" si="9">D59/E59</f>
        <v>0.96842105263157896</v>
      </c>
      <c r="G59" s="160">
        <v>0.11700000000000001</v>
      </c>
      <c r="H59" s="14">
        <f t="shared" si="7"/>
        <v>0.81196581196581197</v>
      </c>
      <c r="I59" s="223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35</v>
      </c>
      <c r="D60" s="13">
        <v>2.3E-2</v>
      </c>
      <c r="E60" s="13">
        <v>2.3E-2</v>
      </c>
      <c r="F60" s="14">
        <f t="shared" si="9"/>
        <v>1</v>
      </c>
      <c r="G60" s="160">
        <v>3.2000000000000001E-2</v>
      </c>
      <c r="H60" s="14">
        <f t="shared" si="7"/>
        <v>0.71875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36</v>
      </c>
      <c r="D61" s="13">
        <v>1.4999999999999999E-2</v>
      </c>
      <c r="E61" s="13">
        <v>1.4999999999999999E-2</v>
      </c>
      <c r="F61" s="14">
        <f t="shared" si="9"/>
        <v>1</v>
      </c>
      <c r="G61" s="160">
        <v>1.7999999999999999E-2</v>
      </c>
      <c r="H61" s="14">
        <f t="shared" si="7"/>
        <v>0.83333333333333337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37</v>
      </c>
      <c r="D62" s="13">
        <v>6.2E-2</v>
      </c>
      <c r="E62" s="13">
        <v>6.4000000000000001E-2</v>
      </c>
      <c r="F62" s="14">
        <f t="shared" si="9"/>
        <v>0.96875</v>
      </c>
      <c r="G62" s="160">
        <v>7.1999999999999995E-2</v>
      </c>
      <c r="H62" s="14">
        <f t="shared" si="7"/>
        <v>0.88888888888888895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D63" s="190"/>
      <c r="E63" s="190"/>
      <c r="F63" s="14"/>
      <c r="G63" s="190"/>
      <c r="H63" s="170"/>
      <c r="I63" s="149"/>
      <c r="J63" s="222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156" t="s">
        <v>38</v>
      </c>
      <c r="D64" s="169"/>
      <c r="E64" s="169"/>
      <c r="F64" s="14"/>
      <c r="G64" s="190"/>
      <c r="H64" s="170"/>
      <c r="I64" s="149"/>
      <c r="J64" s="222"/>
      <c r="K64" s="239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47" t="s">
        <v>39</v>
      </c>
      <c r="D65" s="13">
        <v>0.54800000000000004</v>
      </c>
      <c r="E65" s="13">
        <v>0.435</v>
      </c>
      <c r="F65" s="14">
        <f t="shared" si="8"/>
        <v>1.2597701149425289</v>
      </c>
      <c r="G65" s="164">
        <v>0.45600000000000002</v>
      </c>
      <c r="H65" s="72">
        <f>E65/G65</f>
        <v>0.95394736842105254</v>
      </c>
      <c r="I65" s="149"/>
      <c r="J65" s="240"/>
      <c r="K65" s="241"/>
      <c r="L65" s="16"/>
      <c r="M65" s="16"/>
      <c r="N65" s="68"/>
      <c r="O65" s="16"/>
      <c r="P65" s="16"/>
      <c r="Q65" s="16"/>
      <c r="R65" s="16"/>
      <c r="S65" s="36"/>
      <c r="T65" s="380"/>
    </row>
    <row r="66" spans="2:20" x14ac:dyDescent="0.25">
      <c r="B66" s="382"/>
      <c r="C66" s="47" t="s">
        <v>40</v>
      </c>
      <c r="D66" s="13">
        <v>5.0999999999999997E-2</v>
      </c>
      <c r="E66" s="13">
        <v>4.9000000000000002E-2</v>
      </c>
      <c r="F66" s="14">
        <f t="shared" si="8"/>
        <v>1.0408163265306121</v>
      </c>
      <c r="G66" s="160">
        <v>7.0000000000000007E-2</v>
      </c>
      <c r="H66" s="72">
        <f t="shared" ref="H66:H70" si="10">E66/G66</f>
        <v>0.7</v>
      </c>
      <c r="I66" s="149"/>
      <c r="J66" s="240"/>
      <c r="K66" s="241"/>
      <c r="L66" s="14"/>
      <c r="M66" s="16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41</v>
      </c>
      <c r="D67" s="13">
        <v>8.8999999999999996E-2</v>
      </c>
      <c r="E67" s="13">
        <v>9.0999999999999998E-2</v>
      </c>
      <c r="F67" s="14">
        <f t="shared" si="8"/>
        <v>0.97802197802197799</v>
      </c>
      <c r="G67" s="160">
        <v>0.127</v>
      </c>
      <c r="H67" s="72">
        <f t="shared" si="10"/>
        <v>0.71653543307086609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42</v>
      </c>
      <c r="D68" s="13">
        <v>0.10299999999999999</v>
      </c>
      <c r="E68" s="13">
        <v>0.11700000000000001</v>
      </c>
      <c r="F68" s="14">
        <f t="shared" si="8"/>
        <v>0.88034188034188021</v>
      </c>
      <c r="G68" s="160">
        <v>0.13900000000000001</v>
      </c>
      <c r="H68" s="72">
        <f t="shared" si="10"/>
        <v>0.84172661870503596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43</v>
      </c>
      <c r="D69" s="13">
        <v>0.11799999999999999</v>
      </c>
      <c r="E69" s="13">
        <v>0.153</v>
      </c>
      <c r="F69" s="14">
        <f t="shared" si="8"/>
        <v>0.7712418300653594</v>
      </c>
      <c r="G69" s="160">
        <v>0.13200000000000001</v>
      </c>
      <c r="H69" s="72">
        <f t="shared" si="10"/>
        <v>1.1590909090909089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44</v>
      </c>
      <c r="D70" s="13">
        <v>9.1999999999999998E-2</v>
      </c>
      <c r="E70" s="13">
        <v>0.154</v>
      </c>
      <c r="F70" s="14">
        <f t="shared" si="8"/>
        <v>0.59740259740259738</v>
      </c>
      <c r="G70" s="160">
        <v>7.4999999999999997E-2</v>
      </c>
      <c r="H70" s="72">
        <f t="shared" si="10"/>
        <v>2.0533333333333332</v>
      </c>
      <c r="J70" s="34"/>
      <c r="K70" s="239"/>
      <c r="O70" s="14"/>
      <c r="P70" s="14"/>
      <c r="Q70" s="14"/>
      <c r="R70" s="14"/>
      <c r="S70" s="15"/>
      <c r="T70" s="380"/>
    </row>
    <row r="71" spans="2:20" x14ac:dyDescent="0.25">
      <c r="B71" s="382"/>
      <c r="D71" s="190"/>
      <c r="E71" s="190"/>
      <c r="F71" s="14"/>
      <c r="G71" s="190"/>
      <c r="H71" s="170"/>
      <c r="I71" s="149"/>
      <c r="J71" s="222"/>
      <c r="K71" s="14"/>
      <c r="O71" s="14"/>
      <c r="P71" s="14"/>
      <c r="Q71" s="14"/>
      <c r="R71" s="14"/>
      <c r="S71" s="15"/>
      <c r="T71" s="380"/>
    </row>
    <row r="72" spans="2:20" x14ac:dyDescent="0.25">
      <c r="B72" s="382"/>
      <c r="C72" s="156" t="s">
        <v>157</v>
      </c>
      <c r="D72" s="190"/>
      <c r="E72" s="190"/>
      <c r="F72" s="14"/>
      <c r="G72" s="190"/>
      <c r="H72" s="170"/>
      <c r="I72" s="149"/>
      <c r="J72" s="39"/>
      <c r="K72" s="14"/>
      <c r="L72" s="14"/>
      <c r="M72" s="14"/>
      <c r="N72" s="14"/>
      <c r="O72" s="14"/>
      <c r="P72" s="14"/>
      <c r="Q72" s="14"/>
      <c r="R72" s="14"/>
      <c r="S72" s="15"/>
      <c r="T72" s="380"/>
    </row>
    <row r="73" spans="2:20" x14ac:dyDescent="0.25">
      <c r="B73" s="382"/>
      <c r="C73" s="47" t="s">
        <v>39</v>
      </c>
      <c r="D73" s="13">
        <v>0.28499999999999998</v>
      </c>
      <c r="E73" s="13">
        <v>0.11</v>
      </c>
      <c r="F73" s="14">
        <f t="shared" si="8"/>
        <v>2.5909090909090908</v>
      </c>
      <c r="G73" s="163">
        <v>0.23699999999999999</v>
      </c>
      <c r="H73" s="72">
        <f>E73/G73</f>
        <v>0.46413502109704646</v>
      </c>
      <c r="I73" s="149"/>
      <c r="J73" s="38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25">
      <c r="B74" s="382"/>
      <c r="C74" s="47" t="s">
        <v>40</v>
      </c>
      <c r="D74" s="13">
        <v>0.06</v>
      </c>
      <c r="E74" s="13">
        <v>5.6000000000000001E-2</v>
      </c>
      <c r="F74" s="14">
        <f t="shared" si="8"/>
        <v>1.0714285714285714</v>
      </c>
      <c r="G74" s="163">
        <v>0.13200000000000001</v>
      </c>
      <c r="H74" s="72">
        <f t="shared" ref="H74:H78" si="11">E74/G74</f>
        <v>0.42424242424242425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25">
      <c r="B75" s="382"/>
      <c r="C75" s="47" t="s">
        <v>41</v>
      </c>
      <c r="D75" s="13">
        <v>0.127</v>
      </c>
      <c r="E75" s="13">
        <v>0.129</v>
      </c>
      <c r="F75" s="14">
        <f t="shared" si="8"/>
        <v>0.98449612403100772</v>
      </c>
      <c r="G75" s="163">
        <v>0.216</v>
      </c>
      <c r="H75" s="72">
        <f t="shared" si="11"/>
        <v>0.59722222222222221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25">
      <c r="B76" s="382"/>
      <c r="C76" s="47" t="s">
        <v>42</v>
      </c>
      <c r="D76" s="13">
        <v>0.155</v>
      </c>
      <c r="E76" s="13">
        <v>0.16900000000000001</v>
      </c>
      <c r="F76" s="14">
        <f t="shared" si="8"/>
        <v>0.91715976331360938</v>
      </c>
      <c r="G76" s="163">
        <v>0.191</v>
      </c>
      <c r="H76" s="72">
        <f t="shared" si="11"/>
        <v>0.88481675392670156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x14ac:dyDescent="0.25">
      <c r="B77" s="382"/>
      <c r="C77" s="47" t="s">
        <v>43</v>
      </c>
      <c r="D77" s="13">
        <v>0.19700000000000001</v>
      </c>
      <c r="E77" s="13">
        <v>0.24299999999999999</v>
      </c>
      <c r="F77" s="14">
        <f t="shared" si="8"/>
        <v>0.81069958847736634</v>
      </c>
      <c r="G77" s="163">
        <v>0.14799999999999999</v>
      </c>
      <c r="H77" s="72">
        <f t="shared" si="11"/>
        <v>1.6418918918918919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ht="15.75" thickBot="1" x14ac:dyDescent="0.3">
      <c r="B78" s="383"/>
      <c r="C78" s="47" t="s">
        <v>44</v>
      </c>
      <c r="D78" s="13">
        <v>0.17599999999999999</v>
      </c>
      <c r="E78" s="13">
        <v>0.29299999999999998</v>
      </c>
      <c r="F78" s="14">
        <f t="shared" si="8"/>
        <v>0.60068259385665534</v>
      </c>
      <c r="G78" s="163">
        <v>7.4999999999999997E-2</v>
      </c>
      <c r="H78" s="72">
        <f t="shared" si="11"/>
        <v>3.9066666666666667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ht="15.75" thickBot="1" x14ac:dyDescent="0.3">
      <c r="B79" s="60"/>
      <c r="C79" s="45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26"/>
      <c r="T79" s="27"/>
    </row>
    <row r="80" spans="2:20" x14ac:dyDescent="0.25">
      <c r="B80" s="373" t="s">
        <v>45</v>
      </c>
      <c r="C80" s="5"/>
      <c r="D80" s="385" t="s">
        <v>46</v>
      </c>
      <c r="E80" s="385"/>
      <c r="F80" s="385" t="s">
        <v>47</v>
      </c>
      <c r="G80" s="385"/>
      <c r="H80" s="42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7"/>
      <c r="T80" s="386" t="s">
        <v>48</v>
      </c>
    </row>
    <row r="81" spans="2:23" x14ac:dyDescent="0.25">
      <c r="B81" s="374"/>
      <c r="C81" s="1"/>
      <c r="D81" s="40" t="s">
        <v>49</v>
      </c>
      <c r="E81" s="40" t="s">
        <v>50</v>
      </c>
      <c r="F81" s="40" t="s">
        <v>49</v>
      </c>
      <c r="G81" s="40" t="s">
        <v>50</v>
      </c>
      <c r="H81" s="41" t="s">
        <v>51</v>
      </c>
      <c r="I81" s="96" t="s">
        <v>52</v>
      </c>
      <c r="J81" s="97"/>
      <c r="K81" s="97"/>
      <c r="L81" s="97"/>
      <c r="M81" s="97"/>
      <c r="N81" s="97"/>
      <c r="O81" s="97"/>
      <c r="P81" s="97"/>
      <c r="Q81" s="97"/>
      <c r="R81" s="97"/>
      <c r="S81" s="99"/>
      <c r="T81" s="387"/>
    </row>
    <row r="82" spans="2:23" x14ac:dyDescent="0.25">
      <c r="B82" s="374"/>
      <c r="C82" s="2" t="s">
        <v>53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4"/>
      <c r="T82" s="387"/>
    </row>
    <row r="83" spans="2:23" x14ac:dyDescent="0.25">
      <c r="B83" s="374"/>
      <c r="C83" s="1" t="s">
        <v>54</v>
      </c>
      <c r="D83" s="167">
        <v>2666017</v>
      </c>
      <c r="E83" s="163">
        <f>D83/D85</f>
        <v>0.6800198138043142</v>
      </c>
      <c r="F83" s="168">
        <v>175449</v>
      </c>
      <c r="G83" s="160">
        <f>F83/$F$85</f>
        <v>0.63784328124886391</v>
      </c>
      <c r="H83" s="161">
        <f>G83/E83</f>
        <v>0.93797749462696212</v>
      </c>
      <c r="I83" s="191">
        <f>F83/D83</f>
        <v>6.5809407816979415E-2</v>
      </c>
      <c r="J83" s="39"/>
      <c r="K83" s="39"/>
      <c r="L83" s="14"/>
      <c r="M83" s="14"/>
      <c r="N83" s="14"/>
      <c r="O83" s="14"/>
      <c r="P83" s="14"/>
      <c r="Q83" s="14"/>
      <c r="R83" s="14"/>
      <c r="S83" s="82"/>
      <c r="T83" s="387"/>
    </row>
    <row r="84" spans="2:23" x14ac:dyDescent="0.25">
      <c r="B84" s="374"/>
      <c r="C84" s="1" t="s">
        <v>55</v>
      </c>
      <c r="D84" s="167">
        <f>SUM(D88:D94)</f>
        <v>1254482</v>
      </c>
      <c r="E84" s="163">
        <f>D84/D85</f>
        <v>0.3199801861956858</v>
      </c>
      <c r="F84" s="168">
        <f>SUM(F88:F94)</f>
        <v>99617</v>
      </c>
      <c r="G84" s="160">
        <f>F84/$F$85</f>
        <v>0.36215671875113609</v>
      </c>
      <c r="H84" s="161">
        <f>G84/E84</f>
        <v>1.1318098256548204</v>
      </c>
      <c r="I84" s="191">
        <f t="shared" ref="I84:I94" si="12">F84/D84</f>
        <v>7.9408871550169707E-2</v>
      </c>
      <c r="J84" s="39"/>
      <c r="K84" s="39"/>
      <c r="L84" s="252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 t="s">
        <v>53</v>
      </c>
      <c r="D85" s="167">
        <f>SUM(D83:D84)</f>
        <v>3920499</v>
      </c>
      <c r="E85" s="192"/>
      <c r="F85" s="168">
        <f>SUM(F83:F84)</f>
        <v>275066</v>
      </c>
      <c r="G85" s="169"/>
      <c r="H85" s="161"/>
      <c r="I85" s="191">
        <f t="shared" si="12"/>
        <v>7.0160966754487117E-2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/>
      <c r="D86" s="192"/>
      <c r="E86" s="192"/>
      <c r="F86" s="171"/>
      <c r="G86" s="169"/>
      <c r="H86" s="161"/>
      <c r="I86" s="191"/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2" t="s">
        <v>56</v>
      </c>
      <c r="D87" s="192"/>
      <c r="E87" s="192"/>
      <c r="F87" s="169"/>
      <c r="G87" s="169"/>
      <c r="H87" s="161"/>
      <c r="I87" s="191"/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1" t="s">
        <v>57</v>
      </c>
      <c r="D88" s="167">
        <v>521313</v>
      </c>
      <c r="E88" s="163">
        <f>D88/$D$84</f>
        <v>0.41556036674898483</v>
      </c>
      <c r="F88" s="168">
        <v>41066</v>
      </c>
      <c r="G88" s="160">
        <f>F88/$F$84</f>
        <v>0.41223887489083189</v>
      </c>
      <c r="H88" s="161">
        <f t="shared" ref="H88:H94" si="13">G88/E88</f>
        <v>0.99200719769275003</v>
      </c>
      <c r="I88" s="191">
        <f t="shared" si="12"/>
        <v>7.8774172138427398E-2</v>
      </c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25">
      <c r="B89" s="374"/>
      <c r="C89" s="1" t="s">
        <v>58</v>
      </c>
      <c r="D89" s="167">
        <v>164547</v>
      </c>
      <c r="E89" s="163">
        <f t="shared" ref="E89:E94" si="14">D89/$D$84</f>
        <v>0.1311672865772486</v>
      </c>
      <c r="F89" s="168">
        <v>19712</v>
      </c>
      <c r="G89" s="160">
        <f t="shared" ref="G89:G94" si="15">F89/$F$84</f>
        <v>0.19787787225072026</v>
      </c>
      <c r="H89" s="161">
        <f t="shared" si="13"/>
        <v>1.5085916421255208</v>
      </c>
      <c r="I89" s="191">
        <f t="shared" si="12"/>
        <v>0.11979555993120507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25">
      <c r="B90" s="374"/>
      <c r="C90" s="1" t="s">
        <v>59</v>
      </c>
      <c r="D90" s="167">
        <v>151973</v>
      </c>
      <c r="E90" s="163">
        <f t="shared" si="14"/>
        <v>0.12114402598044452</v>
      </c>
      <c r="F90" s="168">
        <v>15240</v>
      </c>
      <c r="G90" s="160">
        <f t="shared" si="15"/>
        <v>0.15298593613539857</v>
      </c>
      <c r="H90" s="161">
        <f t="shared" si="13"/>
        <v>1.2628434204431516</v>
      </c>
      <c r="I90" s="191">
        <f t="shared" si="12"/>
        <v>0.10028097096194719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25">
      <c r="B91" s="374"/>
      <c r="C91" s="172" t="s">
        <v>60</v>
      </c>
      <c r="D91" s="168">
        <v>303601</v>
      </c>
      <c r="E91" s="163">
        <f t="shared" si="14"/>
        <v>0.24201303805076518</v>
      </c>
      <c r="F91" s="174">
        <v>15552</v>
      </c>
      <c r="G91" s="160">
        <f t="shared" si="15"/>
        <v>0.15611793167832799</v>
      </c>
      <c r="H91" s="161">
        <f t="shared" si="13"/>
        <v>0.64508066563579258</v>
      </c>
      <c r="I91" s="191">
        <f t="shared" si="12"/>
        <v>5.1225127716970631E-2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25">
      <c r="B92" s="374"/>
      <c r="C92" s="1" t="s">
        <v>61</v>
      </c>
      <c r="D92" s="167">
        <v>56598</v>
      </c>
      <c r="E92" s="163">
        <f t="shared" si="14"/>
        <v>4.5116629812145571E-2</v>
      </c>
      <c r="F92" s="168">
        <v>3944</v>
      </c>
      <c r="G92" s="160">
        <f t="shared" si="15"/>
        <v>3.9591635965748821E-2</v>
      </c>
      <c r="H92" s="161">
        <f t="shared" si="13"/>
        <v>0.87753974821697789</v>
      </c>
      <c r="I92" s="191">
        <f t="shared" si="12"/>
        <v>6.9684441146330253E-2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 x14ac:dyDescent="0.25">
      <c r="B93" s="374"/>
      <c r="C93" s="1" t="s">
        <v>62</v>
      </c>
      <c r="D93" s="167">
        <v>36377</v>
      </c>
      <c r="E93" s="163">
        <f t="shared" si="14"/>
        <v>2.8997626111813481E-2</v>
      </c>
      <c r="F93" s="168">
        <v>2647</v>
      </c>
      <c r="G93" s="160">
        <f>F93/$F$84</f>
        <v>2.6571769878635174E-2</v>
      </c>
      <c r="H93" s="161">
        <f t="shared" si="13"/>
        <v>0.91634293704511127</v>
      </c>
      <c r="I93" s="191">
        <f t="shared" si="12"/>
        <v>7.2765758583720488E-2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  <c r="W93" s="13"/>
    </row>
    <row r="94" spans="2:23" ht="15.75" thickBot="1" x14ac:dyDescent="0.3">
      <c r="B94" s="375"/>
      <c r="C94" s="9" t="s">
        <v>63</v>
      </c>
      <c r="D94" s="175">
        <v>20073</v>
      </c>
      <c r="E94" s="179">
        <f t="shared" si="14"/>
        <v>1.6001026718597797E-2</v>
      </c>
      <c r="F94" s="177">
        <v>1456</v>
      </c>
      <c r="G94" s="176">
        <f t="shared" si="15"/>
        <v>1.4615979200337291E-2</v>
      </c>
      <c r="H94" s="178">
        <f t="shared" si="13"/>
        <v>0.91344008465090043</v>
      </c>
      <c r="I94" s="198">
        <f t="shared" si="12"/>
        <v>7.253524635081951E-2</v>
      </c>
      <c r="J94" s="100"/>
      <c r="K94" s="100"/>
      <c r="L94" s="18"/>
      <c r="M94" s="18"/>
      <c r="N94" s="18"/>
      <c r="O94" s="18"/>
      <c r="P94" s="18"/>
      <c r="Q94" s="18"/>
      <c r="R94" s="18"/>
      <c r="S94" s="83"/>
      <c r="T94" s="388"/>
    </row>
    <row r="95" spans="2:23" ht="15.75" thickBot="1" x14ac:dyDescent="0.3">
      <c r="C95" s="1"/>
      <c r="D95" s="8"/>
      <c r="S95" s="4"/>
      <c r="T95" s="28"/>
    </row>
    <row r="96" spans="2:23" x14ac:dyDescent="0.25">
      <c r="B96" s="373" t="s">
        <v>64</v>
      </c>
      <c r="C96" s="21" t="s">
        <v>65</v>
      </c>
      <c r="D96" s="23" t="s">
        <v>66</v>
      </c>
      <c r="E96" s="48" t="s">
        <v>67</v>
      </c>
      <c r="F96" s="48" t="s">
        <v>68</v>
      </c>
      <c r="G96" s="48" t="s">
        <v>51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7"/>
      <c r="T96" s="373" t="s">
        <v>19</v>
      </c>
    </row>
    <row r="97" spans="2:23" x14ac:dyDescent="0.25">
      <c r="B97" s="374"/>
      <c r="C97" s="1" t="s">
        <v>69</v>
      </c>
      <c r="D97" s="168">
        <v>94851</v>
      </c>
      <c r="E97" s="180">
        <v>872986</v>
      </c>
      <c r="F97" s="68"/>
      <c r="I97" s="8"/>
      <c r="S97" s="4"/>
      <c r="T97" s="374"/>
    </row>
    <row r="98" spans="2:23" x14ac:dyDescent="0.25">
      <c r="B98" s="374"/>
      <c r="C98" s="1" t="s">
        <v>70</v>
      </c>
      <c r="D98" s="160">
        <f>D97/H39</f>
        <v>0.61681276662157947</v>
      </c>
      <c r="E98" s="261">
        <v>0.2198</v>
      </c>
      <c r="F98" s="68"/>
      <c r="I98" s="8"/>
      <c r="S98" s="4"/>
      <c r="T98" s="374"/>
    </row>
    <row r="99" spans="2:23" x14ac:dyDescent="0.25">
      <c r="B99" s="374"/>
      <c r="C99" s="1"/>
      <c r="D99" s="199"/>
      <c r="E99" s="259"/>
      <c r="F99" s="14"/>
      <c r="I99" s="8"/>
      <c r="S99" s="4"/>
      <c r="T99" s="374"/>
      <c r="W99" s="8"/>
    </row>
    <row r="100" spans="2:23" ht="14.45" customHeight="1" x14ac:dyDescent="0.25">
      <c r="B100" s="374"/>
      <c r="C100" s="1" t="s">
        <v>71</v>
      </c>
      <c r="D100" s="168">
        <v>275066</v>
      </c>
      <c r="E100" s="183">
        <v>2054196</v>
      </c>
      <c r="F100" s="68"/>
      <c r="I100" s="8"/>
      <c r="S100" s="4"/>
      <c r="T100" s="374"/>
      <c r="U100" s="24"/>
      <c r="W100" s="14"/>
    </row>
    <row r="101" spans="2:23" x14ac:dyDescent="0.25">
      <c r="B101" s="374"/>
      <c r="C101" s="1" t="s">
        <v>72</v>
      </c>
      <c r="D101" s="184">
        <f>D100/D97</f>
        <v>2.8999799685823029</v>
      </c>
      <c r="E101" s="161">
        <f>E100/E97</f>
        <v>2.3530686631858928</v>
      </c>
      <c r="F101" s="14"/>
      <c r="I101" s="8"/>
      <c r="S101" s="4"/>
      <c r="T101" s="374"/>
    </row>
    <row r="102" spans="2:23" x14ac:dyDescent="0.25">
      <c r="B102" s="374"/>
      <c r="C102" s="1"/>
      <c r="D102" s="202"/>
      <c r="E102" s="162"/>
      <c r="F102" s="14"/>
      <c r="I102" s="8"/>
      <c r="S102" s="4"/>
      <c r="T102" s="374"/>
      <c r="W102" s="8"/>
    </row>
    <row r="103" spans="2:23" x14ac:dyDescent="0.25">
      <c r="B103" s="374"/>
      <c r="C103" s="1" t="s">
        <v>73</v>
      </c>
      <c r="D103" s="168">
        <v>145606</v>
      </c>
      <c r="E103" s="183">
        <v>1265528</v>
      </c>
      <c r="F103" s="14"/>
      <c r="I103" s="8"/>
      <c r="S103" s="4"/>
      <c r="T103" s="374"/>
      <c r="W103" s="14"/>
    </row>
    <row r="104" spans="2:23" x14ac:dyDescent="0.25">
      <c r="B104" s="374"/>
      <c r="C104" s="1" t="s">
        <v>74</v>
      </c>
      <c r="D104" s="184">
        <f>D103/D97</f>
        <v>1.5351024238015414</v>
      </c>
      <c r="E104" s="165">
        <f>E103/E97</f>
        <v>1.449654404537988</v>
      </c>
      <c r="F104" s="14"/>
      <c r="S104" s="4"/>
      <c r="T104" s="374"/>
    </row>
    <row r="105" spans="2:23" ht="15.75" thickBot="1" x14ac:dyDescent="0.3">
      <c r="B105" s="375"/>
      <c r="C105" s="9" t="s">
        <v>75</v>
      </c>
      <c r="D105" s="185">
        <f>D100/D103</f>
        <v>1.8891117124294328</v>
      </c>
      <c r="E105" s="186">
        <f>E100/E103</f>
        <v>1.6231928491507102</v>
      </c>
      <c r="F105" s="18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11"/>
      <c r="T105" s="375"/>
    </row>
    <row r="106" spans="2:23" x14ac:dyDescent="0.25">
      <c r="D106" s="37"/>
      <c r="E106" s="22"/>
      <c r="F106" s="14"/>
    </row>
    <row r="107" spans="2:23" s="35" customFormat="1" x14ac:dyDescent="0.25">
      <c r="B107" s="47"/>
      <c r="C107" s="78"/>
      <c r="D107" s="8"/>
      <c r="E107" s="13"/>
    </row>
    <row r="108" spans="2:23" s="35" customFormat="1" x14ac:dyDescent="0.25">
      <c r="B108" s="47"/>
      <c r="C108" s="78"/>
      <c r="D108" s="8"/>
      <c r="E108" s="34"/>
    </row>
    <row r="109" spans="2:23" s="35" customFormat="1" x14ac:dyDescent="0.25">
      <c r="B109" s="47"/>
      <c r="C109" s="78"/>
      <c r="D109" s="8"/>
      <c r="E109" s="34"/>
    </row>
    <row r="110" spans="2:23" s="35" customFormat="1" x14ac:dyDescent="0.25">
      <c r="B110" s="47"/>
      <c r="C110" s="78"/>
      <c r="D110" s="8"/>
      <c r="E110" s="34"/>
    </row>
    <row r="111" spans="2:23" s="35" customFormat="1" x14ac:dyDescent="0.25">
      <c r="B111" s="47"/>
      <c r="C111" s="78"/>
      <c r="D111" s="8"/>
      <c r="E111" s="78"/>
    </row>
    <row r="112" spans="2:23" s="35" customFormat="1" x14ac:dyDescent="0.25">
      <c r="B112" s="47"/>
      <c r="C112" s="78"/>
      <c r="D112" s="8"/>
      <c r="E112" s="34"/>
    </row>
  </sheetData>
  <mergeCells count="15">
    <mergeCell ref="B96:B105"/>
    <mergeCell ref="T96:T105"/>
    <mergeCell ref="B4:B40"/>
    <mergeCell ref="B42:B78"/>
    <mergeCell ref="T42:T78"/>
    <mergeCell ref="B80:B94"/>
    <mergeCell ref="D80:E80"/>
    <mergeCell ref="F80:G80"/>
    <mergeCell ref="T80:T94"/>
    <mergeCell ref="T3:T40"/>
    <mergeCell ref="C2:S2"/>
    <mergeCell ref="D3:J3"/>
    <mergeCell ref="K3:M3"/>
    <mergeCell ref="N3:P3"/>
    <mergeCell ref="Q3:S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045C-FBF7-445B-AEF5-87F88E8D7E24}">
  <sheetPr>
    <tabColor theme="9"/>
  </sheetPr>
  <dimension ref="A1:W113"/>
  <sheetViews>
    <sheetView topLeftCell="A38" workbookViewId="0">
      <selection activeCell="H90" sqref="H90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163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0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0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25">
      <c r="A35" s="8"/>
      <c r="B35" s="390"/>
      <c r="C35" s="234" t="s">
        <v>98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25">
      <c r="A36" s="8"/>
      <c r="B36" s="390"/>
      <c r="C36" s="234" t="s">
        <v>102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25">
      <c r="A37" s="8"/>
      <c r="B37" s="390"/>
      <c r="C37" s="234" t="s">
        <v>106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25">
      <c r="A38" s="8"/>
      <c r="B38" s="390"/>
      <c r="C38" s="234" t="s">
        <v>110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x14ac:dyDescent="0.25">
      <c r="A39" s="8"/>
      <c r="B39" s="390"/>
      <c r="C39" s="234" t="s">
        <v>117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 x14ac:dyDescent="0.25">
      <c r="A40" s="8"/>
      <c r="B40" s="390"/>
      <c r="C40" s="234" t="s">
        <v>121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0">
        <v>1463</v>
      </c>
      <c r="O40" s="228">
        <v>0.53</v>
      </c>
      <c r="P40" s="228">
        <v>0.47</v>
      </c>
      <c r="Q40" s="251">
        <v>143</v>
      </c>
      <c r="R40" s="231">
        <v>0.77</v>
      </c>
      <c r="S40" s="232">
        <v>0.23</v>
      </c>
      <c r="T40" s="374"/>
      <c r="U40" s="39"/>
      <c r="V40" s="142"/>
    </row>
    <row r="41" spans="1:22" ht="15.75" thickBot="1" x14ac:dyDescent="0.3">
      <c r="B41" s="391"/>
      <c r="C41" s="88" t="s">
        <v>78</v>
      </c>
      <c r="D41" s="135"/>
      <c r="E41" s="135">
        <f>SUM(E5:E40)</f>
        <v>376454</v>
      </c>
      <c r="F41" s="135">
        <f>SUM(F5:F40)</f>
        <v>262449.52</v>
      </c>
      <c r="G41" s="135">
        <f>SUM(G5:G40)</f>
        <v>211916</v>
      </c>
      <c r="H41" s="135"/>
      <c r="I41" s="136"/>
      <c r="J41" s="136"/>
      <c r="K41" s="135">
        <f>SUM(K5:K40)</f>
        <v>343416</v>
      </c>
      <c r="M41" s="136"/>
      <c r="N41" s="135">
        <f>SUM(N17:N40)</f>
        <v>30728</v>
      </c>
      <c r="O41" s="135"/>
      <c r="P41" s="136"/>
      <c r="Q41" s="113">
        <f>SUM(Q20:Q40)</f>
        <v>5030</v>
      </c>
      <c r="R41" s="93"/>
      <c r="S41" s="112"/>
      <c r="T41" s="375"/>
      <c r="U41" s="8"/>
      <c r="V41" s="142"/>
    </row>
    <row r="42" spans="1:22" ht="15.75" thickBot="1" x14ac:dyDescent="0.3">
      <c r="C42" s="45"/>
      <c r="D42" s="25"/>
      <c r="E42" s="50"/>
      <c r="F42" s="50"/>
      <c r="G42" s="50"/>
      <c r="H42" s="50"/>
      <c r="I42" s="50"/>
      <c r="J42" s="238"/>
      <c r="K42" s="50"/>
      <c r="L42" s="50"/>
      <c r="M42" s="50"/>
      <c r="N42" s="50"/>
      <c r="O42" s="50"/>
      <c r="P42" s="50"/>
      <c r="Q42" s="50"/>
      <c r="R42" s="50"/>
      <c r="S42" s="51"/>
      <c r="T42" s="27"/>
      <c r="V42" s="142"/>
    </row>
    <row r="43" spans="1:22" x14ac:dyDescent="0.25">
      <c r="B43" s="381" t="s">
        <v>13</v>
      </c>
      <c r="C43" s="94"/>
      <c r="D43" s="48" t="s">
        <v>148</v>
      </c>
      <c r="E43" s="48" t="s">
        <v>15</v>
      </c>
      <c r="F43" s="48" t="s">
        <v>149</v>
      </c>
      <c r="G43" s="48" t="s">
        <v>156</v>
      </c>
      <c r="H43" s="48" t="s">
        <v>18</v>
      </c>
      <c r="I43" s="94"/>
      <c r="J43" s="116"/>
      <c r="K43" s="116"/>
      <c r="L43" s="47"/>
      <c r="M43" s="94"/>
      <c r="N43" s="94"/>
      <c r="O43" s="94"/>
      <c r="Q43" s="94"/>
      <c r="R43" s="94"/>
      <c r="S43" s="49"/>
      <c r="T43" s="380" t="s">
        <v>19</v>
      </c>
      <c r="V43" s="142"/>
    </row>
    <row r="44" spans="1:22" x14ac:dyDescent="0.25">
      <c r="B44" s="382"/>
      <c r="C44" s="156" t="s">
        <v>20</v>
      </c>
      <c r="D44" s="47"/>
      <c r="E44" s="47"/>
      <c r="F44" s="47"/>
      <c r="G44" s="260"/>
      <c r="I44" s="154"/>
      <c r="M44" s="254"/>
      <c r="O44" s="47"/>
      <c r="P44" s="47"/>
      <c r="Q44" s="47"/>
      <c r="R44" s="47"/>
      <c r="S44" s="12"/>
      <c r="T44" s="380"/>
      <c r="V44" s="8"/>
    </row>
    <row r="45" spans="1:22" x14ac:dyDescent="0.25">
      <c r="B45" s="382"/>
      <c r="C45" s="47" t="s">
        <v>21</v>
      </c>
      <c r="D45" s="160">
        <v>0.443</v>
      </c>
      <c r="E45" s="160">
        <v>0.437</v>
      </c>
      <c r="F45" s="14">
        <f>D45/E45</f>
        <v>1.0137299771167048</v>
      </c>
      <c r="G45" s="160">
        <v>0.52</v>
      </c>
      <c r="H45" s="14">
        <f>E45/G45</f>
        <v>0.8403846153846154</v>
      </c>
      <c r="I45" s="149"/>
      <c r="J45" s="222"/>
      <c r="K45" s="158"/>
      <c r="L45" s="158"/>
      <c r="M45" s="14"/>
      <c r="N45" s="47"/>
      <c r="O45" s="14"/>
      <c r="P45" s="14"/>
      <c r="Q45" s="14"/>
      <c r="R45" s="14"/>
      <c r="S45" s="15"/>
      <c r="T45" s="380"/>
      <c r="V45" s="8"/>
    </row>
    <row r="46" spans="1:22" x14ac:dyDescent="0.25">
      <c r="B46" s="382"/>
      <c r="C46" s="47" t="s">
        <v>22</v>
      </c>
      <c r="D46" s="160">
        <v>0.55700000000000005</v>
      </c>
      <c r="E46" s="160">
        <v>0.56299999999999994</v>
      </c>
      <c r="F46" s="14">
        <f>D46/E46</f>
        <v>0.98934280639431638</v>
      </c>
      <c r="G46" s="160">
        <v>0.48</v>
      </c>
      <c r="H46" s="14">
        <f t="shared" ref="H46:H63" si="4">E46/G46</f>
        <v>1.1729166666666666</v>
      </c>
      <c r="I46" s="149"/>
      <c r="J46" s="222"/>
      <c r="K46" s="158"/>
      <c r="L46" s="14"/>
      <c r="M46" s="14"/>
      <c r="N46" s="14"/>
      <c r="O46" s="14"/>
      <c r="P46" s="14"/>
      <c r="Q46" s="14"/>
      <c r="R46" s="14"/>
      <c r="S46" s="15"/>
      <c r="T46" s="380"/>
    </row>
    <row r="47" spans="1:22" x14ac:dyDescent="0.25">
      <c r="B47" s="382"/>
      <c r="D47" s="190"/>
      <c r="E47" s="190"/>
      <c r="F47" s="14"/>
      <c r="G47" s="160"/>
      <c r="H47" s="170"/>
      <c r="I47" s="149"/>
      <c r="J47" s="222"/>
      <c r="K47" s="14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C48" s="156" t="s">
        <v>23</v>
      </c>
      <c r="D48" s="169"/>
      <c r="E48" s="169"/>
      <c r="F48" s="14"/>
      <c r="G48" s="160"/>
      <c r="H48" s="170"/>
      <c r="I48" s="149"/>
      <c r="J48" s="39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47" t="s">
        <v>24</v>
      </c>
      <c r="D49" s="160">
        <v>0</v>
      </c>
      <c r="E49" s="160">
        <v>0</v>
      </c>
      <c r="F49" s="14" t="s">
        <v>12</v>
      </c>
      <c r="G49" s="160">
        <v>1.0999999999999999E-2</v>
      </c>
      <c r="H49" s="14" t="s">
        <v>12</v>
      </c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25</v>
      </c>
      <c r="D50" s="160">
        <v>1.7000000000000001E-2</v>
      </c>
      <c r="E50" s="160">
        <v>1.4E-2</v>
      </c>
      <c r="F50" s="14">
        <f>D50/E50</f>
        <v>1.2142857142857144</v>
      </c>
      <c r="G50" s="160">
        <v>0.13800000000000001</v>
      </c>
      <c r="H50" s="14">
        <f>E50/G50</f>
        <v>0.10144927536231883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26</v>
      </c>
      <c r="D51" s="160">
        <v>0.442</v>
      </c>
      <c r="E51" s="160">
        <v>0.40100000000000002</v>
      </c>
      <c r="F51" s="14">
        <f>D51/E51</f>
        <v>1.1022443890274314</v>
      </c>
      <c r="G51" s="160">
        <v>0.29099999999999998</v>
      </c>
      <c r="H51" s="14">
        <f>E51/G51</f>
        <v>1.3780068728522339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27</v>
      </c>
      <c r="D52" s="160">
        <v>0.42299999999999999</v>
      </c>
      <c r="E52" s="160">
        <v>0.40600000000000003</v>
      </c>
      <c r="F52" s="14">
        <f t="shared" ref="F52:F79" si="5">D52/E52</f>
        <v>1.041871921182266</v>
      </c>
      <c r="G52" s="160">
        <v>0.32800000000000001</v>
      </c>
      <c r="H52" s="14">
        <f t="shared" si="4"/>
        <v>1.2378048780487805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28</v>
      </c>
      <c r="D53" s="160">
        <v>0.104</v>
      </c>
      <c r="E53" s="160">
        <v>0.155</v>
      </c>
      <c r="F53" s="14">
        <f t="shared" si="5"/>
        <v>0.67096774193548381</v>
      </c>
      <c r="G53" s="160">
        <v>0.16500000000000001</v>
      </c>
      <c r="H53" s="14">
        <f>E53/G53</f>
        <v>0.93939393939393934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29</v>
      </c>
      <c r="D54" s="160">
        <v>1.4E-2</v>
      </c>
      <c r="E54" s="160">
        <v>2.4E-2</v>
      </c>
      <c r="F54" s="14">
        <f t="shared" si="5"/>
        <v>0.58333333333333337</v>
      </c>
      <c r="G54" s="160">
        <v>6.7000000000000004E-2</v>
      </c>
      <c r="H54" s="14">
        <f t="shared" si="4"/>
        <v>0.35820895522388058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D55" s="190"/>
      <c r="E55" s="190"/>
      <c r="F55" s="14"/>
      <c r="G55" s="160"/>
      <c r="H55" s="170"/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C56" s="156" t="s">
        <v>30</v>
      </c>
      <c r="D56" s="169"/>
      <c r="E56" s="169"/>
      <c r="F56" s="14"/>
      <c r="G56" s="16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47" t="s">
        <v>31</v>
      </c>
      <c r="D57" s="160">
        <v>0.49</v>
      </c>
      <c r="E57" s="163">
        <v>0.47699999999999998</v>
      </c>
      <c r="F57" s="14">
        <f>D57/E57</f>
        <v>1.0272536687631026</v>
      </c>
      <c r="G57" s="160">
        <v>0.48099999999999998</v>
      </c>
      <c r="H57" s="14">
        <f>E57/G57</f>
        <v>0.99168399168399168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32</v>
      </c>
      <c r="D58" s="160">
        <v>0.187</v>
      </c>
      <c r="E58" s="160">
        <v>0.20100000000000001</v>
      </c>
      <c r="F58" s="14">
        <f>D58/E58</f>
        <v>0.93034825870646765</v>
      </c>
      <c r="G58" s="160">
        <v>0.156</v>
      </c>
      <c r="H58" s="14">
        <f t="shared" si="4"/>
        <v>1.2884615384615385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33</v>
      </c>
      <c r="D59" s="160">
        <v>0.11899999999999999</v>
      </c>
      <c r="E59" s="160">
        <v>0.124</v>
      </c>
      <c r="F59" s="14">
        <f>D59/E59</f>
        <v>0.95967741935483863</v>
      </c>
      <c r="G59" s="160">
        <v>0.123</v>
      </c>
      <c r="H59" s="14">
        <f t="shared" si="4"/>
        <v>1.0081300813008129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34</v>
      </c>
      <c r="D60" s="160">
        <v>9.4E-2</v>
      </c>
      <c r="E60" s="160">
        <v>9.5000000000000001E-2</v>
      </c>
      <c r="F60" s="14">
        <f t="shared" ref="F60:F63" si="6">D60/E60</f>
        <v>0.98947368421052628</v>
      </c>
      <c r="G60" s="160">
        <v>0.11600000000000001</v>
      </c>
      <c r="H60" s="14">
        <f t="shared" si="4"/>
        <v>0.81896551724137923</v>
      </c>
      <c r="I60" s="223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35</v>
      </c>
      <c r="D61" s="160">
        <v>2.7E-2</v>
      </c>
      <c r="E61" s="160">
        <v>2.3E-2</v>
      </c>
      <c r="F61" s="14">
        <f t="shared" si="6"/>
        <v>1.173913043478261</v>
      </c>
      <c r="G61" s="160">
        <v>3.2000000000000001E-2</v>
      </c>
      <c r="H61" s="14">
        <f t="shared" si="4"/>
        <v>0.71875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36</v>
      </c>
      <c r="D62" s="160">
        <v>1.4999999999999999E-2</v>
      </c>
      <c r="E62" s="160">
        <v>1.4999999999999999E-2</v>
      </c>
      <c r="F62" s="14">
        <f t="shared" si="6"/>
        <v>1</v>
      </c>
      <c r="G62" s="160">
        <v>1.9E-2</v>
      </c>
      <c r="H62" s="14">
        <f t="shared" si="4"/>
        <v>0.78947368421052633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37</v>
      </c>
      <c r="D63" s="160">
        <v>6.9000000000000006E-2</v>
      </c>
      <c r="E63" s="160">
        <v>6.4000000000000001E-2</v>
      </c>
      <c r="F63" s="14">
        <f t="shared" si="6"/>
        <v>1.078125</v>
      </c>
      <c r="G63" s="160">
        <v>7.2999999999999995E-2</v>
      </c>
      <c r="H63" s="14">
        <f t="shared" si="4"/>
        <v>0.87671232876712335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D64" s="190"/>
      <c r="E64" s="160"/>
      <c r="F64" s="14"/>
      <c r="G64" s="190"/>
      <c r="H64" s="170"/>
      <c r="I64" s="149"/>
      <c r="J64" s="222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C65" s="156" t="s">
        <v>38</v>
      </c>
      <c r="D65" s="169"/>
      <c r="E65" s="169"/>
      <c r="F65" s="14"/>
      <c r="G65" s="190"/>
      <c r="H65" s="170"/>
      <c r="I65" s="149"/>
      <c r="J65" s="222"/>
      <c r="K65" s="239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47" t="s">
        <v>39</v>
      </c>
      <c r="D66" s="160">
        <v>0.54200000000000004</v>
      </c>
      <c r="E66" s="160">
        <v>0.442</v>
      </c>
      <c r="F66" s="14">
        <f t="shared" si="5"/>
        <v>1.2262443438914028</v>
      </c>
      <c r="G66" s="164">
        <v>0.46700000000000003</v>
      </c>
      <c r="H66" s="72">
        <f>E66/G66</f>
        <v>0.94646680942184147</v>
      </c>
      <c r="I66" s="149"/>
      <c r="J66" s="240"/>
      <c r="K66" s="241"/>
      <c r="L66" s="16"/>
      <c r="M66" s="16"/>
      <c r="N66" s="68"/>
      <c r="O66" s="16"/>
      <c r="P66" s="16"/>
      <c r="Q66" s="16"/>
      <c r="R66" s="16"/>
      <c r="S66" s="36"/>
      <c r="T66" s="380"/>
    </row>
    <row r="67" spans="2:20" x14ac:dyDescent="0.25">
      <c r="B67" s="382"/>
      <c r="C67" s="47" t="s">
        <v>40</v>
      </c>
      <c r="D67" s="160">
        <v>5.3999999999999999E-2</v>
      </c>
      <c r="E67" s="160">
        <v>4.9000000000000002E-2</v>
      </c>
      <c r="F67" s="14">
        <f t="shared" si="5"/>
        <v>1.1020408163265305</v>
      </c>
      <c r="G67" s="160">
        <v>7.1999999999999995E-2</v>
      </c>
      <c r="H67" s="72">
        <f t="shared" ref="H67:H71" si="7">E67/G67</f>
        <v>0.68055555555555558</v>
      </c>
      <c r="I67" s="149"/>
      <c r="J67" s="240"/>
      <c r="K67" s="241"/>
      <c r="L67" s="14"/>
      <c r="M67" s="16"/>
      <c r="O67" s="14"/>
      <c r="P67" s="14"/>
      <c r="Q67" s="14"/>
      <c r="R67" s="14"/>
      <c r="S67" s="15"/>
      <c r="T67" s="380"/>
    </row>
    <row r="68" spans="2:20" x14ac:dyDescent="0.25">
      <c r="B68" s="382"/>
      <c r="C68" s="47" t="s">
        <v>41</v>
      </c>
      <c r="D68" s="160">
        <v>9.5000000000000001E-2</v>
      </c>
      <c r="E68" s="160">
        <v>9.0999999999999998E-2</v>
      </c>
      <c r="F68" s="14">
        <f t="shared" si="5"/>
        <v>1.043956043956044</v>
      </c>
      <c r="G68" s="160">
        <v>0.128</v>
      </c>
      <c r="H68" s="72">
        <f t="shared" si="7"/>
        <v>0.7109375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42</v>
      </c>
      <c r="D69" s="160">
        <v>0.10199999999999999</v>
      </c>
      <c r="E69" s="160">
        <v>0.11600000000000001</v>
      </c>
      <c r="F69" s="14">
        <f t="shared" si="5"/>
        <v>0.87931034482758608</v>
      </c>
      <c r="G69" s="160">
        <v>0.13800000000000001</v>
      </c>
      <c r="H69" s="72">
        <f t="shared" si="7"/>
        <v>0.84057971014492749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43</v>
      </c>
      <c r="D70" s="160">
        <v>0.11899999999999999</v>
      </c>
      <c r="E70" s="160">
        <v>0.15</v>
      </c>
      <c r="F70" s="14">
        <f t="shared" si="5"/>
        <v>0.79333333333333333</v>
      </c>
      <c r="G70" s="160">
        <v>0.127</v>
      </c>
      <c r="H70" s="72">
        <f t="shared" si="7"/>
        <v>1.1811023622047243</v>
      </c>
      <c r="I70" s="149"/>
      <c r="J70" s="240"/>
      <c r="K70" s="241"/>
      <c r="L70" s="14"/>
      <c r="M70" s="16"/>
      <c r="O70" s="14"/>
      <c r="P70" s="14"/>
      <c r="Q70" s="14"/>
      <c r="R70" s="14"/>
      <c r="S70" s="15"/>
      <c r="T70" s="380"/>
    </row>
    <row r="71" spans="2:20" x14ac:dyDescent="0.25">
      <c r="B71" s="382"/>
      <c r="C71" s="47" t="s">
        <v>44</v>
      </c>
      <c r="D71" s="160">
        <v>8.7999999999999995E-2</v>
      </c>
      <c r="E71" s="160">
        <v>0.15</v>
      </c>
      <c r="F71" s="14">
        <f t="shared" si="5"/>
        <v>0.58666666666666667</v>
      </c>
      <c r="G71" s="160">
        <v>6.9000000000000006E-2</v>
      </c>
      <c r="H71" s="72">
        <f t="shared" si="7"/>
        <v>2.1739130434782608</v>
      </c>
      <c r="J71" s="34"/>
      <c r="K71" s="239"/>
      <c r="O71" s="14"/>
      <c r="P71" s="14"/>
      <c r="Q71" s="14"/>
      <c r="R71" s="14"/>
      <c r="S71" s="15"/>
      <c r="T71" s="380"/>
    </row>
    <row r="72" spans="2:20" x14ac:dyDescent="0.25">
      <c r="B72" s="382"/>
      <c r="D72" s="190"/>
      <c r="E72" s="190"/>
      <c r="F72" s="14"/>
      <c r="G72" s="190"/>
      <c r="H72" s="170"/>
      <c r="I72" s="149"/>
      <c r="J72" s="222"/>
      <c r="K72" s="14"/>
      <c r="O72" s="14"/>
      <c r="P72" s="14"/>
      <c r="Q72" s="14"/>
      <c r="R72" s="14"/>
      <c r="S72" s="15"/>
      <c r="T72" s="380"/>
    </row>
    <row r="73" spans="2:20" x14ac:dyDescent="0.25">
      <c r="B73" s="382"/>
      <c r="C73" s="156" t="s">
        <v>157</v>
      </c>
      <c r="D73" s="190"/>
      <c r="E73" s="190"/>
      <c r="F73" s="14"/>
      <c r="G73" s="190"/>
      <c r="H73" s="170"/>
      <c r="I73" s="149"/>
      <c r="J73" s="39"/>
      <c r="K73" s="14"/>
      <c r="L73" s="14"/>
      <c r="M73" s="14"/>
      <c r="N73" s="14"/>
      <c r="O73" s="14"/>
      <c r="P73" s="14"/>
      <c r="Q73" s="14"/>
      <c r="R73" s="14"/>
      <c r="S73" s="15"/>
      <c r="T73" s="380"/>
    </row>
    <row r="74" spans="2:20" x14ac:dyDescent="0.25">
      <c r="B74" s="382"/>
      <c r="C74" s="47" t="s">
        <v>39</v>
      </c>
      <c r="D74" s="160">
        <v>0.30499999999999999</v>
      </c>
      <c r="E74" s="160">
        <v>0.126</v>
      </c>
      <c r="F74" s="14">
        <f t="shared" si="5"/>
        <v>2.4206349206349205</v>
      </c>
      <c r="G74" s="163">
        <v>0.26100000000000001</v>
      </c>
      <c r="H74" s="72">
        <f>E74/G74</f>
        <v>0.48275862068965514</v>
      </c>
      <c r="I74" s="149"/>
      <c r="J74" s="38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25">
      <c r="B75" s="382"/>
      <c r="C75" s="47" t="s">
        <v>40</v>
      </c>
      <c r="D75" s="160">
        <v>6.5000000000000002E-2</v>
      </c>
      <c r="E75" s="160">
        <v>5.7000000000000002E-2</v>
      </c>
      <c r="F75" s="14">
        <f t="shared" si="5"/>
        <v>1.1403508771929824</v>
      </c>
      <c r="G75" s="163">
        <v>0.13700000000000001</v>
      </c>
      <c r="H75" s="72">
        <f t="shared" ref="H75:H79" si="8">E75/G75</f>
        <v>0.41605839416058393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25">
      <c r="B76" s="382"/>
      <c r="C76" s="47" t="s">
        <v>41</v>
      </c>
      <c r="D76" s="160">
        <v>0.128</v>
      </c>
      <c r="E76" s="160">
        <v>0.129</v>
      </c>
      <c r="F76" s="14">
        <f t="shared" si="5"/>
        <v>0.99224806201550386</v>
      </c>
      <c r="G76" s="163">
        <v>0.216</v>
      </c>
      <c r="H76" s="72">
        <f t="shared" si="8"/>
        <v>0.59722222222222221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x14ac:dyDescent="0.25">
      <c r="B77" s="382"/>
      <c r="C77" s="47" t="s">
        <v>42</v>
      </c>
      <c r="D77" s="160">
        <v>0.152</v>
      </c>
      <c r="E77" s="160">
        <v>0.16700000000000001</v>
      </c>
      <c r="F77" s="14">
        <f t="shared" si="5"/>
        <v>0.91017964071856283</v>
      </c>
      <c r="G77" s="163">
        <v>0.184</v>
      </c>
      <c r="H77" s="72">
        <f t="shared" si="8"/>
        <v>0.90760869565217395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x14ac:dyDescent="0.25">
      <c r="B78" s="382"/>
      <c r="C78" s="47" t="s">
        <v>43</v>
      </c>
      <c r="D78" s="160">
        <v>0.187</v>
      </c>
      <c r="E78" s="160">
        <v>0.23699999999999999</v>
      </c>
      <c r="F78" s="14">
        <f t="shared" si="5"/>
        <v>0.78902953586497893</v>
      </c>
      <c r="G78" s="163">
        <v>0.13600000000000001</v>
      </c>
      <c r="H78" s="72">
        <f t="shared" si="8"/>
        <v>1.7426470588235292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ht="15.75" thickBot="1" x14ac:dyDescent="0.3">
      <c r="B79" s="383"/>
      <c r="C79" s="47" t="s">
        <v>44</v>
      </c>
      <c r="D79" s="160">
        <v>0.16200000000000001</v>
      </c>
      <c r="E79" s="160">
        <v>0.28399999999999997</v>
      </c>
      <c r="F79" s="14">
        <f t="shared" si="5"/>
        <v>0.57042253521126762</v>
      </c>
      <c r="G79" s="163">
        <v>6.6000000000000003E-2</v>
      </c>
      <c r="H79" s="72">
        <f t="shared" si="8"/>
        <v>4.3030303030303028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5"/>
      <c r="T79" s="380"/>
    </row>
    <row r="80" spans="2:20" ht="15.75" thickBot="1" x14ac:dyDescent="0.3">
      <c r="B80" s="60"/>
      <c r="C80" s="45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26"/>
      <c r="T80" s="27"/>
    </row>
    <row r="81" spans="2:23" x14ac:dyDescent="0.25">
      <c r="B81" s="373" t="s">
        <v>45</v>
      </c>
      <c r="C81" s="5"/>
      <c r="D81" s="385" t="s">
        <v>46</v>
      </c>
      <c r="E81" s="385"/>
      <c r="F81" s="385" t="s">
        <v>47</v>
      </c>
      <c r="G81" s="385"/>
      <c r="H81" s="42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7"/>
      <c r="T81" s="386" t="s">
        <v>48</v>
      </c>
    </row>
    <row r="82" spans="2:23" x14ac:dyDescent="0.25">
      <c r="B82" s="374"/>
      <c r="C82" s="1"/>
      <c r="D82" s="40" t="s">
        <v>49</v>
      </c>
      <c r="E82" s="40" t="s">
        <v>50</v>
      </c>
      <c r="F82" s="40" t="s">
        <v>49</v>
      </c>
      <c r="G82" s="40" t="s">
        <v>50</v>
      </c>
      <c r="H82" s="41" t="s">
        <v>51</v>
      </c>
      <c r="I82" s="96" t="s">
        <v>52</v>
      </c>
      <c r="J82" s="97"/>
      <c r="K82" s="97"/>
      <c r="L82" s="97"/>
      <c r="M82" s="97"/>
      <c r="N82" s="97"/>
      <c r="O82" s="97"/>
      <c r="P82" s="97"/>
      <c r="Q82" s="97"/>
      <c r="R82" s="97"/>
      <c r="S82" s="99"/>
      <c r="T82" s="387"/>
    </row>
    <row r="83" spans="2:23" x14ac:dyDescent="0.25">
      <c r="B83" s="374"/>
      <c r="C83" s="2" t="s">
        <v>53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4"/>
      <c r="T83" s="387"/>
    </row>
    <row r="84" spans="2:23" x14ac:dyDescent="0.25">
      <c r="B84" s="374"/>
      <c r="C84" s="1" t="s">
        <v>54</v>
      </c>
      <c r="D84" s="167">
        <v>3668196</v>
      </c>
      <c r="E84" s="163">
        <f>D84/D86</f>
        <v>0.66080536484757346</v>
      </c>
      <c r="F84" s="168">
        <v>225537</v>
      </c>
      <c r="G84" s="160">
        <f>F84/$F$86</f>
        <v>0.58293809463500623</v>
      </c>
      <c r="H84" s="161">
        <f>G84/E84</f>
        <v>0.88216307803353156</v>
      </c>
      <c r="I84" s="191">
        <f>F84/D84</f>
        <v>6.1484446305486405E-2</v>
      </c>
      <c r="J84" s="39"/>
      <c r="K84" s="39"/>
      <c r="L84" s="14"/>
      <c r="M84" s="14"/>
      <c r="N84" s="14"/>
      <c r="O84" s="14"/>
      <c r="P84" s="14"/>
      <c r="Q84" s="14"/>
      <c r="R84" s="14"/>
      <c r="S84" s="82"/>
      <c r="T84" s="387"/>
    </row>
    <row r="85" spans="2:23" x14ac:dyDescent="0.25">
      <c r="B85" s="374"/>
      <c r="C85" s="1" t="s">
        <v>55</v>
      </c>
      <c r="D85" s="167">
        <f>SUM(D89:D95)</f>
        <v>1882903</v>
      </c>
      <c r="E85" s="163">
        <f>D85/D86</f>
        <v>0.33919463515242659</v>
      </c>
      <c r="F85" s="168">
        <f>SUM(F89:F95)</f>
        <v>161360</v>
      </c>
      <c r="G85" s="160">
        <f>F85/$F$86</f>
        <v>0.41706190536499377</v>
      </c>
      <c r="H85" s="161">
        <f>G85/E85</f>
        <v>1.2295651585927216</v>
      </c>
      <c r="I85" s="191">
        <f t="shared" ref="I85:I94" si="9">F85/D85</f>
        <v>8.5697457596063106E-2</v>
      </c>
      <c r="J85" s="39"/>
      <c r="K85" s="39"/>
      <c r="L85" s="252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 t="s">
        <v>53</v>
      </c>
      <c r="D86" s="167">
        <f>SUM(D84:D85)</f>
        <v>5551099</v>
      </c>
      <c r="E86" s="192"/>
      <c r="F86" s="168">
        <f>SUM(F84:F85)</f>
        <v>386897</v>
      </c>
      <c r="G86" s="169"/>
      <c r="H86" s="161"/>
      <c r="I86" s="191">
        <f t="shared" si="9"/>
        <v>6.9697369836135156E-2</v>
      </c>
      <c r="J86" s="39"/>
      <c r="K86" s="39"/>
      <c r="L86" s="14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"/>
      <c r="D87" s="192"/>
      <c r="E87" s="192"/>
      <c r="F87" s="171"/>
      <c r="G87" s="169"/>
      <c r="H87" s="161"/>
      <c r="I87" s="191"/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2" t="s">
        <v>56</v>
      </c>
      <c r="D88" s="192"/>
      <c r="E88" s="192"/>
      <c r="F88" s="169"/>
      <c r="G88" s="169"/>
      <c r="H88" s="161"/>
      <c r="I88" s="191"/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25">
      <c r="B89" s="374"/>
      <c r="C89" s="1" t="s">
        <v>57</v>
      </c>
      <c r="D89" s="167">
        <v>668890</v>
      </c>
      <c r="E89" s="163">
        <f>D89/$D$85</f>
        <v>0.35524400354134017</v>
      </c>
      <c r="F89" s="168">
        <v>61264</v>
      </c>
      <c r="G89" s="160">
        <f>F89/$F$85</f>
        <v>0.37967278135845317</v>
      </c>
      <c r="H89" s="161">
        <f t="shared" ref="H89:H95" si="10">G89/E89</f>
        <v>1.0687661933025991</v>
      </c>
      <c r="I89" s="191">
        <f t="shared" si="9"/>
        <v>9.1590545530655265E-2</v>
      </c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25">
      <c r="B90" s="374"/>
      <c r="C90" s="1" t="s">
        <v>58</v>
      </c>
      <c r="D90" s="167">
        <v>232957</v>
      </c>
      <c r="E90" s="163">
        <f t="shared" ref="E90:E95" si="11">D90/$D$85</f>
        <v>0.1237222522880892</v>
      </c>
      <c r="F90" s="168">
        <v>29561</v>
      </c>
      <c r="G90" s="160">
        <f t="shared" ref="G90:G92" si="12">F90/$F$85</f>
        <v>0.183199058006941</v>
      </c>
      <c r="H90" s="161">
        <f t="shared" si="10"/>
        <v>1.4807284430965508</v>
      </c>
      <c r="I90" s="191">
        <f t="shared" si="9"/>
        <v>0.1268946629635512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25">
      <c r="B91" s="374"/>
      <c r="C91" s="1" t="s">
        <v>59</v>
      </c>
      <c r="D91" s="167">
        <v>207582</v>
      </c>
      <c r="E91" s="163">
        <f t="shared" si="11"/>
        <v>0.11024572163303155</v>
      </c>
      <c r="F91" s="168">
        <v>26458</v>
      </c>
      <c r="G91" s="160">
        <f t="shared" si="12"/>
        <v>0.16396876549330688</v>
      </c>
      <c r="H91" s="161">
        <f t="shared" si="10"/>
        <v>1.4873027548325193</v>
      </c>
      <c r="I91" s="191">
        <f t="shared" si="9"/>
        <v>0.12745806476476765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25">
      <c r="B92" s="374"/>
      <c r="C92" s="172" t="s">
        <v>60</v>
      </c>
      <c r="D92" s="168">
        <v>627326</v>
      </c>
      <c r="E92" s="163">
        <f t="shared" si="11"/>
        <v>0.33316957910205675</v>
      </c>
      <c r="F92" s="174">
        <v>31507</v>
      </c>
      <c r="G92" s="160">
        <f t="shared" si="12"/>
        <v>0.1952590480912246</v>
      </c>
      <c r="H92" s="161">
        <f t="shared" si="10"/>
        <v>0.58606505617192828</v>
      </c>
      <c r="I92" s="191">
        <f t="shared" si="9"/>
        <v>5.0224285299828163E-2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 x14ac:dyDescent="0.25">
      <c r="B93" s="374"/>
      <c r="C93" s="1" t="s">
        <v>61</v>
      </c>
      <c r="D93" s="167">
        <v>21265</v>
      </c>
      <c r="E93" s="163">
        <f t="shared" si="11"/>
        <v>1.129373101004141E-2</v>
      </c>
      <c r="F93" s="168">
        <v>614</v>
      </c>
      <c r="G93" s="160">
        <f>F93/$F$85</f>
        <v>3.8051561725334655E-3</v>
      </c>
      <c r="H93" s="161">
        <f t="shared" si="10"/>
        <v>0.33692640360836018</v>
      </c>
      <c r="I93" s="191">
        <f>F93/D93</f>
        <v>2.887373618622149E-2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</row>
    <row r="94" spans="2:23" x14ac:dyDescent="0.25">
      <c r="B94" s="374"/>
      <c r="C94" s="1" t="s">
        <v>62</v>
      </c>
      <c r="D94" s="167">
        <v>93058</v>
      </c>
      <c r="E94" s="163">
        <f t="shared" si="11"/>
        <v>4.9422620283678977E-2</v>
      </c>
      <c r="F94" s="168">
        <v>7848</v>
      </c>
      <c r="G94" s="160">
        <f>F94/$F$85</f>
        <v>4.8636588993554782E-2</v>
      </c>
      <c r="H94" s="161">
        <f t="shared" si="10"/>
        <v>0.98409571800093798</v>
      </c>
      <c r="I94" s="191">
        <f t="shared" si="9"/>
        <v>8.4334501063852652E-2</v>
      </c>
      <c r="J94" s="39"/>
      <c r="K94" s="39"/>
      <c r="L94" s="14"/>
      <c r="M94" s="14"/>
      <c r="N94" s="14"/>
      <c r="O94" s="14"/>
      <c r="P94" s="14"/>
      <c r="Q94" s="14"/>
      <c r="R94" s="14"/>
      <c r="S94" s="82"/>
      <c r="T94" s="387"/>
      <c r="W94" s="13"/>
    </row>
    <row r="95" spans="2:23" ht="15.75" thickBot="1" x14ac:dyDescent="0.3">
      <c r="B95" s="375"/>
      <c r="C95" s="9" t="s">
        <v>63</v>
      </c>
      <c r="D95" s="175">
        <v>31825</v>
      </c>
      <c r="E95" s="179">
        <f t="shared" si="11"/>
        <v>1.690209214176195E-2</v>
      </c>
      <c r="F95" s="177">
        <v>4108</v>
      </c>
      <c r="G95" s="176">
        <f>F95/$F$85</f>
        <v>2.5458601883986118E-2</v>
      </c>
      <c r="H95" s="178">
        <f t="shared" si="10"/>
        <v>1.5062396814819516</v>
      </c>
      <c r="I95" s="198">
        <f>F95/D95</f>
        <v>0.12908091123330714</v>
      </c>
      <c r="J95" s="100"/>
      <c r="K95" s="100"/>
      <c r="L95" s="18"/>
      <c r="M95" s="18"/>
      <c r="N95" s="18"/>
      <c r="O95" s="18"/>
      <c r="P95" s="18"/>
      <c r="Q95" s="18"/>
      <c r="R95" s="18"/>
      <c r="S95" s="83"/>
      <c r="T95" s="388"/>
    </row>
    <row r="96" spans="2:23" ht="15.75" thickBot="1" x14ac:dyDescent="0.3">
      <c r="C96" s="1"/>
      <c r="D96" s="8"/>
      <c r="S96" s="4"/>
      <c r="T96" s="28"/>
    </row>
    <row r="97" spans="2:23" x14ac:dyDescent="0.25">
      <c r="B97" s="373" t="s">
        <v>64</v>
      </c>
      <c r="C97" s="21" t="s">
        <v>65</v>
      </c>
      <c r="D97" s="23" t="s">
        <v>66</v>
      </c>
      <c r="E97" s="48" t="s">
        <v>67</v>
      </c>
      <c r="F97" s="48" t="s">
        <v>68</v>
      </c>
      <c r="G97" s="48" t="s">
        <v>51</v>
      </c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7"/>
      <c r="T97" s="373" t="s">
        <v>19</v>
      </c>
    </row>
    <row r="98" spans="2:23" x14ac:dyDescent="0.25">
      <c r="B98" s="374"/>
      <c r="C98" s="1" t="s">
        <v>69</v>
      </c>
      <c r="D98" s="168">
        <v>121272</v>
      </c>
      <c r="E98" s="180">
        <v>1233875</v>
      </c>
      <c r="F98" s="68"/>
      <c r="I98" s="8"/>
      <c r="S98" s="4"/>
      <c r="T98" s="374"/>
    </row>
    <row r="99" spans="2:23" x14ac:dyDescent="0.25">
      <c r="B99" s="374"/>
      <c r="C99" s="1" t="s">
        <v>70</v>
      </c>
      <c r="D99" s="160">
        <f>D98/H40</f>
        <v>0.74042054362956988</v>
      </c>
      <c r="E99" s="261">
        <v>0.31319999999999998</v>
      </c>
      <c r="F99" s="68"/>
      <c r="I99" s="8"/>
      <c r="S99" s="4"/>
      <c r="T99" s="374"/>
    </row>
    <row r="100" spans="2:23" x14ac:dyDescent="0.25">
      <c r="B100" s="374"/>
      <c r="C100" s="1"/>
      <c r="D100" s="199"/>
      <c r="E100" s="200"/>
      <c r="F100" s="14"/>
      <c r="I100" s="8"/>
      <c r="S100" s="4"/>
      <c r="T100" s="374"/>
      <c r="W100" s="8"/>
    </row>
    <row r="101" spans="2:23" ht="14.45" customHeight="1" x14ac:dyDescent="0.25">
      <c r="B101" s="374"/>
      <c r="C101" s="1" t="s">
        <v>71</v>
      </c>
      <c r="D101" s="168">
        <v>386893</v>
      </c>
      <c r="E101" s="183">
        <v>2848087</v>
      </c>
      <c r="F101" s="68"/>
      <c r="I101" s="8"/>
      <c r="S101" s="4"/>
      <c r="T101" s="374"/>
      <c r="U101" s="24"/>
      <c r="W101" s="14"/>
    </row>
    <row r="102" spans="2:23" x14ac:dyDescent="0.25">
      <c r="B102" s="374"/>
      <c r="C102" s="1" t="s">
        <v>72</v>
      </c>
      <c r="D102" s="184">
        <f>D101/D98</f>
        <v>3.1902912461244144</v>
      </c>
      <c r="E102" s="161">
        <f>E101/E98</f>
        <v>2.3082459730523754</v>
      </c>
      <c r="F102" s="14"/>
      <c r="I102" s="8"/>
      <c r="S102" s="4"/>
      <c r="T102" s="374"/>
    </row>
    <row r="103" spans="2:23" x14ac:dyDescent="0.25">
      <c r="B103" s="374"/>
      <c r="C103" s="1"/>
      <c r="D103" s="202"/>
      <c r="E103" s="169"/>
      <c r="F103" s="14"/>
      <c r="I103" s="8"/>
      <c r="S103" s="4"/>
      <c r="T103" s="374"/>
      <c r="W103" s="8"/>
    </row>
    <row r="104" spans="2:23" x14ac:dyDescent="0.25">
      <c r="B104" s="374"/>
      <c r="C104" s="1" t="s">
        <v>73</v>
      </c>
      <c r="D104" s="168">
        <v>206174</v>
      </c>
      <c r="E104" s="183">
        <v>1924467</v>
      </c>
      <c r="F104" s="14"/>
      <c r="I104" s="8"/>
      <c r="S104" s="4"/>
      <c r="T104" s="374"/>
      <c r="W104" s="14"/>
    </row>
    <row r="105" spans="2:23" x14ac:dyDescent="0.25">
      <c r="B105" s="374"/>
      <c r="C105" s="1" t="s">
        <v>74</v>
      </c>
      <c r="D105" s="184">
        <f>D104/D98</f>
        <v>1.7000956527475428</v>
      </c>
      <c r="E105" s="165">
        <f>E104/E98</f>
        <v>1.5596936480599737</v>
      </c>
      <c r="F105" s="14"/>
      <c r="S105" s="4"/>
      <c r="T105" s="374"/>
    </row>
    <row r="106" spans="2:23" ht="15.75" thickBot="1" x14ac:dyDescent="0.3">
      <c r="B106" s="375"/>
      <c r="C106" s="9" t="s">
        <v>75</v>
      </c>
      <c r="D106" s="185">
        <f>D101/D104</f>
        <v>1.8765363236877588</v>
      </c>
      <c r="E106" s="186">
        <f>E101/E104</f>
        <v>1.4799354834351537</v>
      </c>
      <c r="F106" s="18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11"/>
      <c r="T106" s="375"/>
    </row>
    <row r="107" spans="2:23" x14ac:dyDescent="0.25">
      <c r="D107" s="37"/>
      <c r="E107" s="22"/>
      <c r="F107" s="14"/>
    </row>
    <row r="108" spans="2:23" s="35" customFormat="1" x14ac:dyDescent="0.25">
      <c r="B108" s="47"/>
      <c r="C108" s="78"/>
      <c r="D108" s="8"/>
      <c r="E108" s="13"/>
    </row>
    <row r="109" spans="2:23" s="35" customFormat="1" x14ac:dyDescent="0.25">
      <c r="B109" s="47"/>
      <c r="C109" s="78"/>
      <c r="D109" s="8"/>
      <c r="E109" s="34"/>
    </row>
    <row r="110" spans="2:23" s="35" customFormat="1" x14ac:dyDescent="0.25">
      <c r="B110" s="47"/>
      <c r="C110" s="78"/>
      <c r="D110" s="8"/>
      <c r="E110" s="34"/>
    </row>
    <row r="111" spans="2:23" s="35" customFormat="1" x14ac:dyDescent="0.25">
      <c r="B111" s="47"/>
      <c r="C111" s="78"/>
      <c r="D111" s="262"/>
      <c r="E111" s="34"/>
    </row>
    <row r="112" spans="2:23" s="35" customFormat="1" x14ac:dyDescent="0.25">
      <c r="B112" s="47"/>
      <c r="C112" s="78"/>
      <c r="D112" s="8"/>
      <c r="E112" s="78"/>
    </row>
    <row r="113" spans="2:5" s="35" customFormat="1" x14ac:dyDescent="0.25">
      <c r="B113" s="47"/>
      <c r="C113" s="78"/>
      <c r="D113" s="8"/>
      <c r="E113" s="34"/>
    </row>
  </sheetData>
  <mergeCells count="15">
    <mergeCell ref="C2:S2"/>
    <mergeCell ref="D3:J3"/>
    <mergeCell ref="K3:M3"/>
    <mergeCell ref="N3:P3"/>
    <mergeCell ref="Q3:S3"/>
    <mergeCell ref="B97:B106"/>
    <mergeCell ref="T97:T106"/>
    <mergeCell ref="B4:B41"/>
    <mergeCell ref="B43:B79"/>
    <mergeCell ref="T43:T79"/>
    <mergeCell ref="B81:B95"/>
    <mergeCell ref="D81:E81"/>
    <mergeCell ref="F81:G81"/>
    <mergeCell ref="T81:T95"/>
    <mergeCell ref="T3:T4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AF71-A7ED-4913-8FDE-FAB479116148}">
  <sheetPr>
    <tabColor theme="9"/>
  </sheetPr>
  <dimension ref="A1:W114"/>
  <sheetViews>
    <sheetView topLeftCell="J9" workbookViewId="0">
      <selection activeCell="F35" sqref="F35"/>
    </sheetView>
  </sheetViews>
  <sheetFormatPr defaultColWidth="8.85546875" defaultRowHeight="15" x14ac:dyDescent="0.25"/>
  <cols>
    <col min="1" max="1" width="8.85546875" style="3"/>
    <col min="2" max="2" width="9.7109375" style="47" bestFit="1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20.28515625" style="3" bestFit="1" customWidth="1"/>
    <col min="7" max="7" width="10.85546875" style="3" bestFit="1" customWidth="1"/>
    <col min="8" max="8" width="14.28515625" style="3" bestFit="1" customWidth="1"/>
    <col min="9" max="18" width="13.28515625" style="3" customWidth="1"/>
    <col min="19" max="19" width="12" style="3" bestFit="1" customWidth="1"/>
    <col min="20" max="20" width="14.28515625" style="47" customWidth="1"/>
    <col min="21" max="16384" width="8.85546875" style="3"/>
  </cols>
  <sheetData>
    <row r="1" spans="1:22" ht="15.75" thickBot="1" x14ac:dyDescent="0.3">
      <c r="A1" s="8"/>
      <c r="B1" s="155"/>
    </row>
    <row r="2" spans="1:22" ht="15.75" thickBot="1" x14ac:dyDescent="0.3">
      <c r="A2" s="149"/>
      <c r="B2" s="154"/>
      <c r="C2" s="396" t="s">
        <v>164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8"/>
      <c r="T2" s="46" t="s">
        <v>1</v>
      </c>
    </row>
    <row r="3" spans="1:22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399" t="s">
        <v>129</v>
      </c>
      <c r="O3" s="399"/>
      <c r="P3" s="400"/>
      <c r="Q3" s="393" t="s">
        <v>133</v>
      </c>
      <c r="R3" s="385"/>
      <c r="S3" s="395"/>
      <c r="T3" s="373" t="s">
        <v>10</v>
      </c>
    </row>
    <row r="4" spans="1:22" x14ac:dyDescent="0.25">
      <c r="B4" s="389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114" t="s">
        <v>5</v>
      </c>
      <c r="O4" s="62" t="s">
        <v>115</v>
      </c>
      <c r="P4" s="91" t="s">
        <v>130</v>
      </c>
      <c r="Q4" s="114" t="s">
        <v>5</v>
      </c>
      <c r="R4" s="114" t="s">
        <v>115</v>
      </c>
      <c r="S4" s="115" t="s">
        <v>130</v>
      </c>
      <c r="T4" s="374"/>
    </row>
    <row r="5" spans="1:22" x14ac:dyDescent="0.25">
      <c r="B5" s="390"/>
      <c r="C5" s="233" t="s">
        <v>11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52" t="s">
        <v>12</v>
      </c>
      <c r="O5" s="52" t="s">
        <v>12</v>
      </c>
      <c r="P5" s="249" t="s">
        <v>12</v>
      </c>
      <c r="Q5" s="52" t="s">
        <v>12</v>
      </c>
      <c r="R5" s="52" t="s">
        <v>12</v>
      </c>
      <c r="S5" s="54" t="s">
        <v>12</v>
      </c>
      <c r="T5" s="374"/>
    </row>
    <row r="6" spans="1:22" x14ac:dyDescent="0.25">
      <c r="B6" s="390"/>
      <c r="C6" s="233" t="s">
        <v>77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52" t="s">
        <v>12</v>
      </c>
      <c r="O6" s="52" t="s">
        <v>12</v>
      </c>
      <c r="P6" s="249" t="s">
        <v>12</v>
      </c>
      <c r="Q6" s="52" t="s">
        <v>12</v>
      </c>
      <c r="R6" s="52" t="s">
        <v>12</v>
      </c>
      <c r="S6" s="54" t="s">
        <v>12</v>
      </c>
      <c r="T6" s="374"/>
      <c r="U6" s="39"/>
      <c r="V6" s="39"/>
    </row>
    <row r="7" spans="1:22" x14ac:dyDescent="0.25">
      <c r="B7" s="390"/>
      <c r="C7" s="233" t="s">
        <v>82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52" t="s">
        <v>12</v>
      </c>
      <c r="O7" s="52" t="s">
        <v>12</v>
      </c>
      <c r="P7" s="249" t="s">
        <v>12</v>
      </c>
      <c r="Q7" s="52" t="s">
        <v>12</v>
      </c>
      <c r="R7" s="52" t="s">
        <v>12</v>
      </c>
      <c r="S7" s="54" t="s">
        <v>12</v>
      </c>
      <c r="T7" s="374"/>
      <c r="U7" s="39"/>
      <c r="V7" s="39"/>
    </row>
    <row r="8" spans="1:22" x14ac:dyDescent="0.25">
      <c r="B8" s="390"/>
      <c r="C8" s="233" t="s">
        <v>86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52" t="s">
        <v>12</v>
      </c>
      <c r="O8" s="52" t="s">
        <v>12</v>
      </c>
      <c r="P8" s="249" t="s">
        <v>12</v>
      </c>
      <c r="Q8" s="52" t="s">
        <v>12</v>
      </c>
      <c r="R8" s="52" t="s">
        <v>12</v>
      </c>
      <c r="S8" s="54" t="s">
        <v>12</v>
      </c>
      <c r="T8" s="374"/>
      <c r="U8" s="39"/>
      <c r="V8" s="39"/>
    </row>
    <row r="9" spans="1:22" x14ac:dyDescent="0.25">
      <c r="B9" s="390"/>
      <c r="C9" s="233" t="s">
        <v>90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52" t="s">
        <v>12</v>
      </c>
      <c r="O9" s="52" t="s">
        <v>12</v>
      </c>
      <c r="P9" s="249" t="s">
        <v>12</v>
      </c>
      <c r="Q9" s="52" t="s">
        <v>12</v>
      </c>
      <c r="R9" s="52" t="s">
        <v>12</v>
      </c>
      <c r="S9" s="54" t="s">
        <v>12</v>
      </c>
      <c r="T9" s="374"/>
      <c r="U9" s="39"/>
      <c r="V9" s="39"/>
    </row>
    <row r="10" spans="1:22" x14ac:dyDescent="0.25">
      <c r="B10" s="390"/>
      <c r="C10" s="233" t="s">
        <v>94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52" t="s">
        <v>12</v>
      </c>
      <c r="O10" s="52" t="s">
        <v>12</v>
      </c>
      <c r="P10" s="249" t="s">
        <v>12</v>
      </c>
      <c r="Q10" s="52" t="s">
        <v>12</v>
      </c>
      <c r="R10" s="52" t="s">
        <v>12</v>
      </c>
      <c r="S10" s="54" t="s">
        <v>12</v>
      </c>
      <c r="T10" s="374"/>
      <c r="U10" s="39"/>
      <c r="V10" s="39"/>
    </row>
    <row r="11" spans="1:22" x14ac:dyDescent="0.25">
      <c r="B11" s="390"/>
      <c r="C11" s="233" t="s">
        <v>98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52" t="s">
        <v>12</v>
      </c>
      <c r="O11" s="52" t="s">
        <v>12</v>
      </c>
      <c r="P11" s="249" t="s">
        <v>12</v>
      </c>
      <c r="Q11" s="52" t="s">
        <v>12</v>
      </c>
      <c r="R11" s="52" t="s">
        <v>12</v>
      </c>
      <c r="S11" s="54" t="s">
        <v>12</v>
      </c>
      <c r="T11" s="374"/>
      <c r="U11" s="39"/>
      <c r="V11" s="39"/>
    </row>
    <row r="12" spans="1:22" x14ac:dyDescent="0.25">
      <c r="B12" s="390"/>
      <c r="C12" s="233" t="s">
        <v>102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52" t="s">
        <v>12</v>
      </c>
      <c r="O12" s="52" t="s">
        <v>12</v>
      </c>
      <c r="P12" s="249" t="s">
        <v>12</v>
      </c>
      <c r="Q12" s="52" t="s">
        <v>12</v>
      </c>
      <c r="R12" s="52" t="s">
        <v>12</v>
      </c>
      <c r="S12" s="54" t="s">
        <v>12</v>
      </c>
      <c r="T12" s="374"/>
      <c r="U12" s="39"/>
      <c r="V12" s="39"/>
    </row>
    <row r="13" spans="1:22" x14ac:dyDescent="0.25">
      <c r="B13" s="390"/>
      <c r="C13" s="233" t="s">
        <v>106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52" t="s">
        <v>12</v>
      </c>
      <c r="O13" s="52" t="s">
        <v>12</v>
      </c>
      <c r="P13" s="249" t="s">
        <v>12</v>
      </c>
      <c r="Q13" s="52" t="s">
        <v>12</v>
      </c>
      <c r="R13" s="52" t="s">
        <v>12</v>
      </c>
      <c r="S13" s="54" t="s">
        <v>12</v>
      </c>
      <c r="T13" s="374"/>
      <c r="U13" s="39"/>
      <c r="V13" s="39"/>
    </row>
    <row r="14" spans="1:22" x14ac:dyDescent="0.25">
      <c r="B14" s="390"/>
      <c r="C14" s="233" t="s">
        <v>110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52" t="s">
        <v>12</v>
      </c>
      <c r="O14" s="52" t="s">
        <v>12</v>
      </c>
      <c r="P14" s="249" t="s">
        <v>12</v>
      </c>
      <c r="Q14" s="52" t="s">
        <v>12</v>
      </c>
      <c r="R14" s="52" t="s">
        <v>12</v>
      </c>
      <c r="S14" s="54" t="s">
        <v>12</v>
      </c>
      <c r="T14" s="374"/>
      <c r="U14" s="39"/>
      <c r="V14" s="39"/>
    </row>
    <row r="15" spans="1:22" x14ac:dyDescent="0.25">
      <c r="B15" s="390"/>
      <c r="C15" s="234" t="s">
        <v>117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52" t="s">
        <v>12</v>
      </c>
      <c r="O15" s="52" t="s">
        <v>12</v>
      </c>
      <c r="P15" s="249" t="s">
        <v>12</v>
      </c>
      <c r="Q15" s="52" t="s">
        <v>12</v>
      </c>
      <c r="R15" s="52" t="s">
        <v>12</v>
      </c>
      <c r="S15" s="54" t="s">
        <v>12</v>
      </c>
      <c r="T15" s="374"/>
      <c r="U15" s="39"/>
      <c r="V15" s="39"/>
    </row>
    <row r="16" spans="1:22" x14ac:dyDescent="0.25">
      <c r="B16" s="390"/>
      <c r="C16" s="234" t="s">
        <v>121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52" t="s">
        <v>12</v>
      </c>
      <c r="O16" s="52" t="s">
        <v>12</v>
      </c>
      <c r="P16" s="249" t="s">
        <v>12</v>
      </c>
      <c r="Q16" s="52" t="s">
        <v>12</v>
      </c>
      <c r="R16" s="52" t="s">
        <v>12</v>
      </c>
      <c r="S16" s="54" t="s">
        <v>12</v>
      </c>
      <c r="T16" s="374"/>
      <c r="U16" s="39"/>
      <c r="V16" s="39"/>
    </row>
    <row r="17" spans="1:22" x14ac:dyDescent="0.25">
      <c r="B17" s="390"/>
      <c r="C17" s="234" t="s">
        <v>125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53">
        <v>66</v>
      </c>
      <c r="O17" s="105">
        <v>0.52</v>
      </c>
      <c r="P17" s="98">
        <v>0.48</v>
      </c>
      <c r="Q17" s="52" t="s">
        <v>12</v>
      </c>
      <c r="R17" s="52" t="s">
        <v>12</v>
      </c>
      <c r="S17" s="54" t="s">
        <v>12</v>
      </c>
      <c r="T17" s="374"/>
      <c r="U17" s="39"/>
      <c r="V17" s="39"/>
    </row>
    <row r="18" spans="1:22" x14ac:dyDescent="0.25">
      <c r="B18" s="390"/>
      <c r="C18" s="234" t="s">
        <v>77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53">
        <v>1718</v>
      </c>
      <c r="O18" s="105">
        <v>0.3</v>
      </c>
      <c r="P18" s="98">
        <v>0.7</v>
      </c>
      <c r="Q18" s="52" t="s">
        <v>12</v>
      </c>
      <c r="R18" s="52" t="s">
        <v>12</v>
      </c>
      <c r="S18" s="54" t="s">
        <v>12</v>
      </c>
      <c r="T18" s="374"/>
      <c r="U18" s="39"/>
      <c r="V18" s="142"/>
    </row>
    <row r="19" spans="1:22" x14ac:dyDescent="0.25">
      <c r="A19" s="8"/>
      <c r="B19" s="390"/>
      <c r="C19" s="234" t="s">
        <v>82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6">
        <v>1168</v>
      </c>
      <c r="O19" s="147">
        <v>0.63</v>
      </c>
      <c r="P19" s="250">
        <v>0.37</v>
      </c>
      <c r="Q19" s="52" t="s">
        <v>12</v>
      </c>
      <c r="R19" s="52" t="s">
        <v>12</v>
      </c>
      <c r="S19" s="54" t="s">
        <v>12</v>
      </c>
      <c r="T19" s="374"/>
      <c r="U19" s="39"/>
      <c r="V19" s="142"/>
    </row>
    <row r="20" spans="1:22" x14ac:dyDescent="0.25">
      <c r="A20" s="8"/>
      <c r="B20" s="390"/>
      <c r="C20" s="234" t="s">
        <v>86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6">
        <v>1558</v>
      </c>
      <c r="O20" s="147">
        <v>0.7002567394094994</v>
      </c>
      <c r="P20" s="250">
        <v>0.2997432605905006</v>
      </c>
      <c r="Q20" s="89">
        <v>343</v>
      </c>
      <c r="R20" s="104">
        <v>0.94169096209912539</v>
      </c>
      <c r="S20" s="90">
        <v>5.8309037900874605E-2</v>
      </c>
      <c r="T20" s="374"/>
      <c r="U20" s="39"/>
      <c r="V20" s="142"/>
    </row>
    <row r="21" spans="1:22" x14ac:dyDescent="0.25">
      <c r="A21" s="8"/>
      <c r="B21" s="390"/>
      <c r="C21" s="234" t="s">
        <v>90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6">
        <v>2527</v>
      </c>
      <c r="O21" s="151">
        <v>0.79343094578551643</v>
      </c>
      <c r="P21" s="137">
        <v>0.20656905421448357</v>
      </c>
      <c r="Q21" s="89">
        <v>675</v>
      </c>
      <c r="R21" s="104">
        <v>0.9555555555555556</v>
      </c>
      <c r="S21" s="90">
        <v>4.4444444444444398E-2</v>
      </c>
      <c r="T21" s="374"/>
      <c r="U21" s="39"/>
      <c r="V21" s="142"/>
    </row>
    <row r="22" spans="1:22" x14ac:dyDescent="0.25">
      <c r="A22" s="8"/>
      <c r="B22" s="390"/>
      <c r="C22" s="234" t="s">
        <v>94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1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6">
        <v>1174</v>
      </c>
      <c r="O22" s="229">
        <v>0.70783645655877347</v>
      </c>
      <c r="P22" s="228">
        <v>0.29216354344122658</v>
      </c>
      <c r="Q22" s="251">
        <v>380</v>
      </c>
      <c r="R22" s="231">
        <v>0.97368421052631582</v>
      </c>
      <c r="S22" s="232">
        <v>2.6315789473684209E-2</v>
      </c>
      <c r="T22" s="374"/>
      <c r="U22" s="39"/>
      <c r="V22" s="142"/>
    </row>
    <row r="23" spans="1:22" x14ac:dyDescent="0.25">
      <c r="A23" s="8"/>
      <c r="B23" s="390"/>
      <c r="C23" s="234" t="s">
        <v>98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6">
        <v>698</v>
      </c>
      <c r="O23" s="229">
        <v>0.66332378223495703</v>
      </c>
      <c r="P23" s="228">
        <v>0.33667621776504297</v>
      </c>
      <c r="Q23" s="251">
        <v>122</v>
      </c>
      <c r="R23" s="231">
        <v>0.96721311475409832</v>
      </c>
      <c r="S23" s="232">
        <v>3.2786885245901676E-2</v>
      </c>
      <c r="T23" s="374"/>
      <c r="U23" s="39"/>
      <c r="V23" s="142"/>
    </row>
    <row r="24" spans="1:22" x14ac:dyDescent="0.25">
      <c r="A24" s="8"/>
      <c r="B24" s="390"/>
      <c r="C24" s="234" t="s">
        <v>102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1" si="3">G24/D24</f>
        <v>6.4057390020044305E-2</v>
      </c>
      <c r="K24" s="246">
        <v>8430</v>
      </c>
      <c r="L24" s="248">
        <v>0.66</v>
      </c>
      <c r="M24" s="248">
        <v>0.34</v>
      </c>
      <c r="N24" s="246">
        <v>842</v>
      </c>
      <c r="O24" s="229">
        <v>0.61</v>
      </c>
      <c r="P24" s="228">
        <v>0.39</v>
      </c>
      <c r="Q24" s="251">
        <v>79</v>
      </c>
      <c r="R24" s="231">
        <v>0.97</v>
      </c>
      <c r="S24" s="232">
        <v>0.03</v>
      </c>
      <c r="T24" s="374"/>
      <c r="U24" s="39"/>
      <c r="V24" s="142"/>
    </row>
    <row r="25" spans="1:22" x14ac:dyDescent="0.25">
      <c r="A25" s="8"/>
      <c r="B25" s="390"/>
      <c r="C25" s="234" t="s">
        <v>106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6">
        <v>1135</v>
      </c>
      <c r="O25" s="229">
        <v>0.63</v>
      </c>
      <c r="P25" s="228">
        <v>0.37</v>
      </c>
      <c r="Q25" s="251">
        <v>50</v>
      </c>
      <c r="R25" s="231">
        <v>0.92</v>
      </c>
      <c r="S25" s="232">
        <v>0.08</v>
      </c>
      <c r="T25" s="374"/>
      <c r="U25" s="39"/>
      <c r="V25" s="142"/>
    </row>
    <row r="26" spans="1:22" x14ac:dyDescent="0.25">
      <c r="A26" s="8"/>
      <c r="B26" s="390"/>
      <c r="C26" s="234" t="s">
        <v>110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6">
        <v>913</v>
      </c>
      <c r="O26" s="229">
        <v>0.61</v>
      </c>
      <c r="P26" s="228">
        <v>0.39</v>
      </c>
      <c r="Q26" s="251">
        <v>63</v>
      </c>
      <c r="R26" s="231">
        <v>0.92</v>
      </c>
      <c r="S26" s="232">
        <v>0.08</v>
      </c>
      <c r="T26" s="374"/>
      <c r="U26" s="39"/>
      <c r="V26" s="142"/>
    </row>
    <row r="27" spans="1:22" x14ac:dyDescent="0.25">
      <c r="A27" s="8"/>
      <c r="B27" s="390"/>
      <c r="C27" s="234" t="s">
        <v>117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6">
        <v>1553</v>
      </c>
      <c r="O27" s="229">
        <v>0.42</v>
      </c>
      <c r="P27" s="228">
        <v>0.57999999999999996</v>
      </c>
      <c r="Q27" s="251">
        <v>97</v>
      </c>
      <c r="R27" s="231">
        <v>0.97</v>
      </c>
      <c r="S27" s="232">
        <v>0.03</v>
      </c>
      <c r="T27" s="374"/>
      <c r="U27" s="39"/>
      <c r="V27" s="142"/>
    </row>
    <row r="28" spans="1:22" x14ac:dyDescent="0.25">
      <c r="A28" s="8"/>
      <c r="B28" s="390"/>
      <c r="C28" s="234" t="s">
        <v>121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6">
        <v>1510</v>
      </c>
      <c r="O28" s="229">
        <v>0.63</v>
      </c>
      <c r="P28" s="228">
        <v>0.37</v>
      </c>
      <c r="Q28" s="251">
        <v>63</v>
      </c>
      <c r="R28" s="231">
        <v>0.95</v>
      </c>
      <c r="S28" s="232">
        <v>0.05</v>
      </c>
      <c r="T28" s="374"/>
      <c r="U28" s="39"/>
      <c r="V28" s="142"/>
    </row>
    <row r="29" spans="1:22" x14ac:dyDescent="0.25">
      <c r="A29" s="8"/>
      <c r="B29" s="390"/>
      <c r="C29" s="234" t="s">
        <v>11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6">
        <v>1100</v>
      </c>
      <c r="O29" s="228">
        <v>0.64</v>
      </c>
      <c r="P29" s="228">
        <v>0.36</v>
      </c>
      <c r="Q29" s="251">
        <v>64</v>
      </c>
      <c r="R29" s="231">
        <v>1</v>
      </c>
      <c r="S29" s="232">
        <v>0</v>
      </c>
      <c r="T29" s="374"/>
      <c r="U29" s="39"/>
      <c r="V29" s="142"/>
    </row>
    <row r="30" spans="1:22" x14ac:dyDescent="0.25">
      <c r="A30" s="8"/>
      <c r="B30" s="390"/>
      <c r="C30" s="234" t="s">
        <v>77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0">
        <v>719</v>
      </c>
      <c r="O30" s="228">
        <v>0.57999999999999996</v>
      </c>
      <c r="P30" s="228">
        <v>0.42</v>
      </c>
      <c r="Q30" s="251">
        <v>46</v>
      </c>
      <c r="R30" s="231">
        <v>0.93</v>
      </c>
      <c r="S30" s="232">
        <v>7.0000000000000007E-2</v>
      </c>
      <c r="T30" s="374"/>
      <c r="U30" s="39"/>
      <c r="V30" s="142"/>
    </row>
    <row r="31" spans="1:22" x14ac:dyDescent="0.25">
      <c r="A31" s="8"/>
      <c r="B31" s="390"/>
      <c r="C31" s="234" t="s">
        <v>82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0">
        <v>736</v>
      </c>
      <c r="O31" s="228">
        <v>0.49</v>
      </c>
      <c r="P31" s="228">
        <v>0.51</v>
      </c>
      <c r="Q31" s="251">
        <v>32</v>
      </c>
      <c r="R31" s="231">
        <v>0.94</v>
      </c>
      <c r="S31" s="232">
        <v>0.06</v>
      </c>
      <c r="T31" s="374"/>
      <c r="U31" s="39"/>
      <c r="V31" s="142"/>
    </row>
    <row r="32" spans="1:22" x14ac:dyDescent="0.25">
      <c r="A32" s="8"/>
      <c r="B32" s="390"/>
      <c r="C32" s="234" t="s">
        <v>86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0">
        <v>2261</v>
      </c>
      <c r="O32" s="228">
        <v>0.63</v>
      </c>
      <c r="P32" s="228">
        <v>0.37</v>
      </c>
      <c r="Q32" s="251">
        <v>269</v>
      </c>
      <c r="R32" s="231">
        <v>0.75</v>
      </c>
      <c r="S32" s="232">
        <v>0.25</v>
      </c>
      <c r="T32" s="374"/>
      <c r="U32" s="39"/>
      <c r="V32" s="142"/>
    </row>
    <row r="33" spans="1:22" x14ac:dyDescent="0.25">
      <c r="A33" s="8"/>
      <c r="B33" s="390"/>
      <c r="C33" s="234" t="s">
        <v>90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0">
        <v>3018</v>
      </c>
      <c r="O33" s="228">
        <v>0.55000000000000004</v>
      </c>
      <c r="P33" s="228">
        <v>0.45</v>
      </c>
      <c r="Q33" s="251">
        <v>1021</v>
      </c>
      <c r="R33" s="231">
        <v>0.81</v>
      </c>
      <c r="S33" s="232">
        <v>0.19</v>
      </c>
      <c r="T33" s="374"/>
      <c r="U33" s="39"/>
      <c r="V33" s="142"/>
    </row>
    <row r="34" spans="1:22" x14ac:dyDescent="0.25">
      <c r="A34" s="8"/>
      <c r="B34" s="390"/>
      <c r="C34" s="234" t="s">
        <v>94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0">
        <v>1140</v>
      </c>
      <c r="O34" s="228">
        <v>0.6</v>
      </c>
      <c r="P34" s="228">
        <v>0.4</v>
      </c>
      <c r="Q34" s="251">
        <v>491</v>
      </c>
      <c r="R34" s="231">
        <v>0.8</v>
      </c>
      <c r="S34" s="232">
        <v>0.2</v>
      </c>
      <c r="T34" s="374"/>
      <c r="U34" s="39"/>
      <c r="V34" s="142"/>
    </row>
    <row r="35" spans="1:22" x14ac:dyDescent="0.25">
      <c r="A35" s="8"/>
      <c r="B35" s="390"/>
      <c r="C35" s="234" t="s">
        <v>98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0">
        <v>728</v>
      </c>
      <c r="O35" s="228">
        <v>0.51</v>
      </c>
      <c r="P35" s="228">
        <v>0.49</v>
      </c>
      <c r="Q35" s="251">
        <v>167</v>
      </c>
      <c r="R35" s="231">
        <v>0.76</v>
      </c>
      <c r="S35" s="232">
        <v>0.24</v>
      </c>
      <c r="T35" s="374"/>
      <c r="U35" s="39"/>
      <c r="V35" s="142"/>
    </row>
    <row r="36" spans="1:22" x14ac:dyDescent="0.25">
      <c r="A36" s="8"/>
      <c r="B36" s="390"/>
      <c r="C36" s="234" t="s">
        <v>102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0">
        <v>1018</v>
      </c>
      <c r="O36" s="228">
        <v>0.55000000000000004</v>
      </c>
      <c r="P36" s="228">
        <v>0.45</v>
      </c>
      <c r="Q36" s="251">
        <v>147</v>
      </c>
      <c r="R36" s="231">
        <v>0.7</v>
      </c>
      <c r="S36" s="232">
        <v>0.3</v>
      </c>
      <c r="T36" s="374"/>
      <c r="U36" s="39"/>
      <c r="V36" s="142"/>
    </row>
    <row r="37" spans="1:22" x14ac:dyDescent="0.25">
      <c r="A37" s="8"/>
      <c r="B37" s="390"/>
      <c r="C37" s="234" t="s">
        <v>106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0">
        <v>715</v>
      </c>
      <c r="O37" s="228">
        <v>0.54</v>
      </c>
      <c r="P37" s="228">
        <v>0.46</v>
      </c>
      <c r="Q37" s="251">
        <v>71</v>
      </c>
      <c r="R37" s="231">
        <v>0.73</v>
      </c>
      <c r="S37" s="232">
        <v>0.27</v>
      </c>
      <c r="T37" s="374"/>
      <c r="U37" s="39"/>
      <c r="V37" s="142"/>
    </row>
    <row r="38" spans="1:22" x14ac:dyDescent="0.25">
      <c r="A38" s="8"/>
      <c r="B38" s="390"/>
      <c r="C38" s="234" t="s">
        <v>110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0">
        <v>1585</v>
      </c>
      <c r="O38" s="228">
        <v>0.5</v>
      </c>
      <c r="P38" s="228">
        <v>0.5</v>
      </c>
      <c r="Q38" s="251">
        <v>343</v>
      </c>
      <c r="R38" s="231">
        <v>0.87</v>
      </c>
      <c r="S38" s="232">
        <v>0.13</v>
      </c>
      <c r="T38" s="374"/>
      <c r="U38" s="39"/>
      <c r="V38" s="142"/>
    </row>
    <row r="39" spans="1:22" x14ac:dyDescent="0.25">
      <c r="A39" s="8"/>
      <c r="B39" s="390"/>
      <c r="C39" s="234" t="s">
        <v>117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0">
        <v>1383</v>
      </c>
      <c r="O39" s="228">
        <v>0.54</v>
      </c>
      <c r="P39" s="228">
        <v>0.46</v>
      </c>
      <c r="Q39" s="251">
        <v>364</v>
      </c>
      <c r="R39" s="231">
        <v>0.87</v>
      </c>
      <c r="S39" s="232">
        <v>0.13</v>
      </c>
      <c r="T39" s="374"/>
      <c r="U39" s="39"/>
      <c r="V39" s="142"/>
    </row>
    <row r="40" spans="1:22" x14ac:dyDescent="0.25">
      <c r="A40" s="8"/>
      <c r="B40" s="390"/>
      <c r="C40" s="234" t="s">
        <v>121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0">
        <v>1463</v>
      </c>
      <c r="O40" s="228">
        <v>0.53</v>
      </c>
      <c r="P40" s="228">
        <v>0.47</v>
      </c>
      <c r="Q40" s="251">
        <v>143</v>
      </c>
      <c r="R40" s="231">
        <v>0.77</v>
      </c>
      <c r="S40" s="232">
        <v>0.23</v>
      </c>
      <c r="T40" s="374"/>
      <c r="U40" s="39"/>
      <c r="V40" s="142"/>
    </row>
    <row r="41" spans="1:22" x14ac:dyDescent="0.25">
      <c r="A41" s="8"/>
      <c r="B41" s="390"/>
      <c r="C41" s="234" t="s">
        <v>11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0">
        <v>1502</v>
      </c>
      <c r="O41" s="228">
        <v>0.56000000000000005</v>
      </c>
      <c r="P41" s="228">
        <v>0.44</v>
      </c>
      <c r="Q41" s="251">
        <v>100</v>
      </c>
      <c r="R41" s="231">
        <v>0.88</v>
      </c>
      <c r="S41" s="232">
        <v>0.12</v>
      </c>
      <c r="T41" s="374"/>
      <c r="U41" s="39"/>
      <c r="V41" s="142"/>
    </row>
    <row r="42" spans="1:22" ht="15.75" thickBot="1" x14ac:dyDescent="0.3">
      <c r="B42" s="391"/>
      <c r="C42" s="88" t="s">
        <v>78</v>
      </c>
      <c r="D42" s="135"/>
      <c r="E42" s="135">
        <f>SUM(E5:E41)</f>
        <v>394423</v>
      </c>
      <c r="F42" s="135">
        <f>SUM(F5:F41)</f>
        <v>272692.52</v>
      </c>
      <c r="G42" s="135">
        <f>SUM(G5:G41)</f>
        <v>223766</v>
      </c>
      <c r="H42" s="135"/>
      <c r="I42" s="136"/>
      <c r="J42" s="136"/>
      <c r="K42" s="135">
        <f>SUM(K5:K41)</f>
        <v>359783</v>
      </c>
      <c r="M42" s="136"/>
      <c r="N42" s="135">
        <f>SUM(N17:N41)</f>
        <v>32230</v>
      </c>
      <c r="O42" s="135"/>
      <c r="P42" s="136"/>
      <c r="Q42" s="113">
        <f>SUM(Q20:Q41)</f>
        <v>5130</v>
      </c>
      <c r="R42" s="93"/>
      <c r="S42" s="112"/>
      <c r="T42" s="375"/>
      <c r="U42" s="8"/>
      <c r="V42" s="142"/>
    </row>
    <row r="43" spans="1:22" ht="15.75" thickBot="1" x14ac:dyDescent="0.3">
      <c r="C43" s="45"/>
      <c r="D43" s="25"/>
      <c r="E43" s="50"/>
      <c r="F43" s="50"/>
      <c r="G43" s="50"/>
      <c r="H43" s="50"/>
      <c r="I43" s="50"/>
      <c r="J43" s="238"/>
      <c r="K43" s="50"/>
      <c r="L43" s="50"/>
      <c r="M43" s="50"/>
      <c r="N43" s="50"/>
      <c r="O43" s="50"/>
      <c r="P43" s="50"/>
      <c r="Q43" s="50"/>
      <c r="R43" s="50"/>
      <c r="S43" s="51"/>
      <c r="T43" s="27"/>
      <c r="V43" s="142"/>
    </row>
    <row r="44" spans="1:22" x14ac:dyDescent="0.25">
      <c r="B44" s="381" t="s">
        <v>13</v>
      </c>
      <c r="C44" s="94"/>
      <c r="D44" s="48" t="s">
        <v>165</v>
      </c>
      <c r="E44" s="48" t="s">
        <v>15</v>
      </c>
      <c r="F44" s="48" t="s">
        <v>166</v>
      </c>
      <c r="G44" s="48" t="s">
        <v>156</v>
      </c>
      <c r="H44" s="48" t="s">
        <v>18</v>
      </c>
      <c r="I44" s="94"/>
      <c r="J44" s="116"/>
      <c r="K44" s="116"/>
      <c r="L44" s="47"/>
      <c r="M44" s="94"/>
      <c r="N44" s="94"/>
      <c r="O44" s="94"/>
      <c r="Q44" s="94"/>
      <c r="R44" s="94"/>
      <c r="S44" s="49"/>
      <c r="T44" s="380" t="s">
        <v>19</v>
      </c>
      <c r="V44" s="142"/>
    </row>
    <row r="45" spans="1:22" x14ac:dyDescent="0.25">
      <c r="B45" s="382"/>
      <c r="C45" s="156" t="s">
        <v>20</v>
      </c>
      <c r="D45" s="47"/>
      <c r="E45" s="47"/>
      <c r="F45" s="47"/>
      <c r="G45" s="260"/>
      <c r="I45" s="154"/>
      <c r="J45" s="8"/>
      <c r="M45" s="254"/>
      <c r="O45" s="47"/>
      <c r="P45" s="47"/>
      <c r="Q45" s="47"/>
      <c r="R45" s="47"/>
      <c r="S45" s="12"/>
      <c r="T45" s="380"/>
      <c r="V45" s="8"/>
    </row>
    <row r="46" spans="1:22" x14ac:dyDescent="0.25">
      <c r="B46" s="382"/>
      <c r="C46" s="47" t="s">
        <v>21</v>
      </c>
      <c r="D46" s="160">
        <v>0.45400000000000001</v>
      </c>
      <c r="E46" s="160">
        <v>0.438</v>
      </c>
      <c r="F46" s="14">
        <f>D46/E46</f>
        <v>1.0365296803652968</v>
      </c>
      <c r="G46" s="160">
        <v>0.52500000000000002</v>
      </c>
      <c r="H46" s="14">
        <f>E46/G46</f>
        <v>0.8342857142857143</v>
      </c>
      <c r="I46" s="149"/>
      <c r="J46" s="73"/>
      <c r="K46" s="158"/>
      <c r="L46" s="158"/>
      <c r="M46" s="14"/>
      <c r="N46" s="47"/>
      <c r="O46" s="14"/>
      <c r="P46" s="14"/>
      <c r="Q46" s="14"/>
      <c r="R46" s="14"/>
      <c r="S46" s="15"/>
      <c r="T46" s="380"/>
      <c r="V46" s="8"/>
    </row>
    <row r="47" spans="1:22" x14ac:dyDescent="0.25">
      <c r="B47" s="382"/>
      <c r="C47" s="47" t="s">
        <v>22</v>
      </c>
      <c r="D47" s="160">
        <v>0.54600000000000004</v>
      </c>
      <c r="E47" s="160">
        <v>0.56200000000000006</v>
      </c>
      <c r="F47" s="14">
        <f>D47/E47</f>
        <v>0.97153024911032027</v>
      </c>
      <c r="G47" s="160">
        <v>0.47499999999999998</v>
      </c>
      <c r="H47" s="14">
        <f t="shared" ref="H47:H64" si="4">E47/G47</f>
        <v>1.1831578947368422</v>
      </c>
      <c r="I47" s="149"/>
      <c r="J47" s="73"/>
      <c r="K47" s="158"/>
      <c r="L47" s="14"/>
      <c r="M47" s="14"/>
      <c r="N47" s="14"/>
      <c r="O47" s="14"/>
      <c r="P47" s="14"/>
      <c r="Q47" s="14"/>
      <c r="R47" s="14"/>
      <c r="S47" s="15"/>
      <c r="T47" s="380"/>
    </row>
    <row r="48" spans="1:22" x14ac:dyDescent="0.25">
      <c r="B48" s="382"/>
      <c r="D48" s="190"/>
      <c r="E48" s="190"/>
      <c r="F48" s="14"/>
      <c r="G48" s="160"/>
      <c r="H48" s="170"/>
      <c r="I48" s="149"/>
      <c r="J48" s="222"/>
      <c r="K48" s="14"/>
      <c r="L48" s="14"/>
      <c r="M48" s="14"/>
      <c r="N48" s="14"/>
      <c r="O48" s="14"/>
      <c r="P48" s="14"/>
      <c r="Q48" s="14"/>
      <c r="R48" s="14"/>
      <c r="S48" s="15"/>
      <c r="T48" s="380"/>
    </row>
    <row r="49" spans="2:20" x14ac:dyDescent="0.25">
      <c r="B49" s="382"/>
      <c r="C49" s="156" t="s">
        <v>23</v>
      </c>
      <c r="D49" s="169"/>
      <c r="E49" s="169"/>
      <c r="F49" s="14"/>
      <c r="G49" s="190"/>
      <c r="H49" s="170"/>
      <c r="I49" s="149"/>
      <c r="J49" s="39"/>
      <c r="K49" s="14"/>
      <c r="L49" s="14"/>
      <c r="M49" s="14"/>
      <c r="N49" s="14"/>
      <c r="O49" s="14"/>
      <c r="P49" s="14"/>
      <c r="Q49" s="14"/>
      <c r="R49" s="14"/>
      <c r="S49" s="15"/>
      <c r="T49" s="380"/>
    </row>
    <row r="50" spans="2:20" x14ac:dyDescent="0.25">
      <c r="B50" s="382"/>
      <c r="C50" s="47" t="s">
        <v>24</v>
      </c>
      <c r="D50" s="160">
        <v>1E-3</v>
      </c>
      <c r="E50" s="160">
        <v>0</v>
      </c>
      <c r="F50" s="14" t="s">
        <v>12</v>
      </c>
      <c r="G50" s="160">
        <v>1.0999999999999999E-2</v>
      </c>
      <c r="H50" s="14" t="s">
        <v>12</v>
      </c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5"/>
      <c r="T50" s="380"/>
    </row>
    <row r="51" spans="2:20" x14ac:dyDescent="0.25">
      <c r="B51" s="382"/>
      <c r="C51" s="47" t="s">
        <v>25</v>
      </c>
      <c r="D51" s="160">
        <v>1.4E-2</v>
      </c>
      <c r="E51" s="160">
        <v>1.0999999999999999E-2</v>
      </c>
      <c r="F51" s="14">
        <f>D51/E51</f>
        <v>1.2727272727272729</v>
      </c>
      <c r="G51" s="160">
        <v>0.13500000000000001</v>
      </c>
      <c r="H51" s="14">
        <f>E51/G51</f>
        <v>8.1481481481481474E-2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5"/>
      <c r="T51" s="380"/>
    </row>
    <row r="52" spans="2:20" x14ac:dyDescent="0.25">
      <c r="B52" s="382"/>
      <c r="C52" s="47" t="s">
        <v>26</v>
      </c>
      <c r="D52" s="160">
        <v>0.47399999999999998</v>
      </c>
      <c r="E52" s="160">
        <v>0.40400000000000003</v>
      </c>
      <c r="F52" s="14">
        <f>D52/E52</f>
        <v>1.1732673267326732</v>
      </c>
      <c r="G52" s="160">
        <v>0.29399999999999998</v>
      </c>
      <c r="H52" s="14">
        <f>E52/G52</f>
        <v>1.3741496598639458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5"/>
      <c r="T52" s="380"/>
    </row>
    <row r="53" spans="2:20" x14ac:dyDescent="0.25">
      <c r="B53" s="382"/>
      <c r="C53" s="47" t="s">
        <v>27</v>
      </c>
      <c r="D53" s="160">
        <v>0.39100000000000001</v>
      </c>
      <c r="E53" s="160">
        <v>0.40699999999999997</v>
      </c>
      <c r="F53" s="14">
        <f t="shared" ref="F53:F80" si="5">D53/E53</f>
        <v>0.96068796068796081</v>
      </c>
      <c r="G53" s="160">
        <v>0.32800000000000001</v>
      </c>
      <c r="H53" s="14">
        <f t="shared" si="4"/>
        <v>1.2408536585365852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5"/>
      <c r="T53" s="380"/>
    </row>
    <row r="54" spans="2:20" x14ac:dyDescent="0.25">
      <c r="B54" s="382"/>
      <c r="C54" s="47" t="s">
        <v>28</v>
      </c>
      <c r="D54" s="160">
        <v>0.111</v>
      </c>
      <c r="E54" s="160">
        <v>0.154</v>
      </c>
      <c r="F54" s="14">
        <f t="shared" si="5"/>
        <v>0.72077922077922085</v>
      </c>
      <c r="G54" s="160">
        <v>0.16600000000000001</v>
      </c>
      <c r="H54" s="14">
        <f>E54/G54</f>
        <v>0.92771084337349397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5"/>
      <c r="T54" s="380"/>
    </row>
    <row r="55" spans="2:20" x14ac:dyDescent="0.25">
      <c r="B55" s="382"/>
      <c r="C55" s="47" t="s">
        <v>29</v>
      </c>
      <c r="D55" s="160">
        <v>0.01</v>
      </c>
      <c r="E55" s="160">
        <v>2.4E-2</v>
      </c>
      <c r="F55" s="14">
        <f t="shared" si="5"/>
        <v>0.41666666666666669</v>
      </c>
      <c r="G55" s="160">
        <v>6.5000000000000002E-2</v>
      </c>
      <c r="H55" s="14">
        <f t="shared" si="4"/>
        <v>0.36923076923076925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5"/>
      <c r="T55" s="380"/>
    </row>
    <row r="56" spans="2:20" x14ac:dyDescent="0.25">
      <c r="B56" s="382"/>
      <c r="D56" s="190"/>
      <c r="E56" s="190"/>
      <c r="F56" s="14"/>
      <c r="G56" s="190"/>
      <c r="H56" s="170"/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5"/>
      <c r="T56" s="380"/>
    </row>
    <row r="57" spans="2:20" x14ac:dyDescent="0.25">
      <c r="B57" s="382"/>
      <c r="C57" s="156" t="s">
        <v>30</v>
      </c>
      <c r="D57" s="169"/>
      <c r="E57" s="169"/>
      <c r="F57" s="14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5"/>
      <c r="T57" s="380"/>
    </row>
    <row r="58" spans="2:20" x14ac:dyDescent="0.25">
      <c r="B58" s="382"/>
      <c r="C58" s="47" t="s">
        <v>31</v>
      </c>
      <c r="D58" s="160">
        <v>0.49</v>
      </c>
      <c r="E58" s="163">
        <v>0.47699999999999998</v>
      </c>
      <c r="F58" s="14">
        <f>D58/E58</f>
        <v>1.0272536687631026</v>
      </c>
      <c r="G58" s="160">
        <v>0.47899999999999998</v>
      </c>
      <c r="H58" s="14">
        <f>E58/G58</f>
        <v>0.99582463465553239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5"/>
      <c r="T58" s="380"/>
    </row>
    <row r="59" spans="2:20" x14ac:dyDescent="0.25">
      <c r="B59" s="382"/>
      <c r="C59" s="47" t="s">
        <v>32</v>
      </c>
      <c r="D59" s="160">
        <v>0.19400000000000001</v>
      </c>
      <c r="E59" s="160">
        <v>0.2</v>
      </c>
      <c r="F59" s="14">
        <f>D59/E59</f>
        <v>0.97</v>
      </c>
      <c r="G59" s="160">
        <v>0.155</v>
      </c>
      <c r="H59" s="14">
        <f t="shared" si="4"/>
        <v>1.2903225806451615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5"/>
      <c r="T59" s="380"/>
    </row>
    <row r="60" spans="2:20" x14ac:dyDescent="0.25">
      <c r="B60" s="382"/>
      <c r="C60" s="47" t="s">
        <v>33</v>
      </c>
      <c r="D60" s="160">
        <v>0.11700000000000001</v>
      </c>
      <c r="E60" s="160">
        <v>0.124</v>
      </c>
      <c r="F60" s="14">
        <f>D60/E60</f>
        <v>0.94354838709677424</v>
      </c>
      <c r="G60" s="160">
        <v>0.124</v>
      </c>
      <c r="H60" s="14">
        <f t="shared" si="4"/>
        <v>1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5"/>
      <c r="T60" s="380"/>
    </row>
    <row r="61" spans="2:20" x14ac:dyDescent="0.25">
      <c r="B61" s="382"/>
      <c r="C61" s="47" t="s">
        <v>34</v>
      </c>
      <c r="D61" s="160">
        <v>9.5000000000000001E-2</v>
      </c>
      <c r="E61" s="160">
        <v>9.6000000000000002E-2</v>
      </c>
      <c r="F61" s="14">
        <f t="shared" ref="F61:F64" si="6">D61/E61</f>
        <v>0.98958333333333337</v>
      </c>
      <c r="G61" s="160">
        <v>0.11600000000000001</v>
      </c>
      <c r="H61" s="14">
        <f t="shared" si="4"/>
        <v>0.82758620689655171</v>
      </c>
      <c r="I61" s="223"/>
      <c r="J61" s="39"/>
      <c r="K61" s="14"/>
      <c r="L61" s="14"/>
      <c r="M61" s="14"/>
      <c r="N61" s="14"/>
      <c r="O61" s="14"/>
      <c r="P61" s="14"/>
      <c r="Q61" s="14"/>
      <c r="R61" s="14"/>
      <c r="S61" s="15"/>
      <c r="T61" s="380"/>
    </row>
    <row r="62" spans="2:20" x14ac:dyDescent="0.25">
      <c r="B62" s="382"/>
      <c r="C62" s="47" t="s">
        <v>35</v>
      </c>
      <c r="D62" s="160">
        <v>2.4E-2</v>
      </c>
      <c r="E62" s="160">
        <v>2.3E-2</v>
      </c>
      <c r="F62" s="14">
        <f t="shared" si="6"/>
        <v>1.0434782608695652</v>
      </c>
      <c r="G62" s="160">
        <v>3.2000000000000001E-2</v>
      </c>
      <c r="H62" s="14">
        <f t="shared" si="4"/>
        <v>0.71875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5"/>
      <c r="T62" s="380"/>
    </row>
    <row r="63" spans="2:20" x14ac:dyDescent="0.25">
      <c r="B63" s="382"/>
      <c r="C63" s="47" t="s">
        <v>36</v>
      </c>
      <c r="D63" s="160">
        <v>1.4E-2</v>
      </c>
      <c r="E63" s="160">
        <v>1.4999999999999999E-2</v>
      </c>
      <c r="F63" s="14">
        <f t="shared" si="6"/>
        <v>0.93333333333333335</v>
      </c>
      <c r="G63" s="160">
        <v>1.9E-2</v>
      </c>
      <c r="H63" s="14">
        <f t="shared" si="4"/>
        <v>0.78947368421052633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5"/>
      <c r="T63" s="380"/>
    </row>
    <row r="64" spans="2:20" x14ac:dyDescent="0.25">
      <c r="B64" s="382"/>
      <c r="C64" s="47" t="s">
        <v>37</v>
      </c>
      <c r="D64" s="160">
        <v>6.5000000000000002E-2</v>
      </c>
      <c r="E64" s="160">
        <v>6.5000000000000002E-2</v>
      </c>
      <c r="F64" s="14">
        <f t="shared" si="6"/>
        <v>1</v>
      </c>
      <c r="G64" s="160">
        <v>7.3999999999999996E-2</v>
      </c>
      <c r="H64" s="14">
        <f t="shared" si="4"/>
        <v>0.8783783783783784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5"/>
      <c r="T64" s="380"/>
    </row>
    <row r="65" spans="2:20" x14ac:dyDescent="0.25">
      <c r="B65" s="382"/>
      <c r="D65" s="160"/>
      <c r="E65" s="190"/>
      <c r="F65" s="14"/>
      <c r="G65" s="190"/>
      <c r="H65" s="170"/>
      <c r="I65" s="149"/>
      <c r="J65" s="222"/>
      <c r="K65" s="14"/>
      <c r="L65" s="14"/>
      <c r="M65" s="14"/>
      <c r="N65" s="14"/>
      <c r="O65" s="14"/>
      <c r="P65" s="14"/>
      <c r="Q65" s="14"/>
      <c r="R65" s="14"/>
      <c r="S65" s="15"/>
      <c r="T65" s="380"/>
    </row>
    <row r="66" spans="2:20" x14ac:dyDescent="0.25">
      <c r="B66" s="382"/>
      <c r="C66" s="156" t="s">
        <v>38</v>
      </c>
      <c r="D66" s="169"/>
      <c r="E66" s="169"/>
      <c r="F66" s="14"/>
      <c r="G66" s="190"/>
      <c r="H66" s="170"/>
      <c r="I66" s="149"/>
      <c r="J66" s="222"/>
      <c r="K66" s="239"/>
      <c r="L66" s="14"/>
      <c r="M66" s="14"/>
      <c r="N66" s="14"/>
      <c r="O66" s="14"/>
      <c r="P66" s="14"/>
      <c r="Q66" s="14"/>
      <c r="R66" s="14"/>
      <c r="S66" s="15"/>
      <c r="T66" s="380"/>
    </row>
    <row r="67" spans="2:20" x14ac:dyDescent="0.25">
      <c r="B67" s="382"/>
      <c r="C67" s="47" t="s">
        <v>39</v>
      </c>
      <c r="D67" s="160">
        <v>0.55200000000000005</v>
      </c>
      <c r="E67" s="160">
        <v>0.45</v>
      </c>
      <c r="F67" s="14">
        <f>D67/E67</f>
        <v>1.2266666666666668</v>
      </c>
      <c r="G67" s="164">
        <v>0.47399999999999998</v>
      </c>
      <c r="H67" s="72">
        <f>E67/G67</f>
        <v>0.949367088607595</v>
      </c>
      <c r="I67" s="149"/>
      <c r="J67" s="240"/>
      <c r="K67" s="241"/>
      <c r="L67" s="16"/>
      <c r="M67" s="16"/>
      <c r="N67" s="68"/>
      <c r="O67" s="16"/>
      <c r="P67" s="16"/>
      <c r="Q67" s="16"/>
      <c r="R67" s="16"/>
      <c r="S67" s="36"/>
      <c r="T67" s="380"/>
    </row>
    <row r="68" spans="2:20" x14ac:dyDescent="0.25">
      <c r="B68" s="382"/>
      <c r="C68" s="47" t="s">
        <v>40</v>
      </c>
      <c r="D68" s="160">
        <v>5.1999999999999998E-2</v>
      </c>
      <c r="E68" s="160">
        <v>4.9000000000000002E-2</v>
      </c>
      <c r="F68" s="14">
        <f>D68/E68</f>
        <v>1.0612244897959182</v>
      </c>
      <c r="G68" s="160">
        <v>7.3999999999999996E-2</v>
      </c>
      <c r="H68" s="72">
        <f>E68/G68</f>
        <v>0.66216216216216217</v>
      </c>
      <c r="I68" s="149"/>
      <c r="J68" s="240"/>
      <c r="K68" s="241"/>
      <c r="L68" s="14"/>
      <c r="M68" s="16"/>
      <c r="O68" s="14"/>
      <c r="P68" s="14"/>
      <c r="Q68" s="14"/>
      <c r="R68" s="14"/>
      <c r="S68" s="15"/>
      <c r="T68" s="380"/>
    </row>
    <row r="69" spans="2:20" x14ac:dyDescent="0.25">
      <c r="B69" s="382"/>
      <c r="C69" s="47" t="s">
        <v>41</v>
      </c>
      <c r="D69" s="160">
        <v>8.8999999999999996E-2</v>
      </c>
      <c r="E69" s="160">
        <v>9.0999999999999998E-2</v>
      </c>
      <c r="F69" s="14">
        <f>D69/E69</f>
        <v>0.97802197802197799</v>
      </c>
      <c r="G69" s="160">
        <v>0.13</v>
      </c>
      <c r="H69" s="72">
        <f>E69/G69</f>
        <v>0.7</v>
      </c>
      <c r="I69" s="149"/>
      <c r="J69" s="240"/>
      <c r="K69" s="241"/>
      <c r="L69" s="14"/>
      <c r="M69" s="16"/>
      <c r="O69" s="14"/>
      <c r="P69" s="14"/>
      <c r="Q69" s="14"/>
      <c r="R69" s="14"/>
      <c r="S69" s="15"/>
      <c r="T69" s="380"/>
    </row>
    <row r="70" spans="2:20" x14ac:dyDescent="0.25">
      <c r="B70" s="382"/>
      <c r="C70" s="47" t="s">
        <v>42</v>
      </c>
      <c r="D70" s="160">
        <v>0.109</v>
      </c>
      <c r="E70" s="160">
        <v>0.115</v>
      </c>
      <c r="F70" s="14">
        <f>D70/E70</f>
        <v>0.94782608695652171</v>
      </c>
      <c r="G70" s="160">
        <v>0.13700000000000001</v>
      </c>
      <c r="H70" s="72">
        <f>E70/G70</f>
        <v>0.83941605839416056</v>
      </c>
      <c r="I70" s="149"/>
      <c r="J70" s="240"/>
      <c r="K70" s="241"/>
      <c r="L70" s="14"/>
      <c r="M70" s="16"/>
      <c r="O70" s="14"/>
      <c r="P70" s="14"/>
      <c r="Q70" s="14"/>
      <c r="R70" s="14"/>
      <c r="S70" s="15"/>
      <c r="T70" s="380"/>
    </row>
    <row r="71" spans="2:20" x14ac:dyDescent="0.25">
      <c r="B71" s="382"/>
      <c r="C71" s="47" t="s">
        <v>43</v>
      </c>
      <c r="D71" s="160">
        <v>0.12</v>
      </c>
      <c r="E71" s="160">
        <v>0.14799999999999999</v>
      </c>
      <c r="F71" s="14">
        <f>D71/E71</f>
        <v>0.81081081081081086</v>
      </c>
      <c r="G71" s="160">
        <v>0.122</v>
      </c>
      <c r="H71" s="72">
        <f>E71/G71</f>
        <v>1.2131147540983607</v>
      </c>
      <c r="I71" s="149"/>
      <c r="J71" s="240"/>
      <c r="K71" s="241"/>
      <c r="L71" s="14"/>
      <c r="M71" s="16"/>
      <c r="O71" s="14"/>
      <c r="P71" s="14"/>
      <c r="Q71" s="14"/>
      <c r="R71" s="14"/>
      <c r="S71" s="15"/>
      <c r="T71" s="380"/>
    </row>
    <row r="72" spans="2:20" x14ac:dyDescent="0.25">
      <c r="B72" s="382"/>
      <c r="C72" s="47" t="s">
        <v>44</v>
      </c>
      <c r="D72" s="160">
        <v>7.9000000000000001E-2</v>
      </c>
      <c r="E72" s="160">
        <v>0.14699999999999999</v>
      </c>
      <c r="F72" s="14">
        <f t="shared" si="5"/>
        <v>0.5374149659863946</v>
      </c>
      <c r="G72" s="160">
        <v>6.4000000000000001E-2</v>
      </c>
      <c r="H72" s="72">
        <f t="shared" ref="H72" si="7">E72/G72</f>
        <v>2.296875</v>
      </c>
      <c r="J72" s="34"/>
      <c r="K72" s="239"/>
      <c r="O72" s="14"/>
      <c r="P72" s="14"/>
      <c r="Q72" s="14"/>
      <c r="R72" s="14"/>
      <c r="S72" s="15"/>
      <c r="T72" s="380"/>
    </row>
    <row r="73" spans="2:20" x14ac:dyDescent="0.25">
      <c r="B73" s="382"/>
      <c r="D73" s="190"/>
      <c r="E73" s="160"/>
      <c r="F73" s="14"/>
      <c r="G73" s="190"/>
      <c r="H73" s="170"/>
      <c r="I73" s="149"/>
      <c r="J73" s="222"/>
      <c r="K73" s="14"/>
      <c r="O73" s="14"/>
      <c r="P73" s="14"/>
      <c r="Q73" s="14"/>
      <c r="R73" s="14"/>
      <c r="S73" s="15"/>
      <c r="T73" s="380"/>
    </row>
    <row r="74" spans="2:20" x14ac:dyDescent="0.25">
      <c r="B74" s="382"/>
      <c r="C74" s="156" t="s">
        <v>157</v>
      </c>
      <c r="D74" s="190"/>
      <c r="E74" s="190"/>
      <c r="F74" s="14"/>
      <c r="G74" s="190"/>
      <c r="H74" s="170"/>
      <c r="I74" s="149"/>
      <c r="J74" s="39"/>
      <c r="K74" s="14"/>
      <c r="L74" s="14"/>
      <c r="M74" s="14"/>
      <c r="N74" s="14"/>
      <c r="O74" s="14"/>
      <c r="P74" s="14"/>
      <c r="Q74" s="14"/>
      <c r="R74" s="14"/>
      <c r="S74" s="15"/>
      <c r="T74" s="380"/>
    </row>
    <row r="75" spans="2:20" x14ac:dyDescent="0.25">
      <c r="B75" s="382"/>
      <c r="C75" s="47" t="s">
        <v>39</v>
      </c>
      <c r="D75" s="160">
        <v>0.32600000000000001</v>
      </c>
      <c r="E75" s="160">
        <v>0.14099999999999999</v>
      </c>
      <c r="F75" s="14">
        <f t="shared" si="5"/>
        <v>2.3120567375886529</v>
      </c>
      <c r="G75" s="163">
        <v>0.28399999999999997</v>
      </c>
      <c r="H75" s="72">
        <f>E75/G75</f>
        <v>0.49647887323943662</v>
      </c>
      <c r="I75" s="149"/>
      <c r="J75" s="38"/>
      <c r="K75" s="14"/>
      <c r="L75" s="14"/>
      <c r="M75" s="14"/>
      <c r="N75" s="14"/>
      <c r="O75" s="14"/>
      <c r="P75" s="14"/>
      <c r="Q75" s="14"/>
      <c r="R75" s="14"/>
      <c r="S75" s="15"/>
      <c r="T75" s="380"/>
    </row>
    <row r="76" spans="2:20" x14ac:dyDescent="0.25">
      <c r="B76" s="382"/>
      <c r="C76" s="47" t="s">
        <v>40</v>
      </c>
      <c r="D76" s="160">
        <v>7.2999999999999995E-2</v>
      </c>
      <c r="E76" s="160">
        <v>5.8000000000000003E-2</v>
      </c>
      <c r="F76" s="14">
        <f t="shared" si="5"/>
        <v>1.2586206896551724</v>
      </c>
      <c r="G76" s="163">
        <v>0.14099999999999999</v>
      </c>
      <c r="H76" s="72">
        <f t="shared" ref="H76:H80" si="8">E76/G76</f>
        <v>0.41134751773049649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5"/>
      <c r="T76" s="380"/>
    </row>
    <row r="77" spans="2:20" x14ac:dyDescent="0.25">
      <c r="B77" s="382"/>
      <c r="C77" s="47" t="s">
        <v>41</v>
      </c>
      <c r="D77" s="160">
        <v>0.13400000000000001</v>
      </c>
      <c r="E77" s="160">
        <v>0.129</v>
      </c>
      <c r="F77" s="14">
        <f t="shared" si="5"/>
        <v>1.0387596899224807</v>
      </c>
      <c r="G77" s="163">
        <v>0.215</v>
      </c>
      <c r="H77" s="72">
        <f t="shared" si="8"/>
        <v>0.6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5"/>
      <c r="T77" s="380"/>
    </row>
    <row r="78" spans="2:20" x14ac:dyDescent="0.25">
      <c r="B78" s="382"/>
      <c r="C78" s="47" t="s">
        <v>42</v>
      </c>
      <c r="D78" s="160">
        <v>0.152</v>
      </c>
      <c r="E78" s="160">
        <v>0.16500000000000001</v>
      </c>
      <c r="F78" s="14">
        <f t="shared" si="5"/>
        <v>0.92121212121212115</v>
      </c>
      <c r="G78" s="163">
        <v>0.17599999999999999</v>
      </c>
      <c r="H78" s="72">
        <f t="shared" si="8"/>
        <v>0.93750000000000011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5"/>
      <c r="T78" s="380"/>
    </row>
    <row r="79" spans="2:20" x14ac:dyDescent="0.25">
      <c r="B79" s="382"/>
      <c r="C79" s="47" t="s">
        <v>43</v>
      </c>
      <c r="D79" s="160">
        <v>0.17299999999999999</v>
      </c>
      <c r="E79" s="160">
        <v>0.23200000000000001</v>
      </c>
      <c r="F79" s="14">
        <f t="shared" si="5"/>
        <v>0.7456896551724137</v>
      </c>
      <c r="G79" s="163">
        <v>0.125</v>
      </c>
      <c r="H79" s="72">
        <f t="shared" si="8"/>
        <v>1.8560000000000001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5"/>
      <c r="T79" s="380"/>
    </row>
    <row r="80" spans="2:20" ht="15.75" thickBot="1" x14ac:dyDescent="0.3">
      <c r="B80" s="383"/>
      <c r="C80" s="47" t="s">
        <v>44</v>
      </c>
      <c r="D80" s="160">
        <v>0.14299999999999999</v>
      </c>
      <c r="E80" s="160">
        <v>0.27500000000000002</v>
      </c>
      <c r="F80" s="14">
        <f t="shared" si="5"/>
        <v>0.51999999999999991</v>
      </c>
      <c r="G80" s="163">
        <v>5.8999999999999997E-2</v>
      </c>
      <c r="H80" s="72">
        <f t="shared" si="8"/>
        <v>4.6610169491525433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5"/>
      <c r="T80" s="380"/>
    </row>
    <row r="81" spans="2:23" ht="15.75" thickBot="1" x14ac:dyDescent="0.3">
      <c r="B81" s="60"/>
      <c r="C81" s="45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26"/>
      <c r="T81" s="27"/>
    </row>
    <row r="82" spans="2:23" x14ac:dyDescent="0.25">
      <c r="B82" s="373" t="s">
        <v>45</v>
      </c>
      <c r="C82" s="5"/>
      <c r="D82" s="385" t="s">
        <v>46</v>
      </c>
      <c r="E82" s="385"/>
      <c r="F82" s="385" t="s">
        <v>47</v>
      </c>
      <c r="G82" s="385"/>
      <c r="H82" s="42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7"/>
      <c r="T82" s="386" t="s">
        <v>48</v>
      </c>
    </row>
    <row r="83" spans="2:23" x14ac:dyDescent="0.25">
      <c r="B83" s="374"/>
      <c r="C83" s="1"/>
      <c r="D83" s="40" t="s">
        <v>49</v>
      </c>
      <c r="E83" s="40" t="s">
        <v>50</v>
      </c>
      <c r="F83" s="40" t="s">
        <v>49</v>
      </c>
      <c r="G83" s="40" t="s">
        <v>50</v>
      </c>
      <c r="H83" s="41" t="s">
        <v>51</v>
      </c>
      <c r="I83" s="96" t="s">
        <v>52</v>
      </c>
      <c r="J83" s="97"/>
      <c r="K83" s="97"/>
      <c r="L83" s="97"/>
      <c r="M83" s="97"/>
      <c r="N83" s="97"/>
      <c r="O83" s="97"/>
      <c r="P83" s="97"/>
      <c r="Q83" s="97"/>
      <c r="R83" s="97"/>
      <c r="S83" s="99"/>
      <c r="T83" s="387"/>
    </row>
    <row r="84" spans="2:23" x14ac:dyDescent="0.25">
      <c r="B84" s="374"/>
      <c r="C84" s="2" t="s">
        <v>53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4"/>
      <c r="T84" s="387"/>
    </row>
    <row r="85" spans="2:23" x14ac:dyDescent="0.25">
      <c r="B85" s="374"/>
      <c r="C85" s="1" t="s">
        <v>54</v>
      </c>
      <c r="D85" s="167">
        <v>3527828</v>
      </c>
      <c r="E85" s="163">
        <f>D85/D87</f>
        <v>0.69603850338112061</v>
      </c>
      <c r="F85" s="168">
        <v>214735</v>
      </c>
      <c r="G85" s="160">
        <f>F85/$F$87</f>
        <v>0.64649423608999468</v>
      </c>
      <c r="H85" s="161">
        <f>G85/E85</f>
        <v>0.92881964567986319</v>
      </c>
      <c r="I85" s="191">
        <f>F85/D85</f>
        <v>6.0868897236486585E-2</v>
      </c>
      <c r="J85" s="39"/>
      <c r="K85" s="39"/>
      <c r="L85" s="14"/>
      <c r="M85" s="14"/>
      <c r="N85" s="14"/>
      <c r="O85" s="14"/>
      <c r="P85" s="14"/>
      <c r="Q85" s="14"/>
      <c r="R85" s="14"/>
      <c r="S85" s="82"/>
      <c r="T85" s="387"/>
    </row>
    <row r="86" spans="2:23" x14ac:dyDescent="0.25">
      <c r="B86" s="374"/>
      <c r="C86" s="1" t="s">
        <v>55</v>
      </c>
      <c r="D86" s="167">
        <f>SUM(D90:D96)</f>
        <v>1540610</v>
      </c>
      <c r="E86" s="163">
        <f>D86/D87</f>
        <v>0.30396149661887945</v>
      </c>
      <c r="F86" s="168">
        <f>SUM(F90:F96)</f>
        <v>117418</v>
      </c>
      <c r="G86" s="160">
        <f>F86/$F$87</f>
        <v>0.35350576391000532</v>
      </c>
      <c r="H86" s="161">
        <f>G86/E86</f>
        <v>1.1629952077556938</v>
      </c>
      <c r="I86" s="191">
        <f t="shared" ref="I86:I95" si="9">F86/D86</f>
        <v>7.6215265381894187E-2</v>
      </c>
      <c r="J86" s="39"/>
      <c r="K86" s="39"/>
      <c r="L86" s="252"/>
      <c r="M86" s="14"/>
      <c r="N86" s="14"/>
      <c r="O86" s="14"/>
      <c r="P86" s="14"/>
      <c r="Q86" s="14"/>
      <c r="R86" s="14"/>
      <c r="S86" s="82"/>
      <c r="T86" s="387"/>
    </row>
    <row r="87" spans="2:23" x14ac:dyDescent="0.25">
      <c r="B87" s="374"/>
      <c r="C87" s="1" t="s">
        <v>53</v>
      </c>
      <c r="D87" s="167">
        <f>SUM(D85:D86)</f>
        <v>5068438</v>
      </c>
      <c r="E87" s="192"/>
      <c r="F87" s="168">
        <f>SUM(F85:F86)</f>
        <v>332153</v>
      </c>
      <c r="G87" s="169"/>
      <c r="H87" s="161"/>
      <c r="I87" s="191">
        <f t="shared" si="9"/>
        <v>6.5533602265628974E-2</v>
      </c>
      <c r="J87" s="39"/>
      <c r="K87" s="39"/>
      <c r="L87" s="14"/>
      <c r="M87" s="14"/>
      <c r="N87" s="14"/>
      <c r="O87" s="14"/>
      <c r="P87" s="14"/>
      <c r="Q87" s="14"/>
      <c r="R87" s="14"/>
      <c r="S87" s="82"/>
      <c r="T87" s="387"/>
    </row>
    <row r="88" spans="2:23" x14ac:dyDescent="0.25">
      <c r="B88" s="374"/>
      <c r="C88" s="1"/>
      <c r="D88" s="192"/>
      <c r="E88" s="192"/>
      <c r="F88" s="171"/>
      <c r="G88" s="169"/>
      <c r="H88" s="161"/>
      <c r="I88" s="191"/>
      <c r="J88" s="39"/>
      <c r="K88" s="39"/>
      <c r="L88" s="14"/>
      <c r="M88" s="14"/>
      <c r="N88" s="14"/>
      <c r="O88" s="14"/>
      <c r="P88" s="14"/>
      <c r="Q88" s="14"/>
      <c r="R88" s="14"/>
      <c r="S88" s="82"/>
      <c r="T88" s="387"/>
    </row>
    <row r="89" spans="2:23" x14ac:dyDescent="0.25">
      <c r="B89" s="374"/>
      <c r="C89" s="2" t="s">
        <v>56</v>
      </c>
      <c r="D89" s="192"/>
      <c r="E89" s="192"/>
      <c r="F89" s="169"/>
      <c r="G89" s="169"/>
      <c r="H89" s="161"/>
      <c r="I89" s="191"/>
      <c r="J89" s="39"/>
      <c r="K89" s="39"/>
      <c r="L89" s="14"/>
      <c r="M89" s="14"/>
      <c r="N89" s="14"/>
      <c r="O89" s="14"/>
      <c r="P89" s="14"/>
      <c r="Q89" s="14"/>
      <c r="R89" s="14"/>
      <c r="S89" s="82"/>
      <c r="T89" s="387"/>
    </row>
    <row r="90" spans="2:23" x14ac:dyDescent="0.25">
      <c r="B90" s="374"/>
      <c r="C90" s="1" t="s">
        <v>57</v>
      </c>
      <c r="D90" s="167">
        <v>470227</v>
      </c>
      <c r="E90" s="163">
        <f>D90/$D$86</f>
        <v>0.30522130844275969</v>
      </c>
      <c r="F90" s="168">
        <v>38812</v>
      </c>
      <c r="G90" s="160">
        <f>F90/$F$86</f>
        <v>0.33054557222913011</v>
      </c>
      <c r="H90" s="161">
        <f t="shared" ref="H90:H96" si="10">G90/E90</f>
        <v>1.0829701697944187</v>
      </c>
      <c r="I90" s="191">
        <f t="shared" si="9"/>
        <v>8.2538858891556627E-2</v>
      </c>
      <c r="J90" s="39"/>
      <c r="K90" s="39"/>
      <c r="L90" s="14"/>
      <c r="M90" s="14"/>
      <c r="N90" s="14"/>
      <c r="O90" s="14"/>
      <c r="P90" s="14"/>
      <c r="Q90" s="14"/>
      <c r="R90" s="14"/>
      <c r="S90" s="82"/>
      <c r="T90" s="387"/>
    </row>
    <row r="91" spans="2:23" x14ac:dyDescent="0.25">
      <c r="B91" s="374"/>
      <c r="C91" s="1" t="s">
        <v>58</v>
      </c>
      <c r="D91" s="167">
        <v>327686</v>
      </c>
      <c r="E91" s="163">
        <f t="shared" ref="E91:E96" si="11">D91/$D$86</f>
        <v>0.21269886603358409</v>
      </c>
      <c r="F91" s="168">
        <v>30847</v>
      </c>
      <c r="G91" s="160">
        <f t="shared" ref="G91:G93" si="12">F91/$F$86</f>
        <v>0.2627109983137168</v>
      </c>
      <c r="H91" s="161">
        <f t="shared" si="10"/>
        <v>1.2351311655429138</v>
      </c>
      <c r="I91" s="191">
        <f t="shared" si="9"/>
        <v>9.4135849563301455E-2</v>
      </c>
      <c r="J91" s="39"/>
      <c r="K91" s="39"/>
      <c r="L91" s="14"/>
      <c r="M91" s="14"/>
      <c r="N91" s="14"/>
      <c r="O91" s="14"/>
      <c r="P91" s="14"/>
      <c r="Q91" s="14"/>
      <c r="R91" s="14"/>
      <c r="S91" s="82"/>
      <c r="T91" s="387"/>
    </row>
    <row r="92" spans="2:23" x14ac:dyDescent="0.25">
      <c r="B92" s="374"/>
      <c r="C92" s="1" t="s">
        <v>59</v>
      </c>
      <c r="D92" s="167">
        <v>152903</v>
      </c>
      <c r="E92" s="163">
        <f t="shared" si="11"/>
        <v>9.9248349679672332E-2</v>
      </c>
      <c r="F92" s="168">
        <v>18066</v>
      </c>
      <c r="G92" s="160">
        <f t="shared" si="12"/>
        <v>0.15386056652302033</v>
      </c>
      <c r="H92" s="161">
        <f t="shared" si="10"/>
        <v>1.550258185850051</v>
      </c>
      <c r="I92" s="191">
        <f t="shared" si="9"/>
        <v>0.11815333904501547</v>
      </c>
      <c r="J92" s="39"/>
      <c r="K92" s="39"/>
      <c r="L92" s="14"/>
      <c r="M92" s="14"/>
      <c r="N92" s="14"/>
      <c r="O92" s="14"/>
      <c r="P92" s="14"/>
      <c r="Q92" s="14"/>
      <c r="R92" s="14"/>
      <c r="S92" s="82"/>
      <c r="T92" s="387"/>
    </row>
    <row r="93" spans="2:23" x14ac:dyDescent="0.25">
      <c r="B93" s="374"/>
      <c r="C93" s="172" t="s">
        <v>60</v>
      </c>
      <c r="D93" s="168">
        <v>414961</v>
      </c>
      <c r="E93" s="163">
        <f t="shared" si="11"/>
        <v>0.26934850481302863</v>
      </c>
      <c r="F93" s="174">
        <v>17050</v>
      </c>
      <c r="G93" s="160">
        <f t="shared" si="12"/>
        <v>0.14520771942972968</v>
      </c>
      <c r="H93" s="161">
        <f t="shared" si="10"/>
        <v>0.53910720436531578</v>
      </c>
      <c r="I93" s="191">
        <f t="shared" si="9"/>
        <v>4.1088198649993614E-2</v>
      </c>
      <c r="J93" s="39"/>
      <c r="K93" s="39"/>
      <c r="L93" s="14"/>
      <c r="M93" s="14"/>
      <c r="N93" s="14"/>
      <c r="O93" s="14"/>
      <c r="P93" s="14"/>
      <c r="Q93" s="14"/>
      <c r="R93" s="14"/>
      <c r="S93" s="82"/>
      <c r="T93" s="387"/>
    </row>
    <row r="94" spans="2:23" x14ac:dyDescent="0.25">
      <c r="B94" s="374"/>
      <c r="C94" s="1" t="s">
        <v>61</v>
      </c>
      <c r="D94" s="167">
        <v>79563</v>
      </c>
      <c r="E94" s="163">
        <f t="shared" si="11"/>
        <v>5.1643829392253718E-2</v>
      </c>
      <c r="F94" s="168">
        <v>5215</v>
      </c>
      <c r="G94" s="160">
        <f>F94/$F$86</f>
        <v>4.4413974007392394E-2</v>
      </c>
      <c r="H94" s="161">
        <f t="shared" si="10"/>
        <v>0.86000543588764622</v>
      </c>
      <c r="I94" s="191">
        <f>F94/D94</f>
        <v>6.5545542526048536E-2</v>
      </c>
      <c r="J94" s="39"/>
      <c r="K94" s="39"/>
      <c r="L94" s="14"/>
      <c r="M94" s="14"/>
      <c r="N94" s="14"/>
      <c r="O94" s="14"/>
      <c r="P94" s="14"/>
      <c r="Q94" s="14"/>
      <c r="R94" s="14"/>
      <c r="S94" s="82"/>
      <c r="T94" s="387"/>
    </row>
    <row r="95" spans="2:23" x14ac:dyDescent="0.25">
      <c r="B95" s="374"/>
      <c r="C95" s="1" t="s">
        <v>62</v>
      </c>
      <c r="D95" s="167">
        <v>70878</v>
      </c>
      <c r="E95" s="163">
        <f t="shared" si="11"/>
        <v>4.6006451989796249E-2</v>
      </c>
      <c r="F95" s="168">
        <v>4763</v>
      </c>
      <c r="G95" s="160">
        <f>F95/$F$86</f>
        <v>4.0564479040692228E-2</v>
      </c>
      <c r="H95" s="161">
        <f t="shared" si="10"/>
        <v>0.8817128312717748</v>
      </c>
      <c r="I95" s="191">
        <f t="shared" si="9"/>
        <v>6.7199977425999605E-2</v>
      </c>
      <c r="J95" s="39"/>
      <c r="K95" s="39"/>
      <c r="L95" s="14"/>
      <c r="M95" s="14"/>
      <c r="N95" s="14"/>
      <c r="O95" s="14"/>
      <c r="P95" s="14"/>
      <c r="Q95" s="14"/>
      <c r="R95" s="14"/>
      <c r="S95" s="82"/>
      <c r="T95" s="387"/>
      <c r="W95" s="13"/>
    </row>
    <row r="96" spans="2:23" ht="15.75" thickBot="1" x14ac:dyDescent="0.3">
      <c r="B96" s="375"/>
      <c r="C96" s="9" t="s">
        <v>63</v>
      </c>
      <c r="D96" s="175">
        <v>24392</v>
      </c>
      <c r="E96" s="179">
        <f t="shared" si="11"/>
        <v>1.5832689648905305E-2</v>
      </c>
      <c r="F96" s="177">
        <v>2665</v>
      </c>
      <c r="G96" s="176">
        <f>F96/$F$86</f>
        <v>2.269669045631845E-2</v>
      </c>
      <c r="H96" s="178">
        <f t="shared" si="10"/>
        <v>1.4335334652307627</v>
      </c>
      <c r="I96" s="198">
        <f>F96/D96</f>
        <v>0.10925713348638898</v>
      </c>
      <c r="J96" s="100"/>
      <c r="K96" s="100"/>
      <c r="L96" s="18"/>
      <c r="M96" s="18"/>
      <c r="N96" s="18"/>
      <c r="O96" s="18"/>
      <c r="P96" s="18"/>
      <c r="Q96" s="18"/>
      <c r="R96" s="18"/>
      <c r="S96" s="83"/>
      <c r="T96" s="388"/>
    </row>
    <row r="97" spans="2:23" ht="15.75" thickBot="1" x14ac:dyDescent="0.3">
      <c r="C97" s="1"/>
      <c r="D97" s="8"/>
      <c r="S97" s="4"/>
      <c r="T97" s="28"/>
    </row>
    <row r="98" spans="2:23" x14ac:dyDescent="0.25">
      <c r="B98" s="373" t="s">
        <v>64</v>
      </c>
      <c r="C98" s="21" t="s">
        <v>65</v>
      </c>
      <c r="D98" s="23" t="s">
        <v>66</v>
      </c>
      <c r="E98" s="48" t="s">
        <v>67</v>
      </c>
      <c r="F98" s="48" t="s">
        <v>68</v>
      </c>
      <c r="G98" s="48" t="s">
        <v>51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7"/>
      <c r="T98" s="373" t="s">
        <v>19</v>
      </c>
    </row>
    <row r="99" spans="2:23" x14ac:dyDescent="0.25">
      <c r="B99" s="374"/>
      <c r="C99" s="1" t="s">
        <v>69</v>
      </c>
      <c r="D99" s="168">
        <v>116730</v>
      </c>
      <c r="E99" s="180">
        <v>1239110</v>
      </c>
      <c r="F99" s="68"/>
      <c r="I99" s="8"/>
      <c r="S99" s="4"/>
      <c r="T99" s="374"/>
    </row>
    <row r="100" spans="2:23" x14ac:dyDescent="0.25">
      <c r="B100" s="374"/>
      <c r="C100" s="1" t="s">
        <v>70</v>
      </c>
      <c r="D100" s="160">
        <f>D99/H41</f>
        <v>0.68707951475340356</v>
      </c>
      <c r="E100" s="261">
        <v>0.31619999999999998</v>
      </c>
      <c r="F100" s="68"/>
      <c r="I100" s="8"/>
      <c r="S100" s="4"/>
      <c r="T100" s="374"/>
    </row>
    <row r="101" spans="2:23" x14ac:dyDescent="0.25">
      <c r="B101" s="374"/>
      <c r="C101" s="1"/>
      <c r="D101" s="199"/>
      <c r="E101" s="200"/>
      <c r="F101" s="14"/>
      <c r="I101" s="8"/>
      <c r="S101" s="4"/>
      <c r="T101" s="374"/>
      <c r="W101" s="8"/>
    </row>
    <row r="102" spans="2:23" ht="14.45" customHeight="1" x14ac:dyDescent="0.25">
      <c r="B102" s="374"/>
      <c r="C102" s="1" t="s">
        <v>71</v>
      </c>
      <c r="D102" s="168">
        <v>332152</v>
      </c>
      <c r="E102" s="183">
        <v>2796070</v>
      </c>
      <c r="F102" s="68"/>
      <c r="I102" s="8"/>
      <c r="S102" s="4"/>
      <c r="T102" s="374"/>
      <c r="U102" s="24"/>
      <c r="W102" s="14"/>
    </row>
    <row r="103" spans="2:23" x14ac:dyDescent="0.25">
      <c r="B103" s="374"/>
      <c r="C103" s="1" t="s">
        <v>72</v>
      </c>
      <c r="D103" s="184">
        <f>D102/D99</f>
        <v>2.8454724578086181</v>
      </c>
      <c r="E103" s="161">
        <f>E102/E99</f>
        <v>2.2565147565591435</v>
      </c>
      <c r="F103" s="14"/>
      <c r="I103" s="8"/>
      <c r="S103" s="4"/>
      <c r="T103" s="374"/>
    </row>
    <row r="104" spans="2:23" x14ac:dyDescent="0.25">
      <c r="B104" s="374"/>
      <c r="C104" s="1"/>
      <c r="D104" s="202"/>
      <c r="E104" s="169"/>
      <c r="F104" s="14"/>
      <c r="I104" s="8"/>
      <c r="S104" s="4"/>
      <c r="T104" s="374"/>
      <c r="W104" s="8"/>
    </row>
    <row r="105" spans="2:23" x14ac:dyDescent="0.25">
      <c r="B105" s="374"/>
      <c r="C105" s="1" t="s">
        <v>73</v>
      </c>
      <c r="D105" s="168">
        <v>187171</v>
      </c>
      <c r="E105" s="183">
        <v>1839894</v>
      </c>
      <c r="F105" s="14"/>
      <c r="I105" s="8"/>
      <c r="S105" s="4"/>
      <c r="T105" s="374"/>
      <c r="W105" s="14"/>
    </row>
    <row r="106" spans="2:23" x14ac:dyDescent="0.25">
      <c r="B106" s="374"/>
      <c r="C106" s="1" t="s">
        <v>74</v>
      </c>
      <c r="D106" s="184">
        <f>D105/D99</f>
        <v>1.6034524115480169</v>
      </c>
      <c r="E106" s="165">
        <f>E105/E99</f>
        <v>1.4848512238622882</v>
      </c>
      <c r="F106" s="14"/>
      <c r="S106" s="4"/>
      <c r="T106" s="374"/>
    </row>
    <row r="107" spans="2:23" ht="15.75" thickBot="1" x14ac:dyDescent="0.3">
      <c r="B107" s="375"/>
      <c r="C107" s="9" t="s">
        <v>75</v>
      </c>
      <c r="D107" s="185">
        <f>D102/D105</f>
        <v>1.7745911492699189</v>
      </c>
      <c r="E107" s="186">
        <f>E102/E105</f>
        <v>1.5196908082748246</v>
      </c>
      <c r="F107" s="18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11"/>
      <c r="T107" s="375"/>
    </row>
    <row r="108" spans="2:23" x14ac:dyDescent="0.25">
      <c r="D108" s="37"/>
      <c r="E108" s="22"/>
      <c r="F108" s="14"/>
    </row>
    <row r="109" spans="2:23" s="35" customFormat="1" x14ac:dyDescent="0.25">
      <c r="B109" s="47"/>
      <c r="C109" s="78"/>
      <c r="D109" s="8"/>
      <c r="E109" s="13"/>
    </row>
    <row r="110" spans="2:23" s="35" customFormat="1" x14ac:dyDescent="0.25">
      <c r="B110" s="47"/>
      <c r="C110" s="78"/>
      <c r="D110" s="8"/>
      <c r="E110" s="34"/>
    </row>
    <row r="111" spans="2:23" s="35" customFormat="1" x14ac:dyDescent="0.25">
      <c r="B111" s="47"/>
      <c r="C111" s="78"/>
      <c r="D111" s="8"/>
      <c r="E111" s="34"/>
    </row>
    <row r="112" spans="2:23" s="35" customFormat="1" x14ac:dyDescent="0.25">
      <c r="B112" s="47"/>
      <c r="C112" s="78"/>
      <c r="D112" s="262"/>
      <c r="E112" s="34"/>
    </row>
    <row r="113" spans="2:5" s="35" customFormat="1" x14ac:dyDescent="0.25">
      <c r="B113" s="47"/>
      <c r="C113" s="78"/>
      <c r="D113" s="8"/>
      <c r="E113" s="78"/>
    </row>
    <row r="114" spans="2:5" s="35" customFormat="1" x14ac:dyDescent="0.25">
      <c r="B114" s="47"/>
      <c r="C114" s="78"/>
      <c r="D114" s="8"/>
      <c r="E114" s="34"/>
    </row>
  </sheetData>
  <mergeCells count="15">
    <mergeCell ref="C2:S2"/>
    <mergeCell ref="D3:J3"/>
    <mergeCell ref="K3:M3"/>
    <mergeCell ref="N3:P3"/>
    <mergeCell ref="Q3:S3"/>
    <mergeCell ref="B98:B107"/>
    <mergeCell ref="T98:T107"/>
    <mergeCell ref="B4:B42"/>
    <mergeCell ref="B44:B80"/>
    <mergeCell ref="T44:T80"/>
    <mergeCell ref="B82:B96"/>
    <mergeCell ref="D82:E82"/>
    <mergeCell ref="F82:G82"/>
    <mergeCell ref="T82:T96"/>
    <mergeCell ref="T3:T42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A887-C2C9-41DC-9D73-3D3AF8E5B641}">
  <sheetPr>
    <tabColor theme="9"/>
  </sheetPr>
  <dimension ref="A1:AF115"/>
  <sheetViews>
    <sheetView topLeftCell="B1" zoomScaleNormal="100" workbookViewId="0">
      <pane xSplit="2" ySplit="4" topLeftCell="D48" activePane="bottomRight" state="frozen"/>
      <selection pane="topRight" activeCell="D1" sqref="D1"/>
      <selection pane="bottomLeft" activeCell="B5" sqref="B5"/>
      <selection pane="bottomRight" activeCell="O44" sqref="O44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15.7109375" style="3" bestFit="1" customWidth="1"/>
    <col min="7" max="7" width="10.85546875" style="3" bestFit="1" customWidth="1"/>
    <col min="8" max="8" width="14.28515625" style="3" bestFit="1" customWidth="1"/>
    <col min="9" max="13" width="13.28515625" style="3" customWidth="1"/>
    <col min="14" max="14" width="21.5703125" style="3" bestFit="1" customWidth="1"/>
    <col min="15" max="15" width="20.140625" style="3" bestFit="1" customWidth="1"/>
    <col min="16" max="16" width="22" style="3" bestFit="1" customWidth="1"/>
    <col min="17" max="18" width="13.28515625" style="3" customWidth="1"/>
    <col min="19" max="19" width="16" style="3" bestFit="1" customWidth="1"/>
    <col min="20" max="20" width="26.42578125" style="3" customWidth="1"/>
    <col min="21" max="21" width="20.140625" style="3" bestFit="1" customWidth="1"/>
    <col min="22" max="22" width="22" style="3" bestFit="1" customWidth="1"/>
    <col min="23" max="24" width="13.28515625" style="3" customWidth="1"/>
    <col min="25" max="25" width="16" style="3" bestFit="1" customWidth="1"/>
    <col min="26" max="26" width="26.85546875" style="3" bestFit="1" customWidth="1"/>
    <col min="27" max="27" width="20.140625" style="3" bestFit="1" customWidth="1"/>
    <col min="28" max="28" width="22" style="3" bestFit="1" customWidth="1"/>
    <col min="29" max="29" width="14.28515625" style="47" customWidth="1"/>
    <col min="30" max="16384" width="8.85546875" style="3"/>
  </cols>
  <sheetData>
    <row r="1" spans="1:31" ht="15.75" thickBot="1" x14ac:dyDescent="0.3">
      <c r="A1" s="8"/>
      <c r="B1" s="155"/>
    </row>
    <row r="2" spans="1:31" ht="15.75" thickBot="1" x14ac:dyDescent="0.3">
      <c r="A2" s="149"/>
      <c r="B2" s="154"/>
      <c r="C2" s="396" t="s">
        <v>167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3" t="s">
        <v>133</v>
      </c>
      <c r="X3" s="385"/>
      <c r="Y3" s="385"/>
      <c r="Z3" s="385"/>
      <c r="AA3" s="385"/>
      <c r="AB3" s="385"/>
      <c r="AC3" s="373" t="s">
        <v>10</v>
      </c>
    </row>
    <row r="4" spans="1:31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2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 x14ac:dyDescent="0.25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2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 x14ac:dyDescent="0.25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 x14ac:dyDescent="0.25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 x14ac:dyDescent="0.25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 ht="15.75" thickBot="1" x14ac:dyDescent="0.3">
      <c r="B43" s="375"/>
      <c r="C43" s="88" t="s">
        <v>78</v>
      </c>
      <c r="D43" s="135"/>
      <c r="E43" s="135">
        <f>SUM(E5:E42)</f>
        <v>405532</v>
      </c>
      <c r="F43" s="135">
        <f>SUM(F5:F42)</f>
        <v>278666.52</v>
      </c>
      <c r="G43" s="135">
        <f>SUM(G5:G42)</f>
        <v>236609</v>
      </c>
      <c r="H43" s="135"/>
      <c r="I43" s="136"/>
      <c r="J43" s="136"/>
      <c r="K43" s="272">
        <f>SUM(K5:K42)</f>
        <v>369726</v>
      </c>
      <c r="M43" s="136"/>
      <c r="N43" s="136"/>
      <c r="O43" s="136"/>
      <c r="P43" s="136"/>
      <c r="Q43" s="135">
        <f>SUM(Q17:Q42)</f>
        <v>33320</v>
      </c>
      <c r="R43" s="135"/>
      <c r="S43" s="136"/>
      <c r="T43" s="136"/>
      <c r="U43" s="136"/>
      <c r="V43" s="136"/>
      <c r="W43" s="113">
        <f>SUM(W20:W42)</f>
        <v>5206</v>
      </c>
      <c r="X43" s="93"/>
      <c r="Y43" s="93"/>
      <c r="Z43" s="93"/>
      <c r="AA43" s="93"/>
      <c r="AB43" s="157"/>
      <c r="AC43" s="375"/>
      <c r="AD43" s="8"/>
      <c r="AE43" s="142"/>
    </row>
    <row r="44" spans="1:31" ht="15.75" thickBot="1" x14ac:dyDescent="0.3">
      <c r="C44" s="224"/>
      <c r="D44" s="25"/>
      <c r="E44" s="50"/>
      <c r="F44" s="50"/>
      <c r="G44" s="50"/>
      <c r="H44" s="50"/>
      <c r="I44" s="50"/>
      <c r="J44" s="238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E44" s="142"/>
    </row>
    <row r="45" spans="1:31" x14ac:dyDescent="0.25">
      <c r="B45" s="381" t="s">
        <v>13</v>
      </c>
      <c r="C45" s="94"/>
      <c r="D45" s="48" t="s">
        <v>174</v>
      </c>
      <c r="E45" s="48" t="s">
        <v>15</v>
      </c>
      <c r="F45" s="48" t="s">
        <v>175</v>
      </c>
      <c r="G45" s="48" t="s">
        <v>156</v>
      </c>
      <c r="H45" s="48" t="s">
        <v>18</v>
      </c>
      <c r="I45" s="94"/>
      <c r="J45" s="116"/>
      <c r="K45" s="116"/>
      <c r="L45" s="47"/>
      <c r="M45" s="94"/>
      <c r="N45" s="94"/>
      <c r="O45" s="94"/>
      <c r="P45" s="94"/>
      <c r="Q45" s="94"/>
      <c r="R45" s="94"/>
      <c r="W45" s="94"/>
      <c r="X45" s="94"/>
      <c r="Y45" s="94"/>
      <c r="Z45" s="94"/>
      <c r="AA45" s="94"/>
      <c r="AB45" s="49"/>
      <c r="AC45" s="373" t="s">
        <v>19</v>
      </c>
      <c r="AE45" s="142"/>
    </row>
    <row r="46" spans="1:31" x14ac:dyDescent="0.25">
      <c r="B46" s="382"/>
      <c r="C46" s="156" t="s">
        <v>20</v>
      </c>
      <c r="D46" s="47"/>
      <c r="E46" s="47"/>
      <c r="F46" s="47"/>
      <c r="G46" s="260"/>
      <c r="I46" s="154"/>
      <c r="J46" s="8"/>
      <c r="M46" s="254"/>
      <c r="N46" s="254"/>
      <c r="O46" s="254"/>
      <c r="P46" s="254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12"/>
      <c r="AC46" s="374"/>
      <c r="AE46" s="8"/>
    </row>
    <row r="47" spans="1:31" x14ac:dyDescent="0.25">
      <c r="B47" s="382"/>
      <c r="C47" s="47" t="s">
        <v>21</v>
      </c>
      <c r="D47" s="160">
        <v>0.48799999999999999</v>
      </c>
      <c r="E47" s="160">
        <v>0.44</v>
      </c>
      <c r="F47" s="14">
        <f>D47/E47</f>
        <v>1.1090909090909091</v>
      </c>
      <c r="G47" s="160">
        <v>0.52600000000000002</v>
      </c>
      <c r="H47" s="14">
        <f>E47/G47</f>
        <v>0.83650190114068435</v>
      </c>
      <c r="I47" s="253"/>
      <c r="J47" s="73"/>
      <c r="K47" s="158"/>
      <c r="L47" s="158"/>
      <c r="M47" s="14"/>
      <c r="N47" s="14"/>
      <c r="O47" s="14"/>
      <c r="P47" s="14"/>
      <c r="Q47" s="47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5"/>
      <c r="AC47" s="374"/>
      <c r="AE47" s="8"/>
    </row>
    <row r="48" spans="1:31" x14ac:dyDescent="0.25">
      <c r="B48" s="382"/>
      <c r="C48" s="47" t="s">
        <v>22</v>
      </c>
      <c r="D48" s="160">
        <v>0.51200000000000001</v>
      </c>
      <c r="E48" s="160">
        <v>0.56000000000000005</v>
      </c>
      <c r="F48" s="14">
        <f>D48/E48</f>
        <v>0.91428571428571426</v>
      </c>
      <c r="G48" s="160">
        <v>0.47399999999999998</v>
      </c>
      <c r="H48" s="14">
        <f t="shared" ref="H48:H65" si="4">E48/G48</f>
        <v>1.1814345991561184</v>
      </c>
      <c r="I48" s="149"/>
      <c r="J48" s="73"/>
      <c r="K48" s="158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5"/>
      <c r="AC48" s="374"/>
    </row>
    <row r="49" spans="2:29" x14ac:dyDescent="0.25">
      <c r="B49" s="382"/>
      <c r="D49" s="160"/>
      <c r="E49" s="160"/>
      <c r="F49" s="14"/>
      <c r="G49" s="160"/>
      <c r="H49" s="170"/>
      <c r="I49" s="149"/>
      <c r="J49" s="222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</row>
    <row r="50" spans="2:29" x14ac:dyDescent="0.25">
      <c r="B50" s="382"/>
      <c r="C50" s="156" t="s">
        <v>23</v>
      </c>
      <c r="D50" s="169"/>
      <c r="E50" s="162"/>
      <c r="F50" s="14"/>
      <c r="G50" s="160"/>
      <c r="H50" s="170"/>
      <c r="I50" s="149"/>
      <c r="J50" s="39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29" x14ac:dyDescent="0.25">
      <c r="B51" s="382"/>
      <c r="C51" s="47" t="s">
        <v>24</v>
      </c>
      <c r="D51" s="160">
        <v>0</v>
      </c>
      <c r="E51" s="160">
        <v>0</v>
      </c>
      <c r="F51" s="14" t="s">
        <v>12</v>
      </c>
      <c r="G51" s="160">
        <v>0.01</v>
      </c>
      <c r="H51" s="14" t="s">
        <v>12</v>
      </c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29" x14ac:dyDescent="0.25">
      <c r="B52" s="382"/>
      <c r="C52" s="47" t="s">
        <v>25</v>
      </c>
      <c r="D52" s="160">
        <v>8.0000000000000002E-3</v>
      </c>
      <c r="E52" s="160">
        <v>8.0000000000000002E-3</v>
      </c>
      <c r="F52" s="14">
        <f>D52/E52</f>
        <v>1</v>
      </c>
      <c r="G52" s="160">
        <v>0.13400000000000001</v>
      </c>
      <c r="H52" s="14">
        <f>E52/G52</f>
        <v>5.9701492537313432E-2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29" x14ac:dyDescent="0.25">
      <c r="B53" s="382"/>
      <c r="C53" s="47" t="s">
        <v>26</v>
      </c>
      <c r="D53" s="160">
        <v>0.42099999999999999</v>
      </c>
      <c r="E53" s="160">
        <v>0.40400000000000003</v>
      </c>
      <c r="F53" s="14">
        <f>D53/E53</f>
        <v>1.0420792079207919</v>
      </c>
      <c r="G53" s="160">
        <v>0.29499999999999998</v>
      </c>
      <c r="H53" s="14">
        <f>E53/G53</f>
        <v>1.369491525423729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29" x14ac:dyDescent="0.25">
      <c r="B54" s="382"/>
      <c r="C54" s="47" t="s">
        <v>27</v>
      </c>
      <c r="D54" s="160">
        <v>0.439</v>
      </c>
      <c r="E54" s="160">
        <v>0.40899999999999997</v>
      </c>
      <c r="F54" s="14">
        <f t="shared" ref="F54:F81" si="5">D54/E54</f>
        <v>1.0733496332518337</v>
      </c>
      <c r="G54" s="160">
        <v>0.33</v>
      </c>
      <c r="H54" s="14">
        <f t="shared" si="4"/>
        <v>1.2393939393939393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29" x14ac:dyDescent="0.25">
      <c r="B55" s="382"/>
      <c r="C55" s="47" t="s">
        <v>28</v>
      </c>
      <c r="D55" s="160">
        <v>0.11600000000000001</v>
      </c>
      <c r="E55" s="160">
        <v>0.155</v>
      </c>
      <c r="F55" s="14">
        <f t="shared" si="5"/>
        <v>0.74838709677419357</v>
      </c>
      <c r="G55" s="160">
        <v>0.16600000000000001</v>
      </c>
      <c r="H55" s="14">
        <f>E55/G55</f>
        <v>0.9337349397590361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29" x14ac:dyDescent="0.25">
      <c r="B56" s="382"/>
      <c r="C56" s="47" t="s">
        <v>29</v>
      </c>
      <c r="D56" s="160">
        <v>1.6E-2</v>
      </c>
      <c r="E56" s="160">
        <v>2.4E-2</v>
      </c>
      <c r="F56" s="14">
        <f t="shared" si="5"/>
        <v>0.66666666666666663</v>
      </c>
      <c r="G56" s="160">
        <v>6.5000000000000002E-2</v>
      </c>
      <c r="H56" s="14">
        <f t="shared" si="4"/>
        <v>0.36923076923076925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29" x14ac:dyDescent="0.25">
      <c r="B57" s="382"/>
      <c r="D57" s="190"/>
      <c r="E57" s="190"/>
      <c r="F57" s="14"/>
      <c r="G57" s="190"/>
      <c r="H57" s="170"/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29" x14ac:dyDescent="0.25">
      <c r="B58" s="382"/>
      <c r="C58" s="156" t="s">
        <v>30</v>
      </c>
      <c r="D58" s="169"/>
      <c r="E58" s="169"/>
      <c r="F58" s="14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29" x14ac:dyDescent="0.25">
      <c r="B59" s="382"/>
      <c r="C59" s="47" t="s">
        <v>31</v>
      </c>
      <c r="D59" s="160">
        <v>0.46899999999999997</v>
      </c>
      <c r="E59" s="163">
        <v>0.47599999999999998</v>
      </c>
      <c r="F59" s="14">
        <f>D59/E59</f>
        <v>0.98529411764705876</v>
      </c>
      <c r="G59" s="160">
        <v>0.47899999999999998</v>
      </c>
      <c r="H59" s="14">
        <f>E59/G59</f>
        <v>0.99373695198329848</v>
      </c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29" x14ac:dyDescent="0.25">
      <c r="B60" s="382"/>
      <c r="C60" s="47" t="s">
        <v>32</v>
      </c>
      <c r="D60" s="160">
        <v>0.19600000000000001</v>
      </c>
      <c r="E60" s="160">
        <v>0.2</v>
      </c>
      <c r="F60" s="14">
        <f>D60/E60</f>
        <v>0.98</v>
      </c>
      <c r="G60" s="160">
        <v>0.155</v>
      </c>
      <c r="H60" s="14">
        <f t="shared" si="4"/>
        <v>1.2903225806451615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29" x14ac:dyDescent="0.25">
      <c r="B61" s="382"/>
      <c r="C61" s="47" t="s">
        <v>33</v>
      </c>
      <c r="D61" s="160">
        <v>0.122</v>
      </c>
      <c r="E61" s="160">
        <v>0.124</v>
      </c>
      <c r="F61" s="14">
        <f>D61/E61</f>
        <v>0.9838709677419355</v>
      </c>
      <c r="G61" s="160">
        <v>0.125</v>
      </c>
      <c r="H61" s="14">
        <f t="shared" si="4"/>
        <v>0.99199999999999999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29" x14ac:dyDescent="0.25">
      <c r="B62" s="382"/>
      <c r="C62" s="47" t="s">
        <v>34</v>
      </c>
      <c r="D62" s="160">
        <v>9.5000000000000001E-2</v>
      </c>
      <c r="E62" s="160">
        <v>9.6000000000000002E-2</v>
      </c>
      <c r="F62" s="14">
        <f t="shared" ref="F62:F65" si="6">D62/E62</f>
        <v>0.98958333333333337</v>
      </c>
      <c r="G62" s="160">
        <v>0.115</v>
      </c>
      <c r="H62" s="14">
        <f t="shared" si="4"/>
        <v>0.83478260869565213</v>
      </c>
      <c r="I62" s="223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29" x14ac:dyDescent="0.25">
      <c r="B63" s="382"/>
      <c r="C63" s="47" t="s">
        <v>35</v>
      </c>
      <c r="D63" s="160">
        <v>2.8000000000000001E-2</v>
      </c>
      <c r="E63" s="160">
        <v>2.3E-2</v>
      </c>
      <c r="F63" s="14">
        <f t="shared" si="6"/>
        <v>1.2173913043478262</v>
      </c>
      <c r="G63" s="160">
        <v>3.3000000000000002E-2</v>
      </c>
      <c r="H63" s="14">
        <f t="shared" si="4"/>
        <v>0.69696969696969691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29" x14ac:dyDescent="0.25">
      <c r="B64" s="382"/>
      <c r="C64" s="47" t="s">
        <v>36</v>
      </c>
      <c r="D64" s="160">
        <v>1.6E-2</v>
      </c>
      <c r="E64" s="160">
        <v>1.4999999999999999E-2</v>
      </c>
      <c r="F64" s="14">
        <f t="shared" si="6"/>
        <v>1.0666666666666667</v>
      </c>
      <c r="G64" s="160">
        <v>1.9E-2</v>
      </c>
      <c r="H64" s="14">
        <f t="shared" si="4"/>
        <v>0.78947368421052633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 x14ac:dyDescent="0.25">
      <c r="B65" s="382"/>
      <c r="C65" s="47" t="s">
        <v>37</v>
      </c>
      <c r="D65" s="160">
        <v>7.3999999999999996E-2</v>
      </c>
      <c r="E65" s="160">
        <v>6.5000000000000002E-2</v>
      </c>
      <c r="F65" s="14">
        <f t="shared" si="6"/>
        <v>1.1384615384615384</v>
      </c>
      <c r="G65" s="160">
        <v>7.4999999999999997E-2</v>
      </c>
      <c r="H65" s="14">
        <f t="shared" si="4"/>
        <v>0.8666666666666667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 x14ac:dyDescent="0.25">
      <c r="B66" s="382"/>
      <c r="D66" s="190"/>
      <c r="E66" s="160"/>
      <c r="F66" s="14"/>
      <c r="G66" s="160"/>
      <c r="H66" s="170"/>
      <c r="I66" s="149"/>
      <c r="J66" s="222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 x14ac:dyDescent="0.25">
      <c r="B67" s="382"/>
      <c r="C67" s="156" t="s">
        <v>38</v>
      </c>
      <c r="D67" s="169"/>
      <c r="E67" s="169"/>
      <c r="F67" s="14"/>
      <c r="G67" s="190"/>
      <c r="H67" s="170"/>
      <c r="I67" s="149"/>
      <c r="J67" s="222"/>
      <c r="K67" s="239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 x14ac:dyDescent="0.25">
      <c r="B68" s="382"/>
      <c r="C68" s="47" t="s">
        <v>39</v>
      </c>
      <c r="D68" s="160">
        <v>0.54200000000000004</v>
      </c>
      <c r="E68" s="160">
        <v>0.45300000000000001</v>
      </c>
      <c r="F68" s="14">
        <f>D68/E68</f>
        <v>1.196467991169978</v>
      </c>
      <c r="G68" s="164">
        <v>0.47899999999999998</v>
      </c>
      <c r="H68" s="72">
        <f>E68/G68</f>
        <v>0.94572025052192077</v>
      </c>
      <c r="I68" s="149"/>
      <c r="J68" s="240"/>
      <c r="K68" s="241"/>
      <c r="L68" s="16"/>
      <c r="M68" s="16"/>
      <c r="N68" s="16"/>
      <c r="O68" s="16"/>
      <c r="P68" s="16"/>
      <c r="Q68" s="68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36"/>
      <c r="AC68" s="374"/>
    </row>
    <row r="69" spans="2:29" x14ac:dyDescent="0.25">
      <c r="B69" s="382"/>
      <c r="C69" s="47" t="s">
        <v>40</v>
      </c>
      <c r="D69" s="160">
        <v>5.1999999999999998E-2</v>
      </c>
      <c r="E69" s="160">
        <v>0.05</v>
      </c>
      <c r="F69" s="14">
        <f>D69/E69</f>
        <v>1.0399999999999998</v>
      </c>
      <c r="G69" s="160">
        <v>7.3999999999999996E-2</v>
      </c>
      <c r="H69" s="72">
        <f>E69/G69</f>
        <v>0.67567567567567577</v>
      </c>
      <c r="I69" s="149"/>
      <c r="J69" s="240"/>
      <c r="K69" s="241"/>
      <c r="L69" s="14"/>
      <c r="M69" s="16"/>
      <c r="N69" s="16"/>
      <c r="O69" s="16"/>
      <c r="P69" s="16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5"/>
      <c r="AC69" s="374"/>
    </row>
    <row r="70" spans="2:29" x14ac:dyDescent="0.25">
      <c r="B70" s="382"/>
      <c r="C70" s="47" t="s">
        <v>41</v>
      </c>
      <c r="D70" s="160">
        <v>9.1999999999999998E-2</v>
      </c>
      <c r="E70" s="160">
        <v>9.0999999999999998E-2</v>
      </c>
      <c r="F70" s="14">
        <f>D70/E70</f>
        <v>1.0109890109890109</v>
      </c>
      <c r="G70" s="160">
        <v>0.13</v>
      </c>
      <c r="H70" s="72">
        <f>E70/G70</f>
        <v>0.7</v>
      </c>
      <c r="I70" s="149"/>
      <c r="J70" s="240"/>
      <c r="K70" s="241"/>
      <c r="L70" s="14"/>
      <c r="M70" s="16"/>
      <c r="N70" s="16"/>
      <c r="O70" s="16"/>
      <c r="P70" s="16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374"/>
    </row>
    <row r="71" spans="2:29" x14ac:dyDescent="0.25">
      <c r="B71" s="382"/>
      <c r="C71" s="47" t="s">
        <v>42</v>
      </c>
      <c r="D71" s="160">
        <v>0.104</v>
      </c>
      <c r="E71" s="160">
        <v>0.115</v>
      </c>
      <c r="F71" s="14">
        <f>D71/E71</f>
        <v>0.90434782608695641</v>
      </c>
      <c r="G71" s="160">
        <v>0.13500000000000001</v>
      </c>
      <c r="H71" s="72">
        <f>E71/G71</f>
        <v>0.85185185185185186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 x14ac:dyDescent="0.25">
      <c r="B72" s="382"/>
      <c r="C72" s="47" t="s">
        <v>43</v>
      </c>
      <c r="D72" s="160">
        <v>0.11799999999999999</v>
      </c>
      <c r="E72" s="160">
        <v>0.14699999999999999</v>
      </c>
      <c r="F72" s="14">
        <f>D72/E72</f>
        <v>0.80272108843537415</v>
      </c>
      <c r="G72" s="160">
        <v>0.12</v>
      </c>
      <c r="H72" s="72">
        <f>E72/G72</f>
        <v>1.2249999999999999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 x14ac:dyDescent="0.25">
      <c r="B73" s="382"/>
      <c r="C73" s="47" t="s">
        <v>44</v>
      </c>
      <c r="D73" s="160">
        <v>9.1999999999999998E-2</v>
      </c>
      <c r="E73" s="160">
        <v>0.14499999999999999</v>
      </c>
      <c r="F73" s="14">
        <f t="shared" si="5"/>
        <v>0.6344827586206897</v>
      </c>
      <c r="G73" s="160">
        <v>6.2E-2</v>
      </c>
      <c r="H73" s="72">
        <f t="shared" ref="H73" si="7">E73/G73</f>
        <v>2.3387096774193545</v>
      </c>
      <c r="J73" s="34"/>
      <c r="K73" s="2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 x14ac:dyDescent="0.25">
      <c r="B74" s="382"/>
      <c r="D74" s="190"/>
      <c r="E74" s="190"/>
      <c r="F74" s="14"/>
      <c r="G74" s="160"/>
      <c r="H74" s="170"/>
      <c r="I74" s="149"/>
      <c r="J74" s="222"/>
      <c r="K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 x14ac:dyDescent="0.25">
      <c r="B75" s="382"/>
      <c r="C75" s="156" t="s">
        <v>157</v>
      </c>
      <c r="D75" s="190"/>
      <c r="E75" s="190"/>
      <c r="F75" s="14"/>
      <c r="G75" s="190"/>
      <c r="H75" s="170"/>
      <c r="I75" s="149"/>
      <c r="J75" s="39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 x14ac:dyDescent="0.25">
      <c r="B76" s="382"/>
      <c r="C76" s="47" t="s">
        <v>39</v>
      </c>
      <c r="D76" s="160">
        <v>0.31900000000000001</v>
      </c>
      <c r="E76" s="160">
        <v>0.14899999999999999</v>
      </c>
      <c r="F76" s="14">
        <f t="shared" si="5"/>
        <v>2.1409395973154366</v>
      </c>
      <c r="G76" s="163">
        <v>0.29499999999999998</v>
      </c>
      <c r="H76" s="72">
        <f>E76/G76</f>
        <v>0.5050847457627119</v>
      </c>
      <c r="I76" s="149"/>
      <c r="J76" s="38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 x14ac:dyDescent="0.25">
      <c r="B77" s="382"/>
      <c r="C77" s="47" t="s">
        <v>40</v>
      </c>
      <c r="D77" s="160">
        <v>6.5000000000000002E-2</v>
      </c>
      <c r="E77" s="160">
        <v>5.8000000000000003E-2</v>
      </c>
      <c r="F77" s="14">
        <f t="shared" si="5"/>
        <v>1.1206896551724137</v>
      </c>
      <c r="G77" s="163">
        <v>0.14199999999999999</v>
      </c>
      <c r="H77" s="72">
        <f t="shared" ref="H77:H81" si="8">E77/G77</f>
        <v>0.40845070422535218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 x14ac:dyDescent="0.25">
      <c r="B78" s="382"/>
      <c r="C78" s="47" t="s">
        <v>41</v>
      </c>
      <c r="D78" s="160">
        <v>0.12</v>
      </c>
      <c r="E78" s="160">
        <v>0.129</v>
      </c>
      <c r="F78" s="14">
        <f t="shared" si="5"/>
        <v>0.93023255813953487</v>
      </c>
      <c r="G78" s="163">
        <v>0.214</v>
      </c>
      <c r="H78" s="72">
        <f t="shared" si="8"/>
        <v>0.60280373831775702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 x14ac:dyDescent="0.25">
      <c r="B79" s="382"/>
      <c r="C79" s="47" t="s">
        <v>42</v>
      </c>
      <c r="D79" s="160">
        <v>0.14399999999999999</v>
      </c>
      <c r="E79" s="160">
        <v>0.16400000000000001</v>
      </c>
      <c r="F79" s="14">
        <f t="shared" si="5"/>
        <v>0.87804878048780477</v>
      </c>
      <c r="G79" s="163">
        <v>0.17199999999999999</v>
      </c>
      <c r="H79" s="72">
        <f t="shared" si="8"/>
        <v>0.9534883720930234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 x14ac:dyDescent="0.25">
      <c r="B80" s="382"/>
      <c r="C80" s="47" t="s">
        <v>43</v>
      </c>
      <c r="D80" s="160">
        <v>0.17699999999999999</v>
      </c>
      <c r="E80" s="160">
        <v>0.22900000000000001</v>
      </c>
      <c r="F80" s="14">
        <f t="shared" si="5"/>
        <v>0.77292576419213965</v>
      </c>
      <c r="G80" s="163">
        <v>0.121</v>
      </c>
      <c r="H80" s="72">
        <f t="shared" si="8"/>
        <v>1.8925619834710745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32" ht="15.75" thickBot="1" x14ac:dyDescent="0.3">
      <c r="B81" s="383"/>
      <c r="C81" s="47" t="s">
        <v>44</v>
      </c>
      <c r="D81" s="160">
        <v>0.17599999999999999</v>
      </c>
      <c r="E81" s="160">
        <v>0.27</v>
      </c>
      <c r="F81" s="14">
        <f t="shared" si="5"/>
        <v>0.65185185185185179</v>
      </c>
      <c r="G81" s="163">
        <v>5.7000000000000002E-2</v>
      </c>
      <c r="H81" s="72">
        <f t="shared" si="8"/>
        <v>4.7368421052631584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5"/>
    </row>
    <row r="82" spans="2:32" ht="15.75" thickBot="1" x14ac:dyDescent="0.3">
      <c r="B82" s="266"/>
      <c r="C82" s="224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25"/>
    </row>
    <row r="83" spans="2:32" x14ac:dyDescent="0.25">
      <c r="B83" s="373" t="s">
        <v>45</v>
      </c>
      <c r="C83" s="5"/>
      <c r="D83" s="385" t="s">
        <v>46</v>
      </c>
      <c r="E83" s="385"/>
      <c r="F83" s="385" t="s">
        <v>47</v>
      </c>
      <c r="G83" s="385"/>
      <c r="H83" s="42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7"/>
      <c r="AC83" s="386" t="s">
        <v>48</v>
      </c>
    </row>
    <row r="84" spans="2:32" x14ac:dyDescent="0.25">
      <c r="B84" s="374"/>
      <c r="C84" s="1"/>
      <c r="D84" s="40" t="s">
        <v>49</v>
      </c>
      <c r="E84" s="40" t="s">
        <v>50</v>
      </c>
      <c r="F84" s="40" t="s">
        <v>49</v>
      </c>
      <c r="G84" s="40" t="s">
        <v>50</v>
      </c>
      <c r="H84" s="41" t="s">
        <v>51</v>
      </c>
      <c r="I84" s="96" t="s">
        <v>52</v>
      </c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9"/>
      <c r="AC84" s="387"/>
    </row>
    <row r="85" spans="2:32" x14ac:dyDescent="0.25">
      <c r="B85" s="374"/>
      <c r="C85" s="2" t="s">
        <v>53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  <c r="AC85" s="387"/>
    </row>
    <row r="86" spans="2:32" x14ac:dyDescent="0.25">
      <c r="B86" s="374"/>
      <c r="C86" s="1" t="s">
        <v>54</v>
      </c>
      <c r="D86" s="167">
        <v>1851164</v>
      </c>
      <c r="E86" s="163">
        <f>D86/D88</f>
        <v>0.69847786066620055</v>
      </c>
      <c r="F86" s="168">
        <v>145794</v>
      </c>
      <c r="G86" s="160">
        <f>F86/$F$88</f>
        <v>0.64091472581963971</v>
      </c>
      <c r="H86" s="161">
        <f>G86/E86</f>
        <v>0.91758774602868909</v>
      </c>
      <c r="I86" s="191">
        <f>F86/D86</f>
        <v>7.8758013876674346E-2</v>
      </c>
      <c r="J86" s="39"/>
      <c r="K86" s="39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82"/>
      <c r="AC86" s="387"/>
    </row>
    <row r="87" spans="2:32" x14ac:dyDescent="0.25">
      <c r="B87" s="374"/>
      <c r="C87" s="1" t="s">
        <v>55</v>
      </c>
      <c r="D87" s="167">
        <f>SUM(D91:D97)</f>
        <v>799119</v>
      </c>
      <c r="E87" s="163">
        <f>D87/D88</f>
        <v>0.30152213933379945</v>
      </c>
      <c r="F87" s="168">
        <f>SUM(F91:F97)</f>
        <v>81684</v>
      </c>
      <c r="G87" s="160">
        <f>F87/$F$88</f>
        <v>0.35908527418036029</v>
      </c>
      <c r="H87" s="161">
        <f>G87/E87</f>
        <v>1.1909084851074092</v>
      </c>
      <c r="I87" s="191">
        <f t="shared" ref="I87:I96" si="9">F87/D87</f>
        <v>0.10221756709576421</v>
      </c>
      <c r="J87" s="39"/>
      <c r="K87" s="39"/>
      <c r="L87" s="252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82"/>
      <c r="AC87" s="387"/>
    </row>
    <row r="88" spans="2:32" x14ac:dyDescent="0.25">
      <c r="B88" s="374"/>
      <c r="C88" s="1" t="s">
        <v>53</v>
      </c>
      <c r="D88" s="167">
        <f>SUM(D86:D87)</f>
        <v>2650283</v>
      </c>
      <c r="E88" s="192"/>
      <c r="F88" s="168">
        <f>SUM(F86:F87)</f>
        <v>227478</v>
      </c>
      <c r="G88" s="169"/>
      <c r="H88" s="161"/>
      <c r="I88" s="191">
        <f t="shared" si="9"/>
        <v>8.583158855110945E-2</v>
      </c>
      <c r="J88" s="39"/>
      <c r="K88" s="39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82"/>
      <c r="AC88" s="387"/>
    </row>
    <row r="89" spans="2:32" x14ac:dyDescent="0.25">
      <c r="B89" s="374"/>
      <c r="C89" s="1"/>
      <c r="D89" s="192"/>
      <c r="E89" s="192"/>
      <c r="F89" s="171"/>
      <c r="G89" s="169"/>
      <c r="H89" s="161"/>
      <c r="I89" s="191"/>
      <c r="J89" s="39"/>
      <c r="K89" s="39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82"/>
      <c r="AC89" s="387"/>
    </row>
    <row r="90" spans="2:32" x14ac:dyDescent="0.25">
      <c r="B90" s="374"/>
      <c r="C90" s="2" t="s">
        <v>56</v>
      </c>
      <c r="D90" s="192"/>
      <c r="E90" s="192"/>
      <c r="F90" s="169"/>
      <c r="G90" s="169"/>
      <c r="H90" s="161"/>
      <c r="I90" s="191"/>
      <c r="J90" s="39"/>
      <c r="K90" s="39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82"/>
      <c r="AC90" s="387"/>
    </row>
    <row r="91" spans="2:32" x14ac:dyDescent="0.25">
      <c r="B91" s="374"/>
      <c r="C91" s="1" t="s">
        <v>57</v>
      </c>
      <c r="D91" s="167">
        <v>317246</v>
      </c>
      <c r="E91" s="163">
        <f>D91/$D$87</f>
        <v>0.39699469040280611</v>
      </c>
      <c r="F91" s="168">
        <v>33168</v>
      </c>
      <c r="G91" s="160">
        <f>F91/$F$87</f>
        <v>0.40605259291905393</v>
      </c>
      <c r="H91" s="161">
        <f t="shared" ref="H91:H97" si="10">G91/E91</f>
        <v>1.0228161805062363</v>
      </c>
      <c r="I91" s="191">
        <f t="shared" si="9"/>
        <v>0.10454978155752949</v>
      </c>
      <c r="J91" s="39"/>
      <c r="K91" s="39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82"/>
      <c r="AC91" s="387"/>
    </row>
    <row r="92" spans="2:32" x14ac:dyDescent="0.25">
      <c r="B92" s="374"/>
      <c r="C92" s="1" t="s">
        <v>58</v>
      </c>
      <c r="D92" s="167">
        <v>138973</v>
      </c>
      <c r="E92" s="163">
        <f t="shared" ref="E92:E97" si="11">D92/$D$87</f>
        <v>0.17390776592722737</v>
      </c>
      <c r="F92" s="168">
        <v>16924</v>
      </c>
      <c r="G92" s="160">
        <f t="shared" ref="G92:G94" si="12">F92/$F$87</f>
        <v>0.20718867832133589</v>
      </c>
      <c r="H92" s="161">
        <f t="shared" si="10"/>
        <v>1.1913710535965087</v>
      </c>
      <c r="I92" s="191">
        <f t="shared" si="9"/>
        <v>0.12177905060695243</v>
      </c>
      <c r="J92" s="39"/>
      <c r="K92" s="39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82"/>
      <c r="AC92" s="387"/>
    </row>
    <row r="93" spans="2:32" x14ac:dyDescent="0.25">
      <c r="B93" s="374"/>
      <c r="C93" s="1" t="s">
        <v>59</v>
      </c>
      <c r="D93" s="167">
        <v>86259</v>
      </c>
      <c r="E93" s="163">
        <f t="shared" si="11"/>
        <v>0.10794262181227077</v>
      </c>
      <c r="F93" s="168">
        <v>13106</v>
      </c>
      <c r="G93" s="160">
        <f t="shared" si="12"/>
        <v>0.1604475784731404</v>
      </c>
      <c r="H93" s="161">
        <f t="shared" si="10"/>
        <v>1.4864154286726889</v>
      </c>
      <c r="I93" s="191">
        <f t="shared" si="9"/>
        <v>0.15193776881252971</v>
      </c>
      <c r="J93" s="39"/>
      <c r="K93" s="39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82"/>
      <c r="AC93" s="387"/>
    </row>
    <row r="94" spans="2:32" x14ac:dyDescent="0.25">
      <c r="B94" s="374"/>
      <c r="C94" s="172" t="s">
        <v>60</v>
      </c>
      <c r="D94" s="168">
        <v>151011</v>
      </c>
      <c r="E94" s="163">
        <f t="shared" si="11"/>
        <v>0.18897185525560023</v>
      </c>
      <c r="F94" s="174">
        <v>9975</v>
      </c>
      <c r="G94" s="160">
        <f t="shared" si="12"/>
        <v>0.12211693844571764</v>
      </c>
      <c r="H94" s="161">
        <f t="shared" si="10"/>
        <v>0.64621759827961822</v>
      </c>
      <c r="I94" s="191">
        <f t="shared" si="9"/>
        <v>6.6054790710610489E-2</v>
      </c>
      <c r="J94" s="39"/>
      <c r="K94" s="39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82"/>
      <c r="AC94" s="387"/>
    </row>
    <row r="95" spans="2:32" x14ac:dyDescent="0.25">
      <c r="B95" s="374"/>
      <c r="C95" s="1" t="s">
        <v>61</v>
      </c>
      <c r="D95" s="167">
        <v>53382</v>
      </c>
      <c r="E95" s="163">
        <f t="shared" si="11"/>
        <v>6.6801064672470559E-2</v>
      </c>
      <c r="F95" s="168">
        <v>2867</v>
      </c>
      <c r="G95" s="160">
        <f>F95/$F$87</f>
        <v>3.5098672934724059E-2</v>
      </c>
      <c r="H95" s="161">
        <f t="shared" si="10"/>
        <v>0.52542086128140109</v>
      </c>
      <c r="I95" s="191">
        <f>F95/D95</f>
        <v>5.370724214154584E-2</v>
      </c>
      <c r="J95" s="39"/>
      <c r="K95" s="39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82"/>
      <c r="AC95" s="387"/>
    </row>
    <row r="96" spans="2:32" x14ac:dyDescent="0.25">
      <c r="B96" s="374"/>
      <c r="C96" s="1" t="s">
        <v>62</v>
      </c>
      <c r="D96" s="167">
        <v>37425</v>
      </c>
      <c r="E96" s="163">
        <f t="shared" si="11"/>
        <v>4.683282464814377E-2</v>
      </c>
      <c r="F96" s="168">
        <v>3810</v>
      </c>
      <c r="G96" s="160">
        <f>F96/$F$87</f>
        <v>4.6643161451447042E-2</v>
      </c>
      <c r="H96" s="161">
        <f t="shared" si="10"/>
        <v>0.99595020804058532</v>
      </c>
      <c r="I96" s="191">
        <f t="shared" si="9"/>
        <v>0.10180360721442885</v>
      </c>
      <c r="J96" s="39"/>
      <c r="K96" s="39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82"/>
      <c r="AC96" s="387"/>
      <c r="AF96" s="13"/>
    </row>
    <row r="97" spans="2:32" ht="15.75" thickBot="1" x14ac:dyDescent="0.3">
      <c r="B97" s="375"/>
      <c r="C97" s="9" t="s">
        <v>63</v>
      </c>
      <c r="D97" s="175">
        <v>14823</v>
      </c>
      <c r="E97" s="179">
        <f t="shared" si="11"/>
        <v>1.8549177281481231E-2</v>
      </c>
      <c r="F97" s="177">
        <v>1834</v>
      </c>
      <c r="G97" s="176">
        <f>F97/$F$87</f>
        <v>2.245237745458107E-2</v>
      </c>
      <c r="H97" s="178">
        <f t="shared" si="10"/>
        <v>1.2104244362900471</v>
      </c>
      <c r="I97" s="198">
        <f>F97/D97</f>
        <v>0.12372664103083046</v>
      </c>
      <c r="J97" s="100"/>
      <c r="K97" s="100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83"/>
      <c r="AC97" s="388"/>
    </row>
    <row r="98" spans="2:32" ht="15.75" thickBot="1" x14ac:dyDescent="0.3">
      <c r="D98" s="8"/>
    </row>
    <row r="99" spans="2:32" x14ac:dyDescent="0.25">
      <c r="B99" s="373" t="s">
        <v>64</v>
      </c>
      <c r="C99" s="21" t="s">
        <v>65</v>
      </c>
      <c r="D99" s="23" t="s">
        <v>66</v>
      </c>
      <c r="E99" s="48" t="s">
        <v>67</v>
      </c>
      <c r="F99" s="48" t="s">
        <v>68</v>
      </c>
      <c r="G99" s="48" t="s">
        <v>51</v>
      </c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7"/>
      <c r="AC99" s="373" t="s">
        <v>19</v>
      </c>
    </row>
    <row r="100" spans="2:32" x14ac:dyDescent="0.25">
      <c r="B100" s="374"/>
      <c r="C100" s="1" t="s">
        <v>69</v>
      </c>
      <c r="D100" s="168">
        <v>86284</v>
      </c>
      <c r="E100" s="180">
        <v>723928</v>
      </c>
      <c r="F100" s="68"/>
      <c r="I100" s="8"/>
      <c r="AB100" s="4"/>
      <c r="AC100" s="374"/>
    </row>
    <row r="101" spans="2:32" x14ac:dyDescent="0.25">
      <c r="B101" s="374"/>
      <c r="C101" s="1" t="s">
        <v>70</v>
      </c>
      <c r="D101" s="160">
        <f>D100/H42</f>
        <v>0.51294794663876542</v>
      </c>
      <c r="E101" s="261">
        <v>0.18490000000000001</v>
      </c>
      <c r="F101" s="68"/>
      <c r="I101" s="8"/>
      <c r="AB101" s="4"/>
      <c r="AC101" s="374"/>
    </row>
    <row r="102" spans="2:32" x14ac:dyDescent="0.25">
      <c r="B102" s="374"/>
      <c r="C102" s="1"/>
      <c r="D102" s="199"/>
      <c r="E102" s="200"/>
      <c r="F102" s="14"/>
      <c r="I102" s="8"/>
      <c r="AB102" s="4"/>
      <c r="AC102" s="374"/>
      <c r="AF102" s="8"/>
    </row>
    <row r="103" spans="2:32" ht="14.45" customHeight="1" x14ac:dyDescent="0.25">
      <c r="B103" s="374"/>
      <c r="C103" s="1" t="s">
        <v>71</v>
      </c>
      <c r="D103" s="168">
        <v>227478</v>
      </c>
      <c r="E103" s="183">
        <v>1588394</v>
      </c>
      <c r="F103" s="68"/>
      <c r="I103" s="8"/>
      <c r="AB103" s="4"/>
      <c r="AC103" s="374"/>
      <c r="AD103" s="24"/>
      <c r="AF103" s="14"/>
    </row>
    <row r="104" spans="2:32" x14ac:dyDescent="0.25">
      <c r="B104" s="374"/>
      <c r="C104" s="1" t="s">
        <v>72</v>
      </c>
      <c r="D104" s="184">
        <f>D103/D100</f>
        <v>2.6363868156320986</v>
      </c>
      <c r="E104" s="161">
        <f>E103/E100</f>
        <v>2.1941325656695141</v>
      </c>
      <c r="F104" s="14"/>
      <c r="I104" s="8"/>
      <c r="AB104" s="4"/>
      <c r="AC104" s="374"/>
    </row>
    <row r="105" spans="2:32" x14ac:dyDescent="0.25">
      <c r="B105" s="374"/>
      <c r="C105" s="1"/>
      <c r="D105" s="202"/>
      <c r="E105" s="169"/>
      <c r="F105" s="14"/>
      <c r="I105" s="8"/>
      <c r="AB105" s="4"/>
      <c r="AC105" s="374"/>
      <c r="AF105" s="8"/>
    </row>
    <row r="106" spans="2:32" x14ac:dyDescent="0.25">
      <c r="B106" s="374"/>
      <c r="C106" s="1" t="s">
        <v>73</v>
      </c>
      <c r="D106" s="168">
        <v>132325</v>
      </c>
      <c r="E106" s="183">
        <v>1040444</v>
      </c>
      <c r="F106" s="14"/>
      <c r="I106" s="8"/>
      <c r="AB106" s="4"/>
      <c r="AC106" s="374"/>
      <c r="AF106" s="14"/>
    </row>
    <row r="107" spans="2:32" x14ac:dyDescent="0.25">
      <c r="B107" s="374"/>
      <c r="C107" s="1" t="s">
        <v>74</v>
      </c>
      <c r="D107" s="184">
        <f>D106/D100</f>
        <v>1.5335983496360854</v>
      </c>
      <c r="E107" s="165">
        <f>E106/E100</f>
        <v>1.4372202760495518</v>
      </c>
      <c r="F107" s="14"/>
      <c r="AB107" s="4"/>
      <c r="AC107" s="374"/>
    </row>
    <row r="108" spans="2:32" ht="15.75" thickBot="1" x14ac:dyDescent="0.3">
      <c r="B108" s="375"/>
      <c r="C108" s="9" t="s">
        <v>75</v>
      </c>
      <c r="D108" s="185">
        <f>D103/D106</f>
        <v>1.719085584734555</v>
      </c>
      <c r="E108" s="186">
        <f>E103/E106</f>
        <v>1.5266501608928496</v>
      </c>
      <c r="F108" s="18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11"/>
      <c r="AC108" s="375"/>
    </row>
    <row r="109" spans="2:32" x14ac:dyDescent="0.25">
      <c r="D109" s="37"/>
      <c r="E109" s="22"/>
      <c r="F109" s="14"/>
    </row>
    <row r="110" spans="2:32" s="35" customFormat="1" x14ac:dyDescent="0.25">
      <c r="B110" s="47"/>
      <c r="C110" s="78"/>
      <c r="D110" s="8"/>
      <c r="E110" s="13"/>
    </row>
    <row r="111" spans="2:32" s="35" customFormat="1" x14ac:dyDescent="0.25">
      <c r="B111" s="47"/>
      <c r="C111" s="78"/>
      <c r="D111" s="8"/>
      <c r="E111" s="34"/>
    </row>
    <row r="112" spans="2:32" s="35" customFormat="1" x14ac:dyDescent="0.25">
      <c r="B112" s="47"/>
      <c r="C112" s="78"/>
      <c r="D112" s="8"/>
      <c r="E112" s="34"/>
    </row>
    <row r="113" spans="2:5" s="35" customFormat="1" x14ac:dyDescent="0.25">
      <c r="B113" s="47"/>
      <c r="C113" s="78"/>
      <c r="D113" s="262"/>
      <c r="E113" s="34"/>
    </row>
    <row r="114" spans="2:5" s="35" customFormat="1" x14ac:dyDescent="0.25">
      <c r="B114" s="47"/>
      <c r="C114" s="78"/>
      <c r="D114" s="8"/>
      <c r="E114" s="78"/>
    </row>
    <row r="115" spans="2:5" s="35" customFormat="1" x14ac:dyDescent="0.25">
      <c r="B115" s="47"/>
      <c r="C115" s="78"/>
      <c r="D115" s="8"/>
      <c r="E115" s="34"/>
    </row>
  </sheetData>
  <mergeCells count="15">
    <mergeCell ref="C2:AB2"/>
    <mergeCell ref="D3:J3"/>
    <mergeCell ref="K3:M3"/>
    <mergeCell ref="Q3:S3"/>
    <mergeCell ref="W3:AB3"/>
    <mergeCell ref="B99:B108"/>
    <mergeCell ref="AC99:AC108"/>
    <mergeCell ref="B4:B43"/>
    <mergeCell ref="B45:B81"/>
    <mergeCell ref="AC45:AC81"/>
    <mergeCell ref="B83:B97"/>
    <mergeCell ref="D83:E83"/>
    <mergeCell ref="F83:G83"/>
    <mergeCell ref="AC83:AC97"/>
    <mergeCell ref="AC3:AC4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230E4-A225-4C60-9136-EE3E3931F7B4}">
  <sheetPr>
    <tabColor theme="9"/>
  </sheetPr>
  <dimension ref="A1:AF116"/>
  <sheetViews>
    <sheetView topLeftCell="A72" workbookViewId="0">
      <selection activeCell="K90" sqref="K90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15.7109375" style="3" bestFit="1" customWidth="1"/>
    <col min="7" max="7" width="10.85546875" style="3" bestFit="1" customWidth="1"/>
    <col min="8" max="8" width="14.28515625" style="3" bestFit="1" customWidth="1"/>
    <col min="9" max="13" width="13.28515625" style="3" customWidth="1"/>
    <col min="14" max="14" width="21.5703125" style="3" bestFit="1" customWidth="1"/>
    <col min="15" max="15" width="20.140625" style="3" bestFit="1" customWidth="1"/>
    <col min="16" max="16" width="22" style="3" bestFit="1" customWidth="1"/>
    <col min="17" max="18" width="13.28515625" style="3" customWidth="1"/>
    <col min="19" max="19" width="16" style="3" bestFit="1" customWidth="1"/>
    <col min="20" max="20" width="26.42578125" style="3" customWidth="1"/>
    <col min="21" max="21" width="20.140625" style="3" bestFit="1" customWidth="1"/>
    <col min="22" max="22" width="22" style="3" bestFit="1" customWidth="1"/>
    <col min="23" max="24" width="13.28515625" style="3" customWidth="1"/>
    <col min="25" max="25" width="16" style="3" bestFit="1" customWidth="1"/>
    <col min="26" max="26" width="26.85546875" style="3" bestFit="1" customWidth="1"/>
    <col min="27" max="27" width="20.140625" style="3" bestFit="1" customWidth="1"/>
    <col min="28" max="28" width="22" style="3" bestFit="1" customWidth="1"/>
    <col min="29" max="29" width="14.28515625" style="47" customWidth="1"/>
    <col min="30" max="16384" width="8.85546875" style="3"/>
  </cols>
  <sheetData>
    <row r="1" spans="1:31" ht="15.75" thickBot="1" x14ac:dyDescent="0.3">
      <c r="A1" s="8"/>
      <c r="B1" s="155"/>
    </row>
    <row r="2" spans="1:31" ht="15.75" thickBot="1" x14ac:dyDescent="0.3">
      <c r="A2" s="149"/>
      <c r="B2" s="154"/>
      <c r="C2" s="396" t="s">
        <v>176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3" t="s">
        <v>133</v>
      </c>
      <c r="X3" s="385"/>
      <c r="Y3" s="385"/>
      <c r="Z3" s="385"/>
      <c r="AA3" s="385"/>
      <c r="AB3" s="385"/>
      <c r="AC3" s="373" t="s">
        <v>10</v>
      </c>
    </row>
    <row r="4" spans="1:31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3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 x14ac:dyDescent="0.25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3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 x14ac:dyDescent="0.25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 x14ac:dyDescent="0.25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 x14ac:dyDescent="0.25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 x14ac:dyDescent="0.25">
      <c r="A43" s="8"/>
      <c r="B43" s="374"/>
      <c r="C43" s="271">
        <v>45589</v>
      </c>
      <c r="D43" s="220">
        <f>H42</f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21">
        <f t="shared" si="1"/>
        <v>170</v>
      </c>
      <c r="J43" s="227">
        <f t="shared" si="3"/>
        <v>6.2849261646018117E-2</v>
      </c>
      <c r="K43" s="246">
        <v>9699</v>
      </c>
      <c r="L43" s="264">
        <v>0.49690000000000001</v>
      </c>
      <c r="M43" s="228">
        <v>0.50309999999999999</v>
      </c>
      <c r="N43" s="228">
        <v>0.98629999999999995</v>
      </c>
      <c r="O43" s="228">
        <v>1.2699999999999999E-2</v>
      </c>
      <c r="P43" s="228">
        <v>1E-3</v>
      </c>
      <c r="Q43" s="220">
        <v>936</v>
      </c>
      <c r="R43" s="228">
        <v>0.53420000000000001</v>
      </c>
      <c r="S43" s="228">
        <v>0.46579999999999999</v>
      </c>
      <c r="T43" s="228">
        <v>0.76149999999999995</v>
      </c>
      <c r="U43" s="228">
        <v>0.21329999999999999</v>
      </c>
      <c r="V43" s="228">
        <v>2.52E-2</v>
      </c>
      <c r="W43" s="251">
        <v>81</v>
      </c>
      <c r="X43" s="231">
        <v>0.80249999999999999</v>
      </c>
      <c r="Y43" s="231">
        <v>0.19750000000000001</v>
      </c>
      <c r="Z43" s="231">
        <v>0.4375</v>
      </c>
      <c r="AA43" s="231">
        <v>0.1875</v>
      </c>
      <c r="AB43" s="231">
        <v>0.375</v>
      </c>
      <c r="AC43" s="374"/>
      <c r="AD43" s="39"/>
      <c r="AE43" s="142"/>
    </row>
    <row r="44" spans="1:31" ht="15.75" thickBot="1" x14ac:dyDescent="0.3">
      <c r="B44" s="375"/>
      <c r="C44" s="88" t="s">
        <v>78</v>
      </c>
      <c r="D44" s="135"/>
      <c r="E44" s="135">
        <f>SUM(E5:E43)</f>
        <v>416248</v>
      </c>
      <c r="F44" s="135">
        <f>SUM(F5:F43)</f>
        <v>283988.52</v>
      </c>
      <c r="G44" s="135">
        <f>SUM(G5:G43)</f>
        <v>247181</v>
      </c>
      <c r="H44" s="135"/>
      <c r="I44" s="136"/>
      <c r="J44" s="136"/>
      <c r="K44" s="272">
        <f>SUM(K5:K43)</f>
        <v>379425</v>
      </c>
      <c r="M44" s="136"/>
      <c r="N44" s="136"/>
      <c r="O44" s="136"/>
      <c r="P44" s="136"/>
      <c r="Q44" s="135">
        <f>SUM(Q17:Q43)</f>
        <v>34256</v>
      </c>
      <c r="R44" s="135"/>
      <c r="S44" s="136"/>
      <c r="T44" s="136"/>
      <c r="U44" s="136"/>
      <c r="V44" s="136"/>
      <c r="W44" s="113">
        <f>SUM(W20:W43)</f>
        <v>5287</v>
      </c>
      <c r="X44" s="93"/>
      <c r="Y44" s="93"/>
      <c r="Z44" s="93"/>
      <c r="AA44" s="93"/>
      <c r="AB44" s="157"/>
      <c r="AC44" s="375"/>
      <c r="AD44" s="8"/>
      <c r="AE44" s="142"/>
    </row>
    <row r="45" spans="1:31" ht="15.75" thickBot="1" x14ac:dyDescent="0.3">
      <c r="C45" s="224"/>
      <c r="D45" s="25"/>
      <c r="E45" s="50"/>
      <c r="F45" s="50"/>
      <c r="G45" s="50"/>
      <c r="H45" s="50"/>
      <c r="I45" s="50"/>
      <c r="J45" s="238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E45" s="142"/>
    </row>
    <row r="46" spans="1:31" x14ac:dyDescent="0.25">
      <c r="B46" s="381" t="s">
        <v>13</v>
      </c>
      <c r="C46" s="94"/>
      <c r="D46" s="48" t="s">
        <v>177</v>
      </c>
      <c r="E46" s="48" t="s">
        <v>15</v>
      </c>
      <c r="F46" s="48" t="s">
        <v>178</v>
      </c>
      <c r="G46" s="48" t="s">
        <v>156</v>
      </c>
      <c r="H46" s="48" t="s">
        <v>18</v>
      </c>
      <c r="I46" s="94"/>
      <c r="J46" s="116"/>
      <c r="K46" s="116"/>
      <c r="L46" s="47"/>
      <c r="M46" s="94"/>
      <c r="N46" s="94"/>
      <c r="O46" s="94"/>
      <c r="P46" s="94"/>
      <c r="Q46" s="94"/>
      <c r="R46" s="94"/>
      <c r="W46" s="94"/>
      <c r="X46" s="94"/>
      <c r="Y46" s="94"/>
      <c r="Z46" s="94"/>
      <c r="AA46" s="94"/>
      <c r="AB46" s="49"/>
      <c r="AC46" s="373" t="s">
        <v>19</v>
      </c>
      <c r="AE46" s="142"/>
    </row>
    <row r="47" spans="1:31" x14ac:dyDescent="0.25">
      <c r="B47" s="382"/>
      <c r="C47" s="156" t="s">
        <v>20</v>
      </c>
      <c r="D47" s="47"/>
      <c r="E47" s="47"/>
      <c r="F47" s="47"/>
      <c r="G47" s="260"/>
      <c r="I47" s="154"/>
      <c r="J47" s="8"/>
      <c r="M47" s="254"/>
      <c r="N47" s="254"/>
      <c r="O47" s="254"/>
      <c r="P47" s="254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12"/>
      <c r="AC47" s="374"/>
      <c r="AE47" s="8"/>
    </row>
    <row r="48" spans="1:31" x14ac:dyDescent="0.25">
      <c r="B48" s="382"/>
      <c r="C48" s="47" t="s">
        <v>21</v>
      </c>
      <c r="D48" s="160">
        <v>0.432</v>
      </c>
      <c r="E48" s="160">
        <v>0.44</v>
      </c>
      <c r="F48" s="14">
        <f>D48/E48</f>
        <v>0.98181818181818181</v>
      </c>
      <c r="G48" s="160">
        <v>0.52400000000000002</v>
      </c>
      <c r="H48" s="14">
        <f>E48/G48</f>
        <v>0.83969465648854957</v>
      </c>
      <c r="I48" s="253"/>
      <c r="J48" s="73"/>
      <c r="K48" s="158"/>
      <c r="L48" s="158"/>
      <c r="M48" s="14"/>
      <c r="N48" s="14"/>
      <c r="O48" s="14"/>
      <c r="P48" s="14"/>
      <c r="Q48" s="47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5"/>
      <c r="AC48" s="374"/>
      <c r="AE48" s="8"/>
    </row>
    <row r="49" spans="2:29" x14ac:dyDescent="0.25">
      <c r="B49" s="382"/>
      <c r="C49" s="47" t="s">
        <v>22</v>
      </c>
      <c r="D49" s="160">
        <v>0.56799999999999995</v>
      </c>
      <c r="E49" s="160">
        <v>0.56000000000000005</v>
      </c>
      <c r="F49" s="14">
        <f>D49/E49</f>
        <v>1.014285714285714</v>
      </c>
      <c r="G49" s="160">
        <v>0.47599999999999998</v>
      </c>
      <c r="H49" s="14">
        <f t="shared" ref="H49:H66" si="4">E49/G49</f>
        <v>1.1764705882352944</v>
      </c>
      <c r="I49" s="149"/>
      <c r="J49" s="73"/>
      <c r="K49" s="158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</row>
    <row r="50" spans="2:29" x14ac:dyDescent="0.25">
      <c r="B50" s="382"/>
      <c r="D50" s="190"/>
      <c r="E50" s="190"/>
      <c r="F50" s="14"/>
      <c r="G50" s="160"/>
      <c r="H50" s="170"/>
      <c r="I50" s="149"/>
      <c r="J50" s="222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29" x14ac:dyDescent="0.25">
      <c r="B51" s="382"/>
      <c r="C51" s="156" t="s">
        <v>23</v>
      </c>
      <c r="D51" s="169"/>
      <c r="E51" s="169"/>
      <c r="F51" s="14"/>
      <c r="G51" s="160"/>
      <c r="H51" s="170"/>
      <c r="I51" s="149"/>
      <c r="J51" s="39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29" x14ac:dyDescent="0.25">
      <c r="B52" s="382"/>
      <c r="C52" s="47" t="s">
        <v>24</v>
      </c>
      <c r="D52" s="160">
        <v>0</v>
      </c>
      <c r="E52" s="160">
        <v>0</v>
      </c>
      <c r="F52" s="14" t="s">
        <v>12</v>
      </c>
      <c r="G52" s="160">
        <v>0.01</v>
      </c>
      <c r="H52" s="14" t="s">
        <v>12</v>
      </c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29" x14ac:dyDescent="0.25">
      <c r="B53" s="382"/>
      <c r="C53" s="47" t="s">
        <v>25</v>
      </c>
      <c r="D53" s="160">
        <v>8.9999999999999993E-3</v>
      </c>
      <c r="E53" s="160">
        <v>5.0000000000000001E-3</v>
      </c>
      <c r="F53" s="14">
        <f>D53/E53</f>
        <v>1.7999999999999998</v>
      </c>
      <c r="G53" s="160">
        <v>0.13500000000000001</v>
      </c>
      <c r="H53" s="14">
        <f>E53/G53</f>
        <v>3.7037037037037035E-2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29" x14ac:dyDescent="0.25">
      <c r="B54" s="382"/>
      <c r="C54" s="47" t="s">
        <v>26</v>
      </c>
      <c r="D54" s="160">
        <v>0.48399999999999999</v>
      </c>
      <c r="E54" s="160">
        <v>0.40600000000000003</v>
      </c>
      <c r="F54" s="14">
        <f>D54/E54</f>
        <v>1.1921182266009851</v>
      </c>
      <c r="G54" s="160">
        <v>0.29699999999999999</v>
      </c>
      <c r="H54" s="14">
        <f>E54/G54</f>
        <v>1.3670033670033672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29" x14ac:dyDescent="0.25">
      <c r="B55" s="382"/>
      <c r="C55" s="47" t="s">
        <v>27</v>
      </c>
      <c r="D55" s="160">
        <v>0.38100000000000001</v>
      </c>
      <c r="E55" s="160">
        <v>0.40899999999999997</v>
      </c>
      <c r="F55" s="14">
        <f t="shared" ref="F55:F82" si="5">D55/E55</f>
        <v>0.93154034229828853</v>
      </c>
      <c r="G55" s="160">
        <v>0.32700000000000001</v>
      </c>
      <c r="H55" s="14">
        <f t="shared" si="4"/>
        <v>1.2507645259938838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29" x14ac:dyDescent="0.25">
      <c r="B56" s="382"/>
      <c r="C56" s="47" t="s">
        <v>28</v>
      </c>
      <c r="D56" s="160">
        <v>0.111</v>
      </c>
      <c r="E56" s="160">
        <v>0.155</v>
      </c>
      <c r="F56" s="14">
        <f t="shared" si="5"/>
        <v>0.71612903225806457</v>
      </c>
      <c r="G56" s="160">
        <v>0.16500000000000001</v>
      </c>
      <c r="H56" s="14">
        <f>E56/G56</f>
        <v>0.93939393939393934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29" x14ac:dyDescent="0.25">
      <c r="B57" s="382"/>
      <c r="C57" s="47" t="s">
        <v>29</v>
      </c>
      <c r="D57" s="160">
        <v>1.4999999999999999E-2</v>
      </c>
      <c r="E57" s="160">
        <v>2.4E-2</v>
      </c>
      <c r="F57" s="14">
        <f t="shared" si="5"/>
        <v>0.625</v>
      </c>
      <c r="G57" s="160">
        <v>6.6000000000000003E-2</v>
      </c>
      <c r="H57" s="14">
        <f t="shared" si="4"/>
        <v>0.36363636363636365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29" x14ac:dyDescent="0.25">
      <c r="B58" s="382"/>
      <c r="D58" s="160"/>
      <c r="E58" s="190"/>
      <c r="F58" s="14"/>
      <c r="G58" s="190"/>
      <c r="H58" s="170"/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29" x14ac:dyDescent="0.25">
      <c r="B59" s="382"/>
      <c r="C59" s="156" t="s">
        <v>30</v>
      </c>
      <c r="D59" s="169"/>
      <c r="E59" s="169"/>
      <c r="F59" s="14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29" x14ac:dyDescent="0.25">
      <c r="B60" s="382"/>
      <c r="C60" s="47" t="s">
        <v>31</v>
      </c>
      <c r="D60" s="160">
        <v>0.495</v>
      </c>
      <c r="E60" s="163">
        <v>0.47599999999999998</v>
      </c>
      <c r="F60" s="14">
        <f>D60/E60</f>
        <v>1.0399159663865547</v>
      </c>
      <c r="G60" s="160">
        <v>0.47899999999999998</v>
      </c>
      <c r="H60" s="14">
        <f>E60/G60</f>
        <v>0.99373695198329848</v>
      </c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29" x14ac:dyDescent="0.25">
      <c r="B61" s="382"/>
      <c r="C61" s="47" t="s">
        <v>32</v>
      </c>
      <c r="D61" s="160">
        <v>0.191</v>
      </c>
      <c r="E61" s="160">
        <v>0.2</v>
      </c>
      <c r="F61" s="14">
        <f>D61/E61</f>
        <v>0.95499999999999996</v>
      </c>
      <c r="G61" s="160">
        <v>0.156</v>
      </c>
      <c r="H61" s="14">
        <f t="shared" si="4"/>
        <v>1.2820512820512822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29" x14ac:dyDescent="0.25">
      <c r="B62" s="382"/>
      <c r="C62" s="47" t="s">
        <v>33</v>
      </c>
      <c r="D62" s="160">
        <v>0.113</v>
      </c>
      <c r="E62" s="160">
        <v>0.124</v>
      </c>
      <c r="F62" s="14">
        <f>D62/E62</f>
        <v>0.91129032258064524</v>
      </c>
      <c r="G62" s="160">
        <v>0.124</v>
      </c>
      <c r="H62" s="14">
        <f t="shared" si="4"/>
        <v>1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29" x14ac:dyDescent="0.25">
      <c r="B63" s="382"/>
      <c r="C63" s="47" t="s">
        <v>34</v>
      </c>
      <c r="D63" s="160">
        <v>0.10100000000000001</v>
      </c>
      <c r="E63" s="160">
        <v>9.6000000000000002E-2</v>
      </c>
      <c r="F63" s="14">
        <f t="shared" ref="F63:F66" si="6">D63/E63</f>
        <v>1.0520833333333335</v>
      </c>
      <c r="G63" s="160">
        <v>0.115</v>
      </c>
      <c r="H63" s="14">
        <f t="shared" si="4"/>
        <v>0.83478260869565213</v>
      </c>
      <c r="I63" s="223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29" x14ac:dyDescent="0.25">
      <c r="B64" s="382"/>
      <c r="C64" s="47" t="s">
        <v>35</v>
      </c>
      <c r="D64" s="160">
        <v>2.4E-2</v>
      </c>
      <c r="E64" s="160">
        <v>2.3E-2</v>
      </c>
      <c r="F64" s="14">
        <f t="shared" si="6"/>
        <v>1.0434782608695652</v>
      </c>
      <c r="G64" s="160">
        <v>3.3000000000000002E-2</v>
      </c>
      <c r="H64" s="14">
        <f t="shared" si="4"/>
        <v>0.69696969696969691</v>
      </c>
      <c r="I64" s="149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 x14ac:dyDescent="0.25">
      <c r="B65" s="382"/>
      <c r="C65" s="47" t="s">
        <v>36</v>
      </c>
      <c r="D65" s="160">
        <v>1.6E-2</v>
      </c>
      <c r="E65" s="160">
        <v>1.4999999999999999E-2</v>
      </c>
      <c r="F65" s="14">
        <f t="shared" si="6"/>
        <v>1.0666666666666667</v>
      </c>
      <c r="G65" s="160">
        <v>1.9E-2</v>
      </c>
      <c r="H65" s="14">
        <f t="shared" si="4"/>
        <v>0.78947368421052633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 x14ac:dyDescent="0.25">
      <c r="B66" s="382"/>
      <c r="C66" s="47" t="s">
        <v>37</v>
      </c>
      <c r="D66" s="160">
        <v>6.0999999999999999E-2</v>
      </c>
      <c r="E66" s="160">
        <v>6.5000000000000002E-2</v>
      </c>
      <c r="F66" s="14">
        <f t="shared" si="6"/>
        <v>0.93846153846153846</v>
      </c>
      <c r="G66" s="160">
        <v>7.3999999999999996E-2</v>
      </c>
      <c r="H66" s="14">
        <f t="shared" si="4"/>
        <v>0.8783783783783784</v>
      </c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 x14ac:dyDescent="0.25">
      <c r="B67" s="382"/>
      <c r="D67" s="190"/>
      <c r="E67" s="190"/>
      <c r="F67" s="14"/>
      <c r="G67" s="190"/>
      <c r="H67" s="170"/>
      <c r="I67" s="149"/>
      <c r="J67" s="222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 x14ac:dyDescent="0.25">
      <c r="B68" s="382"/>
      <c r="C68" s="156" t="s">
        <v>38</v>
      </c>
      <c r="D68" s="162"/>
      <c r="E68" s="169"/>
      <c r="F68" s="14"/>
      <c r="G68" s="190"/>
      <c r="H68" s="170"/>
      <c r="I68" s="149"/>
      <c r="J68" s="222"/>
      <c r="K68" s="239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5"/>
      <c r="AC68" s="374"/>
    </row>
    <row r="69" spans="2:29" x14ac:dyDescent="0.25">
      <c r="B69" s="382"/>
      <c r="C69" s="47" t="s">
        <v>39</v>
      </c>
      <c r="D69" s="160">
        <v>0.57799999999999996</v>
      </c>
      <c r="E69" s="160">
        <v>0.45800000000000002</v>
      </c>
      <c r="F69" s="14">
        <f>D69/E69</f>
        <v>1.2620087336244541</v>
      </c>
      <c r="G69" s="164">
        <v>0.48499999999999999</v>
      </c>
      <c r="H69" s="72">
        <f>E69/G69</f>
        <v>0.94432989690721658</v>
      </c>
      <c r="I69" s="149"/>
      <c r="J69" s="240"/>
      <c r="K69" s="241"/>
      <c r="L69" s="16"/>
      <c r="M69" s="16"/>
      <c r="N69" s="16"/>
      <c r="O69" s="16"/>
      <c r="P69" s="16"/>
      <c r="Q69" s="68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36"/>
      <c r="AC69" s="374"/>
    </row>
    <row r="70" spans="2:29" x14ac:dyDescent="0.25">
      <c r="B70" s="382"/>
      <c r="C70" s="47" t="s">
        <v>40</v>
      </c>
      <c r="D70" s="160">
        <v>4.4999999999999998E-2</v>
      </c>
      <c r="E70" s="160">
        <v>4.9000000000000002E-2</v>
      </c>
      <c r="F70" s="14">
        <f>D70/E70</f>
        <v>0.91836734693877542</v>
      </c>
      <c r="G70" s="160">
        <v>7.3999999999999996E-2</v>
      </c>
      <c r="H70" s="72">
        <f>E70/G70</f>
        <v>0.66216216216216217</v>
      </c>
      <c r="I70" s="149"/>
      <c r="J70" s="240"/>
      <c r="K70" s="241"/>
      <c r="L70" s="14"/>
      <c r="M70" s="16"/>
      <c r="N70" s="16"/>
      <c r="O70" s="16"/>
      <c r="P70" s="16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374"/>
    </row>
    <row r="71" spans="2:29" x14ac:dyDescent="0.25">
      <c r="B71" s="382"/>
      <c r="C71" s="47" t="s">
        <v>41</v>
      </c>
      <c r="D71" s="160">
        <v>8.2000000000000003E-2</v>
      </c>
      <c r="E71" s="160">
        <v>0.09</v>
      </c>
      <c r="F71" s="14">
        <f>D71/E71</f>
        <v>0.9111111111111112</v>
      </c>
      <c r="G71" s="160">
        <v>0.129</v>
      </c>
      <c r="H71" s="72">
        <f>E71/G71</f>
        <v>0.69767441860465107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 x14ac:dyDescent="0.25">
      <c r="B72" s="382"/>
      <c r="C72" s="47" t="s">
        <v>42</v>
      </c>
      <c r="D72" s="160">
        <v>0.09</v>
      </c>
      <c r="E72" s="160">
        <v>0.114</v>
      </c>
      <c r="F72" s="14">
        <f>D72/E72</f>
        <v>0.78947368421052622</v>
      </c>
      <c r="G72" s="160">
        <v>0.13400000000000001</v>
      </c>
      <c r="H72" s="72">
        <f>E72/G72</f>
        <v>0.85074626865671643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 x14ac:dyDescent="0.25">
      <c r="B73" s="382"/>
      <c r="C73" s="47" t="s">
        <v>43</v>
      </c>
      <c r="D73" s="160">
        <v>0.111</v>
      </c>
      <c r="E73" s="160">
        <v>0.14599999999999999</v>
      </c>
      <c r="F73" s="14">
        <f>D73/E73</f>
        <v>0.76027397260273977</v>
      </c>
      <c r="G73" s="160">
        <v>0.11799999999999999</v>
      </c>
      <c r="H73" s="72">
        <f>E73/G73</f>
        <v>1.2372881355932204</v>
      </c>
      <c r="I73" s="149"/>
      <c r="J73" s="240"/>
      <c r="K73" s="241"/>
      <c r="L73" s="14"/>
      <c r="M73" s="16"/>
      <c r="N73" s="16"/>
      <c r="O73" s="16"/>
      <c r="P73" s="16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 x14ac:dyDescent="0.25">
      <c r="B74" s="382"/>
      <c r="C74" s="47" t="s">
        <v>44</v>
      </c>
      <c r="D74" s="160">
        <v>9.2999999999999999E-2</v>
      </c>
      <c r="E74" s="160">
        <v>0.14299999999999999</v>
      </c>
      <c r="F74" s="14">
        <f t="shared" si="5"/>
        <v>0.65034965034965042</v>
      </c>
      <c r="G74" s="160">
        <v>0.06</v>
      </c>
      <c r="H74" s="72">
        <f t="shared" ref="H74" si="7">E74/G74</f>
        <v>2.3833333333333333</v>
      </c>
      <c r="J74" s="34"/>
      <c r="K74" s="2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 x14ac:dyDescent="0.25">
      <c r="B75" s="382"/>
      <c r="D75" s="190"/>
      <c r="E75" s="190"/>
      <c r="F75" s="14"/>
      <c r="G75" s="160"/>
      <c r="H75" s="170"/>
      <c r="I75" s="149"/>
      <c r="J75" s="222"/>
      <c r="K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 x14ac:dyDescent="0.25">
      <c r="B76" s="382"/>
      <c r="C76" s="156" t="s">
        <v>157</v>
      </c>
      <c r="D76" s="190"/>
      <c r="E76" s="190"/>
      <c r="F76" s="14"/>
      <c r="G76" s="160"/>
      <c r="H76" s="170"/>
      <c r="I76" s="149"/>
      <c r="J76" s="39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 x14ac:dyDescent="0.25">
      <c r="B77" s="382"/>
      <c r="C77" s="47" t="s">
        <v>39</v>
      </c>
      <c r="D77" s="160">
        <v>0.32900000000000001</v>
      </c>
      <c r="E77" s="160">
        <v>0.157</v>
      </c>
      <c r="F77" s="14">
        <f t="shared" si="5"/>
        <v>2.0955414012738856</v>
      </c>
      <c r="G77" s="163">
        <v>0.30299999999999999</v>
      </c>
      <c r="H77" s="72">
        <f>E77/G77</f>
        <v>0.5181518151815182</v>
      </c>
      <c r="I77" s="149"/>
      <c r="J77" s="3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 x14ac:dyDescent="0.25">
      <c r="B78" s="382"/>
      <c r="C78" s="47" t="s">
        <v>40</v>
      </c>
      <c r="D78" s="160">
        <v>5.7000000000000002E-2</v>
      </c>
      <c r="E78" s="160">
        <v>5.8999999999999997E-2</v>
      </c>
      <c r="F78" s="14">
        <f t="shared" si="5"/>
        <v>0.96610169491525433</v>
      </c>
      <c r="G78" s="163">
        <v>0.14199999999999999</v>
      </c>
      <c r="H78" s="72">
        <f t="shared" ref="H78:H82" si="8">E78/G78</f>
        <v>0.41549295774647887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 x14ac:dyDescent="0.25">
      <c r="B79" s="382"/>
      <c r="C79" s="47" t="s">
        <v>41</v>
      </c>
      <c r="D79" s="160">
        <v>0.112</v>
      </c>
      <c r="E79" s="160">
        <v>0.129</v>
      </c>
      <c r="F79" s="14">
        <f t="shared" si="5"/>
        <v>0.86821705426356588</v>
      </c>
      <c r="G79" s="163">
        <v>0.21299999999999999</v>
      </c>
      <c r="H79" s="72">
        <f t="shared" si="8"/>
        <v>0.60563380281690149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 x14ac:dyDescent="0.25">
      <c r="B80" s="382"/>
      <c r="C80" s="47" t="s">
        <v>42</v>
      </c>
      <c r="D80" s="160">
        <v>0.13600000000000001</v>
      </c>
      <c r="E80" s="160">
        <v>0.16300000000000001</v>
      </c>
      <c r="F80" s="14">
        <f t="shared" si="5"/>
        <v>0.83435582822085896</v>
      </c>
      <c r="G80" s="163">
        <v>0.16900000000000001</v>
      </c>
      <c r="H80" s="72">
        <f t="shared" si="8"/>
        <v>0.96449704142011827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29" x14ac:dyDescent="0.25">
      <c r="B81" s="382"/>
      <c r="C81" s="47" t="s">
        <v>43</v>
      </c>
      <c r="D81" s="160">
        <v>0.17799999999999999</v>
      </c>
      <c r="E81" s="160">
        <v>0.22700000000000001</v>
      </c>
      <c r="F81" s="14">
        <f t="shared" si="5"/>
        <v>0.78414096916299558</v>
      </c>
      <c r="G81" s="163">
        <v>0.11799999999999999</v>
      </c>
      <c r="H81" s="72">
        <f t="shared" si="8"/>
        <v>1.9237288135593222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4"/>
    </row>
    <row r="82" spans="2:29" ht="15.75" thickBot="1" x14ac:dyDescent="0.3">
      <c r="B82" s="383"/>
      <c r="C82" s="47" t="s">
        <v>44</v>
      </c>
      <c r="D82" s="160">
        <v>0.187</v>
      </c>
      <c r="E82" s="160">
        <v>0.26700000000000002</v>
      </c>
      <c r="F82" s="14">
        <f t="shared" si="5"/>
        <v>0.70037453183520593</v>
      </c>
      <c r="G82" s="163">
        <v>5.5E-2</v>
      </c>
      <c r="H82" s="72">
        <f t="shared" si="8"/>
        <v>4.8545454545454545</v>
      </c>
      <c r="I82" s="149"/>
      <c r="J82" s="3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375"/>
    </row>
    <row r="83" spans="2:29" ht="15.75" thickBot="1" x14ac:dyDescent="0.3">
      <c r="B83" s="266"/>
      <c r="C83" s="224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25"/>
    </row>
    <row r="84" spans="2:29" x14ac:dyDescent="0.25">
      <c r="B84" s="373" t="s">
        <v>45</v>
      </c>
      <c r="C84" s="5"/>
      <c r="D84" s="385" t="s">
        <v>46</v>
      </c>
      <c r="E84" s="385"/>
      <c r="F84" s="385" t="s">
        <v>47</v>
      </c>
      <c r="G84" s="385"/>
      <c r="H84" s="42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7"/>
      <c r="AC84" s="386" t="s">
        <v>48</v>
      </c>
    </row>
    <row r="85" spans="2:29" x14ac:dyDescent="0.25">
      <c r="B85" s="374"/>
      <c r="C85" s="1"/>
      <c r="D85" s="40" t="s">
        <v>49</v>
      </c>
      <c r="E85" s="40" t="s">
        <v>50</v>
      </c>
      <c r="F85" s="40" t="s">
        <v>49</v>
      </c>
      <c r="G85" s="40" t="s">
        <v>50</v>
      </c>
      <c r="H85" s="41" t="s">
        <v>51</v>
      </c>
      <c r="I85" s="96" t="s">
        <v>52</v>
      </c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97"/>
      <c r="V85" s="97"/>
      <c r="W85" s="97"/>
      <c r="X85" s="97"/>
      <c r="Y85" s="97"/>
      <c r="Z85" s="97"/>
      <c r="AA85" s="97"/>
      <c r="AB85" s="99"/>
      <c r="AC85" s="387"/>
    </row>
    <row r="86" spans="2:29" x14ac:dyDescent="0.25">
      <c r="B86" s="374"/>
      <c r="C86" s="2" t="s">
        <v>53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  <c r="AC86" s="387"/>
    </row>
    <row r="87" spans="2:29" x14ac:dyDescent="0.25">
      <c r="B87" s="374"/>
      <c r="C87" s="1" t="s">
        <v>54</v>
      </c>
      <c r="D87" s="167">
        <v>1788142</v>
      </c>
      <c r="E87" s="163">
        <f>D87/D89</f>
        <v>0.68292573008625646</v>
      </c>
      <c r="F87" s="168">
        <v>141497</v>
      </c>
      <c r="G87" s="160">
        <f>F87/$F$89</f>
        <v>0.61216481643318821</v>
      </c>
      <c r="H87" s="161">
        <f>G87/E87</f>
        <v>0.89638563823897677</v>
      </c>
      <c r="I87" s="191">
        <f>F87/D87</f>
        <v>7.9130740176115766E-2</v>
      </c>
      <c r="J87" s="39"/>
      <c r="K87" s="39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82"/>
      <c r="AC87" s="387"/>
    </row>
    <row r="88" spans="2:29" x14ac:dyDescent="0.25">
      <c r="B88" s="374"/>
      <c r="C88" s="1" t="s">
        <v>55</v>
      </c>
      <c r="D88" s="167">
        <f>SUM(D92:D98)</f>
        <v>830213</v>
      </c>
      <c r="E88" s="163">
        <f>D88/D89</f>
        <v>0.31707426991374354</v>
      </c>
      <c r="F88" s="168">
        <f>SUM(F92:F98)</f>
        <v>89645</v>
      </c>
      <c r="G88" s="160">
        <f>F88/$F$89</f>
        <v>0.38783518356681174</v>
      </c>
      <c r="H88" s="161">
        <f>G88/E88</f>
        <v>1.223168261720883</v>
      </c>
      <c r="I88" s="191">
        <f t="shared" ref="I88:I97" si="9">F88/D88</f>
        <v>0.10797831399893762</v>
      </c>
      <c r="J88" s="39"/>
      <c r="K88" s="39"/>
      <c r="L88" s="252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82"/>
      <c r="AC88" s="387"/>
    </row>
    <row r="89" spans="2:29" x14ac:dyDescent="0.25">
      <c r="B89" s="374"/>
      <c r="C89" s="1" t="s">
        <v>53</v>
      </c>
      <c r="D89" s="167">
        <f>SUM(D87:D88)</f>
        <v>2618355</v>
      </c>
      <c r="E89" s="192"/>
      <c r="F89" s="168">
        <f>SUM(F87:F88)</f>
        <v>231142</v>
      </c>
      <c r="G89" s="169"/>
      <c r="H89" s="161"/>
      <c r="I89" s="191">
        <f t="shared" si="9"/>
        <v>8.8277563584769833E-2</v>
      </c>
      <c r="J89" s="39"/>
      <c r="K89" s="39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82"/>
      <c r="AC89" s="387"/>
    </row>
    <row r="90" spans="2:29" x14ac:dyDescent="0.25">
      <c r="B90" s="374"/>
      <c r="C90" s="1"/>
      <c r="D90" s="192"/>
      <c r="E90" s="192"/>
      <c r="F90" s="171"/>
      <c r="G90" s="169"/>
      <c r="H90" s="161"/>
      <c r="I90" s="191"/>
      <c r="J90" s="39"/>
      <c r="K90" s="39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82"/>
      <c r="AC90" s="387"/>
    </row>
    <row r="91" spans="2:29" x14ac:dyDescent="0.25">
      <c r="B91" s="374"/>
      <c r="C91" s="2" t="s">
        <v>56</v>
      </c>
      <c r="D91" s="192"/>
      <c r="E91" s="192"/>
      <c r="F91" s="169"/>
      <c r="G91" s="169"/>
      <c r="H91" s="161"/>
      <c r="I91" s="191"/>
      <c r="J91" s="39"/>
      <c r="K91" s="39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82"/>
      <c r="AC91" s="387"/>
    </row>
    <row r="92" spans="2:29" x14ac:dyDescent="0.25">
      <c r="B92" s="374"/>
      <c r="C92" s="1" t="s">
        <v>57</v>
      </c>
      <c r="D92" s="167">
        <v>312222</v>
      </c>
      <c r="E92" s="163">
        <f>D92/$D$88</f>
        <v>0.37607457363351332</v>
      </c>
      <c r="F92" s="168">
        <v>32692</v>
      </c>
      <c r="G92" s="160">
        <f>F92/$F$88</f>
        <v>0.36468291594623237</v>
      </c>
      <c r="H92" s="161">
        <f t="shared" ref="H92:H98" si="10">G92/E92</f>
        <v>0.96970904579584216</v>
      </c>
      <c r="I92" s="191">
        <f t="shared" si="9"/>
        <v>0.10470754783455362</v>
      </c>
      <c r="J92" s="39"/>
      <c r="K92" s="39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82"/>
      <c r="AC92" s="387"/>
    </row>
    <row r="93" spans="2:29" x14ac:dyDescent="0.25">
      <c r="B93" s="374"/>
      <c r="C93" s="1" t="s">
        <v>58</v>
      </c>
      <c r="D93" s="167">
        <v>135782</v>
      </c>
      <c r="E93" s="163">
        <f t="shared" ref="E93:E98" si="11">D93/$D$88</f>
        <v>0.16355079961407495</v>
      </c>
      <c r="F93" s="168">
        <v>19723</v>
      </c>
      <c r="G93" s="160">
        <f t="shared" ref="G93:G95" si="12">F93/$F$88</f>
        <v>0.22001227062301298</v>
      </c>
      <c r="H93" s="161">
        <f t="shared" si="10"/>
        <v>1.3452228368321535</v>
      </c>
      <c r="I93" s="191">
        <f t="shared" si="9"/>
        <v>0.14525489387400392</v>
      </c>
      <c r="J93" s="39"/>
      <c r="K93" s="39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82"/>
      <c r="AC93" s="387"/>
    </row>
    <row r="94" spans="2:29" x14ac:dyDescent="0.25">
      <c r="B94" s="374"/>
      <c r="C94" s="1" t="s">
        <v>59</v>
      </c>
      <c r="D94" s="167">
        <v>66544</v>
      </c>
      <c r="E94" s="163">
        <f t="shared" si="11"/>
        <v>8.0152924610913098E-2</v>
      </c>
      <c r="F94" s="168">
        <v>10474</v>
      </c>
      <c r="G94" s="160">
        <f t="shared" si="12"/>
        <v>0.1168386413073791</v>
      </c>
      <c r="H94" s="161">
        <f t="shared" si="10"/>
        <v>1.4576965453793449</v>
      </c>
      <c r="I94" s="191">
        <f t="shared" si="9"/>
        <v>0.15739961529213753</v>
      </c>
      <c r="J94" s="39"/>
      <c r="K94" s="39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82"/>
      <c r="AC94" s="387"/>
    </row>
    <row r="95" spans="2:29" x14ac:dyDescent="0.25">
      <c r="B95" s="374"/>
      <c r="C95" s="172" t="s">
        <v>60</v>
      </c>
      <c r="D95" s="168">
        <v>222444</v>
      </c>
      <c r="E95" s="163">
        <f t="shared" si="11"/>
        <v>0.26793605978224866</v>
      </c>
      <c r="F95" s="174">
        <v>17688</v>
      </c>
      <c r="G95" s="160">
        <f t="shared" si="12"/>
        <v>0.19731161804897093</v>
      </c>
      <c r="H95" s="161">
        <f t="shared" si="10"/>
        <v>0.73641307634861042</v>
      </c>
      <c r="I95" s="191">
        <f t="shared" si="9"/>
        <v>7.9516642390893885E-2</v>
      </c>
      <c r="J95" s="39"/>
      <c r="K95" s="39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82"/>
      <c r="AC95" s="387"/>
    </row>
    <row r="96" spans="2:29" x14ac:dyDescent="0.25">
      <c r="B96" s="374"/>
      <c r="C96" s="1" t="s">
        <v>61</v>
      </c>
      <c r="D96" s="167">
        <v>51672</v>
      </c>
      <c r="E96" s="163">
        <f t="shared" si="11"/>
        <v>6.2239449394312064E-2</v>
      </c>
      <c r="F96" s="168">
        <v>4298</v>
      </c>
      <c r="G96" s="160">
        <f>F96/$F$88</f>
        <v>4.794467064532322E-2</v>
      </c>
      <c r="H96" s="161">
        <f t="shared" si="10"/>
        <v>0.77032607312404644</v>
      </c>
      <c r="I96" s="191">
        <f>F96/D96</f>
        <v>8.3178510605356873E-2</v>
      </c>
      <c r="J96" s="39"/>
      <c r="K96" s="39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82"/>
      <c r="AC96" s="387"/>
    </row>
    <row r="97" spans="2:32" x14ac:dyDescent="0.25">
      <c r="B97" s="374"/>
      <c r="C97" s="1" t="s">
        <v>62</v>
      </c>
      <c r="D97" s="167">
        <v>31810</v>
      </c>
      <c r="E97" s="163">
        <f t="shared" si="11"/>
        <v>3.831546844002684E-2</v>
      </c>
      <c r="F97" s="168">
        <v>3624</v>
      </c>
      <c r="G97" s="160">
        <f>F97/$F$88</f>
        <v>4.0426125271905852E-2</v>
      </c>
      <c r="H97" s="161">
        <f t="shared" si="10"/>
        <v>1.0550862854562959</v>
      </c>
      <c r="I97" s="191">
        <f t="shared" si="9"/>
        <v>0.11392643822697265</v>
      </c>
      <c r="J97" s="39"/>
      <c r="K97" s="39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82"/>
      <c r="AC97" s="387"/>
      <c r="AF97" s="13"/>
    </row>
    <row r="98" spans="2:32" ht="15.75" thickBot="1" x14ac:dyDescent="0.3">
      <c r="B98" s="375"/>
      <c r="C98" s="9" t="s">
        <v>63</v>
      </c>
      <c r="D98" s="175">
        <v>9739</v>
      </c>
      <c r="E98" s="179">
        <f t="shared" si="11"/>
        <v>1.1730724524911078E-2</v>
      </c>
      <c r="F98" s="177">
        <v>1146</v>
      </c>
      <c r="G98" s="176">
        <f>F98/$F$88</f>
        <v>1.2783758157175525E-2</v>
      </c>
      <c r="H98" s="178">
        <f t="shared" si="10"/>
        <v>1.0897671435407295</v>
      </c>
      <c r="I98" s="198">
        <f>F98/D98</f>
        <v>0.11767121881096622</v>
      </c>
      <c r="J98" s="100"/>
      <c r="K98" s="100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83"/>
      <c r="AC98" s="388"/>
    </row>
    <row r="99" spans="2:32" ht="15.75" thickBot="1" x14ac:dyDescent="0.3">
      <c r="D99" s="8"/>
    </row>
    <row r="100" spans="2:32" x14ac:dyDescent="0.25">
      <c r="B100" s="373" t="s">
        <v>64</v>
      </c>
      <c r="C100" s="21" t="s">
        <v>65</v>
      </c>
      <c r="D100" s="23" t="s">
        <v>66</v>
      </c>
      <c r="E100" s="48" t="s">
        <v>67</v>
      </c>
      <c r="F100" s="48" t="s">
        <v>68</v>
      </c>
      <c r="G100" s="48" t="s">
        <v>51</v>
      </c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7"/>
      <c r="AC100" s="373" t="s">
        <v>19</v>
      </c>
    </row>
    <row r="101" spans="2:32" x14ac:dyDescent="0.25">
      <c r="B101" s="374"/>
      <c r="C101" s="1" t="s">
        <v>69</v>
      </c>
      <c r="D101" s="168">
        <v>86678</v>
      </c>
      <c r="E101" s="180">
        <v>663914</v>
      </c>
      <c r="F101" s="68"/>
      <c r="I101" s="8"/>
      <c r="AB101" s="4"/>
      <c r="AC101" s="374"/>
    </row>
    <row r="102" spans="2:32" x14ac:dyDescent="0.25">
      <c r="B102" s="374"/>
      <c r="C102" s="1" t="s">
        <v>70</v>
      </c>
      <c r="D102" s="160">
        <f>D101/H43</f>
        <v>0.51476998729080303</v>
      </c>
      <c r="E102" s="261">
        <v>0.1704</v>
      </c>
      <c r="F102" s="68"/>
      <c r="I102" s="8"/>
      <c r="AB102" s="4"/>
      <c r="AC102" s="374"/>
    </row>
    <row r="103" spans="2:32" x14ac:dyDescent="0.25">
      <c r="B103" s="374"/>
      <c r="C103" s="1"/>
      <c r="D103" s="199"/>
      <c r="E103" s="200"/>
      <c r="F103" s="14"/>
      <c r="I103" s="8"/>
      <c r="AB103" s="4"/>
      <c r="AC103" s="374"/>
      <c r="AF103" s="8"/>
    </row>
    <row r="104" spans="2:32" ht="14.45" customHeight="1" x14ac:dyDescent="0.25">
      <c r="B104" s="374"/>
      <c r="C104" s="1" t="s">
        <v>71</v>
      </c>
      <c r="D104" s="168">
        <v>231254</v>
      </c>
      <c r="E104" s="183">
        <v>1439007</v>
      </c>
      <c r="F104" s="68"/>
      <c r="I104" s="8"/>
      <c r="AB104" s="4"/>
      <c r="AC104" s="374"/>
      <c r="AD104" s="24"/>
      <c r="AF104" s="14"/>
    </row>
    <row r="105" spans="2:32" x14ac:dyDescent="0.25">
      <c r="B105" s="374"/>
      <c r="C105" s="1" t="s">
        <v>72</v>
      </c>
      <c r="D105" s="184">
        <f>D104/D101</f>
        <v>2.6679664966888947</v>
      </c>
      <c r="E105" s="161">
        <f>E104/E101</f>
        <v>2.1674599421009346</v>
      </c>
      <c r="F105" s="14"/>
      <c r="I105" s="8"/>
      <c r="AB105" s="4"/>
      <c r="AC105" s="374"/>
    </row>
    <row r="106" spans="2:32" x14ac:dyDescent="0.25">
      <c r="B106" s="374"/>
      <c r="C106" s="1"/>
      <c r="D106" s="202"/>
      <c r="E106" s="169"/>
      <c r="F106" s="14"/>
      <c r="I106" s="8"/>
      <c r="AB106" s="4"/>
      <c r="AC106" s="374"/>
      <c r="AF106" s="8"/>
    </row>
    <row r="107" spans="2:32" x14ac:dyDescent="0.25">
      <c r="B107" s="374"/>
      <c r="C107" s="1" t="s">
        <v>73</v>
      </c>
      <c r="D107" s="168">
        <v>136391</v>
      </c>
      <c r="E107" s="183">
        <v>986577</v>
      </c>
      <c r="F107" s="14"/>
      <c r="I107" s="8"/>
      <c r="AB107" s="4"/>
      <c r="AC107" s="374"/>
      <c r="AF107" s="14"/>
    </row>
    <row r="108" spans="2:32" x14ac:dyDescent="0.25">
      <c r="B108" s="374"/>
      <c r="C108" s="1" t="s">
        <v>74</v>
      </c>
      <c r="D108" s="184">
        <f>D107/D101</f>
        <v>1.5735365375297077</v>
      </c>
      <c r="E108" s="165">
        <f>E107/E101</f>
        <v>1.4860011989504665</v>
      </c>
      <c r="F108" s="14"/>
      <c r="AB108" s="4"/>
      <c r="AC108" s="374"/>
    </row>
    <row r="109" spans="2:32" ht="15.75" thickBot="1" x14ac:dyDescent="0.3">
      <c r="B109" s="375"/>
      <c r="C109" s="9" t="s">
        <v>75</v>
      </c>
      <c r="D109" s="185">
        <f>D104/D107</f>
        <v>1.6955224318320123</v>
      </c>
      <c r="E109" s="186">
        <f>E104/E107</f>
        <v>1.4585855944340889</v>
      </c>
      <c r="F109" s="18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11"/>
      <c r="AC109" s="375"/>
    </row>
    <row r="110" spans="2:32" x14ac:dyDescent="0.25">
      <c r="D110" s="37"/>
      <c r="E110" s="22"/>
      <c r="F110" s="14"/>
    </row>
    <row r="111" spans="2:32" s="35" customFormat="1" x14ac:dyDescent="0.25">
      <c r="B111" s="47"/>
      <c r="C111" s="78"/>
      <c r="D111" s="8"/>
      <c r="E111" s="13"/>
    </row>
    <row r="112" spans="2:32" s="35" customFormat="1" x14ac:dyDescent="0.25">
      <c r="B112" s="47"/>
      <c r="C112" s="78"/>
      <c r="D112" s="8"/>
      <c r="E112" s="34"/>
    </row>
    <row r="113" spans="2:5" s="35" customFormat="1" x14ac:dyDescent="0.25">
      <c r="B113" s="47"/>
      <c r="C113" s="78"/>
      <c r="D113" s="8"/>
      <c r="E113" s="34"/>
    </row>
    <row r="114" spans="2:5" s="35" customFormat="1" x14ac:dyDescent="0.25">
      <c r="B114" s="47"/>
      <c r="C114" s="78"/>
      <c r="D114" s="262"/>
      <c r="E114" s="34"/>
    </row>
    <row r="115" spans="2:5" s="35" customFormat="1" x14ac:dyDescent="0.25">
      <c r="B115" s="47"/>
      <c r="C115" s="78"/>
      <c r="D115" s="8"/>
      <c r="E115" s="78"/>
    </row>
    <row r="116" spans="2:5" s="35" customFormat="1" x14ac:dyDescent="0.25">
      <c r="B116" s="47"/>
      <c r="C116" s="78"/>
      <c r="D116" s="8"/>
      <c r="E116" s="34"/>
    </row>
  </sheetData>
  <mergeCells count="15">
    <mergeCell ref="B100:B109"/>
    <mergeCell ref="AC100:AC109"/>
    <mergeCell ref="AC3:AC44"/>
    <mergeCell ref="B4:B44"/>
    <mergeCell ref="B46:B82"/>
    <mergeCell ref="AC46:AC82"/>
    <mergeCell ref="B84:B98"/>
    <mergeCell ref="D84:E84"/>
    <mergeCell ref="F84:G84"/>
    <mergeCell ref="AC84:AC98"/>
    <mergeCell ref="C2:AB2"/>
    <mergeCell ref="D3:J3"/>
    <mergeCell ref="K3:M3"/>
    <mergeCell ref="Q3:S3"/>
    <mergeCell ref="W3:AB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6C00-2208-4B31-9A11-BEA66736D0AC}">
  <sheetPr>
    <tabColor theme="9"/>
  </sheetPr>
  <dimension ref="A1:AF117"/>
  <sheetViews>
    <sheetView workbookViewId="0">
      <pane xSplit="3" ySplit="4" topLeftCell="I19" activePane="bottomRight" state="frozen"/>
      <selection pane="topRight" activeCell="D1" sqref="D1"/>
      <selection pane="bottomLeft" activeCell="A5" sqref="A5"/>
      <selection pane="bottomRight" activeCell="AA95" sqref="AA95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36.710937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4.28515625" style="3" bestFit="1" customWidth="1"/>
    <col min="9" max="13" width="13.28515625" style="3" customWidth="1"/>
    <col min="14" max="14" width="21.5703125" style="3" bestFit="1" customWidth="1"/>
    <col min="15" max="15" width="20.140625" style="3" bestFit="1" customWidth="1"/>
    <col min="16" max="16" width="22" style="3" bestFit="1" customWidth="1"/>
    <col min="17" max="18" width="13.28515625" style="3" customWidth="1"/>
    <col min="19" max="19" width="16" style="3" bestFit="1" customWidth="1"/>
    <col min="20" max="20" width="26.42578125" style="3" customWidth="1"/>
    <col min="21" max="21" width="20.140625" style="3" bestFit="1" customWidth="1"/>
    <col min="22" max="22" width="22" style="3" bestFit="1" customWidth="1"/>
    <col min="23" max="24" width="13.28515625" style="3" customWidth="1"/>
    <col min="25" max="25" width="16" style="3" bestFit="1" customWidth="1"/>
    <col min="26" max="26" width="26.85546875" style="3" bestFit="1" customWidth="1"/>
    <col min="27" max="27" width="20.140625" style="3" bestFit="1" customWidth="1"/>
    <col min="28" max="28" width="22" style="3" bestFit="1" customWidth="1"/>
    <col min="29" max="29" width="14.28515625" style="47" customWidth="1"/>
    <col min="30" max="16384" width="8.85546875" style="3"/>
  </cols>
  <sheetData>
    <row r="1" spans="1:31" ht="15.75" thickBot="1" x14ac:dyDescent="0.3">
      <c r="A1" s="8"/>
      <c r="B1" s="155"/>
    </row>
    <row r="2" spans="1:31" ht="15.75" thickBot="1" x14ac:dyDescent="0.3">
      <c r="A2" s="149"/>
      <c r="B2" s="154"/>
      <c r="C2" s="396" t="s">
        <v>179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403"/>
      <c r="Z2" s="403"/>
      <c r="AA2" s="403"/>
      <c r="AB2" s="403"/>
      <c r="AC2" s="27" t="s">
        <v>1</v>
      </c>
    </row>
    <row r="3" spans="1:31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400" t="s">
        <v>128</v>
      </c>
      <c r="L3" s="401"/>
      <c r="M3" s="401"/>
      <c r="N3" s="40"/>
      <c r="O3" s="40"/>
      <c r="P3" s="40"/>
      <c r="Q3" s="399" t="s">
        <v>129</v>
      </c>
      <c r="R3" s="399"/>
      <c r="S3" s="400"/>
      <c r="T3" s="91"/>
      <c r="U3" s="91"/>
      <c r="V3" s="91"/>
      <c r="W3" s="393" t="s">
        <v>133</v>
      </c>
      <c r="X3" s="385"/>
      <c r="Y3" s="385"/>
      <c r="Z3" s="385"/>
      <c r="AA3" s="385"/>
      <c r="AB3" s="385"/>
      <c r="AC3" s="373" t="s">
        <v>10</v>
      </c>
    </row>
    <row r="4" spans="1:31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4" t="s">
        <v>9</v>
      </c>
      <c r="K4" s="114" t="s">
        <v>5</v>
      </c>
      <c r="L4" s="114" t="s">
        <v>115</v>
      </c>
      <c r="M4" s="114" t="s">
        <v>116</v>
      </c>
      <c r="N4" s="267" t="s">
        <v>168</v>
      </c>
      <c r="O4" s="267" t="s">
        <v>169</v>
      </c>
      <c r="P4" s="267" t="s">
        <v>170</v>
      </c>
      <c r="Q4" s="114" t="s">
        <v>5</v>
      </c>
      <c r="R4" s="62" t="s">
        <v>115</v>
      </c>
      <c r="S4" s="91" t="s">
        <v>171</v>
      </c>
      <c r="T4" s="268" t="s">
        <v>172</v>
      </c>
      <c r="U4" s="268" t="s">
        <v>169</v>
      </c>
      <c r="V4" s="269" t="s">
        <v>170</v>
      </c>
      <c r="W4" s="114" t="s">
        <v>5</v>
      </c>
      <c r="X4" s="114" t="s">
        <v>115</v>
      </c>
      <c r="Y4" s="270" t="s">
        <v>171</v>
      </c>
      <c r="Z4" s="269" t="s">
        <v>173</v>
      </c>
      <c r="AA4" s="269" t="s">
        <v>169</v>
      </c>
      <c r="AB4" s="269" t="s">
        <v>170</v>
      </c>
      <c r="AC4" s="374"/>
    </row>
    <row r="5" spans="1:31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>
        <v>16908</v>
      </c>
      <c r="J5" s="52" t="s">
        <v>12</v>
      </c>
      <c r="K5" s="53">
        <v>16908</v>
      </c>
      <c r="L5" s="105">
        <v>1</v>
      </c>
      <c r="M5" s="105">
        <v>0</v>
      </c>
      <c r="N5" s="105"/>
      <c r="O5" s="105"/>
      <c r="P5" s="105"/>
      <c r="Q5" s="52" t="s">
        <v>12</v>
      </c>
      <c r="R5" s="52" t="s">
        <v>12</v>
      </c>
      <c r="S5" s="249" t="s">
        <v>12</v>
      </c>
      <c r="T5" s="249"/>
      <c r="U5" s="249" t="s">
        <v>12</v>
      </c>
      <c r="V5" s="249"/>
      <c r="W5" s="52" t="s">
        <v>12</v>
      </c>
      <c r="X5" s="52" t="s">
        <v>12</v>
      </c>
      <c r="Y5" s="249" t="s">
        <v>12</v>
      </c>
      <c r="Z5" s="249"/>
      <c r="AA5" s="249"/>
      <c r="AB5" s="249" t="s">
        <v>12</v>
      </c>
      <c r="AC5" s="374"/>
    </row>
    <row r="6" spans="1:31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>
        <v>7176</v>
      </c>
      <c r="J6" s="140">
        <f>G6/H5</f>
        <v>9.829666430092264E-2</v>
      </c>
      <c r="K6" s="53">
        <v>8838</v>
      </c>
      <c r="L6" s="105">
        <v>0.96481104322244848</v>
      </c>
      <c r="M6" s="105">
        <v>3.5188956777551482E-2</v>
      </c>
      <c r="N6" s="105"/>
      <c r="O6" s="105"/>
      <c r="P6" s="105"/>
      <c r="Q6" s="52" t="s">
        <v>12</v>
      </c>
      <c r="R6" s="52" t="s">
        <v>12</v>
      </c>
      <c r="S6" s="249" t="s">
        <v>12</v>
      </c>
      <c r="T6" s="249"/>
      <c r="U6" s="249" t="s">
        <v>12</v>
      </c>
      <c r="V6" s="249"/>
      <c r="W6" s="52" t="s">
        <v>12</v>
      </c>
      <c r="X6" s="52" t="s">
        <v>12</v>
      </c>
      <c r="Y6" s="249" t="s">
        <v>12</v>
      </c>
      <c r="Z6" s="249"/>
      <c r="AA6" s="249"/>
      <c r="AB6" s="249" t="s">
        <v>12</v>
      </c>
      <c r="AC6" s="374"/>
      <c r="AD6" s="39"/>
      <c r="AE6" s="39"/>
    </row>
    <row r="7" spans="1:31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>
        <v>8364</v>
      </c>
      <c r="J7" s="140">
        <f t="shared" ref="J7:J20" si="0">G7/H6</f>
        <v>8.4620494934396273E-2</v>
      </c>
      <c r="K7" s="53">
        <v>10402</v>
      </c>
      <c r="L7" s="105">
        <v>0.92174581811190159</v>
      </c>
      <c r="M7" s="105">
        <v>7.8254181888098448E-2</v>
      </c>
      <c r="N7" s="105"/>
      <c r="O7" s="105"/>
      <c r="P7" s="105"/>
      <c r="Q7" s="52" t="s">
        <v>12</v>
      </c>
      <c r="R7" s="52" t="s">
        <v>12</v>
      </c>
      <c r="S7" s="249" t="s">
        <v>12</v>
      </c>
      <c r="T7" s="249"/>
      <c r="U7" s="249" t="s">
        <v>12</v>
      </c>
      <c r="V7" s="249"/>
      <c r="W7" s="52" t="s">
        <v>12</v>
      </c>
      <c r="X7" s="52" t="s">
        <v>12</v>
      </c>
      <c r="Y7" s="249" t="s">
        <v>12</v>
      </c>
      <c r="Z7" s="249"/>
      <c r="AA7" s="249"/>
      <c r="AB7" s="249" t="s">
        <v>12</v>
      </c>
      <c r="AC7" s="374"/>
      <c r="AD7" s="39"/>
      <c r="AE7" s="39"/>
    </row>
    <row r="8" spans="1:31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>
        <v>5290</v>
      </c>
      <c r="J8" s="140">
        <f t="shared" si="0"/>
        <v>5.4394723865877709E-2</v>
      </c>
      <c r="K8" s="53">
        <v>7055</v>
      </c>
      <c r="L8" s="105">
        <v>0.90007087172218281</v>
      </c>
      <c r="M8" s="105">
        <v>9.992912827781715E-2</v>
      </c>
      <c r="N8" s="105"/>
      <c r="O8" s="105"/>
      <c r="P8" s="105"/>
      <c r="Q8" s="52" t="s">
        <v>12</v>
      </c>
      <c r="R8" s="52" t="s">
        <v>12</v>
      </c>
      <c r="S8" s="249" t="s">
        <v>12</v>
      </c>
      <c r="T8" s="249"/>
      <c r="U8" s="249" t="s">
        <v>12</v>
      </c>
      <c r="V8" s="249"/>
      <c r="W8" s="52" t="s">
        <v>12</v>
      </c>
      <c r="X8" s="52" t="s">
        <v>12</v>
      </c>
      <c r="Y8" s="249" t="s">
        <v>12</v>
      </c>
      <c r="Z8" s="249"/>
      <c r="AA8" s="249"/>
      <c r="AB8" s="249" t="s">
        <v>12</v>
      </c>
      <c r="AC8" s="374"/>
      <c r="AD8" s="39"/>
      <c r="AE8" s="39"/>
    </row>
    <row r="9" spans="1:31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>
        <v>2317</v>
      </c>
      <c r="J9" s="140">
        <f t="shared" si="0"/>
        <v>5.6600773755895915E-2</v>
      </c>
      <c r="K9" s="53">
        <v>4453</v>
      </c>
      <c r="L9" s="105">
        <v>0.84235346957107571</v>
      </c>
      <c r="M9" s="105">
        <v>0.15764653042892432</v>
      </c>
      <c r="N9" s="105"/>
      <c r="O9" s="105"/>
      <c r="P9" s="105"/>
      <c r="Q9" s="52" t="s">
        <v>12</v>
      </c>
      <c r="R9" s="52" t="s">
        <v>12</v>
      </c>
      <c r="S9" s="249" t="s">
        <v>12</v>
      </c>
      <c r="T9" s="249"/>
      <c r="U9" s="249" t="s">
        <v>12</v>
      </c>
      <c r="V9" s="249"/>
      <c r="W9" s="52" t="s">
        <v>12</v>
      </c>
      <c r="X9" s="52" t="s">
        <v>12</v>
      </c>
      <c r="Y9" s="249" t="s">
        <v>12</v>
      </c>
      <c r="Z9" s="249"/>
      <c r="AA9" s="249"/>
      <c r="AB9" s="249" t="s">
        <v>12</v>
      </c>
      <c r="AC9" s="374"/>
      <c r="AD9" s="39"/>
      <c r="AE9" s="39"/>
    </row>
    <row r="10" spans="1:31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>
        <v>-1032</v>
      </c>
      <c r="J10" s="140">
        <f t="shared" si="0"/>
        <v>5.3875920609162402E-2</v>
      </c>
      <c r="K10" s="53">
        <v>1126</v>
      </c>
      <c r="L10" s="105">
        <v>0.79040852575488452</v>
      </c>
      <c r="M10" s="105">
        <v>0.20959147424511546</v>
      </c>
      <c r="N10" s="105"/>
      <c r="O10" s="105"/>
      <c r="P10" s="105"/>
      <c r="Q10" s="52" t="s">
        <v>12</v>
      </c>
      <c r="R10" s="52" t="s">
        <v>12</v>
      </c>
      <c r="S10" s="249" t="s">
        <v>12</v>
      </c>
      <c r="T10" s="249"/>
      <c r="U10" s="249" t="s">
        <v>12</v>
      </c>
      <c r="V10" s="249"/>
      <c r="W10" s="52" t="s">
        <v>12</v>
      </c>
      <c r="X10" s="52" t="s">
        <v>12</v>
      </c>
      <c r="Y10" s="249" t="s">
        <v>12</v>
      </c>
      <c r="Z10" s="249"/>
      <c r="AA10" s="249"/>
      <c r="AB10" s="249" t="s">
        <v>12</v>
      </c>
      <c r="AC10" s="374"/>
      <c r="AD10" s="39"/>
      <c r="AE10" s="39"/>
    </row>
    <row r="11" spans="1:31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>
        <v>298</v>
      </c>
      <c r="J11" s="140">
        <f t="shared" si="0"/>
        <v>5.4250057658304075E-2</v>
      </c>
      <c r="K11" s="53">
        <v>2415</v>
      </c>
      <c r="L11" s="105">
        <v>0.65962732919254663</v>
      </c>
      <c r="M11" s="105">
        <v>0.34037267080745343</v>
      </c>
      <c r="N11" s="105"/>
      <c r="O11" s="105"/>
      <c r="P11" s="105"/>
      <c r="Q11" s="52" t="s">
        <v>12</v>
      </c>
      <c r="R11" s="52" t="s">
        <v>12</v>
      </c>
      <c r="S11" s="249" t="s">
        <v>12</v>
      </c>
      <c r="T11" s="249"/>
      <c r="U11" s="249" t="s">
        <v>12</v>
      </c>
      <c r="V11" s="249"/>
      <c r="W11" s="52" t="s">
        <v>12</v>
      </c>
      <c r="X11" s="52" t="s">
        <v>12</v>
      </c>
      <c r="Y11" s="249" t="s">
        <v>12</v>
      </c>
      <c r="Z11" s="249"/>
      <c r="AA11" s="249"/>
      <c r="AB11" s="249" t="s">
        <v>12</v>
      </c>
      <c r="AC11" s="374"/>
      <c r="AD11" s="39"/>
      <c r="AE11" s="39"/>
    </row>
    <row r="12" spans="1:31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>
        <v>2687</v>
      </c>
      <c r="J12" s="140">
        <f t="shared" si="0"/>
        <v>4.1097632308435696E-2</v>
      </c>
      <c r="K12" s="53">
        <v>4303</v>
      </c>
      <c r="L12" s="105">
        <v>0.75970253311643043</v>
      </c>
      <c r="M12" s="105">
        <v>0.24029746688356959</v>
      </c>
      <c r="N12" s="105"/>
      <c r="O12" s="105"/>
      <c r="P12" s="105"/>
      <c r="Q12" s="52" t="s">
        <v>12</v>
      </c>
      <c r="R12" s="52" t="s">
        <v>12</v>
      </c>
      <c r="S12" s="249" t="s">
        <v>12</v>
      </c>
      <c r="T12" s="249"/>
      <c r="U12" s="249" t="s">
        <v>12</v>
      </c>
      <c r="V12" s="249"/>
      <c r="W12" s="52" t="s">
        <v>12</v>
      </c>
      <c r="X12" s="52" t="s">
        <v>12</v>
      </c>
      <c r="Y12" s="249" t="s">
        <v>12</v>
      </c>
      <c r="Z12" s="249"/>
      <c r="AA12" s="249"/>
      <c r="AB12" s="249" t="s">
        <v>12</v>
      </c>
      <c r="AC12" s="374"/>
      <c r="AD12" s="39"/>
      <c r="AE12" s="39"/>
    </row>
    <row r="13" spans="1:31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>
        <v>5351</v>
      </c>
      <c r="J13" s="140">
        <f t="shared" si="0"/>
        <v>4.6872024376309274E-2</v>
      </c>
      <c r="K13" s="53">
        <v>7320</v>
      </c>
      <c r="L13" s="105">
        <v>0.8437158469945355</v>
      </c>
      <c r="M13" s="105">
        <v>0.15628415300546447</v>
      </c>
      <c r="N13" s="105"/>
      <c r="O13" s="105"/>
      <c r="P13" s="105"/>
      <c r="Q13" s="52" t="s">
        <v>12</v>
      </c>
      <c r="R13" s="52" t="s">
        <v>12</v>
      </c>
      <c r="S13" s="249" t="s">
        <v>12</v>
      </c>
      <c r="T13" s="249"/>
      <c r="U13" s="249" t="s">
        <v>12</v>
      </c>
      <c r="V13" s="249"/>
      <c r="W13" s="52" t="s">
        <v>12</v>
      </c>
      <c r="X13" s="52" t="s">
        <v>12</v>
      </c>
      <c r="Y13" s="249" t="s">
        <v>12</v>
      </c>
      <c r="Z13" s="249"/>
      <c r="AA13" s="249"/>
      <c r="AB13" s="249" t="s">
        <v>12</v>
      </c>
      <c r="AC13" s="374"/>
      <c r="AD13" s="39"/>
      <c r="AE13" s="39"/>
    </row>
    <row r="14" spans="1:31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>
        <v>6746</v>
      </c>
      <c r="J14" s="140">
        <f t="shared" si="0"/>
        <v>4.8438522772862605E-2</v>
      </c>
      <c r="K14" s="53">
        <v>9040</v>
      </c>
      <c r="L14" s="105">
        <v>0.87289823008849554</v>
      </c>
      <c r="M14" s="105">
        <v>0.12710176991150443</v>
      </c>
      <c r="N14" s="105"/>
      <c r="O14" s="105"/>
      <c r="P14" s="105"/>
      <c r="Q14" s="52" t="s">
        <v>12</v>
      </c>
      <c r="R14" s="52" t="s">
        <v>12</v>
      </c>
      <c r="S14" s="249" t="s">
        <v>12</v>
      </c>
      <c r="T14" s="249"/>
      <c r="U14" s="249" t="s">
        <v>12</v>
      </c>
      <c r="V14" s="249"/>
      <c r="W14" s="52" t="s">
        <v>12</v>
      </c>
      <c r="X14" s="52" t="s">
        <v>12</v>
      </c>
      <c r="Y14" s="249" t="s">
        <v>12</v>
      </c>
      <c r="Z14" s="249"/>
      <c r="AA14" s="249"/>
      <c r="AB14" s="249" t="s">
        <v>12</v>
      </c>
      <c r="AC14" s="374"/>
      <c r="AD14" s="39"/>
      <c r="AE14" s="39"/>
    </row>
    <row r="15" spans="1:31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>
        <v>8350</v>
      </c>
      <c r="J15" s="140">
        <f t="shared" si="0"/>
        <v>5.4782367618519547E-2</v>
      </c>
      <c r="K15" s="53">
        <v>11314</v>
      </c>
      <c r="L15" s="105">
        <v>0.89057804490012371</v>
      </c>
      <c r="M15" s="105">
        <v>0.10942195509987626</v>
      </c>
      <c r="N15" s="105"/>
      <c r="O15" s="105"/>
      <c r="P15" s="105"/>
      <c r="Q15" s="52" t="s">
        <v>12</v>
      </c>
      <c r="R15" s="52" t="s">
        <v>12</v>
      </c>
      <c r="S15" s="249" t="s">
        <v>12</v>
      </c>
      <c r="T15" s="249"/>
      <c r="U15" s="249" t="s">
        <v>12</v>
      </c>
      <c r="V15" s="249"/>
      <c r="W15" s="52" t="s">
        <v>12</v>
      </c>
      <c r="X15" s="52" t="s">
        <v>12</v>
      </c>
      <c r="Y15" s="249" t="s">
        <v>12</v>
      </c>
      <c r="Z15" s="249"/>
      <c r="AA15" s="249"/>
      <c r="AB15" s="249" t="s">
        <v>12</v>
      </c>
      <c r="AC15" s="374"/>
      <c r="AD15" s="39"/>
      <c r="AE15" s="39"/>
    </row>
    <row r="16" spans="1:31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>
        <v>9632</v>
      </c>
      <c r="J16" s="140">
        <f t="shared" si="0"/>
        <v>5.773757105115683E-2</v>
      </c>
      <c r="K16" s="53">
        <v>13238</v>
      </c>
      <c r="L16" s="105">
        <v>0.87543435564284633</v>
      </c>
      <c r="M16" s="105">
        <v>0.12</v>
      </c>
      <c r="N16" s="105"/>
      <c r="O16" s="105"/>
      <c r="P16" s="105"/>
      <c r="Q16" s="52" t="s">
        <v>12</v>
      </c>
      <c r="R16" s="52" t="s">
        <v>12</v>
      </c>
      <c r="S16" s="249" t="s">
        <v>12</v>
      </c>
      <c r="T16" s="249"/>
      <c r="U16" s="249" t="s">
        <v>12</v>
      </c>
      <c r="V16" s="249"/>
      <c r="W16" s="52" t="s">
        <v>12</v>
      </c>
      <c r="X16" s="52" t="s">
        <v>12</v>
      </c>
      <c r="Y16" s="249" t="s">
        <v>12</v>
      </c>
      <c r="Z16" s="249"/>
      <c r="AA16" s="249"/>
      <c r="AB16" s="249" t="s">
        <v>12</v>
      </c>
      <c r="AC16" s="374"/>
      <c r="AD16" s="39"/>
      <c r="AE16" s="39"/>
    </row>
    <row r="17" spans="1:31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>
        <v>2232</v>
      </c>
      <c r="J17" s="140">
        <f t="shared" si="0"/>
        <v>6.76959784704593E-2</v>
      </c>
      <c r="K17" s="53">
        <v>7078</v>
      </c>
      <c r="L17" s="105">
        <v>0.84</v>
      </c>
      <c r="M17" s="105">
        <v>0.16</v>
      </c>
      <c r="N17" s="105"/>
      <c r="O17" s="105"/>
      <c r="P17" s="105"/>
      <c r="Q17" s="53">
        <v>66</v>
      </c>
      <c r="R17" s="105">
        <v>0.52</v>
      </c>
      <c r="S17" s="98">
        <v>0.48</v>
      </c>
      <c r="T17" s="98"/>
      <c r="U17" s="98" t="s">
        <v>12</v>
      </c>
      <c r="V17" s="98"/>
      <c r="W17" s="52" t="s">
        <v>12</v>
      </c>
      <c r="X17" s="52" t="s">
        <v>12</v>
      </c>
      <c r="Y17" s="249" t="s">
        <v>12</v>
      </c>
      <c r="Z17" s="249"/>
      <c r="AA17" s="249"/>
      <c r="AB17" s="249" t="s">
        <v>12</v>
      </c>
      <c r="AC17" s="374"/>
      <c r="AD17" s="39"/>
      <c r="AE17" s="39"/>
    </row>
    <row r="18" spans="1:31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>
        <v>446</v>
      </c>
      <c r="J18" s="140">
        <f t="shared" si="0"/>
        <v>6.0199948869064442E-2</v>
      </c>
      <c r="K18" s="53">
        <v>4413</v>
      </c>
      <c r="L18" s="105">
        <v>0.75</v>
      </c>
      <c r="M18" s="105">
        <v>0.25</v>
      </c>
      <c r="N18" s="105"/>
      <c r="O18" s="105"/>
      <c r="P18" s="105"/>
      <c r="Q18" s="53">
        <v>1718</v>
      </c>
      <c r="R18" s="105">
        <v>0.3</v>
      </c>
      <c r="S18" s="98">
        <v>0.7</v>
      </c>
      <c r="T18" s="98"/>
      <c r="U18" s="98"/>
      <c r="V18" s="98"/>
      <c r="W18" s="52" t="s">
        <v>12</v>
      </c>
      <c r="X18" s="52" t="s">
        <v>12</v>
      </c>
      <c r="Y18" s="249" t="s">
        <v>12</v>
      </c>
      <c r="Z18" s="249"/>
      <c r="AA18" s="249"/>
      <c r="AB18" s="249" t="s">
        <v>12</v>
      </c>
      <c r="AC18" s="374"/>
      <c r="AD18" s="39"/>
      <c r="AE18" s="142"/>
    </row>
    <row r="19" spans="1:31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>
        <v>2748</v>
      </c>
      <c r="J19" s="140">
        <f t="shared" si="0"/>
        <v>6.5685815555406937E-2</v>
      </c>
      <c r="K19" s="146">
        <v>6929</v>
      </c>
      <c r="L19" s="147">
        <v>0.72</v>
      </c>
      <c r="M19" s="147">
        <v>0.28000000000000003</v>
      </c>
      <c r="N19" s="147"/>
      <c r="O19" s="147"/>
      <c r="P19" s="147"/>
      <c r="Q19" s="146">
        <v>1168</v>
      </c>
      <c r="R19" s="147">
        <v>0.63</v>
      </c>
      <c r="S19" s="250">
        <v>0.37</v>
      </c>
      <c r="T19" s="250"/>
      <c r="U19" s="250"/>
      <c r="V19" s="250"/>
      <c r="W19" s="52" t="s">
        <v>12</v>
      </c>
      <c r="X19" s="52" t="s">
        <v>12</v>
      </c>
      <c r="Y19" s="249" t="s">
        <v>12</v>
      </c>
      <c r="Z19" s="249"/>
      <c r="AA19" s="249"/>
      <c r="AB19" s="249" t="s">
        <v>12</v>
      </c>
      <c r="AC19" s="374"/>
      <c r="AD19" s="39"/>
      <c r="AE19" s="142"/>
    </row>
    <row r="20" spans="1:31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>
        <v>4330</v>
      </c>
      <c r="J20" s="140">
        <f t="shared" si="0"/>
        <v>5.9293279836930578E-2</v>
      </c>
      <c r="K20" s="146">
        <v>7512</v>
      </c>
      <c r="L20" s="147">
        <v>0.70673588924387643</v>
      </c>
      <c r="M20" s="147">
        <v>0.29326411075612357</v>
      </c>
      <c r="N20" s="147"/>
      <c r="O20" s="147"/>
      <c r="P20" s="147"/>
      <c r="Q20" s="146">
        <v>1558</v>
      </c>
      <c r="R20" s="147">
        <v>0.7002567394094994</v>
      </c>
      <c r="S20" s="250">
        <v>0.2997432605905006</v>
      </c>
      <c r="T20" s="137"/>
      <c r="U20" s="137"/>
      <c r="V20" s="137"/>
      <c r="W20" s="89">
        <v>343</v>
      </c>
      <c r="X20" s="104">
        <v>0.94169096209912539</v>
      </c>
      <c r="Y20" s="104">
        <v>5.8309037900874605E-2</v>
      </c>
      <c r="Z20" s="104"/>
      <c r="AA20" s="104"/>
      <c r="AB20" s="98" t="s">
        <v>12</v>
      </c>
      <c r="AC20" s="374"/>
      <c r="AD20" s="39"/>
      <c r="AE20" s="142"/>
    </row>
    <row r="21" spans="1:31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>
        <v>7006</v>
      </c>
      <c r="J21" s="140">
        <v>6.0933738988062508E-2</v>
      </c>
      <c r="K21" s="146">
        <v>9343</v>
      </c>
      <c r="L21" s="147">
        <v>0.72760355346248529</v>
      </c>
      <c r="M21" s="147">
        <v>0.27239644653751471</v>
      </c>
      <c r="N21" s="147"/>
      <c r="O21" s="147"/>
      <c r="P21" s="147"/>
      <c r="Q21" s="146">
        <v>2527</v>
      </c>
      <c r="R21" s="151">
        <v>0.79343094578551643</v>
      </c>
      <c r="S21" s="137">
        <v>0.20656905421448357</v>
      </c>
      <c r="T21" s="137"/>
      <c r="U21" s="137"/>
      <c r="V21" s="137"/>
      <c r="W21" s="89">
        <v>675</v>
      </c>
      <c r="X21" s="104">
        <v>0.9555555555555556</v>
      </c>
      <c r="Y21" s="104">
        <v>4.4444444444444398E-2</v>
      </c>
      <c r="Z21" s="104"/>
      <c r="AA21" s="104"/>
      <c r="AB21" s="98"/>
      <c r="AC21" s="374"/>
      <c r="AD21" s="39"/>
      <c r="AE21" s="142"/>
    </row>
    <row r="22" spans="1:31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>
        <f t="shared" ref="I22:I44" si="1">H22-D22</f>
        <v>3751</v>
      </c>
      <c r="J22" s="247">
        <f>G22/D22</f>
        <v>7.0186496190165343E-2</v>
      </c>
      <c r="K22" s="246">
        <v>8900</v>
      </c>
      <c r="L22" s="248">
        <v>0.70853932584269663</v>
      </c>
      <c r="M22" s="248">
        <v>0.29146067415730337</v>
      </c>
      <c r="N22" s="248"/>
      <c r="O22" s="248"/>
      <c r="P22" s="248"/>
      <c r="Q22" s="246">
        <v>1174</v>
      </c>
      <c r="R22" s="229">
        <v>0.70783645655877347</v>
      </c>
      <c r="S22" s="228">
        <v>0.29216354344122658</v>
      </c>
      <c r="T22" s="228"/>
      <c r="U22" s="228"/>
      <c r="V22" s="228"/>
      <c r="W22" s="251">
        <v>380</v>
      </c>
      <c r="X22" s="231">
        <v>0.97368421052631582</v>
      </c>
      <c r="Y22" s="231">
        <v>2.6315789473684209E-2</v>
      </c>
      <c r="Z22" s="231"/>
      <c r="AA22" s="231"/>
      <c r="AB22" s="265"/>
      <c r="AC22" s="374"/>
      <c r="AD22" s="39"/>
      <c r="AE22" s="142"/>
    </row>
    <row r="23" spans="1:31" x14ac:dyDescent="0.25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>
        <f t="shared" si="1"/>
        <v>2190</v>
      </c>
      <c r="J23" s="247">
        <f>G23/D23</f>
        <v>6.2235421166306697E-2</v>
      </c>
      <c r="K23" s="246">
        <v>7248</v>
      </c>
      <c r="L23" s="248">
        <v>0.68184326710816778</v>
      </c>
      <c r="M23" s="248">
        <v>0.31815673289183222</v>
      </c>
      <c r="N23" s="248"/>
      <c r="O23" s="248"/>
      <c r="P23" s="248"/>
      <c r="Q23" s="246">
        <v>698</v>
      </c>
      <c r="R23" s="229">
        <v>0.66332378223495703</v>
      </c>
      <c r="S23" s="228">
        <v>0.33667621776504297</v>
      </c>
      <c r="T23" s="228"/>
      <c r="U23" s="228"/>
      <c r="V23" s="228"/>
      <c r="W23" s="251">
        <v>122</v>
      </c>
      <c r="X23" s="231">
        <v>0.96721311475409832</v>
      </c>
      <c r="Y23" s="231">
        <v>3.2786885245901676E-2</v>
      </c>
      <c r="Z23" s="231"/>
      <c r="AA23" s="231"/>
      <c r="AB23" s="265"/>
      <c r="AC23" s="374"/>
      <c r="AD23" s="39"/>
      <c r="AE23" s="142"/>
    </row>
    <row r="24" spans="1:31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>
        <f t="shared" si="1"/>
        <v>3144</v>
      </c>
      <c r="J24" s="247">
        <f t="shared" ref="J24:J44" si="3">G24/D24</f>
        <v>6.4057390020044305E-2</v>
      </c>
      <c r="K24" s="246">
        <v>8430</v>
      </c>
      <c r="L24" s="248">
        <v>0.66</v>
      </c>
      <c r="M24" s="248">
        <v>0.34</v>
      </c>
      <c r="N24" s="248"/>
      <c r="O24" s="248"/>
      <c r="P24" s="248"/>
      <c r="Q24" s="246">
        <v>842</v>
      </c>
      <c r="R24" s="229">
        <v>0.61</v>
      </c>
      <c r="S24" s="228">
        <v>0.39</v>
      </c>
      <c r="T24" s="228"/>
      <c r="U24" s="228"/>
      <c r="V24" s="228"/>
      <c r="W24" s="251">
        <v>79</v>
      </c>
      <c r="X24" s="231">
        <v>0.97</v>
      </c>
      <c r="Y24" s="231">
        <v>0.03</v>
      </c>
      <c r="Z24" s="231"/>
      <c r="AA24" s="231"/>
      <c r="AB24" s="265"/>
      <c r="AC24" s="374"/>
      <c r="AD24" s="39"/>
      <c r="AE24" s="142"/>
    </row>
    <row r="25" spans="1:31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>
        <f t="shared" si="1"/>
        <v>8025</v>
      </c>
      <c r="J25" s="247">
        <f t="shared" si="3"/>
        <v>6.6167010435599485E-2</v>
      </c>
      <c r="K25" s="246">
        <v>13328</v>
      </c>
      <c r="L25" s="248">
        <v>0.7</v>
      </c>
      <c r="M25" s="248">
        <v>0.3</v>
      </c>
      <c r="N25" s="248"/>
      <c r="O25" s="248"/>
      <c r="P25" s="248"/>
      <c r="Q25" s="246">
        <v>1135</v>
      </c>
      <c r="R25" s="229">
        <v>0.63</v>
      </c>
      <c r="S25" s="228">
        <v>0.37</v>
      </c>
      <c r="T25" s="228"/>
      <c r="U25" s="228"/>
      <c r="V25" s="228"/>
      <c r="W25" s="251">
        <v>50</v>
      </c>
      <c r="X25" s="231">
        <v>0.92</v>
      </c>
      <c r="Y25" s="231">
        <v>0.08</v>
      </c>
      <c r="Z25" s="231"/>
      <c r="AA25" s="231"/>
      <c r="AB25" s="265"/>
      <c r="AC25" s="374"/>
      <c r="AD25" s="39"/>
      <c r="AE25" s="142"/>
    </row>
    <row r="26" spans="1:31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>
        <f t="shared" si="1"/>
        <v>4009</v>
      </c>
      <c r="J26" s="247">
        <f t="shared" si="3"/>
        <v>7.2518615690974814E-2</v>
      </c>
      <c r="K26" s="246">
        <v>10693</v>
      </c>
      <c r="L26" s="248">
        <v>0.66</v>
      </c>
      <c r="M26" s="248">
        <v>0.34</v>
      </c>
      <c r="N26" s="248"/>
      <c r="O26" s="248"/>
      <c r="P26" s="248"/>
      <c r="Q26" s="246">
        <v>913</v>
      </c>
      <c r="R26" s="229">
        <v>0.61</v>
      </c>
      <c r="S26" s="228">
        <v>0.39</v>
      </c>
      <c r="T26" s="228"/>
      <c r="U26" s="228"/>
      <c r="V26" s="228"/>
      <c r="W26" s="251">
        <v>63</v>
      </c>
      <c r="X26" s="231">
        <v>0.92</v>
      </c>
      <c r="Y26" s="231">
        <v>0.08</v>
      </c>
      <c r="Z26" s="231"/>
      <c r="AA26" s="231"/>
      <c r="AB26" s="265"/>
      <c r="AC26" s="374"/>
      <c r="AD26" s="39"/>
      <c r="AE26" s="142"/>
    </row>
    <row r="27" spans="1:31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>
        <f t="shared" si="1"/>
        <v>6726</v>
      </c>
      <c r="J27" s="247">
        <f t="shared" si="3"/>
        <v>6.5564527862650948E-2</v>
      </c>
      <c r="K27" s="246">
        <v>12662</v>
      </c>
      <c r="L27" s="248">
        <v>0.67</v>
      </c>
      <c r="M27" s="248">
        <v>0.33</v>
      </c>
      <c r="N27" s="248"/>
      <c r="O27" s="248"/>
      <c r="P27" s="248"/>
      <c r="Q27" s="246">
        <v>1553</v>
      </c>
      <c r="R27" s="229">
        <v>0.42</v>
      </c>
      <c r="S27" s="228">
        <v>0.57999999999999996</v>
      </c>
      <c r="T27" s="228"/>
      <c r="U27" s="228"/>
      <c r="V27" s="228"/>
      <c r="W27" s="251">
        <v>97</v>
      </c>
      <c r="X27" s="231">
        <v>0.97</v>
      </c>
      <c r="Y27" s="231">
        <v>0.03</v>
      </c>
      <c r="Z27" s="231"/>
      <c r="AA27" s="231"/>
      <c r="AB27" s="265"/>
      <c r="AC27" s="374"/>
      <c r="AD27" s="39"/>
      <c r="AE27" s="142"/>
    </row>
    <row r="28" spans="1:31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>
        <f t="shared" si="1"/>
        <v>14902</v>
      </c>
      <c r="J28" s="247">
        <f t="shared" si="3"/>
        <v>6.6944315903131268E-2</v>
      </c>
      <c r="K28" s="246">
        <v>20838</v>
      </c>
      <c r="L28" s="248">
        <v>0.7</v>
      </c>
      <c r="M28" s="248">
        <v>0.3</v>
      </c>
      <c r="N28" s="248"/>
      <c r="O28" s="248"/>
      <c r="P28" s="248"/>
      <c r="Q28" s="246">
        <v>1510</v>
      </c>
      <c r="R28" s="229">
        <v>0.63</v>
      </c>
      <c r="S28" s="228">
        <v>0.37</v>
      </c>
      <c r="T28" s="228"/>
      <c r="U28" s="228"/>
      <c r="V28" s="228"/>
      <c r="W28" s="251">
        <v>63</v>
      </c>
      <c r="X28" s="231">
        <v>0.95</v>
      </c>
      <c r="Y28" s="231">
        <v>0.05</v>
      </c>
      <c r="Z28" s="231"/>
      <c r="AA28" s="231"/>
      <c r="AB28" s="265"/>
      <c r="AC28" s="374"/>
      <c r="AD28" s="39"/>
      <c r="AE28" s="142"/>
    </row>
    <row r="29" spans="1:31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>
        <f t="shared" si="1"/>
        <v>4127</v>
      </c>
      <c r="J29" s="247">
        <f t="shared" si="3"/>
        <v>8.0617951913432018E-2</v>
      </c>
      <c r="K29" s="246">
        <v>13518</v>
      </c>
      <c r="L29" s="248">
        <v>0.69</v>
      </c>
      <c r="M29" s="248">
        <v>0.31</v>
      </c>
      <c r="N29" s="248"/>
      <c r="O29" s="248"/>
      <c r="P29" s="248"/>
      <c r="Q29" s="246">
        <v>1100</v>
      </c>
      <c r="R29" s="228">
        <v>0.64</v>
      </c>
      <c r="S29" s="228">
        <v>0.36</v>
      </c>
      <c r="T29" s="228"/>
      <c r="U29" s="228"/>
      <c r="V29" s="228"/>
      <c r="W29" s="251">
        <v>64</v>
      </c>
      <c r="X29" s="231">
        <v>1</v>
      </c>
      <c r="Y29" s="231">
        <v>0</v>
      </c>
      <c r="Z29" s="231"/>
      <c r="AA29" s="231"/>
      <c r="AB29" s="265"/>
      <c r="AC29" s="374"/>
      <c r="AD29" s="39"/>
      <c r="AE29" s="142"/>
    </row>
    <row r="30" spans="1:31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>
        <f t="shared" si="1"/>
        <v>-2232</v>
      </c>
      <c r="J30" s="227">
        <f>G30/D30</f>
        <v>8.0539039072227994E-2</v>
      </c>
      <c r="K30" s="220">
        <v>7898</v>
      </c>
      <c r="L30" s="228">
        <v>0.61</v>
      </c>
      <c r="M30" s="228">
        <v>0.39</v>
      </c>
      <c r="N30" s="228"/>
      <c r="O30" s="228"/>
      <c r="P30" s="228"/>
      <c r="Q30" s="220">
        <v>719</v>
      </c>
      <c r="R30" s="228">
        <v>0.57999999999999996</v>
      </c>
      <c r="S30" s="228">
        <v>0.42</v>
      </c>
      <c r="T30" s="228"/>
      <c r="U30" s="228"/>
      <c r="V30" s="228"/>
      <c r="W30" s="251">
        <v>46</v>
      </c>
      <c r="X30" s="231">
        <v>0.93</v>
      </c>
      <c r="Y30" s="231">
        <v>7.0000000000000007E-2</v>
      </c>
      <c r="Z30" s="231"/>
      <c r="AA30" s="231"/>
      <c r="AB30" s="265"/>
      <c r="AC30" s="374"/>
      <c r="AD30" s="39"/>
      <c r="AE30" s="142"/>
    </row>
    <row r="31" spans="1:31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>
        <f t="shared" si="1"/>
        <v>-423</v>
      </c>
      <c r="J31" s="227">
        <f t="shared" si="3"/>
        <v>6.7420275524192635E-2</v>
      </c>
      <c r="K31" s="220">
        <v>7818</v>
      </c>
      <c r="L31" s="228">
        <v>0.59</v>
      </c>
      <c r="M31" s="228">
        <v>0.41</v>
      </c>
      <c r="N31" s="228"/>
      <c r="O31" s="228"/>
      <c r="P31" s="228"/>
      <c r="Q31" s="220">
        <v>736</v>
      </c>
      <c r="R31" s="228">
        <v>0.49</v>
      </c>
      <c r="S31" s="228">
        <v>0.51</v>
      </c>
      <c r="T31" s="228"/>
      <c r="U31" s="228"/>
      <c r="V31" s="228"/>
      <c r="W31" s="251">
        <v>32</v>
      </c>
      <c r="X31" s="231">
        <v>0.94</v>
      </c>
      <c r="Y31" s="231">
        <v>0.06</v>
      </c>
      <c r="Z31" s="231"/>
      <c r="AA31" s="231"/>
      <c r="AB31" s="265"/>
      <c r="AC31" s="374"/>
      <c r="AD31" s="39"/>
      <c r="AE31" s="142"/>
    </row>
    <row r="32" spans="1:31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>
        <f t="shared" si="1"/>
        <v>1740</v>
      </c>
      <c r="J32" s="227">
        <f t="shared" si="3"/>
        <v>6.8348513541948472E-2</v>
      </c>
      <c r="K32" s="220">
        <v>8559</v>
      </c>
      <c r="L32" s="228">
        <v>0.56000000000000005</v>
      </c>
      <c r="M32" s="228">
        <v>0.44</v>
      </c>
      <c r="N32" s="228"/>
      <c r="O32" s="228"/>
      <c r="P32" s="228"/>
      <c r="Q32" s="220">
        <v>2261</v>
      </c>
      <c r="R32" s="228">
        <v>0.63</v>
      </c>
      <c r="S32" s="228">
        <v>0.37</v>
      </c>
      <c r="T32" s="228"/>
      <c r="U32" s="228"/>
      <c r="V32" s="228"/>
      <c r="W32" s="251">
        <v>269</v>
      </c>
      <c r="X32" s="231">
        <v>0.75</v>
      </c>
      <c r="Y32" s="231">
        <v>0.25</v>
      </c>
      <c r="Z32" s="231"/>
      <c r="AA32" s="231"/>
      <c r="AB32" s="265"/>
      <c r="AC32" s="374"/>
      <c r="AD32" s="39"/>
      <c r="AE32" s="142"/>
    </row>
    <row r="33" spans="1:3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21">
        <f t="shared" si="1"/>
        <v>6473</v>
      </c>
      <c r="J33" s="227">
        <f t="shared" si="3"/>
        <v>7.6516230490772066E-2</v>
      </c>
      <c r="K33" s="220">
        <v>12908</v>
      </c>
      <c r="L33" s="248">
        <v>0.54</v>
      </c>
      <c r="M33" s="228">
        <v>0.46</v>
      </c>
      <c r="N33" s="228"/>
      <c r="O33" s="228"/>
      <c r="P33" s="228"/>
      <c r="Q33" s="220">
        <v>3018</v>
      </c>
      <c r="R33" s="228">
        <v>0.55000000000000004</v>
      </c>
      <c r="S33" s="228">
        <v>0.45</v>
      </c>
      <c r="T33" s="228"/>
      <c r="U33" s="228"/>
      <c r="V33" s="228"/>
      <c r="W33" s="251">
        <v>1021</v>
      </c>
      <c r="X33" s="231">
        <v>0.81</v>
      </c>
      <c r="Y33" s="231">
        <v>0.19</v>
      </c>
      <c r="Z33" s="231"/>
      <c r="AA33" s="231"/>
      <c r="AB33" s="265"/>
      <c r="AC33" s="374"/>
      <c r="AD33" s="39"/>
      <c r="AE33" s="142"/>
    </row>
    <row r="34" spans="1:31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21">
        <f t="shared" si="1"/>
        <v>61</v>
      </c>
      <c r="J34" s="227">
        <f t="shared" si="3"/>
        <v>7.9571916959817662E-2</v>
      </c>
      <c r="K34" s="220">
        <v>9258</v>
      </c>
      <c r="L34" s="248">
        <v>0.6</v>
      </c>
      <c r="M34" s="228">
        <v>0.4</v>
      </c>
      <c r="N34" s="228"/>
      <c r="O34" s="228"/>
      <c r="P34" s="228"/>
      <c r="Q34" s="220">
        <v>1140</v>
      </c>
      <c r="R34" s="228">
        <v>0.6</v>
      </c>
      <c r="S34" s="228">
        <v>0.4</v>
      </c>
      <c r="T34" s="228"/>
      <c r="U34" s="228"/>
      <c r="V34" s="228"/>
      <c r="W34" s="251">
        <v>491</v>
      </c>
      <c r="X34" s="231">
        <v>0.8</v>
      </c>
      <c r="Y34" s="231">
        <v>0.2</v>
      </c>
      <c r="Z34" s="231"/>
      <c r="AA34" s="231"/>
      <c r="AB34" s="265"/>
      <c r="AC34" s="374"/>
      <c r="AD34" s="39"/>
      <c r="AE34" s="142"/>
    </row>
    <row r="35" spans="1:31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21">
        <f t="shared" si="1"/>
        <v>-196</v>
      </c>
      <c r="J35" s="227">
        <f t="shared" si="3"/>
        <v>6.4290868956148911E-2</v>
      </c>
      <c r="K35" s="220">
        <v>7963</v>
      </c>
      <c r="L35" s="248">
        <v>0.53</v>
      </c>
      <c r="M35" s="228">
        <v>0.47</v>
      </c>
      <c r="N35" s="228"/>
      <c r="O35" s="228"/>
      <c r="P35" s="228"/>
      <c r="Q35" s="220">
        <v>728</v>
      </c>
      <c r="R35" s="228">
        <v>0.51</v>
      </c>
      <c r="S35" s="228">
        <v>0.49</v>
      </c>
      <c r="T35" s="228"/>
      <c r="U35" s="228"/>
      <c r="V35" s="228"/>
      <c r="W35" s="251">
        <v>167</v>
      </c>
      <c r="X35" s="231">
        <v>0.76</v>
      </c>
      <c r="Y35" s="231">
        <v>0.24</v>
      </c>
      <c r="Z35" s="231"/>
      <c r="AA35" s="231"/>
      <c r="AB35" s="265"/>
      <c r="AC35" s="374"/>
      <c r="AD35" s="39"/>
      <c r="AE35" s="142"/>
    </row>
    <row r="36" spans="1:31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21">
        <f t="shared" si="1"/>
        <v>7024</v>
      </c>
      <c r="J36" s="227">
        <f t="shared" si="3"/>
        <v>5.8946055857055812E-2</v>
      </c>
      <c r="K36" s="220">
        <v>14217</v>
      </c>
      <c r="L36" s="248">
        <v>0.55000000000000004</v>
      </c>
      <c r="M36" s="228">
        <v>0.45</v>
      </c>
      <c r="N36" s="228"/>
      <c r="O36" s="228"/>
      <c r="P36" s="228"/>
      <c r="Q36" s="220">
        <v>1018</v>
      </c>
      <c r="R36" s="228">
        <v>0.55000000000000004</v>
      </c>
      <c r="S36" s="228">
        <v>0.45</v>
      </c>
      <c r="T36" s="228"/>
      <c r="U36" s="228"/>
      <c r="V36" s="228"/>
      <c r="W36" s="251">
        <v>147</v>
      </c>
      <c r="X36" s="231">
        <v>0.7</v>
      </c>
      <c r="Y36" s="231">
        <v>0.3</v>
      </c>
      <c r="Z36" s="231"/>
      <c r="AA36" s="231"/>
      <c r="AB36" s="265"/>
      <c r="AC36" s="374"/>
      <c r="AD36" s="39"/>
      <c r="AE36" s="142"/>
    </row>
    <row r="37" spans="1:31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21">
        <f t="shared" si="1"/>
        <v>-1980</v>
      </c>
      <c r="J37" s="227">
        <f t="shared" si="3"/>
        <v>7.0554093271242485E-2</v>
      </c>
      <c r="K37" s="220">
        <v>7666</v>
      </c>
      <c r="L37" s="248">
        <v>0.51</v>
      </c>
      <c r="M37" s="228">
        <v>0.49</v>
      </c>
      <c r="N37" s="228"/>
      <c r="O37" s="228"/>
      <c r="P37" s="228"/>
      <c r="Q37" s="220">
        <v>715</v>
      </c>
      <c r="R37" s="228">
        <v>0.54</v>
      </c>
      <c r="S37" s="228">
        <v>0.46</v>
      </c>
      <c r="T37" s="228"/>
      <c r="U37" s="228"/>
      <c r="V37" s="228"/>
      <c r="W37" s="251">
        <v>71</v>
      </c>
      <c r="X37" s="231">
        <v>0.73</v>
      </c>
      <c r="Y37" s="231">
        <v>0.27</v>
      </c>
      <c r="Z37" s="231"/>
      <c r="AA37" s="231"/>
      <c r="AB37" s="265"/>
      <c r="AC37" s="374"/>
      <c r="AD37" s="39"/>
      <c r="AE37" s="142"/>
    </row>
    <row r="38" spans="1:31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21">
        <f t="shared" si="1"/>
        <v>2148</v>
      </c>
      <c r="J38" s="227">
        <f t="shared" si="3"/>
        <v>6.185785621451536E-2</v>
      </c>
      <c r="K38" s="220">
        <v>9346</v>
      </c>
      <c r="L38" s="248">
        <v>0.49</v>
      </c>
      <c r="M38" s="228">
        <v>0.51</v>
      </c>
      <c r="N38" s="228"/>
      <c r="O38" s="228"/>
      <c r="P38" s="228"/>
      <c r="Q38" s="220">
        <v>1585</v>
      </c>
      <c r="R38" s="228">
        <v>0.5</v>
      </c>
      <c r="S38" s="228">
        <v>0.5</v>
      </c>
      <c r="T38" s="228"/>
      <c r="U38" s="228"/>
      <c r="V38" s="228"/>
      <c r="W38" s="251">
        <v>343</v>
      </c>
      <c r="X38" s="231">
        <v>0.87</v>
      </c>
      <c r="Y38" s="231">
        <v>0.13</v>
      </c>
      <c r="Z38" s="231"/>
      <c r="AA38" s="231"/>
      <c r="AB38" s="265"/>
      <c r="AC38" s="374"/>
      <c r="AD38" s="39"/>
      <c r="AE38" s="142"/>
    </row>
    <row r="39" spans="1:31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21">
        <f t="shared" si="1"/>
        <v>5438</v>
      </c>
      <c r="J39" s="227">
        <f t="shared" si="3"/>
        <v>5.898690827704297E-2</v>
      </c>
      <c r="K39" s="220">
        <v>12438</v>
      </c>
      <c r="L39" s="248">
        <v>0.51</v>
      </c>
      <c r="M39" s="228">
        <v>0.49</v>
      </c>
      <c r="N39" s="228"/>
      <c r="O39" s="228"/>
      <c r="P39" s="228"/>
      <c r="Q39" s="220">
        <v>1383</v>
      </c>
      <c r="R39" s="228">
        <v>0.54</v>
      </c>
      <c r="S39" s="228">
        <v>0.46</v>
      </c>
      <c r="T39" s="228"/>
      <c r="U39" s="228"/>
      <c r="V39" s="228"/>
      <c r="W39" s="251">
        <v>364</v>
      </c>
      <c r="X39" s="231">
        <v>0.87</v>
      </c>
      <c r="Y39" s="231">
        <v>0.13</v>
      </c>
      <c r="Z39" s="231"/>
      <c r="AA39" s="231"/>
      <c r="AB39" s="265"/>
      <c r="AC39" s="374"/>
      <c r="AD39" s="39"/>
      <c r="AE39" s="142"/>
    </row>
    <row r="40" spans="1:31" x14ac:dyDescent="0.25">
      <c r="A40" s="8"/>
      <c r="B40" s="374"/>
      <c r="C40" s="263">
        <v>45474</v>
      </c>
      <c r="D40" s="220">
        <f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21">
        <f t="shared" si="1"/>
        <v>10012</v>
      </c>
      <c r="J40" s="227">
        <f t="shared" si="3"/>
        <v>6.2688585995213819E-2</v>
      </c>
      <c r="K40" s="220">
        <v>18041</v>
      </c>
      <c r="L40" s="248">
        <v>0.55000000000000004</v>
      </c>
      <c r="M40" s="228">
        <v>0.45</v>
      </c>
      <c r="N40" s="228"/>
      <c r="O40" s="228"/>
      <c r="P40" s="228"/>
      <c r="Q40" s="220">
        <v>1463</v>
      </c>
      <c r="R40" s="228">
        <v>0.53</v>
      </c>
      <c r="S40" s="228">
        <v>0.47</v>
      </c>
      <c r="T40" s="228"/>
      <c r="U40" s="228"/>
      <c r="V40" s="228"/>
      <c r="W40" s="251">
        <v>143</v>
      </c>
      <c r="X40" s="231">
        <v>0.77</v>
      </c>
      <c r="Y40" s="231">
        <v>0.23</v>
      </c>
      <c r="Z40" s="231"/>
      <c r="AA40" s="231"/>
      <c r="AB40" s="265"/>
      <c r="AC40" s="374"/>
      <c r="AD40" s="39"/>
      <c r="AE40" s="142"/>
    </row>
    <row r="41" spans="1:31" x14ac:dyDescent="0.25">
      <c r="A41" s="8"/>
      <c r="B41" s="374"/>
      <c r="C41" s="263">
        <v>45505</v>
      </c>
      <c r="D41" s="220">
        <f>H40</f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21">
        <f t="shared" si="1"/>
        <v>6105</v>
      </c>
      <c r="J41" s="227">
        <f t="shared" si="3"/>
        <v>7.2349622682980438E-2</v>
      </c>
      <c r="K41" s="220">
        <v>16367</v>
      </c>
      <c r="L41" s="248">
        <v>0.57999999999999996</v>
      </c>
      <c r="M41" s="228">
        <v>0.42</v>
      </c>
      <c r="N41" s="228"/>
      <c r="O41" s="228"/>
      <c r="P41" s="228"/>
      <c r="Q41" s="220">
        <v>1502</v>
      </c>
      <c r="R41" s="228">
        <v>0.56000000000000005</v>
      </c>
      <c r="S41" s="228">
        <v>0.44</v>
      </c>
      <c r="T41" s="228"/>
      <c r="U41" s="228"/>
      <c r="V41" s="228"/>
      <c r="W41" s="251">
        <v>100</v>
      </c>
      <c r="X41" s="231">
        <v>0.88</v>
      </c>
      <c r="Y41" s="231">
        <v>0.12</v>
      </c>
      <c r="Z41" s="231"/>
      <c r="AA41" s="231"/>
      <c r="AB41" s="265"/>
      <c r="AC41" s="374"/>
      <c r="AD41" s="39"/>
      <c r="AE41" s="142"/>
    </row>
    <row r="42" spans="1:31" x14ac:dyDescent="0.25">
      <c r="A42" s="8"/>
      <c r="B42" s="374"/>
      <c r="C42" s="263">
        <v>45536</v>
      </c>
      <c r="D42" s="220">
        <f>H41</f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21">
        <f t="shared" si="1"/>
        <v>-1681</v>
      </c>
      <c r="J42" s="227">
        <f t="shared" si="3"/>
        <v>7.5594638978651263E-2</v>
      </c>
      <c r="K42" s="220">
        <v>9943</v>
      </c>
      <c r="L42" s="264">
        <v>0.53967620000000005</v>
      </c>
      <c r="M42" s="228">
        <v>0.46032380000000001</v>
      </c>
      <c r="N42" s="228">
        <v>0.98140000000000005</v>
      </c>
      <c r="O42" s="228">
        <v>1.7299999999999999E-2</v>
      </c>
      <c r="P42" s="228">
        <v>1.2999999999999999E-3</v>
      </c>
      <c r="Q42" s="220">
        <v>1090</v>
      </c>
      <c r="R42" s="228">
        <v>0.58348619999999995</v>
      </c>
      <c r="S42" s="228">
        <v>0.41651379999999999</v>
      </c>
      <c r="T42" s="228">
        <v>0.75990000000000002</v>
      </c>
      <c r="U42" s="228">
        <v>0.2225</v>
      </c>
      <c r="V42" s="228">
        <v>1.7600000000000001E-2</v>
      </c>
      <c r="W42" s="251">
        <v>76</v>
      </c>
      <c r="X42" s="231">
        <v>0.81579999999999997</v>
      </c>
      <c r="Y42" s="231">
        <v>0.1842</v>
      </c>
      <c r="Z42" s="231">
        <v>0.35709999999999997</v>
      </c>
      <c r="AA42" s="231">
        <v>0</v>
      </c>
      <c r="AB42" s="265">
        <v>0.64290000000000003</v>
      </c>
      <c r="AC42" s="374"/>
      <c r="AD42" s="39"/>
      <c r="AE42" s="142"/>
    </row>
    <row r="43" spans="1:31" x14ac:dyDescent="0.25">
      <c r="A43" s="8"/>
      <c r="B43" s="374"/>
      <c r="C43" s="271">
        <v>45589</v>
      </c>
      <c r="D43" s="220">
        <f>H42</f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21">
        <f t="shared" si="1"/>
        <v>170</v>
      </c>
      <c r="J43" s="227">
        <f t="shared" si="3"/>
        <v>6.2849261646018117E-2</v>
      </c>
      <c r="K43" s="246">
        <v>9699</v>
      </c>
      <c r="L43" s="264">
        <v>0.49690000000000001</v>
      </c>
      <c r="M43" s="228">
        <v>0.50309999999999999</v>
      </c>
      <c r="N43" s="228">
        <v>0.98629999999999995</v>
      </c>
      <c r="O43" s="228">
        <v>1.2699999999999999E-2</v>
      </c>
      <c r="P43" s="228">
        <v>1E-3</v>
      </c>
      <c r="Q43" s="220">
        <v>936</v>
      </c>
      <c r="R43" s="228">
        <v>0.53420000000000001</v>
      </c>
      <c r="S43" s="228">
        <v>0.46579999999999999</v>
      </c>
      <c r="T43" s="228">
        <v>0.76149999999999995</v>
      </c>
      <c r="U43" s="228">
        <v>0.21329999999999999</v>
      </c>
      <c r="V43" s="228">
        <v>2.52E-2</v>
      </c>
      <c r="W43" s="251">
        <v>81</v>
      </c>
      <c r="X43" s="231">
        <v>0.80249999999999999</v>
      </c>
      <c r="Y43" s="231">
        <v>0.19750000000000001</v>
      </c>
      <c r="Z43" s="231">
        <v>0.4375</v>
      </c>
      <c r="AA43" s="231">
        <v>0.1875</v>
      </c>
      <c r="AB43" s="231">
        <v>0.375</v>
      </c>
      <c r="AC43" s="374"/>
      <c r="AD43" s="39"/>
      <c r="AE43" s="142"/>
    </row>
    <row r="44" spans="1:31" x14ac:dyDescent="0.25">
      <c r="A44" s="8"/>
      <c r="B44" s="374"/>
      <c r="C44" s="271">
        <v>45620</v>
      </c>
      <c r="D44" s="220">
        <f>H43</f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21">
        <f t="shared" si="1"/>
        <v>5571</v>
      </c>
      <c r="J44" s="227">
        <f t="shared" si="3"/>
        <v>6.5719613735434904E-2</v>
      </c>
      <c r="K44" s="246">
        <v>12913</v>
      </c>
      <c r="L44" s="264">
        <v>0.49170000000000003</v>
      </c>
      <c r="M44" s="228">
        <v>0.50829999999999997</v>
      </c>
      <c r="N44" s="228">
        <v>0.98219999999999996</v>
      </c>
      <c r="O44" s="228">
        <v>1.6E-2</v>
      </c>
      <c r="P44" s="228">
        <v>1.8E-3</v>
      </c>
      <c r="Q44" s="220">
        <v>4818</v>
      </c>
      <c r="R44" s="228">
        <v>0.48609999999999998</v>
      </c>
      <c r="S44" s="228">
        <v>0.51390000000000002</v>
      </c>
      <c r="T44" s="228">
        <v>0.84809999999999997</v>
      </c>
      <c r="U44" s="228">
        <v>0.12280000000000001</v>
      </c>
      <c r="V44" s="228">
        <v>2.9100000000000001E-2</v>
      </c>
      <c r="W44" s="251">
        <v>222</v>
      </c>
      <c r="X44" s="231">
        <v>0.81079999999999997</v>
      </c>
      <c r="Y44" s="231">
        <v>0.18920000000000001</v>
      </c>
      <c r="Z44" s="231">
        <v>0.23810000000000001</v>
      </c>
      <c r="AA44" s="231">
        <v>0.1905</v>
      </c>
      <c r="AB44" s="231">
        <v>0.57140000000000002</v>
      </c>
      <c r="AC44" s="374"/>
      <c r="AD44" s="39"/>
      <c r="AE44" s="142"/>
    </row>
    <row r="45" spans="1:31" ht="15.75" thickBot="1" x14ac:dyDescent="0.3">
      <c r="B45" s="375"/>
      <c r="C45" s="88" t="s">
        <v>78</v>
      </c>
      <c r="D45" s="135"/>
      <c r="E45" s="135">
        <f>SUM(E5:E44)</f>
        <v>434201</v>
      </c>
      <c r="F45" s="135">
        <f>SUM(F5:F44)</f>
        <v>292612.52</v>
      </c>
      <c r="G45" s="135">
        <f>SUM(G5:G44)</f>
        <v>258247</v>
      </c>
      <c r="H45" s="135"/>
      <c r="I45" s="136"/>
      <c r="J45" s="136"/>
      <c r="K45" s="272">
        <f>SUM(K5:K44)</f>
        <v>392338</v>
      </c>
      <c r="M45" s="136"/>
      <c r="N45" s="136"/>
      <c r="O45" s="136"/>
      <c r="P45" s="136"/>
      <c r="Q45" s="135">
        <f>SUM(Q17:Q44)</f>
        <v>39074</v>
      </c>
      <c r="R45" s="135"/>
      <c r="S45" s="136"/>
      <c r="T45" s="136"/>
      <c r="U45" s="136"/>
      <c r="V45" s="136"/>
      <c r="W45" s="113">
        <f>SUM(W20:W44)</f>
        <v>5509</v>
      </c>
      <c r="X45" s="93"/>
      <c r="Y45" s="93"/>
      <c r="Z45" s="93"/>
      <c r="AA45" s="93"/>
      <c r="AB45" s="157"/>
      <c r="AC45" s="375"/>
      <c r="AD45" s="8"/>
      <c r="AE45" s="142"/>
    </row>
    <row r="46" spans="1:31" ht="15.75" thickBot="1" x14ac:dyDescent="0.3">
      <c r="C46" s="224"/>
      <c r="D46" s="25"/>
      <c r="E46" s="50"/>
      <c r="F46" s="50"/>
      <c r="G46" s="50"/>
      <c r="H46" s="50"/>
      <c r="I46" s="50"/>
      <c r="J46" s="238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E46" s="142"/>
    </row>
    <row r="47" spans="1:31" x14ac:dyDescent="0.25">
      <c r="B47" s="381" t="s">
        <v>13</v>
      </c>
      <c r="C47" s="94"/>
      <c r="D47" s="48" t="s">
        <v>180</v>
      </c>
      <c r="E47" s="48" t="s">
        <v>15</v>
      </c>
      <c r="F47" s="48" t="s">
        <v>181</v>
      </c>
      <c r="G47" s="48" t="s">
        <v>156</v>
      </c>
      <c r="H47" s="48" t="s">
        <v>18</v>
      </c>
      <c r="I47" s="94"/>
      <c r="J47" s="116"/>
      <c r="K47" s="116"/>
      <c r="L47" s="47"/>
      <c r="M47" s="94"/>
      <c r="N47" s="94"/>
      <c r="O47" s="94"/>
      <c r="P47" s="94"/>
      <c r="Q47" s="94"/>
      <c r="R47" s="94"/>
      <c r="W47" s="94"/>
      <c r="X47" s="94"/>
      <c r="Y47" s="94"/>
      <c r="Z47" s="94"/>
      <c r="AA47" s="94"/>
      <c r="AB47" s="49"/>
      <c r="AC47" s="373" t="s">
        <v>19</v>
      </c>
      <c r="AE47" s="142"/>
    </row>
    <row r="48" spans="1:31" x14ac:dyDescent="0.25">
      <c r="B48" s="382"/>
      <c r="C48" s="156" t="s">
        <v>20</v>
      </c>
      <c r="D48" s="47"/>
      <c r="E48" s="47"/>
      <c r="F48" s="47"/>
      <c r="G48" s="260"/>
      <c r="I48" s="154"/>
      <c r="J48" s="8"/>
      <c r="M48" s="254"/>
      <c r="N48" s="254"/>
      <c r="O48" s="254"/>
      <c r="P48" s="254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12"/>
      <c r="AC48" s="374"/>
      <c r="AE48" s="8"/>
    </row>
    <row r="49" spans="2:31" x14ac:dyDescent="0.25">
      <c r="B49" s="382"/>
      <c r="C49" s="47" t="s">
        <v>21</v>
      </c>
      <c r="D49" s="160">
        <v>0.48099999999999998</v>
      </c>
      <c r="E49" s="160">
        <v>0.442</v>
      </c>
      <c r="F49" s="14">
        <f>D49/E49</f>
        <v>1.088235294117647</v>
      </c>
      <c r="G49" s="160">
        <v>0.52600000000000002</v>
      </c>
      <c r="H49" s="14">
        <f>E49/G49</f>
        <v>0.84030418250950567</v>
      </c>
      <c r="I49" s="253"/>
      <c r="J49" s="73"/>
      <c r="K49" s="158"/>
      <c r="L49" s="158"/>
      <c r="M49" s="14"/>
      <c r="N49" s="14"/>
      <c r="O49" s="14"/>
      <c r="P49" s="14"/>
      <c r="Q49" s="47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5"/>
      <c r="AC49" s="374"/>
      <c r="AE49" s="8"/>
    </row>
    <row r="50" spans="2:31" x14ac:dyDescent="0.25">
      <c r="B50" s="382"/>
      <c r="C50" s="47" t="s">
        <v>22</v>
      </c>
      <c r="D50" s="160">
        <v>0.51900000000000002</v>
      </c>
      <c r="E50" s="160">
        <v>0.55800000000000005</v>
      </c>
      <c r="F50" s="14">
        <f>D50/E50</f>
        <v>0.93010752688172038</v>
      </c>
      <c r="G50" s="160">
        <v>0.47399999999999998</v>
      </c>
      <c r="H50" s="14">
        <f t="shared" ref="H50:H67" si="4">E50/G50</f>
        <v>1.1772151898734178</v>
      </c>
      <c r="I50" s="149"/>
      <c r="J50" s="73"/>
      <c r="K50" s="158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5"/>
      <c r="AC50" s="374"/>
    </row>
    <row r="51" spans="2:31" x14ac:dyDescent="0.25">
      <c r="B51" s="382"/>
      <c r="D51" s="190"/>
      <c r="E51" s="160"/>
      <c r="F51" s="14"/>
      <c r="G51" s="190"/>
      <c r="H51" s="170"/>
      <c r="I51" s="149"/>
      <c r="J51" s="222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5"/>
      <c r="AC51" s="374"/>
    </row>
    <row r="52" spans="2:31" x14ac:dyDescent="0.25">
      <c r="B52" s="382"/>
      <c r="C52" s="156" t="s">
        <v>23</v>
      </c>
      <c r="D52" s="169"/>
      <c r="E52" s="162"/>
      <c r="F52" s="14"/>
      <c r="G52" s="190"/>
      <c r="H52" s="170"/>
      <c r="I52" s="149"/>
      <c r="J52" s="39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5"/>
      <c r="AC52" s="374"/>
    </row>
    <row r="53" spans="2:31" x14ac:dyDescent="0.25">
      <c r="B53" s="382"/>
      <c r="C53" s="47" t="s">
        <v>24</v>
      </c>
      <c r="D53" s="160">
        <v>1E-3</v>
      </c>
      <c r="E53" s="160">
        <v>0</v>
      </c>
      <c r="F53" s="14" t="s">
        <v>12</v>
      </c>
      <c r="G53" s="160">
        <v>0.01</v>
      </c>
      <c r="H53" s="14" t="s">
        <v>12</v>
      </c>
      <c r="I53" s="149"/>
      <c r="J53" s="39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5"/>
      <c r="AC53" s="374"/>
    </row>
    <row r="54" spans="2:31" x14ac:dyDescent="0.25">
      <c r="B54" s="382"/>
      <c r="C54" s="47" t="s">
        <v>25</v>
      </c>
      <c r="D54" s="160">
        <v>2E-3</v>
      </c>
      <c r="E54" s="160">
        <v>2E-3</v>
      </c>
      <c r="F54" s="14">
        <f>D54/E54</f>
        <v>1</v>
      </c>
      <c r="G54" s="160">
        <v>0.13200000000000001</v>
      </c>
      <c r="H54" s="14">
        <f>E54/G54</f>
        <v>1.5151515151515152E-2</v>
      </c>
      <c r="I54" s="149"/>
      <c r="J54" s="39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374"/>
    </row>
    <row r="55" spans="2:31" x14ac:dyDescent="0.25">
      <c r="B55" s="382"/>
      <c r="C55" s="47" t="s">
        <v>26</v>
      </c>
      <c r="D55" s="160">
        <v>0.41699999999999998</v>
      </c>
      <c r="E55" s="160">
        <v>0.40600000000000003</v>
      </c>
      <c r="F55" s="14">
        <f>D55/E55</f>
        <v>1.0270935960591132</v>
      </c>
      <c r="G55" s="160">
        <v>0.29699999999999999</v>
      </c>
      <c r="H55" s="14">
        <f>E55/G55</f>
        <v>1.3670033670033672</v>
      </c>
      <c r="I55" s="149"/>
      <c r="J55" s="39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5"/>
      <c r="AC55" s="374"/>
    </row>
    <row r="56" spans="2:31" x14ac:dyDescent="0.25">
      <c r="B56" s="382"/>
      <c r="C56" s="47" t="s">
        <v>27</v>
      </c>
      <c r="D56" s="160">
        <v>0.43099999999999999</v>
      </c>
      <c r="E56" s="160">
        <v>0.41099999999999998</v>
      </c>
      <c r="F56" s="14">
        <f t="shared" ref="F56:F83" si="5">D56/E56</f>
        <v>1.0486618004866179</v>
      </c>
      <c r="G56" s="160">
        <v>0.32600000000000001</v>
      </c>
      <c r="H56" s="14">
        <f t="shared" si="4"/>
        <v>1.2607361963190182</v>
      </c>
      <c r="I56" s="149"/>
      <c r="J56" s="39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5"/>
      <c r="AC56" s="374"/>
    </row>
    <row r="57" spans="2:31" x14ac:dyDescent="0.25">
      <c r="B57" s="382"/>
      <c r="C57" s="47" t="s">
        <v>28</v>
      </c>
      <c r="D57" s="160">
        <v>0.13</v>
      </c>
      <c r="E57" s="160">
        <v>0.156</v>
      </c>
      <c r="F57" s="14">
        <f t="shared" si="5"/>
        <v>0.83333333333333337</v>
      </c>
      <c r="G57" s="160">
        <v>0.16600000000000001</v>
      </c>
      <c r="H57" s="14">
        <f>E57/G57</f>
        <v>0.93975903614457823</v>
      </c>
      <c r="I57" s="149"/>
      <c r="J57" s="39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5"/>
      <c r="AC57" s="374"/>
    </row>
    <row r="58" spans="2:31" x14ac:dyDescent="0.25">
      <c r="B58" s="382"/>
      <c r="C58" s="47" t="s">
        <v>29</v>
      </c>
      <c r="D58" s="160">
        <v>0.02</v>
      </c>
      <c r="E58" s="160">
        <v>2.5000000000000001E-2</v>
      </c>
      <c r="F58" s="14">
        <f t="shared" si="5"/>
        <v>0.79999999999999993</v>
      </c>
      <c r="G58" s="160">
        <v>6.8000000000000005E-2</v>
      </c>
      <c r="H58" s="14">
        <f t="shared" si="4"/>
        <v>0.36764705882352938</v>
      </c>
      <c r="I58" s="149"/>
      <c r="J58" s="39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5"/>
      <c r="AC58" s="374"/>
    </row>
    <row r="59" spans="2:31" x14ac:dyDescent="0.25">
      <c r="B59" s="382"/>
      <c r="D59" s="190"/>
      <c r="E59" s="190"/>
      <c r="F59" s="14"/>
      <c r="G59" s="190"/>
      <c r="H59" s="170"/>
      <c r="I59" s="149"/>
      <c r="J59" s="39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5"/>
      <c r="AC59" s="374"/>
    </row>
    <row r="60" spans="2:31" x14ac:dyDescent="0.25">
      <c r="B60" s="382"/>
      <c r="C60" s="156" t="s">
        <v>30</v>
      </c>
      <c r="D60" s="169"/>
      <c r="E60" s="169"/>
      <c r="F60" s="14"/>
      <c r="G60" s="190"/>
      <c r="H60" s="170"/>
      <c r="I60" s="149"/>
      <c r="J60" s="39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5"/>
      <c r="AC60" s="374"/>
    </row>
    <row r="61" spans="2:31" x14ac:dyDescent="0.25">
      <c r="B61" s="382"/>
      <c r="C61" s="47" t="s">
        <v>31</v>
      </c>
      <c r="D61" s="160">
        <v>0.48099999999999998</v>
      </c>
      <c r="E61" s="163">
        <v>0.47599999999999998</v>
      </c>
      <c r="F61" s="14">
        <f>D61/E61</f>
        <v>1.0105042016806722</v>
      </c>
      <c r="G61" s="160">
        <v>0.47899999999999998</v>
      </c>
      <c r="H61" s="14">
        <f>E61/G61</f>
        <v>0.99373695198329848</v>
      </c>
      <c r="I61" s="149"/>
      <c r="J61" s="39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5"/>
      <c r="AC61" s="374"/>
    </row>
    <row r="62" spans="2:31" x14ac:dyDescent="0.25">
      <c r="B62" s="382"/>
      <c r="C62" s="47" t="s">
        <v>32</v>
      </c>
      <c r="D62" s="160">
        <v>0.19500000000000001</v>
      </c>
      <c r="E62" s="160">
        <v>0.2</v>
      </c>
      <c r="F62" s="14">
        <f>D62/E62</f>
        <v>0.97499999999999998</v>
      </c>
      <c r="G62" s="160">
        <v>0.156</v>
      </c>
      <c r="H62" s="14">
        <f t="shared" si="4"/>
        <v>1.2820512820512822</v>
      </c>
      <c r="I62" s="149"/>
      <c r="J62" s="39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374"/>
    </row>
    <row r="63" spans="2:31" x14ac:dyDescent="0.25">
      <c r="B63" s="382"/>
      <c r="C63" s="47" t="s">
        <v>33</v>
      </c>
      <c r="D63" s="160">
        <v>0.11899999999999999</v>
      </c>
      <c r="E63" s="160">
        <v>0.124</v>
      </c>
      <c r="F63" s="14">
        <f>D63/E63</f>
        <v>0.95967741935483863</v>
      </c>
      <c r="G63" s="160">
        <v>0.124</v>
      </c>
      <c r="H63" s="14">
        <f t="shared" si="4"/>
        <v>1</v>
      </c>
      <c r="I63" s="149"/>
      <c r="J63" s="39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5"/>
      <c r="AC63" s="374"/>
    </row>
    <row r="64" spans="2:31" x14ac:dyDescent="0.25">
      <c r="B64" s="382"/>
      <c r="C64" s="47" t="s">
        <v>34</v>
      </c>
      <c r="D64" s="160">
        <v>0.104</v>
      </c>
      <c r="E64" s="160">
        <v>9.7000000000000003E-2</v>
      </c>
      <c r="F64" s="14">
        <f t="shared" ref="F64:F67" si="6">D64/E64</f>
        <v>1.0721649484536082</v>
      </c>
      <c r="G64" s="160">
        <v>0.115</v>
      </c>
      <c r="H64" s="14">
        <f t="shared" si="4"/>
        <v>0.84347826086956523</v>
      </c>
      <c r="I64" s="223"/>
      <c r="J64" s="39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5"/>
      <c r="AC64" s="374"/>
    </row>
    <row r="65" spans="2:29" x14ac:dyDescent="0.25">
      <c r="B65" s="382"/>
      <c r="C65" s="47" t="s">
        <v>35</v>
      </c>
      <c r="D65" s="160">
        <v>2.5999999999999999E-2</v>
      </c>
      <c r="E65" s="160">
        <v>2.3E-2</v>
      </c>
      <c r="F65" s="14">
        <f t="shared" si="6"/>
        <v>1.1304347826086956</v>
      </c>
      <c r="G65" s="160">
        <v>3.3000000000000002E-2</v>
      </c>
      <c r="H65" s="14">
        <f t="shared" si="4"/>
        <v>0.69696969696969691</v>
      </c>
      <c r="I65" s="149"/>
      <c r="J65" s="39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5"/>
      <c r="AC65" s="374"/>
    </row>
    <row r="66" spans="2:29" x14ac:dyDescent="0.25">
      <c r="B66" s="382"/>
      <c r="C66" s="47" t="s">
        <v>36</v>
      </c>
      <c r="D66" s="160">
        <v>1.2E-2</v>
      </c>
      <c r="E66" s="160">
        <v>1.4999999999999999E-2</v>
      </c>
      <c r="F66" s="14">
        <f t="shared" si="6"/>
        <v>0.8</v>
      </c>
      <c r="G66" s="160">
        <v>1.9E-2</v>
      </c>
      <c r="H66" s="14">
        <f t="shared" si="4"/>
        <v>0.78947368421052633</v>
      </c>
      <c r="I66" s="149"/>
      <c r="J66" s="39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5"/>
      <c r="AC66" s="374"/>
    </row>
    <row r="67" spans="2:29" x14ac:dyDescent="0.25">
      <c r="B67" s="382"/>
      <c r="C67" s="47" t="s">
        <v>37</v>
      </c>
      <c r="D67" s="160">
        <v>6.3E-2</v>
      </c>
      <c r="E67" s="160">
        <v>6.5000000000000002E-2</v>
      </c>
      <c r="F67" s="14">
        <f t="shared" si="6"/>
        <v>0.96923076923076923</v>
      </c>
      <c r="G67" s="160">
        <v>7.3999999999999996E-2</v>
      </c>
      <c r="H67" s="14">
        <f t="shared" si="4"/>
        <v>0.8783783783783784</v>
      </c>
      <c r="I67" s="149"/>
      <c r="J67" s="39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5"/>
      <c r="AC67" s="374"/>
    </row>
    <row r="68" spans="2:29" x14ac:dyDescent="0.25">
      <c r="B68" s="382"/>
      <c r="D68" s="190"/>
      <c r="E68" s="190"/>
      <c r="F68" s="14"/>
      <c r="G68" s="160"/>
      <c r="H68" s="170"/>
      <c r="I68" s="149"/>
      <c r="J68" s="222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5"/>
      <c r="AC68" s="374"/>
    </row>
    <row r="69" spans="2:29" x14ac:dyDescent="0.25">
      <c r="B69" s="382"/>
      <c r="C69" s="156" t="s">
        <v>38</v>
      </c>
      <c r="D69" s="169"/>
      <c r="E69" s="169"/>
      <c r="F69" s="14"/>
      <c r="G69" s="160"/>
      <c r="H69" s="170"/>
      <c r="I69" s="149"/>
      <c r="J69" s="222"/>
      <c r="K69" s="239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5"/>
      <c r="AC69" s="374"/>
    </row>
    <row r="70" spans="2:29" x14ac:dyDescent="0.25">
      <c r="B70" s="382"/>
      <c r="C70" s="47" t="s">
        <v>39</v>
      </c>
      <c r="D70" s="160">
        <v>0.51100000000000001</v>
      </c>
      <c r="E70" s="160">
        <v>0.46400000000000002</v>
      </c>
      <c r="F70" s="14">
        <f>D70/E70</f>
        <v>1.1012931034482758</v>
      </c>
      <c r="G70" s="164">
        <v>0.49099999999999999</v>
      </c>
      <c r="H70" s="72">
        <f>E70/G70</f>
        <v>0.94501018329938902</v>
      </c>
      <c r="I70" s="149"/>
      <c r="J70" s="240"/>
      <c r="K70" s="241"/>
      <c r="L70" s="16"/>
      <c r="M70" s="16"/>
      <c r="N70" s="16"/>
      <c r="O70" s="16"/>
      <c r="P70" s="16"/>
      <c r="Q70" s="68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36"/>
      <c r="AC70" s="374"/>
    </row>
    <row r="71" spans="2:29" x14ac:dyDescent="0.25">
      <c r="B71" s="382"/>
      <c r="C71" s="47" t="s">
        <v>40</v>
      </c>
      <c r="D71" s="160">
        <v>4.8000000000000001E-2</v>
      </c>
      <c r="E71" s="160">
        <v>4.9000000000000002E-2</v>
      </c>
      <c r="F71" s="14">
        <f>D71/E71</f>
        <v>0.97959183673469385</v>
      </c>
      <c r="G71" s="160">
        <v>7.3999999999999996E-2</v>
      </c>
      <c r="H71" s="72">
        <f>E71/G71</f>
        <v>0.66216216216216217</v>
      </c>
      <c r="I71" s="149"/>
      <c r="J71" s="240"/>
      <c r="K71" s="241"/>
      <c r="L71" s="14"/>
      <c r="M71" s="16"/>
      <c r="N71" s="16"/>
      <c r="O71" s="16"/>
      <c r="P71" s="16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374"/>
    </row>
    <row r="72" spans="2:29" x14ac:dyDescent="0.25">
      <c r="B72" s="382"/>
      <c r="C72" s="47" t="s">
        <v>41</v>
      </c>
      <c r="D72" s="160">
        <v>8.7999999999999995E-2</v>
      </c>
      <c r="E72" s="160">
        <v>0.09</v>
      </c>
      <c r="F72" s="14">
        <f>D72/E72</f>
        <v>0.97777777777777775</v>
      </c>
      <c r="G72" s="160">
        <v>0.129</v>
      </c>
      <c r="H72" s="72">
        <f>E72/G72</f>
        <v>0.69767441860465107</v>
      </c>
      <c r="I72" s="149"/>
      <c r="J72" s="240"/>
      <c r="K72" s="241"/>
      <c r="L72" s="14"/>
      <c r="M72" s="16"/>
      <c r="N72" s="16"/>
      <c r="O72" s="16"/>
      <c r="P72" s="16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5"/>
      <c r="AC72" s="374"/>
    </row>
    <row r="73" spans="2:29" x14ac:dyDescent="0.25">
      <c r="B73" s="382"/>
      <c r="C73" s="47" t="s">
        <v>42</v>
      </c>
      <c r="D73" s="160">
        <v>0.11700000000000001</v>
      </c>
      <c r="E73" s="160">
        <v>0.113</v>
      </c>
      <c r="F73" s="14">
        <f>D73/E73</f>
        <v>1.0353982300884956</v>
      </c>
      <c r="G73" s="160">
        <v>0.13200000000000001</v>
      </c>
      <c r="H73" s="72">
        <f>E73/G73</f>
        <v>0.85606060606060608</v>
      </c>
      <c r="I73" s="149"/>
      <c r="J73" s="240"/>
      <c r="K73" s="241"/>
      <c r="L73" s="14"/>
      <c r="M73" s="16"/>
      <c r="N73" s="16"/>
      <c r="O73" s="16"/>
      <c r="P73" s="16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5"/>
      <c r="AC73" s="374"/>
    </row>
    <row r="74" spans="2:29" x14ac:dyDescent="0.25">
      <c r="B74" s="382"/>
      <c r="C74" s="47" t="s">
        <v>43</v>
      </c>
      <c r="D74" s="160">
        <v>0.127</v>
      </c>
      <c r="E74" s="160">
        <v>0.14399999999999999</v>
      </c>
      <c r="F74" s="14">
        <f>D74/E74</f>
        <v>0.88194444444444453</v>
      </c>
      <c r="G74" s="160">
        <v>0.11600000000000001</v>
      </c>
      <c r="H74" s="72">
        <f>E74/G74</f>
        <v>1.2413793103448274</v>
      </c>
      <c r="I74" s="149"/>
      <c r="J74" s="240"/>
      <c r="K74" s="241"/>
      <c r="L74" s="14"/>
      <c r="M74" s="16"/>
      <c r="N74" s="16"/>
      <c r="O74" s="16"/>
      <c r="P74" s="16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5"/>
      <c r="AC74" s="374"/>
    </row>
    <row r="75" spans="2:29" x14ac:dyDescent="0.25">
      <c r="B75" s="382"/>
      <c r="C75" s="47" t="s">
        <v>44</v>
      </c>
      <c r="D75" s="160">
        <v>0.109</v>
      </c>
      <c r="E75" s="160">
        <v>0.14000000000000001</v>
      </c>
      <c r="F75" s="14">
        <f t="shared" si="5"/>
        <v>0.77857142857142847</v>
      </c>
      <c r="G75" s="160">
        <v>5.8000000000000003E-2</v>
      </c>
      <c r="H75" s="72">
        <f t="shared" ref="H75" si="7">E75/G75</f>
        <v>2.4137931034482758</v>
      </c>
      <c r="J75" s="34"/>
      <c r="K75" s="2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374"/>
    </row>
    <row r="76" spans="2:29" x14ac:dyDescent="0.25">
      <c r="B76" s="382"/>
      <c r="D76" s="190"/>
      <c r="E76" s="190"/>
      <c r="F76" s="14"/>
      <c r="G76" s="190"/>
      <c r="H76" s="170"/>
      <c r="I76" s="149"/>
      <c r="J76" s="222"/>
      <c r="K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5"/>
      <c r="AC76" s="374"/>
    </row>
    <row r="77" spans="2:29" x14ac:dyDescent="0.25">
      <c r="B77" s="382"/>
      <c r="C77" s="156" t="s">
        <v>157</v>
      </c>
      <c r="D77" s="190"/>
      <c r="E77" s="190"/>
      <c r="F77" s="14"/>
      <c r="G77" s="190"/>
      <c r="H77" s="170"/>
      <c r="I77" s="149"/>
      <c r="J77" s="39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5"/>
      <c r="AC77" s="374"/>
    </row>
    <row r="78" spans="2:29" x14ac:dyDescent="0.25">
      <c r="B78" s="382"/>
      <c r="C78" s="47" t="s">
        <v>39</v>
      </c>
      <c r="D78" s="160">
        <v>0.29299999999999998</v>
      </c>
      <c r="E78" s="160">
        <v>0.17</v>
      </c>
      <c r="F78" s="14">
        <f t="shared" si="5"/>
        <v>1.7235294117647058</v>
      </c>
      <c r="G78" s="163">
        <v>0.315</v>
      </c>
      <c r="H78" s="72">
        <f>E78/G78</f>
        <v>0.53968253968253976</v>
      </c>
      <c r="I78" s="149"/>
      <c r="J78" s="3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374"/>
    </row>
    <row r="79" spans="2:29" x14ac:dyDescent="0.25">
      <c r="B79" s="382"/>
      <c r="C79" s="47" t="s">
        <v>40</v>
      </c>
      <c r="D79" s="160">
        <v>5.8999999999999997E-2</v>
      </c>
      <c r="E79" s="160">
        <v>5.8999999999999997E-2</v>
      </c>
      <c r="F79" s="14">
        <f t="shared" si="5"/>
        <v>1</v>
      </c>
      <c r="G79" s="163">
        <v>0.14299999999999999</v>
      </c>
      <c r="H79" s="72">
        <f t="shared" ref="H79:H83" si="8">E79/G79</f>
        <v>0.41258741258741261</v>
      </c>
      <c r="I79" s="149"/>
      <c r="J79" s="3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5"/>
      <c r="AC79" s="374"/>
    </row>
    <row r="80" spans="2:29" x14ac:dyDescent="0.25">
      <c r="B80" s="382"/>
      <c r="C80" s="47" t="s">
        <v>41</v>
      </c>
      <c r="D80" s="160">
        <v>0.12</v>
      </c>
      <c r="E80" s="160">
        <v>0.128</v>
      </c>
      <c r="F80" s="14">
        <f t="shared" si="5"/>
        <v>0.9375</v>
      </c>
      <c r="G80" s="163">
        <v>0.21099999999999999</v>
      </c>
      <c r="H80" s="72">
        <f t="shared" si="8"/>
        <v>0.60663507109004744</v>
      </c>
      <c r="I80" s="149"/>
      <c r="J80" s="3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374"/>
    </row>
    <row r="81" spans="2:29" x14ac:dyDescent="0.25">
      <c r="B81" s="382"/>
      <c r="C81" s="47" t="s">
        <v>42</v>
      </c>
      <c r="D81" s="160">
        <v>0.14399999999999999</v>
      </c>
      <c r="E81" s="160">
        <v>0.161</v>
      </c>
      <c r="F81" s="14">
        <f t="shared" si="5"/>
        <v>0.89440993788819867</v>
      </c>
      <c r="G81" s="163">
        <v>0.16500000000000001</v>
      </c>
      <c r="H81" s="72">
        <f t="shared" si="8"/>
        <v>0.97575757575757571</v>
      </c>
      <c r="I81" s="149"/>
      <c r="J81" s="3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5"/>
      <c r="AC81" s="374"/>
    </row>
    <row r="82" spans="2:29" x14ac:dyDescent="0.25">
      <c r="B82" s="382"/>
      <c r="C82" s="47" t="s">
        <v>43</v>
      </c>
      <c r="D82" s="160">
        <v>0.191</v>
      </c>
      <c r="E82" s="160">
        <v>0.223</v>
      </c>
      <c r="F82" s="14">
        <f t="shared" si="5"/>
        <v>0.8565022421524664</v>
      </c>
      <c r="G82" s="163">
        <v>0.114</v>
      </c>
      <c r="H82" s="72">
        <f t="shared" si="8"/>
        <v>1.9561403508771928</v>
      </c>
      <c r="I82" s="149"/>
      <c r="J82" s="3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5"/>
      <c r="AC82" s="374"/>
    </row>
    <row r="83" spans="2:29" ht="15.75" thickBot="1" x14ac:dyDescent="0.3">
      <c r="B83" s="383"/>
      <c r="C83" s="47" t="s">
        <v>44</v>
      </c>
      <c r="D83" s="160">
        <v>0.193</v>
      </c>
      <c r="E83" s="160">
        <v>0.26</v>
      </c>
      <c r="F83" s="14">
        <f t="shared" si="5"/>
        <v>0.74230769230769234</v>
      </c>
      <c r="G83" s="163">
        <v>5.2999999999999999E-2</v>
      </c>
      <c r="H83" s="72">
        <f t="shared" si="8"/>
        <v>4.9056603773584913</v>
      </c>
      <c r="I83" s="149"/>
      <c r="J83" s="38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5"/>
      <c r="AC83" s="375"/>
    </row>
    <row r="84" spans="2:29" ht="15.75" thickBot="1" x14ac:dyDescent="0.3">
      <c r="B84" s="266"/>
      <c r="C84" s="224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25"/>
    </row>
    <row r="85" spans="2:29" x14ac:dyDescent="0.25">
      <c r="B85" s="373" t="s">
        <v>45</v>
      </c>
      <c r="C85" s="290"/>
      <c r="D85" s="404" t="s">
        <v>46</v>
      </c>
      <c r="E85" s="404"/>
      <c r="F85" s="404" t="s">
        <v>47</v>
      </c>
      <c r="G85" s="404"/>
      <c r="H85" s="291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92"/>
      <c r="AB85" s="293"/>
      <c r="AC85" s="386" t="s">
        <v>48</v>
      </c>
    </row>
    <row r="86" spans="2:29" x14ac:dyDescent="0.25">
      <c r="B86" s="374"/>
      <c r="C86" s="294"/>
      <c r="D86" s="295" t="s">
        <v>49</v>
      </c>
      <c r="E86" s="295" t="s">
        <v>50</v>
      </c>
      <c r="F86" s="295" t="s">
        <v>49</v>
      </c>
      <c r="G86" s="295" t="s">
        <v>50</v>
      </c>
      <c r="H86" s="296" t="s">
        <v>51</v>
      </c>
      <c r="I86" s="297" t="s">
        <v>52</v>
      </c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  <c r="AA86" s="298"/>
      <c r="AB86" s="299"/>
      <c r="AC86" s="387"/>
    </row>
    <row r="87" spans="2:29" x14ac:dyDescent="0.25">
      <c r="B87" s="374"/>
      <c r="C87" s="300" t="s">
        <v>53</v>
      </c>
      <c r="D87" s="162"/>
      <c r="E87" s="162"/>
      <c r="F87" s="162"/>
      <c r="G87" s="162"/>
      <c r="H87" s="160"/>
      <c r="I87" s="160"/>
      <c r="J87" s="160"/>
      <c r="K87" s="160"/>
      <c r="L87" s="160"/>
      <c r="M87" s="160"/>
      <c r="N87" s="160"/>
      <c r="O87" s="160"/>
      <c r="P87" s="160"/>
      <c r="Q87" s="160"/>
      <c r="R87" s="160"/>
      <c r="S87" s="160"/>
      <c r="T87" s="160"/>
      <c r="U87" s="160"/>
      <c r="V87" s="160"/>
      <c r="W87" s="160"/>
      <c r="X87" s="160"/>
      <c r="Y87" s="160"/>
      <c r="Z87" s="160"/>
      <c r="AA87" s="160"/>
      <c r="AB87" s="301"/>
      <c r="AC87" s="387"/>
    </row>
    <row r="88" spans="2:29" x14ac:dyDescent="0.25">
      <c r="B88" s="374"/>
      <c r="C88" s="294" t="s">
        <v>54</v>
      </c>
      <c r="D88" s="167">
        <v>2292148</v>
      </c>
      <c r="E88" s="163">
        <f>D88/D90</f>
        <v>0.64505006694917211</v>
      </c>
      <c r="F88" s="168">
        <v>192324</v>
      </c>
      <c r="G88" s="160">
        <f>F88/$F$90</f>
        <v>0.60214151534126492</v>
      </c>
      <c r="H88" s="161">
        <f>G88/E88</f>
        <v>0.93348027725840355</v>
      </c>
      <c r="I88" s="163">
        <f>F88/D88</f>
        <v>8.3905576777764793E-2</v>
      </c>
      <c r="J88" s="302"/>
      <c r="K88" s="302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303"/>
      <c r="AC88" s="387"/>
    </row>
    <row r="89" spans="2:29" x14ac:dyDescent="0.25">
      <c r="B89" s="374"/>
      <c r="C89" s="294" t="s">
        <v>55</v>
      </c>
      <c r="D89" s="167">
        <f>SUM(D93:D99)</f>
        <v>1261294</v>
      </c>
      <c r="E89" s="163">
        <f>D89/D90</f>
        <v>0.35494993305082789</v>
      </c>
      <c r="F89" s="168">
        <f>SUM(F93:F99)</f>
        <v>127076</v>
      </c>
      <c r="G89" s="160">
        <f>F89/$F$90</f>
        <v>0.39785848465873513</v>
      </c>
      <c r="H89" s="161">
        <f>G89/E89</f>
        <v>1.120886208483276</v>
      </c>
      <c r="I89" s="163">
        <f t="shared" ref="I89:I98" si="9">F89/D89</f>
        <v>0.10075049909061647</v>
      </c>
      <c r="J89" s="302"/>
      <c r="K89" s="302"/>
      <c r="L89" s="304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303"/>
      <c r="AC89" s="387"/>
    </row>
    <row r="90" spans="2:29" x14ac:dyDescent="0.25">
      <c r="B90" s="374"/>
      <c r="C90" s="294" t="s">
        <v>53</v>
      </c>
      <c r="D90" s="167">
        <f>SUM(D88:D89)</f>
        <v>3553442</v>
      </c>
      <c r="E90" s="163"/>
      <c r="F90" s="168">
        <f>SUM(F88:F89)</f>
        <v>319400</v>
      </c>
      <c r="G90" s="162"/>
      <c r="H90" s="161"/>
      <c r="I90" s="163">
        <f t="shared" si="9"/>
        <v>8.9884680824957888E-2</v>
      </c>
      <c r="J90" s="302"/>
      <c r="K90" s="302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303"/>
      <c r="AC90" s="387"/>
    </row>
    <row r="91" spans="2:29" x14ac:dyDescent="0.25">
      <c r="B91" s="374"/>
      <c r="C91" s="294"/>
      <c r="D91" s="163"/>
      <c r="E91" s="163"/>
      <c r="F91" s="168"/>
      <c r="G91" s="162"/>
      <c r="H91" s="161"/>
      <c r="I91" s="163"/>
      <c r="J91" s="302"/>
      <c r="K91" s="302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303"/>
      <c r="AC91" s="387"/>
    </row>
    <row r="92" spans="2:29" x14ac:dyDescent="0.25">
      <c r="B92" s="374"/>
      <c r="C92" s="300" t="s">
        <v>56</v>
      </c>
      <c r="D92" s="163"/>
      <c r="E92" s="163"/>
      <c r="F92" s="162"/>
      <c r="G92" s="162"/>
      <c r="H92" s="161"/>
      <c r="I92" s="163"/>
      <c r="J92" s="302"/>
      <c r="K92" s="302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303"/>
      <c r="AC92" s="387"/>
    </row>
    <row r="93" spans="2:29" x14ac:dyDescent="0.25">
      <c r="B93" s="374"/>
      <c r="C93" s="294" t="s">
        <v>57</v>
      </c>
      <c r="D93" s="167">
        <v>413431</v>
      </c>
      <c r="E93" s="163">
        <f>D93/$D$89</f>
        <v>0.3277832131128825</v>
      </c>
      <c r="F93" s="168">
        <v>44099</v>
      </c>
      <c r="G93" s="160">
        <f>F93/$F$89</f>
        <v>0.34702854984418774</v>
      </c>
      <c r="H93" s="161">
        <f t="shared" ref="H93:H99" si="10">G93/E93</f>
        <v>1.0587136130265387</v>
      </c>
      <c r="I93" s="163">
        <f t="shared" si="9"/>
        <v>0.10666592490645356</v>
      </c>
      <c r="J93" s="302"/>
      <c r="K93" s="166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303"/>
      <c r="AC93" s="387"/>
    </row>
    <row r="94" spans="2:29" x14ac:dyDescent="0.25">
      <c r="B94" s="374"/>
      <c r="C94" s="294" t="s">
        <v>58</v>
      </c>
      <c r="D94" s="167">
        <v>197964</v>
      </c>
      <c r="E94" s="163">
        <f t="shared" ref="E94:E99" si="11">D94/$D$89</f>
        <v>0.156953097374601</v>
      </c>
      <c r="F94" s="168">
        <v>28341</v>
      </c>
      <c r="G94" s="160">
        <f t="shared" ref="G94:G96" si="12">F94/$F$89</f>
        <v>0.22302401712361106</v>
      </c>
      <c r="H94" s="161">
        <f t="shared" si="10"/>
        <v>1.4209596424294715</v>
      </c>
      <c r="I94" s="163">
        <f t="shared" si="9"/>
        <v>0.14316239316239315</v>
      </c>
      <c r="J94" s="302"/>
      <c r="K94" s="166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303"/>
      <c r="AC94" s="387"/>
    </row>
    <row r="95" spans="2:29" x14ac:dyDescent="0.25">
      <c r="B95" s="374"/>
      <c r="C95" s="294" t="s">
        <v>59</v>
      </c>
      <c r="D95" s="167">
        <v>126953</v>
      </c>
      <c r="E95" s="163">
        <f t="shared" si="11"/>
        <v>0.10065298019335699</v>
      </c>
      <c r="F95" s="168">
        <v>18203</v>
      </c>
      <c r="G95" s="160">
        <f t="shared" si="12"/>
        <v>0.14324498725172338</v>
      </c>
      <c r="H95" s="161">
        <f t="shared" si="10"/>
        <v>1.4231569395813819</v>
      </c>
      <c r="I95" s="163">
        <f t="shared" si="9"/>
        <v>0.14338377194709853</v>
      </c>
      <c r="J95" s="302"/>
      <c r="K95" s="166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303"/>
      <c r="AC95" s="387"/>
    </row>
    <row r="96" spans="2:29" x14ac:dyDescent="0.25">
      <c r="B96" s="374"/>
      <c r="C96" s="305" t="s">
        <v>60</v>
      </c>
      <c r="D96" s="168">
        <v>385615</v>
      </c>
      <c r="E96" s="163">
        <f t="shared" si="11"/>
        <v>0.30572967127410422</v>
      </c>
      <c r="F96" s="174">
        <v>26874</v>
      </c>
      <c r="G96" s="160">
        <f t="shared" si="12"/>
        <v>0.21147974440492304</v>
      </c>
      <c r="H96" s="161">
        <f t="shared" si="10"/>
        <v>0.69172136130457318</v>
      </c>
      <c r="I96" s="163">
        <f t="shared" si="9"/>
        <v>6.9691272383076389E-2</v>
      </c>
      <c r="J96" s="302"/>
      <c r="K96" s="166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303"/>
      <c r="AC96" s="387"/>
    </row>
    <row r="97" spans="2:32" x14ac:dyDescent="0.25">
      <c r="B97" s="374"/>
      <c r="C97" s="294" t="s">
        <v>61</v>
      </c>
      <c r="D97" s="167">
        <v>54373</v>
      </c>
      <c r="E97" s="163">
        <f t="shared" si="11"/>
        <v>4.3108902444632259E-2</v>
      </c>
      <c r="F97" s="168">
        <v>931</v>
      </c>
      <c r="G97" s="160">
        <f>F97/$F$89</f>
        <v>7.326324404293494E-3</v>
      </c>
      <c r="H97" s="161">
        <f t="shared" si="10"/>
        <v>0.16994922136334134</v>
      </c>
      <c r="I97" s="163">
        <f>F97/D97</f>
        <v>1.7122468872418296E-2</v>
      </c>
      <c r="J97" s="302"/>
      <c r="K97" s="166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303"/>
      <c r="AC97" s="387"/>
    </row>
    <row r="98" spans="2:32" x14ac:dyDescent="0.25">
      <c r="B98" s="374"/>
      <c r="C98" s="294" t="s">
        <v>62</v>
      </c>
      <c r="D98" s="167">
        <v>67393</v>
      </c>
      <c r="E98" s="163">
        <f t="shared" si="11"/>
        <v>5.3431634496001724E-2</v>
      </c>
      <c r="F98" s="168">
        <v>6790</v>
      </c>
      <c r="G98" s="160">
        <f>F98/$F$89</f>
        <v>5.3432591520035252E-2</v>
      </c>
      <c r="H98" s="161">
        <f t="shared" si="10"/>
        <v>1.0000179111876804</v>
      </c>
      <c r="I98" s="163">
        <f t="shared" si="9"/>
        <v>0.10075230365171457</v>
      </c>
      <c r="J98" s="302"/>
      <c r="K98" s="166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303"/>
      <c r="AC98" s="387"/>
      <c r="AF98" s="13"/>
    </row>
    <row r="99" spans="2:32" ht="15.75" thickBot="1" x14ac:dyDescent="0.3">
      <c r="B99" s="375"/>
      <c r="C99" s="306" t="s">
        <v>63</v>
      </c>
      <c r="D99" s="175">
        <v>15565</v>
      </c>
      <c r="E99" s="179">
        <f t="shared" si="11"/>
        <v>1.2340501104421333E-2</v>
      </c>
      <c r="F99" s="177">
        <v>1838</v>
      </c>
      <c r="G99" s="176">
        <f>F99/$F$89</f>
        <v>1.4463785451226037E-2</v>
      </c>
      <c r="H99" s="178">
        <f t="shared" si="10"/>
        <v>1.1720581951120266</v>
      </c>
      <c r="I99" s="179">
        <f>F99/D99</f>
        <v>0.11808544812078381</v>
      </c>
      <c r="J99" s="307"/>
      <c r="K99" s="166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  <c r="AA99" s="178"/>
      <c r="AB99" s="308"/>
      <c r="AC99" s="388"/>
    </row>
    <row r="100" spans="2:32" ht="15.75" thickBot="1" x14ac:dyDescent="0.3">
      <c r="D100" s="8"/>
    </row>
    <row r="101" spans="2:32" x14ac:dyDescent="0.25">
      <c r="B101" s="373" t="s">
        <v>64</v>
      </c>
      <c r="C101" s="21" t="s">
        <v>65</v>
      </c>
      <c r="D101" s="23" t="s">
        <v>66</v>
      </c>
      <c r="E101" s="48" t="s">
        <v>67</v>
      </c>
      <c r="F101" s="48" t="s">
        <v>68</v>
      </c>
      <c r="G101" s="48" t="s">
        <v>51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7"/>
      <c r="AC101" s="373" t="s">
        <v>19</v>
      </c>
    </row>
    <row r="102" spans="2:32" x14ac:dyDescent="0.25">
      <c r="B102" s="374"/>
      <c r="C102" s="1" t="s">
        <v>69</v>
      </c>
      <c r="D102" s="168">
        <v>106894</v>
      </c>
      <c r="E102" s="180">
        <v>888359</v>
      </c>
      <c r="F102" s="68"/>
      <c r="I102" s="8"/>
      <c r="AB102" s="4"/>
      <c r="AC102" s="374"/>
    </row>
    <row r="103" spans="2:32" x14ac:dyDescent="0.25">
      <c r="B103" s="374"/>
      <c r="C103" s="1" t="s">
        <v>70</v>
      </c>
      <c r="D103" s="160">
        <f>D102/H44</f>
        <v>0.61449931878150998</v>
      </c>
      <c r="E103" s="261">
        <v>0.22489999999999999</v>
      </c>
      <c r="F103" s="68"/>
      <c r="I103" s="8"/>
      <c r="AB103" s="4"/>
      <c r="AC103" s="374"/>
    </row>
    <row r="104" spans="2:32" x14ac:dyDescent="0.25">
      <c r="B104" s="374"/>
      <c r="C104" s="1"/>
      <c r="D104" s="199"/>
      <c r="E104" s="200"/>
      <c r="F104" s="14"/>
      <c r="I104" s="8"/>
      <c r="AB104" s="4"/>
      <c r="AC104" s="374"/>
      <c r="AF104" s="8"/>
    </row>
    <row r="105" spans="2:32" ht="14.45" customHeight="1" x14ac:dyDescent="0.25">
      <c r="B105" s="374"/>
      <c r="C105" s="1" t="s">
        <v>71</v>
      </c>
      <c r="D105" s="168">
        <v>319419</v>
      </c>
      <c r="E105" s="183">
        <v>2006158</v>
      </c>
      <c r="F105" s="68"/>
      <c r="I105" s="8"/>
      <c r="AB105" s="4"/>
      <c r="AC105" s="374"/>
      <c r="AD105" s="24"/>
      <c r="AF105" s="14"/>
    </row>
    <row r="106" spans="2:32" x14ac:dyDescent="0.25">
      <c r="B106" s="374"/>
      <c r="C106" s="1" t="s">
        <v>72</v>
      </c>
      <c r="D106" s="184">
        <f>D105/D102</f>
        <v>2.9881845566636107</v>
      </c>
      <c r="E106" s="161">
        <f>E105/E102</f>
        <v>2.258273963566531</v>
      </c>
      <c r="F106" s="14"/>
      <c r="I106" s="8"/>
      <c r="AB106" s="4"/>
      <c r="AC106" s="374"/>
    </row>
    <row r="107" spans="2:32" x14ac:dyDescent="0.25">
      <c r="B107" s="374"/>
      <c r="C107" s="1"/>
      <c r="D107" s="202"/>
      <c r="E107" s="169"/>
      <c r="F107" s="14"/>
      <c r="I107" s="8"/>
      <c r="AB107" s="4"/>
      <c r="AC107" s="374"/>
      <c r="AF107" s="8"/>
    </row>
    <row r="108" spans="2:32" x14ac:dyDescent="0.25">
      <c r="B108" s="374"/>
      <c r="C108" s="1" t="s">
        <v>73</v>
      </c>
      <c r="D108" s="168">
        <v>171983</v>
      </c>
      <c r="E108" s="183">
        <v>1378083</v>
      </c>
      <c r="F108" s="14"/>
      <c r="I108" s="8"/>
      <c r="AB108" s="4"/>
      <c r="AC108" s="374"/>
      <c r="AF108" s="14"/>
    </row>
    <row r="109" spans="2:32" x14ac:dyDescent="0.25">
      <c r="B109" s="374"/>
      <c r="C109" s="1" t="s">
        <v>74</v>
      </c>
      <c r="D109" s="184">
        <f>D108/D102</f>
        <v>1.6089116320841208</v>
      </c>
      <c r="E109" s="165">
        <f>E108/E102</f>
        <v>1.5512681247108433</v>
      </c>
      <c r="F109" s="14"/>
      <c r="AB109" s="4"/>
      <c r="AC109" s="374"/>
    </row>
    <row r="110" spans="2:32" ht="15.75" thickBot="1" x14ac:dyDescent="0.3">
      <c r="B110" s="375"/>
      <c r="C110" s="9" t="s">
        <v>75</v>
      </c>
      <c r="D110" s="185">
        <f>D105/D108</f>
        <v>1.8572707767628196</v>
      </c>
      <c r="E110" s="186">
        <f>E105/E108</f>
        <v>1.455759921572213</v>
      </c>
      <c r="F110" s="18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11"/>
      <c r="AC110" s="375"/>
    </row>
    <row r="111" spans="2:32" x14ac:dyDescent="0.25">
      <c r="D111" s="37"/>
      <c r="E111" s="22"/>
      <c r="F111" s="14"/>
    </row>
    <row r="112" spans="2:32" s="35" customFormat="1" x14ac:dyDescent="0.25">
      <c r="B112" s="47"/>
      <c r="C112" s="78"/>
      <c r="D112" s="8"/>
      <c r="E112" s="13"/>
    </row>
    <row r="113" spans="2:5" s="35" customFormat="1" x14ac:dyDescent="0.25">
      <c r="B113" s="47"/>
      <c r="C113" s="78"/>
      <c r="D113" s="8"/>
      <c r="E113" s="34"/>
    </row>
    <row r="114" spans="2:5" s="35" customFormat="1" x14ac:dyDescent="0.25">
      <c r="B114" s="47"/>
      <c r="C114" s="78"/>
      <c r="D114" s="8"/>
      <c r="E114" s="34"/>
    </row>
    <row r="115" spans="2:5" s="35" customFormat="1" x14ac:dyDescent="0.25">
      <c r="B115" s="47"/>
      <c r="C115" s="78"/>
      <c r="D115" s="262"/>
      <c r="E115" s="34"/>
    </row>
    <row r="116" spans="2:5" s="35" customFormat="1" x14ac:dyDescent="0.25">
      <c r="B116" s="47"/>
      <c r="C116" s="78"/>
      <c r="D116" s="8"/>
      <c r="E116" s="78"/>
    </row>
    <row r="117" spans="2:5" s="35" customFormat="1" x14ac:dyDescent="0.25">
      <c r="B117" s="47"/>
      <c r="C117" s="78"/>
      <c r="D117" s="8"/>
      <c r="E117" s="34"/>
    </row>
  </sheetData>
  <mergeCells count="15">
    <mergeCell ref="B101:B110"/>
    <mergeCell ref="AC101:AC110"/>
    <mergeCell ref="B4:B45"/>
    <mergeCell ref="B47:B83"/>
    <mergeCell ref="AC47:AC83"/>
    <mergeCell ref="B85:B99"/>
    <mergeCell ref="D85:E85"/>
    <mergeCell ref="F85:G85"/>
    <mergeCell ref="AC85:AC99"/>
    <mergeCell ref="AC3:AC45"/>
    <mergeCell ref="C2:AB2"/>
    <mergeCell ref="D3:J3"/>
    <mergeCell ref="K3:M3"/>
    <mergeCell ref="Q3:S3"/>
    <mergeCell ref="W3:AB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8FED-2AAD-4C96-BEA0-A95097A7F007}">
  <sheetPr>
    <tabColor theme="9"/>
  </sheetPr>
  <dimension ref="A1:AK118"/>
  <sheetViews>
    <sheetView zoomScale="80" zoomScaleNormal="80" workbookViewId="0">
      <pane xSplit="3" ySplit="4" topLeftCell="D75" activePane="bottomRight" state="frozen"/>
      <selection pane="topRight" activeCell="D1" sqref="D1"/>
      <selection pane="bottomLeft" activeCell="A5" sqref="A5"/>
      <selection pane="bottomRight" activeCell="E111" sqref="E111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4.28515625" style="3" bestFit="1" customWidth="1"/>
    <col min="9" max="13" width="14.28515625" style="3" customWidth="1"/>
    <col min="14" max="18" width="13.28515625" style="3" customWidth="1"/>
    <col min="19" max="19" width="21.5703125" style="3" bestFit="1" customWidth="1"/>
    <col min="20" max="20" width="20.140625" style="3" bestFit="1" customWidth="1"/>
    <col min="21" max="21" width="22" style="3" bestFit="1" customWidth="1"/>
    <col min="22" max="23" width="13.28515625" style="3" customWidth="1"/>
    <col min="24" max="24" width="16" style="3" bestFit="1" customWidth="1"/>
    <col min="25" max="25" width="26.42578125" style="3" customWidth="1"/>
    <col min="26" max="26" width="20.140625" style="3" bestFit="1" customWidth="1"/>
    <col min="27" max="27" width="22" style="3" bestFit="1" customWidth="1"/>
    <col min="28" max="29" width="13.28515625" style="3" customWidth="1"/>
    <col min="30" max="30" width="16" style="3" bestFit="1" customWidth="1"/>
    <col min="31" max="31" width="26.85546875" style="3" bestFit="1" customWidth="1"/>
    <col min="32" max="32" width="20.140625" style="3" bestFit="1" customWidth="1"/>
    <col min="33" max="33" width="22" style="3" bestFit="1" customWidth="1"/>
    <col min="34" max="34" width="14.28515625" style="47" customWidth="1"/>
    <col min="35" max="16384" width="8.85546875" style="3"/>
  </cols>
  <sheetData>
    <row r="1" spans="1:36" ht="15.75" thickBot="1" x14ac:dyDescent="0.3">
      <c r="A1" s="8"/>
      <c r="B1" s="155"/>
    </row>
    <row r="2" spans="1:36" ht="15.75" thickBot="1" x14ac:dyDescent="0.3">
      <c r="A2" s="149"/>
      <c r="B2" s="154"/>
      <c r="C2" s="396" t="s">
        <v>182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3"/>
      <c r="AE2" s="403"/>
      <c r="AF2" s="403"/>
      <c r="AG2" s="403"/>
      <c r="AH2" s="27" t="s">
        <v>1</v>
      </c>
    </row>
    <row r="3" spans="1:36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400" t="s">
        <v>128</v>
      </c>
      <c r="Q3" s="401"/>
      <c r="R3" s="401"/>
      <c r="S3" s="40"/>
      <c r="T3" s="40"/>
      <c r="U3" s="40"/>
      <c r="V3" s="399" t="s">
        <v>129</v>
      </c>
      <c r="W3" s="399"/>
      <c r="X3" s="400"/>
      <c r="Y3" s="91"/>
      <c r="Z3" s="91"/>
      <c r="AA3" s="91"/>
      <c r="AB3" s="393" t="s">
        <v>133</v>
      </c>
      <c r="AC3" s="385"/>
      <c r="AD3" s="385"/>
      <c r="AE3" s="385"/>
      <c r="AF3" s="385"/>
      <c r="AG3" s="385"/>
      <c r="AH3" s="373" t="s">
        <v>10</v>
      </c>
    </row>
    <row r="4" spans="1:36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284" t="s">
        <v>183</v>
      </c>
      <c r="J4" s="284" t="s">
        <v>184</v>
      </c>
      <c r="K4" s="285" t="s">
        <v>185</v>
      </c>
      <c r="L4" s="284" t="s">
        <v>186</v>
      </c>
      <c r="M4" s="284" t="s">
        <v>187</v>
      </c>
      <c r="N4" s="114" t="s">
        <v>114</v>
      </c>
      <c r="O4" s="114" t="s">
        <v>9</v>
      </c>
      <c r="P4" s="114" t="s">
        <v>5</v>
      </c>
      <c r="Q4" s="114" t="s">
        <v>115</v>
      </c>
      <c r="R4" s="114" t="s">
        <v>116</v>
      </c>
      <c r="S4" s="267" t="s">
        <v>168</v>
      </c>
      <c r="T4" s="267" t="s">
        <v>169</v>
      </c>
      <c r="U4" s="267" t="s">
        <v>170</v>
      </c>
      <c r="V4" s="114" t="s">
        <v>5</v>
      </c>
      <c r="W4" s="62" t="s">
        <v>115</v>
      </c>
      <c r="X4" s="91" t="s">
        <v>171</v>
      </c>
      <c r="Y4" s="268" t="s">
        <v>172</v>
      </c>
      <c r="Z4" s="268" t="s">
        <v>169</v>
      </c>
      <c r="AA4" s="269" t="s">
        <v>170</v>
      </c>
      <c r="AB4" s="114" t="s">
        <v>5</v>
      </c>
      <c r="AC4" s="114" t="s">
        <v>115</v>
      </c>
      <c r="AD4" s="270" t="s">
        <v>171</v>
      </c>
      <c r="AE4" s="269" t="s">
        <v>173</v>
      </c>
      <c r="AF4" s="269" t="s">
        <v>169</v>
      </c>
      <c r="AG4" s="269" t="s">
        <v>170</v>
      </c>
      <c r="AH4" s="374"/>
    </row>
    <row r="5" spans="1:36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/>
      <c r="J5" s="53"/>
      <c r="K5" s="53"/>
      <c r="L5" s="53"/>
      <c r="M5" s="53"/>
      <c r="N5" s="53">
        <v>16908</v>
      </c>
      <c r="O5" s="52" t="s">
        <v>12</v>
      </c>
      <c r="P5" s="53">
        <v>16908</v>
      </c>
      <c r="Q5" s="105">
        <v>1</v>
      </c>
      <c r="R5" s="105">
        <v>0</v>
      </c>
      <c r="S5" s="105"/>
      <c r="T5" s="105"/>
      <c r="U5" s="105"/>
      <c r="V5" s="52" t="s">
        <v>12</v>
      </c>
      <c r="W5" s="52" t="s">
        <v>12</v>
      </c>
      <c r="X5" s="249" t="s">
        <v>12</v>
      </c>
      <c r="Y5" s="249"/>
      <c r="Z5" s="249" t="s">
        <v>12</v>
      </c>
      <c r="AA5" s="249"/>
      <c r="AB5" s="52" t="s">
        <v>12</v>
      </c>
      <c r="AC5" s="52" t="s">
        <v>12</v>
      </c>
      <c r="AD5" s="249" t="s">
        <v>12</v>
      </c>
      <c r="AE5" s="249"/>
      <c r="AF5" s="249"/>
      <c r="AG5" s="249" t="s">
        <v>12</v>
      </c>
      <c r="AH5" s="374"/>
    </row>
    <row r="6" spans="1:36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/>
      <c r="J6" s="53"/>
      <c r="K6" s="53"/>
      <c r="L6" s="53"/>
      <c r="M6" s="53"/>
      <c r="N6" s="53">
        <v>7176</v>
      </c>
      <c r="O6" s="140">
        <f>G6/H5</f>
        <v>9.829666430092264E-2</v>
      </c>
      <c r="P6" s="53">
        <v>8838</v>
      </c>
      <c r="Q6" s="105">
        <v>0.96481104322244848</v>
      </c>
      <c r="R6" s="105">
        <v>3.5188956777551482E-2</v>
      </c>
      <c r="S6" s="105"/>
      <c r="T6" s="105"/>
      <c r="U6" s="105"/>
      <c r="V6" s="52" t="s">
        <v>12</v>
      </c>
      <c r="W6" s="52" t="s">
        <v>12</v>
      </c>
      <c r="X6" s="249" t="s">
        <v>12</v>
      </c>
      <c r="Y6" s="249"/>
      <c r="Z6" s="249" t="s">
        <v>12</v>
      </c>
      <c r="AA6" s="249"/>
      <c r="AB6" s="52" t="s">
        <v>12</v>
      </c>
      <c r="AC6" s="52" t="s">
        <v>12</v>
      </c>
      <c r="AD6" s="249" t="s">
        <v>12</v>
      </c>
      <c r="AE6" s="249"/>
      <c r="AF6" s="249"/>
      <c r="AG6" s="249" t="s">
        <v>12</v>
      </c>
      <c r="AH6" s="374"/>
      <c r="AI6" s="39"/>
      <c r="AJ6" s="39"/>
    </row>
    <row r="7" spans="1:36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/>
      <c r="J7" s="53"/>
      <c r="K7" s="53"/>
      <c r="L7" s="53"/>
      <c r="M7" s="53"/>
      <c r="N7" s="53">
        <v>8364</v>
      </c>
      <c r="O7" s="140">
        <f t="shared" ref="O7:O20" si="0">G7/H6</f>
        <v>8.4620494934396273E-2</v>
      </c>
      <c r="P7" s="53">
        <v>10402</v>
      </c>
      <c r="Q7" s="105">
        <v>0.92174581811190159</v>
      </c>
      <c r="R7" s="105">
        <v>7.8254181888098448E-2</v>
      </c>
      <c r="S7" s="105"/>
      <c r="T7" s="105"/>
      <c r="U7" s="105"/>
      <c r="V7" s="52" t="s">
        <v>12</v>
      </c>
      <c r="W7" s="52" t="s">
        <v>12</v>
      </c>
      <c r="X7" s="249" t="s">
        <v>12</v>
      </c>
      <c r="Y7" s="249"/>
      <c r="Z7" s="249" t="s">
        <v>12</v>
      </c>
      <c r="AA7" s="249"/>
      <c r="AB7" s="52" t="s">
        <v>12</v>
      </c>
      <c r="AC7" s="52" t="s">
        <v>12</v>
      </c>
      <c r="AD7" s="249" t="s">
        <v>12</v>
      </c>
      <c r="AE7" s="249"/>
      <c r="AF7" s="249"/>
      <c r="AG7" s="249" t="s">
        <v>12</v>
      </c>
      <c r="AH7" s="374"/>
      <c r="AI7" s="39"/>
      <c r="AJ7" s="39"/>
    </row>
    <row r="8" spans="1:36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/>
      <c r="J8" s="53"/>
      <c r="K8" s="53"/>
      <c r="L8" s="53"/>
      <c r="M8" s="53"/>
      <c r="N8" s="53">
        <v>5290</v>
      </c>
      <c r="O8" s="140">
        <f t="shared" si="0"/>
        <v>5.4394723865877709E-2</v>
      </c>
      <c r="P8" s="53">
        <v>7055</v>
      </c>
      <c r="Q8" s="105">
        <v>0.90007087172218281</v>
      </c>
      <c r="R8" s="105">
        <v>9.992912827781715E-2</v>
      </c>
      <c r="S8" s="105"/>
      <c r="T8" s="105"/>
      <c r="U8" s="105"/>
      <c r="V8" s="52" t="s">
        <v>12</v>
      </c>
      <c r="W8" s="52" t="s">
        <v>12</v>
      </c>
      <c r="X8" s="249" t="s">
        <v>12</v>
      </c>
      <c r="Y8" s="249"/>
      <c r="Z8" s="249" t="s">
        <v>12</v>
      </c>
      <c r="AA8" s="249"/>
      <c r="AB8" s="52" t="s">
        <v>12</v>
      </c>
      <c r="AC8" s="52" t="s">
        <v>12</v>
      </c>
      <c r="AD8" s="249" t="s">
        <v>12</v>
      </c>
      <c r="AE8" s="249"/>
      <c r="AF8" s="249"/>
      <c r="AG8" s="249" t="s">
        <v>12</v>
      </c>
      <c r="AH8" s="374"/>
      <c r="AI8" s="39"/>
      <c r="AJ8" s="39"/>
    </row>
    <row r="9" spans="1:36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/>
      <c r="J9" s="53"/>
      <c r="K9" s="53"/>
      <c r="L9" s="53"/>
      <c r="M9" s="53"/>
      <c r="N9" s="53">
        <v>2317</v>
      </c>
      <c r="O9" s="140">
        <f t="shared" si="0"/>
        <v>5.6600773755895915E-2</v>
      </c>
      <c r="P9" s="53">
        <v>4453</v>
      </c>
      <c r="Q9" s="105">
        <v>0.84235346957107571</v>
      </c>
      <c r="R9" s="105">
        <v>0.15764653042892432</v>
      </c>
      <c r="S9" s="105"/>
      <c r="T9" s="105"/>
      <c r="U9" s="105"/>
      <c r="V9" s="52" t="s">
        <v>12</v>
      </c>
      <c r="W9" s="52" t="s">
        <v>12</v>
      </c>
      <c r="X9" s="249" t="s">
        <v>12</v>
      </c>
      <c r="Y9" s="249"/>
      <c r="Z9" s="249" t="s">
        <v>12</v>
      </c>
      <c r="AA9" s="249"/>
      <c r="AB9" s="52" t="s">
        <v>12</v>
      </c>
      <c r="AC9" s="52" t="s">
        <v>12</v>
      </c>
      <c r="AD9" s="249" t="s">
        <v>12</v>
      </c>
      <c r="AE9" s="249"/>
      <c r="AF9" s="249"/>
      <c r="AG9" s="249" t="s">
        <v>12</v>
      </c>
      <c r="AH9" s="374"/>
      <c r="AI9" s="39"/>
      <c r="AJ9" s="39"/>
    </row>
    <row r="10" spans="1:36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/>
      <c r="J10" s="53"/>
      <c r="K10" s="53"/>
      <c r="L10" s="53"/>
      <c r="M10" s="53"/>
      <c r="N10" s="53">
        <v>-1032</v>
      </c>
      <c r="O10" s="140">
        <f t="shared" si="0"/>
        <v>5.3875920609162402E-2</v>
      </c>
      <c r="P10" s="53">
        <v>1126</v>
      </c>
      <c r="Q10" s="105">
        <v>0.79040852575488452</v>
      </c>
      <c r="R10" s="105">
        <v>0.20959147424511546</v>
      </c>
      <c r="S10" s="105"/>
      <c r="T10" s="105"/>
      <c r="U10" s="105"/>
      <c r="V10" s="52" t="s">
        <v>12</v>
      </c>
      <c r="W10" s="52" t="s">
        <v>12</v>
      </c>
      <c r="X10" s="249" t="s">
        <v>12</v>
      </c>
      <c r="Y10" s="249"/>
      <c r="Z10" s="249" t="s">
        <v>12</v>
      </c>
      <c r="AA10" s="249"/>
      <c r="AB10" s="52" t="s">
        <v>12</v>
      </c>
      <c r="AC10" s="52" t="s">
        <v>12</v>
      </c>
      <c r="AD10" s="249" t="s">
        <v>12</v>
      </c>
      <c r="AE10" s="249"/>
      <c r="AF10" s="249"/>
      <c r="AG10" s="249" t="s">
        <v>12</v>
      </c>
      <c r="AH10" s="374"/>
      <c r="AI10" s="39"/>
      <c r="AJ10" s="39"/>
    </row>
    <row r="11" spans="1:36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/>
      <c r="J11" s="53"/>
      <c r="K11" s="53"/>
      <c r="L11" s="53"/>
      <c r="M11" s="53"/>
      <c r="N11" s="53">
        <v>298</v>
      </c>
      <c r="O11" s="140">
        <f t="shared" si="0"/>
        <v>5.4250057658304075E-2</v>
      </c>
      <c r="P11" s="53">
        <v>2415</v>
      </c>
      <c r="Q11" s="105">
        <v>0.65962732919254663</v>
      </c>
      <c r="R11" s="105">
        <v>0.34037267080745343</v>
      </c>
      <c r="S11" s="105"/>
      <c r="T11" s="105"/>
      <c r="U11" s="105"/>
      <c r="V11" s="52" t="s">
        <v>12</v>
      </c>
      <c r="W11" s="52" t="s">
        <v>12</v>
      </c>
      <c r="X11" s="249" t="s">
        <v>12</v>
      </c>
      <c r="Y11" s="249"/>
      <c r="Z11" s="249" t="s">
        <v>12</v>
      </c>
      <c r="AA11" s="249"/>
      <c r="AB11" s="52" t="s">
        <v>12</v>
      </c>
      <c r="AC11" s="52" t="s">
        <v>12</v>
      </c>
      <c r="AD11" s="249" t="s">
        <v>12</v>
      </c>
      <c r="AE11" s="249"/>
      <c r="AF11" s="249"/>
      <c r="AG11" s="249" t="s">
        <v>12</v>
      </c>
      <c r="AH11" s="374"/>
      <c r="AI11" s="39"/>
      <c r="AJ11" s="39"/>
    </row>
    <row r="12" spans="1:36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/>
      <c r="J12" s="53"/>
      <c r="K12" s="53"/>
      <c r="L12" s="53"/>
      <c r="M12" s="53"/>
      <c r="N12" s="53">
        <v>2687</v>
      </c>
      <c r="O12" s="140">
        <f t="shared" si="0"/>
        <v>4.1097632308435696E-2</v>
      </c>
      <c r="P12" s="53">
        <v>4303</v>
      </c>
      <c r="Q12" s="105">
        <v>0.75970253311643043</v>
      </c>
      <c r="R12" s="105">
        <v>0.24029746688356959</v>
      </c>
      <c r="S12" s="105"/>
      <c r="T12" s="105"/>
      <c r="U12" s="105"/>
      <c r="V12" s="52" t="s">
        <v>12</v>
      </c>
      <c r="W12" s="52" t="s">
        <v>12</v>
      </c>
      <c r="X12" s="249" t="s">
        <v>12</v>
      </c>
      <c r="Y12" s="249"/>
      <c r="Z12" s="249" t="s">
        <v>12</v>
      </c>
      <c r="AA12" s="249"/>
      <c r="AB12" s="52" t="s">
        <v>12</v>
      </c>
      <c r="AC12" s="52" t="s">
        <v>12</v>
      </c>
      <c r="AD12" s="249" t="s">
        <v>12</v>
      </c>
      <c r="AE12" s="249"/>
      <c r="AF12" s="249"/>
      <c r="AG12" s="249" t="s">
        <v>12</v>
      </c>
      <c r="AH12" s="374"/>
      <c r="AI12" s="39"/>
      <c r="AJ12" s="39"/>
    </row>
    <row r="13" spans="1:36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/>
      <c r="J13" s="53"/>
      <c r="K13" s="53"/>
      <c r="L13" s="53"/>
      <c r="M13" s="53"/>
      <c r="N13" s="53">
        <v>5351</v>
      </c>
      <c r="O13" s="140">
        <f t="shared" si="0"/>
        <v>4.6872024376309274E-2</v>
      </c>
      <c r="P13" s="53">
        <v>7320</v>
      </c>
      <c r="Q13" s="105">
        <v>0.8437158469945355</v>
      </c>
      <c r="R13" s="105">
        <v>0.15628415300546447</v>
      </c>
      <c r="S13" s="105"/>
      <c r="T13" s="105"/>
      <c r="U13" s="105"/>
      <c r="V13" s="52" t="s">
        <v>12</v>
      </c>
      <c r="W13" s="52" t="s">
        <v>12</v>
      </c>
      <c r="X13" s="249" t="s">
        <v>12</v>
      </c>
      <c r="Y13" s="249"/>
      <c r="Z13" s="249" t="s">
        <v>12</v>
      </c>
      <c r="AA13" s="249"/>
      <c r="AB13" s="52" t="s">
        <v>12</v>
      </c>
      <c r="AC13" s="52" t="s">
        <v>12</v>
      </c>
      <c r="AD13" s="249" t="s">
        <v>12</v>
      </c>
      <c r="AE13" s="249"/>
      <c r="AF13" s="249"/>
      <c r="AG13" s="249" t="s">
        <v>12</v>
      </c>
      <c r="AH13" s="374"/>
      <c r="AI13" s="39"/>
      <c r="AJ13" s="39"/>
    </row>
    <row r="14" spans="1:36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/>
      <c r="J14" s="53"/>
      <c r="K14" s="53"/>
      <c r="L14" s="53"/>
      <c r="M14" s="53"/>
      <c r="N14" s="53">
        <v>6746</v>
      </c>
      <c r="O14" s="140">
        <f t="shared" si="0"/>
        <v>4.8438522772862605E-2</v>
      </c>
      <c r="P14" s="53">
        <v>9040</v>
      </c>
      <c r="Q14" s="105">
        <v>0.87289823008849554</v>
      </c>
      <c r="R14" s="105">
        <v>0.12710176991150443</v>
      </c>
      <c r="S14" s="105"/>
      <c r="T14" s="105"/>
      <c r="U14" s="105"/>
      <c r="V14" s="52" t="s">
        <v>12</v>
      </c>
      <c r="W14" s="52" t="s">
        <v>12</v>
      </c>
      <c r="X14" s="249" t="s">
        <v>12</v>
      </c>
      <c r="Y14" s="249"/>
      <c r="Z14" s="249" t="s">
        <v>12</v>
      </c>
      <c r="AA14" s="249"/>
      <c r="AB14" s="52" t="s">
        <v>12</v>
      </c>
      <c r="AC14" s="52" t="s">
        <v>12</v>
      </c>
      <c r="AD14" s="249" t="s">
        <v>12</v>
      </c>
      <c r="AE14" s="249"/>
      <c r="AF14" s="249"/>
      <c r="AG14" s="249" t="s">
        <v>12</v>
      </c>
      <c r="AH14" s="374"/>
      <c r="AI14" s="39"/>
      <c r="AJ14" s="39"/>
    </row>
    <row r="15" spans="1:36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/>
      <c r="J15" s="53"/>
      <c r="K15" s="53"/>
      <c r="L15" s="53"/>
      <c r="M15" s="53"/>
      <c r="N15" s="53">
        <v>8350</v>
      </c>
      <c r="O15" s="140">
        <f t="shared" si="0"/>
        <v>5.4782367618519547E-2</v>
      </c>
      <c r="P15" s="53">
        <v>11314</v>
      </c>
      <c r="Q15" s="105">
        <v>0.89057804490012371</v>
      </c>
      <c r="R15" s="105">
        <v>0.10942195509987626</v>
      </c>
      <c r="S15" s="105"/>
      <c r="T15" s="105"/>
      <c r="U15" s="105"/>
      <c r="V15" s="52" t="s">
        <v>12</v>
      </c>
      <c r="W15" s="52" t="s">
        <v>12</v>
      </c>
      <c r="X15" s="249" t="s">
        <v>12</v>
      </c>
      <c r="Y15" s="249"/>
      <c r="Z15" s="249" t="s">
        <v>12</v>
      </c>
      <c r="AA15" s="249"/>
      <c r="AB15" s="52" t="s">
        <v>12</v>
      </c>
      <c r="AC15" s="52" t="s">
        <v>12</v>
      </c>
      <c r="AD15" s="249" t="s">
        <v>12</v>
      </c>
      <c r="AE15" s="249"/>
      <c r="AF15" s="249"/>
      <c r="AG15" s="249" t="s">
        <v>12</v>
      </c>
      <c r="AH15" s="374"/>
      <c r="AI15" s="39"/>
      <c r="AJ15" s="39"/>
    </row>
    <row r="16" spans="1:36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/>
      <c r="J16" s="53"/>
      <c r="K16" s="53"/>
      <c r="L16" s="53"/>
      <c r="M16" s="53"/>
      <c r="N16" s="53">
        <v>9632</v>
      </c>
      <c r="O16" s="140">
        <f t="shared" si="0"/>
        <v>5.773757105115683E-2</v>
      </c>
      <c r="P16" s="53">
        <v>13238</v>
      </c>
      <c r="Q16" s="105">
        <v>0.87543435564284633</v>
      </c>
      <c r="R16" s="105">
        <v>0.12</v>
      </c>
      <c r="S16" s="105"/>
      <c r="T16" s="105"/>
      <c r="U16" s="105"/>
      <c r="V16" s="52" t="s">
        <v>12</v>
      </c>
      <c r="W16" s="52" t="s">
        <v>12</v>
      </c>
      <c r="X16" s="249" t="s">
        <v>12</v>
      </c>
      <c r="Y16" s="249"/>
      <c r="Z16" s="249" t="s">
        <v>12</v>
      </c>
      <c r="AA16" s="249"/>
      <c r="AB16" s="52" t="s">
        <v>12</v>
      </c>
      <c r="AC16" s="52" t="s">
        <v>12</v>
      </c>
      <c r="AD16" s="249" t="s">
        <v>12</v>
      </c>
      <c r="AE16" s="249"/>
      <c r="AF16" s="249"/>
      <c r="AG16" s="249" t="s">
        <v>12</v>
      </c>
      <c r="AH16" s="374"/>
      <c r="AI16" s="39"/>
      <c r="AJ16" s="39"/>
    </row>
    <row r="17" spans="1:36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/>
      <c r="J17" s="53"/>
      <c r="K17" s="53"/>
      <c r="L17" s="53"/>
      <c r="M17" s="53"/>
      <c r="N17" s="53">
        <v>2232</v>
      </c>
      <c r="O17" s="140">
        <f t="shared" si="0"/>
        <v>6.76959784704593E-2</v>
      </c>
      <c r="P17" s="53">
        <v>7078</v>
      </c>
      <c r="Q17" s="105">
        <v>0.84</v>
      </c>
      <c r="R17" s="105">
        <v>0.16</v>
      </c>
      <c r="S17" s="105"/>
      <c r="T17" s="105"/>
      <c r="U17" s="105"/>
      <c r="V17" s="53">
        <v>66</v>
      </c>
      <c r="W17" s="105">
        <v>0.52</v>
      </c>
      <c r="X17" s="98">
        <v>0.48</v>
      </c>
      <c r="Y17" s="98"/>
      <c r="Z17" s="98" t="s">
        <v>12</v>
      </c>
      <c r="AA17" s="98"/>
      <c r="AB17" s="52" t="s">
        <v>12</v>
      </c>
      <c r="AC17" s="52" t="s">
        <v>12</v>
      </c>
      <c r="AD17" s="249" t="s">
        <v>12</v>
      </c>
      <c r="AE17" s="249"/>
      <c r="AF17" s="249"/>
      <c r="AG17" s="249" t="s">
        <v>12</v>
      </c>
      <c r="AH17" s="374"/>
      <c r="AI17" s="39"/>
      <c r="AJ17" s="39"/>
    </row>
    <row r="18" spans="1:36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/>
      <c r="J18" s="53"/>
      <c r="K18" s="53"/>
      <c r="L18" s="53"/>
      <c r="M18" s="53"/>
      <c r="N18" s="53">
        <v>446</v>
      </c>
      <c r="O18" s="140">
        <f t="shared" si="0"/>
        <v>6.0199948869064442E-2</v>
      </c>
      <c r="P18" s="53">
        <v>4413</v>
      </c>
      <c r="Q18" s="105">
        <v>0.75</v>
      </c>
      <c r="R18" s="105">
        <v>0.25</v>
      </c>
      <c r="S18" s="105"/>
      <c r="T18" s="105"/>
      <c r="U18" s="105"/>
      <c r="V18" s="53">
        <v>1718</v>
      </c>
      <c r="W18" s="105">
        <v>0.3</v>
      </c>
      <c r="X18" s="98">
        <v>0.7</v>
      </c>
      <c r="Y18" s="98"/>
      <c r="Z18" s="98"/>
      <c r="AA18" s="98"/>
      <c r="AB18" s="52" t="s">
        <v>12</v>
      </c>
      <c r="AC18" s="52" t="s">
        <v>12</v>
      </c>
      <c r="AD18" s="249" t="s">
        <v>12</v>
      </c>
      <c r="AE18" s="249"/>
      <c r="AF18" s="249"/>
      <c r="AG18" s="249" t="s">
        <v>12</v>
      </c>
      <c r="AH18" s="374"/>
      <c r="AI18" s="39"/>
      <c r="AJ18" s="142"/>
    </row>
    <row r="19" spans="1:36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/>
      <c r="J19" s="146"/>
      <c r="K19" s="146"/>
      <c r="L19" s="146"/>
      <c r="M19" s="146"/>
      <c r="N19" s="146">
        <v>2748</v>
      </c>
      <c r="O19" s="140">
        <f t="shared" si="0"/>
        <v>6.5685815555406937E-2</v>
      </c>
      <c r="P19" s="146">
        <v>6929</v>
      </c>
      <c r="Q19" s="147">
        <v>0.72</v>
      </c>
      <c r="R19" s="147">
        <v>0.28000000000000003</v>
      </c>
      <c r="S19" s="147"/>
      <c r="T19" s="147"/>
      <c r="U19" s="147"/>
      <c r="V19" s="146">
        <v>1168</v>
      </c>
      <c r="W19" s="147">
        <v>0.63</v>
      </c>
      <c r="X19" s="250">
        <v>0.37</v>
      </c>
      <c r="Y19" s="250"/>
      <c r="Z19" s="250"/>
      <c r="AA19" s="250"/>
      <c r="AB19" s="52" t="s">
        <v>12</v>
      </c>
      <c r="AC19" s="52" t="s">
        <v>12</v>
      </c>
      <c r="AD19" s="249" t="s">
        <v>12</v>
      </c>
      <c r="AE19" s="249"/>
      <c r="AF19" s="249"/>
      <c r="AG19" s="249" t="s">
        <v>12</v>
      </c>
      <c r="AH19" s="374"/>
      <c r="AI19" s="39"/>
      <c r="AJ19" s="142"/>
    </row>
    <row r="20" spans="1:36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/>
      <c r="J20" s="146"/>
      <c r="K20" s="146"/>
      <c r="L20" s="146"/>
      <c r="M20" s="146"/>
      <c r="N20" s="146">
        <v>4330</v>
      </c>
      <c r="O20" s="140">
        <f t="shared" si="0"/>
        <v>5.9293279836930578E-2</v>
      </c>
      <c r="P20" s="146">
        <v>7512</v>
      </c>
      <c r="Q20" s="147">
        <v>0.70673588924387643</v>
      </c>
      <c r="R20" s="147">
        <v>0.29326411075612357</v>
      </c>
      <c r="S20" s="147"/>
      <c r="T20" s="147"/>
      <c r="U20" s="147"/>
      <c r="V20" s="146">
        <v>1558</v>
      </c>
      <c r="W20" s="147">
        <v>0.7002567394094994</v>
      </c>
      <c r="X20" s="250">
        <v>0.2997432605905006</v>
      </c>
      <c r="Y20" s="137"/>
      <c r="Z20" s="137"/>
      <c r="AA20" s="137"/>
      <c r="AB20" s="89">
        <v>343</v>
      </c>
      <c r="AC20" s="104">
        <v>0.94169096209912539</v>
      </c>
      <c r="AD20" s="104">
        <v>5.8309037900874605E-2</v>
      </c>
      <c r="AE20" s="104"/>
      <c r="AF20" s="104"/>
      <c r="AG20" s="98" t="s">
        <v>12</v>
      </c>
      <c r="AH20" s="374"/>
      <c r="AI20" s="39"/>
      <c r="AJ20" s="142"/>
    </row>
    <row r="21" spans="1:36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/>
      <c r="J21" s="146"/>
      <c r="K21" s="146"/>
      <c r="L21" s="146"/>
      <c r="M21" s="146"/>
      <c r="N21" s="146">
        <v>7006</v>
      </c>
      <c r="O21" s="140">
        <v>6.0933738988062508E-2</v>
      </c>
      <c r="P21" s="146">
        <v>9343</v>
      </c>
      <c r="Q21" s="147">
        <v>0.72760355346248529</v>
      </c>
      <c r="R21" s="147">
        <v>0.27239644653751471</v>
      </c>
      <c r="S21" s="147"/>
      <c r="T21" s="147"/>
      <c r="U21" s="147"/>
      <c r="V21" s="146">
        <v>2527</v>
      </c>
      <c r="W21" s="151">
        <v>0.79343094578551643</v>
      </c>
      <c r="X21" s="137">
        <v>0.20656905421448357</v>
      </c>
      <c r="Y21" s="137"/>
      <c r="Z21" s="137"/>
      <c r="AA21" s="137"/>
      <c r="AB21" s="89">
        <v>675</v>
      </c>
      <c r="AC21" s="104">
        <v>0.9555555555555556</v>
      </c>
      <c r="AD21" s="104">
        <v>4.4444444444444398E-2</v>
      </c>
      <c r="AE21" s="104"/>
      <c r="AF21" s="104"/>
      <c r="AG21" s="98"/>
      <c r="AH21" s="374"/>
      <c r="AI21" s="39"/>
      <c r="AJ21" s="142"/>
    </row>
    <row r="22" spans="1:36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/>
      <c r="J22" s="246"/>
      <c r="K22" s="246"/>
      <c r="L22" s="246"/>
      <c r="M22" s="246"/>
      <c r="N22" s="246">
        <f t="shared" ref="N22:N45" si="1">H22-D22</f>
        <v>3751</v>
      </c>
      <c r="O22" s="247">
        <f>G22/D22</f>
        <v>7.0186496190165343E-2</v>
      </c>
      <c r="P22" s="246">
        <v>8900</v>
      </c>
      <c r="Q22" s="248">
        <v>0.70853932584269663</v>
      </c>
      <c r="R22" s="248">
        <v>0.29146067415730337</v>
      </c>
      <c r="S22" s="248"/>
      <c r="T22" s="248"/>
      <c r="U22" s="248"/>
      <c r="V22" s="246">
        <v>1174</v>
      </c>
      <c r="W22" s="229">
        <v>0.70783645655877347</v>
      </c>
      <c r="X22" s="228">
        <v>0.29216354344122658</v>
      </c>
      <c r="Y22" s="228"/>
      <c r="Z22" s="228"/>
      <c r="AA22" s="228"/>
      <c r="AB22" s="251">
        <v>380</v>
      </c>
      <c r="AC22" s="231">
        <v>0.97368421052631582</v>
      </c>
      <c r="AD22" s="231">
        <v>2.6315789473684209E-2</v>
      </c>
      <c r="AE22" s="231"/>
      <c r="AF22" s="231"/>
      <c r="AG22" s="265"/>
      <c r="AH22" s="374"/>
      <c r="AI22" s="39"/>
      <c r="AJ22" s="142"/>
    </row>
    <row r="23" spans="1:36" x14ac:dyDescent="0.25">
      <c r="A23" s="8"/>
      <c r="B23" s="374"/>
      <c r="C23" s="263">
        <v>44958</v>
      </c>
      <c r="D23" s="246">
        <f t="shared" ref="D23:D39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/>
      <c r="J23" s="246"/>
      <c r="K23" s="246"/>
      <c r="L23" s="246"/>
      <c r="M23" s="246"/>
      <c r="N23" s="246">
        <f t="shared" si="1"/>
        <v>2190</v>
      </c>
      <c r="O23" s="247">
        <f>G23/D23</f>
        <v>6.2235421166306697E-2</v>
      </c>
      <c r="P23" s="246">
        <v>7248</v>
      </c>
      <c r="Q23" s="248">
        <v>0.68184326710816778</v>
      </c>
      <c r="R23" s="248">
        <v>0.31815673289183222</v>
      </c>
      <c r="S23" s="248"/>
      <c r="T23" s="248"/>
      <c r="U23" s="248"/>
      <c r="V23" s="246">
        <v>698</v>
      </c>
      <c r="W23" s="229">
        <v>0.66332378223495703</v>
      </c>
      <c r="X23" s="228">
        <v>0.33667621776504297</v>
      </c>
      <c r="Y23" s="228"/>
      <c r="Z23" s="228"/>
      <c r="AA23" s="228"/>
      <c r="AB23" s="251">
        <v>122</v>
      </c>
      <c r="AC23" s="231">
        <v>0.96721311475409832</v>
      </c>
      <c r="AD23" s="231">
        <v>3.2786885245901676E-2</v>
      </c>
      <c r="AE23" s="231"/>
      <c r="AF23" s="231"/>
      <c r="AG23" s="265"/>
      <c r="AH23" s="374"/>
      <c r="AI23" s="39"/>
      <c r="AJ23" s="142"/>
    </row>
    <row r="24" spans="1:36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/>
      <c r="J24" s="246"/>
      <c r="K24" s="246"/>
      <c r="L24" s="246"/>
      <c r="M24" s="246"/>
      <c r="N24" s="246">
        <f t="shared" si="1"/>
        <v>3144</v>
      </c>
      <c r="O24" s="247">
        <f t="shared" ref="O24:O45" si="3">G24/D24</f>
        <v>6.4057390020044305E-2</v>
      </c>
      <c r="P24" s="246">
        <v>8430</v>
      </c>
      <c r="Q24" s="248">
        <v>0.66</v>
      </c>
      <c r="R24" s="248">
        <v>0.34</v>
      </c>
      <c r="S24" s="248"/>
      <c r="T24" s="248"/>
      <c r="U24" s="248"/>
      <c r="V24" s="246">
        <v>842</v>
      </c>
      <c r="W24" s="229">
        <v>0.61</v>
      </c>
      <c r="X24" s="228">
        <v>0.39</v>
      </c>
      <c r="Y24" s="228"/>
      <c r="Z24" s="228"/>
      <c r="AA24" s="228"/>
      <c r="AB24" s="251">
        <v>79</v>
      </c>
      <c r="AC24" s="231">
        <v>0.97</v>
      </c>
      <c r="AD24" s="231">
        <v>0.03</v>
      </c>
      <c r="AE24" s="231"/>
      <c r="AF24" s="231"/>
      <c r="AG24" s="265"/>
      <c r="AH24" s="374"/>
      <c r="AI24" s="39"/>
      <c r="AJ24" s="142"/>
    </row>
    <row r="25" spans="1:36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/>
      <c r="J25" s="246"/>
      <c r="K25" s="246"/>
      <c r="L25" s="246"/>
      <c r="M25" s="246"/>
      <c r="N25" s="246">
        <f t="shared" si="1"/>
        <v>8025</v>
      </c>
      <c r="O25" s="247">
        <f t="shared" si="3"/>
        <v>6.6167010435599485E-2</v>
      </c>
      <c r="P25" s="246">
        <v>13328</v>
      </c>
      <c r="Q25" s="248">
        <v>0.7</v>
      </c>
      <c r="R25" s="248">
        <v>0.3</v>
      </c>
      <c r="S25" s="248"/>
      <c r="T25" s="248"/>
      <c r="U25" s="248"/>
      <c r="V25" s="246">
        <v>1135</v>
      </c>
      <c r="W25" s="229">
        <v>0.63</v>
      </c>
      <c r="X25" s="228">
        <v>0.37</v>
      </c>
      <c r="Y25" s="228"/>
      <c r="Z25" s="228"/>
      <c r="AA25" s="228"/>
      <c r="AB25" s="251">
        <v>50</v>
      </c>
      <c r="AC25" s="231">
        <v>0.92</v>
      </c>
      <c r="AD25" s="231">
        <v>0.08</v>
      </c>
      <c r="AE25" s="231"/>
      <c r="AF25" s="231"/>
      <c r="AG25" s="265"/>
      <c r="AH25" s="374"/>
      <c r="AI25" s="39"/>
      <c r="AJ25" s="142"/>
    </row>
    <row r="26" spans="1:36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/>
      <c r="J26" s="246"/>
      <c r="K26" s="246"/>
      <c r="L26" s="246"/>
      <c r="M26" s="246"/>
      <c r="N26" s="246">
        <f t="shared" si="1"/>
        <v>4009</v>
      </c>
      <c r="O26" s="247">
        <f t="shared" si="3"/>
        <v>7.2518615690974814E-2</v>
      </c>
      <c r="P26" s="246">
        <v>10693</v>
      </c>
      <c r="Q26" s="248">
        <v>0.66</v>
      </c>
      <c r="R26" s="248">
        <v>0.34</v>
      </c>
      <c r="S26" s="248"/>
      <c r="T26" s="248"/>
      <c r="U26" s="248"/>
      <c r="V26" s="246">
        <v>913</v>
      </c>
      <c r="W26" s="229">
        <v>0.61</v>
      </c>
      <c r="X26" s="228">
        <v>0.39</v>
      </c>
      <c r="Y26" s="228"/>
      <c r="Z26" s="228"/>
      <c r="AA26" s="228"/>
      <c r="AB26" s="251">
        <v>63</v>
      </c>
      <c r="AC26" s="231">
        <v>0.92</v>
      </c>
      <c r="AD26" s="231">
        <v>0.08</v>
      </c>
      <c r="AE26" s="231"/>
      <c r="AF26" s="231"/>
      <c r="AG26" s="265"/>
      <c r="AH26" s="374"/>
      <c r="AI26" s="39"/>
      <c r="AJ26" s="142"/>
    </row>
    <row r="27" spans="1:36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/>
      <c r="J27" s="246"/>
      <c r="K27" s="246"/>
      <c r="L27" s="246"/>
      <c r="M27" s="246"/>
      <c r="N27" s="246">
        <f t="shared" si="1"/>
        <v>6726</v>
      </c>
      <c r="O27" s="247">
        <f t="shared" si="3"/>
        <v>6.5564527862650948E-2</v>
      </c>
      <c r="P27" s="246">
        <v>12662</v>
      </c>
      <c r="Q27" s="248">
        <v>0.67</v>
      </c>
      <c r="R27" s="248">
        <v>0.33</v>
      </c>
      <c r="S27" s="248"/>
      <c r="T27" s="248"/>
      <c r="U27" s="248"/>
      <c r="V27" s="246">
        <v>1553</v>
      </c>
      <c r="W27" s="229">
        <v>0.42</v>
      </c>
      <c r="X27" s="228">
        <v>0.57999999999999996</v>
      </c>
      <c r="Y27" s="228"/>
      <c r="Z27" s="228"/>
      <c r="AA27" s="228"/>
      <c r="AB27" s="251">
        <v>97</v>
      </c>
      <c r="AC27" s="231">
        <v>0.97</v>
      </c>
      <c r="AD27" s="231">
        <v>0.03</v>
      </c>
      <c r="AE27" s="231"/>
      <c r="AF27" s="231"/>
      <c r="AG27" s="265"/>
      <c r="AH27" s="374"/>
      <c r="AI27" s="39"/>
      <c r="AJ27" s="142"/>
    </row>
    <row r="28" spans="1:36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/>
      <c r="J28" s="246"/>
      <c r="K28" s="246"/>
      <c r="L28" s="246"/>
      <c r="M28" s="246"/>
      <c r="N28" s="246">
        <f t="shared" si="1"/>
        <v>14902</v>
      </c>
      <c r="O28" s="247">
        <f t="shared" si="3"/>
        <v>6.6944315903131268E-2</v>
      </c>
      <c r="P28" s="246">
        <v>20838</v>
      </c>
      <c r="Q28" s="248">
        <v>0.7</v>
      </c>
      <c r="R28" s="248">
        <v>0.3</v>
      </c>
      <c r="S28" s="248"/>
      <c r="T28" s="248"/>
      <c r="U28" s="248"/>
      <c r="V28" s="246">
        <v>1510</v>
      </c>
      <c r="W28" s="229">
        <v>0.63</v>
      </c>
      <c r="X28" s="228">
        <v>0.37</v>
      </c>
      <c r="Y28" s="228"/>
      <c r="Z28" s="228"/>
      <c r="AA28" s="228"/>
      <c r="AB28" s="251">
        <v>63</v>
      </c>
      <c r="AC28" s="231">
        <v>0.95</v>
      </c>
      <c r="AD28" s="231">
        <v>0.05</v>
      </c>
      <c r="AE28" s="231"/>
      <c r="AF28" s="231"/>
      <c r="AG28" s="265"/>
      <c r="AH28" s="374"/>
      <c r="AI28" s="39"/>
      <c r="AJ28" s="142"/>
    </row>
    <row r="29" spans="1:36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/>
      <c r="J29" s="246"/>
      <c r="K29" s="246"/>
      <c r="L29" s="246"/>
      <c r="M29" s="246"/>
      <c r="N29" s="246">
        <f t="shared" si="1"/>
        <v>4127</v>
      </c>
      <c r="O29" s="247">
        <f t="shared" si="3"/>
        <v>8.0617951913432018E-2</v>
      </c>
      <c r="P29" s="246">
        <v>13518</v>
      </c>
      <c r="Q29" s="248">
        <v>0.69</v>
      </c>
      <c r="R29" s="248">
        <v>0.31</v>
      </c>
      <c r="S29" s="248"/>
      <c r="T29" s="248"/>
      <c r="U29" s="248"/>
      <c r="V29" s="246">
        <v>1100</v>
      </c>
      <c r="W29" s="228">
        <v>0.64</v>
      </c>
      <c r="X29" s="228">
        <v>0.36</v>
      </c>
      <c r="Y29" s="228"/>
      <c r="Z29" s="228"/>
      <c r="AA29" s="228"/>
      <c r="AB29" s="251">
        <v>64</v>
      </c>
      <c r="AC29" s="231">
        <v>1</v>
      </c>
      <c r="AD29" s="231">
        <v>0</v>
      </c>
      <c r="AE29" s="231"/>
      <c r="AF29" s="231"/>
      <c r="AG29" s="265"/>
      <c r="AH29" s="374"/>
      <c r="AI29" s="39"/>
      <c r="AJ29" s="142"/>
    </row>
    <row r="30" spans="1:36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/>
      <c r="J30" s="221"/>
      <c r="K30" s="221"/>
      <c r="L30" s="221"/>
      <c r="M30" s="221"/>
      <c r="N30" s="221">
        <f t="shared" si="1"/>
        <v>-2232</v>
      </c>
      <c r="O30" s="227">
        <f>G30/D30</f>
        <v>8.0539039072227994E-2</v>
      </c>
      <c r="P30" s="220">
        <v>7898</v>
      </c>
      <c r="Q30" s="228">
        <v>0.61</v>
      </c>
      <c r="R30" s="228">
        <v>0.39</v>
      </c>
      <c r="S30" s="228"/>
      <c r="T30" s="228"/>
      <c r="U30" s="228"/>
      <c r="V30" s="220">
        <v>719</v>
      </c>
      <c r="W30" s="228">
        <v>0.57999999999999996</v>
      </c>
      <c r="X30" s="228">
        <v>0.42</v>
      </c>
      <c r="Y30" s="228"/>
      <c r="Z30" s="228"/>
      <c r="AA30" s="228"/>
      <c r="AB30" s="251">
        <v>46</v>
      </c>
      <c r="AC30" s="231">
        <v>0.93</v>
      </c>
      <c r="AD30" s="231">
        <v>7.0000000000000007E-2</v>
      </c>
      <c r="AE30" s="231"/>
      <c r="AF30" s="231"/>
      <c r="AG30" s="265"/>
      <c r="AH30" s="374"/>
      <c r="AI30" s="39"/>
      <c r="AJ30" s="142"/>
    </row>
    <row r="31" spans="1:36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/>
      <c r="J31" s="221"/>
      <c r="K31" s="221"/>
      <c r="L31" s="221"/>
      <c r="M31" s="221"/>
      <c r="N31" s="221">
        <f t="shared" si="1"/>
        <v>-423</v>
      </c>
      <c r="O31" s="227">
        <f t="shared" si="3"/>
        <v>6.7420275524192635E-2</v>
      </c>
      <c r="P31" s="220">
        <v>7818</v>
      </c>
      <c r="Q31" s="228">
        <v>0.59</v>
      </c>
      <c r="R31" s="228">
        <v>0.41</v>
      </c>
      <c r="S31" s="228"/>
      <c r="T31" s="228"/>
      <c r="U31" s="228"/>
      <c r="V31" s="220">
        <v>736</v>
      </c>
      <c r="W31" s="228">
        <v>0.49</v>
      </c>
      <c r="X31" s="228">
        <v>0.51</v>
      </c>
      <c r="Y31" s="228"/>
      <c r="Z31" s="228"/>
      <c r="AA31" s="228"/>
      <c r="AB31" s="251">
        <v>32</v>
      </c>
      <c r="AC31" s="231">
        <v>0.94</v>
      </c>
      <c r="AD31" s="231">
        <v>0.06</v>
      </c>
      <c r="AE31" s="231"/>
      <c r="AF31" s="231"/>
      <c r="AG31" s="265"/>
      <c r="AH31" s="374"/>
      <c r="AI31" s="39"/>
      <c r="AJ31" s="142"/>
    </row>
    <row r="32" spans="1:36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/>
      <c r="J32" s="221"/>
      <c r="K32" s="221"/>
      <c r="L32" s="221"/>
      <c r="M32" s="221"/>
      <c r="N32" s="221">
        <f t="shared" si="1"/>
        <v>1740</v>
      </c>
      <c r="O32" s="227">
        <f t="shared" si="3"/>
        <v>6.8348513541948472E-2</v>
      </c>
      <c r="P32" s="220">
        <v>8559</v>
      </c>
      <c r="Q32" s="228">
        <v>0.56000000000000005</v>
      </c>
      <c r="R32" s="228">
        <v>0.44</v>
      </c>
      <c r="S32" s="228"/>
      <c r="T32" s="228"/>
      <c r="U32" s="228"/>
      <c r="V32" s="220">
        <v>2261</v>
      </c>
      <c r="W32" s="228">
        <v>0.63</v>
      </c>
      <c r="X32" s="228">
        <v>0.37</v>
      </c>
      <c r="Y32" s="228"/>
      <c r="Z32" s="228"/>
      <c r="AA32" s="228"/>
      <c r="AB32" s="251">
        <v>269</v>
      </c>
      <c r="AC32" s="231">
        <v>0.75</v>
      </c>
      <c r="AD32" s="231">
        <v>0.25</v>
      </c>
      <c r="AE32" s="231"/>
      <c r="AF32" s="231"/>
      <c r="AG32" s="265"/>
      <c r="AH32" s="374"/>
      <c r="AI32" s="39"/>
      <c r="AJ32" s="142"/>
    </row>
    <row r="33" spans="1:36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83">
        <v>0.97067599999999998</v>
      </c>
      <c r="J33" s="283">
        <v>2.9323999999999999E-2</v>
      </c>
      <c r="K33" s="283">
        <v>0.83886799999999995</v>
      </c>
      <c r="L33" s="283">
        <v>0.144398</v>
      </c>
      <c r="M33" s="283">
        <v>1.6735E-2</v>
      </c>
      <c r="N33" s="221">
        <f t="shared" si="1"/>
        <v>6473</v>
      </c>
      <c r="O33" s="227">
        <f t="shared" si="3"/>
        <v>7.6516230490772066E-2</v>
      </c>
      <c r="P33" s="220">
        <v>12908</v>
      </c>
      <c r="Q33" s="248">
        <v>0.54</v>
      </c>
      <c r="R33" s="228">
        <v>0.46</v>
      </c>
      <c r="S33" s="228"/>
      <c r="T33" s="228"/>
      <c r="U33" s="228"/>
      <c r="V33" s="220">
        <v>3018</v>
      </c>
      <c r="W33" s="228">
        <v>0.55000000000000004</v>
      </c>
      <c r="X33" s="228">
        <v>0.45</v>
      </c>
      <c r="Y33" s="228"/>
      <c r="Z33" s="228"/>
      <c r="AA33" s="228"/>
      <c r="AB33" s="251">
        <v>1021</v>
      </c>
      <c r="AC33" s="231">
        <v>0.81</v>
      </c>
      <c r="AD33" s="231">
        <v>0.19</v>
      </c>
      <c r="AE33" s="231"/>
      <c r="AF33" s="231"/>
      <c r="AG33" s="265"/>
      <c r="AH33" s="374"/>
      <c r="AI33" s="39"/>
      <c r="AJ33" s="142"/>
    </row>
    <row r="34" spans="1:36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83">
        <v>0.97501800000000005</v>
      </c>
      <c r="J34" s="283">
        <v>2.4982000000000001E-2</v>
      </c>
      <c r="K34" s="283">
        <v>0.83095799999999997</v>
      </c>
      <c r="L34" s="283">
        <v>0.15139</v>
      </c>
      <c r="M34" s="283">
        <v>1.7652999999999999E-2</v>
      </c>
      <c r="N34" s="221">
        <f t="shared" si="1"/>
        <v>61</v>
      </c>
      <c r="O34" s="227">
        <f t="shared" si="3"/>
        <v>7.9571916959817662E-2</v>
      </c>
      <c r="P34" s="220">
        <v>9258</v>
      </c>
      <c r="Q34" s="248">
        <v>0.6</v>
      </c>
      <c r="R34" s="228">
        <v>0.4</v>
      </c>
      <c r="S34" s="228"/>
      <c r="T34" s="228"/>
      <c r="U34" s="228"/>
      <c r="V34" s="220">
        <v>1140</v>
      </c>
      <c r="W34" s="228">
        <v>0.6</v>
      </c>
      <c r="X34" s="228">
        <v>0.4</v>
      </c>
      <c r="Y34" s="228"/>
      <c r="Z34" s="228"/>
      <c r="AA34" s="228"/>
      <c r="AB34" s="251">
        <v>491</v>
      </c>
      <c r="AC34" s="231">
        <v>0.8</v>
      </c>
      <c r="AD34" s="231">
        <v>0.2</v>
      </c>
      <c r="AE34" s="231"/>
      <c r="AF34" s="231"/>
      <c r="AG34" s="265"/>
      <c r="AH34" s="374"/>
      <c r="AI34" s="39"/>
      <c r="AJ34" s="142"/>
    </row>
    <row r="35" spans="1:36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83">
        <v>0.97935499999999998</v>
      </c>
      <c r="J35" s="283">
        <v>2.0645E-2</v>
      </c>
      <c r="K35" s="283">
        <v>0.82726999999999995</v>
      </c>
      <c r="L35" s="283">
        <v>0.15479999999999999</v>
      </c>
      <c r="M35" s="283">
        <v>1.7930000000000001E-2</v>
      </c>
      <c r="N35" s="221">
        <f t="shared" si="1"/>
        <v>-196</v>
      </c>
      <c r="O35" s="227">
        <f t="shared" si="3"/>
        <v>6.4290868956148911E-2</v>
      </c>
      <c r="P35" s="220">
        <v>7963</v>
      </c>
      <c r="Q35" s="248">
        <v>0.53</v>
      </c>
      <c r="R35" s="228">
        <v>0.47</v>
      </c>
      <c r="S35" s="228"/>
      <c r="T35" s="228"/>
      <c r="U35" s="228"/>
      <c r="V35" s="220">
        <v>728</v>
      </c>
      <c r="W35" s="228">
        <v>0.51</v>
      </c>
      <c r="X35" s="228">
        <v>0.49</v>
      </c>
      <c r="Y35" s="228"/>
      <c r="Z35" s="228"/>
      <c r="AA35" s="228"/>
      <c r="AB35" s="251">
        <v>167</v>
      </c>
      <c r="AC35" s="231">
        <v>0.76</v>
      </c>
      <c r="AD35" s="231">
        <v>0.24</v>
      </c>
      <c r="AE35" s="231"/>
      <c r="AF35" s="231"/>
      <c r="AG35" s="265"/>
      <c r="AH35" s="374"/>
      <c r="AI35" s="39"/>
      <c r="AJ35" s="142"/>
    </row>
    <row r="36" spans="1:36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83">
        <v>0.971383</v>
      </c>
      <c r="J36" s="283">
        <v>2.8617E-2</v>
      </c>
      <c r="K36" s="283">
        <v>0.82951799999999998</v>
      </c>
      <c r="L36" s="283">
        <v>0.152839</v>
      </c>
      <c r="M36" s="283">
        <v>1.7644E-2</v>
      </c>
      <c r="N36" s="221">
        <f t="shared" si="1"/>
        <v>7024</v>
      </c>
      <c r="O36" s="227">
        <f t="shared" si="3"/>
        <v>5.8946055857055812E-2</v>
      </c>
      <c r="P36" s="220">
        <v>14217</v>
      </c>
      <c r="Q36" s="248">
        <v>0.55000000000000004</v>
      </c>
      <c r="R36" s="228">
        <v>0.45</v>
      </c>
      <c r="S36" s="228"/>
      <c r="T36" s="228"/>
      <c r="U36" s="228"/>
      <c r="V36" s="220">
        <v>1018</v>
      </c>
      <c r="W36" s="228">
        <v>0.55000000000000004</v>
      </c>
      <c r="X36" s="228">
        <v>0.45</v>
      </c>
      <c r="Y36" s="228"/>
      <c r="Z36" s="228"/>
      <c r="AA36" s="228"/>
      <c r="AB36" s="251">
        <v>147</v>
      </c>
      <c r="AC36" s="231">
        <v>0.7</v>
      </c>
      <c r="AD36" s="231">
        <v>0.3</v>
      </c>
      <c r="AE36" s="231"/>
      <c r="AF36" s="231"/>
      <c r="AG36" s="265"/>
      <c r="AH36" s="374"/>
      <c r="AI36" s="39"/>
      <c r="AJ36" s="142"/>
    </row>
    <row r="37" spans="1:36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83">
        <v>0.97840099999999997</v>
      </c>
      <c r="J37" s="283">
        <v>2.1599E-2</v>
      </c>
      <c r="K37" s="283">
        <v>0.82439300000000004</v>
      </c>
      <c r="L37" s="283">
        <v>0.157559</v>
      </c>
      <c r="M37" s="283">
        <v>1.8048000000000002E-2</v>
      </c>
      <c r="N37" s="221">
        <f t="shared" si="1"/>
        <v>-1980</v>
      </c>
      <c r="O37" s="227">
        <f t="shared" si="3"/>
        <v>7.0554093271242485E-2</v>
      </c>
      <c r="P37" s="220">
        <v>7666</v>
      </c>
      <c r="Q37" s="248">
        <v>0.51</v>
      </c>
      <c r="R37" s="228">
        <v>0.49</v>
      </c>
      <c r="S37" s="228"/>
      <c r="T37" s="228"/>
      <c r="U37" s="228"/>
      <c r="V37" s="220">
        <v>715</v>
      </c>
      <c r="W37" s="228">
        <v>0.54</v>
      </c>
      <c r="X37" s="228">
        <v>0.46</v>
      </c>
      <c r="Y37" s="228"/>
      <c r="Z37" s="228"/>
      <c r="AA37" s="228"/>
      <c r="AB37" s="251">
        <v>71</v>
      </c>
      <c r="AC37" s="231">
        <v>0.73</v>
      </c>
      <c r="AD37" s="231">
        <v>0.27</v>
      </c>
      <c r="AE37" s="231"/>
      <c r="AF37" s="231"/>
      <c r="AG37" s="265"/>
      <c r="AH37" s="374"/>
      <c r="AI37" s="39"/>
      <c r="AJ37" s="142"/>
    </row>
    <row r="38" spans="1:36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83">
        <v>0.97754300000000005</v>
      </c>
      <c r="J38" s="283">
        <v>2.2457000000000001E-2</v>
      </c>
      <c r="K38" s="283">
        <v>0.81722899999999998</v>
      </c>
      <c r="L38" s="283">
        <v>0.16308800000000001</v>
      </c>
      <c r="M38" s="283">
        <v>1.9682999999999999E-2</v>
      </c>
      <c r="N38" s="221">
        <f t="shared" si="1"/>
        <v>2148</v>
      </c>
      <c r="O38" s="227">
        <f t="shared" si="3"/>
        <v>6.185785621451536E-2</v>
      </c>
      <c r="P38" s="220">
        <v>9346</v>
      </c>
      <c r="Q38" s="248">
        <v>0.49</v>
      </c>
      <c r="R38" s="228">
        <v>0.51</v>
      </c>
      <c r="S38" s="228"/>
      <c r="T38" s="228"/>
      <c r="U38" s="228"/>
      <c r="V38" s="220">
        <v>1585</v>
      </c>
      <c r="W38" s="228">
        <v>0.5</v>
      </c>
      <c r="X38" s="228">
        <v>0.5</v>
      </c>
      <c r="Y38" s="228"/>
      <c r="Z38" s="228"/>
      <c r="AA38" s="228"/>
      <c r="AB38" s="251">
        <v>343</v>
      </c>
      <c r="AC38" s="231">
        <v>0.87</v>
      </c>
      <c r="AD38" s="231">
        <v>0.13</v>
      </c>
      <c r="AE38" s="231"/>
      <c r="AF38" s="231"/>
      <c r="AG38" s="265"/>
      <c r="AH38" s="374"/>
      <c r="AI38" s="39"/>
      <c r="AJ38" s="142"/>
    </row>
    <row r="39" spans="1:36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83">
        <v>0.97711499999999996</v>
      </c>
      <c r="J39" s="283">
        <v>2.2884999999999999E-2</v>
      </c>
      <c r="K39" s="283">
        <v>0.81504799999999999</v>
      </c>
      <c r="L39" s="283">
        <v>0.16428999999999999</v>
      </c>
      <c r="M39" s="283">
        <v>2.0660999999999999E-2</v>
      </c>
      <c r="N39" s="221">
        <f t="shared" si="1"/>
        <v>5438</v>
      </c>
      <c r="O39" s="227">
        <f t="shared" si="3"/>
        <v>5.898690827704297E-2</v>
      </c>
      <c r="P39" s="220">
        <v>12438</v>
      </c>
      <c r="Q39" s="248">
        <v>0.51</v>
      </c>
      <c r="R39" s="228">
        <v>0.49</v>
      </c>
      <c r="S39" s="228"/>
      <c r="T39" s="228"/>
      <c r="U39" s="228"/>
      <c r="V39" s="220">
        <v>1383</v>
      </c>
      <c r="W39" s="228">
        <v>0.54</v>
      </c>
      <c r="X39" s="228">
        <v>0.46</v>
      </c>
      <c r="Y39" s="228"/>
      <c r="Z39" s="228"/>
      <c r="AA39" s="228"/>
      <c r="AB39" s="251">
        <v>364</v>
      </c>
      <c r="AC39" s="231">
        <v>0.87</v>
      </c>
      <c r="AD39" s="231">
        <v>0.13</v>
      </c>
      <c r="AE39" s="231"/>
      <c r="AF39" s="231"/>
      <c r="AG39" s="265"/>
      <c r="AH39" s="374"/>
      <c r="AI39" s="39"/>
      <c r="AJ39" s="142"/>
    </row>
    <row r="40" spans="1:36" x14ac:dyDescent="0.25">
      <c r="A40" s="8"/>
      <c r="B40" s="374"/>
      <c r="C40" s="263">
        <v>45474</v>
      </c>
      <c r="D40" s="220">
        <f t="shared" ref="D40:D45" si="4">H39</f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83">
        <v>0.97236800000000001</v>
      </c>
      <c r="J40" s="283">
        <v>2.7632E-2</v>
      </c>
      <c r="K40" s="283">
        <v>0.81965100000000002</v>
      </c>
      <c r="L40" s="283">
        <v>0.16039900000000001</v>
      </c>
      <c r="M40" s="283">
        <v>1.9949999999999999E-2</v>
      </c>
      <c r="N40" s="221">
        <f t="shared" si="1"/>
        <v>10012</v>
      </c>
      <c r="O40" s="227">
        <f t="shared" si="3"/>
        <v>6.2688585995213819E-2</v>
      </c>
      <c r="P40" s="220">
        <v>18041</v>
      </c>
      <c r="Q40" s="248">
        <v>0.55000000000000004</v>
      </c>
      <c r="R40" s="228">
        <v>0.45</v>
      </c>
      <c r="S40" s="228"/>
      <c r="T40" s="228"/>
      <c r="U40" s="228"/>
      <c r="V40" s="220">
        <v>1463</v>
      </c>
      <c r="W40" s="228">
        <v>0.53</v>
      </c>
      <c r="X40" s="228">
        <v>0.47</v>
      </c>
      <c r="Y40" s="228"/>
      <c r="Z40" s="228"/>
      <c r="AA40" s="228"/>
      <c r="AB40" s="251">
        <v>143</v>
      </c>
      <c r="AC40" s="231">
        <v>0.77</v>
      </c>
      <c r="AD40" s="231">
        <v>0.23</v>
      </c>
      <c r="AE40" s="231"/>
      <c r="AF40" s="231"/>
      <c r="AG40" s="265"/>
      <c r="AH40" s="374"/>
      <c r="AI40" s="39"/>
      <c r="AJ40" s="142"/>
    </row>
    <row r="41" spans="1:36" x14ac:dyDescent="0.25">
      <c r="A41" s="8"/>
      <c r="B41" s="374"/>
      <c r="C41" s="263">
        <v>45505</v>
      </c>
      <c r="D41" s="220">
        <f t="shared" si="4"/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83">
        <v>0.968696</v>
      </c>
      <c r="J41" s="283">
        <v>3.1303999999999998E-2</v>
      </c>
      <c r="K41" s="283">
        <v>0.81940100000000005</v>
      </c>
      <c r="L41" s="283">
        <v>0.16114500000000001</v>
      </c>
      <c r="M41" s="283">
        <v>1.9455E-2</v>
      </c>
      <c r="N41" s="221">
        <f t="shared" si="1"/>
        <v>6105</v>
      </c>
      <c r="O41" s="227">
        <f t="shared" si="3"/>
        <v>7.2349622682980438E-2</v>
      </c>
      <c r="P41" s="220">
        <v>16367</v>
      </c>
      <c r="Q41" s="248">
        <v>0.57999999999999996</v>
      </c>
      <c r="R41" s="228">
        <v>0.42</v>
      </c>
      <c r="S41" s="228"/>
      <c r="T41" s="228"/>
      <c r="U41" s="228"/>
      <c r="V41" s="220">
        <v>1502</v>
      </c>
      <c r="W41" s="228">
        <v>0.56000000000000005</v>
      </c>
      <c r="X41" s="228">
        <v>0.44</v>
      </c>
      <c r="Y41" s="228"/>
      <c r="Z41" s="228"/>
      <c r="AA41" s="228"/>
      <c r="AB41" s="251">
        <v>100</v>
      </c>
      <c r="AC41" s="231">
        <v>0.88</v>
      </c>
      <c r="AD41" s="231">
        <v>0.12</v>
      </c>
      <c r="AE41" s="231"/>
      <c r="AF41" s="231"/>
      <c r="AG41" s="265"/>
      <c r="AH41" s="374"/>
      <c r="AI41" s="39"/>
      <c r="AJ41" s="142"/>
    </row>
    <row r="42" spans="1:36" x14ac:dyDescent="0.25">
      <c r="A42" s="8"/>
      <c r="B42" s="374"/>
      <c r="C42" s="263">
        <v>45536</v>
      </c>
      <c r="D42" s="220">
        <f t="shared" si="4"/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83">
        <v>0.97766299999999995</v>
      </c>
      <c r="J42" s="283">
        <v>2.2336999999999999E-2</v>
      </c>
      <c r="K42" s="283">
        <v>0.81282900000000002</v>
      </c>
      <c r="L42" s="283">
        <v>0.16733700000000001</v>
      </c>
      <c r="M42" s="283">
        <v>1.9834000000000001E-2</v>
      </c>
      <c r="N42" s="221">
        <f t="shared" si="1"/>
        <v>-1681</v>
      </c>
      <c r="O42" s="227">
        <f t="shared" si="3"/>
        <v>7.5594638978651263E-2</v>
      </c>
      <c r="P42" s="220">
        <v>9943</v>
      </c>
      <c r="Q42" s="264">
        <v>0.53967620000000005</v>
      </c>
      <c r="R42" s="228">
        <v>0.46032380000000001</v>
      </c>
      <c r="S42" s="286">
        <v>0.98140000000000005</v>
      </c>
      <c r="T42" s="286">
        <v>1.7299999999999999E-2</v>
      </c>
      <c r="U42" s="286">
        <v>1.2999999999999999E-3</v>
      </c>
      <c r="V42" s="220">
        <v>1090</v>
      </c>
      <c r="W42" s="228">
        <v>0.58348619999999995</v>
      </c>
      <c r="X42" s="228">
        <v>0.41651379999999999</v>
      </c>
      <c r="Y42" s="286">
        <v>0.75990000000000002</v>
      </c>
      <c r="Z42" s="286">
        <v>0.2225</v>
      </c>
      <c r="AA42" s="286">
        <v>1.7600000000000001E-2</v>
      </c>
      <c r="AB42" s="251">
        <v>76</v>
      </c>
      <c r="AC42" s="231">
        <v>0.81579999999999997</v>
      </c>
      <c r="AD42" s="231">
        <v>0.1842</v>
      </c>
      <c r="AE42" s="227">
        <v>0.35709999999999997</v>
      </c>
      <c r="AF42" s="227">
        <v>0</v>
      </c>
      <c r="AG42" s="287">
        <v>0.64290000000000003</v>
      </c>
      <c r="AH42" s="374"/>
      <c r="AI42" s="39"/>
      <c r="AJ42" s="142"/>
    </row>
    <row r="43" spans="1:36" x14ac:dyDescent="0.25">
      <c r="A43" s="8"/>
      <c r="B43" s="374"/>
      <c r="C43" s="271">
        <v>45589</v>
      </c>
      <c r="D43" s="220">
        <f t="shared" si="4"/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83">
        <v>0.97520099999999998</v>
      </c>
      <c r="J43" s="283">
        <v>2.4799000000000002E-2</v>
      </c>
      <c r="K43" s="283">
        <v>0.81025100000000005</v>
      </c>
      <c r="L43" s="283">
        <v>0.16966100000000001</v>
      </c>
      <c r="M43" s="283">
        <v>2.0088000000000002E-2</v>
      </c>
      <c r="N43" s="221">
        <f t="shared" si="1"/>
        <v>170</v>
      </c>
      <c r="O43" s="227">
        <f t="shared" si="3"/>
        <v>6.2849261646018117E-2</v>
      </c>
      <c r="P43" s="246">
        <v>9699</v>
      </c>
      <c r="Q43" s="264">
        <v>0.49690000000000001</v>
      </c>
      <c r="R43" s="228">
        <v>0.50309999999999999</v>
      </c>
      <c r="S43" s="286">
        <v>0.98629999999999995</v>
      </c>
      <c r="T43" s="286">
        <v>1.2699999999999999E-2</v>
      </c>
      <c r="U43" s="286">
        <v>1E-3</v>
      </c>
      <c r="V43" s="220">
        <v>936</v>
      </c>
      <c r="W43" s="228">
        <v>0.53420000000000001</v>
      </c>
      <c r="X43" s="228">
        <v>0.46579999999999999</v>
      </c>
      <c r="Y43" s="286">
        <v>0.76149999999999995</v>
      </c>
      <c r="Z43" s="286">
        <v>0.21329999999999999</v>
      </c>
      <c r="AA43" s="286">
        <v>2.52E-2</v>
      </c>
      <c r="AB43" s="251">
        <v>81</v>
      </c>
      <c r="AC43" s="231">
        <v>0.80249999999999999</v>
      </c>
      <c r="AD43" s="231">
        <v>0.19750000000000001</v>
      </c>
      <c r="AE43" s="227">
        <v>0.4375</v>
      </c>
      <c r="AF43" s="227">
        <v>0.1875</v>
      </c>
      <c r="AG43" s="227">
        <v>0.375</v>
      </c>
      <c r="AH43" s="374"/>
      <c r="AI43" s="39"/>
      <c r="AJ43" s="142"/>
    </row>
    <row r="44" spans="1:36" x14ac:dyDescent="0.25">
      <c r="A44" s="8"/>
      <c r="B44" s="374"/>
      <c r="C44" s="271">
        <v>45620</v>
      </c>
      <c r="D44" s="220">
        <f t="shared" si="4"/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83">
        <v>0.95819100000000001</v>
      </c>
      <c r="J44" s="283">
        <v>4.1808999999999999E-2</v>
      </c>
      <c r="K44" s="283">
        <v>0.79529700000000003</v>
      </c>
      <c r="L44" s="283">
        <v>0.18528800000000001</v>
      </c>
      <c r="M44" s="283">
        <v>1.9415000000000002E-2</v>
      </c>
      <c r="N44" s="221">
        <f t="shared" si="1"/>
        <v>5571</v>
      </c>
      <c r="O44" s="227">
        <f t="shared" si="3"/>
        <v>6.5719613735434904E-2</v>
      </c>
      <c r="P44" s="246">
        <v>12913</v>
      </c>
      <c r="Q44" s="264">
        <v>0.49170000000000003</v>
      </c>
      <c r="R44" s="228">
        <v>0.50829999999999997</v>
      </c>
      <c r="S44" s="286">
        <v>0.98219999999999996</v>
      </c>
      <c r="T44" s="286">
        <v>1.6E-2</v>
      </c>
      <c r="U44" s="286">
        <v>1.8E-3</v>
      </c>
      <c r="V44" s="220">
        <v>4818</v>
      </c>
      <c r="W44" s="228">
        <v>0.48609999999999998</v>
      </c>
      <c r="X44" s="228">
        <v>0.51390000000000002</v>
      </c>
      <c r="Y44" s="286">
        <v>0.84809999999999997</v>
      </c>
      <c r="Z44" s="286">
        <v>0.12280000000000001</v>
      </c>
      <c r="AA44" s="286">
        <v>2.9100000000000001E-2</v>
      </c>
      <c r="AB44" s="251">
        <v>222</v>
      </c>
      <c r="AC44" s="231">
        <v>0.81079999999999997</v>
      </c>
      <c r="AD44" s="231">
        <v>0.18920000000000001</v>
      </c>
      <c r="AE44" s="227">
        <v>0.23810000000000001</v>
      </c>
      <c r="AF44" s="227">
        <v>0.1905</v>
      </c>
      <c r="AG44" s="227">
        <v>0.57140000000000002</v>
      </c>
      <c r="AH44" s="374"/>
      <c r="AI44" s="39"/>
      <c r="AJ44" s="142"/>
    </row>
    <row r="45" spans="1:36" x14ac:dyDescent="0.25">
      <c r="A45" s="8"/>
      <c r="B45" s="374"/>
      <c r="C45" s="271">
        <v>45650</v>
      </c>
      <c r="D45" s="220">
        <f t="shared" si="4"/>
        <v>173953</v>
      </c>
      <c r="E45" s="220">
        <v>26888</v>
      </c>
      <c r="F45" s="220">
        <v>13808</v>
      </c>
      <c r="G45" s="251">
        <v>17410</v>
      </c>
      <c r="H45" s="221">
        <v>183650</v>
      </c>
      <c r="I45" s="283">
        <v>0.96486300000000003</v>
      </c>
      <c r="J45" s="283">
        <v>3.5137000000000002E-2</v>
      </c>
      <c r="K45" s="283">
        <v>0.750027</v>
      </c>
      <c r="L45" s="283">
        <v>0.224602</v>
      </c>
      <c r="M45" s="283">
        <v>2.5371000000000001E-2</v>
      </c>
      <c r="N45" s="221">
        <f t="shared" si="1"/>
        <v>9697</v>
      </c>
      <c r="O45" s="227">
        <f t="shared" si="3"/>
        <v>0.10008450558484189</v>
      </c>
      <c r="P45" s="246">
        <v>13575</v>
      </c>
      <c r="Q45" s="264">
        <v>0.48409999999999997</v>
      </c>
      <c r="R45" s="228">
        <v>0.51590000000000003</v>
      </c>
      <c r="S45" s="286">
        <v>0.9899</v>
      </c>
      <c r="T45" s="286">
        <v>8.6999999999999994E-3</v>
      </c>
      <c r="U45" s="286">
        <v>1.4E-3</v>
      </c>
      <c r="V45" s="220">
        <v>11089</v>
      </c>
      <c r="W45" s="228">
        <v>0.51390000000000002</v>
      </c>
      <c r="X45" s="228">
        <v>0.48609999999999998</v>
      </c>
      <c r="Y45" s="286">
        <v>0.87760000000000005</v>
      </c>
      <c r="Z45" s="286">
        <v>9.4200000000000006E-2</v>
      </c>
      <c r="AA45" s="286">
        <v>2.8199999999999999E-2</v>
      </c>
      <c r="AB45" s="251">
        <v>2224</v>
      </c>
      <c r="AC45" s="231">
        <v>0.79990000000000006</v>
      </c>
      <c r="AD45" s="231">
        <v>0.2001</v>
      </c>
      <c r="AE45" s="227">
        <v>0.28539999999999999</v>
      </c>
      <c r="AF45" s="227">
        <v>0.31909999999999999</v>
      </c>
      <c r="AG45" s="227">
        <v>0.39550000000000002</v>
      </c>
      <c r="AH45" s="374"/>
      <c r="AI45" s="39"/>
      <c r="AJ45" s="142"/>
    </row>
    <row r="46" spans="1:36" ht="15.75" thickBot="1" x14ac:dyDescent="0.3">
      <c r="B46" s="375"/>
      <c r="C46" s="88" t="s">
        <v>78</v>
      </c>
      <c r="D46" s="135"/>
      <c r="E46" s="135">
        <f>SUM(E5:E45)</f>
        <v>461089</v>
      </c>
      <c r="F46" s="135">
        <f>SUM(F5:F45)</f>
        <v>306420.52</v>
      </c>
      <c r="G46" s="135">
        <f>SUM(G5:G45)</f>
        <v>275657</v>
      </c>
      <c r="H46" s="135"/>
      <c r="I46" s="136"/>
      <c r="J46" s="136"/>
      <c r="K46" s="136"/>
      <c r="L46" s="136"/>
      <c r="M46" s="136"/>
      <c r="N46" s="136"/>
      <c r="O46" s="136"/>
      <c r="P46" s="272">
        <f>SUM(P5:P45)</f>
        <v>405913</v>
      </c>
      <c r="R46" s="136"/>
      <c r="S46" s="136"/>
      <c r="T46" s="136"/>
      <c r="U46" s="136"/>
      <c r="V46" s="135">
        <f>SUM(V17:V45)</f>
        <v>50163</v>
      </c>
      <c r="W46" s="135"/>
      <c r="X46" s="136"/>
      <c r="Y46" s="136"/>
      <c r="Z46" s="136"/>
      <c r="AA46" s="136"/>
      <c r="AB46" s="113">
        <f>SUM(AB20:AB45)</f>
        <v>7733</v>
      </c>
      <c r="AC46" s="93"/>
      <c r="AD46" s="93"/>
      <c r="AE46" s="93"/>
      <c r="AF46" s="93"/>
      <c r="AG46" s="157"/>
      <c r="AH46" s="375"/>
      <c r="AI46" s="8"/>
      <c r="AJ46" s="142"/>
    </row>
    <row r="47" spans="1:36" ht="15.75" thickBot="1" x14ac:dyDescent="0.3">
      <c r="C47" s="224"/>
      <c r="D47" s="25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238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J47" s="142"/>
    </row>
    <row r="48" spans="1:36" x14ac:dyDescent="0.25">
      <c r="B48" s="381" t="s">
        <v>13</v>
      </c>
      <c r="C48" s="94"/>
      <c r="D48" s="48" t="s">
        <v>188</v>
      </c>
      <c r="E48" s="48" t="s">
        <v>15</v>
      </c>
      <c r="F48" s="48" t="s">
        <v>189</v>
      </c>
      <c r="G48" s="48" t="s">
        <v>156</v>
      </c>
      <c r="H48" s="48" t="s">
        <v>18</v>
      </c>
      <c r="I48" s="94"/>
      <c r="J48" s="94"/>
      <c r="K48" s="94"/>
      <c r="L48" s="94"/>
      <c r="M48" s="94"/>
      <c r="N48" s="94"/>
      <c r="O48" s="116"/>
      <c r="P48" s="116"/>
      <c r="Q48" s="47"/>
      <c r="R48" s="94"/>
      <c r="S48" s="94"/>
      <c r="T48" s="94"/>
      <c r="U48" s="94"/>
      <c r="V48" s="94"/>
      <c r="W48" s="94"/>
      <c r="AB48" s="94"/>
      <c r="AC48" s="94"/>
      <c r="AD48" s="94"/>
      <c r="AE48" s="94"/>
      <c r="AF48" s="94"/>
      <c r="AG48" s="49"/>
      <c r="AH48" s="373" t="s">
        <v>19</v>
      </c>
      <c r="AJ48" s="142"/>
    </row>
    <row r="49" spans="2:36" x14ac:dyDescent="0.25">
      <c r="B49" s="382"/>
      <c r="C49" s="156" t="s">
        <v>20</v>
      </c>
      <c r="D49" s="47"/>
      <c r="E49" s="47"/>
      <c r="F49" s="47"/>
      <c r="G49" s="260"/>
      <c r="N49" s="154"/>
      <c r="O49" s="8"/>
      <c r="R49" s="254"/>
      <c r="S49" s="254"/>
      <c r="T49" s="254"/>
      <c r="U49" s="254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12"/>
      <c r="AH49" s="374"/>
      <c r="AJ49" s="8"/>
    </row>
    <row r="50" spans="2:36" x14ac:dyDescent="0.25">
      <c r="B50" s="382"/>
      <c r="C50" s="47" t="s">
        <v>21</v>
      </c>
      <c r="D50" s="160">
        <v>0.47799999999999998</v>
      </c>
      <c r="E50" s="160">
        <v>0.44500000000000001</v>
      </c>
      <c r="F50" s="14">
        <f>D50/E50</f>
        <v>1.0741573033707865</v>
      </c>
      <c r="G50" s="160">
        <v>0.52900000000000003</v>
      </c>
      <c r="H50" s="14">
        <f>E50/G50</f>
        <v>0.84120982986767479</v>
      </c>
      <c r="I50" s="14"/>
      <c r="J50" s="14"/>
      <c r="K50" s="14"/>
      <c r="L50" s="14"/>
      <c r="M50" s="14"/>
      <c r="N50" s="253"/>
      <c r="O50" s="73"/>
      <c r="P50" s="158"/>
      <c r="Q50" s="158"/>
      <c r="R50" s="14"/>
      <c r="S50" s="14"/>
      <c r="T50" s="14"/>
      <c r="U50" s="14"/>
      <c r="V50" s="47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5"/>
      <c r="AH50" s="374"/>
      <c r="AJ50" s="8"/>
    </row>
    <row r="51" spans="2:36" x14ac:dyDescent="0.25">
      <c r="B51" s="382"/>
      <c r="C51" s="47" t="s">
        <v>22</v>
      </c>
      <c r="D51" s="160">
        <v>0.52200000000000002</v>
      </c>
      <c r="E51" s="160">
        <v>0.55500000000000005</v>
      </c>
      <c r="F51" s="14">
        <f>D51/E51</f>
        <v>0.94054054054054048</v>
      </c>
      <c r="G51" s="160">
        <v>0.47099999999999997</v>
      </c>
      <c r="H51" s="14">
        <f t="shared" ref="H51:H68" si="5">E51/G51</f>
        <v>1.1783439490445862</v>
      </c>
      <c r="I51" s="14"/>
      <c r="J51" s="14"/>
      <c r="K51" s="14"/>
      <c r="L51" s="14"/>
      <c r="M51" s="14"/>
      <c r="N51" s="149"/>
      <c r="O51" s="73"/>
      <c r="P51" s="158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5"/>
      <c r="AH51" s="374"/>
    </row>
    <row r="52" spans="2:36" x14ac:dyDescent="0.25">
      <c r="B52" s="382"/>
      <c r="D52" s="190"/>
      <c r="E52" s="190"/>
      <c r="F52" s="14"/>
      <c r="G52" s="190"/>
      <c r="H52" s="170"/>
      <c r="I52" s="170"/>
      <c r="J52" s="170"/>
      <c r="K52" s="170"/>
      <c r="L52" s="170"/>
      <c r="M52" s="170"/>
      <c r="N52" s="149"/>
      <c r="O52" s="222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5"/>
      <c r="AH52" s="374"/>
    </row>
    <row r="53" spans="2:36" x14ac:dyDescent="0.25">
      <c r="B53" s="382"/>
      <c r="C53" s="156" t="s">
        <v>23</v>
      </c>
      <c r="D53" s="162"/>
      <c r="E53" s="169"/>
      <c r="F53" s="14"/>
      <c r="G53" s="190"/>
      <c r="H53" s="170"/>
      <c r="I53" s="170"/>
      <c r="J53" s="170"/>
      <c r="K53" s="170"/>
      <c r="L53" s="170"/>
      <c r="M53" s="170"/>
      <c r="N53" s="149"/>
      <c r="O53" s="39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5"/>
      <c r="AH53" s="374"/>
    </row>
    <row r="54" spans="2:36" x14ac:dyDescent="0.25">
      <c r="B54" s="382"/>
      <c r="C54" s="47" t="s">
        <v>24</v>
      </c>
      <c r="D54" s="160">
        <v>2E-3</v>
      </c>
      <c r="E54" s="160">
        <v>0</v>
      </c>
      <c r="F54" s="14" t="s">
        <v>12</v>
      </c>
      <c r="G54" s="160">
        <v>8.9999999999999993E-3</v>
      </c>
      <c r="H54" s="14" t="s">
        <v>12</v>
      </c>
      <c r="I54" s="14"/>
      <c r="J54" s="14"/>
      <c r="K54" s="14"/>
      <c r="L54" s="14"/>
      <c r="M54" s="14"/>
      <c r="N54" s="149"/>
      <c r="O54" s="3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374"/>
    </row>
    <row r="55" spans="2:36" x14ac:dyDescent="0.25">
      <c r="B55" s="382"/>
      <c r="C55" s="47" t="s">
        <v>25</v>
      </c>
      <c r="D55" s="160">
        <v>0</v>
      </c>
      <c r="E55" s="160">
        <v>0</v>
      </c>
      <c r="F55" s="14">
        <v>0</v>
      </c>
      <c r="G55" s="160">
        <v>0.128</v>
      </c>
      <c r="H55" s="14">
        <f>E55/G55</f>
        <v>0</v>
      </c>
      <c r="I55" s="14"/>
      <c r="J55" s="14"/>
      <c r="K55" s="14"/>
      <c r="L55" s="14"/>
      <c r="M55" s="14"/>
      <c r="N55" s="149"/>
      <c r="O55" s="3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5"/>
      <c r="AH55" s="374"/>
    </row>
    <row r="56" spans="2:36" x14ac:dyDescent="0.25">
      <c r="B56" s="382"/>
      <c r="C56" s="47" t="s">
        <v>26</v>
      </c>
      <c r="D56" s="160">
        <v>0.377</v>
      </c>
      <c r="E56" s="160">
        <v>0.40300000000000002</v>
      </c>
      <c r="F56" s="14">
        <f>D56/E56</f>
        <v>0.93548387096774188</v>
      </c>
      <c r="G56" s="160">
        <v>0.29599999999999999</v>
      </c>
      <c r="H56" s="14">
        <f>E56/G56</f>
        <v>1.3614864864864866</v>
      </c>
      <c r="I56" s="14"/>
      <c r="J56" s="14"/>
      <c r="K56" s="14"/>
      <c r="L56" s="14"/>
      <c r="M56" s="14"/>
      <c r="N56" s="149"/>
      <c r="O56" s="3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5"/>
      <c r="AH56" s="374"/>
    </row>
    <row r="57" spans="2:36" x14ac:dyDescent="0.25">
      <c r="B57" s="382"/>
      <c r="C57" s="47" t="s">
        <v>27</v>
      </c>
      <c r="D57" s="160">
        <v>0.442</v>
      </c>
      <c r="E57" s="160">
        <v>0.41399999999999998</v>
      </c>
      <c r="F57" s="14">
        <f t="shared" ref="F57:F84" si="6">D57/E57</f>
        <v>1.067632850241546</v>
      </c>
      <c r="G57" s="160">
        <v>0.33</v>
      </c>
      <c r="H57" s="14">
        <f t="shared" si="5"/>
        <v>1.2545454545454544</v>
      </c>
      <c r="I57" s="14"/>
      <c r="J57" s="14"/>
      <c r="K57" s="14"/>
      <c r="L57" s="14"/>
      <c r="M57" s="14"/>
      <c r="N57" s="149"/>
      <c r="O57" s="3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374"/>
    </row>
    <row r="58" spans="2:36" x14ac:dyDescent="0.25">
      <c r="B58" s="382"/>
      <c r="C58" s="47" t="s">
        <v>28</v>
      </c>
      <c r="D58" s="160">
        <v>0.151</v>
      </c>
      <c r="E58" s="160">
        <v>0.158</v>
      </c>
      <c r="F58" s="14">
        <f t="shared" si="6"/>
        <v>0.95569620253164556</v>
      </c>
      <c r="G58" s="160">
        <v>0.16700000000000001</v>
      </c>
      <c r="H58" s="14">
        <f>E58/G58</f>
        <v>0.94610778443113763</v>
      </c>
      <c r="I58" s="14"/>
      <c r="J58" s="14"/>
      <c r="K58" s="14"/>
      <c r="L58" s="14"/>
      <c r="M58" s="14"/>
      <c r="N58" s="149"/>
      <c r="O58" s="39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374"/>
    </row>
    <row r="59" spans="2:36" x14ac:dyDescent="0.25">
      <c r="B59" s="382"/>
      <c r="C59" s="47" t="s">
        <v>29</v>
      </c>
      <c r="D59" s="160">
        <v>2.9000000000000001E-2</v>
      </c>
      <c r="E59" s="160">
        <v>2.5999999999999999E-2</v>
      </c>
      <c r="F59" s="14">
        <f t="shared" si="6"/>
        <v>1.1153846153846154</v>
      </c>
      <c r="G59" s="160">
        <v>6.9000000000000006E-2</v>
      </c>
      <c r="H59" s="14">
        <f t="shared" si="5"/>
        <v>0.3768115942028985</v>
      </c>
      <c r="I59" s="14"/>
      <c r="J59" s="14"/>
      <c r="K59" s="14"/>
      <c r="L59" s="14"/>
      <c r="M59" s="14"/>
      <c r="N59" s="149"/>
      <c r="O59" s="39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/>
      <c r="AH59" s="374"/>
    </row>
    <row r="60" spans="2:36" x14ac:dyDescent="0.25">
      <c r="B60" s="382"/>
      <c r="D60" s="160"/>
      <c r="E60" s="160"/>
      <c r="F60" s="14"/>
      <c r="G60" s="160"/>
      <c r="H60" s="170"/>
      <c r="I60" s="170"/>
      <c r="J60" s="170"/>
      <c r="K60" s="170"/>
      <c r="L60" s="170"/>
      <c r="M60" s="170"/>
      <c r="N60" s="149"/>
      <c r="O60" s="39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5"/>
      <c r="AH60" s="374"/>
    </row>
    <row r="61" spans="2:36" x14ac:dyDescent="0.25">
      <c r="B61" s="382"/>
      <c r="C61" s="156" t="s">
        <v>30</v>
      </c>
      <c r="D61" s="169"/>
      <c r="E61" s="169"/>
      <c r="F61" s="14"/>
      <c r="G61" s="190"/>
      <c r="H61" s="170"/>
      <c r="I61" s="170"/>
      <c r="J61" s="170"/>
      <c r="K61" s="170"/>
      <c r="L61" s="170"/>
      <c r="M61" s="170"/>
      <c r="N61" s="149"/>
      <c r="O61" s="39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5"/>
      <c r="AH61" s="374"/>
    </row>
    <row r="62" spans="2:36" x14ac:dyDescent="0.25">
      <c r="B62" s="382"/>
      <c r="C62" s="47" t="s">
        <v>31</v>
      </c>
      <c r="D62" s="160">
        <v>0.49199999999999999</v>
      </c>
      <c r="E62" s="163">
        <v>0.47599999999999998</v>
      </c>
      <c r="F62" s="14">
        <f>D62/E62</f>
        <v>1.0336134453781514</v>
      </c>
      <c r="G62" s="160">
        <v>0.47899999999999998</v>
      </c>
      <c r="H62" s="14">
        <f>E62/G62</f>
        <v>0.99373695198329848</v>
      </c>
      <c r="I62" s="14"/>
      <c r="J62" s="14"/>
      <c r="K62" s="14"/>
      <c r="L62" s="14"/>
      <c r="M62" s="14"/>
      <c r="N62" s="149"/>
      <c r="O62" s="39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5"/>
      <c r="AH62" s="374"/>
    </row>
    <row r="63" spans="2:36" x14ac:dyDescent="0.25">
      <c r="B63" s="382"/>
      <c r="C63" s="47" t="s">
        <v>32</v>
      </c>
      <c r="D63" s="160">
        <v>0.191</v>
      </c>
      <c r="E63" s="160">
        <v>0.19900000000000001</v>
      </c>
      <c r="F63" s="14">
        <f>D63/E63</f>
        <v>0.95979899497487431</v>
      </c>
      <c r="G63" s="160">
        <v>0.156</v>
      </c>
      <c r="H63" s="14">
        <f t="shared" si="5"/>
        <v>1.2756410256410258</v>
      </c>
      <c r="I63" s="14"/>
      <c r="J63" s="14"/>
      <c r="K63" s="14"/>
      <c r="L63" s="14"/>
      <c r="M63" s="14"/>
      <c r="N63" s="149"/>
      <c r="O63" s="39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/>
      <c r="AH63" s="374"/>
    </row>
    <row r="64" spans="2:36" x14ac:dyDescent="0.25">
      <c r="B64" s="382"/>
      <c r="C64" s="47" t="s">
        <v>33</v>
      </c>
      <c r="D64" s="160">
        <v>0.114</v>
      </c>
      <c r="E64" s="160">
        <v>0.124</v>
      </c>
      <c r="F64" s="14">
        <f>D64/E64</f>
        <v>0.91935483870967749</v>
      </c>
      <c r="G64" s="160">
        <v>0.124</v>
      </c>
      <c r="H64" s="14">
        <f t="shared" si="5"/>
        <v>1</v>
      </c>
      <c r="I64" s="14"/>
      <c r="J64" s="14"/>
      <c r="K64" s="14"/>
      <c r="L64" s="14"/>
      <c r="M64" s="14"/>
      <c r="N64" s="149"/>
      <c r="O64" s="39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5"/>
      <c r="AH64" s="374"/>
    </row>
    <row r="65" spans="2:34" x14ac:dyDescent="0.25">
      <c r="B65" s="382"/>
      <c r="C65" s="47" t="s">
        <v>34</v>
      </c>
      <c r="D65" s="160">
        <v>0.10299999999999999</v>
      </c>
      <c r="E65" s="160">
        <v>9.7000000000000003E-2</v>
      </c>
      <c r="F65" s="14">
        <f t="shared" ref="F65:F68" si="7">D65/E65</f>
        <v>1.0618556701030928</v>
      </c>
      <c r="G65" s="160">
        <v>0.115</v>
      </c>
      <c r="H65" s="14">
        <f t="shared" si="5"/>
        <v>0.84347826086956523</v>
      </c>
      <c r="I65" s="14"/>
      <c r="J65" s="14"/>
      <c r="K65" s="14"/>
      <c r="L65" s="14"/>
      <c r="M65" s="14"/>
      <c r="N65" s="223"/>
      <c r="O65" s="39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374"/>
    </row>
    <row r="66" spans="2:34" x14ac:dyDescent="0.25">
      <c r="B66" s="382"/>
      <c r="C66" s="47" t="s">
        <v>35</v>
      </c>
      <c r="D66" s="160">
        <v>2.5000000000000001E-2</v>
      </c>
      <c r="E66" s="160">
        <v>2.4E-2</v>
      </c>
      <c r="F66" s="14">
        <f t="shared" si="7"/>
        <v>1.0416666666666667</v>
      </c>
      <c r="G66" s="160">
        <v>3.3000000000000002E-2</v>
      </c>
      <c r="H66" s="14">
        <f t="shared" si="5"/>
        <v>0.72727272727272729</v>
      </c>
      <c r="I66" s="14"/>
      <c r="J66" s="14"/>
      <c r="K66" s="14"/>
      <c r="L66" s="14"/>
      <c r="M66" s="14"/>
      <c r="N66" s="149"/>
      <c r="O66" s="39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374"/>
    </row>
    <row r="67" spans="2:34" x14ac:dyDescent="0.25">
      <c r="B67" s="382"/>
      <c r="C67" s="47" t="s">
        <v>36</v>
      </c>
      <c r="D67" s="160">
        <v>1.4E-2</v>
      </c>
      <c r="E67" s="160">
        <v>1.4999999999999999E-2</v>
      </c>
      <c r="F67" s="14">
        <f t="shared" si="7"/>
        <v>0.93333333333333335</v>
      </c>
      <c r="G67" s="160">
        <v>1.9E-2</v>
      </c>
      <c r="H67" s="14">
        <f t="shared" si="5"/>
        <v>0.78947368421052633</v>
      </c>
      <c r="I67" s="14"/>
      <c r="J67" s="14"/>
      <c r="K67" s="14"/>
      <c r="L67" s="14"/>
      <c r="M67" s="14"/>
      <c r="N67" s="149"/>
      <c r="O67" s="39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5"/>
      <c r="AH67" s="374"/>
    </row>
    <row r="68" spans="2:34" x14ac:dyDescent="0.25">
      <c r="B68" s="382"/>
      <c r="C68" s="47" t="s">
        <v>37</v>
      </c>
      <c r="D68" s="160">
        <v>6.0999999999999999E-2</v>
      </c>
      <c r="E68" s="160">
        <v>6.5000000000000002E-2</v>
      </c>
      <c r="F68" s="14">
        <f t="shared" si="7"/>
        <v>0.93846153846153846</v>
      </c>
      <c r="G68" s="160">
        <v>7.3999999999999996E-2</v>
      </c>
      <c r="H68" s="14">
        <f t="shared" si="5"/>
        <v>0.8783783783783784</v>
      </c>
      <c r="I68" s="14"/>
      <c r="J68" s="14"/>
      <c r="K68" s="14"/>
      <c r="L68" s="14"/>
      <c r="M68" s="14"/>
      <c r="N68" s="149"/>
      <c r="O68" s="39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5"/>
      <c r="AH68" s="374"/>
    </row>
    <row r="69" spans="2:34" x14ac:dyDescent="0.25">
      <c r="B69" s="382"/>
      <c r="D69" s="190"/>
      <c r="E69" s="190"/>
      <c r="F69" s="14"/>
      <c r="G69" s="190"/>
      <c r="H69" s="170"/>
      <c r="I69" s="170"/>
      <c r="J69" s="170"/>
      <c r="K69" s="170"/>
      <c r="L69" s="170"/>
      <c r="M69" s="170"/>
      <c r="N69" s="149"/>
      <c r="O69" s="222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5"/>
      <c r="AH69" s="374"/>
    </row>
    <row r="70" spans="2:34" x14ac:dyDescent="0.25">
      <c r="B70" s="382"/>
      <c r="C70" s="156" t="s">
        <v>38</v>
      </c>
      <c r="D70" s="169"/>
      <c r="E70" s="169"/>
      <c r="F70" s="14"/>
      <c r="G70" s="190"/>
      <c r="H70" s="170"/>
      <c r="I70" s="170"/>
      <c r="J70" s="170"/>
      <c r="K70" s="170"/>
      <c r="L70" s="170"/>
      <c r="M70" s="170"/>
      <c r="N70" s="149"/>
      <c r="O70" s="222"/>
      <c r="P70" s="239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5"/>
      <c r="AH70" s="374"/>
    </row>
    <row r="71" spans="2:34" x14ac:dyDescent="0.25">
      <c r="B71" s="382"/>
      <c r="C71" s="47" t="s">
        <v>39</v>
      </c>
      <c r="D71" s="160">
        <v>0.502</v>
      </c>
      <c r="E71" s="160">
        <v>0.46899999999999997</v>
      </c>
      <c r="F71" s="14">
        <f>D71/E71</f>
        <v>1.0703624733475481</v>
      </c>
      <c r="G71" s="164">
        <v>0.498</v>
      </c>
      <c r="H71" s="72">
        <f>E71/G71</f>
        <v>0.94176706827309231</v>
      </c>
      <c r="I71" s="72"/>
      <c r="J71" s="72"/>
      <c r="K71" s="72"/>
      <c r="L71" s="72"/>
      <c r="M71" s="72"/>
      <c r="N71" s="149"/>
      <c r="O71" s="240"/>
      <c r="P71" s="241"/>
      <c r="Q71" s="16"/>
      <c r="R71" s="16"/>
      <c r="S71" s="16"/>
      <c r="T71" s="16"/>
      <c r="U71" s="16"/>
      <c r="V71" s="68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36"/>
      <c r="AH71" s="374"/>
    </row>
    <row r="72" spans="2:34" x14ac:dyDescent="0.25">
      <c r="B72" s="382"/>
      <c r="C72" s="47" t="s">
        <v>40</v>
      </c>
      <c r="D72" s="160">
        <v>0.05</v>
      </c>
      <c r="E72" s="160">
        <v>4.9000000000000002E-2</v>
      </c>
      <c r="F72" s="14">
        <f>D72/E72</f>
        <v>1.0204081632653061</v>
      </c>
      <c r="G72" s="160">
        <v>7.4999999999999997E-2</v>
      </c>
      <c r="H72" s="72">
        <f>E72/G72</f>
        <v>0.65333333333333343</v>
      </c>
      <c r="I72" s="72"/>
      <c r="J72" s="72"/>
      <c r="K72" s="72"/>
      <c r="L72" s="72"/>
      <c r="M72" s="72"/>
      <c r="N72" s="149"/>
      <c r="O72" s="240"/>
      <c r="P72" s="241"/>
      <c r="Q72" s="14"/>
      <c r="R72" s="16"/>
      <c r="S72" s="16"/>
      <c r="T72" s="16"/>
      <c r="U72" s="1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5"/>
      <c r="AH72" s="374"/>
    </row>
    <row r="73" spans="2:34" x14ac:dyDescent="0.25">
      <c r="B73" s="382"/>
      <c r="C73" s="47" t="s">
        <v>41</v>
      </c>
      <c r="D73" s="160">
        <v>9.2999999999999999E-2</v>
      </c>
      <c r="E73" s="160">
        <v>0.09</v>
      </c>
      <c r="F73" s="14">
        <f>D73/E73</f>
        <v>1.0333333333333334</v>
      </c>
      <c r="G73" s="160">
        <v>0.128</v>
      </c>
      <c r="H73" s="72">
        <f>E73/G73</f>
        <v>0.703125</v>
      </c>
      <c r="I73" s="72"/>
      <c r="J73" s="72"/>
      <c r="K73" s="72"/>
      <c r="L73" s="72"/>
      <c r="M73" s="72"/>
      <c r="N73" s="149"/>
      <c r="O73" s="240"/>
      <c r="P73" s="241"/>
      <c r="Q73" s="14"/>
      <c r="R73" s="16"/>
      <c r="S73" s="16"/>
      <c r="T73" s="16"/>
      <c r="U73" s="1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374"/>
    </row>
    <row r="74" spans="2:34" x14ac:dyDescent="0.25">
      <c r="B74" s="382"/>
      <c r="C74" s="47" t="s">
        <v>42</v>
      </c>
      <c r="D74" s="160">
        <v>0.111</v>
      </c>
      <c r="E74" s="160">
        <v>0.113</v>
      </c>
      <c r="F74" s="14">
        <f>D74/E74</f>
        <v>0.98230088495575218</v>
      </c>
      <c r="G74" s="160">
        <v>0.13</v>
      </c>
      <c r="H74" s="72">
        <f>E74/G74</f>
        <v>0.86923076923076925</v>
      </c>
      <c r="I74" s="72"/>
      <c r="J74" s="72"/>
      <c r="K74" s="72"/>
      <c r="L74" s="72"/>
      <c r="M74" s="72"/>
      <c r="N74" s="149"/>
      <c r="O74" s="240"/>
      <c r="P74" s="241"/>
      <c r="Q74" s="14"/>
      <c r="R74" s="16"/>
      <c r="S74" s="16"/>
      <c r="T74" s="16"/>
      <c r="U74" s="1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5"/>
      <c r="AH74" s="374"/>
    </row>
    <row r="75" spans="2:34" x14ac:dyDescent="0.25">
      <c r="B75" s="382"/>
      <c r="C75" s="47" t="s">
        <v>43</v>
      </c>
      <c r="D75" s="160">
        <v>0.13100000000000001</v>
      </c>
      <c r="E75" s="160">
        <v>0.14199999999999999</v>
      </c>
      <c r="F75" s="14">
        <f>D75/E75</f>
        <v>0.92253521126760574</v>
      </c>
      <c r="G75" s="160">
        <v>0.113</v>
      </c>
      <c r="H75" s="72">
        <f>E75/G75</f>
        <v>1.2566371681415929</v>
      </c>
      <c r="I75" s="72"/>
      <c r="J75" s="72"/>
      <c r="K75" s="72"/>
      <c r="L75" s="72"/>
      <c r="M75" s="72"/>
      <c r="N75" s="149"/>
      <c r="O75" s="240"/>
      <c r="P75" s="241"/>
      <c r="Q75" s="14"/>
      <c r="R75" s="16"/>
      <c r="S75" s="16"/>
      <c r="T75" s="16"/>
      <c r="U75" s="1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5"/>
      <c r="AH75" s="374"/>
    </row>
    <row r="76" spans="2:34" x14ac:dyDescent="0.25">
      <c r="B76" s="382"/>
      <c r="C76" s="47" t="s">
        <v>44</v>
      </c>
      <c r="D76" s="160">
        <v>0.112</v>
      </c>
      <c r="E76" s="160">
        <v>0.13700000000000001</v>
      </c>
      <c r="F76" s="14">
        <f t="shared" si="6"/>
        <v>0.81751824817518248</v>
      </c>
      <c r="G76" s="160">
        <v>5.6000000000000001E-2</v>
      </c>
      <c r="H76" s="72">
        <f t="shared" ref="H76" si="8">E76/G76</f>
        <v>2.4464285714285716</v>
      </c>
      <c r="I76" s="72"/>
      <c r="J76" s="72"/>
      <c r="K76" s="72"/>
      <c r="L76" s="72"/>
      <c r="M76" s="72"/>
      <c r="O76" s="34"/>
      <c r="P76" s="239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5"/>
      <c r="AH76" s="374"/>
    </row>
    <row r="77" spans="2:34" x14ac:dyDescent="0.25">
      <c r="B77" s="382"/>
      <c r="D77" s="190"/>
      <c r="E77" s="190"/>
      <c r="F77" s="14"/>
      <c r="G77" s="190"/>
      <c r="H77" s="170"/>
      <c r="I77" s="170"/>
      <c r="J77" s="170"/>
      <c r="K77" s="170"/>
      <c r="L77" s="170"/>
      <c r="M77" s="170"/>
      <c r="N77" s="149"/>
      <c r="O77" s="222"/>
      <c r="P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5"/>
      <c r="AH77" s="374"/>
    </row>
    <row r="78" spans="2:34" x14ac:dyDescent="0.25">
      <c r="B78" s="382"/>
      <c r="C78" s="156" t="s">
        <v>157</v>
      </c>
      <c r="D78" s="190"/>
      <c r="E78" s="190"/>
      <c r="F78" s="14"/>
      <c r="G78" s="190"/>
      <c r="H78" s="170"/>
      <c r="I78" s="170"/>
      <c r="J78" s="170"/>
      <c r="K78" s="170"/>
      <c r="L78" s="170"/>
      <c r="M78" s="170"/>
      <c r="N78" s="149"/>
      <c r="O78" s="39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5"/>
      <c r="AH78" s="374"/>
    </row>
    <row r="79" spans="2:34" x14ac:dyDescent="0.25">
      <c r="B79" s="382"/>
      <c r="C79" s="47" t="s">
        <v>39</v>
      </c>
      <c r="D79" s="160">
        <v>0.30299999999999999</v>
      </c>
      <c r="E79" s="160">
        <v>0.182</v>
      </c>
      <c r="F79" s="14">
        <f t="shared" si="6"/>
        <v>1.6648351648351649</v>
      </c>
      <c r="G79" s="163">
        <v>0.32800000000000001</v>
      </c>
      <c r="H79" s="72">
        <f>E79/G79</f>
        <v>0.55487804878048774</v>
      </c>
      <c r="I79" s="72"/>
      <c r="J79" s="72"/>
      <c r="K79" s="72"/>
      <c r="L79" s="72"/>
      <c r="M79" s="72"/>
      <c r="N79" s="149"/>
      <c r="O79" s="38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5"/>
      <c r="AH79" s="374"/>
    </row>
    <row r="80" spans="2:34" x14ac:dyDescent="0.25">
      <c r="B80" s="382"/>
      <c r="C80" s="47" t="s">
        <v>40</v>
      </c>
      <c r="D80" s="160">
        <v>6.2E-2</v>
      </c>
      <c r="E80" s="160">
        <v>5.8999999999999997E-2</v>
      </c>
      <c r="F80" s="14">
        <f t="shared" si="6"/>
        <v>1.0508474576271187</v>
      </c>
      <c r="G80" s="163">
        <v>0.14299999999999999</v>
      </c>
      <c r="H80" s="72">
        <f t="shared" ref="H80:H84" si="9">E80/G80</f>
        <v>0.41258741258741261</v>
      </c>
      <c r="I80" s="72"/>
      <c r="J80" s="72"/>
      <c r="K80" s="72"/>
      <c r="L80" s="72"/>
      <c r="M80" s="72"/>
      <c r="N80" s="149"/>
      <c r="O80" s="38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5"/>
      <c r="AH80" s="374"/>
    </row>
    <row r="81" spans="2:34" x14ac:dyDescent="0.25">
      <c r="B81" s="382"/>
      <c r="C81" s="47" t="s">
        <v>41</v>
      </c>
      <c r="D81" s="160">
        <v>0.12</v>
      </c>
      <c r="E81" s="160">
        <v>0.128</v>
      </c>
      <c r="F81" s="14">
        <f t="shared" si="6"/>
        <v>0.9375</v>
      </c>
      <c r="G81" s="163">
        <v>0.20899999999999999</v>
      </c>
      <c r="H81" s="72">
        <f t="shared" si="9"/>
        <v>0.6124401913875599</v>
      </c>
      <c r="I81" s="72"/>
      <c r="J81" s="72"/>
      <c r="K81" s="72"/>
      <c r="L81" s="72"/>
      <c r="M81" s="72"/>
      <c r="N81" s="149"/>
      <c r="O81" s="38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374"/>
    </row>
    <row r="82" spans="2:34" x14ac:dyDescent="0.25">
      <c r="B82" s="382"/>
      <c r="C82" s="47" t="s">
        <v>42</v>
      </c>
      <c r="D82" s="160">
        <v>0.14199999999999999</v>
      </c>
      <c r="E82" s="160">
        <v>0.16</v>
      </c>
      <c r="F82" s="14">
        <f t="shared" si="6"/>
        <v>0.88749999999999996</v>
      </c>
      <c r="G82" s="163">
        <v>0.161</v>
      </c>
      <c r="H82" s="72">
        <f t="shared" si="9"/>
        <v>0.99378881987577639</v>
      </c>
      <c r="I82" s="72"/>
      <c r="J82" s="72"/>
      <c r="K82" s="72"/>
      <c r="L82" s="72"/>
      <c r="M82" s="72"/>
      <c r="N82" s="149"/>
      <c r="O82" s="38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5"/>
      <c r="AH82" s="374"/>
    </row>
    <row r="83" spans="2:34" x14ac:dyDescent="0.25">
      <c r="B83" s="382"/>
      <c r="C83" s="47" t="s">
        <v>43</v>
      </c>
      <c r="D83" s="160">
        <v>0.17899999999999999</v>
      </c>
      <c r="E83" s="160">
        <v>0.219</v>
      </c>
      <c r="F83" s="14">
        <f t="shared" si="6"/>
        <v>0.81735159817351599</v>
      </c>
      <c r="G83" s="163">
        <v>0.109</v>
      </c>
      <c r="H83" s="72">
        <f t="shared" si="9"/>
        <v>2.0091743119266057</v>
      </c>
      <c r="I83" s="72"/>
      <c r="J83" s="72"/>
      <c r="K83" s="72"/>
      <c r="L83" s="72"/>
      <c r="M83" s="72"/>
      <c r="N83" s="149"/>
      <c r="O83" s="38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5"/>
      <c r="AH83" s="374"/>
    </row>
    <row r="84" spans="2:34" ht="15.75" thickBot="1" x14ac:dyDescent="0.3">
      <c r="B84" s="383"/>
      <c r="C84" s="47" t="s">
        <v>44</v>
      </c>
      <c r="D84" s="160">
        <v>0.19400000000000001</v>
      </c>
      <c r="E84" s="160">
        <v>0.252</v>
      </c>
      <c r="F84" s="14">
        <f t="shared" si="6"/>
        <v>0.76984126984126988</v>
      </c>
      <c r="G84" s="163">
        <v>0.05</v>
      </c>
      <c r="H84" s="72">
        <f t="shared" si="9"/>
        <v>5.04</v>
      </c>
      <c r="I84" s="72"/>
      <c r="J84" s="72"/>
      <c r="K84" s="72"/>
      <c r="L84" s="72"/>
      <c r="M84" s="72"/>
      <c r="N84" s="149"/>
      <c r="O84" s="38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5"/>
      <c r="AH84" s="375"/>
    </row>
    <row r="85" spans="2:34" ht="15.75" thickBot="1" x14ac:dyDescent="0.3">
      <c r="B85" s="266"/>
      <c r="C85" s="224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25"/>
    </row>
    <row r="86" spans="2:34" x14ac:dyDescent="0.25">
      <c r="B86" s="373" t="s">
        <v>45</v>
      </c>
      <c r="C86" s="5"/>
      <c r="D86" s="385" t="s">
        <v>46</v>
      </c>
      <c r="E86" s="385"/>
      <c r="F86" s="385" t="s">
        <v>47</v>
      </c>
      <c r="G86" s="385"/>
      <c r="H86" s="42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7"/>
      <c r="AH86" s="386" t="s">
        <v>48</v>
      </c>
    </row>
    <row r="87" spans="2:34" x14ac:dyDescent="0.25">
      <c r="B87" s="374"/>
      <c r="C87" s="1"/>
      <c r="D87" s="40" t="s">
        <v>49</v>
      </c>
      <c r="E87" s="40" t="s">
        <v>50</v>
      </c>
      <c r="F87" s="40" t="s">
        <v>49</v>
      </c>
      <c r="G87" s="40" t="s">
        <v>50</v>
      </c>
      <c r="H87" s="41" t="s">
        <v>51</v>
      </c>
      <c r="I87" s="96" t="s">
        <v>52</v>
      </c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7"/>
      <c r="Z87" s="97"/>
      <c r="AA87" s="97"/>
      <c r="AB87" s="97"/>
      <c r="AC87" s="97"/>
      <c r="AD87" s="97"/>
      <c r="AE87" s="97"/>
      <c r="AF87" s="97"/>
      <c r="AG87" s="99"/>
      <c r="AH87" s="387"/>
    </row>
    <row r="88" spans="2:34" x14ac:dyDescent="0.25">
      <c r="B88" s="374"/>
      <c r="C88" s="2" t="s">
        <v>53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4"/>
      <c r="AH88" s="387"/>
    </row>
    <row r="89" spans="2:34" x14ac:dyDescent="0.25">
      <c r="B89" s="374"/>
      <c r="C89" s="1" t="s">
        <v>54</v>
      </c>
      <c r="D89" s="167">
        <v>3543730</v>
      </c>
      <c r="E89" s="163">
        <f>D89/D91</f>
        <v>0.71145050796096276</v>
      </c>
      <c r="F89" s="168">
        <v>264773</v>
      </c>
      <c r="G89" s="160">
        <f>F89/$F$91</f>
        <v>0.68600083945217971</v>
      </c>
      <c r="H89" s="161">
        <f>G89/E89</f>
        <v>0.96422847657847277</v>
      </c>
      <c r="I89" s="191">
        <f>F89/D89</f>
        <v>7.4715906685893119E-2</v>
      </c>
      <c r="J89" s="191"/>
      <c r="K89" s="161"/>
      <c r="L89" s="161"/>
      <c r="M89" s="161"/>
      <c r="O89" s="39"/>
      <c r="P89" s="39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82"/>
      <c r="AH89" s="387"/>
    </row>
    <row r="90" spans="2:34" x14ac:dyDescent="0.25">
      <c r="B90" s="374"/>
      <c r="C90" s="1" t="s">
        <v>55</v>
      </c>
      <c r="D90" s="167">
        <f>SUM(D94:D100)</f>
        <v>1437263</v>
      </c>
      <c r="E90" s="163">
        <f>D90/D91</f>
        <v>0.28854949203903718</v>
      </c>
      <c r="F90" s="168">
        <f>SUM(F94:F100)</f>
        <v>121193</v>
      </c>
      <c r="G90" s="160">
        <f>F90/$F$91</f>
        <v>0.31399916054782029</v>
      </c>
      <c r="H90" s="161">
        <f>G90/E90</f>
        <v>1.0881986252304339</v>
      </c>
      <c r="I90" s="191">
        <f>F90/D90</f>
        <v>8.432207605706124E-2</v>
      </c>
      <c r="J90" s="191"/>
      <c r="K90" s="161"/>
      <c r="L90" s="161"/>
      <c r="M90" s="161"/>
      <c r="O90" s="39"/>
      <c r="P90" s="39"/>
      <c r="Q90" s="252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82"/>
      <c r="AH90" s="387"/>
    </row>
    <row r="91" spans="2:34" x14ac:dyDescent="0.25">
      <c r="B91" s="374"/>
      <c r="C91" s="1" t="s">
        <v>53</v>
      </c>
      <c r="D91" s="167">
        <f>SUM(D89:D90)</f>
        <v>4980993</v>
      </c>
      <c r="E91" s="192"/>
      <c r="F91" s="168">
        <f>SUM(F89:F90)</f>
        <v>385966</v>
      </c>
      <c r="G91" s="169"/>
      <c r="H91" s="161"/>
      <c r="I91" s="191">
        <f>F91/D91</f>
        <v>7.7487761978384626E-2</v>
      </c>
      <c r="J91" s="191"/>
      <c r="K91" s="161"/>
      <c r="L91" s="161"/>
      <c r="M91" s="161"/>
      <c r="O91" s="39"/>
      <c r="P91" s="39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82"/>
      <c r="AH91" s="387"/>
    </row>
    <row r="92" spans="2:34" x14ac:dyDescent="0.25">
      <c r="B92" s="374"/>
      <c r="C92" s="1"/>
      <c r="D92" s="192"/>
      <c r="E92" s="192"/>
      <c r="F92" s="171"/>
      <c r="G92" s="169"/>
      <c r="H92" s="161"/>
      <c r="I92" s="191"/>
      <c r="J92" s="191"/>
      <c r="K92" s="161"/>
      <c r="L92" s="161"/>
      <c r="M92" s="161"/>
      <c r="O92" s="39"/>
      <c r="P92" s="39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82"/>
      <c r="AH92" s="387"/>
    </row>
    <row r="93" spans="2:34" x14ac:dyDescent="0.25">
      <c r="B93" s="374"/>
      <c r="C93" s="2" t="s">
        <v>56</v>
      </c>
      <c r="D93" s="192"/>
      <c r="E93" s="192"/>
      <c r="F93" s="169"/>
      <c r="G93" s="169"/>
      <c r="H93" s="161"/>
      <c r="I93" s="191"/>
      <c r="J93" s="191"/>
      <c r="K93" s="161"/>
      <c r="L93" s="161"/>
      <c r="M93" s="161"/>
      <c r="O93" s="39"/>
      <c r="P93" s="39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82"/>
      <c r="AH93" s="387"/>
    </row>
    <row r="94" spans="2:34" x14ac:dyDescent="0.25">
      <c r="B94" s="374"/>
      <c r="C94" s="1" t="s">
        <v>57</v>
      </c>
      <c r="D94" s="167">
        <v>441231</v>
      </c>
      <c r="E94" s="163">
        <f>D94/$D$90</f>
        <v>0.30699391830166084</v>
      </c>
      <c r="F94" s="168">
        <v>37295</v>
      </c>
      <c r="G94" s="160">
        <f>F94/$F$90</f>
        <v>0.30773229476949987</v>
      </c>
      <c r="H94" s="161">
        <f t="shared" ref="H94:H100" si="10">G94/E94</f>
        <v>1.0024051827212859</v>
      </c>
      <c r="I94" s="191">
        <f t="shared" ref="I94:I100" si="11">F94/D94</f>
        <v>8.4524886057416634E-2</v>
      </c>
      <c r="J94" s="191"/>
      <c r="K94" s="163"/>
      <c r="L94" s="161"/>
      <c r="M94" s="161"/>
      <c r="O94" s="39"/>
      <c r="P94" s="39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82"/>
      <c r="AH94" s="387"/>
    </row>
    <row r="95" spans="2:34" x14ac:dyDescent="0.25">
      <c r="B95" s="374"/>
      <c r="C95" s="1" t="s">
        <v>58</v>
      </c>
      <c r="D95" s="167">
        <v>230967</v>
      </c>
      <c r="E95" s="163">
        <f t="shared" ref="E95:E100" si="12">D95/$D$90</f>
        <v>0.16069919005776953</v>
      </c>
      <c r="F95" s="168">
        <v>26049</v>
      </c>
      <c r="G95" s="160">
        <f t="shared" ref="G95:G97" si="13">F95/$F$90</f>
        <v>0.21493815649418696</v>
      </c>
      <c r="H95" s="161">
        <f t="shared" si="10"/>
        <v>1.3375186048972565</v>
      </c>
      <c r="I95" s="191">
        <f t="shared" si="11"/>
        <v>0.1127823455298809</v>
      </c>
      <c r="J95" s="191"/>
      <c r="K95" s="163"/>
      <c r="L95" s="161"/>
      <c r="M95" s="161"/>
      <c r="O95" s="39"/>
      <c r="P95" s="39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82"/>
      <c r="AH95" s="387"/>
    </row>
    <row r="96" spans="2:34" x14ac:dyDescent="0.25">
      <c r="B96" s="374"/>
      <c r="C96" s="1" t="s">
        <v>59</v>
      </c>
      <c r="D96" s="167">
        <v>173755</v>
      </c>
      <c r="E96" s="163">
        <f t="shared" si="12"/>
        <v>0.12089297505049529</v>
      </c>
      <c r="F96" s="168">
        <v>23342</v>
      </c>
      <c r="G96" s="160">
        <f t="shared" si="13"/>
        <v>0.1926018829470349</v>
      </c>
      <c r="H96" s="161">
        <f t="shared" si="10"/>
        <v>1.5931602548997392</v>
      </c>
      <c r="I96" s="191">
        <f t="shared" si="11"/>
        <v>0.13433858018474287</v>
      </c>
      <c r="J96" s="191"/>
      <c r="K96" s="163"/>
      <c r="L96" s="161"/>
      <c r="M96" s="161"/>
      <c r="O96" s="39"/>
      <c r="P96" s="39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82"/>
      <c r="AH96" s="387"/>
    </row>
    <row r="97" spans="2:37" x14ac:dyDescent="0.25">
      <c r="B97" s="374"/>
      <c r="C97" s="172" t="s">
        <v>60</v>
      </c>
      <c r="D97" s="168">
        <v>442968</v>
      </c>
      <c r="E97" s="163">
        <f t="shared" si="12"/>
        <v>0.30820246538037921</v>
      </c>
      <c r="F97" s="174">
        <v>25477</v>
      </c>
      <c r="G97" s="160">
        <f t="shared" si="13"/>
        <v>0.21021841195448582</v>
      </c>
      <c r="H97" s="161">
        <f t="shared" si="10"/>
        <v>0.68207894344724718</v>
      </c>
      <c r="I97" s="191">
        <f t="shared" si="11"/>
        <v>5.7514312546278736E-2</v>
      </c>
      <c r="J97" s="191"/>
      <c r="K97" s="163"/>
      <c r="L97" s="161"/>
      <c r="M97" s="161"/>
      <c r="O97" s="39"/>
      <c r="P97" s="39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82"/>
      <c r="AH97" s="387"/>
    </row>
    <row r="98" spans="2:37" x14ac:dyDescent="0.25">
      <c r="B98" s="374"/>
      <c r="C98" s="1" t="s">
        <v>61</v>
      </c>
      <c r="D98" s="167">
        <v>49921</v>
      </c>
      <c r="E98" s="163">
        <f t="shared" si="12"/>
        <v>3.4733378650949755E-2</v>
      </c>
      <c r="F98" s="168">
        <v>349</v>
      </c>
      <c r="G98" s="160">
        <f>F98/$F$90</f>
        <v>2.879704273349121E-3</v>
      </c>
      <c r="H98" s="161">
        <f t="shared" si="10"/>
        <v>8.290884403410545E-2</v>
      </c>
      <c r="I98" s="191">
        <f t="shared" si="11"/>
        <v>6.9910458524468661E-3</v>
      </c>
      <c r="J98" s="191"/>
      <c r="K98" s="163"/>
      <c r="L98" s="161"/>
      <c r="M98" s="161"/>
      <c r="O98" s="39"/>
      <c r="P98" s="39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82"/>
      <c r="AH98" s="387"/>
    </row>
    <row r="99" spans="2:37" x14ac:dyDescent="0.25">
      <c r="B99" s="374"/>
      <c r="C99" s="1" t="s">
        <v>62</v>
      </c>
      <c r="D99" s="167">
        <v>76587</v>
      </c>
      <c r="E99" s="163">
        <f t="shared" si="12"/>
        <v>5.3286698398275052E-2</v>
      </c>
      <c r="F99" s="168">
        <v>6731</v>
      </c>
      <c r="G99" s="160">
        <f>F99/$F$90</f>
        <v>5.553951135791671E-2</v>
      </c>
      <c r="H99" s="161">
        <f t="shared" si="10"/>
        <v>1.0422772103988072</v>
      </c>
      <c r="I99" s="191">
        <f t="shared" si="11"/>
        <v>8.7886978207789831E-2</v>
      </c>
      <c r="J99" s="191"/>
      <c r="K99" s="163"/>
      <c r="L99" s="161"/>
      <c r="M99" s="161"/>
      <c r="O99" s="39"/>
      <c r="P99" s="39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82"/>
      <c r="AH99" s="387"/>
      <c r="AK99" s="13"/>
    </row>
    <row r="100" spans="2:37" ht="15.75" thickBot="1" x14ac:dyDescent="0.3">
      <c r="B100" s="375"/>
      <c r="C100" s="9" t="s">
        <v>63</v>
      </c>
      <c r="D100" s="175">
        <v>21834</v>
      </c>
      <c r="E100" s="179">
        <f t="shared" si="12"/>
        <v>1.5191374160470283E-2</v>
      </c>
      <c r="F100" s="177">
        <v>1950</v>
      </c>
      <c r="G100" s="176">
        <f>F100/$F$90</f>
        <v>1.6090038203526606E-2</v>
      </c>
      <c r="H100" s="178">
        <f t="shared" si="10"/>
        <v>1.0591562049333727</v>
      </c>
      <c r="I100" s="198">
        <f t="shared" si="11"/>
        <v>8.9310250068700192E-2</v>
      </c>
      <c r="J100" s="198"/>
      <c r="K100" s="179"/>
      <c r="L100" s="178"/>
      <c r="M100" s="178"/>
      <c r="N100" s="100"/>
      <c r="O100" s="100"/>
      <c r="P100" s="100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83"/>
      <c r="AH100" s="388"/>
    </row>
    <row r="101" spans="2:37" ht="15.75" thickBot="1" x14ac:dyDescent="0.3">
      <c r="D101" s="8"/>
    </row>
    <row r="102" spans="2:37" x14ac:dyDescent="0.25">
      <c r="B102" s="373" t="s">
        <v>64</v>
      </c>
      <c r="C102" s="21" t="s">
        <v>65</v>
      </c>
      <c r="D102" s="23" t="s">
        <v>66</v>
      </c>
      <c r="E102" s="48" t="s">
        <v>67</v>
      </c>
      <c r="F102" s="48" t="s">
        <v>68</v>
      </c>
      <c r="G102" s="48" t="s">
        <v>51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7"/>
      <c r="AH102" s="373" t="s">
        <v>19</v>
      </c>
    </row>
    <row r="103" spans="2:37" x14ac:dyDescent="0.25">
      <c r="B103" s="374"/>
      <c r="C103" s="1" t="s">
        <v>69</v>
      </c>
      <c r="D103" s="168">
        <v>122011</v>
      </c>
      <c r="E103" s="180">
        <v>1073754</v>
      </c>
      <c r="F103" s="68"/>
      <c r="N103" s="8"/>
      <c r="AG103" s="4"/>
      <c r="AH103" s="374"/>
    </row>
    <row r="104" spans="2:37" x14ac:dyDescent="0.25">
      <c r="B104" s="374"/>
      <c r="C104" s="1" t="s">
        <v>70</v>
      </c>
      <c r="D104" s="160">
        <f>D103/H45</f>
        <v>0.6643670024503131</v>
      </c>
      <c r="E104" s="261">
        <v>0.26800000000000002</v>
      </c>
      <c r="F104" s="68"/>
      <c r="N104" s="8"/>
      <c r="AG104" s="4"/>
      <c r="AH104" s="374"/>
    </row>
    <row r="105" spans="2:37" x14ac:dyDescent="0.25">
      <c r="B105" s="374"/>
      <c r="C105" s="1"/>
      <c r="D105" s="199"/>
      <c r="E105" s="200"/>
      <c r="F105" s="14"/>
      <c r="N105" s="8"/>
      <c r="AG105" s="4"/>
      <c r="AH105" s="374"/>
      <c r="AK105" s="8"/>
    </row>
    <row r="106" spans="2:37" ht="14.45" customHeight="1" x14ac:dyDescent="0.25">
      <c r="B106" s="374"/>
      <c r="C106" s="1" t="s">
        <v>71</v>
      </c>
      <c r="D106" s="168">
        <v>385851</v>
      </c>
      <c r="E106" s="183">
        <v>2684671</v>
      </c>
      <c r="F106" s="68"/>
      <c r="N106" s="8"/>
      <c r="AG106" s="4"/>
      <c r="AH106" s="374"/>
      <c r="AI106" s="24"/>
      <c r="AK106" s="14"/>
    </row>
    <row r="107" spans="2:37" x14ac:dyDescent="0.25">
      <c r="B107" s="374"/>
      <c r="C107" s="1" t="s">
        <v>72</v>
      </c>
      <c r="D107" s="184">
        <f>D106/D103</f>
        <v>3.16242797780528</v>
      </c>
      <c r="E107" s="161">
        <f>E106/E103</f>
        <v>2.5002663552359294</v>
      </c>
      <c r="F107" s="14"/>
      <c r="N107" s="8"/>
      <c r="AG107" s="4"/>
      <c r="AH107" s="374"/>
    </row>
    <row r="108" spans="2:37" x14ac:dyDescent="0.25">
      <c r="B108" s="374"/>
      <c r="C108" s="1"/>
      <c r="D108" s="202"/>
      <c r="E108" s="169"/>
      <c r="F108" s="14"/>
      <c r="N108" s="8"/>
      <c r="AG108" s="4"/>
      <c r="AH108" s="374"/>
      <c r="AK108" s="8"/>
    </row>
    <row r="109" spans="2:37" x14ac:dyDescent="0.25">
      <c r="B109" s="374"/>
      <c r="C109" s="1" t="s">
        <v>73</v>
      </c>
      <c r="D109" s="168">
        <v>192682</v>
      </c>
      <c r="E109" s="183">
        <v>1645289</v>
      </c>
      <c r="F109" s="14"/>
      <c r="N109" s="8"/>
      <c r="AG109" s="4"/>
      <c r="AH109" s="374"/>
      <c r="AK109" s="14"/>
    </row>
    <row r="110" spans="2:37" x14ac:dyDescent="0.25">
      <c r="B110" s="374"/>
      <c r="C110" s="1" t="s">
        <v>74</v>
      </c>
      <c r="D110" s="184">
        <f>D109/D103</f>
        <v>1.5792182672054158</v>
      </c>
      <c r="E110" s="165">
        <f>E109/E103</f>
        <v>1.5322774117721565</v>
      </c>
      <c r="F110" s="14"/>
      <c r="AG110" s="4"/>
      <c r="AH110" s="374"/>
    </row>
    <row r="111" spans="2:37" ht="15.75" thickBot="1" x14ac:dyDescent="0.3">
      <c r="B111" s="375"/>
      <c r="C111" s="9" t="s">
        <v>75</v>
      </c>
      <c r="D111" s="185">
        <f>D106/D109</f>
        <v>2.0025274805119317</v>
      </c>
      <c r="E111" s="186">
        <f>E106/E109</f>
        <v>1.631732175927755</v>
      </c>
      <c r="F111" s="18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11"/>
      <c r="AH111" s="375"/>
    </row>
    <row r="112" spans="2:37" x14ac:dyDescent="0.25">
      <c r="D112" s="37"/>
      <c r="E112" s="22"/>
      <c r="F112" s="14"/>
    </row>
    <row r="113" spans="2:5" s="35" customFormat="1" x14ac:dyDescent="0.25">
      <c r="B113" s="47"/>
      <c r="C113" s="78"/>
      <c r="D113" s="8"/>
      <c r="E113" s="13"/>
    </row>
    <row r="114" spans="2:5" s="35" customFormat="1" x14ac:dyDescent="0.25">
      <c r="B114" s="47"/>
      <c r="C114" s="78"/>
      <c r="D114" s="8"/>
      <c r="E114" s="34"/>
    </row>
    <row r="115" spans="2:5" s="35" customFormat="1" x14ac:dyDescent="0.25">
      <c r="B115" s="47"/>
      <c r="C115" s="78"/>
      <c r="D115" s="8"/>
      <c r="E115" s="34"/>
    </row>
    <row r="116" spans="2:5" s="35" customFormat="1" x14ac:dyDescent="0.25">
      <c r="B116" s="47"/>
      <c r="C116" s="78"/>
      <c r="D116" s="262"/>
      <c r="E116" s="34"/>
    </row>
    <row r="117" spans="2:5" s="35" customFormat="1" x14ac:dyDescent="0.25">
      <c r="B117" s="47"/>
      <c r="C117" s="78"/>
      <c r="D117" s="8"/>
      <c r="E117" s="78"/>
    </row>
    <row r="118" spans="2:5" s="35" customFormat="1" x14ac:dyDescent="0.25">
      <c r="B118" s="47"/>
      <c r="C118" s="78"/>
      <c r="D118" s="8"/>
      <c r="E118" s="34"/>
    </row>
  </sheetData>
  <mergeCells count="15">
    <mergeCell ref="C2:AG2"/>
    <mergeCell ref="D3:O3"/>
    <mergeCell ref="P3:R3"/>
    <mergeCell ref="V3:X3"/>
    <mergeCell ref="AB3:AG3"/>
    <mergeCell ref="B102:B111"/>
    <mergeCell ref="AH102:AH111"/>
    <mergeCell ref="B4:B46"/>
    <mergeCell ref="B48:B84"/>
    <mergeCell ref="AH48:AH84"/>
    <mergeCell ref="B86:B100"/>
    <mergeCell ref="D86:E86"/>
    <mergeCell ref="F86:G86"/>
    <mergeCell ref="AH86:AH100"/>
    <mergeCell ref="AH3:AH4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9E4FE-8DAC-4A78-8A2D-0F4053654064}">
  <sheetPr>
    <tabColor theme="4"/>
  </sheetPr>
  <dimension ref="A1:AK119"/>
  <sheetViews>
    <sheetView zoomScale="85" zoomScaleNormal="85" workbookViewId="0">
      <pane ySplit="4" topLeftCell="A84" activePane="bottomLeft" state="frozen"/>
      <selection pane="bottomLeft" activeCell="I90" sqref="I90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4.28515625" style="3" bestFit="1" customWidth="1"/>
    <col min="9" max="13" width="14.28515625" style="3" customWidth="1"/>
    <col min="14" max="18" width="13.28515625" style="3" customWidth="1"/>
    <col min="19" max="19" width="21.5703125" style="3" bestFit="1" customWidth="1"/>
    <col min="20" max="20" width="20.140625" style="3" bestFit="1" customWidth="1"/>
    <col min="21" max="21" width="22" style="3" bestFit="1" customWidth="1"/>
    <col min="22" max="23" width="13.28515625" style="3" customWidth="1"/>
    <col min="24" max="24" width="16" style="3" bestFit="1" customWidth="1"/>
    <col min="25" max="25" width="26.42578125" style="3" customWidth="1"/>
    <col min="26" max="26" width="20.140625" style="3" bestFit="1" customWidth="1"/>
    <col min="27" max="27" width="22" style="3" bestFit="1" customWidth="1"/>
    <col min="28" max="29" width="13.28515625" style="3" customWidth="1"/>
    <col min="30" max="30" width="16" style="3" bestFit="1" customWidth="1"/>
    <col min="31" max="31" width="26.85546875" style="3" bestFit="1" customWidth="1"/>
    <col min="32" max="32" width="20.140625" style="3" bestFit="1" customWidth="1"/>
    <col min="33" max="33" width="22" style="3" bestFit="1" customWidth="1"/>
    <col min="34" max="34" width="14.28515625" style="47" customWidth="1"/>
    <col min="35" max="16384" width="8.85546875" style="3"/>
  </cols>
  <sheetData>
    <row r="1" spans="1:36" ht="15.75" thickBot="1" x14ac:dyDescent="0.3">
      <c r="A1" s="8"/>
      <c r="B1" s="155"/>
    </row>
    <row r="2" spans="1:36" ht="15.75" thickBot="1" x14ac:dyDescent="0.3">
      <c r="A2" s="149"/>
      <c r="B2" s="154"/>
      <c r="C2" s="396" t="s">
        <v>190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403"/>
      <c r="AE2" s="403"/>
      <c r="AF2" s="403"/>
      <c r="AG2" s="403"/>
      <c r="AH2" s="27" t="s">
        <v>1</v>
      </c>
    </row>
    <row r="3" spans="1:36" ht="15.75" thickBot="1" x14ac:dyDescent="0.3">
      <c r="C3" s="1"/>
      <c r="D3" s="399" t="s">
        <v>127</v>
      </c>
      <c r="E3" s="399"/>
      <c r="F3" s="399"/>
      <c r="G3" s="399"/>
      <c r="H3" s="399"/>
      <c r="I3" s="399"/>
      <c r="J3" s="399"/>
      <c r="K3" s="399"/>
      <c r="L3" s="399"/>
      <c r="M3" s="399"/>
      <c r="N3" s="399"/>
      <c r="O3" s="399"/>
      <c r="P3" s="400" t="s">
        <v>128</v>
      </c>
      <c r="Q3" s="401"/>
      <c r="R3" s="401"/>
      <c r="S3" s="40"/>
      <c r="T3" s="40"/>
      <c r="U3" s="40"/>
      <c r="V3" s="399" t="s">
        <v>129</v>
      </c>
      <c r="W3" s="399"/>
      <c r="X3" s="400"/>
      <c r="Y3" s="91"/>
      <c r="Z3" s="91"/>
      <c r="AA3" s="91"/>
      <c r="AB3" s="393" t="s">
        <v>133</v>
      </c>
      <c r="AC3" s="385"/>
      <c r="AD3" s="385"/>
      <c r="AE3" s="385"/>
      <c r="AF3" s="385"/>
      <c r="AG3" s="385"/>
      <c r="AH3" s="373" t="s">
        <v>10</v>
      </c>
    </row>
    <row r="4" spans="1:36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284" t="s">
        <v>183</v>
      </c>
      <c r="J4" s="284" t="s">
        <v>184</v>
      </c>
      <c r="K4" s="285" t="s">
        <v>185</v>
      </c>
      <c r="L4" s="284" t="s">
        <v>186</v>
      </c>
      <c r="M4" s="284" t="s">
        <v>187</v>
      </c>
      <c r="N4" s="114" t="s">
        <v>114</v>
      </c>
      <c r="O4" s="114" t="s">
        <v>9</v>
      </c>
      <c r="P4" s="114" t="s">
        <v>5</v>
      </c>
      <c r="Q4" s="114" t="s">
        <v>115</v>
      </c>
      <c r="R4" s="114" t="s">
        <v>116</v>
      </c>
      <c r="S4" s="267" t="s">
        <v>168</v>
      </c>
      <c r="T4" s="267" t="s">
        <v>169</v>
      </c>
      <c r="U4" s="267" t="s">
        <v>170</v>
      </c>
      <c r="V4" s="114" t="s">
        <v>5</v>
      </c>
      <c r="W4" s="62" t="s">
        <v>115</v>
      </c>
      <c r="X4" s="91" t="s">
        <v>171</v>
      </c>
      <c r="Y4" s="268" t="s">
        <v>172</v>
      </c>
      <c r="Z4" s="268" t="s">
        <v>169</v>
      </c>
      <c r="AA4" s="269" t="s">
        <v>170</v>
      </c>
      <c r="AB4" s="114" t="s">
        <v>5</v>
      </c>
      <c r="AC4" s="114" t="s">
        <v>115</v>
      </c>
      <c r="AD4" s="270" t="s">
        <v>171</v>
      </c>
      <c r="AE4" s="269" t="s">
        <v>173</v>
      </c>
      <c r="AF4" s="269" t="s">
        <v>169</v>
      </c>
      <c r="AG4" s="269" t="s">
        <v>170</v>
      </c>
      <c r="AH4" s="374"/>
    </row>
    <row r="5" spans="1:36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3">
        <v>16908</v>
      </c>
      <c r="I5" s="53"/>
      <c r="J5" s="53"/>
      <c r="K5" s="53"/>
      <c r="L5" s="53"/>
      <c r="M5" s="53"/>
      <c r="N5" s="53">
        <v>16908</v>
      </c>
      <c r="O5" s="52" t="s">
        <v>12</v>
      </c>
      <c r="P5" s="53">
        <v>16908</v>
      </c>
      <c r="Q5" s="105">
        <v>1</v>
      </c>
      <c r="R5" s="105">
        <v>0</v>
      </c>
      <c r="S5" s="105"/>
      <c r="T5" s="105"/>
      <c r="U5" s="105"/>
      <c r="V5" s="52" t="s">
        <v>12</v>
      </c>
      <c r="W5" s="52" t="s">
        <v>12</v>
      </c>
      <c r="X5" s="249" t="s">
        <v>12</v>
      </c>
      <c r="Y5" s="249"/>
      <c r="Z5" s="249" t="s">
        <v>12</v>
      </c>
      <c r="AA5" s="249"/>
      <c r="AB5" s="52" t="s">
        <v>12</v>
      </c>
      <c r="AC5" s="52" t="s">
        <v>12</v>
      </c>
      <c r="AD5" s="249" t="s">
        <v>12</v>
      </c>
      <c r="AE5" s="249"/>
      <c r="AF5" s="249"/>
      <c r="AG5" s="249" t="s">
        <v>12</v>
      </c>
      <c r="AH5" s="374"/>
    </row>
    <row r="6" spans="1:36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>
        <v>24084</v>
      </c>
      <c r="I6" s="53"/>
      <c r="J6" s="53"/>
      <c r="K6" s="53"/>
      <c r="L6" s="53"/>
      <c r="M6" s="53"/>
      <c r="N6" s="53">
        <v>7176</v>
      </c>
      <c r="O6" s="140">
        <f>G6/H5</f>
        <v>9.829666430092264E-2</v>
      </c>
      <c r="P6" s="53">
        <v>8838</v>
      </c>
      <c r="Q6" s="105">
        <v>0.96481104322244848</v>
      </c>
      <c r="R6" s="105">
        <v>3.5188956777551482E-2</v>
      </c>
      <c r="S6" s="105"/>
      <c r="T6" s="105"/>
      <c r="U6" s="105"/>
      <c r="V6" s="52" t="s">
        <v>12</v>
      </c>
      <c r="W6" s="52" t="s">
        <v>12</v>
      </c>
      <c r="X6" s="249" t="s">
        <v>12</v>
      </c>
      <c r="Y6" s="249"/>
      <c r="Z6" s="249" t="s">
        <v>12</v>
      </c>
      <c r="AA6" s="249"/>
      <c r="AB6" s="52" t="s">
        <v>12</v>
      </c>
      <c r="AC6" s="52" t="s">
        <v>12</v>
      </c>
      <c r="AD6" s="249" t="s">
        <v>12</v>
      </c>
      <c r="AE6" s="249"/>
      <c r="AF6" s="249"/>
      <c r="AG6" s="249" t="s">
        <v>12</v>
      </c>
      <c r="AH6" s="374"/>
      <c r="AI6" s="39"/>
      <c r="AJ6" s="39"/>
    </row>
    <row r="7" spans="1:36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>
        <v>32448</v>
      </c>
      <c r="I7" s="53"/>
      <c r="J7" s="53"/>
      <c r="K7" s="53"/>
      <c r="L7" s="53"/>
      <c r="M7" s="53"/>
      <c r="N7" s="53">
        <v>8364</v>
      </c>
      <c r="O7" s="140">
        <f t="shared" ref="O7:O20" si="0">G7/H6</f>
        <v>8.4620494934396273E-2</v>
      </c>
      <c r="P7" s="53">
        <v>10402</v>
      </c>
      <c r="Q7" s="105">
        <v>0.92174581811190159</v>
      </c>
      <c r="R7" s="105">
        <v>7.8254181888098448E-2</v>
      </c>
      <c r="S7" s="105"/>
      <c r="T7" s="105"/>
      <c r="U7" s="105"/>
      <c r="V7" s="52" t="s">
        <v>12</v>
      </c>
      <c r="W7" s="52" t="s">
        <v>12</v>
      </c>
      <c r="X7" s="249" t="s">
        <v>12</v>
      </c>
      <c r="Y7" s="249"/>
      <c r="Z7" s="249" t="s">
        <v>12</v>
      </c>
      <c r="AA7" s="249"/>
      <c r="AB7" s="52" t="s">
        <v>12</v>
      </c>
      <c r="AC7" s="52" t="s">
        <v>12</v>
      </c>
      <c r="AD7" s="249" t="s">
        <v>12</v>
      </c>
      <c r="AE7" s="249"/>
      <c r="AF7" s="249"/>
      <c r="AG7" s="249" t="s">
        <v>12</v>
      </c>
      <c r="AH7" s="374"/>
      <c r="AI7" s="39"/>
      <c r="AJ7" s="39"/>
    </row>
    <row r="8" spans="1:36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>
        <v>37738</v>
      </c>
      <c r="I8" s="53"/>
      <c r="J8" s="53"/>
      <c r="K8" s="53"/>
      <c r="L8" s="53"/>
      <c r="M8" s="53"/>
      <c r="N8" s="53">
        <v>5290</v>
      </c>
      <c r="O8" s="140">
        <f t="shared" si="0"/>
        <v>5.4394723865877709E-2</v>
      </c>
      <c r="P8" s="53">
        <v>7055</v>
      </c>
      <c r="Q8" s="105">
        <v>0.90007087172218281</v>
      </c>
      <c r="R8" s="105">
        <v>9.992912827781715E-2</v>
      </c>
      <c r="S8" s="105"/>
      <c r="T8" s="105"/>
      <c r="U8" s="105"/>
      <c r="V8" s="52" t="s">
        <v>12</v>
      </c>
      <c r="W8" s="52" t="s">
        <v>12</v>
      </c>
      <c r="X8" s="249" t="s">
        <v>12</v>
      </c>
      <c r="Y8" s="249"/>
      <c r="Z8" s="249" t="s">
        <v>12</v>
      </c>
      <c r="AA8" s="249"/>
      <c r="AB8" s="52" t="s">
        <v>12</v>
      </c>
      <c r="AC8" s="52" t="s">
        <v>12</v>
      </c>
      <c r="AD8" s="249" t="s">
        <v>12</v>
      </c>
      <c r="AE8" s="249"/>
      <c r="AF8" s="249"/>
      <c r="AG8" s="249" t="s">
        <v>12</v>
      </c>
      <c r="AH8" s="374"/>
      <c r="AI8" s="39"/>
      <c r="AJ8" s="39"/>
    </row>
    <row r="9" spans="1:36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>
        <v>40055</v>
      </c>
      <c r="I9" s="53"/>
      <c r="J9" s="53"/>
      <c r="K9" s="53"/>
      <c r="L9" s="53"/>
      <c r="M9" s="53"/>
      <c r="N9" s="53">
        <v>2317</v>
      </c>
      <c r="O9" s="140">
        <f t="shared" si="0"/>
        <v>5.6600773755895915E-2</v>
      </c>
      <c r="P9" s="53">
        <v>4453</v>
      </c>
      <c r="Q9" s="105">
        <v>0.84235346957107571</v>
      </c>
      <c r="R9" s="105">
        <v>0.15764653042892432</v>
      </c>
      <c r="S9" s="105"/>
      <c r="T9" s="105"/>
      <c r="U9" s="105"/>
      <c r="V9" s="52" t="s">
        <v>12</v>
      </c>
      <c r="W9" s="52" t="s">
        <v>12</v>
      </c>
      <c r="X9" s="249" t="s">
        <v>12</v>
      </c>
      <c r="Y9" s="249"/>
      <c r="Z9" s="249" t="s">
        <v>12</v>
      </c>
      <c r="AA9" s="249"/>
      <c r="AB9" s="52" t="s">
        <v>12</v>
      </c>
      <c r="AC9" s="52" t="s">
        <v>12</v>
      </c>
      <c r="AD9" s="249" t="s">
        <v>12</v>
      </c>
      <c r="AE9" s="249"/>
      <c r="AF9" s="249"/>
      <c r="AG9" s="249" t="s">
        <v>12</v>
      </c>
      <c r="AH9" s="374"/>
      <c r="AI9" s="39"/>
      <c r="AJ9" s="39"/>
    </row>
    <row r="10" spans="1:36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>
        <v>39023</v>
      </c>
      <c r="I10" s="53"/>
      <c r="J10" s="53"/>
      <c r="K10" s="53"/>
      <c r="L10" s="53"/>
      <c r="M10" s="53"/>
      <c r="N10" s="53">
        <v>-1032</v>
      </c>
      <c r="O10" s="140">
        <f t="shared" si="0"/>
        <v>5.3875920609162402E-2</v>
      </c>
      <c r="P10" s="53">
        <v>1126</v>
      </c>
      <c r="Q10" s="105">
        <v>0.79040852575488452</v>
      </c>
      <c r="R10" s="105">
        <v>0.20959147424511546</v>
      </c>
      <c r="S10" s="105"/>
      <c r="T10" s="105"/>
      <c r="U10" s="105"/>
      <c r="V10" s="52" t="s">
        <v>12</v>
      </c>
      <c r="W10" s="52" t="s">
        <v>12</v>
      </c>
      <c r="X10" s="249" t="s">
        <v>12</v>
      </c>
      <c r="Y10" s="249"/>
      <c r="Z10" s="249" t="s">
        <v>12</v>
      </c>
      <c r="AA10" s="249"/>
      <c r="AB10" s="52" t="s">
        <v>12</v>
      </c>
      <c r="AC10" s="52" t="s">
        <v>12</v>
      </c>
      <c r="AD10" s="249" t="s">
        <v>12</v>
      </c>
      <c r="AE10" s="249"/>
      <c r="AF10" s="249"/>
      <c r="AG10" s="249" t="s">
        <v>12</v>
      </c>
      <c r="AH10" s="374"/>
      <c r="AI10" s="39"/>
      <c r="AJ10" s="39"/>
    </row>
    <row r="11" spans="1:36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>
        <v>39321</v>
      </c>
      <c r="I11" s="53"/>
      <c r="J11" s="53"/>
      <c r="K11" s="53"/>
      <c r="L11" s="53"/>
      <c r="M11" s="53"/>
      <c r="N11" s="53">
        <v>298</v>
      </c>
      <c r="O11" s="140">
        <f t="shared" si="0"/>
        <v>5.4250057658304075E-2</v>
      </c>
      <c r="P11" s="53">
        <v>2415</v>
      </c>
      <c r="Q11" s="105">
        <v>0.65962732919254663</v>
      </c>
      <c r="R11" s="105">
        <v>0.34037267080745343</v>
      </c>
      <c r="S11" s="105"/>
      <c r="T11" s="105"/>
      <c r="U11" s="105"/>
      <c r="V11" s="52" t="s">
        <v>12</v>
      </c>
      <c r="W11" s="52" t="s">
        <v>12</v>
      </c>
      <c r="X11" s="249" t="s">
        <v>12</v>
      </c>
      <c r="Y11" s="249"/>
      <c r="Z11" s="249" t="s">
        <v>12</v>
      </c>
      <c r="AA11" s="249"/>
      <c r="AB11" s="52" t="s">
        <v>12</v>
      </c>
      <c r="AC11" s="52" t="s">
        <v>12</v>
      </c>
      <c r="AD11" s="249" t="s">
        <v>12</v>
      </c>
      <c r="AE11" s="249"/>
      <c r="AF11" s="249"/>
      <c r="AG11" s="249" t="s">
        <v>12</v>
      </c>
      <c r="AH11" s="374"/>
      <c r="AI11" s="39"/>
      <c r="AJ11" s="39"/>
    </row>
    <row r="12" spans="1:36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>
        <v>42008</v>
      </c>
      <c r="I12" s="53"/>
      <c r="J12" s="53"/>
      <c r="K12" s="53"/>
      <c r="L12" s="53"/>
      <c r="M12" s="53"/>
      <c r="N12" s="53">
        <v>2687</v>
      </c>
      <c r="O12" s="140">
        <f t="shared" si="0"/>
        <v>4.1097632308435696E-2</v>
      </c>
      <c r="P12" s="53">
        <v>4303</v>
      </c>
      <c r="Q12" s="105">
        <v>0.75970253311643043</v>
      </c>
      <c r="R12" s="105">
        <v>0.24029746688356959</v>
      </c>
      <c r="S12" s="105"/>
      <c r="T12" s="105"/>
      <c r="U12" s="105"/>
      <c r="V12" s="52" t="s">
        <v>12</v>
      </c>
      <c r="W12" s="52" t="s">
        <v>12</v>
      </c>
      <c r="X12" s="249" t="s">
        <v>12</v>
      </c>
      <c r="Y12" s="249"/>
      <c r="Z12" s="249" t="s">
        <v>12</v>
      </c>
      <c r="AA12" s="249"/>
      <c r="AB12" s="52" t="s">
        <v>12</v>
      </c>
      <c r="AC12" s="52" t="s">
        <v>12</v>
      </c>
      <c r="AD12" s="249" t="s">
        <v>12</v>
      </c>
      <c r="AE12" s="249"/>
      <c r="AF12" s="249"/>
      <c r="AG12" s="249" t="s">
        <v>12</v>
      </c>
      <c r="AH12" s="374"/>
      <c r="AI12" s="39"/>
      <c r="AJ12" s="39"/>
    </row>
    <row r="13" spans="1:36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>
        <v>47359</v>
      </c>
      <c r="I13" s="53"/>
      <c r="J13" s="53"/>
      <c r="K13" s="53"/>
      <c r="L13" s="53"/>
      <c r="M13" s="53"/>
      <c r="N13" s="53">
        <v>5351</v>
      </c>
      <c r="O13" s="140">
        <f t="shared" si="0"/>
        <v>4.6872024376309274E-2</v>
      </c>
      <c r="P13" s="53">
        <v>7320</v>
      </c>
      <c r="Q13" s="105">
        <v>0.8437158469945355</v>
      </c>
      <c r="R13" s="105">
        <v>0.15628415300546447</v>
      </c>
      <c r="S13" s="105"/>
      <c r="T13" s="105"/>
      <c r="U13" s="105"/>
      <c r="V13" s="52" t="s">
        <v>12</v>
      </c>
      <c r="W13" s="52" t="s">
        <v>12</v>
      </c>
      <c r="X13" s="249" t="s">
        <v>12</v>
      </c>
      <c r="Y13" s="249"/>
      <c r="Z13" s="249" t="s">
        <v>12</v>
      </c>
      <c r="AA13" s="249"/>
      <c r="AB13" s="52" t="s">
        <v>12</v>
      </c>
      <c r="AC13" s="52" t="s">
        <v>12</v>
      </c>
      <c r="AD13" s="249" t="s">
        <v>12</v>
      </c>
      <c r="AE13" s="249"/>
      <c r="AF13" s="249"/>
      <c r="AG13" s="249" t="s">
        <v>12</v>
      </c>
      <c r="AH13" s="374"/>
      <c r="AI13" s="39"/>
      <c r="AJ13" s="39"/>
    </row>
    <row r="14" spans="1:36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>
        <v>54105</v>
      </c>
      <c r="I14" s="53"/>
      <c r="J14" s="53"/>
      <c r="K14" s="53"/>
      <c r="L14" s="53"/>
      <c r="M14" s="53"/>
      <c r="N14" s="53">
        <v>6746</v>
      </c>
      <c r="O14" s="140">
        <f t="shared" si="0"/>
        <v>4.8438522772862605E-2</v>
      </c>
      <c r="P14" s="53">
        <v>9040</v>
      </c>
      <c r="Q14" s="105">
        <v>0.87289823008849554</v>
      </c>
      <c r="R14" s="105">
        <v>0.12710176991150443</v>
      </c>
      <c r="S14" s="105"/>
      <c r="T14" s="105"/>
      <c r="U14" s="105"/>
      <c r="V14" s="52" t="s">
        <v>12</v>
      </c>
      <c r="W14" s="52" t="s">
        <v>12</v>
      </c>
      <c r="X14" s="249" t="s">
        <v>12</v>
      </c>
      <c r="Y14" s="249"/>
      <c r="Z14" s="249" t="s">
        <v>12</v>
      </c>
      <c r="AA14" s="249"/>
      <c r="AB14" s="52" t="s">
        <v>12</v>
      </c>
      <c r="AC14" s="52" t="s">
        <v>12</v>
      </c>
      <c r="AD14" s="249" t="s">
        <v>12</v>
      </c>
      <c r="AE14" s="249"/>
      <c r="AF14" s="249"/>
      <c r="AG14" s="249" t="s">
        <v>12</v>
      </c>
      <c r="AH14" s="374"/>
      <c r="AI14" s="39"/>
      <c r="AJ14" s="39"/>
    </row>
    <row r="15" spans="1:36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>
        <v>62455</v>
      </c>
      <c r="I15" s="53"/>
      <c r="J15" s="53"/>
      <c r="K15" s="53"/>
      <c r="L15" s="53"/>
      <c r="M15" s="53"/>
      <c r="N15" s="53">
        <v>8350</v>
      </c>
      <c r="O15" s="140">
        <f t="shared" si="0"/>
        <v>5.4782367618519547E-2</v>
      </c>
      <c r="P15" s="53">
        <v>11314</v>
      </c>
      <c r="Q15" s="105">
        <v>0.89057804490012371</v>
      </c>
      <c r="R15" s="105">
        <v>0.10942195509987626</v>
      </c>
      <c r="S15" s="105"/>
      <c r="T15" s="105"/>
      <c r="U15" s="105"/>
      <c r="V15" s="52" t="s">
        <v>12</v>
      </c>
      <c r="W15" s="52" t="s">
        <v>12</v>
      </c>
      <c r="X15" s="249" t="s">
        <v>12</v>
      </c>
      <c r="Y15" s="249"/>
      <c r="Z15" s="249" t="s">
        <v>12</v>
      </c>
      <c r="AA15" s="249"/>
      <c r="AB15" s="52" t="s">
        <v>12</v>
      </c>
      <c r="AC15" s="52" t="s">
        <v>12</v>
      </c>
      <c r="AD15" s="249" t="s">
        <v>12</v>
      </c>
      <c r="AE15" s="249"/>
      <c r="AF15" s="249"/>
      <c r="AG15" s="249" t="s">
        <v>12</v>
      </c>
      <c r="AH15" s="374"/>
      <c r="AI15" s="39"/>
      <c r="AJ15" s="39"/>
    </row>
    <row r="16" spans="1:36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>
        <v>72087</v>
      </c>
      <c r="I16" s="53"/>
      <c r="J16" s="53"/>
      <c r="K16" s="53"/>
      <c r="L16" s="53"/>
      <c r="M16" s="53"/>
      <c r="N16" s="53">
        <v>9632</v>
      </c>
      <c r="O16" s="140">
        <f t="shared" si="0"/>
        <v>5.773757105115683E-2</v>
      </c>
      <c r="P16" s="53">
        <v>13238</v>
      </c>
      <c r="Q16" s="105">
        <v>0.87543435564284633</v>
      </c>
      <c r="R16" s="105">
        <v>0.12</v>
      </c>
      <c r="S16" s="105"/>
      <c r="T16" s="105"/>
      <c r="U16" s="105"/>
      <c r="V16" s="52" t="s">
        <v>12</v>
      </c>
      <c r="W16" s="52" t="s">
        <v>12</v>
      </c>
      <c r="X16" s="249" t="s">
        <v>12</v>
      </c>
      <c r="Y16" s="249"/>
      <c r="Z16" s="249" t="s">
        <v>12</v>
      </c>
      <c r="AA16" s="249"/>
      <c r="AB16" s="52" t="s">
        <v>12</v>
      </c>
      <c r="AC16" s="52" t="s">
        <v>12</v>
      </c>
      <c r="AD16" s="249" t="s">
        <v>12</v>
      </c>
      <c r="AE16" s="249"/>
      <c r="AF16" s="249"/>
      <c r="AG16" s="249" t="s">
        <v>12</v>
      </c>
      <c r="AH16" s="374"/>
      <c r="AI16" s="39"/>
      <c r="AJ16" s="39"/>
    </row>
    <row r="17" spans="1:36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>
        <v>74319</v>
      </c>
      <c r="I17" s="53"/>
      <c r="J17" s="53"/>
      <c r="K17" s="53"/>
      <c r="L17" s="53"/>
      <c r="M17" s="53"/>
      <c r="N17" s="53">
        <v>2232</v>
      </c>
      <c r="O17" s="140">
        <f t="shared" si="0"/>
        <v>6.76959784704593E-2</v>
      </c>
      <c r="P17" s="53">
        <v>7078</v>
      </c>
      <c r="Q17" s="105">
        <v>0.84</v>
      </c>
      <c r="R17" s="105">
        <v>0.16</v>
      </c>
      <c r="S17" s="105"/>
      <c r="T17" s="105"/>
      <c r="U17" s="105"/>
      <c r="V17" s="53">
        <v>66</v>
      </c>
      <c r="W17" s="105">
        <v>0.52</v>
      </c>
      <c r="X17" s="98">
        <v>0.48</v>
      </c>
      <c r="Y17" s="98"/>
      <c r="Z17" s="98" t="s">
        <v>12</v>
      </c>
      <c r="AA17" s="98"/>
      <c r="AB17" s="52" t="s">
        <v>12</v>
      </c>
      <c r="AC17" s="52" t="s">
        <v>12</v>
      </c>
      <c r="AD17" s="249" t="s">
        <v>12</v>
      </c>
      <c r="AE17" s="249"/>
      <c r="AF17" s="249"/>
      <c r="AG17" s="249" t="s">
        <v>12</v>
      </c>
      <c r="AH17" s="374"/>
      <c r="AI17" s="39"/>
      <c r="AJ17" s="39"/>
    </row>
    <row r="18" spans="1:36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>
        <v>74765</v>
      </c>
      <c r="I18" s="53"/>
      <c r="J18" s="53"/>
      <c r="K18" s="53"/>
      <c r="L18" s="53"/>
      <c r="M18" s="53"/>
      <c r="N18" s="53">
        <v>446</v>
      </c>
      <c r="O18" s="140">
        <f t="shared" si="0"/>
        <v>6.0199948869064442E-2</v>
      </c>
      <c r="P18" s="53">
        <v>4413</v>
      </c>
      <c r="Q18" s="105">
        <v>0.75</v>
      </c>
      <c r="R18" s="105">
        <v>0.25</v>
      </c>
      <c r="S18" s="105"/>
      <c r="T18" s="105"/>
      <c r="U18" s="105"/>
      <c r="V18" s="53">
        <v>1718</v>
      </c>
      <c r="W18" s="105">
        <v>0.3</v>
      </c>
      <c r="X18" s="98">
        <v>0.7</v>
      </c>
      <c r="Y18" s="98"/>
      <c r="Z18" s="98"/>
      <c r="AA18" s="98"/>
      <c r="AB18" s="52" t="s">
        <v>12</v>
      </c>
      <c r="AC18" s="52" t="s">
        <v>12</v>
      </c>
      <c r="AD18" s="249" t="s">
        <v>12</v>
      </c>
      <c r="AE18" s="249"/>
      <c r="AF18" s="249"/>
      <c r="AG18" s="249" t="s">
        <v>12</v>
      </c>
      <c r="AH18" s="374"/>
      <c r="AI18" s="39"/>
      <c r="AJ18" s="142"/>
    </row>
    <row r="19" spans="1:36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>
        <v>77513</v>
      </c>
      <c r="I19" s="146"/>
      <c r="J19" s="146"/>
      <c r="K19" s="146"/>
      <c r="L19" s="146"/>
      <c r="M19" s="146"/>
      <c r="N19" s="146">
        <v>2748</v>
      </c>
      <c r="O19" s="140">
        <f t="shared" si="0"/>
        <v>6.5685815555406937E-2</v>
      </c>
      <c r="P19" s="146">
        <v>6929</v>
      </c>
      <c r="Q19" s="147">
        <v>0.72</v>
      </c>
      <c r="R19" s="147">
        <v>0.28000000000000003</v>
      </c>
      <c r="S19" s="147"/>
      <c r="T19" s="147"/>
      <c r="U19" s="147"/>
      <c r="V19" s="146">
        <v>1168</v>
      </c>
      <c r="W19" s="147">
        <v>0.63</v>
      </c>
      <c r="X19" s="250">
        <v>0.37</v>
      </c>
      <c r="Y19" s="250"/>
      <c r="Z19" s="250"/>
      <c r="AA19" s="250"/>
      <c r="AB19" s="52" t="s">
        <v>12</v>
      </c>
      <c r="AC19" s="52" t="s">
        <v>12</v>
      </c>
      <c r="AD19" s="249" t="s">
        <v>12</v>
      </c>
      <c r="AE19" s="249"/>
      <c r="AF19" s="249"/>
      <c r="AG19" s="249" t="s">
        <v>12</v>
      </c>
      <c r="AH19" s="374"/>
      <c r="AI19" s="39"/>
      <c r="AJ19" s="142"/>
    </row>
    <row r="20" spans="1:36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>
        <v>81843</v>
      </c>
      <c r="I20" s="146"/>
      <c r="J20" s="146"/>
      <c r="K20" s="146"/>
      <c r="L20" s="146"/>
      <c r="M20" s="146"/>
      <c r="N20" s="146">
        <v>4330</v>
      </c>
      <c r="O20" s="140">
        <f t="shared" si="0"/>
        <v>5.9293279836930578E-2</v>
      </c>
      <c r="P20" s="146">
        <v>7512</v>
      </c>
      <c r="Q20" s="147">
        <v>0.70673588924387643</v>
      </c>
      <c r="R20" s="147">
        <v>0.29326411075612357</v>
      </c>
      <c r="S20" s="147"/>
      <c r="T20" s="147"/>
      <c r="U20" s="147"/>
      <c r="V20" s="146">
        <v>1558</v>
      </c>
      <c r="W20" s="147">
        <v>0.7002567394094994</v>
      </c>
      <c r="X20" s="250">
        <v>0.2997432605905006</v>
      </c>
      <c r="Y20" s="137"/>
      <c r="Z20" s="137"/>
      <c r="AA20" s="137"/>
      <c r="AB20" s="89">
        <v>343</v>
      </c>
      <c r="AC20" s="104">
        <v>0.94169096209912539</v>
      </c>
      <c r="AD20" s="104">
        <v>5.8309037900874605E-2</v>
      </c>
      <c r="AE20" s="104"/>
      <c r="AF20" s="104"/>
      <c r="AG20" s="98" t="s">
        <v>12</v>
      </c>
      <c r="AH20" s="374"/>
      <c r="AI20" s="39"/>
      <c r="AJ20" s="142"/>
    </row>
    <row r="21" spans="1:36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>
        <v>88849</v>
      </c>
      <c r="I21" s="146"/>
      <c r="J21" s="146"/>
      <c r="K21" s="146"/>
      <c r="L21" s="146"/>
      <c r="M21" s="146"/>
      <c r="N21" s="146">
        <v>7006</v>
      </c>
      <c r="O21" s="140">
        <v>6.0933738988062508E-2</v>
      </c>
      <c r="P21" s="146">
        <v>9343</v>
      </c>
      <c r="Q21" s="147">
        <v>0.72760355346248529</v>
      </c>
      <c r="R21" s="147">
        <v>0.27239644653751471</v>
      </c>
      <c r="S21" s="147"/>
      <c r="T21" s="147"/>
      <c r="U21" s="147"/>
      <c r="V21" s="146">
        <v>2527</v>
      </c>
      <c r="W21" s="151">
        <v>0.79343094578551643</v>
      </c>
      <c r="X21" s="137">
        <v>0.20656905421448357</v>
      </c>
      <c r="Y21" s="137"/>
      <c r="Z21" s="137"/>
      <c r="AA21" s="137"/>
      <c r="AB21" s="89">
        <v>675</v>
      </c>
      <c r="AC21" s="104">
        <v>0.9555555555555556</v>
      </c>
      <c r="AD21" s="104">
        <v>4.4444444444444398E-2</v>
      </c>
      <c r="AE21" s="104"/>
      <c r="AF21" s="104"/>
      <c r="AG21" s="98"/>
      <c r="AH21" s="374"/>
      <c r="AI21" s="39"/>
      <c r="AJ21" s="142"/>
    </row>
    <row r="22" spans="1:36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6236</v>
      </c>
      <c r="H22" s="246">
        <v>92600</v>
      </c>
      <c r="I22" s="246"/>
      <c r="J22" s="246"/>
      <c r="K22" s="246"/>
      <c r="L22" s="246"/>
      <c r="M22" s="246"/>
      <c r="N22" s="246">
        <f t="shared" ref="N22:N46" si="1">H22-D22</f>
        <v>3751</v>
      </c>
      <c r="O22" s="247">
        <f>G22/D22</f>
        <v>7.0186496190165343E-2</v>
      </c>
      <c r="P22" s="246">
        <v>8900</v>
      </c>
      <c r="Q22" s="248">
        <v>0.70853932584269663</v>
      </c>
      <c r="R22" s="248">
        <v>0.29146067415730337</v>
      </c>
      <c r="S22" s="248"/>
      <c r="T22" s="248"/>
      <c r="U22" s="248"/>
      <c r="V22" s="246">
        <v>1174</v>
      </c>
      <c r="W22" s="229">
        <v>0.70783645655877347</v>
      </c>
      <c r="X22" s="228">
        <v>0.29216354344122658</v>
      </c>
      <c r="Y22" s="228"/>
      <c r="Z22" s="228"/>
      <c r="AA22" s="228"/>
      <c r="AB22" s="251">
        <v>380</v>
      </c>
      <c r="AC22" s="231">
        <v>0.97368421052631582</v>
      </c>
      <c r="AD22" s="231">
        <v>2.6315789473684209E-2</v>
      </c>
      <c r="AE22" s="231"/>
      <c r="AF22" s="231"/>
      <c r="AG22" s="265"/>
      <c r="AH22" s="374"/>
      <c r="AI22" s="39"/>
      <c r="AJ22" s="142"/>
    </row>
    <row r="23" spans="1:36" x14ac:dyDescent="0.25">
      <c r="A23" s="8"/>
      <c r="B23" s="374"/>
      <c r="C23" s="263">
        <v>44958</v>
      </c>
      <c r="D23" s="246">
        <f t="shared" ref="D23:D46" si="2">H22</f>
        <v>92600</v>
      </c>
      <c r="E23" s="246">
        <v>8068</v>
      </c>
      <c r="F23" s="246">
        <v>5491</v>
      </c>
      <c r="G23" s="258">
        <v>5763</v>
      </c>
      <c r="H23" s="246">
        <v>94790</v>
      </c>
      <c r="I23" s="246"/>
      <c r="J23" s="246"/>
      <c r="K23" s="246"/>
      <c r="L23" s="246"/>
      <c r="M23" s="246"/>
      <c r="N23" s="246">
        <f t="shared" si="1"/>
        <v>2190</v>
      </c>
      <c r="O23" s="247">
        <f>G23/D23</f>
        <v>6.2235421166306697E-2</v>
      </c>
      <c r="P23" s="246">
        <v>7248</v>
      </c>
      <c r="Q23" s="248">
        <v>0.68184326710816778</v>
      </c>
      <c r="R23" s="248">
        <v>0.31815673289183222</v>
      </c>
      <c r="S23" s="248"/>
      <c r="T23" s="248"/>
      <c r="U23" s="248"/>
      <c r="V23" s="246">
        <v>698</v>
      </c>
      <c r="W23" s="229">
        <v>0.66332378223495703</v>
      </c>
      <c r="X23" s="228">
        <v>0.33667621776504297</v>
      </c>
      <c r="Y23" s="228"/>
      <c r="Z23" s="228"/>
      <c r="AA23" s="228"/>
      <c r="AB23" s="251">
        <v>122</v>
      </c>
      <c r="AC23" s="231">
        <v>0.96721311475409832</v>
      </c>
      <c r="AD23" s="231">
        <v>3.2786885245901676E-2</v>
      </c>
      <c r="AE23" s="231"/>
      <c r="AF23" s="231"/>
      <c r="AG23" s="265"/>
      <c r="AH23" s="374"/>
      <c r="AI23" s="39"/>
      <c r="AJ23" s="142"/>
    </row>
    <row r="24" spans="1:36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6072</v>
      </c>
      <c r="H24" s="246">
        <v>97934</v>
      </c>
      <c r="I24" s="246"/>
      <c r="J24" s="246"/>
      <c r="K24" s="246"/>
      <c r="L24" s="246"/>
      <c r="M24" s="246"/>
      <c r="N24" s="246">
        <f t="shared" si="1"/>
        <v>3144</v>
      </c>
      <c r="O24" s="247">
        <f t="shared" ref="O24:O46" si="3">G24/D24</f>
        <v>6.4057390020044305E-2</v>
      </c>
      <c r="P24" s="246">
        <v>8430</v>
      </c>
      <c r="Q24" s="248">
        <v>0.66</v>
      </c>
      <c r="R24" s="248">
        <v>0.34</v>
      </c>
      <c r="S24" s="248"/>
      <c r="T24" s="248"/>
      <c r="U24" s="248"/>
      <c r="V24" s="246">
        <v>842</v>
      </c>
      <c r="W24" s="229">
        <v>0.61</v>
      </c>
      <c r="X24" s="228">
        <v>0.39</v>
      </c>
      <c r="Y24" s="228"/>
      <c r="Z24" s="228"/>
      <c r="AA24" s="228"/>
      <c r="AB24" s="251">
        <v>79</v>
      </c>
      <c r="AC24" s="231">
        <v>0.97</v>
      </c>
      <c r="AD24" s="231">
        <v>0.03</v>
      </c>
      <c r="AE24" s="231"/>
      <c r="AF24" s="231"/>
      <c r="AG24" s="265"/>
      <c r="AH24" s="374"/>
      <c r="AI24" s="39"/>
      <c r="AJ24" s="142"/>
    </row>
    <row r="25" spans="1:36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46">
        <v>105959</v>
      </c>
      <c r="I25" s="246"/>
      <c r="J25" s="246"/>
      <c r="K25" s="246"/>
      <c r="L25" s="246"/>
      <c r="M25" s="246"/>
      <c r="N25" s="246">
        <f t="shared" si="1"/>
        <v>8025</v>
      </c>
      <c r="O25" s="247">
        <f t="shared" si="3"/>
        <v>6.6167010435599485E-2</v>
      </c>
      <c r="P25" s="246">
        <v>13328</v>
      </c>
      <c r="Q25" s="248">
        <v>0.7</v>
      </c>
      <c r="R25" s="248">
        <v>0.3</v>
      </c>
      <c r="S25" s="248"/>
      <c r="T25" s="248"/>
      <c r="U25" s="248"/>
      <c r="V25" s="246">
        <v>1135</v>
      </c>
      <c r="W25" s="229">
        <v>0.63</v>
      </c>
      <c r="X25" s="228">
        <v>0.37</v>
      </c>
      <c r="Y25" s="228"/>
      <c r="Z25" s="228"/>
      <c r="AA25" s="228"/>
      <c r="AB25" s="251">
        <v>50</v>
      </c>
      <c r="AC25" s="231">
        <v>0.92</v>
      </c>
      <c r="AD25" s="231">
        <v>0.08</v>
      </c>
      <c r="AE25" s="231"/>
      <c r="AF25" s="231"/>
      <c r="AG25" s="265"/>
      <c r="AH25" s="374"/>
      <c r="AI25" s="39"/>
      <c r="AJ25" s="142"/>
    </row>
    <row r="26" spans="1:36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46">
        <v>109968</v>
      </c>
      <c r="I26" s="246"/>
      <c r="J26" s="246"/>
      <c r="K26" s="246"/>
      <c r="L26" s="246"/>
      <c r="M26" s="246"/>
      <c r="N26" s="246">
        <f t="shared" si="1"/>
        <v>4009</v>
      </c>
      <c r="O26" s="247">
        <f t="shared" si="3"/>
        <v>7.2518615690974814E-2</v>
      </c>
      <c r="P26" s="246">
        <v>10693</v>
      </c>
      <c r="Q26" s="248">
        <v>0.66</v>
      </c>
      <c r="R26" s="248">
        <v>0.34</v>
      </c>
      <c r="S26" s="248"/>
      <c r="T26" s="248"/>
      <c r="U26" s="248"/>
      <c r="V26" s="246">
        <v>913</v>
      </c>
      <c r="W26" s="229">
        <v>0.61</v>
      </c>
      <c r="X26" s="228">
        <v>0.39</v>
      </c>
      <c r="Y26" s="228"/>
      <c r="Z26" s="228"/>
      <c r="AA26" s="228"/>
      <c r="AB26" s="251">
        <v>63</v>
      </c>
      <c r="AC26" s="231">
        <v>0.92</v>
      </c>
      <c r="AD26" s="231">
        <v>0.08</v>
      </c>
      <c r="AE26" s="231"/>
      <c r="AF26" s="231"/>
      <c r="AG26" s="265"/>
      <c r="AH26" s="374"/>
      <c r="AI26" s="39"/>
      <c r="AJ26" s="142"/>
    </row>
    <row r="27" spans="1:36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46">
        <v>116694</v>
      </c>
      <c r="I27" s="246"/>
      <c r="J27" s="246"/>
      <c r="K27" s="246"/>
      <c r="L27" s="246"/>
      <c r="M27" s="246"/>
      <c r="N27" s="246">
        <f t="shared" si="1"/>
        <v>6726</v>
      </c>
      <c r="O27" s="247">
        <f t="shared" si="3"/>
        <v>6.5564527862650948E-2</v>
      </c>
      <c r="P27" s="246">
        <v>12662</v>
      </c>
      <c r="Q27" s="248">
        <v>0.67</v>
      </c>
      <c r="R27" s="248">
        <v>0.33</v>
      </c>
      <c r="S27" s="248"/>
      <c r="T27" s="248"/>
      <c r="U27" s="248"/>
      <c r="V27" s="246">
        <v>1553</v>
      </c>
      <c r="W27" s="229">
        <v>0.42</v>
      </c>
      <c r="X27" s="228">
        <v>0.57999999999999996</v>
      </c>
      <c r="Y27" s="228"/>
      <c r="Z27" s="228"/>
      <c r="AA27" s="228"/>
      <c r="AB27" s="251">
        <v>97</v>
      </c>
      <c r="AC27" s="231">
        <v>0.97</v>
      </c>
      <c r="AD27" s="231">
        <v>0.03</v>
      </c>
      <c r="AE27" s="231"/>
      <c r="AF27" s="231"/>
      <c r="AG27" s="265"/>
      <c r="AH27" s="374"/>
      <c r="AI27" s="39"/>
      <c r="AJ27" s="142"/>
    </row>
    <row r="28" spans="1:36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46">
        <v>131596</v>
      </c>
      <c r="I28" s="246"/>
      <c r="J28" s="246"/>
      <c r="K28" s="246"/>
      <c r="L28" s="246"/>
      <c r="M28" s="246"/>
      <c r="N28" s="246">
        <f t="shared" si="1"/>
        <v>14902</v>
      </c>
      <c r="O28" s="247">
        <f t="shared" si="3"/>
        <v>6.6944315903131268E-2</v>
      </c>
      <c r="P28" s="246">
        <v>20838</v>
      </c>
      <c r="Q28" s="248">
        <v>0.7</v>
      </c>
      <c r="R28" s="248">
        <v>0.3</v>
      </c>
      <c r="S28" s="248"/>
      <c r="T28" s="248"/>
      <c r="U28" s="248"/>
      <c r="V28" s="246">
        <v>1510</v>
      </c>
      <c r="W28" s="229">
        <v>0.63</v>
      </c>
      <c r="X28" s="228">
        <v>0.37</v>
      </c>
      <c r="Y28" s="228"/>
      <c r="Z28" s="228"/>
      <c r="AA28" s="228"/>
      <c r="AB28" s="251">
        <v>63</v>
      </c>
      <c r="AC28" s="231">
        <v>0.95</v>
      </c>
      <c r="AD28" s="231">
        <v>0.05</v>
      </c>
      <c r="AE28" s="231"/>
      <c r="AF28" s="231"/>
      <c r="AG28" s="265"/>
      <c r="AH28" s="374"/>
      <c r="AI28" s="39"/>
      <c r="AJ28" s="142"/>
    </row>
    <row r="29" spans="1:36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46">
        <v>135723</v>
      </c>
      <c r="I29" s="246"/>
      <c r="J29" s="246"/>
      <c r="K29" s="246"/>
      <c r="L29" s="246"/>
      <c r="M29" s="246"/>
      <c r="N29" s="246">
        <f t="shared" si="1"/>
        <v>4127</v>
      </c>
      <c r="O29" s="247">
        <f t="shared" si="3"/>
        <v>8.0617951913432018E-2</v>
      </c>
      <c r="P29" s="246">
        <v>13518</v>
      </c>
      <c r="Q29" s="248">
        <v>0.69</v>
      </c>
      <c r="R29" s="248">
        <v>0.31</v>
      </c>
      <c r="S29" s="248"/>
      <c r="T29" s="248"/>
      <c r="U29" s="248"/>
      <c r="V29" s="246">
        <v>1100</v>
      </c>
      <c r="W29" s="228">
        <v>0.64</v>
      </c>
      <c r="X29" s="228">
        <v>0.36</v>
      </c>
      <c r="Y29" s="228"/>
      <c r="Z29" s="228"/>
      <c r="AA29" s="228"/>
      <c r="AB29" s="251">
        <v>64</v>
      </c>
      <c r="AC29" s="231">
        <v>1</v>
      </c>
      <c r="AD29" s="231">
        <v>0</v>
      </c>
      <c r="AE29" s="231"/>
      <c r="AF29" s="231"/>
      <c r="AG29" s="265"/>
      <c r="AH29" s="374"/>
      <c r="AI29" s="39"/>
      <c r="AJ29" s="142"/>
    </row>
    <row r="30" spans="1:36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20">
        <v>133491</v>
      </c>
      <c r="I30" s="221"/>
      <c r="J30" s="221"/>
      <c r="K30" s="221"/>
      <c r="L30" s="221"/>
      <c r="M30" s="221"/>
      <c r="N30" s="221">
        <f t="shared" si="1"/>
        <v>-2232</v>
      </c>
      <c r="O30" s="227">
        <f>G30/D30</f>
        <v>8.0539039072227994E-2</v>
      </c>
      <c r="P30" s="220">
        <v>7898</v>
      </c>
      <c r="Q30" s="228">
        <v>0.61</v>
      </c>
      <c r="R30" s="228">
        <v>0.39</v>
      </c>
      <c r="S30" s="228"/>
      <c r="T30" s="228"/>
      <c r="U30" s="228"/>
      <c r="V30" s="220">
        <v>719</v>
      </c>
      <c r="W30" s="228">
        <v>0.57999999999999996</v>
      </c>
      <c r="X30" s="228">
        <v>0.42</v>
      </c>
      <c r="Y30" s="228"/>
      <c r="Z30" s="228"/>
      <c r="AA30" s="228"/>
      <c r="AB30" s="251">
        <v>46</v>
      </c>
      <c r="AC30" s="231">
        <v>0.93</v>
      </c>
      <c r="AD30" s="231">
        <v>7.0000000000000007E-2</v>
      </c>
      <c r="AE30" s="231"/>
      <c r="AF30" s="231"/>
      <c r="AG30" s="265"/>
      <c r="AH30" s="374"/>
      <c r="AI30" s="39"/>
      <c r="AJ30" s="142"/>
    </row>
    <row r="31" spans="1:36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20">
        <v>133068</v>
      </c>
      <c r="I31" s="221"/>
      <c r="J31" s="221"/>
      <c r="K31" s="221"/>
      <c r="L31" s="221"/>
      <c r="M31" s="221"/>
      <c r="N31" s="221">
        <f t="shared" si="1"/>
        <v>-423</v>
      </c>
      <c r="O31" s="227">
        <f t="shared" si="3"/>
        <v>6.7420275524192635E-2</v>
      </c>
      <c r="P31" s="220">
        <v>7818</v>
      </c>
      <c r="Q31" s="228">
        <v>0.59</v>
      </c>
      <c r="R31" s="228">
        <v>0.41</v>
      </c>
      <c r="S31" s="228"/>
      <c r="T31" s="228"/>
      <c r="U31" s="228"/>
      <c r="V31" s="220">
        <v>736</v>
      </c>
      <c r="W31" s="228">
        <v>0.49</v>
      </c>
      <c r="X31" s="228">
        <v>0.51</v>
      </c>
      <c r="Y31" s="228"/>
      <c r="Z31" s="228"/>
      <c r="AA31" s="228"/>
      <c r="AB31" s="251">
        <v>32</v>
      </c>
      <c r="AC31" s="231">
        <v>0.94</v>
      </c>
      <c r="AD31" s="231">
        <v>0.06</v>
      </c>
      <c r="AE31" s="231"/>
      <c r="AF31" s="231"/>
      <c r="AG31" s="265"/>
      <c r="AH31" s="374"/>
      <c r="AI31" s="39"/>
      <c r="AJ31" s="142"/>
    </row>
    <row r="32" spans="1:36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221">
        <v>134808</v>
      </c>
      <c r="I32" s="221"/>
      <c r="J32" s="221"/>
      <c r="K32" s="221"/>
      <c r="L32" s="221"/>
      <c r="M32" s="221"/>
      <c r="N32" s="221">
        <f t="shared" si="1"/>
        <v>1740</v>
      </c>
      <c r="O32" s="227">
        <f t="shared" si="3"/>
        <v>6.8348513541948472E-2</v>
      </c>
      <c r="P32" s="220">
        <v>8559</v>
      </c>
      <c r="Q32" s="228">
        <v>0.56000000000000005</v>
      </c>
      <c r="R32" s="228">
        <v>0.44</v>
      </c>
      <c r="S32" s="228"/>
      <c r="T32" s="228"/>
      <c r="U32" s="228"/>
      <c r="V32" s="220">
        <v>2261</v>
      </c>
      <c r="W32" s="228">
        <v>0.63</v>
      </c>
      <c r="X32" s="228">
        <v>0.37</v>
      </c>
      <c r="Y32" s="228"/>
      <c r="Z32" s="228"/>
      <c r="AA32" s="228"/>
      <c r="AB32" s="251">
        <v>269</v>
      </c>
      <c r="AC32" s="231">
        <v>0.75</v>
      </c>
      <c r="AD32" s="231">
        <v>0.25</v>
      </c>
      <c r="AE32" s="231"/>
      <c r="AF32" s="231"/>
      <c r="AG32" s="265"/>
      <c r="AH32" s="374"/>
      <c r="AI32" s="39"/>
      <c r="AJ32" s="142"/>
    </row>
    <row r="33" spans="1:36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221">
        <v>141281</v>
      </c>
      <c r="I33" s="283">
        <v>0.97067599999999998</v>
      </c>
      <c r="J33" s="283">
        <v>2.9323999999999999E-2</v>
      </c>
      <c r="K33" s="283">
        <v>0.83886799999999995</v>
      </c>
      <c r="L33" s="283">
        <v>0.144398</v>
      </c>
      <c r="M33" s="283">
        <v>1.6735E-2</v>
      </c>
      <c r="N33" s="221">
        <f t="shared" si="1"/>
        <v>6473</v>
      </c>
      <c r="O33" s="227">
        <f t="shared" si="3"/>
        <v>7.6516230490772066E-2</v>
      </c>
      <c r="P33" s="220">
        <v>12908</v>
      </c>
      <c r="Q33" s="248">
        <v>0.54</v>
      </c>
      <c r="R33" s="228">
        <v>0.46</v>
      </c>
      <c r="S33" s="228"/>
      <c r="T33" s="228"/>
      <c r="U33" s="228"/>
      <c r="V33" s="220">
        <v>3018</v>
      </c>
      <c r="W33" s="228">
        <v>0.55000000000000004</v>
      </c>
      <c r="X33" s="228">
        <v>0.45</v>
      </c>
      <c r="Y33" s="228"/>
      <c r="Z33" s="228"/>
      <c r="AA33" s="228"/>
      <c r="AB33" s="251">
        <v>1021</v>
      </c>
      <c r="AC33" s="231">
        <v>0.81</v>
      </c>
      <c r="AD33" s="231">
        <v>0.19</v>
      </c>
      <c r="AE33" s="231"/>
      <c r="AF33" s="231"/>
      <c r="AG33" s="265"/>
      <c r="AH33" s="374"/>
      <c r="AI33" s="39"/>
      <c r="AJ33" s="142"/>
    </row>
    <row r="34" spans="1:36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221">
        <v>141342</v>
      </c>
      <c r="I34" s="283">
        <v>0.97501800000000005</v>
      </c>
      <c r="J34" s="283">
        <v>2.4982000000000001E-2</v>
      </c>
      <c r="K34" s="283">
        <v>0.83095799999999997</v>
      </c>
      <c r="L34" s="283">
        <v>0.15139</v>
      </c>
      <c r="M34" s="283">
        <v>1.7652999999999999E-2</v>
      </c>
      <c r="N34" s="221">
        <f t="shared" si="1"/>
        <v>61</v>
      </c>
      <c r="O34" s="227">
        <f t="shared" si="3"/>
        <v>7.9571916959817662E-2</v>
      </c>
      <c r="P34" s="220">
        <v>9258</v>
      </c>
      <c r="Q34" s="248">
        <v>0.6</v>
      </c>
      <c r="R34" s="228">
        <v>0.4</v>
      </c>
      <c r="S34" s="228"/>
      <c r="T34" s="228"/>
      <c r="U34" s="228"/>
      <c r="V34" s="220">
        <v>1140</v>
      </c>
      <c r="W34" s="228">
        <v>0.6</v>
      </c>
      <c r="X34" s="228">
        <v>0.4</v>
      </c>
      <c r="Y34" s="228"/>
      <c r="Z34" s="228"/>
      <c r="AA34" s="228"/>
      <c r="AB34" s="251">
        <v>491</v>
      </c>
      <c r="AC34" s="231">
        <v>0.8</v>
      </c>
      <c r="AD34" s="231">
        <v>0.2</v>
      </c>
      <c r="AE34" s="231"/>
      <c r="AF34" s="231"/>
      <c r="AG34" s="265"/>
      <c r="AH34" s="374"/>
      <c r="AI34" s="39"/>
      <c r="AJ34" s="142"/>
    </row>
    <row r="35" spans="1:36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221">
        <v>141146</v>
      </c>
      <c r="I35" s="283">
        <v>0.97935499999999998</v>
      </c>
      <c r="J35" s="283">
        <v>2.0645E-2</v>
      </c>
      <c r="K35" s="283">
        <v>0.82726999999999995</v>
      </c>
      <c r="L35" s="283">
        <v>0.15479999999999999</v>
      </c>
      <c r="M35" s="283">
        <v>1.7930000000000001E-2</v>
      </c>
      <c r="N35" s="221">
        <f t="shared" si="1"/>
        <v>-196</v>
      </c>
      <c r="O35" s="227">
        <f t="shared" si="3"/>
        <v>6.4290868956148911E-2</v>
      </c>
      <c r="P35" s="220">
        <v>7963</v>
      </c>
      <c r="Q35" s="248">
        <v>0.53</v>
      </c>
      <c r="R35" s="228">
        <v>0.47</v>
      </c>
      <c r="S35" s="228"/>
      <c r="T35" s="228"/>
      <c r="U35" s="228"/>
      <c r="V35" s="220">
        <v>728</v>
      </c>
      <c r="W35" s="228">
        <v>0.51</v>
      </c>
      <c r="X35" s="228">
        <v>0.49</v>
      </c>
      <c r="Y35" s="228"/>
      <c r="Z35" s="228"/>
      <c r="AA35" s="228"/>
      <c r="AB35" s="251">
        <v>167</v>
      </c>
      <c r="AC35" s="231">
        <v>0.76</v>
      </c>
      <c r="AD35" s="231">
        <v>0.24</v>
      </c>
      <c r="AE35" s="231"/>
      <c r="AF35" s="231"/>
      <c r="AG35" s="265"/>
      <c r="AH35" s="374"/>
      <c r="AI35" s="39"/>
      <c r="AJ35" s="142"/>
    </row>
    <row r="36" spans="1:36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221">
        <v>148170</v>
      </c>
      <c r="I36" s="283">
        <v>0.971383</v>
      </c>
      <c r="J36" s="283">
        <v>2.8617E-2</v>
      </c>
      <c r="K36" s="283">
        <v>0.82951799999999998</v>
      </c>
      <c r="L36" s="283">
        <v>0.152839</v>
      </c>
      <c r="M36" s="283">
        <v>1.7644E-2</v>
      </c>
      <c r="N36" s="221">
        <f t="shared" si="1"/>
        <v>7024</v>
      </c>
      <c r="O36" s="227">
        <f t="shared" si="3"/>
        <v>5.8946055857055812E-2</v>
      </c>
      <c r="P36" s="220">
        <v>14217</v>
      </c>
      <c r="Q36" s="248">
        <v>0.55000000000000004</v>
      </c>
      <c r="R36" s="228">
        <v>0.45</v>
      </c>
      <c r="S36" s="228"/>
      <c r="T36" s="228"/>
      <c r="U36" s="228"/>
      <c r="V36" s="220">
        <v>1018</v>
      </c>
      <c r="W36" s="228">
        <v>0.55000000000000004</v>
      </c>
      <c r="X36" s="228">
        <v>0.45</v>
      </c>
      <c r="Y36" s="228"/>
      <c r="Z36" s="228"/>
      <c r="AA36" s="228"/>
      <c r="AB36" s="251">
        <v>147</v>
      </c>
      <c r="AC36" s="231">
        <v>0.7</v>
      </c>
      <c r="AD36" s="231">
        <v>0.3</v>
      </c>
      <c r="AE36" s="231"/>
      <c r="AF36" s="231"/>
      <c r="AG36" s="265"/>
      <c r="AH36" s="374"/>
      <c r="AI36" s="39"/>
      <c r="AJ36" s="142"/>
    </row>
    <row r="37" spans="1:36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221">
        <v>146190</v>
      </c>
      <c r="I37" s="283">
        <v>0.97840099999999997</v>
      </c>
      <c r="J37" s="283">
        <v>2.1599E-2</v>
      </c>
      <c r="K37" s="283">
        <v>0.82439300000000004</v>
      </c>
      <c r="L37" s="283">
        <v>0.157559</v>
      </c>
      <c r="M37" s="283">
        <v>1.8048000000000002E-2</v>
      </c>
      <c r="N37" s="221">
        <f t="shared" si="1"/>
        <v>-1980</v>
      </c>
      <c r="O37" s="227">
        <f t="shared" si="3"/>
        <v>7.0554093271242485E-2</v>
      </c>
      <c r="P37" s="220">
        <v>7666</v>
      </c>
      <c r="Q37" s="248">
        <v>0.51</v>
      </c>
      <c r="R37" s="228">
        <v>0.49</v>
      </c>
      <c r="S37" s="228"/>
      <c r="T37" s="228"/>
      <c r="U37" s="228"/>
      <c r="V37" s="220">
        <v>715</v>
      </c>
      <c r="W37" s="228">
        <v>0.54</v>
      </c>
      <c r="X37" s="228">
        <v>0.46</v>
      </c>
      <c r="Y37" s="228"/>
      <c r="Z37" s="228"/>
      <c r="AA37" s="228"/>
      <c r="AB37" s="251">
        <v>71</v>
      </c>
      <c r="AC37" s="231">
        <v>0.73</v>
      </c>
      <c r="AD37" s="231">
        <v>0.27</v>
      </c>
      <c r="AE37" s="231"/>
      <c r="AF37" s="231"/>
      <c r="AG37" s="265"/>
      <c r="AH37" s="374"/>
      <c r="AI37" s="39"/>
      <c r="AJ37" s="142"/>
    </row>
    <row r="38" spans="1:36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221">
        <v>148338</v>
      </c>
      <c r="I38" s="283">
        <v>0.97754300000000005</v>
      </c>
      <c r="J38" s="283">
        <v>2.2457000000000001E-2</v>
      </c>
      <c r="K38" s="283">
        <v>0.81722899999999998</v>
      </c>
      <c r="L38" s="283">
        <v>0.16308800000000001</v>
      </c>
      <c r="M38" s="283">
        <v>1.9682999999999999E-2</v>
      </c>
      <c r="N38" s="221">
        <f t="shared" si="1"/>
        <v>2148</v>
      </c>
      <c r="O38" s="227">
        <f t="shared" si="3"/>
        <v>6.185785621451536E-2</v>
      </c>
      <c r="P38" s="220">
        <v>9346</v>
      </c>
      <c r="Q38" s="248">
        <v>0.49</v>
      </c>
      <c r="R38" s="228">
        <v>0.51</v>
      </c>
      <c r="S38" s="228"/>
      <c r="T38" s="228"/>
      <c r="U38" s="228"/>
      <c r="V38" s="220">
        <v>1585</v>
      </c>
      <c r="W38" s="228">
        <v>0.5</v>
      </c>
      <c r="X38" s="228">
        <v>0.5</v>
      </c>
      <c r="Y38" s="228"/>
      <c r="Z38" s="228"/>
      <c r="AA38" s="228"/>
      <c r="AB38" s="251">
        <v>343</v>
      </c>
      <c r="AC38" s="231">
        <v>0.87</v>
      </c>
      <c r="AD38" s="231">
        <v>0.13</v>
      </c>
      <c r="AE38" s="231"/>
      <c r="AF38" s="231"/>
      <c r="AG38" s="265"/>
      <c r="AH38" s="374"/>
      <c r="AI38" s="39"/>
      <c r="AJ38" s="142"/>
    </row>
    <row r="39" spans="1:36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221">
        <v>153776</v>
      </c>
      <c r="I39" s="283">
        <v>0.97711499999999996</v>
      </c>
      <c r="J39" s="283">
        <v>2.2884999999999999E-2</v>
      </c>
      <c r="K39" s="283">
        <v>0.81504799999999999</v>
      </c>
      <c r="L39" s="283">
        <v>0.16428999999999999</v>
      </c>
      <c r="M39" s="283">
        <v>2.0660999999999999E-2</v>
      </c>
      <c r="N39" s="221">
        <f t="shared" si="1"/>
        <v>5438</v>
      </c>
      <c r="O39" s="227">
        <f t="shared" si="3"/>
        <v>5.898690827704297E-2</v>
      </c>
      <c r="P39" s="220">
        <v>12438</v>
      </c>
      <c r="Q39" s="248">
        <v>0.51</v>
      </c>
      <c r="R39" s="228">
        <v>0.49</v>
      </c>
      <c r="S39" s="228"/>
      <c r="T39" s="228"/>
      <c r="U39" s="228"/>
      <c r="V39" s="220">
        <v>1383</v>
      </c>
      <c r="W39" s="228">
        <v>0.54</v>
      </c>
      <c r="X39" s="228">
        <v>0.46</v>
      </c>
      <c r="Y39" s="228"/>
      <c r="Z39" s="228"/>
      <c r="AA39" s="228"/>
      <c r="AB39" s="251">
        <v>364</v>
      </c>
      <c r="AC39" s="231">
        <v>0.87</v>
      </c>
      <c r="AD39" s="231">
        <v>0.13</v>
      </c>
      <c r="AE39" s="231"/>
      <c r="AF39" s="231"/>
      <c r="AG39" s="265"/>
      <c r="AH39" s="374"/>
      <c r="AI39" s="39"/>
      <c r="AJ39" s="142"/>
    </row>
    <row r="40" spans="1:36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221">
        <v>163788</v>
      </c>
      <c r="I40" s="283">
        <v>0.97236800000000001</v>
      </c>
      <c r="J40" s="283">
        <v>2.7632E-2</v>
      </c>
      <c r="K40" s="283">
        <v>0.81965100000000002</v>
      </c>
      <c r="L40" s="283">
        <v>0.16039900000000001</v>
      </c>
      <c r="M40" s="283">
        <v>1.9949999999999999E-2</v>
      </c>
      <c r="N40" s="221">
        <f t="shared" si="1"/>
        <v>10012</v>
      </c>
      <c r="O40" s="227">
        <f t="shared" si="3"/>
        <v>6.2688585995213819E-2</v>
      </c>
      <c r="P40" s="220">
        <v>18041</v>
      </c>
      <c r="Q40" s="248">
        <v>0.55000000000000004</v>
      </c>
      <c r="R40" s="228">
        <v>0.45</v>
      </c>
      <c r="S40" s="228"/>
      <c r="T40" s="228"/>
      <c r="U40" s="228"/>
      <c r="V40" s="220">
        <v>1463</v>
      </c>
      <c r="W40" s="228">
        <v>0.53</v>
      </c>
      <c r="X40" s="228">
        <v>0.47</v>
      </c>
      <c r="Y40" s="228"/>
      <c r="Z40" s="228"/>
      <c r="AA40" s="228"/>
      <c r="AB40" s="251">
        <v>143</v>
      </c>
      <c r="AC40" s="231">
        <v>0.77</v>
      </c>
      <c r="AD40" s="231">
        <v>0.23</v>
      </c>
      <c r="AE40" s="231"/>
      <c r="AF40" s="231"/>
      <c r="AG40" s="265"/>
      <c r="AH40" s="374"/>
      <c r="AI40" s="39"/>
      <c r="AJ40" s="142"/>
    </row>
    <row r="41" spans="1:36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221">
        <v>169893</v>
      </c>
      <c r="I41" s="283">
        <v>0.968696</v>
      </c>
      <c r="J41" s="283">
        <v>3.1303999999999998E-2</v>
      </c>
      <c r="K41" s="283">
        <v>0.81940100000000005</v>
      </c>
      <c r="L41" s="283">
        <v>0.16114500000000001</v>
      </c>
      <c r="M41" s="283">
        <v>1.9455E-2</v>
      </c>
      <c r="N41" s="221">
        <f t="shared" si="1"/>
        <v>6105</v>
      </c>
      <c r="O41" s="227">
        <f t="shared" si="3"/>
        <v>7.2349622682980438E-2</v>
      </c>
      <c r="P41" s="220">
        <v>16367</v>
      </c>
      <c r="Q41" s="248">
        <v>0.57999999999999996</v>
      </c>
      <c r="R41" s="228">
        <v>0.42</v>
      </c>
      <c r="S41" s="228"/>
      <c r="T41" s="228"/>
      <c r="U41" s="228"/>
      <c r="V41" s="220">
        <v>1502</v>
      </c>
      <c r="W41" s="228">
        <v>0.56000000000000005</v>
      </c>
      <c r="X41" s="228">
        <v>0.44</v>
      </c>
      <c r="Y41" s="228"/>
      <c r="Z41" s="228"/>
      <c r="AA41" s="228"/>
      <c r="AB41" s="251">
        <v>100</v>
      </c>
      <c r="AC41" s="231">
        <v>0.88</v>
      </c>
      <c r="AD41" s="231">
        <v>0.12</v>
      </c>
      <c r="AE41" s="231"/>
      <c r="AF41" s="231"/>
      <c r="AG41" s="265"/>
      <c r="AH41" s="374"/>
      <c r="AI41" s="39"/>
      <c r="AJ41" s="142"/>
    </row>
    <row r="42" spans="1:36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221">
        <v>168212</v>
      </c>
      <c r="I42" s="283">
        <v>0.97766299999999995</v>
      </c>
      <c r="J42" s="283">
        <v>2.2336999999999999E-2</v>
      </c>
      <c r="K42" s="283">
        <v>0.81282900000000002</v>
      </c>
      <c r="L42" s="283">
        <v>0.16733700000000001</v>
      </c>
      <c r="M42" s="283">
        <v>1.9834000000000001E-2</v>
      </c>
      <c r="N42" s="221">
        <f t="shared" si="1"/>
        <v>-1681</v>
      </c>
      <c r="O42" s="227">
        <f t="shared" si="3"/>
        <v>7.5594638978651263E-2</v>
      </c>
      <c r="P42" s="220">
        <v>9943</v>
      </c>
      <c r="Q42" s="264">
        <v>0.53967620000000005</v>
      </c>
      <c r="R42" s="228">
        <v>0.46032380000000001</v>
      </c>
      <c r="S42" s="286">
        <v>0.98140000000000005</v>
      </c>
      <c r="T42" s="286">
        <v>1.7299999999999999E-2</v>
      </c>
      <c r="U42" s="286">
        <v>1.2999999999999999E-3</v>
      </c>
      <c r="V42" s="220">
        <v>1090</v>
      </c>
      <c r="W42" s="228">
        <v>0.58348619999999995</v>
      </c>
      <c r="X42" s="228">
        <v>0.41651379999999999</v>
      </c>
      <c r="Y42" s="286">
        <v>0.75990000000000002</v>
      </c>
      <c r="Z42" s="286">
        <v>0.2225</v>
      </c>
      <c r="AA42" s="286">
        <v>1.7600000000000001E-2</v>
      </c>
      <c r="AB42" s="251">
        <v>76</v>
      </c>
      <c r="AC42" s="231">
        <v>0.81579999999999997</v>
      </c>
      <c r="AD42" s="231">
        <v>0.1842</v>
      </c>
      <c r="AE42" s="227">
        <v>0.35709999999999997</v>
      </c>
      <c r="AF42" s="227">
        <v>0</v>
      </c>
      <c r="AG42" s="287">
        <v>0.64290000000000003</v>
      </c>
      <c r="AH42" s="374"/>
      <c r="AI42" s="39"/>
      <c r="AJ42" s="142"/>
    </row>
    <row r="43" spans="1:36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221">
        <v>168382</v>
      </c>
      <c r="I43" s="283">
        <v>0.97520099999999998</v>
      </c>
      <c r="J43" s="283">
        <v>2.4799000000000002E-2</v>
      </c>
      <c r="K43" s="283">
        <v>0.81025100000000005</v>
      </c>
      <c r="L43" s="283">
        <v>0.16966100000000001</v>
      </c>
      <c r="M43" s="283">
        <v>2.0088000000000002E-2</v>
      </c>
      <c r="N43" s="221">
        <f t="shared" si="1"/>
        <v>170</v>
      </c>
      <c r="O43" s="227">
        <f t="shared" si="3"/>
        <v>6.2849261646018117E-2</v>
      </c>
      <c r="P43" s="246">
        <v>9699</v>
      </c>
      <c r="Q43" s="264">
        <v>0.49690000000000001</v>
      </c>
      <c r="R43" s="228">
        <v>0.50309999999999999</v>
      </c>
      <c r="S43" s="286">
        <v>0.98629999999999995</v>
      </c>
      <c r="T43" s="286">
        <v>1.2699999999999999E-2</v>
      </c>
      <c r="U43" s="286">
        <v>1E-3</v>
      </c>
      <c r="V43" s="220">
        <v>936</v>
      </c>
      <c r="W43" s="228">
        <v>0.53420000000000001</v>
      </c>
      <c r="X43" s="228">
        <v>0.46579999999999999</v>
      </c>
      <c r="Y43" s="286">
        <v>0.76149999999999995</v>
      </c>
      <c r="Z43" s="286">
        <v>0.21329999999999999</v>
      </c>
      <c r="AA43" s="286">
        <v>2.52E-2</v>
      </c>
      <c r="AB43" s="251">
        <v>81</v>
      </c>
      <c r="AC43" s="231">
        <v>0.80249999999999999</v>
      </c>
      <c r="AD43" s="231">
        <v>0.19750000000000001</v>
      </c>
      <c r="AE43" s="227">
        <v>0.4375</v>
      </c>
      <c r="AF43" s="227">
        <v>0.1875</v>
      </c>
      <c r="AG43" s="227">
        <v>0.375</v>
      </c>
      <c r="AH43" s="374"/>
      <c r="AI43" s="39"/>
      <c r="AJ43" s="142"/>
    </row>
    <row r="44" spans="1:36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221">
        <v>173953</v>
      </c>
      <c r="I44" s="283">
        <v>0.95819100000000001</v>
      </c>
      <c r="J44" s="283">
        <v>4.1808999999999999E-2</v>
      </c>
      <c r="K44" s="283">
        <v>0.79529700000000003</v>
      </c>
      <c r="L44" s="283">
        <v>0.18528800000000001</v>
      </c>
      <c r="M44" s="283">
        <v>1.9415000000000002E-2</v>
      </c>
      <c r="N44" s="221">
        <f t="shared" si="1"/>
        <v>5571</v>
      </c>
      <c r="O44" s="227">
        <f t="shared" si="3"/>
        <v>6.5719613735434904E-2</v>
      </c>
      <c r="P44" s="246">
        <v>12913</v>
      </c>
      <c r="Q44" s="264">
        <v>0.49170000000000003</v>
      </c>
      <c r="R44" s="228">
        <v>0.50829999999999997</v>
      </c>
      <c r="S44" s="286">
        <v>0.98219999999999996</v>
      </c>
      <c r="T44" s="286">
        <v>1.6E-2</v>
      </c>
      <c r="U44" s="286">
        <v>1.8E-3</v>
      </c>
      <c r="V44" s="220">
        <v>4818</v>
      </c>
      <c r="W44" s="228">
        <v>0.48609999999999998</v>
      </c>
      <c r="X44" s="228">
        <v>0.51390000000000002</v>
      </c>
      <c r="Y44" s="286">
        <v>0.84809999999999997</v>
      </c>
      <c r="Z44" s="286">
        <v>0.12280000000000001</v>
      </c>
      <c r="AA44" s="286">
        <v>2.9100000000000001E-2</v>
      </c>
      <c r="AB44" s="251">
        <v>222</v>
      </c>
      <c r="AC44" s="231">
        <v>0.81079999999999997</v>
      </c>
      <c r="AD44" s="231">
        <v>0.18920000000000001</v>
      </c>
      <c r="AE44" s="227">
        <v>0.23810000000000001</v>
      </c>
      <c r="AF44" s="227">
        <v>0.1905</v>
      </c>
      <c r="AG44" s="227">
        <v>0.57140000000000002</v>
      </c>
      <c r="AH44" s="374"/>
      <c r="AI44" s="39"/>
      <c r="AJ44" s="142"/>
    </row>
    <row r="45" spans="1:36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221">
        <v>183650</v>
      </c>
      <c r="I45" s="283">
        <v>0.96486300000000003</v>
      </c>
      <c r="J45" s="283">
        <v>3.5137000000000002E-2</v>
      </c>
      <c r="K45" s="283">
        <v>0.750027</v>
      </c>
      <c r="L45" s="283">
        <v>0.224602</v>
      </c>
      <c r="M45" s="283">
        <v>2.5371000000000001E-2</v>
      </c>
      <c r="N45" s="221">
        <f t="shared" si="1"/>
        <v>9697</v>
      </c>
      <c r="O45" s="227">
        <f t="shared" si="3"/>
        <v>0.10008450558484189</v>
      </c>
      <c r="P45" s="246">
        <v>13575</v>
      </c>
      <c r="Q45" s="264">
        <v>0.48409999999999997</v>
      </c>
      <c r="R45" s="228">
        <v>0.51590000000000003</v>
      </c>
      <c r="S45" s="286">
        <v>0.9899</v>
      </c>
      <c r="T45" s="286">
        <v>8.6999999999999994E-3</v>
      </c>
      <c r="U45" s="286">
        <v>1.4E-3</v>
      </c>
      <c r="V45" s="220">
        <v>11089</v>
      </c>
      <c r="W45" s="228">
        <v>0.51390000000000002</v>
      </c>
      <c r="X45" s="228">
        <v>0.48609999999999998</v>
      </c>
      <c r="Y45" s="286">
        <v>0.87760000000000005</v>
      </c>
      <c r="Z45" s="286">
        <v>9.4200000000000006E-2</v>
      </c>
      <c r="AA45" s="286">
        <v>2.8199999999999999E-2</v>
      </c>
      <c r="AB45" s="251">
        <v>2224</v>
      </c>
      <c r="AC45" s="231">
        <v>0.79990000000000006</v>
      </c>
      <c r="AD45" s="231">
        <v>0.2001</v>
      </c>
      <c r="AE45" s="227">
        <v>0.28539999999999999</v>
      </c>
      <c r="AF45" s="227">
        <v>0.31909999999999999</v>
      </c>
      <c r="AG45" s="227">
        <v>0.39550000000000002</v>
      </c>
      <c r="AH45" s="374"/>
      <c r="AI45" s="39"/>
      <c r="AJ45" s="142"/>
    </row>
    <row r="46" spans="1:36" x14ac:dyDescent="0.25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221">
        <v>181824</v>
      </c>
      <c r="I46" s="283">
        <v>0.97738400000000003</v>
      </c>
      <c r="J46" s="283">
        <v>2.2616000000000001E-2</v>
      </c>
      <c r="K46" s="283">
        <v>0.73696200000000001</v>
      </c>
      <c r="L46" s="283">
        <v>0.23433999999999999</v>
      </c>
      <c r="M46" s="283">
        <v>2.8698000000000001E-2</v>
      </c>
      <c r="N46" s="221">
        <f t="shared" si="1"/>
        <v>-1826</v>
      </c>
      <c r="O46" s="227">
        <f t="shared" si="3"/>
        <v>8.151374897903621E-2</v>
      </c>
      <c r="P46" s="246">
        <v>9454</v>
      </c>
      <c r="Q46" s="288">
        <v>0.49280000000000002</v>
      </c>
      <c r="R46" s="228">
        <v>0.50719999999999998</v>
      </c>
      <c r="S46" s="286">
        <v>0.97640000000000005</v>
      </c>
      <c r="T46" s="286">
        <v>1.9800000000000002E-2</v>
      </c>
      <c r="U46" s="286">
        <v>3.8E-3</v>
      </c>
      <c r="V46" s="220">
        <v>1567</v>
      </c>
      <c r="W46" s="228">
        <v>0.48120000000000002</v>
      </c>
      <c r="X46" s="228">
        <v>0.51880000000000004</v>
      </c>
      <c r="Y46" s="286">
        <v>0.67900000000000005</v>
      </c>
      <c r="Z46" s="286">
        <v>0.2485</v>
      </c>
      <c r="AA46" s="286">
        <v>7.2599999999999998E-2</v>
      </c>
      <c r="AB46" s="251">
        <v>1043</v>
      </c>
      <c r="AC46" s="231">
        <v>0.71519999999999995</v>
      </c>
      <c r="AD46" s="231">
        <v>0.2848</v>
      </c>
      <c r="AE46" s="227">
        <v>0.16500000000000001</v>
      </c>
      <c r="AF46" s="227">
        <v>0.28620000000000001</v>
      </c>
      <c r="AG46" s="227">
        <v>0.54879999999999995</v>
      </c>
      <c r="AH46" s="374"/>
      <c r="AI46" s="39"/>
      <c r="AJ46" s="142"/>
    </row>
    <row r="47" spans="1:36" ht="15.75" thickBot="1" x14ac:dyDescent="0.3">
      <c r="B47" s="375"/>
      <c r="C47" s="88" t="s">
        <v>78</v>
      </c>
      <c r="D47" s="135"/>
      <c r="E47" s="135">
        <f>SUM(E5:E46)</f>
        <v>473153</v>
      </c>
      <c r="F47" s="135">
        <f>SUM(F5:F46)</f>
        <v>312345.52</v>
      </c>
      <c r="G47" s="135">
        <f>SUM(G5:G46)</f>
        <v>290627</v>
      </c>
      <c r="H47" s="135"/>
      <c r="I47" s="136"/>
      <c r="J47" s="136"/>
      <c r="K47" s="136"/>
      <c r="L47" s="136"/>
      <c r="M47" s="136"/>
      <c r="N47" s="136"/>
      <c r="O47" s="136"/>
      <c r="P47" s="272">
        <f>SUM(P5:P46)</f>
        <v>415367</v>
      </c>
      <c r="R47" s="136"/>
      <c r="S47" s="136"/>
      <c r="T47" s="136"/>
      <c r="U47" s="136"/>
      <c r="V47" s="135">
        <f>SUM(V17:V46)</f>
        <v>51730</v>
      </c>
      <c r="W47" s="135"/>
      <c r="X47" s="136"/>
      <c r="Y47" s="136"/>
      <c r="Z47" s="136"/>
      <c r="AA47" s="136"/>
      <c r="AB47" s="113">
        <f>SUM(AB20:AB46)</f>
        <v>8776</v>
      </c>
      <c r="AC47" s="93"/>
      <c r="AD47" s="93"/>
      <c r="AE47" s="93"/>
      <c r="AF47" s="93"/>
      <c r="AG47" s="157"/>
      <c r="AH47" s="375"/>
      <c r="AI47" s="8"/>
      <c r="AJ47" s="142"/>
    </row>
    <row r="48" spans="1:36" ht="15.75" thickBot="1" x14ac:dyDescent="0.3">
      <c r="C48" s="224"/>
      <c r="D48" s="25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238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J48" s="142"/>
    </row>
    <row r="49" spans="2:36" x14ac:dyDescent="0.25">
      <c r="B49" s="381" t="s">
        <v>13</v>
      </c>
      <c r="C49" s="94"/>
      <c r="D49" s="48" t="s">
        <v>191</v>
      </c>
      <c r="E49" s="48" t="s">
        <v>15</v>
      </c>
      <c r="F49" s="48" t="s">
        <v>192</v>
      </c>
      <c r="G49" s="48" t="s">
        <v>193</v>
      </c>
      <c r="H49" s="48" t="s">
        <v>18</v>
      </c>
      <c r="I49" s="94"/>
      <c r="J49" s="94"/>
      <c r="K49" s="94"/>
      <c r="L49" s="94"/>
      <c r="M49" s="94"/>
      <c r="N49" s="94"/>
      <c r="O49" s="116"/>
      <c r="P49" s="116"/>
      <c r="Q49" s="47"/>
      <c r="R49" s="94"/>
      <c r="S49" s="94"/>
      <c r="T49" s="94"/>
      <c r="U49" s="94"/>
      <c r="V49" s="94"/>
      <c r="W49" s="94"/>
      <c r="AB49" s="94"/>
      <c r="AC49" s="94"/>
      <c r="AD49" s="94"/>
      <c r="AE49" s="94"/>
      <c r="AF49" s="94"/>
      <c r="AG49" s="49"/>
      <c r="AH49" s="373" t="s">
        <v>19</v>
      </c>
      <c r="AJ49" s="142"/>
    </row>
    <row r="50" spans="2:36" x14ac:dyDescent="0.25">
      <c r="B50" s="382"/>
      <c r="C50" s="156" t="s">
        <v>20</v>
      </c>
      <c r="D50" s="47"/>
      <c r="E50" s="47"/>
      <c r="F50" s="47"/>
      <c r="G50" s="260"/>
      <c r="M50" s="289"/>
      <c r="N50" s="154"/>
      <c r="O50" s="8"/>
      <c r="R50" s="254"/>
      <c r="S50" s="254"/>
      <c r="T50" s="254"/>
      <c r="U50" s="254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12"/>
      <c r="AH50" s="374"/>
      <c r="AJ50" s="8"/>
    </row>
    <row r="51" spans="2:36" x14ac:dyDescent="0.25">
      <c r="B51" s="382"/>
      <c r="C51" s="47" t="s">
        <v>21</v>
      </c>
      <c r="D51" s="160">
        <v>0.502</v>
      </c>
      <c r="E51" s="160">
        <v>0.44700000000000001</v>
      </c>
      <c r="F51" s="14">
        <f>D51/E51</f>
        <v>1.1230425055928412</v>
      </c>
      <c r="G51" s="160">
        <v>0.57199999999999995</v>
      </c>
      <c r="H51" s="14">
        <f>E51/G51</f>
        <v>0.78146853146853157</v>
      </c>
      <c r="I51" s="14"/>
      <c r="J51" s="14"/>
      <c r="K51" s="14"/>
      <c r="L51" s="14"/>
      <c r="M51" s="14"/>
      <c r="N51" s="253"/>
      <c r="O51" s="73"/>
      <c r="P51" s="158"/>
      <c r="Q51" s="158"/>
      <c r="R51" s="14"/>
      <c r="S51" s="14"/>
      <c r="T51" s="14"/>
      <c r="U51" s="14"/>
      <c r="V51" s="47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5"/>
      <c r="AH51" s="374"/>
      <c r="AJ51" s="8"/>
    </row>
    <row r="52" spans="2:36" x14ac:dyDescent="0.25">
      <c r="B52" s="382"/>
      <c r="C52" s="47" t="s">
        <v>22</v>
      </c>
      <c r="D52" s="160">
        <v>0.498</v>
      </c>
      <c r="E52" s="160">
        <v>0.55300000000000005</v>
      </c>
      <c r="F52" s="14">
        <f>D52/E52</f>
        <v>0.90054249547920429</v>
      </c>
      <c r="G52" s="160">
        <v>0.42799999999999999</v>
      </c>
      <c r="H52" s="14">
        <f t="shared" ref="H52:H69" si="4">E52/G52</f>
        <v>1.2920560747663552</v>
      </c>
      <c r="I52" s="14"/>
      <c r="J52" s="14"/>
      <c r="K52" s="14"/>
      <c r="L52" s="14"/>
      <c r="M52" s="14"/>
      <c r="N52" s="149"/>
      <c r="O52" s="73"/>
      <c r="P52" s="158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5"/>
      <c r="AH52" s="374"/>
    </row>
    <row r="53" spans="2:36" x14ac:dyDescent="0.25">
      <c r="B53" s="382"/>
      <c r="D53" s="190"/>
      <c r="E53" s="190"/>
      <c r="F53" s="14"/>
      <c r="G53" s="160"/>
      <c r="H53" s="14"/>
      <c r="I53" s="170"/>
      <c r="J53" s="170"/>
      <c r="K53" s="170"/>
      <c r="L53" s="170"/>
      <c r="M53" s="170"/>
      <c r="N53" s="149"/>
      <c r="O53" s="222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5"/>
      <c r="AH53" s="374"/>
    </row>
    <row r="54" spans="2:36" x14ac:dyDescent="0.25">
      <c r="B54" s="382"/>
      <c r="C54" s="156" t="s">
        <v>23</v>
      </c>
      <c r="D54" s="169"/>
      <c r="E54" s="169"/>
      <c r="F54" s="14"/>
      <c r="G54" s="160"/>
      <c r="H54" s="14"/>
      <c r="I54" s="170"/>
      <c r="J54" s="170"/>
      <c r="K54" s="170"/>
      <c r="L54" s="170"/>
      <c r="M54" s="170"/>
      <c r="N54" s="149"/>
      <c r="O54" s="39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5"/>
      <c r="AH54" s="374"/>
    </row>
    <row r="55" spans="2:36" x14ac:dyDescent="0.25">
      <c r="B55" s="382"/>
      <c r="C55" s="47" t="s">
        <v>24</v>
      </c>
      <c r="D55" s="160">
        <v>2.1000000000000001E-2</v>
      </c>
      <c r="E55" s="160">
        <v>8.0000000000000002E-3</v>
      </c>
      <c r="F55" s="14">
        <f t="shared" ref="F55:F60" si="5">D55/E55</f>
        <v>2.625</v>
      </c>
      <c r="G55" s="160">
        <v>1.0999999999999999E-2</v>
      </c>
      <c r="H55" s="14">
        <f t="shared" si="4"/>
        <v>0.72727272727272729</v>
      </c>
      <c r="I55" s="14"/>
      <c r="J55" s="14"/>
      <c r="K55" s="14"/>
      <c r="L55" s="14"/>
      <c r="M55" s="14"/>
      <c r="N55" s="149"/>
      <c r="O55" s="39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5"/>
      <c r="AH55" s="374"/>
    </row>
    <row r="56" spans="2:36" x14ac:dyDescent="0.25">
      <c r="B56" s="382"/>
      <c r="C56" s="47" t="s">
        <v>25</v>
      </c>
      <c r="D56" s="160">
        <v>0.14899999999999999</v>
      </c>
      <c r="E56" s="160">
        <v>0.115</v>
      </c>
      <c r="F56" s="14">
        <f t="shared" si="5"/>
        <v>1.2956521739130433</v>
      </c>
      <c r="G56" s="160">
        <v>0.112</v>
      </c>
      <c r="H56" s="14">
        <f t="shared" si="4"/>
        <v>1.0267857142857144</v>
      </c>
      <c r="I56" s="14"/>
      <c r="J56" s="14"/>
      <c r="K56" s="14"/>
      <c r="L56" s="14"/>
      <c r="M56" s="14"/>
      <c r="N56" s="149"/>
      <c r="O56" s="39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5"/>
      <c r="AH56" s="374"/>
    </row>
    <row r="57" spans="2:36" x14ac:dyDescent="0.25">
      <c r="B57" s="382"/>
      <c r="C57" s="47" t="s">
        <v>26</v>
      </c>
      <c r="D57" s="160">
        <v>0.36</v>
      </c>
      <c r="E57" s="160">
        <v>0.35299999999999998</v>
      </c>
      <c r="F57" s="14">
        <f t="shared" si="5"/>
        <v>1.0198300283286119</v>
      </c>
      <c r="G57" s="160">
        <v>0.26700000000000002</v>
      </c>
      <c r="H57" s="14">
        <f t="shared" si="4"/>
        <v>1.3220973782771535</v>
      </c>
      <c r="I57" s="14"/>
      <c r="J57" s="14"/>
      <c r="K57" s="14"/>
      <c r="L57" s="14"/>
      <c r="M57" s="14"/>
      <c r="N57" s="149"/>
      <c r="O57" s="39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5"/>
      <c r="AH57" s="374"/>
    </row>
    <row r="58" spans="2:36" x14ac:dyDescent="0.25">
      <c r="B58" s="382"/>
      <c r="C58" s="47" t="s">
        <v>27</v>
      </c>
      <c r="D58" s="160">
        <v>0.34799999999999998</v>
      </c>
      <c r="E58" s="160">
        <v>0.36199999999999999</v>
      </c>
      <c r="F58" s="14">
        <f t="shared" si="5"/>
        <v>0.96132596685082872</v>
      </c>
      <c r="G58" s="160">
        <v>0.33700000000000002</v>
      </c>
      <c r="H58" s="14">
        <f t="shared" si="4"/>
        <v>1.0741839762611274</v>
      </c>
      <c r="I58" s="14"/>
      <c r="J58" s="14"/>
      <c r="K58" s="14"/>
      <c r="L58" s="14"/>
      <c r="M58" s="14"/>
      <c r="N58" s="149"/>
      <c r="O58" s="39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5"/>
      <c r="AH58" s="374"/>
    </row>
    <row r="59" spans="2:36" x14ac:dyDescent="0.25">
      <c r="B59" s="382"/>
      <c r="C59" s="47" t="s">
        <v>28</v>
      </c>
      <c r="D59" s="160">
        <v>0.10100000000000001</v>
      </c>
      <c r="E59" s="160">
        <v>0.13900000000000001</v>
      </c>
      <c r="F59" s="14">
        <f t="shared" si="5"/>
        <v>0.72661870503597126</v>
      </c>
      <c r="G59" s="160">
        <v>0.17899999999999999</v>
      </c>
      <c r="H59" s="14">
        <f t="shared" si="4"/>
        <v>0.77653631284916214</v>
      </c>
      <c r="I59" s="14"/>
      <c r="J59" s="14"/>
      <c r="K59" s="14"/>
      <c r="L59" s="14"/>
      <c r="M59" s="14"/>
      <c r="N59" s="149"/>
      <c r="O59" s="39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5"/>
      <c r="AH59" s="374"/>
    </row>
    <row r="60" spans="2:36" x14ac:dyDescent="0.25">
      <c r="B60" s="382"/>
      <c r="C60" s="47" t="s">
        <v>29</v>
      </c>
      <c r="D60" s="160">
        <v>2.1000000000000001E-2</v>
      </c>
      <c r="E60" s="160">
        <v>2.4E-2</v>
      </c>
      <c r="F60" s="14">
        <f t="shared" si="5"/>
        <v>0.875</v>
      </c>
      <c r="G60" s="160">
        <v>9.5000000000000001E-2</v>
      </c>
      <c r="H60" s="14">
        <f t="shared" si="4"/>
        <v>0.25263157894736843</v>
      </c>
      <c r="I60" s="14"/>
      <c r="J60" s="14"/>
      <c r="K60" s="14"/>
      <c r="L60" s="14"/>
      <c r="M60" s="14"/>
      <c r="N60" s="149"/>
      <c r="O60" s="39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5"/>
      <c r="AH60" s="374"/>
    </row>
    <row r="61" spans="2:36" x14ac:dyDescent="0.25">
      <c r="B61" s="382"/>
      <c r="D61" s="190"/>
      <c r="E61" s="190"/>
      <c r="F61" s="14"/>
      <c r="G61" s="190"/>
      <c r="H61" s="170"/>
      <c r="I61" s="170"/>
      <c r="J61" s="170"/>
      <c r="K61" s="170"/>
      <c r="L61" s="170"/>
      <c r="M61" s="170"/>
      <c r="N61" s="149"/>
      <c r="O61" s="39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5"/>
      <c r="AH61" s="374"/>
    </row>
    <row r="62" spans="2:36" x14ac:dyDescent="0.25">
      <c r="B62" s="382"/>
      <c r="C62" s="156" t="s">
        <v>30</v>
      </c>
      <c r="D62" s="169"/>
      <c r="E62" s="169"/>
      <c r="F62" s="14"/>
      <c r="G62" s="160"/>
      <c r="H62" s="170"/>
      <c r="I62" s="170"/>
      <c r="J62" s="170"/>
      <c r="K62" s="170"/>
      <c r="L62" s="170"/>
      <c r="M62" s="170"/>
      <c r="N62" s="149"/>
      <c r="O62" s="39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5"/>
      <c r="AH62" s="374"/>
    </row>
    <row r="63" spans="2:36" x14ac:dyDescent="0.25">
      <c r="B63" s="382"/>
      <c r="C63" s="47" t="s">
        <v>31</v>
      </c>
      <c r="D63" s="160">
        <v>0.48199999999999998</v>
      </c>
      <c r="E63" s="163">
        <v>0.47599999999999998</v>
      </c>
      <c r="F63" s="14">
        <f>D63/E63</f>
        <v>1.0126050420168067</v>
      </c>
      <c r="G63" s="160">
        <v>0.46100000000000002</v>
      </c>
      <c r="H63" s="14">
        <f>E63/G63</f>
        <v>1.0325379609544467</v>
      </c>
      <c r="I63" s="14"/>
      <c r="J63" s="14"/>
      <c r="K63" s="14"/>
      <c r="L63" s="14"/>
      <c r="M63" s="14"/>
      <c r="N63" s="149"/>
      <c r="O63" s="39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5"/>
      <c r="AH63" s="374"/>
    </row>
    <row r="64" spans="2:36" x14ac:dyDescent="0.25">
      <c r="B64" s="382"/>
      <c r="C64" s="47" t="s">
        <v>32</v>
      </c>
      <c r="D64" s="160">
        <v>0.19500000000000001</v>
      </c>
      <c r="E64" s="160">
        <v>0.19900000000000001</v>
      </c>
      <c r="F64" s="14">
        <f>D64/E64</f>
        <v>0.97989949748743721</v>
      </c>
      <c r="G64" s="160">
        <v>0.16</v>
      </c>
      <c r="H64" s="14">
        <f t="shared" si="4"/>
        <v>1.2437500000000001</v>
      </c>
      <c r="I64" s="14"/>
      <c r="J64" s="14"/>
      <c r="K64" s="14"/>
      <c r="L64" s="14"/>
      <c r="M64" s="14"/>
      <c r="N64" s="149"/>
      <c r="O64" s="39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5"/>
      <c r="AH64" s="374"/>
    </row>
    <row r="65" spans="2:34" x14ac:dyDescent="0.25">
      <c r="B65" s="382"/>
      <c r="C65" s="47" t="s">
        <v>33</v>
      </c>
      <c r="D65" s="160">
        <v>0.111</v>
      </c>
      <c r="E65" s="160">
        <v>0.123</v>
      </c>
      <c r="F65" s="14">
        <f>D65/E65</f>
        <v>0.90243902439024393</v>
      </c>
      <c r="G65" s="160">
        <v>0.126</v>
      </c>
      <c r="H65" s="14">
        <f t="shared" si="4"/>
        <v>0.97619047619047616</v>
      </c>
      <c r="I65" s="14"/>
      <c r="J65" s="14"/>
      <c r="K65" s="14"/>
      <c r="L65" s="14"/>
      <c r="M65" s="14"/>
      <c r="N65" s="149"/>
      <c r="O65" s="39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5"/>
      <c r="AH65" s="374"/>
    </row>
    <row r="66" spans="2:34" x14ac:dyDescent="0.25">
      <c r="B66" s="382"/>
      <c r="C66" s="47" t="s">
        <v>34</v>
      </c>
      <c r="D66" s="160">
        <v>0.104</v>
      </c>
      <c r="E66" s="160">
        <v>9.8000000000000004E-2</v>
      </c>
      <c r="F66" s="14">
        <f t="shared" ref="F66:F69" si="6">D66/E66</f>
        <v>1.0612244897959182</v>
      </c>
      <c r="G66" s="160">
        <v>0.12</v>
      </c>
      <c r="H66" s="14">
        <f t="shared" si="4"/>
        <v>0.81666666666666676</v>
      </c>
      <c r="I66" s="14"/>
      <c r="J66" s="14"/>
      <c r="K66" s="14"/>
      <c r="L66" s="14"/>
      <c r="M66" s="14"/>
      <c r="N66" s="223"/>
      <c r="O66" s="39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5"/>
      <c r="AH66" s="374"/>
    </row>
    <row r="67" spans="2:34" x14ac:dyDescent="0.25">
      <c r="B67" s="382"/>
      <c r="C67" s="47" t="s">
        <v>35</v>
      </c>
      <c r="D67" s="160">
        <v>2.5000000000000001E-2</v>
      </c>
      <c r="E67" s="160">
        <v>2.4E-2</v>
      </c>
      <c r="F67" s="14">
        <f t="shared" si="6"/>
        <v>1.0416666666666667</v>
      </c>
      <c r="G67" s="160">
        <v>3.2000000000000001E-2</v>
      </c>
      <c r="H67" s="14">
        <f t="shared" si="4"/>
        <v>0.75</v>
      </c>
      <c r="I67" s="14"/>
      <c r="J67" s="14"/>
      <c r="K67" s="14"/>
      <c r="L67" s="14"/>
      <c r="M67" s="14"/>
      <c r="N67" s="149"/>
      <c r="O67" s="39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5"/>
      <c r="AH67" s="374"/>
    </row>
    <row r="68" spans="2:34" x14ac:dyDescent="0.25">
      <c r="B68" s="382"/>
      <c r="C68" s="47" t="s">
        <v>36</v>
      </c>
      <c r="D68" s="160">
        <v>1.2999999999999999E-2</v>
      </c>
      <c r="E68" s="160">
        <v>1.4999999999999999E-2</v>
      </c>
      <c r="F68" s="14">
        <f t="shared" si="6"/>
        <v>0.8666666666666667</v>
      </c>
      <c r="G68" s="160">
        <v>1.9E-2</v>
      </c>
      <c r="H68" s="14">
        <f t="shared" si="4"/>
        <v>0.78947368421052633</v>
      </c>
      <c r="I68" s="14"/>
      <c r="J68" s="14"/>
      <c r="K68" s="14"/>
      <c r="L68" s="14"/>
      <c r="M68" s="14"/>
      <c r="N68" s="149"/>
      <c r="O68" s="39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5"/>
      <c r="AH68" s="374"/>
    </row>
    <row r="69" spans="2:34" x14ac:dyDescent="0.25">
      <c r="B69" s="382"/>
      <c r="C69" s="47" t="s">
        <v>37</v>
      </c>
      <c r="D69" s="160">
        <v>7.0999999999999994E-2</v>
      </c>
      <c r="E69" s="160">
        <v>6.5000000000000002E-2</v>
      </c>
      <c r="F69" s="14">
        <f t="shared" si="6"/>
        <v>1.0923076923076922</v>
      </c>
      <c r="G69" s="160">
        <v>8.2000000000000003E-2</v>
      </c>
      <c r="H69" s="14">
        <f t="shared" si="4"/>
        <v>0.79268292682926833</v>
      </c>
      <c r="I69" s="14"/>
      <c r="J69" s="14"/>
      <c r="K69" s="14"/>
      <c r="L69" s="14"/>
      <c r="M69" s="14"/>
      <c r="N69" s="149"/>
      <c r="O69" s="39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5"/>
      <c r="AH69" s="374"/>
    </row>
    <row r="70" spans="2:34" x14ac:dyDescent="0.25">
      <c r="B70" s="382"/>
      <c r="D70" s="160"/>
      <c r="E70" s="190"/>
      <c r="F70" s="14"/>
      <c r="G70" s="190"/>
      <c r="H70" s="170"/>
      <c r="I70" s="170"/>
      <c r="J70" s="170"/>
      <c r="K70" s="170"/>
      <c r="L70" s="170"/>
      <c r="M70" s="170"/>
      <c r="N70" s="149"/>
      <c r="O70" s="222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5"/>
      <c r="AH70" s="374"/>
    </row>
    <row r="71" spans="2:34" x14ac:dyDescent="0.25">
      <c r="B71" s="382"/>
      <c r="C71" s="156" t="s">
        <v>38</v>
      </c>
      <c r="D71" s="169"/>
      <c r="E71" s="169"/>
      <c r="F71" s="14"/>
      <c r="G71" s="190"/>
      <c r="H71" s="170"/>
      <c r="I71" s="170"/>
      <c r="J71" s="170"/>
      <c r="K71" s="170"/>
      <c r="L71" s="170"/>
      <c r="M71" s="170"/>
      <c r="N71" s="149"/>
      <c r="O71" s="222"/>
      <c r="P71" s="239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5"/>
      <c r="AH71" s="374"/>
    </row>
    <row r="72" spans="2:34" x14ac:dyDescent="0.25">
      <c r="B72" s="382"/>
      <c r="C72" s="47" t="s">
        <v>39</v>
      </c>
      <c r="D72" s="160">
        <v>0.56499999999999995</v>
      </c>
      <c r="E72" s="160">
        <v>0.47299999999999998</v>
      </c>
      <c r="F72" s="14">
        <f>D72/E72</f>
        <v>1.1945031712473573</v>
      </c>
      <c r="G72" s="164">
        <v>0.45600000000000002</v>
      </c>
      <c r="H72" s="72">
        <f>E72/G72</f>
        <v>1.0372807017543859</v>
      </c>
      <c r="I72" s="72"/>
      <c r="J72" s="72"/>
      <c r="K72" s="72"/>
      <c r="L72" s="72"/>
      <c r="M72" s="72"/>
      <c r="N72" s="149"/>
      <c r="O72" s="240"/>
      <c r="P72" s="241"/>
      <c r="Q72" s="16"/>
      <c r="R72" s="16"/>
      <c r="S72" s="16"/>
      <c r="T72" s="16"/>
      <c r="U72" s="16"/>
      <c r="V72" s="68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36"/>
      <c r="AH72" s="374"/>
    </row>
    <row r="73" spans="2:34" x14ac:dyDescent="0.25">
      <c r="B73" s="382"/>
      <c r="C73" s="47" t="s">
        <v>40</v>
      </c>
      <c r="D73" s="160">
        <v>4.5999999999999999E-2</v>
      </c>
      <c r="E73" s="160">
        <v>4.9000000000000002E-2</v>
      </c>
      <c r="F73" s="14">
        <f>D73/E73</f>
        <v>0.93877551020408156</v>
      </c>
      <c r="G73" s="160">
        <v>6.3E-2</v>
      </c>
      <c r="H73" s="72">
        <f>E73/G73</f>
        <v>0.77777777777777779</v>
      </c>
      <c r="I73" s="72"/>
      <c r="J73" s="72"/>
      <c r="K73" s="72"/>
      <c r="L73" s="72"/>
      <c r="M73" s="72"/>
      <c r="N73" s="149"/>
      <c r="O73" s="240"/>
      <c r="P73" s="241"/>
      <c r="Q73" s="14"/>
      <c r="R73" s="16"/>
      <c r="S73" s="16"/>
      <c r="T73" s="16"/>
      <c r="U73" s="1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5"/>
      <c r="AH73" s="374"/>
    </row>
    <row r="74" spans="2:34" x14ac:dyDescent="0.25">
      <c r="B74" s="382"/>
      <c r="C74" s="47" t="s">
        <v>41</v>
      </c>
      <c r="D74" s="160">
        <v>8.5000000000000006E-2</v>
      </c>
      <c r="E74" s="160">
        <v>0.09</v>
      </c>
      <c r="F74" s="14">
        <f>D74/E74</f>
        <v>0.94444444444444453</v>
      </c>
      <c r="G74" s="160">
        <v>0.11700000000000001</v>
      </c>
      <c r="H74" s="72">
        <f>E74/G74</f>
        <v>0.76923076923076916</v>
      </c>
      <c r="I74" s="72"/>
      <c r="J74" s="72"/>
      <c r="K74" s="72"/>
      <c r="L74" s="72"/>
      <c r="M74" s="72"/>
      <c r="N74" s="149"/>
      <c r="O74" s="240"/>
      <c r="P74" s="241"/>
      <c r="Q74" s="14"/>
      <c r="R74" s="16"/>
      <c r="S74" s="16"/>
      <c r="T74" s="16"/>
      <c r="U74" s="1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5"/>
      <c r="AH74" s="374"/>
    </row>
    <row r="75" spans="2:34" x14ac:dyDescent="0.25">
      <c r="B75" s="382"/>
      <c r="C75" s="47" t="s">
        <v>42</v>
      </c>
      <c r="D75" s="160">
        <v>9.6000000000000002E-2</v>
      </c>
      <c r="E75" s="160">
        <v>0.112</v>
      </c>
      <c r="F75" s="14">
        <f>D75/E75</f>
        <v>0.8571428571428571</v>
      </c>
      <c r="G75" s="160">
        <v>0.13200000000000001</v>
      </c>
      <c r="H75" s="72">
        <f>E75/G75</f>
        <v>0.84848484848484851</v>
      </c>
      <c r="I75" s="72"/>
      <c r="J75" s="72"/>
      <c r="K75" s="72"/>
      <c r="L75" s="72"/>
      <c r="M75" s="72"/>
      <c r="N75" s="149"/>
      <c r="O75" s="240"/>
      <c r="P75" s="241"/>
      <c r="Q75" s="14"/>
      <c r="R75" s="16"/>
      <c r="S75" s="16"/>
      <c r="T75" s="16"/>
      <c r="U75" s="1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5"/>
      <c r="AH75" s="374"/>
    </row>
    <row r="76" spans="2:34" x14ac:dyDescent="0.25">
      <c r="B76" s="382"/>
      <c r="C76" s="47" t="s">
        <v>43</v>
      </c>
      <c r="D76" s="160">
        <v>0.114</v>
      </c>
      <c r="E76" s="160">
        <v>0.14099999999999999</v>
      </c>
      <c r="F76" s="14">
        <f>D76/E76</f>
        <v>0.8085106382978724</v>
      </c>
      <c r="G76" s="160">
        <v>0.13400000000000001</v>
      </c>
      <c r="H76" s="72">
        <f>E76/G76</f>
        <v>1.0522388059701491</v>
      </c>
      <c r="I76" s="72"/>
      <c r="J76" s="72"/>
      <c r="K76" s="72"/>
      <c r="L76" s="72"/>
      <c r="M76" s="72"/>
      <c r="N76" s="149"/>
      <c r="O76" s="240"/>
      <c r="P76" s="241"/>
      <c r="Q76" s="14"/>
      <c r="R76" s="16"/>
      <c r="S76" s="16"/>
      <c r="T76" s="16"/>
      <c r="U76" s="16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5"/>
      <c r="AH76" s="374"/>
    </row>
    <row r="77" spans="2:34" x14ac:dyDescent="0.25">
      <c r="B77" s="382"/>
      <c r="C77" s="47" t="s">
        <v>44</v>
      </c>
      <c r="D77" s="160">
        <v>9.2999999999999999E-2</v>
      </c>
      <c r="E77" s="160">
        <v>0.13500000000000001</v>
      </c>
      <c r="F77" s="14">
        <f t="shared" ref="F77:F85" si="7">D77/E77</f>
        <v>0.68888888888888888</v>
      </c>
      <c r="G77" s="160">
        <v>9.7000000000000003E-2</v>
      </c>
      <c r="H77" s="72">
        <f t="shared" ref="H77" si="8">E77/G77</f>
        <v>1.3917525773195876</v>
      </c>
      <c r="I77" s="72"/>
      <c r="J77" s="72"/>
      <c r="K77" s="72"/>
      <c r="L77" s="72"/>
      <c r="M77" s="72"/>
      <c r="O77" s="34"/>
      <c r="P77" s="239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5"/>
      <c r="AH77" s="374"/>
    </row>
    <row r="78" spans="2:34" x14ac:dyDescent="0.25">
      <c r="B78" s="382"/>
      <c r="D78" s="190"/>
      <c r="E78" s="190"/>
      <c r="F78" s="14"/>
      <c r="G78" s="190"/>
      <c r="H78" s="170"/>
      <c r="I78" s="170"/>
      <c r="J78" s="170"/>
      <c r="K78" s="170"/>
      <c r="L78" s="170"/>
      <c r="M78" s="170"/>
      <c r="N78" s="149"/>
      <c r="O78" s="222"/>
      <c r="P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5"/>
      <c r="AH78" s="374"/>
    </row>
    <row r="79" spans="2:34" x14ac:dyDescent="0.25">
      <c r="B79" s="382"/>
      <c r="C79" s="156" t="s">
        <v>194</v>
      </c>
      <c r="D79" s="190"/>
      <c r="E79" s="190"/>
      <c r="F79" s="14"/>
      <c r="G79" s="190"/>
      <c r="H79" s="170"/>
      <c r="I79" s="170"/>
      <c r="J79" s="170"/>
      <c r="K79" s="170"/>
      <c r="L79" s="170"/>
      <c r="M79" s="170"/>
      <c r="N79" s="149"/>
      <c r="O79" s="39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5"/>
      <c r="AH79" s="374"/>
    </row>
    <row r="80" spans="2:34" x14ac:dyDescent="0.25">
      <c r="B80" s="382"/>
      <c r="C80" s="47" t="s">
        <v>39</v>
      </c>
      <c r="D80" s="160">
        <v>0.26100000000000001</v>
      </c>
      <c r="E80" s="160">
        <v>0.112</v>
      </c>
      <c r="F80" s="14">
        <f t="shared" si="7"/>
        <v>2.3303571428571428</v>
      </c>
      <c r="G80" s="163">
        <v>0.17699999999999999</v>
      </c>
      <c r="H80" s="72">
        <f>E80/G80</f>
        <v>0.63276836158192096</v>
      </c>
      <c r="I80" s="72"/>
      <c r="J80" s="72"/>
      <c r="K80" s="72"/>
      <c r="L80" s="72"/>
      <c r="M80" s="72"/>
      <c r="N80" s="149"/>
      <c r="O80" s="38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5"/>
      <c r="AH80" s="374"/>
    </row>
    <row r="81" spans="2:34" x14ac:dyDescent="0.25">
      <c r="B81" s="382"/>
      <c r="C81" s="47" t="s">
        <v>40</v>
      </c>
      <c r="D81" s="160">
        <v>6.7000000000000004E-2</v>
      </c>
      <c r="E81" s="160">
        <v>6.7000000000000004E-2</v>
      </c>
      <c r="F81" s="14">
        <f t="shared" si="7"/>
        <v>1</v>
      </c>
      <c r="G81" s="163">
        <v>0.15</v>
      </c>
      <c r="H81" s="72">
        <f t="shared" ref="H81:H85" si="9">E81/G81</f>
        <v>0.44666666666666671</v>
      </c>
      <c r="I81" s="72"/>
      <c r="J81" s="72"/>
      <c r="K81" s="72"/>
      <c r="L81" s="72"/>
      <c r="M81" s="72"/>
      <c r="N81" s="149"/>
      <c r="O81" s="38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5"/>
      <c r="AH81" s="374"/>
    </row>
    <row r="82" spans="2:34" x14ac:dyDescent="0.25">
      <c r="B82" s="382"/>
      <c r="C82" s="47" t="s">
        <v>41</v>
      </c>
      <c r="D82" s="160">
        <v>0.13400000000000001</v>
      </c>
      <c r="E82" s="160">
        <v>0.14699999999999999</v>
      </c>
      <c r="F82" s="14">
        <f t="shared" si="7"/>
        <v>0.91156462585034026</v>
      </c>
      <c r="G82" s="163">
        <v>0.223</v>
      </c>
      <c r="H82" s="72">
        <f t="shared" si="9"/>
        <v>0.65919282511210753</v>
      </c>
      <c r="I82" s="72"/>
      <c r="J82" s="72"/>
      <c r="K82" s="72"/>
      <c r="L82" s="72"/>
      <c r="M82" s="72"/>
      <c r="N82" s="149"/>
      <c r="O82" s="38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5"/>
      <c r="AH82" s="374"/>
    </row>
    <row r="83" spans="2:34" x14ac:dyDescent="0.25">
      <c r="B83" s="382"/>
      <c r="C83" s="47" t="s">
        <v>42</v>
      </c>
      <c r="D83" s="160">
        <v>0.158</v>
      </c>
      <c r="E83" s="160">
        <v>0.183</v>
      </c>
      <c r="F83" s="14">
        <f t="shared" si="7"/>
        <v>0.86338797814207657</v>
      </c>
      <c r="G83" s="163">
        <v>0.193</v>
      </c>
      <c r="H83" s="72">
        <f t="shared" si="9"/>
        <v>0.94818652849740925</v>
      </c>
      <c r="I83" s="72"/>
      <c r="J83" s="72"/>
      <c r="K83" s="72"/>
      <c r="L83" s="72"/>
      <c r="M83" s="72"/>
      <c r="N83" s="149"/>
      <c r="O83" s="38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5"/>
      <c r="AH83" s="374"/>
    </row>
    <row r="84" spans="2:34" x14ac:dyDescent="0.25">
      <c r="B84" s="382"/>
      <c r="C84" s="47" t="s">
        <v>43</v>
      </c>
      <c r="D84" s="160">
        <v>0.19600000000000001</v>
      </c>
      <c r="E84" s="160">
        <v>0.24</v>
      </c>
      <c r="F84" s="14">
        <f t="shared" si="7"/>
        <v>0.81666666666666676</v>
      </c>
      <c r="G84" s="163">
        <v>0.155</v>
      </c>
      <c r="H84" s="72">
        <f t="shared" si="9"/>
        <v>1.5483870967741935</v>
      </c>
      <c r="I84" s="72"/>
      <c r="J84" s="72"/>
      <c r="K84" s="72"/>
      <c r="L84" s="72"/>
      <c r="M84" s="72"/>
      <c r="N84" s="149"/>
      <c r="O84" s="38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5"/>
      <c r="AH84" s="374"/>
    </row>
    <row r="85" spans="2:34" ht="15.75" thickBot="1" x14ac:dyDescent="0.3">
      <c r="B85" s="383"/>
      <c r="C85" s="47" t="s">
        <v>44</v>
      </c>
      <c r="D85" s="160">
        <v>0.183</v>
      </c>
      <c r="E85" s="160">
        <v>0.251</v>
      </c>
      <c r="F85" s="14">
        <f t="shared" si="7"/>
        <v>0.72908366533864544</v>
      </c>
      <c r="G85" s="163">
        <v>0.10199999999999999</v>
      </c>
      <c r="H85" s="72">
        <f t="shared" si="9"/>
        <v>2.4607843137254903</v>
      </c>
      <c r="I85" s="72"/>
      <c r="J85" s="72"/>
      <c r="K85" s="72"/>
      <c r="L85" s="72"/>
      <c r="M85" s="72"/>
      <c r="N85" s="149"/>
      <c r="O85" s="38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5"/>
      <c r="AH85" s="375"/>
    </row>
    <row r="86" spans="2:34" ht="15.75" thickBot="1" x14ac:dyDescent="0.3">
      <c r="B86" s="266"/>
      <c r="C86" s="224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25"/>
    </row>
    <row r="87" spans="2:34" x14ac:dyDescent="0.25">
      <c r="B87" s="373" t="s">
        <v>45</v>
      </c>
      <c r="C87" s="5"/>
      <c r="D87" s="385" t="s">
        <v>46</v>
      </c>
      <c r="E87" s="385"/>
      <c r="F87" s="385" t="s">
        <v>47</v>
      </c>
      <c r="G87" s="385"/>
      <c r="H87" s="42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7"/>
      <c r="AH87" s="386" t="s">
        <v>48</v>
      </c>
    </row>
    <row r="88" spans="2:34" x14ac:dyDescent="0.25">
      <c r="B88" s="374"/>
      <c r="C88" s="1"/>
      <c r="D88" s="40" t="s">
        <v>49</v>
      </c>
      <c r="E88" s="40" t="s">
        <v>50</v>
      </c>
      <c r="F88" s="40" t="s">
        <v>49</v>
      </c>
      <c r="G88" s="40" t="s">
        <v>50</v>
      </c>
      <c r="H88" s="41" t="s">
        <v>51</v>
      </c>
      <c r="I88" s="96" t="s">
        <v>52</v>
      </c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9"/>
      <c r="AH88" s="387"/>
    </row>
    <row r="89" spans="2:34" x14ac:dyDescent="0.25">
      <c r="B89" s="374"/>
      <c r="C89" s="2" t="s">
        <v>53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4"/>
      <c r="AH89" s="387"/>
    </row>
    <row r="90" spans="2:34" x14ac:dyDescent="0.25">
      <c r="B90" s="374"/>
      <c r="C90" s="1" t="s">
        <v>54</v>
      </c>
      <c r="D90" s="167">
        <v>2475617</v>
      </c>
      <c r="E90" s="163">
        <f>D90/D92</f>
        <v>0.7756766444476334</v>
      </c>
      <c r="F90" s="168">
        <v>182047</v>
      </c>
      <c r="G90" s="160">
        <f>F90/$F$92</f>
        <v>0.75061641858739125</v>
      </c>
      <c r="H90" s="161">
        <f>G90/E90</f>
        <v>0.96769243209831624</v>
      </c>
      <c r="I90" s="191">
        <f>F90/D90</f>
        <v>7.3536011426646369E-2</v>
      </c>
      <c r="J90" s="191"/>
      <c r="K90" s="161"/>
      <c r="L90" s="161"/>
      <c r="M90" s="161"/>
      <c r="O90" s="39"/>
      <c r="P90" s="39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82"/>
      <c r="AH90" s="387"/>
    </row>
    <row r="91" spans="2:34" x14ac:dyDescent="0.25">
      <c r="B91" s="374"/>
      <c r="C91" s="1" t="s">
        <v>55</v>
      </c>
      <c r="D91" s="167">
        <f>SUM(D95:D101)</f>
        <v>715941</v>
      </c>
      <c r="E91" s="163">
        <f>D91/D92</f>
        <v>0.2243233555523666</v>
      </c>
      <c r="F91" s="168">
        <f>SUM(F95:F101)</f>
        <v>60483</v>
      </c>
      <c r="G91" s="160">
        <f>F91/$F$92</f>
        <v>0.24938358141260875</v>
      </c>
      <c r="H91" s="161">
        <f>G91/E91</f>
        <v>1.1117147423126525</v>
      </c>
      <c r="I91" s="191">
        <f>F91/D91</f>
        <v>8.4480425062959094E-2</v>
      </c>
      <c r="J91" s="191"/>
      <c r="K91" s="161"/>
      <c r="L91" s="161"/>
      <c r="M91" s="161"/>
      <c r="O91" s="39"/>
      <c r="P91" s="39"/>
      <c r="Q91" s="252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82"/>
      <c r="AH91" s="387"/>
    </row>
    <row r="92" spans="2:34" x14ac:dyDescent="0.25">
      <c r="B92" s="374"/>
      <c r="C92" s="1" t="s">
        <v>53</v>
      </c>
      <c r="D92" s="167">
        <f>SUM(D90:D91)</f>
        <v>3191558</v>
      </c>
      <c r="E92" s="192"/>
      <c r="F92" s="168">
        <f>SUM(F90:F91)</f>
        <v>242530</v>
      </c>
      <c r="G92" s="169"/>
      <c r="H92" s="161"/>
      <c r="I92" s="191">
        <f>F92/D92</f>
        <v>7.5991099018097114E-2</v>
      </c>
      <c r="J92" s="191"/>
      <c r="K92" s="161"/>
      <c r="L92" s="161"/>
      <c r="M92" s="161"/>
      <c r="O92" s="39"/>
      <c r="P92" s="39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82"/>
      <c r="AH92" s="387"/>
    </row>
    <row r="93" spans="2:34" x14ac:dyDescent="0.25">
      <c r="B93" s="374"/>
      <c r="C93" s="1"/>
      <c r="D93" s="192"/>
      <c r="E93" s="192"/>
      <c r="F93" s="171"/>
      <c r="G93" s="169"/>
      <c r="H93" s="161"/>
      <c r="I93" s="191"/>
      <c r="J93" s="191"/>
      <c r="K93" s="161"/>
      <c r="L93" s="161"/>
      <c r="M93" s="161"/>
      <c r="O93" s="39"/>
      <c r="P93" s="39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82"/>
      <c r="AH93" s="387"/>
    </row>
    <row r="94" spans="2:34" x14ac:dyDescent="0.25">
      <c r="B94" s="374"/>
      <c r="C94" s="2" t="s">
        <v>56</v>
      </c>
      <c r="D94" s="192"/>
      <c r="E94" s="192"/>
      <c r="F94" s="169"/>
      <c r="G94" s="169"/>
      <c r="H94" s="161"/>
      <c r="I94" s="191"/>
      <c r="J94" s="191"/>
      <c r="K94" s="161"/>
      <c r="L94" s="161"/>
      <c r="M94" s="161"/>
      <c r="O94" s="39"/>
      <c r="P94" s="39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82"/>
      <c r="AH94" s="387"/>
    </row>
    <row r="95" spans="2:34" x14ac:dyDescent="0.25">
      <c r="B95" s="374"/>
      <c r="C95" s="1" t="s">
        <v>57</v>
      </c>
      <c r="D95" s="167">
        <v>244424</v>
      </c>
      <c r="E95" s="163">
        <f>D95/$D$91</f>
        <v>0.34140243399944969</v>
      </c>
      <c r="F95" s="168">
        <v>22769</v>
      </c>
      <c r="G95" s="160">
        <f>F95/$F$91</f>
        <v>0.37645288758824796</v>
      </c>
      <c r="H95" s="161">
        <f t="shared" ref="H95:H101" si="10">G95/E95</f>
        <v>1.1026660916801043</v>
      </c>
      <c r="I95" s="191">
        <f t="shared" ref="I95:I101" si="11">F95/D95</f>
        <v>9.3153700127647038E-2</v>
      </c>
      <c r="J95" s="191"/>
      <c r="K95" s="163"/>
      <c r="L95" s="161"/>
      <c r="M95" s="161"/>
      <c r="O95" s="39"/>
      <c r="P95" s="39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82"/>
      <c r="AH95" s="387"/>
    </row>
    <row r="96" spans="2:34" x14ac:dyDescent="0.25">
      <c r="B96" s="374"/>
      <c r="C96" s="1" t="s">
        <v>58</v>
      </c>
      <c r="D96" s="167">
        <v>143838</v>
      </c>
      <c r="E96" s="163">
        <f t="shared" ref="E96:E101" si="12">D96/$D$91</f>
        <v>0.20090761668908472</v>
      </c>
      <c r="F96" s="168">
        <v>15988</v>
      </c>
      <c r="G96" s="160">
        <f t="shared" ref="G96:G98" si="13">F96/$F$91</f>
        <v>0.26433873981118661</v>
      </c>
      <c r="H96" s="161">
        <f t="shared" si="10"/>
        <v>1.3157228390214042</v>
      </c>
      <c r="I96" s="191">
        <f t="shared" si="11"/>
        <v>0.11115282470557154</v>
      </c>
      <c r="J96" s="191"/>
      <c r="K96" s="163"/>
      <c r="L96" s="161"/>
      <c r="M96" s="161"/>
      <c r="O96" s="39"/>
      <c r="P96" s="39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82"/>
      <c r="AH96" s="387"/>
    </row>
    <row r="97" spans="2:37" x14ac:dyDescent="0.25">
      <c r="B97" s="374"/>
      <c r="C97" s="1" t="s">
        <v>59</v>
      </c>
      <c r="D97" s="167">
        <v>75445</v>
      </c>
      <c r="E97" s="163">
        <f t="shared" si="12"/>
        <v>0.10537879518004975</v>
      </c>
      <c r="F97" s="168">
        <v>10403</v>
      </c>
      <c r="G97" s="160">
        <f t="shared" si="13"/>
        <v>0.17199874344857233</v>
      </c>
      <c r="H97" s="161">
        <f t="shared" si="10"/>
        <v>1.632195008063017</v>
      </c>
      <c r="I97" s="191">
        <f t="shared" si="11"/>
        <v>0.13788852806680363</v>
      </c>
      <c r="J97" s="191"/>
      <c r="K97" s="163"/>
      <c r="L97" s="161"/>
      <c r="M97" s="161"/>
      <c r="O97" s="39"/>
      <c r="P97" s="39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82"/>
      <c r="AH97" s="387"/>
    </row>
    <row r="98" spans="2:37" x14ac:dyDescent="0.25">
      <c r="B98" s="374"/>
      <c r="C98" s="172" t="s">
        <v>60</v>
      </c>
      <c r="D98" s="168">
        <v>168750</v>
      </c>
      <c r="E98" s="163">
        <f t="shared" si="12"/>
        <v>0.23570378006008874</v>
      </c>
      <c r="F98" s="174">
        <v>7639</v>
      </c>
      <c r="G98" s="160">
        <f t="shared" si="13"/>
        <v>0.12629995205264288</v>
      </c>
      <c r="H98" s="161">
        <f t="shared" si="10"/>
        <v>0.53584186057790339</v>
      </c>
      <c r="I98" s="191">
        <f t="shared" si="11"/>
        <v>4.5268148148148148E-2</v>
      </c>
      <c r="J98" s="191"/>
      <c r="K98" s="163"/>
      <c r="L98" s="161"/>
      <c r="M98" s="161"/>
      <c r="O98" s="39"/>
      <c r="P98" s="39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82"/>
      <c r="AH98" s="387"/>
    </row>
    <row r="99" spans="2:37" x14ac:dyDescent="0.25">
      <c r="B99" s="374"/>
      <c r="C99" s="1" t="s">
        <v>61</v>
      </c>
      <c r="D99" s="167">
        <v>37261</v>
      </c>
      <c r="E99" s="163">
        <f t="shared" si="12"/>
        <v>5.2044791400408692E-2</v>
      </c>
      <c r="F99" s="168">
        <v>538</v>
      </c>
      <c r="G99" s="160">
        <f>F99/$F$91</f>
        <v>8.8950614222178138E-3</v>
      </c>
      <c r="H99" s="161">
        <f t="shared" si="10"/>
        <v>0.17091165480486417</v>
      </c>
      <c r="I99" s="191">
        <f t="shared" si="11"/>
        <v>1.443868924612866E-2</v>
      </c>
      <c r="J99" s="191"/>
      <c r="K99" s="163"/>
      <c r="L99" s="161"/>
      <c r="M99" s="161"/>
      <c r="O99" s="39"/>
      <c r="P99" s="39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82"/>
      <c r="AH99" s="387"/>
    </row>
    <row r="100" spans="2:37" x14ac:dyDescent="0.25">
      <c r="B100" s="374"/>
      <c r="C100" s="1" t="s">
        <v>62</v>
      </c>
      <c r="D100" s="167">
        <v>34015</v>
      </c>
      <c r="E100" s="163">
        <f t="shared" si="12"/>
        <v>4.7510898244408406E-2</v>
      </c>
      <c r="F100" s="168">
        <v>2163</v>
      </c>
      <c r="G100" s="160">
        <f>F100/$F$91</f>
        <v>3.5762114974455632E-2</v>
      </c>
      <c r="H100" s="161">
        <f t="shared" si="10"/>
        <v>0.7527139308224825</v>
      </c>
      <c r="I100" s="191">
        <f t="shared" si="11"/>
        <v>6.3589592826694102E-2</v>
      </c>
      <c r="J100" s="191"/>
      <c r="K100" s="163"/>
      <c r="L100" s="161"/>
      <c r="M100" s="161"/>
      <c r="O100" s="39"/>
      <c r="P100" s="39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82"/>
      <c r="AH100" s="387"/>
      <c r="AK100" s="13"/>
    </row>
    <row r="101" spans="2:37" ht="15.75" thickBot="1" x14ac:dyDescent="0.3">
      <c r="B101" s="375"/>
      <c r="C101" s="9" t="s">
        <v>63</v>
      </c>
      <c r="D101" s="175">
        <v>12208</v>
      </c>
      <c r="E101" s="179">
        <f t="shared" si="12"/>
        <v>1.7051684426510005E-2</v>
      </c>
      <c r="F101" s="177">
        <v>983</v>
      </c>
      <c r="G101" s="176">
        <f>F101/$F$91</f>
        <v>1.6252500702676784E-2</v>
      </c>
      <c r="H101" s="178">
        <f t="shared" si="10"/>
        <v>0.95313168459822406</v>
      </c>
      <c r="I101" s="198">
        <f t="shared" si="11"/>
        <v>8.0520969855832236E-2</v>
      </c>
      <c r="J101" s="198"/>
      <c r="K101" s="179"/>
      <c r="L101" s="178"/>
      <c r="M101" s="178"/>
      <c r="N101" s="100"/>
      <c r="O101" s="100"/>
      <c r="P101" s="100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83"/>
      <c r="AH101" s="388"/>
    </row>
    <row r="102" spans="2:37" ht="15.75" thickBot="1" x14ac:dyDescent="0.3">
      <c r="D102" s="8"/>
    </row>
    <row r="103" spans="2:37" x14ac:dyDescent="0.25">
      <c r="B103" s="373" t="s">
        <v>64</v>
      </c>
      <c r="C103" s="21" t="s">
        <v>65</v>
      </c>
      <c r="D103" s="23" t="s">
        <v>66</v>
      </c>
      <c r="E103" s="48" t="s">
        <v>67</v>
      </c>
      <c r="F103" s="48" t="s">
        <v>68</v>
      </c>
      <c r="G103" s="48" t="s">
        <v>51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7"/>
      <c r="AH103" s="373" t="s">
        <v>19</v>
      </c>
    </row>
    <row r="104" spans="2:37" x14ac:dyDescent="0.25">
      <c r="B104" s="374"/>
      <c r="C104" s="1" t="s">
        <v>69</v>
      </c>
      <c r="D104" s="168">
        <v>94371</v>
      </c>
      <c r="E104" s="180">
        <v>774064</v>
      </c>
      <c r="F104" s="68"/>
      <c r="N104" s="8"/>
      <c r="AG104" s="4"/>
      <c r="AH104" s="374"/>
    </row>
    <row r="105" spans="2:37" x14ac:dyDescent="0.25">
      <c r="B105" s="374"/>
      <c r="C105" s="1" t="s">
        <v>70</v>
      </c>
      <c r="D105" s="160">
        <f>D104/H46</f>
        <v>0.51902389123548043</v>
      </c>
      <c r="E105" s="261">
        <v>0.19170000000000001</v>
      </c>
      <c r="F105" s="68"/>
      <c r="N105" s="8"/>
      <c r="AG105" s="4"/>
      <c r="AH105" s="374"/>
    </row>
    <row r="106" spans="2:37" x14ac:dyDescent="0.25">
      <c r="B106" s="374"/>
      <c r="C106" s="1"/>
      <c r="D106" s="199"/>
      <c r="E106" s="200"/>
      <c r="F106" s="14"/>
      <c r="N106" s="8"/>
      <c r="AG106" s="4"/>
      <c r="AH106" s="374"/>
      <c r="AK106" s="8"/>
    </row>
    <row r="107" spans="2:37" ht="14.45" customHeight="1" x14ac:dyDescent="0.25">
      <c r="B107" s="374"/>
      <c r="C107" s="1" t="s">
        <v>71</v>
      </c>
      <c r="D107" s="168">
        <v>242570</v>
      </c>
      <c r="E107" s="183">
        <v>1722993</v>
      </c>
      <c r="F107" s="68"/>
      <c r="N107" s="8"/>
      <c r="AG107" s="4"/>
      <c r="AH107" s="374"/>
      <c r="AI107" s="24"/>
      <c r="AK107" s="14"/>
    </row>
    <row r="108" spans="2:37" x14ac:dyDescent="0.25">
      <c r="B108" s="374"/>
      <c r="C108" s="1" t="s">
        <v>72</v>
      </c>
      <c r="D108" s="184">
        <f>D107/D104</f>
        <v>2.5703870892541141</v>
      </c>
      <c r="E108" s="161">
        <f>E107/E104</f>
        <v>2.2259050931189153</v>
      </c>
      <c r="F108" s="14"/>
      <c r="N108" s="8"/>
      <c r="AG108" s="4"/>
      <c r="AH108" s="374"/>
    </row>
    <row r="109" spans="2:37" x14ac:dyDescent="0.25">
      <c r="B109" s="374"/>
      <c r="C109" s="1"/>
      <c r="D109" s="202"/>
      <c r="E109" s="169"/>
      <c r="F109" s="14"/>
      <c r="N109" s="8"/>
      <c r="AG109" s="4"/>
      <c r="AH109" s="374"/>
      <c r="AK109" s="8"/>
    </row>
    <row r="110" spans="2:37" x14ac:dyDescent="0.25">
      <c r="B110" s="374"/>
      <c r="C110" s="1" t="s">
        <v>73</v>
      </c>
      <c r="D110" s="168">
        <v>145563</v>
      </c>
      <c r="E110" s="183">
        <v>1142689</v>
      </c>
      <c r="F110" s="14"/>
      <c r="N110" s="8"/>
      <c r="AG110" s="4"/>
      <c r="AH110" s="374"/>
      <c r="AK110" s="14"/>
    </row>
    <row r="111" spans="2:37" x14ac:dyDescent="0.25">
      <c r="B111" s="374"/>
      <c r="C111" s="1" t="s">
        <v>74</v>
      </c>
      <c r="D111" s="184">
        <f>D110/D104</f>
        <v>1.5424547795403249</v>
      </c>
      <c r="E111" s="165">
        <f>E110/E104</f>
        <v>1.476220312532297</v>
      </c>
      <c r="F111" s="14"/>
      <c r="AG111" s="4"/>
      <c r="AH111" s="374"/>
    </row>
    <row r="112" spans="2:37" ht="15.75" thickBot="1" x14ac:dyDescent="0.3">
      <c r="B112" s="375"/>
      <c r="C112" s="9" t="s">
        <v>75</v>
      </c>
      <c r="D112" s="185">
        <f>D107/D110</f>
        <v>1.6664262209490048</v>
      </c>
      <c r="E112" s="186">
        <f>E107/E110</f>
        <v>1.5078407160653511</v>
      </c>
      <c r="F112" s="18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11"/>
      <c r="AH112" s="375"/>
    </row>
    <row r="113" spans="2:6" x14ac:dyDescent="0.25">
      <c r="D113" s="37"/>
      <c r="E113" s="22"/>
      <c r="F113" s="14"/>
    </row>
    <row r="114" spans="2:6" s="35" customFormat="1" x14ac:dyDescent="0.25">
      <c r="B114" s="47"/>
      <c r="C114" s="78"/>
      <c r="D114" s="8"/>
      <c r="E114" s="13"/>
    </row>
    <row r="115" spans="2:6" s="35" customFormat="1" x14ac:dyDescent="0.25">
      <c r="B115" s="47"/>
      <c r="C115" s="78"/>
      <c r="D115" s="8"/>
      <c r="E115" s="34"/>
    </row>
    <row r="116" spans="2:6" s="35" customFormat="1" x14ac:dyDescent="0.25">
      <c r="B116" s="47"/>
      <c r="C116" s="78"/>
      <c r="D116" s="8"/>
      <c r="E116" s="34"/>
    </row>
    <row r="117" spans="2:6" s="35" customFormat="1" x14ac:dyDescent="0.25">
      <c r="B117" s="47"/>
      <c r="C117" s="78"/>
      <c r="D117" s="262"/>
      <c r="E117" s="34"/>
    </row>
    <row r="118" spans="2:6" s="35" customFormat="1" x14ac:dyDescent="0.25">
      <c r="B118" s="47"/>
      <c r="C118" s="78"/>
      <c r="D118" s="8"/>
      <c r="E118" s="78"/>
    </row>
    <row r="119" spans="2:6" s="35" customFormat="1" x14ac:dyDescent="0.25">
      <c r="B119" s="47"/>
      <c r="C119" s="78"/>
      <c r="D119" s="8"/>
      <c r="E119" s="34"/>
    </row>
  </sheetData>
  <mergeCells count="15">
    <mergeCell ref="B103:B112"/>
    <mergeCell ref="AH103:AH112"/>
    <mergeCell ref="B4:B47"/>
    <mergeCell ref="B49:B85"/>
    <mergeCell ref="AH49:AH85"/>
    <mergeCell ref="B87:B101"/>
    <mergeCell ref="D87:E87"/>
    <mergeCell ref="F87:G87"/>
    <mergeCell ref="AH87:AH101"/>
    <mergeCell ref="AH3:AH47"/>
    <mergeCell ref="C2:AG2"/>
    <mergeCell ref="D3:O3"/>
    <mergeCell ref="P3:R3"/>
    <mergeCell ref="V3:X3"/>
    <mergeCell ref="AB3:AG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0E19-FE40-4154-8349-8C2BDFBA7B95}">
  <sheetPr>
    <tabColor theme="4"/>
  </sheetPr>
  <dimension ref="A1:AM120"/>
  <sheetViews>
    <sheetView topLeftCell="C86" zoomScale="80" zoomScaleNormal="80" workbookViewId="0">
      <selection activeCell="E113" sqref="E113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 x14ac:dyDescent="0.3">
      <c r="A1" s="8"/>
      <c r="B1" s="155"/>
    </row>
    <row r="2" spans="1:38" ht="15.75" thickBot="1" x14ac:dyDescent="0.3">
      <c r="A2" s="149"/>
      <c r="B2" s="154"/>
      <c r="C2" s="396" t="s">
        <v>195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 x14ac:dyDescent="0.3">
      <c r="C3" s="1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85"/>
      <c r="AJ3" s="373" t="s">
        <v>10</v>
      </c>
    </row>
    <row r="4" spans="1:38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269" t="s">
        <v>170</v>
      </c>
      <c r="AJ4" s="374"/>
    </row>
    <row r="5" spans="1:38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374"/>
    </row>
    <row r="6" spans="1:38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374"/>
      <c r="AK6" s="39"/>
      <c r="AL6" s="39"/>
    </row>
    <row r="7" spans="1:38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374"/>
      <c r="AK7" s="39"/>
      <c r="AL7" s="39"/>
    </row>
    <row r="8" spans="1:38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374"/>
      <c r="AK8" s="39"/>
      <c r="AL8" s="39"/>
    </row>
    <row r="9" spans="1:38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374"/>
      <c r="AK9" s="39"/>
      <c r="AL9" s="39"/>
    </row>
    <row r="10" spans="1:38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374"/>
      <c r="AK10" s="39"/>
      <c r="AL10" s="39"/>
    </row>
    <row r="11" spans="1:38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374"/>
      <c r="AK11" s="39"/>
      <c r="AL11" s="39"/>
    </row>
    <row r="12" spans="1:38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374"/>
      <c r="AK12" s="39"/>
      <c r="AL12" s="39"/>
    </row>
    <row r="13" spans="1:38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374"/>
      <c r="AK13" s="39"/>
      <c r="AL13" s="39"/>
    </row>
    <row r="14" spans="1:38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374"/>
      <c r="AK14" s="39"/>
      <c r="AL14" s="39"/>
    </row>
    <row r="15" spans="1:38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374"/>
      <c r="AK15" s="39"/>
      <c r="AL15" s="39"/>
    </row>
    <row r="16" spans="1:38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374"/>
      <c r="AK16" s="39"/>
      <c r="AL16" s="39"/>
    </row>
    <row r="17" spans="1:38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374"/>
      <c r="AK17" s="39"/>
      <c r="AL17" s="39"/>
    </row>
    <row r="18" spans="1:38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374"/>
      <c r="AK18" s="39"/>
      <c r="AL18" s="142"/>
    </row>
    <row r="19" spans="1:38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374"/>
      <c r="AK19" s="39"/>
      <c r="AL19" s="142"/>
    </row>
    <row r="20" spans="1:38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374"/>
      <c r="AK20" s="39"/>
      <c r="AL20" s="142"/>
    </row>
    <row r="21" spans="1:38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374"/>
      <c r="AK21" s="39"/>
      <c r="AL21" s="142"/>
    </row>
    <row r="22" spans="1:38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7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374"/>
      <c r="AK22" s="39"/>
      <c r="AL22" s="142"/>
    </row>
    <row r="23" spans="1:38" x14ac:dyDescent="0.25">
      <c r="A23" s="8"/>
      <c r="B23" s="374"/>
      <c r="C23" s="263">
        <v>44958</v>
      </c>
      <c r="D23" s="246">
        <f t="shared" ref="D23:D47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7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374"/>
      <c r="AK23" s="39"/>
      <c r="AL23" s="142"/>
    </row>
    <row r="24" spans="1:38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374"/>
      <c r="AK24" s="39"/>
      <c r="AL24" s="142"/>
    </row>
    <row r="25" spans="1:38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374"/>
      <c r="AK25" s="39"/>
      <c r="AL25" s="142"/>
    </row>
    <row r="26" spans="1:38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374"/>
      <c r="AK26" s="39"/>
      <c r="AL26" s="142"/>
    </row>
    <row r="27" spans="1:38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374"/>
      <c r="AK27" s="39"/>
      <c r="AL27" s="142"/>
    </row>
    <row r="28" spans="1:38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374"/>
      <c r="AK28" s="39"/>
      <c r="AL28" s="142"/>
    </row>
    <row r="29" spans="1:38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374"/>
      <c r="AK29" s="39"/>
      <c r="AL29" s="142"/>
    </row>
    <row r="30" spans="1:38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374"/>
      <c r="AK30" s="39"/>
      <c r="AL30" s="142"/>
    </row>
    <row r="31" spans="1:38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374"/>
      <c r="AK31" s="39"/>
      <c r="AL31" s="142"/>
    </row>
    <row r="32" spans="1:38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374"/>
      <c r="AK32" s="39"/>
      <c r="AL32" s="142"/>
    </row>
    <row r="33" spans="1:38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374"/>
      <c r="AK33" s="39"/>
      <c r="AL33" s="142"/>
    </row>
    <row r="34" spans="1:38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374"/>
      <c r="AK34" s="39"/>
      <c r="AL34" s="142"/>
    </row>
    <row r="35" spans="1:38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374"/>
      <c r="AK35" s="39"/>
      <c r="AL35" s="142"/>
    </row>
    <row r="36" spans="1:38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374"/>
      <c r="AK36" s="39"/>
      <c r="AL36" s="142"/>
    </row>
    <row r="37" spans="1:38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374"/>
      <c r="AK37" s="39"/>
      <c r="AL37" s="142"/>
    </row>
    <row r="38" spans="1:38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374"/>
      <c r="AK38" s="39"/>
      <c r="AL38" s="142"/>
    </row>
    <row r="39" spans="1:38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374"/>
      <c r="AK39" s="39"/>
      <c r="AL39" s="142"/>
    </row>
    <row r="40" spans="1:38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374"/>
      <c r="AK40" s="39"/>
      <c r="AL40" s="142"/>
    </row>
    <row r="41" spans="1:38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374"/>
      <c r="AK41" s="39"/>
      <c r="AL41" s="142"/>
    </row>
    <row r="42" spans="1:38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374"/>
      <c r="AK42" s="39"/>
      <c r="AL42" s="142"/>
    </row>
    <row r="43" spans="1:38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374"/>
      <c r="AK43" s="39"/>
      <c r="AL43" s="142"/>
    </row>
    <row r="44" spans="1:38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374"/>
      <c r="AK44" s="39"/>
      <c r="AL44" s="142"/>
    </row>
    <row r="45" spans="1:38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374"/>
      <c r="AK45" s="39"/>
      <c r="AL45" s="142"/>
    </row>
    <row r="46" spans="1:38" x14ac:dyDescent="0.25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374"/>
      <c r="AK46" s="39"/>
      <c r="AL46" s="142"/>
    </row>
    <row r="47" spans="1:38" x14ac:dyDescent="0.25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4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374"/>
      <c r="AK47" s="39"/>
      <c r="AL47" s="142"/>
    </row>
    <row r="48" spans="1:38" ht="15.75" thickBot="1" x14ac:dyDescent="0.3">
      <c r="B48" s="375"/>
      <c r="C48" s="88" t="s">
        <v>78</v>
      </c>
      <c r="D48" s="135"/>
      <c r="E48" s="135">
        <f>SUM(E5:E47)</f>
        <v>486133</v>
      </c>
      <c r="F48" s="135">
        <f>SUM(F5:F47)</f>
        <v>318594.52</v>
      </c>
      <c r="G48" s="135">
        <f>SUM(G5:G47)</f>
        <v>302002</v>
      </c>
      <c r="H48" s="135"/>
      <c r="I48" s="135"/>
      <c r="J48" s="136"/>
      <c r="K48" s="136"/>
      <c r="L48" s="136"/>
      <c r="M48" s="136"/>
      <c r="N48" s="136"/>
      <c r="O48" s="136"/>
      <c r="P48" s="309"/>
      <c r="Q48" s="309"/>
      <c r="R48" s="272">
        <f>SUM(R5:R47)</f>
        <v>427033</v>
      </c>
      <c r="T48" s="309"/>
      <c r="U48" s="136"/>
      <c r="V48" s="136"/>
      <c r="W48" s="136"/>
      <c r="X48" s="135">
        <f>SUM(X17:X47)</f>
        <v>52715</v>
      </c>
      <c r="Y48" s="135"/>
      <c r="Z48" s="136"/>
      <c r="AA48" s="136"/>
      <c r="AB48" s="136"/>
      <c r="AC48" s="136"/>
      <c r="AD48" s="113">
        <f>SUM(AD20:AD47)</f>
        <v>9105</v>
      </c>
      <c r="AE48" s="93"/>
      <c r="AF48" s="93"/>
      <c r="AG48" s="93"/>
      <c r="AH48" s="93"/>
      <c r="AI48" s="157"/>
      <c r="AJ48" s="375"/>
      <c r="AK48" s="8"/>
      <c r="AL48" s="142"/>
    </row>
    <row r="49" spans="2:38" ht="15.75" thickBot="1" x14ac:dyDescent="0.3">
      <c r="C49" s="224"/>
      <c r="D49" s="25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238"/>
      <c r="Q49" s="238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L49" s="142"/>
    </row>
    <row r="50" spans="2:38" x14ac:dyDescent="0.25">
      <c r="B50" s="381" t="s">
        <v>13</v>
      </c>
      <c r="C50" s="94"/>
      <c r="D50" s="48" t="s">
        <v>200</v>
      </c>
      <c r="E50" s="48" t="s">
        <v>15</v>
      </c>
      <c r="F50" s="48" t="s">
        <v>201</v>
      </c>
      <c r="G50" s="48" t="s">
        <v>193</v>
      </c>
      <c r="H50" s="48"/>
      <c r="I50" s="48" t="s">
        <v>18</v>
      </c>
      <c r="J50" s="94"/>
      <c r="K50" s="94"/>
      <c r="L50" s="94"/>
      <c r="M50" s="94"/>
      <c r="N50" s="94"/>
      <c r="O50" s="94"/>
      <c r="P50" s="116"/>
      <c r="Q50" s="116"/>
      <c r="R50" s="116"/>
      <c r="S50" s="47"/>
      <c r="T50" s="94"/>
      <c r="U50" s="94"/>
      <c r="V50" s="94"/>
      <c r="W50" s="94"/>
      <c r="X50" s="94"/>
      <c r="Y50" s="94"/>
      <c r="AD50" s="94"/>
      <c r="AE50" s="94"/>
      <c r="AF50" s="94"/>
      <c r="AG50" s="94"/>
      <c r="AH50" s="94"/>
      <c r="AI50" s="49"/>
      <c r="AJ50" s="373" t="s">
        <v>19</v>
      </c>
      <c r="AL50" s="142"/>
    </row>
    <row r="51" spans="2:38" x14ac:dyDescent="0.25">
      <c r="B51" s="382"/>
      <c r="C51" s="156" t="s">
        <v>20</v>
      </c>
      <c r="D51" s="47"/>
      <c r="E51" s="47"/>
      <c r="F51" s="47"/>
      <c r="G51" s="260"/>
      <c r="H51" s="260"/>
      <c r="N51" s="289"/>
      <c r="O51" s="154"/>
      <c r="P51" s="158"/>
      <c r="Q51" s="73"/>
      <c r="T51" s="254"/>
      <c r="U51" s="254"/>
      <c r="V51" s="254"/>
      <c r="W51" s="254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12"/>
      <c r="AJ51" s="374"/>
      <c r="AL51" s="8"/>
    </row>
    <row r="52" spans="2:38" x14ac:dyDescent="0.25">
      <c r="B52" s="382"/>
      <c r="C52" s="47" t="s">
        <v>21</v>
      </c>
      <c r="D52" s="160">
        <v>0.46400000000000002</v>
      </c>
      <c r="E52" s="160">
        <v>0.44800000000000001</v>
      </c>
      <c r="F52" s="14">
        <f>D52/E52</f>
        <v>1.0357142857142858</v>
      </c>
      <c r="G52" s="160">
        <v>0.53900000000000003</v>
      </c>
      <c r="H52" s="160"/>
      <c r="I52" s="14">
        <f>E52/G52</f>
        <v>0.83116883116883111</v>
      </c>
      <c r="J52" s="14"/>
      <c r="K52" s="14"/>
      <c r="L52" s="14"/>
      <c r="M52" s="14"/>
      <c r="N52" s="14"/>
      <c r="O52" s="253"/>
      <c r="P52" s="73"/>
      <c r="R52" s="158"/>
      <c r="S52" s="158"/>
      <c r="T52" s="14"/>
      <c r="U52" s="14"/>
      <c r="V52" s="14"/>
      <c r="W52" s="14"/>
      <c r="X52" s="47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/>
      <c r="AJ52" s="374"/>
      <c r="AL52" s="8"/>
    </row>
    <row r="53" spans="2:38" x14ac:dyDescent="0.25">
      <c r="B53" s="382"/>
      <c r="C53" s="47" t="s">
        <v>22</v>
      </c>
      <c r="D53" s="160">
        <v>0.53600000000000003</v>
      </c>
      <c r="E53" s="160">
        <v>0.55200000000000005</v>
      </c>
      <c r="F53" s="14">
        <f>D53/E53</f>
        <v>0.97101449275362317</v>
      </c>
      <c r="G53" s="160">
        <v>0.46100000000000002</v>
      </c>
      <c r="H53" s="160"/>
      <c r="I53" s="14">
        <f t="shared" ref="I53:I70" si="5">E53/G53</f>
        <v>1.1973969631236443</v>
      </c>
      <c r="J53" s="14"/>
      <c r="K53" s="14"/>
      <c r="L53" s="14"/>
      <c r="M53" s="14"/>
      <c r="N53" s="14"/>
      <c r="O53" s="149"/>
      <c r="P53" s="73"/>
      <c r="Q53" s="73"/>
      <c r="R53" s="158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374"/>
    </row>
    <row r="54" spans="2:38" x14ac:dyDescent="0.25">
      <c r="B54" s="382"/>
      <c r="D54" s="190"/>
      <c r="E54" s="190"/>
      <c r="F54" s="14"/>
      <c r="G54" s="190"/>
      <c r="H54" s="190"/>
      <c r="I54" s="14"/>
      <c r="J54" s="170"/>
      <c r="K54" s="170"/>
      <c r="L54" s="170"/>
      <c r="M54" s="170"/>
      <c r="N54" s="170"/>
      <c r="O54" s="149"/>
      <c r="P54" s="222"/>
      <c r="Q54" s="222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</row>
    <row r="55" spans="2:38" x14ac:dyDescent="0.25">
      <c r="B55" s="382"/>
      <c r="C55" s="156" t="s">
        <v>23</v>
      </c>
      <c r="D55" s="169"/>
      <c r="E55" s="169"/>
      <c r="F55" s="14"/>
      <c r="G55" s="190"/>
      <c r="H55" s="190"/>
      <c r="I55" s="14"/>
      <c r="J55" s="170"/>
      <c r="K55" s="170"/>
      <c r="L55" s="170"/>
      <c r="M55" s="170"/>
      <c r="N55" s="170"/>
      <c r="O55" s="149"/>
      <c r="P55" s="39"/>
      <c r="Q55" s="39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2:38" x14ac:dyDescent="0.25">
      <c r="B56" s="382"/>
      <c r="C56" s="47" t="s">
        <v>24</v>
      </c>
      <c r="D56" s="160">
        <v>1.7000000000000001E-2</v>
      </c>
      <c r="E56" s="160">
        <v>8.0000000000000002E-3</v>
      </c>
      <c r="F56" s="14">
        <f t="shared" ref="F56:F61" si="6">D56/E56</f>
        <v>2.125</v>
      </c>
      <c r="G56" s="160">
        <v>1.0999999999999999E-2</v>
      </c>
      <c r="H56" s="160"/>
      <c r="I56" s="14">
        <f t="shared" si="5"/>
        <v>0.72727272727272729</v>
      </c>
      <c r="J56" s="14"/>
      <c r="K56" s="14"/>
      <c r="L56" s="14"/>
      <c r="M56" s="14"/>
      <c r="N56" s="14"/>
      <c r="O56" s="149"/>
      <c r="P56" s="39"/>
      <c r="Q56" s="3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2:38" x14ac:dyDescent="0.25">
      <c r="B57" s="382"/>
      <c r="C57" s="47" t="s">
        <v>25</v>
      </c>
      <c r="D57" s="160">
        <v>0.154</v>
      </c>
      <c r="E57" s="160">
        <v>0.114</v>
      </c>
      <c r="F57" s="14">
        <f t="shared" si="6"/>
        <v>1.3508771929824561</v>
      </c>
      <c r="G57" s="160">
        <v>0.12</v>
      </c>
      <c r="H57" s="160"/>
      <c r="I57" s="14">
        <f t="shared" si="5"/>
        <v>0.95000000000000007</v>
      </c>
      <c r="J57" s="14"/>
      <c r="K57" s="14"/>
      <c r="L57" s="14"/>
      <c r="M57" s="14"/>
      <c r="N57" s="14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2:38" x14ac:dyDescent="0.25">
      <c r="B58" s="382"/>
      <c r="C58" s="47" t="s">
        <v>26</v>
      </c>
      <c r="D58" s="160">
        <v>0.36299999999999999</v>
      </c>
      <c r="E58" s="160">
        <v>0.35199999999999998</v>
      </c>
      <c r="F58" s="14">
        <f t="shared" si="6"/>
        <v>1.03125</v>
      </c>
      <c r="G58" s="160">
        <v>0.28199999999999997</v>
      </c>
      <c r="H58" s="160"/>
      <c r="I58" s="14">
        <f t="shared" si="5"/>
        <v>1.24822695035461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2:38" x14ac:dyDescent="0.25">
      <c r="B59" s="382"/>
      <c r="C59" s="47" t="s">
        <v>27</v>
      </c>
      <c r="D59" s="160">
        <v>0.36299999999999999</v>
      </c>
      <c r="E59" s="160">
        <v>0.36299999999999999</v>
      </c>
      <c r="F59" s="14">
        <f t="shared" si="6"/>
        <v>1</v>
      </c>
      <c r="G59" s="160">
        <v>0.34200000000000003</v>
      </c>
      <c r="H59" s="160"/>
      <c r="I59" s="14">
        <f t="shared" si="5"/>
        <v>1.0614035087719298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2:38" x14ac:dyDescent="0.25">
      <c r="B60" s="382"/>
      <c r="C60" s="47" t="s">
        <v>28</v>
      </c>
      <c r="D60" s="160">
        <v>9.1999999999999998E-2</v>
      </c>
      <c r="E60" s="160">
        <v>0.13800000000000001</v>
      </c>
      <c r="F60" s="14">
        <f t="shared" si="6"/>
        <v>0.66666666666666663</v>
      </c>
      <c r="G60" s="160">
        <v>0.16700000000000001</v>
      </c>
      <c r="H60" s="160"/>
      <c r="I60" s="14">
        <f t="shared" si="5"/>
        <v>0.82634730538922163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2:38" x14ac:dyDescent="0.25">
      <c r="B61" s="382"/>
      <c r="C61" s="47" t="s">
        <v>29</v>
      </c>
      <c r="D61" s="160">
        <v>1.2E-2</v>
      </c>
      <c r="E61" s="160">
        <v>2.4E-2</v>
      </c>
      <c r="F61" s="14">
        <f t="shared" si="6"/>
        <v>0.5</v>
      </c>
      <c r="G61" s="160">
        <v>7.8E-2</v>
      </c>
      <c r="H61" s="160"/>
      <c r="I61" s="14">
        <f t="shared" si="5"/>
        <v>0.30769230769230771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2:38" x14ac:dyDescent="0.25">
      <c r="B62" s="382"/>
      <c r="D62" s="190"/>
      <c r="E62" s="190"/>
      <c r="F62" s="14"/>
      <c r="G62" s="190"/>
      <c r="H62" s="190"/>
      <c r="I62" s="170"/>
      <c r="J62" s="170"/>
      <c r="K62" s="170"/>
      <c r="L62" s="170"/>
      <c r="M62" s="170"/>
      <c r="N62" s="170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2:38" x14ac:dyDescent="0.25">
      <c r="B63" s="382"/>
      <c r="C63" s="156" t="s">
        <v>30</v>
      </c>
      <c r="D63" s="169"/>
      <c r="E63" s="169"/>
      <c r="F63" s="14"/>
      <c r="G63" s="190"/>
      <c r="H63" s="190"/>
      <c r="I63" s="170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2:38" x14ac:dyDescent="0.25">
      <c r="B64" s="382"/>
      <c r="C64" s="47" t="s">
        <v>31</v>
      </c>
      <c r="D64" s="160">
        <v>0.50800000000000001</v>
      </c>
      <c r="E64" s="163">
        <v>0.47699999999999998</v>
      </c>
      <c r="F64" s="14">
        <f>D64/E64</f>
        <v>1.0649895178197066</v>
      </c>
      <c r="G64" s="160">
        <v>0.47299999999999998</v>
      </c>
      <c r="H64" s="160"/>
      <c r="I64" s="14">
        <f>E64/G64</f>
        <v>1.0084566596194504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25">
      <c r="B65" s="382"/>
      <c r="C65" s="47" t="s">
        <v>32</v>
      </c>
      <c r="D65" s="160">
        <v>0.20899999999999999</v>
      </c>
      <c r="E65" s="160">
        <v>0.19900000000000001</v>
      </c>
      <c r="F65" s="14">
        <f>D65/E65</f>
        <v>1.050251256281407</v>
      </c>
      <c r="G65" s="160">
        <v>0.16500000000000001</v>
      </c>
      <c r="H65" s="160"/>
      <c r="I65" s="14">
        <f t="shared" si="5"/>
        <v>1.2060606060606061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25">
      <c r="B66" s="382"/>
      <c r="C66" s="47" t="s">
        <v>33</v>
      </c>
      <c r="D66" s="160">
        <v>0.10199999999999999</v>
      </c>
      <c r="E66" s="160">
        <v>0.123</v>
      </c>
      <c r="F66" s="14">
        <f>D66/E66</f>
        <v>0.82926829268292679</v>
      </c>
      <c r="G66" s="160">
        <v>0.124</v>
      </c>
      <c r="H66" s="160"/>
      <c r="I66" s="14">
        <f t="shared" si="5"/>
        <v>0.99193548387096775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25">
      <c r="B67" s="382"/>
      <c r="C67" s="47" t="s">
        <v>34</v>
      </c>
      <c r="D67" s="160">
        <v>8.7999999999999995E-2</v>
      </c>
      <c r="E67" s="160">
        <v>9.8000000000000004E-2</v>
      </c>
      <c r="F67" s="14">
        <f t="shared" ref="F67:F70" si="7">D67/E67</f>
        <v>0.89795918367346927</v>
      </c>
      <c r="G67" s="160">
        <v>0.111</v>
      </c>
      <c r="H67" s="160"/>
      <c r="I67" s="14">
        <f t="shared" si="5"/>
        <v>0.88288288288288286</v>
      </c>
      <c r="J67" s="14"/>
      <c r="K67" s="14"/>
      <c r="L67" s="14"/>
      <c r="M67" s="14"/>
      <c r="N67" s="14"/>
      <c r="O67" s="223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25">
      <c r="B68" s="382"/>
      <c r="C68" s="47" t="s">
        <v>35</v>
      </c>
      <c r="D68" s="160">
        <v>2.5999999999999999E-2</v>
      </c>
      <c r="E68" s="160">
        <v>2.4E-2</v>
      </c>
      <c r="F68" s="14">
        <f t="shared" si="7"/>
        <v>1.0833333333333333</v>
      </c>
      <c r="G68" s="160">
        <v>3.3000000000000002E-2</v>
      </c>
      <c r="H68" s="160"/>
      <c r="I68" s="14">
        <f t="shared" si="5"/>
        <v>0.72727272727272729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25">
      <c r="B69" s="382"/>
      <c r="C69" s="47" t="s">
        <v>36</v>
      </c>
      <c r="D69" s="160">
        <v>1.4E-2</v>
      </c>
      <c r="E69" s="160">
        <v>1.4999999999999999E-2</v>
      </c>
      <c r="F69" s="14">
        <f t="shared" si="7"/>
        <v>0.93333333333333335</v>
      </c>
      <c r="G69" s="160">
        <v>1.9E-2</v>
      </c>
      <c r="H69" s="160"/>
      <c r="I69" s="14">
        <f t="shared" si="5"/>
        <v>0.78947368421052633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25">
      <c r="B70" s="382"/>
      <c r="C70" s="47" t="s">
        <v>37</v>
      </c>
      <c r="D70" s="160">
        <v>5.3999999999999999E-2</v>
      </c>
      <c r="E70" s="160">
        <v>6.5000000000000002E-2</v>
      </c>
      <c r="F70" s="14">
        <f t="shared" si="7"/>
        <v>0.8307692307692307</v>
      </c>
      <c r="G70" s="160">
        <v>7.5999999999999998E-2</v>
      </c>
      <c r="H70" s="160"/>
      <c r="I70" s="14">
        <f t="shared" si="5"/>
        <v>0.85526315789473695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25">
      <c r="B71" s="382"/>
      <c r="D71" s="160"/>
      <c r="E71" s="160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222"/>
      <c r="Q71" s="222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25">
      <c r="B72" s="382"/>
      <c r="C72" s="156" t="s">
        <v>38</v>
      </c>
      <c r="D72" s="169"/>
      <c r="E72" s="169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222"/>
      <c r="Q72" s="222"/>
      <c r="R72" s="239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25">
      <c r="B73" s="382"/>
      <c r="C73" s="47" t="s">
        <v>39</v>
      </c>
      <c r="D73" s="160">
        <v>0.61499999999999999</v>
      </c>
      <c r="E73" s="160">
        <v>0.47799999999999998</v>
      </c>
      <c r="F73" s="14">
        <f>D73/E73</f>
        <v>1.2866108786610879</v>
      </c>
      <c r="G73" s="164">
        <v>0.47299999999999998</v>
      </c>
      <c r="H73" s="164"/>
      <c r="I73" s="72">
        <f>E73/G73</f>
        <v>1.010570824524313</v>
      </c>
      <c r="J73" s="72"/>
      <c r="K73" s="72"/>
      <c r="L73" s="72"/>
      <c r="M73" s="72"/>
      <c r="N73" s="72"/>
      <c r="O73" s="149"/>
      <c r="P73" s="240"/>
      <c r="Q73" s="240"/>
      <c r="R73" s="241"/>
      <c r="S73" s="16"/>
      <c r="T73" s="16"/>
      <c r="U73" s="16"/>
      <c r="V73" s="16"/>
      <c r="W73" s="16"/>
      <c r="X73" s="68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36"/>
      <c r="AJ73" s="374"/>
    </row>
    <row r="74" spans="2:36" x14ac:dyDescent="0.25">
      <c r="B74" s="382"/>
      <c r="C74" s="47" t="s">
        <v>40</v>
      </c>
      <c r="D74" s="160">
        <v>4.4999999999999998E-2</v>
      </c>
      <c r="E74" s="160">
        <v>4.9000000000000002E-2</v>
      </c>
      <c r="F74" s="14">
        <f>D74/E74</f>
        <v>0.91836734693877542</v>
      </c>
      <c r="G74" s="160">
        <v>6.3E-2</v>
      </c>
      <c r="H74" s="160"/>
      <c r="I74" s="72">
        <f>E74/G74</f>
        <v>0.77777777777777779</v>
      </c>
      <c r="J74" s="72"/>
      <c r="K74" s="72"/>
      <c r="L74" s="72"/>
      <c r="M74" s="72"/>
      <c r="N74" s="72"/>
      <c r="O74" s="149"/>
      <c r="P74" s="240"/>
      <c r="Q74" s="240"/>
      <c r="R74" s="241"/>
      <c r="S74" s="14"/>
      <c r="T74" s="16"/>
      <c r="U74" s="16"/>
      <c r="V74" s="16"/>
      <c r="W74" s="16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25">
      <c r="B75" s="382"/>
      <c r="C75" s="47" t="s">
        <v>41</v>
      </c>
      <c r="D75" s="160">
        <v>7.3999999999999996E-2</v>
      </c>
      <c r="E75" s="160">
        <v>8.8999999999999996E-2</v>
      </c>
      <c r="F75" s="14">
        <f>D75/E75</f>
        <v>0.8314606741573034</v>
      </c>
      <c r="G75" s="160">
        <v>0.11600000000000001</v>
      </c>
      <c r="H75" s="160"/>
      <c r="I75" s="72">
        <f>E75/G75</f>
        <v>0.76724137931034475</v>
      </c>
      <c r="J75" s="72"/>
      <c r="K75" s="72"/>
      <c r="L75" s="72"/>
      <c r="M75" s="72"/>
      <c r="N75" s="72"/>
      <c r="O75" s="149"/>
      <c r="P75" s="240"/>
      <c r="Q75" s="240"/>
      <c r="R75" s="241"/>
      <c r="S75" s="14"/>
      <c r="T75" s="16"/>
      <c r="U75" s="16"/>
      <c r="V75" s="16"/>
      <c r="W75" s="1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25">
      <c r="B76" s="382"/>
      <c r="C76" s="47" t="s">
        <v>42</v>
      </c>
      <c r="D76" s="160">
        <v>8.2000000000000003E-2</v>
      </c>
      <c r="E76" s="160">
        <v>0.111</v>
      </c>
      <c r="F76" s="14">
        <f>D76/E76</f>
        <v>0.73873873873873874</v>
      </c>
      <c r="G76" s="160">
        <v>0.13100000000000001</v>
      </c>
      <c r="H76" s="160"/>
      <c r="I76" s="72">
        <f>E76/G76</f>
        <v>0.84732824427480913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25">
      <c r="B77" s="382"/>
      <c r="C77" s="47" t="s">
        <v>43</v>
      </c>
      <c r="D77" s="160">
        <v>0.10299999999999999</v>
      </c>
      <c r="E77" s="160">
        <v>0.14000000000000001</v>
      </c>
      <c r="F77" s="14">
        <f>D77/E77</f>
        <v>0.73571428571428565</v>
      </c>
      <c r="G77" s="160">
        <v>0.13200000000000001</v>
      </c>
      <c r="H77" s="160"/>
      <c r="I77" s="72">
        <f>E77/G77</f>
        <v>1.0606060606060606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25">
      <c r="B78" s="382"/>
      <c r="C78" s="47" t="s">
        <v>44</v>
      </c>
      <c r="D78" s="160">
        <v>8.1000000000000003E-2</v>
      </c>
      <c r="E78" s="160">
        <v>0.13300000000000001</v>
      </c>
      <c r="F78" s="14">
        <f t="shared" ref="F78:F86" si="8">D78/E78</f>
        <v>0.60902255639097747</v>
      </c>
      <c r="G78" s="160">
        <v>8.5999999999999993E-2</v>
      </c>
      <c r="H78" s="160"/>
      <c r="I78" s="72">
        <f t="shared" ref="I78" si="9">E78/G78</f>
        <v>1.546511627906977</v>
      </c>
      <c r="J78" s="72"/>
      <c r="K78" s="72"/>
      <c r="L78" s="72"/>
      <c r="M78" s="72"/>
      <c r="N78" s="72"/>
      <c r="P78" s="34"/>
      <c r="Q78" s="34"/>
      <c r="R78" s="239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25">
      <c r="B79" s="382"/>
      <c r="D79" s="160"/>
      <c r="E79" s="190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25">
      <c r="B80" s="382"/>
      <c r="C80" s="156" t="s">
        <v>194</v>
      </c>
      <c r="D80" s="19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25">
      <c r="B81" s="382"/>
      <c r="C81" s="47" t="s">
        <v>39</v>
      </c>
      <c r="D81" s="160">
        <v>0.315</v>
      </c>
      <c r="E81" s="160">
        <v>0.122</v>
      </c>
      <c r="F81" s="14">
        <f t="shared" si="8"/>
        <v>2.581967213114754</v>
      </c>
      <c r="G81" s="163">
        <v>0.188</v>
      </c>
      <c r="H81" s="163"/>
      <c r="I81" s="72">
        <f>E81/G81</f>
        <v>0.64893617021276595</v>
      </c>
      <c r="J81" s="72"/>
      <c r="K81" s="72"/>
      <c r="L81" s="72"/>
      <c r="M81" s="72"/>
      <c r="N81" s="72"/>
      <c r="O81" s="149"/>
      <c r="P81" s="38"/>
      <c r="Q81" s="38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25">
      <c r="B82" s="382"/>
      <c r="C82" s="47" t="s">
        <v>40</v>
      </c>
      <c r="D82" s="160">
        <v>5.8999999999999997E-2</v>
      </c>
      <c r="E82" s="160">
        <v>6.7000000000000004E-2</v>
      </c>
      <c r="F82" s="14">
        <f t="shared" si="8"/>
        <v>0.88059701492537301</v>
      </c>
      <c r="G82" s="163">
        <v>0.154</v>
      </c>
      <c r="H82" s="163"/>
      <c r="I82" s="72">
        <f t="shared" ref="I82:I86" si="10">E82/G82</f>
        <v>0.4350649350649351</v>
      </c>
      <c r="J82" s="72"/>
      <c r="K82" s="72"/>
      <c r="L82" s="72"/>
      <c r="M82" s="72"/>
      <c r="N82" s="72"/>
      <c r="O82" s="149"/>
      <c r="P82" s="38"/>
      <c r="Q82" s="38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25">
      <c r="B83" s="382"/>
      <c r="C83" s="47" t="s">
        <v>41</v>
      </c>
      <c r="D83" s="160">
        <v>0.13600000000000001</v>
      </c>
      <c r="E83" s="160">
        <v>0.14599999999999999</v>
      </c>
      <c r="F83" s="14">
        <f t="shared" si="8"/>
        <v>0.93150684931506866</v>
      </c>
      <c r="G83" s="163">
        <v>0.23100000000000001</v>
      </c>
      <c r="H83" s="163"/>
      <c r="I83" s="72">
        <f t="shared" si="10"/>
        <v>0.63203463203463195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25">
      <c r="B84" s="382"/>
      <c r="C84" s="47" t="s">
        <v>42</v>
      </c>
      <c r="D84" s="160">
        <v>0.151</v>
      </c>
      <c r="E84" s="160">
        <v>0.18099999999999999</v>
      </c>
      <c r="F84" s="14">
        <f t="shared" si="8"/>
        <v>0.83425414364640882</v>
      </c>
      <c r="G84" s="163">
        <v>0.19900000000000001</v>
      </c>
      <c r="H84" s="163"/>
      <c r="I84" s="72">
        <f t="shared" si="10"/>
        <v>0.90954773869346728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25">
      <c r="B85" s="382"/>
      <c r="C85" s="47" t="s">
        <v>43</v>
      </c>
      <c r="D85" s="160">
        <v>0.18099999999999999</v>
      </c>
      <c r="E85" s="160">
        <v>0.23699999999999999</v>
      </c>
      <c r="F85" s="14">
        <f t="shared" si="8"/>
        <v>0.76371308016877637</v>
      </c>
      <c r="G85" s="163">
        <v>0.14799999999999999</v>
      </c>
      <c r="H85" s="163"/>
      <c r="I85" s="72">
        <f t="shared" si="10"/>
        <v>1.6013513513513513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ht="15.75" thickBot="1" x14ac:dyDescent="0.3">
      <c r="B86" s="383"/>
      <c r="C86" s="47" t="s">
        <v>44</v>
      </c>
      <c r="D86" s="160">
        <v>0.157</v>
      </c>
      <c r="E86" s="160">
        <v>0.247</v>
      </c>
      <c r="F86" s="14">
        <f t="shared" si="8"/>
        <v>0.63562753036437247</v>
      </c>
      <c r="G86" s="163">
        <v>7.9000000000000001E-2</v>
      </c>
      <c r="H86" s="163"/>
      <c r="I86" s="72">
        <f t="shared" si="10"/>
        <v>3.1265822784810124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5"/>
    </row>
    <row r="87" spans="2:36" ht="15.75" thickBot="1" x14ac:dyDescent="0.3">
      <c r="B87" s="266"/>
      <c r="C87" s="224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25"/>
    </row>
    <row r="88" spans="2:36" x14ac:dyDescent="0.25">
      <c r="B88" s="373" t="s">
        <v>45</v>
      </c>
      <c r="C88" s="5"/>
      <c r="D88" s="385" t="s">
        <v>46</v>
      </c>
      <c r="E88" s="385"/>
      <c r="F88" s="385" t="s">
        <v>47</v>
      </c>
      <c r="G88" s="385"/>
      <c r="H88" s="48"/>
      <c r="I88" s="42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7"/>
      <c r="AJ88" s="386" t="s">
        <v>48</v>
      </c>
    </row>
    <row r="89" spans="2:36" x14ac:dyDescent="0.25">
      <c r="B89" s="374"/>
      <c r="C89" s="1"/>
      <c r="D89" s="40" t="s">
        <v>49</v>
      </c>
      <c r="E89" s="40" t="s">
        <v>50</v>
      </c>
      <c r="F89" s="40" t="s">
        <v>49</v>
      </c>
      <c r="G89" s="40" t="s">
        <v>50</v>
      </c>
      <c r="H89" s="40"/>
      <c r="I89" s="41" t="s">
        <v>51</v>
      </c>
      <c r="J89" s="96" t="s">
        <v>52</v>
      </c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7"/>
      <c r="W89" s="97"/>
      <c r="X89" s="97"/>
      <c r="Y89" s="97"/>
      <c r="Z89" s="97"/>
      <c r="AA89" s="97"/>
      <c r="AB89" s="97"/>
      <c r="AC89" s="97"/>
      <c r="AD89" s="97"/>
      <c r="AE89" s="97"/>
      <c r="AF89" s="97"/>
      <c r="AG89" s="97"/>
      <c r="AH89" s="97"/>
      <c r="AI89" s="99"/>
      <c r="AJ89" s="387"/>
    </row>
    <row r="90" spans="2:36" x14ac:dyDescent="0.25">
      <c r="B90" s="374"/>
      <c r="C90" s="2" t="s">
        <v>53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4"/>
      <c r="AJ90" s="387"/>
    </row>
    <row r="91" spans="2:36" x14ac:dyDescent="0.25">
      <c r="B91" s="374"/>
      <c r="C91" s="1" t="s">
        <v>54</v>
      </c>
      <c r="D91" s="193">
        <v>2003371</v>
      </c>
      <c r="E91" s="163">
        <f>D91/D93</f>
        <v>0.70978977744788718</v>
      </c>
      <c r="F91" s="8">
        <v>167016</v>
      </c>
      <c r="G91" s="160">
        <f>F91/$F$93</f>
        <v>0.64051174670378974</v>
      </c>
      <c r="H91" s="160"/>
      <c r="I91" s="161">
        <f>G91/E91</f>
        <v>0.90239640954932765</v>
      </c>
      <c r="J91" s="191">
        <f>F91/D91</f>
        <v>8.336748410554011E-2</v>
      </c>
      <c r="K91" s="191"/>
      <c r="L91" s="161"/>
      <c r="M91" s="161"/>
      <c r="N91" s="161"/>
      <c r="P91" s="39"/>
      <c r="Q91" s="39"/>
      <c r="R91" s="39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82"/>
      <c r="AJ91" s="387"/>
    </row>
    <row r="92" spans="2:36" x14ac:dyDescent="0.25">
      <c r="B92" s="374"/>
      <c r="C92" s="1" t="s">
        <v>55</v>
      </c>
      <c r="D92" s="193">
        <f>SUM(D96:D102)</f>
        <v>819114</v>
      </c>
      <c r="E92" s="163">
        <f>D92/D93</f>
        <v>0.29021022255211276</v>
      </c>
      <c r="F92" s="8">
        <f>SUM(F96:F102)</f>
        <v>93738</v>
      </c>
      <c r="G92" s="160">
        <f>F92/$F$93</f>
        <v>0.3594882532962102</v>
      </c>
      <c r="H92" s="160"/>
      <c r="I92" s="161">
        <f>G92/E92</f>
        <v>1.2387167141628075</v>
      </c>
      <c r="J92" s="191">
        <f>F92/D92</f>
        <v>0.11443828331587545</v>
      </c>
      <c r="K92" s="191"/>
      <c r="L92" s="161"/>
      <c r="M92" s="161"/>
      <c r="N92" s="161"/>
      <c r="P92" s="39"/>
      <c r="Q92" s="39"/>
      <c r="R92" s="39"/>
      <c r="S92" s="252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82"/>
      <c r="AJ92" s="387"/>
    </row>
    <row r="93" spans="2:36" x14ac:dyDescent="0.25">
      <c r="B93" s="374"/>
      <c r="C93" s="1" t="s">
        <v>53</v>
      </c>
      <c r="D93" s="193">
        <f>SUM(D91:D92)</f>
        <v>2822485</v>
      </c>
      <c r="E93" s="192"/>
      <c r="F93" s="8">
        <f>SUM(F91:F92)</f>
        <v>260754</v>
      </c>
      <c r="G93" s="169"/>
      <c r="H93" s="169"/>
      <c r="I93" s="161"/>
      <c r="J93" s="191">
        <f>F93/D93</f>
        <v>9.2384547659243532E-2</v>
      </c>
      <c r="K93" s="191"/>
      <c r="L93" s="161"/>
      <c r="M93" s="161"/>
      <c r="N93" s="161"/>
      <c r="P93" s="39"/>
      <c r="Q93" s="39"/>
      <c r="R93" s="39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 x14ac:dyDescent="0.25">
      <c r="B94" s="374"/>
      <c r="C94" s="1"/>
      <c r="D94" s="192"/>
      <c r="E94" s="192"/>
      <c r="F94" s="171"/>
      <c r="G94" s="169"/>
      <c r="H94" s="169"/>
      <c r="I94" s="161"/>
      <c r="J94" s="191"/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25">
      <c r="B95" s="374"/>
      <c r="C95" s="2" t="s">
        <v>56</v>
      </c>
      <c r="D95" s="192"/>
      <c r="E95" s="192"/>
      <c r="F95" s="169"/>
      <c r="G95" s="169"/>
      <c r="H95" s="169"/>
      <c r="I95" s="161"/>
      <c r="J95" s="191"/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25">
      <c r="B96" s="374"/>
      <c r="C96" s="1" t="s">
        <v>57</v>
      </c>
      <c r="D96" s="193">
        <v>281005</v>
      </c>
      <c r="E96" s="163">
        <f>D96/$D$92</f>
        <v>0.3430596962083422</v>
      </c>
      <c r="F96" s="8">
        <v>33444</v>
      </c>
      <c r="G96" s="160">
        <f>F96/$F$92</f>
        <v>0.35678166805351086</v>
      </c>
      <c r="H96" s="160"/>
      <c r="I96" s="161">
        <f t="shared" ref="I96:I102" si="11">G96/E96</f>
        <v>1.0399987873738314</v>
      </c>
      <c r="J96" s="191">
        <f t="shared" ref="J96:J102" si="12">F96/D96</f>
        <v>0.11901567587765342</v>
      </c>
      <c r="K96" s="191"/>
      <c r="L96" s="163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25">
      <c r="B97" s="374"/>
      <c r="C97" s="1" t="s">
        <v>58</v>
      </c>
      <c r="D97" s="193">
        <v>128120</v>
      </c>
      <c r="E97" s="163">
        <f t="shared" ref="E97:E102" si="13">D97/$D$92</f>
        <v>0.15641290467505134</v>
      </c>
      <c r="F97" s="8">
        <v>20087</v>
      </c>
      <c r="G97" s="160">
        <f t="shared" ref="G97:G99" si="14">F97/$F$92</f>
        <v>0.21428876229490709</v>
      </c>
      <c r="H97" s="160"/>
      <c r="I97" s="161">
        <f t="shared" si="11"/>
        <v>1.3700197099471629</v>
      </c>
      <c r="J97" s="191">
        <f t="shared" si="12"/>
        <v>0.15678270371526692</v>
      </c>
      <c r="K97" s="191"/>
      <c r="L97" s="163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25">
      <c r="B98" s="374"/>
      <c r="C98" s="1" t="s">
        <v>59</v>
      </c>
      <c r="D98" s="193">
        <v>96157</v>
      </c>
      <c r="E98" s="163">
        <f t="shared" si="13"/>
        <v>0.11739147420261405</v>
      </c>
      <c r="F98" s="8">
        <v>16045</v>
      </c>
      <c r="G98" s="160">
        <f t="shared" si="14"/>
        <v>0.17116857624442594</v>
      </c>
      <c r="H98" s="160"/>
      <c r="I98" s="161">
        <f t="shared" si="11"/>
        <v>1.4581005767845991</v>
      </c>
      <c r="J98" s="191">
        <f t="shared" si="12"/>
        <v>0.16686252690911738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25">
      <c r="B99" s="374"/>
      <c r="C99" s="172" t="s">
        <v>60</v>
      </c>
      <c r="D99" s="8">
        <v>210753</v>
      </c>
      <c r="E99" s="163">
        <f t="shared" si="13"/>
        <v>0.2572938565327903</v>
      </c>
      <c r="F99" s="195">
        <v>15279</v>
      </c>
      <c r="G99" s="160">
        <f t="shared" si="14"/>
        <v>0.16299686359854063</v>
      </c>
      <c r="H99" s="160"/>
      <c r="I99" s="161">
        <f t="shared" si="11"/>
        <v>0.63350468524602266</v>
      </c>
      <c r="J99" s="191">
        <f t="shared" si="12"/>
        <v>7.2497188652118835E-2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25">
      <c r="B100" s="374"/>
      <c r="C100" s="1" t="s">
        <v>61</v>
      </c>
      <c r="D100" s="193">
        <v>52886</v>
      </c>
      <c r="E100" s="163">
        <f t="shared" si="13"/>
        <v>6.4564883520486768E-2</v>
      </c>
      <c r="F100" s="8">
        <v>3229</v>
      </c>
      <c r="G100" s="160">
        <f>F100/$F$92</f>
        <v>3.4447075892380892E-2</v>
      </c>
      <c r="H100" s="160"/>
      <c r="I100" s="161">
        <f t="shared" si="11"/>
        <v>0.53352649325930646</v>
      </c>
      <c r="J100" s="191">
        <f t="shared" si="12"/>
        <v>6.1055855992134027E-2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25">
      <c r="B101" s="374"/>
      <c r="C101" s="1" t="s">
        <v>62</v>
      </c>
      <c r="D101" s="193">
        <v>38989</v>
      </c>
      <c r="E101" s="163">
        <f t="shared" si="13"/>
        <v>4.7598991105023233E-2</v>
      </c>
      <c r="F101" s="8">
        <v>4395</v>
      </c>
      <c r="G101" s="160">
        <f>F101/$F$92</f>
        <v>4.688600140818025E-2</v>
      </c>
      <c r="H101" s="160"/>
      <c r="I101" s="161">
        <f t="shared" si="11"/>
        <v>0.98502090737028791</v>
      </c>
      <c r="J101" s="191">
        <f t="shared" si="12"/>
        <v>0.1127241016697017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  <c r="AM101" s="13"/>
    </row>
    <row r="102" spans="2:39" ht="15.75" thickBot="1" x14ac:dyDescent="0.3">
      <c r="B102" s="375"/>
      <c r="C102" s="9" t="s">
        <v>63</v>
      </c>
      <c r="D102" s="196">
        <v>11204</v>
      </c>
      <c r="E102" s="179">
        <f t="shared" si="13"/>
        <v>1.3678193755692125E-2</v>
      </c>
      <c r="F102" s="10">
        <v>1259</v>
      </c>
      <c r="G102" s="176">
        <f>F102/$F$92</f>
        <v>1.3431052508054365E-2</v>
      </c>
      <c r="H102" s="176"/>
      <c r="I102" s="178">
        <f t="shared" si="11"/>
        <v>0.98193173367390607</v>
      </c>
      <c r="J102" s="198">
        <f t="shared" si="12"/>
        <v>0.11237058193502321</v>
      </c>
      <c r="K102" s="198"/>
      <c r="L102" s="179"/>
      <c r="M102" s="178"/>
      <c r="N102" s="178"/>
      <c r="O102" s="100"/>
      <c r="P102" s="100"/>
      <c r="Q102" s="100"/>
      <c r="R102" s="100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83"/>
      <c r="AJ102" s="388"/>
    </row>
    <row r="103" spans="2:39" ht="15.75" thickBot="1" x14ac:dyDescent="0.3">
      <c r="D103" s="8"/>
    </row>
    <row r="104" spans="2:39" x14ac:dyDescent="0.25">
      <c r="B104" s="373" t="s">
        <v>64</v>
      </c>
      <c r="C104" s="21" t="s">
        <v>65</v>
      </c>
      <c r="D104" s="23" t="s">
        <v>66</v>
      </c>
      <c r="E104" s="48" t="s">
        <v>67</v>
      </c>
      <c r="F104" s="48" t="s">
        <v>68</v>
      </c>
      <c r="G104" s="48" t="s">
        <v>51</v>
      </c>
      <c r="H104" s="9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373" t="s">
        <v>19</v>
      </c>
    </row>
    <row r="105" spans="2:39" x14ac:dyDescent="0.25">
      <c r="B105" s="374"/>
      <c r="C105" s="1" t="s">
        <v>69</v>
      </c>
      <c r="D105" s="8">
        <v>100403</v>
      </c>
      <c r="E105" s="67">
        <v>698329</v>
      </c>
      <c r="F105" s="68"/>
      <c r="O105" s="8"/>
      <c r="AI105" s="4"/>
      <c r="AJ105" s="374"/>
    </row>
    <row r="106" spans="2:39" x14ac:dyDescent="0.25">
      <c r="B106" s="374"/>
      <c r="C106" s="1" t="s">
        <v>70</v>
      </c>
      <c r="D106" s="13">
        <f>D105/I47</f>
        <v>0.54520327763810228</v>
      </c>
      <c r="E106" s="312">
        <v>0.17299999999999999</v>
      </c>
      <c r="F106" s="68"/>
      <c r="O106" s="8"/>
      <c r="AI106" s="4"/>
      <c r="AJ106" s="374"/>
    </row>
    <row r="107" spans="2:39" x14ac:dyDescent="0.25">
      <c r="B107" s="374"/>
      <c r="C107" s="1"/>
      <c r="D107" s="199"/>
      <c r="E107" s="200"/>
      <c r="F107" s="14"/>
      <c r="O107" s="8"/>
      <c r="AI107" s="4"/>
      <c r="AJ107" s="374"/>
      <c r="AM107" s="8"/>
    </row>
    <row r="108" spans="2:39" ht="14.45" customHeight="1" x14ac:dyDescent="0.25">
      <c r="B108" s="374"/>
      <c r="C108" s="1" t="s">
        <v>71</v>
      </c>
      <c r="D108" s="8">
        <v>260825</v>
      </c>
      <c r="E108" s="201">
        <v>1604262</v>
      </c>
      <c r="F108" s="68"/>
      <c r="O108" s="8"/>
      <c r="AI108" s="4"/>
      <c r="AJ108" s="374"/>
      <c r="AK108" s="24"/>
      <c r="AM108" s="14"/>
    </row>
    <row r="109" spans="2:39" x14ac:dyDescent="0.25">
      <c r="B109" s="374"/>
      <c r="C109" s="1" t="s">
        <v>72</v>
      </c>
      <c r="D109" s="184">
        <f>D108/D105</f>
        <v>2.5977809428005139</v>
      </c>
      <c r="E109" s="161">
        <f>E108/E105</f>
        <v>2.2972868089396257</v>
      </c>
      <c r="F109" s="14"/>
      <c r="O109" s="8"/>
      <c r="AI109" s="4"/>
      <c r="AJ109" s="374"/>
    </row>
    <row r="110" spans="2:39" x14ac:dyDescent="0.25">
      <c r="B110" s="374"/>
      <c r="C110" s="1"/>
      <c r="D110" s="202"/>
      <c r="E110" s="169"/>
      <c r="F110" s="14"/>
      <c r="O110" s="8"/>
      <c r="AI110" s="4"/>
      <c r="AJ110" s="374"/>
      <c r="AM110" s="8"/>
    </row>
    <row r="111" spans="2:39" x14ac:dyDescent="0.25">
      <c r="B111" s="374"/>
      <c r="C111" s="1" t="s">
        <v>73</v>
      </c>
      <c r="D111" s="8">
        <v>148214</v>
      </c>
      <c r="E111" s="201">
        <v>1066763</v>
      </c>
      <c r="F111" s="14"/>
      <c r="O111" s="8"/>
      <c r="AI111" s="4"/>
      <c r="AJ111" s="374"/>
      <c r="AM111" s="14"/>
    </row>
    <row r="112" spans="2:39" x14ac:dyDescent="0.25">
      <c r="B112" s="374"/>
      <c r="C112" s="1" t="s">
        <v>74</v>
      </c>
      <c r="D112" s="184">
        <f>D111/D105</f>
        <v>1.4761909504696076</v>
      </c>
      <c r="E112" s="165">
        <f>E111/E105</f>
        <v>1.5275937273119118</v>
      </c>
      <c r="F112" s="14"/>
      <c r="AI112" s="4"/>
      <c r="AJ112" s="374"/>
    </row>
    <row r="113" spans="2:36" ht="15.75" thickBot="1" x14ac:dyDescent="0.3">
      <c r="B113" s="375"/>
      <c r="C113" s="9" t="s">
        <v>75</v>
      </c>
      <c r="D113" s="185">
        <f>D108/D111</f>
        <v>1.7597865248896865</v>
      </c>
      <c r="E113" s="186">
        <f>E108/E111</f>
        <v>1.5038598076611207</v>
      </c>
      <c r="F113" s="18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11"/>
      <c r="AJ113" s="375"/>
    </row>
    <row r="114" spans="2:36" x14ac:dyDescent="0.25">
      <c r="D114" s="37"/>
      <c r="E114" s="22"/>
      <c r="F114" s="14"/>
    </row>
    <row r="115" spans="2:36" s="35" customFormat="1" x14ac:dyDescent="0.25">
      <c r="B115" s="47"/>
      <c r="C115" s="78"/>
      <c r="D115" s="8"/>
      <c r="E115" s="13"/>
    </row>
    <row r="116" spans="2:36" s="35" customFormat="1" x14ac:dyDescent="0.25">
      <c r="B116" s="47"/>
      <c r="C116" s="78"/>
      <c r="D116" s="8"/>
      <c r="E116" s="34"/>
    </row>
    <row r="117" spans="2:36" s="35" customFormat="1" x14ac:dyDescent="0.25">
      <c r="B117" s="47"/>
      <c r="C117" s="78"/>
      <c r="D117" s="8"/>
      <c r="E117" s="34"/>
    </row>
    <row r="118" spans="2:36" s="35" customFormat="1" x14ac:dyDescent="0.25">
      <c r="B118" s="47"/>
      <c r="C118" s="78"/>
      <c r="D118" s="262"/>
      <c r="E118" s="34"/>
    </row>
    <row r="119" spans="2:36" s="35" customFormat="1" x14ac:dyDescent="0.25">
      <c r="B119" s="47"/>
      <c r="C119" s="78"/>
      <c r="D119" s="8"/>
      <c r="E119" s="78"/>
    </row>
    <row r="120" spans="2:36" s="35" customFormat="1" x14ac:dyDescent="0.25">
      <c r="B120" s="47"/>
      <c r="C120" s="78"/>
      <c r="D120" s="8"/>
      <c r="E120" s="34"/>
    </row>
  </sheetData>
  <mergeCells count="15">
    <mergeCell ref="C2:AI2"/>
    <mergeCell ref="AD3:AI3"/>
    <mergeCell ref="AJ3:AJ48"/>
    <mergeCell ref="B104:B113"/>
    <mergeCell ref="AJ104:AJ113"/>
    <mergeCell ref="D3:Q3"/>
    <mergeCell ref="X3:AC3"/>
    <mergeCell ref="R3:W3"/>
    <mergeCell ref="B4:B48"/>
    <mergeCell ref="B50:B86"/>
    <mergeCell ref="AJ50:AJ86"/>
    <mergeCell ref="B88:B102"/>
    <mergeCell ref="D88:E88"/>
    <mergeCell ref="F88:G88"/>
    <mergeCell ref="AJ88:AJ10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FD687-2E6E-4456-968F-276ECA359344}">
  <sheetPr>
    <tabColor theme="4"/>
  </sheetPr>
  <dimension ref="A1:AM121"/>
  <sheetViews>
    <sheetView topLeftCell="A82" zoomScale="80" zoomScaleNormal="80" workbookViewId="0">
      <selection activeCell="E114" sqref="E114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 x14ac:dyDescent="0.3">
      <c r="A1" s="8"/>
      <c r="B1" s="155"/>
    </row>
    <row r="2" spans="1:38" ht="15.75" thickBot="1" x14ac:dyDescent="0.3">
      <c r="A2" s="149"/>
      <c r="B2" s="154"/>
      <c r="C2" s="396" t="s">
        <v>202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373" t="s">
        <v>10</v>
      </c>
    </row>
    <row r="4" spans="1:38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8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25">
      <c r="A23" s="8"/>
      <c r="B23" s="374"/>
      <c r="C23" s="263">
        <v>44958</v>
      </c>
      <c r="D23" s="246">
        <f t="shared" ref="D23:D48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8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25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25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25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46">
        <f t="shared" si="1"/>
        <v>-2539</v>
      </c>
      <c r="P48" s="247">
        <f>G48/D48</f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2:38" ht="15.75" thickBot="1" x14ac:dyDescent="0.3">
      <c r="B49" s="375"/>
      <c r="C49" s="58" t="s">
        <v>78</v>
      </c>
      <c r="D49" s="113"/>
      <c r="E49" s="113">
        <f>SUM(E5:E48)</f>
        <v>495552</v>
      </c>
      <c r="F49" s="113">
        <f>SUM(F5:F48)</f>
        <v>322489.52</v>
      </c>
      <c r="G49" s="113">
        <f>SUM(G5:G48)</f>
        <v>313985</v>
      </c>
      <c r="H49" s="113"/>
      <c r="I49" s="113"/>
      <c r="J49" s="130"/>
      <c r="K49" s="130"/>
      <c r="L49" s="130"/>
      <c r="M49" s="130"/>
      <c r="N49" s="130"/>
      <c r="O49" s="328"/>
      <c r="P49" s="328"/>
      <c r="Q49" s="113"/>
      <c r="R49" s="113">
        <f>SUM(R5:R48)</f>
        <v>435419</v>
      </c>
      <c r="S49" s="329"/>
      <c r="T49" s="113"/>
      <c r="U49" s="130"/>
      <c r="V49" s="130"/>
      <c r="W49" s="130"/>
      <c r="X49" s="113">
        <f>SUM(X17:X48)</f>
        <v>53545</v>
      </c>
      <c r="Y49" s="113"/>
      <c r="Z49" s="130"/>
      <c r="AA49" s="130"/>
      <c r="AB49" s="130"/>
      <c r="AC49" s="130"/>
      <c r="AD49" s="113">
        <f>SUM(AD20:AD48)</f>
        <v>9308</v>
      </c>
      <c r="AE49" s="93"/>
      <c r="AF49" s="93"/>
      <c r="AG49" s="93"/>
      <c r="AH49" s="93"/>
      <c r="AI49" s="112"/>
      <c r="AJ49" s="375"/>
      <c r="AK49" s="8"/>
      <c r="AL49" s="142"/>
    </row>
    <row r="50" spans="2:38" ht="15.75" thickBot="1" x14ac:dyDescent="0.3">
      <c r="C50" s="324"/>
      <c r="D50" s="2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44"/>
      <c r="Q50" s="44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L50" s="142"/>
    </row>
    <row r="51" spans="2:38" x14ac:dyDescent="0.25">
      <c r="B51" s="381" t="s">
        <v>13</v>
      </c>
      <c r="C51" s="94"/>
      <c r="D51" s="48" t="s">
        <v>203</v>
      </c>
      <c r="E51" s="48" t="s">
        <v>15</v>
      </c>
      <c r="F51" s="48" t="s">
        <v>204</v>
      </c>
      <c r="G51" s="48" t="s">
        <v>193</v>
      </c>
      <c r="H51" s="48"/>
      <c r="I51" s="48" t="s">
        <v>18</v>
      </c>
      <c r="J51" s="94"/>
      <c r="K51" s="94"/>
      <c r="L51" s="94"/>
      <c r="M51" s="94"/>
      <c r="N51" s="94"/>
      <c r="O51" s="94"/>
      <c r="P51" s="116"/>
      <c r="Q51" s="116"/>
      <c r="R51" s="116"/>
      <c r="S51" s="47"/>
      <c r="T51" s="94"/>
      <c r="U51" s="94"/>
      <c r="V51" s="94"/>
      <c r="W51" s="94"/>
      <c r="X51" s="94"/>
      <c r="Y51" s="94"/>
      <c r="AD51" s="94"/>
      <c r="AE51" s="94"/>
      <c r="AF51" s="94"/>
      <c r="AG51" s="94"/>
      <c r="AH51" s="94"/>
      <c r="AI51" s="49"/>
      <c r="AJ51" s="373" t="s">
        <v>19</v>
      </c>
      <c r="AL51" s="142"/>
    </row>
    <row r="52" spans="2:38" x14ac:dyDescent="0.25">
      <c r="B52" s="382"/>
      <c r="C52" s="156" t="s">
        <v>20</v>
      </c>
      <c r="D52" s="47"/>
      <c r="E52" s="47"/>
      <c r="F52" s="47"/>
      <c r="G52" s="260"/>
      <c r="H52" s="260"/>
      <c r="N52" s="289"/>
      <c r="O52" s="154"/>
      <c r="P52" s="158"/>
      <c r="Q52" s="73"/>
      <c r="T52" s="254"/>
      <c r="U52" s="254"/>
      <c r="V52" s="254"/>
      <c r="W52" s="254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12"/>
      <c r="AJ52" s="374"/>
      <c r="AL52" s="8"/>
    </row>
    <row r="53" spans="2:38" x14ac:dyDescent="0.25">
      <c r="B53" s="382"/>
      <c r="C53" s="47" t="s">
        <v>21</v>
      </c>
      <c r="D53" s="160">
        <v>0.46600000000000003</v>
      </c>
      <c r="E53" s="160">
        <v>0.44800000000000001</v>
      </c>
      <c r="F53" s="14">
        <f>D53/E53</f>
        <v>1.0401785714285714</v>
      </c>
      <c r="G53" s="160">
        <v>0.53700000000000003</v>
      </c>
      <c r="H53" s="160"/>
      <c r="I53" s="14">
        <f>E53/G53</f>
        <v>0.83426443202979517</v>
      </c>
      <c r="J53" s="14"/>
      <c r="K53" s="14"/>
      <c r="L53" s="14"/>
      <c r="M53" s="14"/>
      <c r="N53" s="14"/>
      <c r="O53" s="253"/>
      <c r="P53" s="73"/>
      <c r="R53" s="158"/>
      <c r="S53" s="158"/>
      <c r="T53" s="14"/>
      <c r="U53" s="14"/>
      <c r="V53" s="14"/>
      <c r="W53" s="14"/>
      <c r="X53" s="47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/>
      <c r="AJ53" s="374"/>
      <c r="AL53" s="8"/>
    </row>
    <row r="54" spans="2:38" x14ac:dyDescent="0.25">
      <c r="B54" s="382"/>
      <c r="C54" s="47" t="s">
        <v>22</v>
      </c>
      <c r="D54" s="160">
        <v>0.53400000000000003</v>
      </c>
      <c r="E54" s="160">
        <v>0.55200000000000005</v>
      </c>
      <c r="F54" s="14">
        <f>D54/E54</f>
        <v>0.96739130434782605</v>
      </c>
      <c r="G54" s="160">
        <v>0.46300000000000002</v>
      </c>
      <c r="H54" s="160"/>
      <c r="I54" s="14">
        <f t="shared" ref="I54:I71" si="5">E54/G54</f>
        <v>1.1922246220302377</v>
      </c>
      <c r="J54" s="14"/>
      <c r="K54" s="14"/>
      <c r="L54" s="14"/>
      <c r="M54" s="14"/>
      <c r="N54" s="14"/>
      <c r="O54" s="149"/>
      <c r="P54" s="73"/>
      <c r="Q54" s="73"/>
      <c r="R54" s="158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</row>
    <row r="55" spans="2:38" x14ac:dyDescent="0.25">
      <c r="B55" s="382"/>
      <c r="D55" s="190"/>
      <c r="E55" s="190"/>
      <c r="F55" s="14"/>
      <c r="G55" s="190"/>
      <c r="H55" s="190"/>
      <c r="I55" s="14"/>
      <c r="J55" s="170"/>
      <c r="K55" s="170"/>
      <c r="L55" s="170"/>
      <c r="M55" s="170"/>
      <c r="N55" s="170"/>
      <c r="O55" s="149"/>
      <c r="P55" s="222"/>
      <c r="Q55" s="222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2:38" x14ac:dyDescent="0.25">
      <c r="B56" s="382"/>
      <c r="C56" s="156" t="s">
        <v>23</v>
      </c>
      <c r="D56" s="169"/>
      <c r="E56" s="169"/>
      <c r="F56" s="14"/>
      <c r="G56" s="190"/>
      <c r="H56" s="190"/>
      <c r="I56" s="14"/>
      <c r="J56" s="170"/>
      <c r="K56" s="170"/>
      <c r="L56" s="170"/>
      <c r="M56" s="170"/>
      <c r="N56" s="170"/>
      <c r="O56" s="149"/>
      <c r="P56" s="39"/>
      <c r="Q56" s="3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2:38" x14ac:dyDescent="0.25">
      <c r="B57" s="382"/>
      <c r="C57" s="47" t="s">
        <v>24</v>
      </c>
      <c r="D57" s="160">
        <v>1.6E-2</v>
      </c>
      <c r="E57" s="160">
        <v>8.0000000000000002E-3</v>
      </c>
      <c r="F57" s="14">
        <f t="shared" ref="F57:F62" si="6">D57/E57</f>
        <v>2</v>
      </c>
      <c r="G57" s="160">
        <v>0.01</v>
      </c>
      <c r="H57" s="160"/>
      <c r="I57" s="14">
        <f t="shared" si="5"/>
        <v>0.8</v>
      </c>
      <c r="J57" s="14"/>
      <c r="K57" s="14"/>
      <c r="L57" s="14"/>
      <c r="M57" s="14"/>
      <c r="N57" s="14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2:38" x14ac:dyDescent="0.25">
      <c r="B58" s="382"/>
      <c r="C58" s="47" t="s">
        <v>25</v>
      </c>
      <c r="D58" s="160">
        <v>0.14899999999999999</v>
      </c>
      <c r="E58" s="160">
        <v>0.112</v>
      </c>
      <c r="F58" s="14">
        <f t="shared" si="6"/>
        <v>1.3303571428571428</v>
      </c>
      <c r="G58" s="160">
        <v>0.11799999999999999</v>
      </c>
      <c r="H58" s="160"/>
      <c r="I58" s="14">
        <f t="shared" si="5"/>
        <v>0.94915254237288138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2:38" x14ac:dyDescent="0.25">
      <c r="B59" s="382"/>
      <c r="C59" s="47" t="s">
        <v>26</v>
      </c>
      <c r="D59" s="160">
        <v>0.36899999999999999</v>
      </c>
      <c r="E59" s="160">
        <v>0.35199999999999998</v>
      </c>
      <c r="F59" s="14">
        <f t="shared" si="6"/>
        <v>1.0482954545454546</v>
      </c>
      <c r="G59" s="160">
        <v>0.27800000000000002</v>
      </c>
      <c r="H59" s="160"/>
      <c r="I59" s="14">
        <f t="shared" si="5"/>
        <v>1.2661870503597121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2:38" x14ac:dyDescent="0.25">
      <c r="B60" s="382"/>
      <c r="C60" s="47" t="s">
        <v>27</v>
      </c>
      <c r="D60" s="160">
        <v>0.35299999999999998</v>
      </c>
      <c r="E60" s="160">
        <v>0.36399999999999999</v>
      </c>
      <c r="F60" s="14">
        <f t="shared" si="6"/>
        <v>0.96978021978021978</v>
      </c>
      <c r="G60" s="160">
        <v>0.34</v>
      </c>
      <c r="H60" s="160"/>
      <c r="I60" s="14">
        <f t="shared" si="5"/>
        <v>1.0705882352941176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2:38" x14ac:dyDescent="0.25">
      <c r="B61" s="382"/>
      <c r="C61" s="47" t="s">
        <v>28</v>
      </c>
      <c r="D61" s="160">
        <v>0.1</v>
      </c>
      <c r="E61" s="160">
        <v>0.13900000000000001</v>
      </c>
      <c r="F61" s="14">
        <f t="shared" si="6"/>
        <v>0.71942446043165464</v>
      </c>
      <c r="G61" s="160">
        <v>0.17199999999999999</v>
      </c>
      <c r="H61" s="160"/>
      <c r="I61" s="14">
        <f t="shared" si="5"/>
        <v>0.80813953488372103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2:38" x14ac:dyDescent="0.25">
      <c r="B62" s="382"/>
      <c r="C62" s="47" t="s">
        <v>29</v>
      </c>
      <c r="D62" s="160">
        <v>1.2999999999999999E-2</v>
      </c>
      <c r="E62" s="160">
        <v>2.4E-2</v>
      </c>
      <c r="F62" s="14">
        <f t="shared" si="6"/>
        <v>0.54166666666666663</v>
      </c>
      <c r="G62" s="160">
        <v>0.08</v>
      </c>
      <c r="H62" s="160"/>
      <c r="I62" s="14">
        <f t="shared" si="5"/>
        <v>0.3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2:38" x14ac:dyDescent="0.25">
      <c r="B63" s="382"/>
      <c r="D63" s="160"/>
      <c r="E63" s="190"/>
      <c r="F63" s="14"/>
      <c r="G63" s="190"/>
      <c r="H63" s="190"/>
      <c r="I63" s="170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2:38" x14ac:dyDescent="0.25">
      <c r="B64" s="382"/>
      <c r="C64" s="156" t="s">
        <v>30</v>
      </c>
      <c r="D64" s="169"/>
      <c r="E64" s="169"/>
      <c r="F64" s="14"/>
      <c r="G64" s="190"/>
      <c r="H64" s="190"/>
      <c r="I64" s="170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25">
      <c r="B65" s="382"/>
      <c r="C65" s="47" t="s">
        <v>31</v>
      </c>
      <c r="D65" s="160">
        <v>0.49299999999999999</v>
      </c>
      <c r="E65" s="163">
        <v>0.47699999999999998</v>
      </c>
      <c r="F65" s="14">
        <f>D65/E65</f>
        <v>1.0335429769392035</v>
      </c>
      <c r="G65" s="160">
        <v>0.47199999999999998</v>
      </c>
      <c r="H65" s="160"/>
      <c r="I65" s="14">
        <f>E65/G65</f>
        <v>1.0105932203389831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25">
      <c r="B66" s="382"/>
      <c r="C66" s="47" t="s">
        <v>32</v>
      </c>
      <c r="D66" s="160">
        <v>0.20300000000000001</v>
      </c>
      <c r="E66" s="160">
        <v>0.19900000000000001</v>
      </c>
      <c r="F66" s="14">
        <f>D66/E66</f>
        <v>1.0201005025125629</v>
      </c>
      <c r="G66" s="160">
        <v>0.16500000000000001</v>
      </c>
      <c r="H66" s="160"/>
      <c r="I66" s="14">
        <f t="shared" si="5"/>
        <v>1.2060606060606061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25">
      <c r="B67" s="382"/>
      <c r="C67" s="47" t="s">
        <v>33</v>
      </c>
      <c r="D67" s="160">
        <v>0.10100000000000001</v>
      </c>
      <c r="E67" s="160">
        <v>0.122</v>
      </c>
      <c r="F67" s="14">
        <f>D67/E67</f>
        <v>0.82786885245901642</v>
      </c>
      <c r="G67" s="160">
        <v>0.12</v>
      </c>
      <c r="H67" s="160"/>
      <c r="I67" s="14">
        <f t="shared" si="5"/>
        <v>1.0166666666666666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25">
      <c r="B68" s="382"/>
      <c r="C68" s="47" t="s">
        <v>34</v>
      </c>
      <c r="D68" s="160">
        <v>0.10100000000000001</v>
      </c>
      <c r="E68" s="160">
        <v>9.8000000000000004E-2</v>
      </c>
      <c r="F68" s="14">
        <f t="shared" ref="F68:F71" si="7">D68/E68</f>
        <v>1.0306122448979591</v>
      </c>
      <c r="G68" s="160">
        <v>0.11600000000000001</v>
      </c>
      <c r="H68" s="160"/>
      <c r="I68" s="14">
        <f t="shared" si="5"/>
        <v>0.84482758620689657</v>
      </c>
      <c r="J68" s="14"/>
      <c r="K68" s="14"/>
      <c r="L68" s="14"/>
      <c r="M68" s="14"/>
      <c r="N68" s="14"/>
      <c r="O68" s="223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25">
      <c r="B69" s="382"/>
      <c r="C69" s="47" t="s">
        <v>35</v>
      </c>
      <c r="D69" s="160">
        <v>2.3E-2</v>
      </c>
      <c r="E69" s="160">
        <v>2.4E-2</v>
      </c>
      <c r="F69" s="14">
        <f t="shared" si="7"/>
        <v>0.95833333333333326</v>
      </c>
      <c r="G69" s="160">
        <v>3.2000000000000001E-2</v>
      </c>
      <c r="H69" s="160"/>
      <c r="I69" s="14">
        <f t="shared" si="5"/>
        <v>0.75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25">
      <c r="B70" s="382"/>
      <c r="C70" s="47" t="s">
        <v>36</v>
      </c>
      <c r="D70" s="160">
        <v>1.2E-2</v>
      </c>
      <c r="E70" s="160">
        <v>1.4999999999999999E-2</v>
      </c>
      <c r="F70" s="14">
        <f t="shared" si="7"/>
        <v>0.8</v>
      </c>
      <c r="G70" s="160">
        <v>1.7999999999999999E-2</v>
      </c>
      <c r="H70" s="160"/>
      <c r="I70" s="14">
        <f t="shared" si="5"/>
        <v>0.83333333333333337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25">
      <c r="B71" s="382"/>
      <c r="C71" s="47" t="s">
        <v>37</v>
      </c>
      <c r="D71" s="160">
        <v>6.6000000000000003E-2</v>
      </c>
      <c r="E71" s="160">
        <v>6.5000000000000002E-2</v>
      </c>
      <c r="F71" s="14">
        <f t="shared" si="7"/>
        <v>1.0153846153846153</v>
      </c>
      <c r="G71" s="160">
        <v>7.6999999999999999E-2</v>
      </c>
      <c r="H71" s="160"/>
      <c r="I71" s="14">
        <f t="shared" si="5"/>
        <v>0.84415584415584421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25">
      <c r="B72" s="382"/>
      <c r="D72" s="190"/>
      <c r="E72" s="190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222"/>
      <c r="Q72" s="222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25">
      <c r="B73" s="382"/>
      <c r="C73" s="156" t="s">
        <v>38</v>
      </c>
      <c r="D73" s="169"/>
      <c r="E73" s="169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222"/>
      <c r="Q73" s="222"/>
      <c r="R73" s="239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25">
      <c r="B74" s="382"/>
      <c r="C74" s="47" t="s">
        <v>39</v>
      </c>
      <c r="D74" s="160">
        <v>0.57699999999999996</v>
      </c>
      <c r="E74" s="160">
        <v>0.48</v>
      </c>
      <c r="F74" s="14">
        <f>D74/E74</f>
        <v>1.2020833333333334</v>
      </c>
      <c r="G74" s="164">
        <v>0.48199999999999998</v>
      </c>
      <c r="H74" s="164"/>
      <c r="I74" s="72">
        <f>E74/G74</f>
        <v>0.99585062240663902</v>
      </c>
      <c r="J74" s="72"/>
      <c r="K74" s="72"/>
      <c r="L74" s="72"/>
      <c r="M74" s="72"/>
      <c r="N74" s="72"/>
      <c r="O74" s="149"/>
      <c r="P74" s="240"/>
      <c r="Q74" s="240"/>
      <c r="R74" s="241"/>
      <c r="S74" s="16"/>
      <c r="T74" s="16"/>
      <c r="U74" s="16"/>
      <c r="V74" s="16"/>
      <c r="W74" s="16"/>
      <c r="X74" s="68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36"/>
      <c r="AJ74" s="374"/>
    </row>
    <row r="75" spans="2:36" x14ac:dyDescent="0.25">
      <c r="B75" s="382"/>
      <c r="C75" s="47" t="s">
        <v>40</v>
      </c>
      <c r="D75" s="160">
        <v>4.8000000000000001E-2</v>
      </c>
      <c r="E75" s="160">
        <v>4.9000000000000002E-2</v>
      </c>
      <c r="F75" s="14">
        <f>D75/E75</f>
        <v>0.97959183673469385</v>
      </c>
      <c r="G75" s="160">
        <v>6.4000000000000001E-2</v>
      </c>
      <c r="H75" s="160"/>
      <c r="I75" s="72">
        <f>E75/G75</f>
        <v>0.765625</v>
      </c>
      <c r="J75" s="72"/>
      <c r="K75" s="72"/>
      <c r="L75" s="72"/>
      <c r="M75" s="72"/>
      <c r="N75" s="72"/>
      <c r="O75" s="149"/>
      <c r="P75" s="240"/>
      <c r="Q75" s="240"/>
      <c r="R75" s="241"/>
      <c r="S75" s="14"/>
      <c r="T75" s="16"/>
      <c r="U75" s="16"/>
      <c r="V75" s="16"/>
      <c r="W75" s="1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25">
      <c r="B76" s="382"/>
      <c r="C76" s="47" t="s">
        <v>41</v>
      </c>
      <c r="D76" s="160">
        <v>7.9000000000000001E-2</v>
      </c>
      <c r="E76" s="160">
        <v>8.8999999999999996E-2</v>
      </c>
      <c r="F76" s="14">
        <f>D76/E76</f>
        <v>0.88764044943820231</v>
      </c>
      <c r="G76" s="160">
        <v>0.11600000000000001</v>
      </c>
      <c r="H76" s="160"/>
      <c r="I76" s="72">
        <f>E76/G76</f>
        <v>0.76724137931034475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25">
      <c r="B77" s="382"/>
      <c r="C77" s="47" t="s">
        <v>42</v>
      </c>
      <c r="D77" s="160">
        <v>9.1999999999999998E-2</v>
      </c>
      <c r="E77" s="160">
        <v>0.111</v>
      </c>
      <c r="F77" s="14">
        <f>D77/E77</f>
        <v>0.8288288288288288</v>
      </c>
      <c r="G77" s="160">
        <v>0.13100000000000001</v>
      </c>
      <c r="H77" s="160"/>
      <c r="I77" s="72">
        <f>E77/G77</f>
        <v>0.84732824427480913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25">
      <c r="B78" s="382"/>
      <c r="C78" s="47" t="s">
        <v>43</v>
      </c>
      <c r="D78" s="160">
        <v>0.112</v>
      </c>
      <c r="E78" s="160">
        <v>0.13900000000000001</v>
      </c>
      <c r="F78" s="14">
        <f>D78/E78</f>
        <v>0.80575539568345322</v>
      </c>
      <c r="G78" s="160">
        <v>0.128</v>
      </c>
      <c r="H78" s="160"/>
      <c r="I78" s="72">
        <f>E78/G78</f>
        <v>1.0859375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25">
      <c r="B79" s="382"/>
      <c r="C79" s="47" t="s">
        <v>44</v>
      </c>
      <c r="D79" s="160">
        <v>9.1999999999999998E-2</v>
      </c>
      <c r="E79" s="160">
        <v>0.13200000000000001</v>
      </c>
      <c r="F79" s="14">
        <f t="shared" ref="F79:F87" si="8">D79/E79</f>
        <v>0.69696969696969691</v>
      </c>
      <c r="G79" s="160">
        <v>7.9000000000000001E-2</v>
      </c>
      <c r="H79" s="160"/>
      <c r="I79" s="72">
        <f t="shared" ref="I79" si="9">E79/G79</f>
        <v>1.6708860759493671</v>
      </c>
      <c r="J79" s="72"/>
      <c r="K79" s="72"/>
      <c r="L79" s="72"/>
      <c r="M79" s="72"/>
      <c r="N79" s="72"/>
      <c r="P79" s="34"/>
      <c r="Q79" s="34"/>
      <c r="R79" s="239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25">
      <c r="B80" s="382"/>
      <c r="D80" s="16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25">
      <c r="B81" s="382"/>
      <c r="C81" s="156" t="s">
        <v>194</v>
      </c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39"/>
      <c r="Q81" s="3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25">
      <c r="B82" s="382"/>
      <c r="C82" s="47" t="s">
        <v>39</v>
      </c>
      <c r="D82" s="160">
        <v>0.246</v>
      </c>
      <c r="E82" s="160">
        <v>0.126</v>
      </c>
      <c r="F82" s="14">
        <f t="shared" si="8"/>
        <v>1.9523809523809523</v>
      </c>
      <c r="G82" s="163">
        <v>0.2</v>
      </c>
      <c r="H82" s="163"/>
      <c r="I82" s="72">
        <f>E82/G82</f>
        <v>0.63</v>
      </c>
      <c r="J82" s="72"/>
      <c r="K82" s="72"/>
      <c r="L82" s="72"/>
      <c r="M82" s="72"/>
      <c r="N82" s="72"/>
      <c r="O82" s="149"/>
      <c r="P82" s="38"/>
      <c r="Q82" s="38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25">
      <c r="B83" s="382"/>
      <c r="C83" s="47" t="s">
        <v>40</v>
      </c>
      <c r="D83" s="160">
        <v>5.8999999999999997E-2</v>
      </c>
      <c r="E83" s="160">
        <v>6.7000000000000004E-2</v>
      </c>
      <c r="F83" s="14">
        <f t="shared" si="8"/>
        <v>0.88059701492537301</v>
      </c>
      <c r="G83" s="163">
        <v>0.159</v>
      </c>
      <c r="H83" s="163"/>
      <c r="I83" s="72">
        <f t="shared" ref="I83:I87" si="10">E83/G83</f>
        <v>0.42138364779874216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25">
      <c r="B84" s="382"/>
      <c r="C84" s="47" t="s">
        <v>41</v>
      </c>
      <c r="D84" s="160">
        <v>0.126</v>
      </c>
      <c r="E84" s="160">
        <v>0.14599999999999999</v>
      </c>
      <c r="F84" s="14">
        <f t="shared" si="8"/>
        <v>0.86301369863013699</v>
      </c>
      <c r="G84" s="163">
        <v>0.23699999999999999</v>
      </c>
      <c r="H84" s="163"/>
      <c r="I84" s="72">
        <f t="shared" si="10"/>
        <v>0.61603375527426163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25">
      <c r="B85" s="382"/>
      <c r="C85" s="47" t="s">
        <v>42</v>
      </c>
      <c r="D85" s="160">
        <v>0.161</v>
      </c>
      <c r="E85" s="160">
        <v>0.18099999999999999</v>
      </c>
      <c r="F85" s="14">
        <f t="shared" si="8"/>
        <v>0.88950276243093929</v>
      </c>
      <c r="G85" s="163">
        <v>0.19800000000000001</v>
      </c>
      <c r="H85" s="163"/>
      <c r="I85" s="72">
        <f t="shared" si="10"/>
        <v>0.91414141414141403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25">
      <c r="B86" s="382"/>
      <c r="C86" s="47" t="s">
        <v>43</v>
      </c>
      <c r="D86" s="160">
        <v>0.20799999999999999</v>
      </c>
      <c r="E86" s="160">
        <v>0.23599999999999999</v>
      </c>
      <c r="F86" s="14">
        <f t="shared" si="8"/>
        <v>0.88135593220338981</v>
      </c>
      <c r="G86" s="163">
        <v>0.13900000000000001</v>
      </c>
      <c r="H86" s="163"/>
      <c r="I86" s="72">
        <f t="shared" si="10"/>
        <v>1.6978417266187047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ht="15.75" thickBot="1" x14ac:dyDescent="0.3">
      <c r="B87" s="383"/>
      <c r="C87" s="47" t="s">
        <v>44</v>
      </c>
      <c r="D87" s="160">
        <v>0.19900000000000001</v>
      </c>
      <c r="E87" s="160">
        <v>0.245</v>
      </c>
      <c r="F87" s="14">
        <f t="shared" si="8"/>
        <v>0.81224489795918375</v>
      </c>
      <c r="G87" s="163">
        <v>6.7000000000000004E-2</v>
      </c>
      <c r="H87" s="163"/>
      <c r="I87" s="72">
        <f t="shared" si="10"/>
        <v>3.6567164179104474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5"/>
    </row>
    <row r="88" spans="2:36" ht="15.75" thickBot="1" x14ac:dyDescent="0.3">
      <c r="B88" s="266"/>
      <c r="C88" s="224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25"/>
    </row>
    <row r="89" spans="2:36" x14ac:dyDescent="0.25">
      <c r="B89" s="373" t="s">
        <v>45</v>
      </c>
      <c r="C89" s="5"/>
      <c r="D89" s="385" t="s">
        <v>46</v>
      </c>
      <c r="E89" s="385"/>
      <c r="F89" s="385" t="s">
        <v>47</v>
      </c>
      <c r="G89" s="385"/>
      <c r="H89" s="48"/>
      <c r="I89" s="42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7"/>
      <c r="AJ89" s="386" t="s">
        <v>48</v>
      </c>
    </row>
    <row r="90" spans="2:36" x14ac:dyDescent="0.25">
      <c r="B90" s="374"/>
      <c r="C90" s="1"/>
      <c r="D90" s="40" t="s">
        <v>49</v>
      </c>
      <c r="E90" s="40" t="s">
        <v>50</v>
      </c>
      <c r="F90" s="40" t="s">
        <v>49</v>
      </c>
      <c r="G90" s="40" t="s">
        <v>50</v>
      </c>
      <c r="H90" s="40"/>
      <c r="I90" s="41" t="s">
        <v>51</v>
      </c>
      <c r="J90" s="96" t="s">
        <v>52</v>
      </c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9"/>
      <c r="AJ90" s="387"/>
    </row>
    <row r="91" spans="2:36" x14ac:dyDescent="0.25">
      <c r="B91" s="374"/>
      <c r="C91" s="2" t="s">
        <v>53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4"/>
      <c r="AJ91" s="387"/>
    </row>
    <row r="92" spans="2:36" x14ac:dyDescent="0.25">
      <c r="B92" s="374"/>
      <c r="C92" s="1" t="s">
        <v>54</v>
      </c>
      <c r="D92" s="167">
        <v>1751026</v>
      </c>
      <c r="E92" s="163">
        <f>D92/D94</f>
        <v>0.73424992305376335</v>
      </c>
      <c r="F92" s="168">
        <v>163823</v>
      </c>
      <c r="G92" s="160">
        <f>F92/$F$94</f>
        <v>0.67911818230809728</v>
      </c>
      <c r="H92" s="160"/>
      <c r="I92" s="161">
        <f>G92/E92</f>
        <v>0.92491420289651261</v>
      </c>
      <c r="J92" s="191">
        <f>F92/D92</f>
        <v>9.3558290967695509E-2</v>
      </c>
      <c r="K92" s="191"/>
      <c r="L92" s="161"/>
      <c r="M92" s="161"/>
      <c r="N92" s="161"/>
      <c r="P92" s="39"/>
      <c r="Q92" s="39"/>
      <c r="R92" s="39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82"/>
      <c r="AJ92" s="387"/>
    </row>
    <row r="93" spans="2:36" x14ac:dyDescent="0.25">
      <c r="B93" s="374"/>
      <c r="C93" s="1" t="s">
        <v>55</v>
      </c>
      <c r="D93" s="167">
        <f>SUM(D97:D103)</f>
        <v>633756</v>
      </c>
      <c r="E93" s="163">
        <f>D93/D94</f>
        <v>0.26575007694623659</v>
      </c>
      <c r="F93" s="168">
        <f>SUM(F97:F103)</f>
        <v>77406</v>
      </c>
      <c r="G93" s="160">
        <f>F93/$F$94</f>
        <v>0.32088181769190272</v>
      </c>
      <c r="H93" s="160"/>
      <c r="I93" s="161">
        <f>G93/E93</f>
        <v>1.2074571017220053</v>
      </c>
      <c r="J93" s="191">
        <f>F93/D93</f>
        <v>0.12213848862969345</v>
      </c>
      <c r="K93" s="191"/>
      <c r="L93" s="161"/>
      <c r="M93" s="161"/>
      <c r="N93" s="161"/>
      <c r="P93" s="39"/>
      <c r="Q93" s="39"/>
      <c r="R93" s="39"/>
      <c r="S93" s="252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 x14ac:dyDescent="0.25">
      <c r="B94" s="374"/>
      <c r="C94" s="1" t="s">
        <v>53</v>
      </c>
      <c r="D94" s="167">
        <f>SUM(D92:D93)</f>
        <v>2384782</v>
      </c>
      <c r="E94" s="192"/>
      <c r="F94" s="168">
        <f>SUM(F92:F93)</f>
        <v>241229</v>
      </c>
      <c r="G94" s="169"/>
      <c r="H94" s="169"/>
      <c r="I94" s="161"/>
      <c r="J94" s="191">
        <f>F94/D94</f>
        <v>0.10115348069551011</v>
      </c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25">
      <c r="B95" s="374"/>
      <c r="C95" s="1"/>
      <c r="D95" s="192"/>
      <c r="E95" s="192"/>
      <c r="F95" s="171"/>
      <c r="G95" s="169"/>
      <c r="H95" s="169"/>
      <c r="I95" s="161"/>
      <c r="J95" s="191"/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25">
      <c r="B96" s="374"/>
      <c r="C96" s="2" t="s">
        <v>56</v>
      </c>
      <c r="D96" s="192"/>
      <c r="E96" s="192"/>
      <c r="F96" s="169"/>
      <c r="G96" s="169"/>
      <c r="H96" s="169"/>
      <c r="I96" s="161"/>
      <c r="J96" s="191"/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25">
      <c r="B97" s="374"/>
      <c r="C97" s="1" t="s">
        <v>57</v>
      </c>
      <c r="D97" s="167">
        <v>207917</v>
      </c>
      <c r="E97" s="163">
        <f>D97/$D$93</f>
        <v>0.32807105573753936</v>
      </c>
      <c r="F97" s="168">
        <v>28219</v>
      </c>
      <c r="G97" s="160">
        <f>F97/$F$93</f>
        <v>0.36455830297392966</v>
      </c>
      <c r="H97" s="160"/>
      <c r="I97" s="161">
        <f t="shared" ref="I97:I103" si="11">G97/E97</f>
        <v>1.1112175140058089</v>
      </c>
      <c r="J97" s="191">
        <f t="shared" ref="J97:J103" si="12">F97/D97</f>
        <v>0.1357224276995147</v>
      </c>
      <c r="K97" s="191"/>
      <c r="L97" s="163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25">
      <c r="B98" s="374"/>
      <c r="C98" s="1" t="s">
        <v>58</v>
      </c>
      <c r="D98" s="167">
        <v>105881</v>
      </c>
      <c r="E98" s="163">
        <f t="shared" ref="E98:E103" si="13">D98/$D$93</f>
        <v>0.16706902972121762</v>
      </c>
      <c r="F98" s="168">
        <v>18669</v>
      </c>
      <c r="G98" s="160">
        <f t="shared" ref="G98:G100" si="14">F98/$F$93</f>
        <v>0.24118285404232231</v>
      </c>
      <c r="H98" s="160"/>
      <c r="I98" s="161">
        <f t="shared" si="11"/>
        <v>1.4436119874807192</v>
      </c>
      <c r="J98" s="191">
        <f t="shared" si="12"/>
        <v>0.17632058631860295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25">
      <c r="B99" s="374"/>
      <c r="C99" s="1" t="s">
        <v>59</v>
      </c>
      <c r="D99" s="167">
        <v>72452</v>
      </c>
      <c r="E99" s="163">
        <f t="shared" si="13"/>
        <v>0.11432160011108376</v>
      </c>
      <c r="F99" s="168">
        <v>13590</v>
      </c>
      <c r="G99" s="160">
        <f t="shared" si="14"/>
        <v>0.17556778544298893</v>
      </c>
      <c r="H99" s="160"/>
      <c r="I99" s="161">
        <f t="shared" si="11"/>
        <v>1.5357359000608251</v>
      </c>
      <c r="J99" s="191">
        <f t="shared" si="12"/>
        <v>0.18757246176779108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25">
      <c r="B100" s="374"/>
      <c r="C100" s="172" t="s">
        <v>60</v>
      </c>
      <c r="D100" s="168">
        <v>93357</v>
      </c>
      <c r="E100" s="163">
        <f t="shared" si="13"/>
        <v>0.14730748111260486</v>
      </c>
      <c r="F100" s="174">
        <v>5962</v>
      </c>
      <c r="G100" s="160">
        <f t="shared" si="14"/>
        <v>7.702245303981603E-2</v>
      </c>
      <c r="H100" s="160"/>
      <c r="I100" s="161">
        <f t="shared" si="11"/>
        <v>0.52286857706119139</v>
      </c>
      <c r="J100" s="191">
        <f t="shared" si="12"/>
        <v>6.3862377754212329E-2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25">
      <c r="B101" s="374"/>
      <c r="C101" s="1" t="s">
        <v>61</v>
      </c>
      <c r="D101" s="167">
        <v>113556</v>
      </c>
      <c r="E101" s="163">
        <f t="shared" si="13"/>
        <v>0.17917936871603582</v>
      </c>
      <c r="F101" s="168">
        <v>5992</v>
      </c>
      <c r="G101" s="160">
        <f>F101/$F$93</f>
        <v>7.7410019895098575E-2</v>
      </c>
      <c r="H101" s="160"/>
      <c r="I101" s="161">
        <f t="shared" si="11"/>
        <v>0.43202529649369559</v>
      </c>
      <c r="J101" s="191">
        <f t="shared" si="12"/>
        <v>5.276691676353517E-2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25">
      <c r="B102" s="374"/>
      <c r="C102" s="1" t="s">
        <v>62</v>
      </c>
      <c r="D102" s="167">
        <v>32068</v>
      </c>
      <c r="E102" s="163">
        <f t="shared" si="13"/>
        <v>5.0599915424863827E-2</v>
      </c>
      <c r="F102" s="168">
        <v>3715</v>
      </c>
      <c r="G102" s="160">
        <f>F102/$F$93</f>
        <v>4.7993695579154068E-2</v>
      </c>
      <c r="H102" s="160"/>
      <c r="I102" s="161">
        <f t="shared" si="11"/>
        <v>0.94849359284839607</v>
      </c>
      <c r="J102" s="191">
        <f t="shared" si="12"/>
        <v>0.11584757390545092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  <c r="AM102" s="13"/>
    </row>
    <row r="103" spans="2:39" ht="15.75" thickBot="1" x14ac:dyDescent="0.3">
      <c r="B103" s="375"/>
      <c r="C103" s="9" t="s">
        <v>63</v>
      </c>
      <c r="D103" s="175">
        <v>8525</v>
      </c>
      <c r="E103" s="179">
        <f t="shared" si="13"/>
        <v>1.3451549176654738E-2</v>
      </c>
      <c r="F103" s="177">
        <v>1259</v>
      </c>
      <c r="G103" s="176">
        <f>F103/$F$93</f>
        <v>1.6264889026690436E-2</v>
      </c>
      <c r="H103" s="176"/>
      <c r="I103" s="178">
        <f t="shared" si="11"/>
        <v>1.2091461595307007</v>
      </c>
      <c r="J103" s="198">
        <f t="shared" si="12"/>
        <v>0.147683284457478</v>
      </c>
      <c r="K103" s="198"/>
      <c r="L103" s="179"/>
      <c r="M103" s="178"/>
      <c r="N103" s="178"/>
      <c r="O103" s="100"/>
      <c r="P103" s="100"/>
      <c r="Q103" s="100"/>
      <c r="R103" s="100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83"/>
      <c r="AJ103" s="388"/>
    </row>
    <row r="104" spans="2:39" ht="15.75" thickBot="1" x14ac:dyDescent="0.3">
      <c r="D104" s="8"/>
    </row>
    <row r="105" spans="2:39" x14ac:dyDescent="0.25">
      <c r="B105" s="373" t="s">
        <v>64</v>
      </c>
      <c r="C105" s="21" t="s">
        <v>65</v>
      </c>
      <c r="D105" s="23" t="s">
        <v>66</v>
      </c>
      <c r="E105" s="48" t="s">
        <v>67</v>
      </c>
      <c r="F105" s="48" t="s">
        <v>68</v>
      </c>
      <c r="G105" s="48" t="s">
        <v>51</v>
      </c>
      <c r="H105" s="9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373" t="s">
        <v>19</v>
      </c>
    </row>
    <row r="106" spans="2:39" x14ac:dyDescent="0.25">
      <c r="B106" s="374"/>
      <c r="C106" s="1" t="s">
        <v>69</v>
      </c>
      <c r="D106" s="168">
        <v>92545</v>
      </c>
      <c r="E106" s="180">
        <v>623988</v>
      </c>
      <c r="F106" s="68"/>
      <c r="O106" s="8"/>
      <c r="AI106" s="4"/>
      <c r="AJ106" s="374"/>
    </row>
    <row r="107" spans="2:39" x14ac:dyDescent="0.25">
      <c r="B107" s="374"/>
      <c r="C107" s="1" t="s">
        <v>70</v>
      </c>
      <c r="D107" s="13">
        <f>D106/I48</f>
        <v>0.50955852393485224</v>
      </c>
      <c r="E107" s="312">
        <v>0.15790000000000001</v>
      </c>
      <c r="F107" s="68"/>
      <c r="O107" s="8"/>
      <c r="AI107" s="4"/>
      <c r="AJ107" s="374"/>
    </row>
    <row r="108" spans="2:39" x14ac:dyDescent="0.25">
      <c r="B108" s="374"/>
      <c r="C108" s="1"/>
      <c r="D108" s="199"/>
      <c r="E108" s="200"/>
      <c r="F108" s="14"/>
      <c r="O108" s="8"/>
      <c r="AI108" s="4"/>
      <c r="AJ108" s="374"/>
      <c r="AM108" s="8"/>
    </row>
    <row r="109" spans="2:39" ht="14.45" customHeight="1" x14ac:dyDescent="0.25">
      <c r="B109" s="374"/>
      <c r="C109" s="1" t="s">
        <v>71</v>
      </c>
      <c r="D109" s="168">
        <v>241066</v>
      </c>
      <c r="E109" s="183">
        <v>1351901</v>
      </c>
      <c r="F109" s="68"/>
      <c r="O109" s="8"/>
      <c r="AI109" s="4"/>
      <c r="AJ109" s="374"/>
      <c r="AK109" s="24"/>
      <c r="AM109" s="14"/>
    </row>
    <row r="110" spans="2:39" x14ac:dyDescent="0.25">
      <c r="B110" s="374"/>
      <c r="C110" s="1" t="s">
        <v>72</v>
      </c>
      <c r="D110" s="184">
        <f>D109/D106</f>
        <v>2.6048516937705979</v>
      </c>
      <c r="E110" s="161">
        <f>E109/E106</f>
        <v>2.1665496772373829</v>
      </c>
      <c r="F110" s="14"/>
      <c r="O110" s="8"/>
      <c r="AI110" s="4"/>
      <c r="AJ110" s="374"/>
    </row>
    <row r="111" spans="2:39" x14ac:dyDescent="0.25">
      <c r="B111" s="374"/>
      <c r="C111" s="1"/>
      <c r="D111" s="202"/>
      <c r="E111" s="169"/>
      <c r="F111" s="14"/>
      <c r="O111" s="8"/>
      <c r="AI111" s="4"/>
      <c r="AJ111" s="374"/>
      <c r="AM111" s="8"/>
    </row>
    <row r="112" spans="2:39" x14ac:dyDescent="0.25">
      <c r="B112" s="374"/>
      <c r="C112" s="1" t="s">
        <v>73</v>
      </c>
      <c r="D112" s="168">
        <v>140932</v>
      </c>
      <c r="E112" s="183">
        <v>906525</v>
      </c>
      <c r="F112" s="14"/>
      <c r="O112" s="8"/>
      <c r="AI112" s="4"/>
      <c r="AJ112" s="374"/>
      <c r="AM112" s="14"/>
    </row>
    <row r="113" spans="2:36" x14ac:dyDescent="0.25">
      <c r="B113" s="374"/>
      <c r="C113" s="1" t="s">
        <v>74</v>
      </c>
      <c r="D113" s="184">
        <f>D112/D106</f>
        <v>1.5228483440488412</v>
      </c>
      <c r="E113" s="165">
        <f>E112/E106</f>
        <v>1.4527923613915652</v>
      </c>
      <c r="F113" s="14"/>
      <c r="AI113" s="4"/>
      <c r="AJ113" s="374"/>
    </row>
    <row r="114" spans="2:36" ht="15.75" thickBot="1" x14ac:dyDescent="0.3">
      <c r="B114" s="375"/>
      <c r="C114" s="9" t="s">
        <v>75</v>
      </c>
      <c r="D114" s="185">
        <f>D109/D112</f>
        <v>1.7105128714557376</v>
      </c>
      <c r="E114" s="186">
        <f>E109/E112</f>
        <v>1.4913002950828713</v>
      </c>
      <c r="F114" s="18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11"/>
      <c r="AJ114" s="375"/>
    </row>
    <row r="115" spans="2:36" x14ac:dyDescent="0.25">
      <c r="D115" s="37"/>
      <c r="E115" s="22"/>
      <c r="F115" s="14"/>
    </row>
    <row r="116" spans="2:36" s="35" customFormat="1" x14ac:dyDescent="0.25">
      <c r="B116" s="47"/>
      <c r="C116" s="78"/>
      <c r="D116" s="8"/>
      <c r="E116" s="13"/>
    </row>
    <row r="117" spans="2:36" s="35" customFormat="1" x14ac:dyDescent="0.25">
      <c r="B117" s="47"/>
      <c r="C117" s="78"/>
      <c r="D117" s="8"/>
      <c r="E117" s="34"/>
    </row>
    <row r="118" spans="2:36" s="35" customFormat="1" x14ac:dyDescent="0.25">
      <c r="B118" s="47"/>
      <c r="C118" s="78"/>
      <c r="D118" s="8"/>
      <c r="E118" s="34"/>
    </row>
    <row r="119" spans="2:36" s="35" customFormat="1" x14ac:dyDescent="0.25">
      <c r="B119" s="47"/>
      <c r="C119" s="78"/>
      <c r="D119" s="262"/>
      <c r="E119" s="34"/>
    </row>
    <row r="120" spans="2:36" s="35" customFormat="1" x14ac:dyDescent="0.25">
      <c r="B120" s="47"/>
      <c r="C120" s="78"/>
      <c r="D120" s="8"/>
      <c r="E120" s="78"/>
    </row>
    <row r="121" spans="2:36" s="35" customFormat="1" x14ac:dyDescent="0.25">
      <c r="B121" s="47"/>
      <c r="C121" s="78"/>
      <c r="D121" s="8"/>
      <c r="E121" s="34"/>
    </row>
  </sheetData>
  <mergeCells count="15">
    <mergeCell ref="B105:B114"/>
    <mergeCell ref="AJ105:AJ114"/>
    <mergeCell ref="B4:B49"/>
    <mergeCell ref="B51:B87"/>
    <mergeCell ref="AJ51:AJ87"/>
    <mergeCell ref="B89:B103"/>
    <mergeCell ref="D89:E89"/>
    <mergeCell ref="F89:G89"/>
    <mergeCell ref="AJ89:AJ103"/>
    <mergeCell ref="AJ3:AJ49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9172-F6A7-4CD9-92EE-97BA938B424E}">
  <sheetPr>
    <tabColor theme="4"/>
  </sheetPr>
  <dimension ref="A1:AM122"/>
  <sheetViews>
    <sheetView topLeftCell="A79" zoomScaleNormal="100" workbookViewId="0">
      <selection activeCell="E115" sqref="E115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 x14ac:dyDescent="0.3">
      <c r="A1" s="8"/>
      <c r="B1" s="155"/>
    </row>
    <row r="2" spans="1:38" ht="15.75" thickBot="1" x14ac:dyDescent="0.3">
      <c r="A2" s="149"/>
      <c r="B2" s="154"/>
      <c r="C2" s="396" t="s">
        <v>205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373" t="s">
        <v>10</v>
      </c>
    </row>
    <row r="4" spans="1:38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49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25">
      <c r="A23" s="8"/>
      <c r="B23" s="374"/>
      <c r="C23" s="263">
        <v>44958</v>
      </c>
      <c r="D23" s="246">
        <f t="shared" ref="D23:D49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49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49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25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25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25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 x14ac:dyDescent="0.25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 ht="15.75" thickBot="1" x14ac:dyDescent="0.3">
      <c r="B50" s="375"/>
      <c r="C50" s="58" t="s">
        <v>78</v>
      </c>
      <c r="D50" s="113"/>
      <c r="E50" s="113">
        <f>SUM(E5:E49)</f>
        <v>509723</v>
      </c>
      <c r="F50" s="113">
        <f>SUM(F5:F49)</f>
        <v>328755.52</v>
      </c>
      <c r="G50" s="113">
        <f>SUM(G5:G49)</f>
        <v>324328</v>
      </c>
      <c r="H50" s="113"/>
      <c r="I50" s="113"/>
      <c r="J50" s="130"/>
      <c r="K50" s="130"/>
      <c r="L50" s="130"/>
      <c r="M50" s="130"/>
      <c r="N50" s="130"/>
      <c r="O50" s="328"/>
      <c r="P50" s="328"/>
      <c r="Q50" s="333"/>
      <c r="R50" s="113">
        <f>SUM(R5:R49)</f>
        <v>448241</v>
      </c>
      <c r="S50" s="329"/>
      <c r="T50" s="113"/>
      <c r="U50" s="130"/>
      <c r="V50" s="130"/>
      <c r="W50" s="130"/>
      <c r="X50" s="113">
        <f>SUM(X17:X49)</f>
        <v>54701</v>
      </c>
      <c r="Y50" s="113"/>
      <c r="Z50" s="130"/>
      <c r="AA50" s="130"/>
      <c r="AB50" s="130"/>
      <c r="AC50" s="130"/>
      <c r="AD50" s="113">
        <f>SUM(AD20:AD49)</f>
        <v>9501</v>
      </c>
      <c r="AE50" s="93"/>
      <c r="AF50" s="93"/>
      <c r="AG50" s="93"/>
      <c r="AH50" s="93"/>
      <c r="AI50" s="112"/>
      <c r="AJ50" s="375"/>
      <c r="AK50" s="8"/>
      <c r="AL50" s="142"/>
    </row>
    <row r="51" spans="1:38" ht="15.75" thickBot="1" x14ac:dyDescent="0.3">
      <c r="C51" s="324"/>
      <c r="D51" s="2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44"/>
      <c r="Q51" s="44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L51" s="142"/>
    </row>
    <row r="52" spans="1:38" x14ac:dyDescent="0.25">
      <c r="B52" s="381" t="s">
        <v>13</v>
      </c>
      <c r="C52" s="94"/>
      <c r="D52" s="48" t="s">
        <v>206</v>
      </c>
      <c r="E52" s="48" t="s">
        <v>15</v>
      </c>
      <c r="F52" s="48" t="s">
        <v>207</v>
      </c>
      <c r="G52" s="48" t="s">
        <v>193</v>
      </c>
      <c r="H52" s="48"/>
      <c r="I52" s="48" t="s">
        <v>18</v>
      </c>
      <c r="J52" s="94"/>
      <c r="K52" s="94"/>
      <c r="L52" s="94"/>
      <c r="M52" s="94"/>
      <c r="N52" s="94"/>
      <c r="O52" s="94"/>
      <c r="P52" s="116"/>
      <c r="Q52" s="116"/>
      <c r="R52" s="116"/>
      <c r="S52" s="47"/>
      <c r="T52" s="94"/>
      <c r="U52" s="94"/>
      <c r="V52" s="94"/>
      <c r="W52" s="94"/>
      <c r="X52" s="94"/>
      <c r="Y52" s="94"/>
      <c r="AD52" s="94"/>
      <c r="AE52" s="94"/>
      <c r="AF52" s="94"/>
      <c r="AG52" s="94"/>
      <c r="AH52" s="94"/>
      <c r="AI52" s="49"/>
      <c r="AJ52" s="373" t="s">
        <v>19</v>
      </c>
      <c r="AL52" s="142"/>
    </row>
    <row r="53" spans="1:38" x14ac:dyDescent="0.25">
      <c r="B53" s="382"/>
      <c r="C53" s="156" t="s">
        <v>20</v>
      </c>
      <c r="D53" s="47"/>
      <c r="E53" s="47"/>
      <c r="F53" s="47"/>
      <c r="G53" s="260"/>
      <c r="H53" s="260"/>
      <c r="N53" s="289"/>
      <c r="O53" s="154"/>
      <c r="P53" s="158"/>
      <c r="Q53" s="73"/>
      <c r="T53" s="254"/>
      <c r="U53" s="254"/>
      <c r="V53" s="254"/>
      <c r="W53" s="254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12"/>
      <c r="AJ53" s="374"/>
      <c r="AL53" s="8"/>
    </row>
    <row r="54" spans="1:38" x14ac:dyDescent="0.25">
      <c r="B54" s="382"/>
      <c r="C54" s="47" t="s">
        <v>21</v>
      </c>
      <c r="D54" s="160">
        <v>0.42099999999999999</v>
      </c>
      <c r="E54" s="160">
        <v>0.44800000000000001</v>
      </c>
      <c r="F54" s="14">
        <f>D54/E54</f>
        <v>0.93973214285714279</v>
      </c>
      <c r="G54" s="160">
        <v>0.53100000000000003</v>
      </c>
      <c r="H54" s="160"/>
      <c r="I54" s="14">
        <f>E54/G54</f>
        <v>0.84369114877589446</v>
      </c>
      <c r="J54" s="14"/>
      <c r="K54" s="14"/>
      <c r="L54" s="14"/>
      <c r="M54" s="14"/>
      <c r="N54" s="14"/>
      <c r="O54" s="253"/>
      <c r="P54" s="73"/>
      <c r="R54" s="158"/>
      <c r="S54" s="158"/>
      <c r="T54" s="14"/>
      <c r="U54" s="14"/>
      <c r="V54" s="14"/>
      <c r="W54" s="14"/>
      <c r="X54" s="47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/>
      <c r="AJ54" s="374"/>
      <c r="AL54" s="8"/>
    </row>
    <row r="55" spans="1:38" x14ac:dyDescent="0.25">
      <c r="B55" s="382"/>
      <c r="C55" s="47" t="s">
        <v>22</v>
      </c>
      <c r="D55" s="160">
        <v>0.57899999999999996</v>
      </c>
      <c r="E55" s="160">
        <v>0.55200000000000005</v>
      </c>
      <c r="F55" s="14">
        <f>D55/E55</f>
        <v>1.0489130434782608</v>
      </c>
      <c r="G55" s="160">
        <v>0.46899999999999997</v>
      </c>
      <c r="H55" s="160"/>
      <c r="I55" s="14">
        <f t="shared" ref="I55:I72" si="5">E55/G55</f>
        <v>1.1769722814498935</v>
      </c>
      <c r="J55" s="14"/>
      <c r="K55" s="14"/>
      <c r="L55" s="14"/>
      <c r="M55" s="14"/>
      <c r="N55" s="14"/>
      <c r="O55" s="149"/>
      <c r="P55" s="73"/>
      <c r="Q55" s="73"/>
      <c r="R55" s="158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</row>
    <row r="56" spans="1:38" x14ac:dyDescent="0.25">
      <c r="B56" s="382"/>
      <c r="D56" s="190"/>
      <c r="E56" s="190"/>
      <c r="F56" s="14"/>
      <c r="G56" s="190"/>
      <c r="H56" s="190"/>
      <c r="I56" s="14"/>
      <c r="J56" s="170"/>
      <c r="K56" s="170"/>
      <c r="L56" s="170"/>
      <c r="M56" s="170"/>
      <c r="N56" s="170"/>
      <c r="O56" s="149"/>
      <c r="P56" s="222"/>
      <c r="Q56" s="222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1:38" x14ac:dyDescent="0.25">
      <c r="B57" s="382"/>
      <c r="C57" s="156" t="s">
        <v>23</v>
      </c>
      <c r="D57" s="169"/>
      <c r="E57" s="169"/>
      <c r="F57" s="14"/>
      <c r="G57" s="190"/>
      <c r="H57" s="190"/>
      <c r="I57" s="14"/>
      <c r="J57" s="170"/>
      <c r="K57" s="170"/>
      <c r="L57" s="170"/>
      <c r="M57" s="170"/>
      <c r="N57" s="170"/>
      <c r="O57" s="149"/>
      <c r="P57" s="39"/>
      <c r="Q57" s="3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 x14ac:dyDescent="0.25">
      <c r="B58" s="382"/>
      <c r="C58" s="47" t="s">
        <v>24</v>
      </c>
      <c r="D58" s="160">
        <v>2.5999999999999999E-2</v>
      </c>
      <c r="E58" s="160">
        <v>8.0000000000000002E-3</v>
      </c>
      <c r="F58" s="14">
        <f t="shared" ref="F58:F63" si="6">D58/E58</f>
        <v>3.25</v>
      </c>
      <c r="G58" s="160">
        <v>1.2E-2</v>
      </c>
      <c r="H58" s="160"/>
      <c r="I58" s="14">
        <f t="shared" si="5"/>
        <v>0.66666666666666663</v>
      </c>
      <c r="J58" s="14"/>
      <c r="K58" s="14"/>
      <c r="L58" s="14"/>
      <c r="M58" s="14"/>
      <c r="N58" s="14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 x14ac:dyDescent="0.25">
      <c r="B59" s="382"/>
      <c r="C59" s="47" t="s">
        <v>25</v>
      </c>
      <c r="D59" s="160">
        <v>0.184</v>
      </c>
      <c r="E59" s="160">
        <v>0.113</v>
      </c>
      <c r="F59" s="14">
        <f t="shared" si="6"/>
        <v>1.6283185840707963</v>
      </c>
      <c r="G59" s="160">
        <v>0.122</v>
      </c>
      <c r="H59" s="160"/>
      <c r="I59" s="14">
        <f t="shared" si="5"/>
        <v>0.92622950819672134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 x14ac:dyDescent="0.25">
      <c r="B60" s="382"/>
      <c r="C60" s="47" t="s">
        <v>26</v>
      </c>
      <c r="D60" s="160">
        <v>0.32500000000000001</v>
      </c>
      <c r="E60" s="160">
        <v>0.35099999999999998</v>
      </c>
      <c r="F60" s="14">
        <f t="shared" si="6"/>
        <v>0.92592592592592604</v>
      </c>
      <c r="G60" s="160">
        <v>0.27200000000000002</v>
      </c>
      <c r="H60" s="160"/>
      <c r="I60" s="14">
        <f t="shared" si="5"/>
        <v>1.2904411764705881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 x14ac:dyDescent="0.25">
      <c r="B61" s="382"/>
      <c r="C61" s="47" t="s">
        <v>27</v>
      </c>
      <c r="D61" s="160">
        <v>0.36599999999999999</v>
      </c>
      <c r="E61" s="160">
        <v>0.36499999999999999</v>
      </c>
      <c r="F61" s="14">
        <f t="shared" si="6"/>
        <v>1.0027397260273974</v>
      </c>
      <c r="G61" s="160">
        <v>0.34699999999999998</v>
      </c>
      <c r="H61" s="160"/>
      <c r="I61" s="14">
        <f t="shared" si="5"/>
        <v>1.0518731988472623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 x14ac:dyDescent="0.25">
      <c r="B62" s="382"/>
      <c r="C62" s="47" t="s">
        <v>28</v>
      </c>
      <c r="D62" s="160">
        <v>8.7999999999999995E-2</v>
      </c>
      <c r="E62" s="160">
        <v>0.13900000000000001</v>
      </c>
      <c r="F62" s="14">
        <f t="shared" si="6"/>
        <v>0.63309352517985606</v>
      </c>
      <c r="G62" s="160">
        <v>0.17</v>
      </c>
      <c r="H62" s="160"/>
      <c r="I62" s="14">
        <f t="shared" si="5"/>
        <v>0.81764705882352939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 x14ac:dyDescent="0.25">
      <c r="B63" s="382"/>
      <c r="C63" s="47" t="s">
        <v>29</v>
      </c>
      <c r="D63" s="160">
        <v>1.2E-2</v>
      </c>
      <c r="E63" s="160">
        <v>2.4E-2</v>
      </c>
      <c r="F63" s="14">
        <f t="shared" si="6"/>
        <v>0.5</v>
      </c>
      <c r="G63" s="160">
        <v>7.6999999999999999E-2</v>
      </c>
      <c r="H63" s="160"/>
      <c r="I63" s="14">
        <f t="shared" si="5"/>
        <v>0.31168831168831168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 x14ac:dyDescent="0.25">
      <c r="B64" s="382"/>
      <c r="D64" s="190"/>
      <c r="E64" s="190"/>
      <c r="F64" s="14"/>
      <c r="G64" s="160"/>
      <c r="H64" s="190"/>
      <c r="I64" s="170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25">
      <c r="B65" s="382"/>
      <c r="C65" s="156" t="s">
        <v>30</v>
      </c>
      <c r="D65" s="169"/>
      <c r="E65" s="169"/>
      <c r="F65" s="14"/>
      <c r="G65" s="190"/>
      <c r="H65" s="190"/>
      <c r="I65" s="170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25">
      <c r="B66" s="382"/>
      <c r="C66" s="47" t="s">
        <v>31</v>
      </c>
      <c r="D66" s="160">
        <v>0.499</v>
      </c>
      <c r="E66" s="163">
        <v>0.47699999999999998</v>
      </c>
      <c r="F66" s="14">
        <f>D66/E66</f>
        <v>1.0461215932914047</v>
      </c>
      <c r="G66" s="160">
        <v>0.47299999999999998</v>
      </c>
      <c r="H66" s="160"/>
      <c r="I66" s="14">
        <f>E66/G66</f>
        <v>1.0084566596194504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25">
      <c r="B67" s="382"/>
      <c r="C67" s="47" t="s">
        <v>32</v>
      </c>
      <c r="D67" s="160">
        <v>0.16400000000000001</v>
      </c>
      <c r="E67" s="160">
        <v>0.19800000000000001</v>
      </c>
      <c r="F67" s="14">
        <f>D67/E67</f>
        <v>0.82828282828282829</v>
      </c>
      <c r="G67" s="160">
        <v>0.158</v>
      </c>
      <c r="H67" s="160"/>
      <c r="I67" s="14">
        <f t="shared" si="5"/>
        <v>1.2531645569620253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25">
      <c r="B68" s="382"/>
      <c r="C68" s="47" t="s">
        <v>33</v>
      </c>
      <c r="D68" s="160">
        <v>0.112</v>
      </c>
      <c r="E68" s="160">
        <v>0.122</v>
      </c>
      <c r="F68" s="14">
        <f>D68/E68</f>
        <v>0.91803278688524592</v>
      </c>
      <c r="G68" s="160">
        <v>0.122</v>
      </c>
      <c r="H68" s="160"/>
      <c r="I68" s="14">
        <f t="shared" si="5"/>
        <v>1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25">
      <c r="B69" s="382"/>
      <c r="C69" s="47" t="s">
        <v>34</v>
      </c>
      <c r="D69" s="160">
        <v>9.9000000000000005E-2</v>
      </c>
      <c r="E69" s="160">
        <v>9.8000000000000004E-2</v>
      </c>
      <c r="F69" s="14">
        <f t="shared" ref="F69:F72" si="7">D69/E69</f>
        <v>1.010204081632653</v>
      </c>
      <c r="G69" s="160">
        <v>0.115</v>
      </c>
      <c r="H69" s="160"/>
      <c r="I69" s="14">
        <f t="shared" si="5"/>
        <v>0.85217391304347823</v>
      </c>
      <c r="J69" s="14"/>
      <c r="K69" s="14"/>
      <c r="L69" s="14"/>
      <c r="M69" s="14"/>
      <c r="N69" s="14"/>
      <c r="O69" s="223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25">
      <c r="B70" s="382"/>
      <c r="C70" s="47" t="s">
        <v>35</v>
      </c>
      <c r="D70" s="160">
        <v>3.1E-2</v>
      </c>
      <c r="E70" s="160">
        <v>2.4E-2</v>
      </c>
      <c r="F70" s="14">
        <f t="shared" si="7"/>
        <v>1.2916666666666667</v>
      </c>
      <c r="G70" s="160">
        <v>3.3000000000000002E-2</v>
      </c>
      <c r="H70" s="160"/>
      <c r="I70" s="14">
        <f t="shared" si="5"/>
        <v>0.72727272727272729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25">
      <c r="B71" s="382"/>
      <c r="C71" s="47" t="s">
        <v>36</v>
      </c>
      <c r="D71" s="160">
        <v>1.7000000000000001E-2</v>
      </c>
      <c r="E71" s="160">
        <v>1.4999999999999999E-2</v>
      </c>
      <c r="F71" s="14">
        <f t="shared" si="7"/>
        <v>1.1333333333333335</v>
      </c>
      <c r="G71" s="160">
        <v>1.9E-2</v>
      </c>
      <c r="H71" s="160"/>
      <c r="I71" s="14">
        <f t="shared" si="5"/>
        <v>0.78947368421052633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25">
      <c r="B72" s="382"/>
      <c r="C72" s="47" t="s">
        <v>37</v>
      </c>
      <c r="D72" s="160">
        <v>7.6999999999999999E-2</v>
      </c>
      <c r="E72" s="160">
        <v>6.6000000000000003E-2</v>
      </c>
      <c r="F72" s="14">
        <f t="shared" si="7"/>
        <v>1.1666666666666665</v>
      </c>
      <c r="G72" s="160">
        <v>0.08</v>
      </c>
      <c r="H72" s="160"/>
      <c r="I72" s="14">
        <f t="shared" si="5"/>
        <v>0.82500000000000007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25">
      <c r="B73" s="382"/>
      <c r="D73" s="190"/>
      <c r="E73" s="190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222"/>
      <c r="Q73" s="222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25">
      <c r="B74" s="382"/>
      <c r="C74" s="156" t="s">
        <v>38</v>
      </c>
      <c r="D74" s="169"/>
      <c r="E74" s="169"/>
      <c r="F74" s="14"/>
      <c r="G74" s="190"/>
      <c r="H74" s="190"/>
      <c r="I74" s="170"/>
      <c r="J74" s="170"/>
      <c r="K74" s="170"/>
      <c r="L74" s="170"/>
      <c r="M74" s="170"/>
      <c r="N74" s="170"/>
      <c r="O74" s="149"/>
      <c r="P74" s="222"/>
      <c r="Q74" s="222"/>
      <c r="R74" s="239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25">
      <c r="B75" s="382"/>
      <c r="C75" s="47" t="s">
        <v>39</v>
      </c>
      <c r="D75" s="160">
        <v>0.57999999999999996</v>
      </c>
      <c r="E75" s="160">
        <v>0.48399999999999999</v>
      </c>
      <c r="F75" s="14">
        <f>D75/E75</f>
        <v>1.1983471074380165</v>
      </c>
      <c r="G75" s="164">
        <v>0.49399999999999999</v>
      </c>
      <c r="H75" s="164"/>
      <c r="I75" s="72">
        <f>E75/G75</f>
        <v>0.97975708502024295</v>
      </c>
      <c r="J75" s="72"/>
      <c r="K75" s="72"/>
      <c r="L75" s="72"/>
      <c r="M75" s="72"/>
      <c r="N75" s="72"/>
      <c r="O75" s="149"/>
      <c r="P75" s="240"/>
      <c r="Q75" s="240"/>
      <c r="R75" s="241"/>
      <c r="S75" s="16"/>
      <c r="T75" s="16"/>
      <c r="U75" s="16"/>
      <c r="V75" s="16"/>
      <c r="W75" s="16"/>
      <c r="X75" s="68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36"/>
      <c r="AJ75" s="374"/>
    </row>
    <row r="76" spans="2:36" x14ac:dyDescent="0.25">
      <c r="B76" s="382"/>
      <c r="C76" s="47" t="s">
        <v>40</v>
      </c>
      <c r="D76" s="160">
        <v>4.8000000000000001E-2</v>
      </c>
      <c r="E76" s="160">
        <v>4.9000000000000002E-2</v>
      </c>
      <c r="F76" s="14">
        <f>D76/E76</f>
        <v>0.97959183673469385</v>
      </c>
      <c r="G76" s="160">
        <v>6.6000000000000003E-2</v>
      </c>
      <c r="H76" s="160"/>
      <c r="I76" s="72">
        <f>E76/G76</f>
        <v>0.74242424242424243</v>
      </c>
      <c r="J76" s="72"/>
      <c r="K76" s="72"/>
      <c r="L76" s="72"/>
      <c r="M76" s="72"/>
      <c r="N76" s="72"/>
      <c r="O76" s="149"/>
      <c r="P76" s="240"/>
      <c r="Q76" s="240"/>
      <c r="R76" s="241"/>
      <c r="S76" s="14"/>
      <c r="T76" s="16"/>
      <c r="U76" s="16"/>
      <c r="V76" s="16"/>
      <c r="W76" s="1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25">
      <c r="B77" s="382"/>
      <c r="C77" s="47" t="s">
        <v>41</v>
      </c>
      <c r="D77" s="160">
        <v>8.1000000000000003E-2</v>
      </c>
      <c r="E77" s="160">
        <v>8.8999999999999996E-2</v>
      </c>
      <c r="F77" s="14">
        <f>D77/E77</f>
        <v>0.91011235955056191</v>
      </c>
      <c r="G77" s="160">
        <v>0.11799999999999999</v>
      </c>
      <c r="H77" s="160"/>
      <c r="I77" s="72">
        <f>E77/G77</f>
        <v>0.75423728813559321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25">
      <c r="B78" s="382"/>
      <c r="C78" s="47" t="s">
        <v>42</v>
      </c>
      <c r="D78" s="160">
        <v>9.4E-2</v>
      </c>
      <c r="E78" s="160">
        <v>0.11</v>
      </c>
      <c r="F78" s="14">
        <f>D78/E78</f>
        <v>0.8545454545454545</v>
      </c>
      <c r="G78" s="160">
        <v>0.129</v>
      </c>
      <c r="H78" s="160"/>
      <c r="I78" s="72">
        <f>E78/G78</f>
        <v>0.8527131782945736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25">
      <c r="B79" s="382"/>
      <c r="C79" s="47" t="s">
        <v>43</v>
      </c>
      <c r="D79" s="160">
        <v>0.108</v>
      </c>
      <c r="E79" s="160">
        <v>0.13800000000000001</v>
      </c>
      <c r="F79" s="14">
        <f>D79/E79</f>
        <v>0.78260869565217384</v>
      </c>
      <c r="G79" s="160">
        <v>0.122</v>
      </c>
      <c r="H79" s="160"/>
      <c r="I79" s="72">
        <f>E79/G79</f>
        <v>1.1311475409836067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25">
      <c r="B80" s="382"/>
      <c r="C80" s="47" t="s">
        <v>44</v>
      </c>
      <c r="D80" s="160">
        <v>8.8999999999999996E-2</v>
      </c>
      <c r="E80" s="160">
        <v>0.13100000000000001</v>
      </c>
      <c r="F80" s="14">
        <f t="shared" ref="F80:F88" si="8">D80/E80</f>
        <v>0.67938931297709915</v>
      </c>
      <c r="G80" s="160">
        <v>7.0999999999999994E-2</v>
      </c>
      <c r="H80" s="160"/>
      <c r="I80" s="72">
        <f t="shared" ref="I80" si="9">E80/G80</f>
        <v>1.8450704225352115</v>
      </c>
      <c r="J80" s="72"/>
      <c r="K80" s="72"/>
      <c r="L80" s="72"/>
      <c r="M80" s="72"/>
      <c r="N80" s="72"/>
      <c r="P80" s="34"/>
      <c r="Q80" s="34"/>
      <c r="R80" s="239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25">
      <c r="B81" s="382"/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25">
      <c r="B82" s="382"/>
      <c r="C82" s="156" t="s">
        <v>194</v>
      </c>
      <c r="D82" s="190"/>
      <c r="E82" s="16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39"/>
      <c r="Q82" s="3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25">
      <c r="B83" s="382"/>
      <c r="C83" s="47" t="s">
        <v>39</v>
      </c>
      <c r="D83" s="160">
        <v>0.255</v>
      </c>
      <c r="E83" s="160">
        <v>0.13300000000000001</v>
      </c>
      <c r="F83" s="14">
        <f t="shared" si="8"/>
        <v>1.9172932330827066</v>
      </c>
      <c r="G83" s="163">
        <v>0.219</v>
      </c>
      <c r="H83" s="163"/>
      <c r="I83" s="72">
        <f>E83/G83</f>
        <v>0.60730593607305938</v>
      </c>
      <c r="J83" s="72"/>
      <c r="K83" s="72"/>
      <c r="L83" s="72"/>
      <c r="M83" s="72"/>
      <c r="N83" s="72"/>
      <c r="O83" s="149"/>
      <c r="P83" s="38"/>
      <c r="Q83" s="38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25">
      <c r="B84" s="382"/>
      <c r="C84" s="47" t="s">
        <v>40</v>
      </c>
      <c r="D84" s="160">
        <v>6.8000000000000005E-2</v>
      </c>
      <c r="E84" s="160">
        <v>6.7000000000000004E-2</v>
      </c>
      <c r="F84" s="14">
        <f t="shared" si="8"/>
        <v>1.0149253731343284</v>
      </c>
      <c r="G84" s="163">
        <v>0.16700000000000001</v>
      </c>
      <c r="H84" s="163"/>
      <c r="I84" s="72">
        <f t="shared" ref="I84:I88" si="10">E84/G84</f>
        <v>0.40119760479041916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25">
      <c r="B85" s="382"/>
      <c r="C85" s="47" t="s">
        <v>41</v>
      </c>
      <c r="D85" s="160">
        <v>0.13800000000000001</v>
      </c>
      <c r="E85" s="160">
        <v>0.14599999999999999</v>
      </c>
      <c r="F85" s="14">
        <f t="shared" si="8"/>
        <v>0.94520547945205491</v>
      </c>
      <c r="G85" s="163">
        <v>0.24199999999999999</v>
      </c>
      <c r="H85" s="163"/>
      <c r="I85" s="72">
        <f t="shared" si="10"/>
        <v>0.60330578512396693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25">
      <c r="B86" s="382"/>
      <c r="C86" s="47" t="s">
        <v>42</v>
      </c>
      <c r="D86" s="160">
        <v>0.16500000000000001</v>
      </c>
      <c r="E86" s="160">
        <v>0.17899999999999999</v>
      </c>
      <c r="F86" s="14">
        <f t="shared" si="8"/>
        <v>0.92178770949720679</v>
      </c>
      <c r="G86" s="163">
        <v>0.192</v>
      </c>
      <c r="H86" s="163"/>
      <c r="I86" s="72">
        <f t="shared" si="10"/>
        <v>0.93229166666666663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x14ac:dyDescent="0.25">
      <c r="B87" s="382"/>
      <c r="C87" s="47" t="s">
        <v>43</v>
      </c>
      <c r="D87" s="160">
        <v>0.19800000000000001</v>
      </c>
      <c r="E87" s="160">
        <v>0.23300000000000001</v>
      </c>
      <c r="F87" s="14">
        <f t="shared" si="8"/>
        <v>0.84978540772532185</v>
      </c>
      <c r="G87" s="163">
        <v>0.125</v>
      </c>
      <c r="H87" s="163"/>
      <c r="I87" s="72">
        <f t="shared" si="10"/>
        <v>1.8640000000000001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 ht="15.75" thickBot="1" x14ac:dyDescent="0.3">
      <c r="B88" s="383"/>
      <c r="C88" s="47" t="s">
        <v>44</v>
      </c>
      <c r="D88" s="160">
        <v>0.17699999999999999</v>
      </c>
      <c r="E88" s="160">
        <v>0.24099999999999999</v>
      </c>
      <c r="F88" s="14">
        <f t="shared" si="8"/>
        <v>0.73443983402489621</v>
      </c>
      <c r="G88" s="163">
        <v>5.5E-2</v>
      </c>
      <c r="H88" s="163"/>
      <c r="I88" s="72">
        <f t="shared" si="10"/>
        <v>4.3818181818181818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5"/>
    </row>
    <row r="89" spans="2:36" ht="15.75" thickBot="1" x14ac:dyDescent="0.3">
      <c r="B89" s="266"/>
      <c r="C89" s="224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25"/>
    </row>
    <row r="90" spans="2:36" x14ac:dyDescent="0.25">
      <c r="B90" s="373" t="s">
        <v>45</v>
      </c>
      <c r="C90" s="5"/>
      <c r="D90" s="385" t="s">
        <v>46</v>
      </c>
      <c r="E90" s="385"/>
      <c r="F90" s="385" t="s">
        <v>47</v>
      </c>
      <c r="G90" s="385"/>
      <c r="H90" s="48"/>
      <c r="I90" s="42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7"/>
      <c r="AJ90" s="386" t="s">
        <v>48</v>
      </c>
    </row>
    <row r="91" spans="2:36" x14ac:dyDescent="0.25">
      <c r="B91" s="374"/>
      <c r="C91" s="1"/>
      <c r="D91" s="40" t="s">
        <v>49</v>
      </c>
      <c r="E91" s="40" t="s">
        <v>50</v>
      </c>
      <c r="F91" s="40" t="s">
        <v>49</v>
      </c>
      <c r="G91" s="40" t="s">
        <v>50</v>
      </c>
      <c r="H91" s="40"/>
      <c r="I91" s="41" t="s">
        <v>51</v>
      </c>
      <c r="J91" s="96" t="s">
        <v>52</v>
      </c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9"/>
      <c r="AJ91" s="387"/>
    </row>
    <row r="92" spans="2:36" x14ac:dyDescent="0.25">
      <c r="B92" s="374"/>
      <c r="C92" s="2" t="s">
        <v>53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4"/>
      <c r="AJ92" s="387"/>
    </row>
    <row r="93" spans="2:36" x14ac:dyDescent="0.25">
      <c r="B93" s="374"/>
      <c r="C93" s="1" t="s">
        <v>54</v>
      </c>
      <c r="D93" s="167">
        <v>2449542</v>
      </c>
      <c r="E93" s="163">
        <f>D93/D95</f>
        <v>0.62320496133371461</v>
      </c>
      <c r="F93" s="168">
        <v>201155</v>
      </c>
      <c r="G93" s="160">
        <f>F93/$F$95</f>
        <v>0.61205519465701119</v>
      </c>
      <c r="H93" s="160"/>
      <c r="I93" s="161">
        <f>G93/E93</f>
        <v>0.98210898922748957</v>
      </c>
      <c r="J93" s="191">
        <f>F93/D93</f>
        <v>8.2119432938892248E-2</v>
      </c>
      <c r="K93" s="191"/>
      <c r="L93" s="161"/>
      <c r="M93" s="161"/>
      <c r="N93" s="161"/>
      <c r="P93" s="39"/>
      <c r="Q93" s="39"/>
      <c r="R93" s="39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82"/>
      <c r="AJ93" s="387"/>
    </row>
    <row r="94" spans="2:36" x14ac:dyDescent="0.25">
      <c r="B94" s="374"/>
      <c r="C94" s="1" t="s">
        <v>55</v>
      </c>
      <c r="D94" s="167">
        <f>SUM(D98:D104)</f>
        <v>1481014</v>
      </c>
      <c r="E94" s="163">
        <f>D94/D95</f>
        <v>0.37679503866628539</v>
      </c>
      <c r="F94" s="168">
        <f>SUM(F98:F104)</f>
        <v>127500</v>
      </c>
      <c r="G94" s="160">
        <f>F94/$F$95</f>
        <v>0.38794480534298886</v>
      </c>
      <c r="H94" s="160"/>
      <c r="I94" s="161">
        <f>G94/E94</f>
        <v>1.0295910655197837</v>
      </c>
      <c r="J94" s="191">
        <f>F94/D94</f>
        <v>8.6089665593978182E-2</v>
      </c>
      <c r="K94" s="191"/>
      <c r="L94" s="161"/>
      <c r="M94" s="161"/>
      <c r="N94" s="161"/>
      <c r="P94" s="39"/>
      <c r="Q94" s="39"/>
      <c r="R94" s="39"/>
      <c r="S94" s="252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25">
      <c r="B95" s="374"/>
      <c r="C95" s="1" t="s">
        <v>53</v>
      </c>
      <c r="D95" s="167">
        <f>SUM(D93:D94)</f>
        <v>3930556</v>
      </c>
      <c r="E95" s="192"/>
      <c r="F95" s="168">
        <f>SUM(F93:F94)</f>
        <v>328655</v>
      </c>
      <c r="G95" s="169"/>
      <c r="H95" s="169"/>
      <c r="I95" s="161"/>
      <c r="J95" s="191">
        <f>F95/D95</f>
        <v>8.3615396905679498E-2</v>
      </c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25">
      <c r="B96" s="374"/>
      <c r="C96" s="1"/>
      <c r="D96" s="192"/>
      <c r="E96" s="192"/>
      <c r="F96" s="171"/>
      <c r="G96" s="169"/>
      <c r="H96" s="169"/>
      <c r="I96" s="161"/>
      <c r="J96" s="191"/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25">
      <c r="B97" s="374"/>
      <c r="C97" s="2" t="s">
        <v>56</v>
      </c>
      <c r="D97" s="192"/>
      <c r="E97" s="192"/>
      <c r="F97" s="169"/>
      <c r="G97" s="169"/>
      <c r="H97" s="169"/>
      <c r="I97" s="161"/>
      <c r="J97" s="191"/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25">
      <c r="B98" s="374"/>
      <c r="C98" s="1" t="s">
        <v>57</v>
      </c>
      <c r="D98" s="167">
        <v>522769</v>
      </c>
      <c r="E98" s="163">
        <f>D98/$D$94</f>
        <v>0.35298045798351668</v>
      </c>
      <c r="F98" s="168">
        <v>41937</v>
      </c>
      <c r="G98" s="160">
        <f>F98/$F$94</f>
        <v>0.32891764705882354</v>
      </c>
      <c r="H98" s="160"/>
      <c r="I98" s="161">
        <f t="shared" ref="I98:I104" si="11">G98/E98</f>
        <v>0.9318296229140911</v>
      </c>
      <c r="J98" s="191">
        <f t="shared" ref="J98:J104" si="12">F98/D98</f>
        <v>8.0220900627236885E-2</v>
      </c>
      <c r="K98" s="191"/>
      <c r="L98" s="163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25">
      <c r="B99" s="374"/>
      <c r="C99" s="1" t="s">
        <v>58</v>
      </c>
      <c r="D99" s="167">
        <v>137929</v>
      </c>
      <c r="E99" s="163">
        <f t="shared" ref="E99:E104" si="13">D99/$D$94</f>
        <v>9.313146263303386E-2</v>
      </c>
      <c r="F99" s="168">
        <v>21752</v>
      </c>
      <c r="G99" s="160">
        <f t="shared" ref="G99:G101" si="14">F99/$F$94</f>
        <v>0.17060392156862744</v>
      </c>
      <c r="H99" s="160"/>
      <c r="I99" s="161">
        <f t="shared" si="11"/>
        <v>1.8318612931148575</v>
      </c>
      <c r="J99" s="191">
        <f t="shared" si="12"/>
        <v>0.15770432613881055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25">
      <c r="B100" s="374"/>
      <c r="C100" s="1" t="s">
        <v>59</v>
      </c>
      <c r="D100" s="167">
        <v>207513</v>
      </c>
      <c r="E100" s="163">
        <f t="shared" si="13"/>
        <v>0.14011548844237801</v>
      </c>
      <c r="F100" s="168">
        <v>28445</v>
      </c>
      <c r="G100" s="160">
        <f t="shared" si="14"/>
        <v>0.22309803921568627</v>
      </c>
      <c r="H100" s="160"/>
      <c r="I100" s="161">
        <f t="shared" si="11"/>
        <v>1.5922439531546475</v>
      </c>
      <c r="J100" s="191">
        <f t="shared" si="12"/>
        <v>0.13707574947111748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25">
      <c r="B101" s="374"/>
      <c r="C101" s="172" t="s">
        <v>60</v>
      </c>
      <c r="D101" s="168">
        <v>364089</v>
      </c>
      <c r="E101" s="163">
        <f t="shared" si="13"/>
        <v>0.24583764907016409</v>
      </c>
      <c r="F101" s="174">
        <v>19956</v>
      </c>
      <c r="G101" s="160">
        <f t="shared" si="14"/>
        <v>0.15651764705882354</v>
      </c>
      <c r="H101" s="160"/>
      <c r="I101" s="161">
        <f t="shared" si="11"/>
        <v>0.6366707770385166</v>
      </c>
      <c r="J101" s="191">
        <f t="shared" si="12"/>
        <v>5.4810774288704137E-2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25">
      <c r="B102" s="374"/>
      <c r="C102" s="1" t="s">
        <v>61</v>
      </c>
      <c r="D102" s="167">
        <v>123062</v>
      </c>
      <c r="E102" s="163">
        <f t="shared" si="13"/>
        <v>8.3093070018244258E-2</v>
      </c>
      <c r="F102" s="168">
        <v>5440</v>
      </c>
      <c r="G102" s="160">
        <f>F102/$F$94</f>
        <v>4.2666666666666665E-2</v>
      </c>
      <c r="H102" s="160"/>
      <c r="I102" s="161">
        <f t="shared" si="11"/>
        <v>0.51348044617076483</v>
      </c>
      <c r="J102" s="191">
        <f t="shared" si="12"/>
        <v>4.4205359899887858E-2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 x14ac:dyDescent="0.25">
      <c r="B103" s="374"/>
      <c r="C103" s="1" t="s">
        <v>62</v>
      </c>
      <c r="D103" s="167">
        <v>96909</v>
      </c>
      <c r="E103" s="163">
        <f t="shared" si="13"/>
        <v>6.5434222768994757E-2</v>
      </c>
      <c r="F103" s="168">
        <v>6758</v>
      </c>
      <c r="G103" s="160">
        <f>F103/$F$94</f>
        <v>5.3003921568627453E-2</v>
      </c>
      <c r="H103" s="160"/>
      <c r="I103" s="161">
        <f t="shared" si="11"/>
        <v>0.81003363875428724</v>
      </c>
      <c r="J103" s="191">
        <f t="shared" si="12"/>
        <v>6.9735525080229913E-2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  <c r="AM103" s="13"/>
    </row>
    <row r="104" spans="2:39" ht="15.75" thickBot="1" x14ac:dyDescent="0.3">
      <c r="B104" s="375"/>
      <c r="C104" s="9" t="s">
        <v>63</v>
      </c>
      <c r="D104" s="175">
        <v>28743</v>
      </c>
      <c r="E104" s="179">
        <f t="shared" si="13"/>
        <v>1.9407649083668353E-2</v>
      </c>
      <c r="F104" s="177">
        <v>3212</v>
      </c>
      <c r="G104" s="176">
        <f>F104/$F$94</f>
        <v>2.5192156862745098E-2</v>
      </c>
      <c r="H104" s="176"/>
      <c r="I104" s="178">
        <f t="shared" si="11"/>
        <v>1.2980529869506163</v>
      </c>
      <c r="J104" s="198">
        <f t="shared" si="12"/>
        <v>0.11174894756984309</v>
      </c>
      <c r="K104" s="198"/>
      <c r="L104" s="179"/>
      <c r="M104" s="178"/>
      <c r="N104" s="178"/>
      <c r="O104" s="100"/>
      <c r="P104" s="100"/>
      <c r="Q104" s="100"/>
      <c r="R104" s="100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83"/>
      <c r="AJ104" s="388"/>
    </row>
    <row r="105" spans="2:39" ht="15.75" thickBot="1" x14ac:dyDescent="0.3">
      <c r="D105" s="8"/>
    </row>
    <row r="106" spans="2:39" x14ac:dyDescent="0.25">
      <c r="B106" s="373" t="s">
        <v>64</v>
      </c>
      <c r="C106" s="21" t="s">
        <v>65</v>
      </c>
      <c r="D106" s="23" t="s">
        <v>66</v>
      </c>
      <c r="E106" s="48" t="s">
        <v>67</v>
      </c>
      <c r="F106" s="48" t="s">
        <v>68</v>
      </c>
      <c r="G106" s="48" t="s">
        <v>51</v>
      </c>
      <c r="H106" s="9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373" t="s">
        <v>19</v>
      </c>
    </row>
    <row r="107" spans="2:39" x14ac:dyDescent="0.25">
      <c r="B107" s="374"/>
      <c r="C107" s="1" t="s">
        <v>69</v>
      </c>
      <c r="D107" s="168">
        <v>113499</v>
      </c>
      <c r="E107" s="180">
        <v>873974</v>
      </c>
      <c r="F107" s="68"/>
      <c r="O107" s="8"/>
      <c r="AI107" s="4"/>
      <c r="AJ107" s="374"/>
    </row>
    <row r="108" spans="2:39" x14ac:dyDescent="0.25">
      <c r="B108" s="374"/>
      <c r="C108" s="1" t="s">
        <v>70</v>
      </c>
      <c r="D108" s="13">
        <f>D107/I49</f>
        <v>0.61216795663547374</v>
      </c>
      <c r="E108" s="312">
        <v>0.21879999999999999</v>
      </c>
      <c r="F108" s="68"/>
      <c r="O108" s="8"/>
      <c r="AI108" s="4"/>
      <c r="AJ108" s="374"/>
    </row>
    <row r="109" spans="2:39" x14ac:dyDescent="0.25">
      <c r="B109" s="374"/>
      <c r="C109" s="1"/>
      <c r="D109" s="199"/>
      <c r="E109" s="200"/>
      <c r="F109" s="14"/>
      <c r="O109" s="8"/>
      <c r="AI109" s="4"/>
      <c r="AJ109" s="374"/>
      <c r="AM109" s="8"/>
    </row>
    <row r="110" spans="2:39" ht="14.45" customHeight="1" x14ac:dyDescent="0.25">
      <c r="B110" s="374"/>
      <c r="C110" s="1" t="s">
        <v>71</v>
      </c>
      <c r="D110" s="168">
        <v>328805</v>
      </c>
      <c r="E110" s="183">
        <v>1802463</v>
      </c>
      <c r="F110" s="68"/>
      <c r="O110" s="8"/>
      <c r="AI110" s="4"/>
      <c r="AJ110" s="374"/>
      <c r="AK110" s="24"/>
      <c r="AM110" s="14"/>
    </row>
    <row r="111" spans="2:39" x14ac:dyDescent="0.25">
      <c r="B111" s="374"/>
      <c r="C111" s="1" t="s">
        <v>72</v>
      </c>
      <c r="D111" s="184">
        <f>D110/D107</f>
        <v>2.8969858765275465</v>
      </c>
      <c r="E111" s="161">
        <f>E110/E107</f>
        <v>2.0623759974553018</v>
      </c>
      <c r="F111" s="14"/>
      <c r="O111" s="8"/>
      <c r="AI111" s="4"/>
      <c r="AJ111" s="374"/>
    </row>
    <row r="112" spans="2:39" x14ac:dyDescent="0.25">
      <c r="B112" s="374"/>
      <c r="C112" s="1"/>
      <c r="D112" s="202"/>
      <c r="E112" s="169"/>
      <c r="F112" s="14"/>
      <c r="O112" s="8"/>
      <c r="AI112" s="4"/>
      <c r="AJ112" s="374"/>
      <c r="AM112" s="8"/>
    </row>
    <row r="113" spans="2:39" x14ac:dyDescent="0.25">
      <c r="B113" s="374"/>
      <c r="C113" s="1" t="s">
        <v>73</v>
      </c>
      <c r="D113" s="168">
        <v>181641</v>
      </c>
      <c r="E113" s="183">
        <v>1339138</v>
      </c>
      <c r="F113" s="14"/>
      <c r="O113" s="8"/>
      <c r="AI113" s="4"/>
      <c r="AJ113" s="374"/>
      <c r="AM113" s="14"/>
    </row>
    <row r="114" spans="2:39" x14ac:dyDescent="0.25">
      <c r="B114" s="374"/>
      <c r="C114" s="1" t="s">
        <v>74</v>
      </c>
      <c r="D114" s="184">
        <f>D113/D107</f>
        <v>1.6003753337033806</v>
      </c>
      <c r="E114" s="165">
        <f>E113/E107</f>
        <v>1.532240089522114</v>
      </c>
      <c r="F114" s="14"/>
      <c r="AI114" s="4"/>
      <c r="AJ114" s="374"/>
    </row>
    <row r="115" spans="2:39" ht="15.75" thickBot="1" x14ac:dyDescent="0.3">
      <c r="B115" s="375"/>
      <c r="C115" s="9" t="s">
        <v>75</v>
      </c>
      <c r="D115" s="185">
        <f>D110/D113</f>
        <v>1.8101915316475905</v>
      </c>
      <c r="E115" s="186">
        <f>E110/E113</f>
        <v>1.3459874934472773</v>
      </c>
      <c r="F115" s="18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11"/>
      <c r="AJ115" s="375"/>
    </row>
    <row r="116" spans="2:39" x14ac:dyDescent="0.25">
      <c r="D116" s="37"/>
      <c r="E116" s="22"/>
      <c r="F116" s="14"/>
    </row>
    <row r="117" spans="2:39" s="35" customFormat="1" x14ac:dyDescent="0.25">
      <c r="B117" s="47"/>
      <c r="C117" s="78"/>
      <c r="D117" s="8"/>
      <c r="E117" s="13"/>
    </row>
    <row r="118" spans="2:39" s="35" customFormat="1" x14ac:dyDescent="0.25">
      <c r="B118" s="47"/>
      <c r="C118" s="78"/>
      <c r="D118" s="8"/>
      <c r="E118" s="34"/>
    </row>
    <row r="119" spans="2:39" s="35" customFormat="1" x14ac:dyDescent="0.25">
      <c r="B119" s="47"/>
      <c r="C119" s="78"/>
      <c r="D119" s="8"/>
      <c r="E119" s="34"/>
    </row>
    <row r="120" spans="2:39" s="35" customFormat="1" x14ac:dyDescent="0.25">
      <c r="B120" s="47"/>
      <c r="C120" s="78"/>
      <c r="D120" s="262"/>
      <c r="E120" s="34"/>
    </row>
    <row r="121" spans="2:39" s="35" customFormat="1" x14ac:dyDescent="0.25">
      <c r="B121" s="47"/>
      <c r="C121" s="78"/>
      <c r="D121" s="8"/>
      <c r="E121" s="78"/>
    </row>
    <row r="122" spans="2:39" s="35" customFormat="1" x14ac:dyDescent="0.25">
      <c r="B122" s="47"/>
      <c r="C122" s="78"/>
      <c r="D122" s="8"/>
      <c r="E122" s="34"/>
    </row>
  </sheetData>
  <mergeCells count="15">
    <mergeCell ref="C2:AI2"/>
    <mergeCell ref="D3:Q3"/>
    <mergeCell ref="R3:W3"/>
    <mergeCell ref="X3:AC3"/>
    <mergeCell ref="AD3:AI3"/>
    <mergeCell ref="B106:B115"/>
    <mergeCell ref="AJ106:AJ115"/>
    <mergeCell ref="B4:B50"/>
    <mergeCell ref="B52:B88"/>
    <mergeCell ref="AJ52:AJ88"/>
    <mergeCell ref="B90:B104"/>
    <mergeCell ref="D90:E90"/>
    <mergeCell ref="F90:G90"/>
    <mergeCell ref="AJ90:AJ104"/>
    <mergeCell ref="AJ3:AJ50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7C623-3386-46C6-A98E-D98104F01ACF}">
  <sheetPr>
    <tabColor theme="4"/>
  </sheetPr>
  <dimension ref="A1:AM123"/>
  <sheetViews>
    <sheetView topLeftCell="A78" zoomScale="90" zoomScaleNormal="90" workbookViewId="0">
      <selection activeCell="AD52" sqref="AD52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 x14ac:dyDescent="0.3">
      <c r="A1" s="8"/>
      <c r="B1" s="155"/>
    </row>
    <row r="2" spans="1:38" ht="15.75" thickBot="1" x14ac:dyDescent="0.3">
      <c r="A2" s="149"/>
      <c r="B2" s="154"/>
      <c r="C2" s="396" t="s">
        <v>208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373" t="s">
        <v>10</v>
      </c>
    </row>
    <row r="4" spans="1:38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0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25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25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25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25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 x14ac:dyDescent="0.25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 x14ac:dyDescent="0.25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327">
        <v>0.45760000000000001</v>
      </c>
      <c r="AJ50" s="374"/>
      <c r="AK50" s="39"/>
      <c r="AL50" s="142"/>
    </row>
    <row r="51" spans="1:38" ht="15.75" thickBot="1" x14ac:dyDescent="0.3">
      <c r="B51" s="375"/>
      <c r="C51" s="58" t="s">
        <v>78</v>
      </c>
      <c r="D51" s="113"/>
      <c r="E51" s="113">
        <f>SUM(E5:E50)</f>
        <v>532723</v>
      </c>
      <c r="F51" s="113">
        <f>SUM(F5:F50)</f>
        <v>339192.52</v>
      </c>
      <c r="G51" s="113">
        <f>SUM(G5:G50)</f>
        <v>336013</v>
      </c>
      <c r="H51" s="113"/>
      <c r="I51" s="113"/>
      <c r="J51" s="130"/>
      <c r="K51" s="130"/>
      <c r="L51" s="130"/>
      <c r="M51" s="130"/>
      <c r="N51" s="130"/>
      <c r="O51" s="328"/>
      <c r="P51" s="328"/>
      <c r="Q51" s="333"/>
      <c r="R51" s="113">
        <f>SUM(R5:R50)</f>
        <v>465157</v>
      </c>
      <c r="S51" s="329"/>
      <c r="T51" s="113"/>
      <c r="U51" s="130"/>
      <c r="V51" s="130"/>
      <c r="W51" s="130"/>
      <c r="X51" s="113">
        <f>SUM(X17:X50)</f>
        <v>60599</v>
      </c>
      <c r="Y51" s="113"/>
      <c r="Z51" s="130"/>
      <c r="AA51" s="130"/>
      <c r="AB51" s="130"/>
      <c r="AC51" s="130"/>
      <c r="AD51" s="113">
        <f>SUM(AD20:AD50)</f>
        <v>9687</v>
      </c>
      <c r="AE51" s="93"/>
      <c r="AF51" s="93"/>
      <c r="AG51" s="93"/>
      <c r="AH51" s="93"/>
      <c r="AI51" s="112"/>
      <c r="AJ51" s="375"/>
      <c r="AK51" s="8"/>
      <c r="AL51" s="142"/>
    </row>
    <row r="52" spans="1:38" ht="15.75" thickBot="1" x14ac:dyDescent="0.3">
      <c r="C52" s="324"/>
      <c r="D52" s="20"/>
      <c r="E52" s="100"/>
      <c r="F52" s="353"/>
      <c r="G52" s="10"/>
      <c r="H52" s="10"/>
      <c r="I52" s="10"/>
      <c r="J52" s="10"/>
      <c r="K52" s="10"/>
      <c r="L52" s="10"/>
      <c r="M52" s="10"/>
      <c r="N52" s="10"/>
      <c r="O52" s="10"/>
      <c r="P52" s="44"/>
      <c r="Q52" s="44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L52" s="142"/>
    </row>
    <row r="53" spans="1:38" x14ac:dyDescent="0.25">
      <c r="B53" s="381" t="s">
        <v>13</v>
      </c>
      <c r="C53" s="94"/>
      <c r="D53" s="48" t="s">
        <v>111</v>
      </c>
      <c r="E53" s="48" t="s">
        <v>15</v>
      </c>
      <c r="F53" s="48" t="s">
        <v>112</v>
      </c>
      <c r="G53" s="48" t="s">
        <v>193</v>
      </c>
      <c r="H53" s="48"/>
      <c r="I53" s="48" t="s">
        <v>18</v>
      </c>
      <c r="J53" s="94"/>
      <c r="K53" s="94"/>
      <c r="L53" s="94"/>
      <c r="M53" s="94"/>
      <c r="N53" s="94"/>
      <c r="O53" s="94"/>
      <c r="P53" s="116"/>
      <c r="Q53" s="116"/>
      <c r="R53" s="116"/>
      <c r="S53" s="47"/>
      <c r="T53" s="94"/>
      <c r="U53" s="94"/>
      <c r="V53" s="94"/>
      <c r="W53" s="94"/>
      <c r="X53" s="94"/>
      <c r="Y53" s="94"/>
      <c r="AD53" s="94"/>
      <c r="AE53" s="94"/>
      <c r="AF53" s="94"/>
      <c r="AG53" s="94"/>
      <c r="AH53" s="94"/>
      <c r="AI53" s="49"/>
      <c r="AJ53" s="373" t="s">
        <v>19</v>
      </c>
      <c r="AL53" s="142"/>
    </row>
    <row r="54" spans="1:38" x14ac:dyDescent="0.25">
      <c r="B54" s="382"/>
      <c r="C54" s="156" t="s">
        <v>20</v>
      </c>
      <c r="D54" s="47"/>
      <c r="E54" s="47"/>
      <c r="F54" s="47"/>
      <c r="G54" s="260"/>
      <c r="H54" s="260"/>
      <c r="N54" s="289"/>
      <c r="O54" s="154"/>
      <c r="P54" s="158"/>
      <c r="Q54" s="73"/>
      <c r="T54" s="254"/>
      <c r="U54" s="254"/>
      <c r="V54" s="254"/>
      <c r="W54" s="254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12"/>
      <c r="AJ54" s="374"/>
      <c r="AL54" s="8"/>
    </row>
    <row r="55" spans="1:38" x14ac:dyDescent="0.25">
      <c r="B55" s="382"/>
      <c r="C55" s="47" t="s">
        <v>21</v>
      </c>
      <c r="D55" s="160">
        <v>0.40799999999999997</v>
      </c>
      <c r="E55" s="160">
        <v>0.44700000000000001</v>
      </c>
      <c r="F55" s="14">
        <f>D55/E55</f>
        <v>0.9127516778523489</v>
      </c>
      <c r="G55" s="160">
        <v>0.51800000000000002</v>
      </c>
      <c r="H55" s="160"/>
      <c r="I55" s="14">
        <f>E55/G55</f>
        <v>0.86293436293436288</v>
      </c>
      <c r="J55" s="14"/>
      <c r="K55" s="352"/>
      <c r="L55" s="14"/>
      <c r="M55" s="14"/>
      <c r="N55" s="14"/>
      <c r="O55" s="253"/>
      <c r="P55" s="73"/>
      <c r="R55" s="158"/>
      <c r="S55" s="158"/>
      <c r="T55" s="14"/>
      <c r="U55" s="14"/>
      <c r="V55" s="14"/>
      <c r="W55" s="14"/>
      <c r="X55" s="47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5"/>
      <c r="AJ55" s="374"/>
      <c r="AL55" s="8"/>
    </row>
    <row r="56" spans="1:38" x14ac:dyDescent="0.25">
      <c r="B56" s="382"/>
      <c r="C56" s="47" t="s">
        <v>22</v>
      </c>
      <c r="D56" s="160">
        <v>0.59199999999999997</v>
      </c>
      <c r="E56" s="160">
        <v>0.55300000000000005</v>
      </c>
      <c r="F56" s="14">
        <f>D56/E56</f>
        <v>1.070524412296564</v>
      </c>
      <c r="G56" s="160">
        <v>0.48199999999999998</v>
      </c>
      <c r="H56" s="160"/>
      <c r="I56" s="14">
        <f t="shared" ref="I56:I73" si="5">E56/G56</f>
        <v>1.1473029045643155</v>
      </c>
      <c r="J56" s="14"/>
      <c r="K56" s="14"/>
      <c r="L56" s="14"/>
      <c r="M56" s="14"/>
      <c r="N56" s="14"/>
      <c r="O56" s="149"/>
      <c r="P56" s="73"/>
      <c r="Q56" s="73"/>
      <c r="R56" s="158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/>
      <c r="AJ56" s="374"/>
    </row>
    <row r="57" spans="1:38" x14ac:dyDescent="0.25">
      <c r="B57" s="382"/>
      <c r="D57" s="190"/>
      <c r="E57" s="190"/>
      <c r="F57" s="14"/>
      <c r="G57" s="190"/>
      <c r="H57" s="190"/>
      <c r="I57" s="14"/>
      <c r="J57" s="170"/>
      <c r="K57" s="170"/>
      <c r="L57" s="170"/>
      <c r="M57" s="170"/>
      <c r="N57" s="170"/>
      <c r="O57" s="149"/>
      <c r="P57" s="222"/>
      <c r="Q57" s="222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 x14ac:dyDescent="0.25">
      <c r="B58" s="382"/>
      <c r="C58" s="156" t="s">
        <v>23</v>
      </c>
      <c r="D58" s="169"/>
      <c r="E58" s="169"/>
      <c r="F58" s="14"/>
      <c r="G58" s="190"/>
      <c r="H58" s="190"/>
      <c r="I58" s="14"/>
      <c r="J58" s="170"/>
      <c r="K58" s="170"/>
      <c r="L58" s="170"/>
      <c r="M58" s="170"/>
      <c r="N58" s="170"/>
      <c r="O58" s="149"/>
      <c r="P58" s="39"/>
      <c r="Q58" s="3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 x14ac:dyDescent="0.25">
      <c r="B59" s="382"/>
      <c r="C59" s="47" t="s">
        <v>24</v>
      </c>
      <c r="D59" s="160">
        <v>1.0999999999999999E-2</v>
      </c>
      <c r="E59" s="160">
        <v>8.0000000000000002E-3</v>
      </c>
      <c r="F59" s="14">
        <f t="shared" ref="F59:F64" si="6">D59/E59</f>
        <v>1.375</v>
      </c>
      <c r="G59" s="160">
        <v>1.0999999999999999E-2</v>
      </c>
      <c r="H59" s="160"/>
      <c r="I59" s="14">
        <f t="shared" si="5"/>
        <v>0.72727272727272729</v>
      </c>
      <c r="J59" s="14"/>
      <c r="K59" s="14"/>
      <c r="L59" s="14"/>
      <c r="M59" s="14"/>
      <c r="N59" s="14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 x14ac:dyDescent="0.25">
      <c r="B60" s="382"/>
      <c r="C60" s="47" t="s">
        <v>25</v>
      </c>
      <c r="D60" s="160">
        <v>0.158</v>
      </c>
      <c r="E60" s="160">
        <v>0.113</v>
      </c>
      <c r="F60" s="14">
        <f t="shared" si="6"/>
        <v>1.3982300884955752</v>
      </c>
      <c r="G60" s="160">
        <v>0.126</v>
      </c>
      <c r="H60" s="160"/>
      <c r="I60" s="14">
        <f t="shared" si="5"/>
        <v>0.89682539682539686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 x14ac:dyDescent="0.25">
      <c r="B61" s="382"/>
      <c r="C61" s="47" t="s">
        <v>26</v>
      </c>
      <c r="D61" s="160">
        <v>0.4</v>
      </c>
      <c r="E61" s="160">
        <v>0.35299999999999998</v>
      </c>
      <c r="F61" s="14">
        <f t="shared" si="6"/>
        <v>1.1331444759206799</v>
      </c>
      <c r="G61" s="160">
        <v>0.28699999999999998</v>
      </c>
      <c r="H61" s="160"/>
      <c r="I61" s="14">
        <f t="shared" si="5"/>
        <v>1.2299651567944252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 x14ac:dyDescent="0.25">
      <c r="B62" s="382"/>
      <c r="C62" s="47" t="s">
        <v>27</v>
      </c>
      <c r="D62" s="160">
        <v>0.314</v>
      </c>
      <c r="E62" s="160">
        <v>0.36399999999999999</v>
      </c>
      <c r="F62" s="14">
        <f t="shared" si="6"/>
        <v>0.86263736263736268</v>
      </c>
      <c r="G62" s="160">
        <v>0.33700000000000002</v>
      </c>
      <c r="H62" s="160"/>
      <c r="I62" s="14">
        <f t="shared" si="5"/>
        <v>1.0801186943620178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 x14ac:dyDescent="0.25">
      <c r="B63" s="382"/>
      <c r="C63" s="47" t="s">
        <v>28</v>
      </c>
      <c r="D63" s="160">
        <v>0.10299999999999999</v>
      </c>
      <c r="E63" s="160">
        <v>0.13900000000000001</v>
      </c>
      <c r="F63" s="14">
        <f t="shared" si="6"/>
        <v>0.74100719424460426</v>
      </c>
      <c r="G63" s="160">
        <v>0.16800000000000001</v>
      </c>
      <c r="H63" s="160"/>
      <c r="I63" s="14">
        <f t="shared" si="5"/>
        <v>0.82738095238095244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 x14ac:dyDescent="0.25">
      <c r="B64" s="382"/>
      <c r="C64" s="47" t="s">
        <v>29</v>
      </c>
      <c r="D64" s="160">
        <v>1.4E-2</v>
      </c>
      <c r="E64" s="160">
        <v>2.4E-2</v>
      </c>
      <c r="F64" s="14">
        <f t="shared" si="6"/>
        <v>0.58333333333333337</v>
      </c>
      <c r="G64" s="160">
        <v>7.1999999999999995E-2</v>
      </c>
      <c r="H64" s="160"/>
      <c r="I64" s="14">
        <f t="shared" si="5"/>
        <v>0.33333333333333337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25">
      <c r="B65" s="382"/>
      <c r="D65" s="190"/>
      <c r="E65" s="190"/>
      <c r="F65" s="14"/>
      <c r="G65" s="190"/>
      <c r="H65" s="190"/>
      <c r="I65" s="170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25">
      <c r="B66" s="382"/>
      <c r="C66" s="156" t="s">
        <v>30</v>
      </c>
      <c r="D66" s="169"/>
      <c r="E66" s="169"/>
      <c r="F66" s="14"/>
      <c r="G66" s="190"/>
      <c r="H66" s="190"/>
      <c r="I66" s="170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25">
      <c r="B67" s="382"/>
      <c r="C67" s="47" t="s">
        <v>31</v>
      </c>
      <c r="D67" s="160">
        <v>0.51400000000000001</v>
      </c>
      <c r="E67" s="163">
        <v>0.47899999999999998</v>
      </c>
      <c r="F67" s="14">
        <f>D67/E67</f>
        <v>1.0730688935281838</v>
      </c>
      <c r="G67" s="160">
        <v>0.47699999999999998</v>
      </c>
      <c r="H67" s="160"/>
      <c r="I67" s="14">
        <f>E67/G67</f>
        <v>1.0041928721174005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25">
      <c r="B68" s="382"/>
      <c r="C68" s="47" t="s">
        <v>32</v>
      </c>
      <c r="D68" s="160">
        <v>0.17599999999999999</v>
      </c>
      <c r="E68" s="160">
        <v>0.19700000000000001</v>
      </c>
      <c r="F68" s="14">
        <f>D68/E68</f>
        <v>0.8934010152284263</v>
      </c>
      <c r="G68" s="160">
        <v>0.157</v>
      </c>
      <c r="H68" s="160"/>
      <c r="I68" s="14">
        <f t="shared" si="5"/>
        <v>1.2547770700636942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25">
      <c r="B69" s="382"/>
      <c r="C69" s="47" t="s">
        <v>33</v>
      </c>
      <c r="D69" s="160">
        <v>0.106</v>
      </c>
      <c r="E69" s="160">
        <v>0.122</v>
      </c>
      <c r="F69" s="14">
        <f>D69/E69</f>
        <v>0.86885245901639341</v>
      </c>
      <c r="G69" s="160">
        <v>0.12</v>
      </c>
      <c r="H69" s="160"/>
      <c r="I69" s="14">
        <f t="shared" si="5"/>
        <v>1.0166666666666666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25">
      <c r="B70" s="382"/>
      <c r="C70" s="47" t="s">
        <v>34</v>
      </c>
      <c r="D70" s="160">
        <v>0.10299999999999999</v>
      </c>
      <c r="E70" s="160">
        <v>9.8000000000000004E-2</v>
      </c>
      <c r="F70" s="14">
        <f t="shared" ref="F70:F73" si="7">D70/E70</f>
        <v>1.0510204081632653</v>
      </c>
      <c r="G70" s="160">
        <v>0.11700000000000001</v>
      </c>
      <c r="H70" s="160"/>
      <c r="I70" s="14">
        <f t="shared" si="5"/>
        <v>0.83760683760683763</v>
      </c>
      <c r="J70" s="14"/>
      <c r="K70" s="14"/>
      <c r="L70" s="14"/>
      <c r="M70" s="14"/>
      <c r="N70" s="14"/>
      <c r="O70" s="223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25">
      <c r="B71" s="382"/>
      <c r="C71" s="47" t="s">
        <v>35</v>
      </c>
      <c r="D71" s="160">
        <v>2.5999999999999999E-2</v>
      </c>
      <c r="E71" s="160">
        <v>2.4E-2</v>
      </c>
      <c r="F71" s="14">
        <f t="shared" si="7"/>
        <v>1.0833333333333333</v>
      </c>
      <c r="G71" s="160">
        <v>3.3000000000000002E-2</v>
      </c>
      <c r="H71" s="160"/>
      <c r="I71" s="14">
        <f t="shared" si="5"/>
        <v>0.72727272727272729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25">
      <c r="B72" s="382"/>
      <c r="C72" s="47" t="s">
        <v>36</v>
      </c>
      <c r="D72" s="160">
        <v>1.2999999999999999E-2</v>
      </c>
      <c r="E72" s="160">
        <v>1.4999999999999999E-2</v>
      </c>
      <c r="F72" s="14">
        <f t="shared" si="7"/>
        <v>0.8666666666666667</v>
      </c>
      <c r="G72" s="160">
        <v>1.9E-2</v>
      </c>
      <c r="H72" s="160"/>
      <c r="I72" s="14">
        <f t="shared" si="5"/>
        <v>0.78947368421052633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25">
      <c r="B73" s="382"/>
      <c r="C73" s="47" t="s">
        <v>37</v>
      </c>
      <c r="D73" s="160">
        <v>6.2E-2</v>
      </c>
      <c r="E73" s="160">
        <v>6.6000000000000003E-2</v>
      </c>
      <c r="F73" s="14">
        <f t="shared" si="7"/>
        <v>0.93939393939393934</v>
      </c>
      <c r="G73" s="160">
        <v>7.8E-2</v>
      </c>
      <c r="H73" s="160"/>
      <c r="I73" s="14">
        <f t="shared" si="5"/>
        <v>0.84615384615384615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25">
      <c r="B74" s="382"/>
      <c r="D74" s="190"/>
      <c r="E74" s="190"/>
      <c r="F74" s="14"/>
      <c r="G74" s="160"/>
      <c r="H74" s="190"/>
      <c r="I74" s="170"/>
      <c r="J74" s="170"/>
      <c r="K74" s="170"/>
      <c r="L74" s="170"/>
      <c r="M74" s="170"/>
      <c r="N74" s="170"/>
      <c r="O74" s="149"/>
      <c r="P74" s="222"/>
      <c r="Q74" s="222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25">
      <c r="B75" s="382"/>
      <c r="C75" s="156" t="s">
        <v>38</v>
      </c>
      <c r="D75" s="169"/>
      <c r="E75" s="169"/>
      <c r="F75" s="14"/>
      <c r="G75" s="190"/>
      <c r="H75" s="190"/>
      <c r="I75" s="170"/>
      <c r="J75" s="170"/>
      <c r="K75" s="170"/>
      <c r="L75" s="170"/>
      <c r="M75" s="170"/>
      <c r="N75" s="170"/>
      <c r="O75" s="149"/>
      <c r="P75" s="222"/>
      <c r="Q75" s="222"/>
      <c r="R75" s="239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25">
      <c r="B76" s="382"/>
      <c r="C76" s="47" t="s">
        <v>39</v>
      </c>
      <c r="D76" s="160">
        <v>0.53700000000000003</v>
      </c>
      <c r="E76" s="160">
        <v>0.49</v>
      </c>
      <c r="F76" s="14">
        <f>D76/E76</f>
        <v>1.0959183673469388</v>
      </c>
      <c r="G76" s="164">
        <v>0.5</v>
      </c>
      <c r="H76" s="164"/>
      <c r="I76" s="72">
        <f>E76/G76</f>
        <v>0.98</v>
      </c>
      <c r="J76" s="72"/>
      <c r="K76" s="72"/>
      <c r="L76" s="72"/>
      <c r="M76" s="72"/>
      <c r="N76" s="72"/>
      <c r="O76" s="149"/>
      <c r="P76" s="240"/>
      <c r="Q76" s="240"/>
      <c r="R76" s="241"/>
      <c r="S76" s="16"/>
      <c r="T76" s="16"/>
      <c r="U76" s="16"/>
      <c r="V76" s="16"/>
      <c r="W76" s="16"/>
      <c r="X76" s="68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36"/>
      <c r="AJ76" s="374"/>
    </row>
    <row r="77" spans="2:36" x14ac:dyDescent="0.25">
      <c r="B77" s="382"/>
      <c r="C77" s="47" t="s">
        <v>40</v>
      </c>
      <c r="D77" s="160">
        <v>0.04</v>
      </c>
      <c r="E77" s="160">
        <v>4.8000000000000001E-2</v>
      </c>
      <c r="F77" s="14">
        <f>D77/E77</f>
        <v>0.83333333333333337</v>
      </c>
      <c r="G77" s="160">
        <v>6.6000000000000003E-2</v>
      </c>
      <c r="H77" s="160"/>
      <c r="I77" s="72">
        <f>E77/G77</f>
        <v>0.72727272727272729</v>
      </c>
      <c r="J77" s="72"/>
      <c r="K77" s="72"/>
      <c r="L77" s="72"/>
      <c r="M77" s="72"/>
      <c r="N77" s="72"/>
      <c r="O77" s="149"/>
      <c r="P77" s="240"/>
      <c r="Q77" s="240"/>
      <c r="R77" s="241"/>
      <c r="S77" s="14"/>
      <c r="T77" s="16"/>
      <c r="U77" s="16"/>
      <c r="V77" s="16"/>
      <c r="W77" s="16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374"/>
    </row>
    <row r="78" spans="2:36" x14ac:dyDescent="0.25">
      <c r="B78" s="382"/>
      <c r="C78" s="47" t="s">
        <v>41</v>
      </c>
      <c r="D78" s="160">
        <v>0.08</v>
      </c>
      <c r="E78" s="160">
        <v>8.7999999999999995E-2</v>
      </c>
      <c r="F78" s="14">
        <f>D78/E78</f>
        <v>0.90909090909090917</v>
      </c>
      <c r="G78" s="160">
        <v>0.11799999999999999</v>
      </c>
      <c r="H78" s="160"/>
      <c r="I78" s="72">
        <f>E78/G78</f>
        <v>0.74576271186440679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25">
      <c r="B79" s="382"/>
      <c r="C79" s="47" t="s">
        <v>42</v>
      </c>
      <c r="D79" s="160">
        <v>0.10199999999999999</v>
      </c>
      <c r="E79" s="160">
        <v>0.109</v>
      </c>
      <c r="F79" s="14">
        <f>D79/E79</f>
        <v>0.93577981651376141</v>
      </c>
      <c r="G79" s="160">
        <v>0.13</v>
      </c>
      <c r="H79" s="160"/>
      <c r="I79" s="72">
        <f>E79/G79</f>
        <v>0.83846153846153848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25">
      <c r="B80" s="382"/>
      <c r="C80" s="47" t="s">
        <v>43</v>
      </c>
      <c r="D80" s="160">
        <v>0.13100000000000001</v>
      </c>
      <c r="E80" s="160">
        <v>0.13600000000000001</v>
      </c>
      <c r="F80" s="14">
        <f>D80/E80</f>
        <v>0.96323529411764708</v>
      </c>
      <c r="G80" s="160">
        <v>0.12</v>
      </c>
      <c r="H80" s="160"/>
      <c r="I80" s="72">
        <f>E80/G80</f>
        <v>1.1333333333333335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25">
      <c r="B81" s="382"/>
      <c r="C81" s="47" t="s">
        <v>44</v>
      </c>
      <c r="D81" s="160">
        <v>0.111</v>
      </c>
      <c r="E81" s="160">
        <v>0.129</v>
      </c>
      <c r="F81" s="14">
        <f t="shared" ref="F81:F89" si="8">D81/E81</f>
        <v>0.86046511627906974</v>
      </c>
      <c r="G81" s="160">
        <v>6.6000000000000003E-2</v>
      </c>
      <c r="H81" s="160"/>
      <c r="I81" s="72">
        <f t="shared" ref="I81" si="9">E81/G81</f>
        <v>1.9545454545454546</v>
      </c>
      <c r="J81" s="72"/>
      <c r="K81" s="72"/>
      <c r="L81" s="72"/>
      <c r="M81" s="72"/>
      <c r="N81" s="72"/>
      <c r="P81" s="34"/>
      <c r="Q81" s="34"/>
      <c r="R81" s="239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25">
      <c r="B82" s="382"/>
      <c r="D82" s="190"/>
      <c r="E82" s="19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25">
      <c r="B83" s="382"/>
      <c r="C83" s="156" t="s">
        <v>194</v>
      </c>
      <c r="D83" s="190"/>
      <c r="E83" s="190"/>
      <c r="F83" s="14"/>
      <c r="G83" s="190"/>
      <c r="H83" s="190"/>
      <c r="I83" s="170"/>
      <c r="J83" s="170"/>
      <c r="K83" s="170"/>
      <c r="L83" s="170"/>
      <c r="M83" s="170"/>
      <c r="N83" s="170"/>
      <c r="O83" s="149"/>
      <c r="P83" s="39"/>
      <c r="Q83" s="3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25">
      <c r="B84" s="382"/>
      <c r="C84" s="47" t="s">
        <v>39</v>
      </c>
      <c r="D84" s="160">
        <v>0.221</v>
      </c>
      <c r="E84" s="160">
        <v>0.14299999999999999</v>
      </c>
      <c r="F84" s="14">
        <f t="shared" si="8"/>
        <v>1.5454545454545456</v>
      </c>
      <c r="G84" s="163">
        <v>0.23499999999999999</v>
      </c>
      <c r="H84" s="163"/>
      <c r="I84" s="72">
        <f>E84/G84</f>
        <v>0.60851063829787233</v>
      </c>
      <c r="J84" s="72"/>
      <c r="K84" s="72"/>
      <c r="L84" s="72"/>
      <c r="M84" s="72"/>
      <c r="N84" s="72"/>
      <c r="O84" s="149"/>
      <c r="P84" s="38"/>
      <c r="Q84" s="38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25">
      <c r="B85" s="382"/>
      <c r="C85" s="47" t="s">
        <v>40</v>
      </c>
      <c r="D85" s="160">
        <v>6.3E-2</v>
      </c>
      <c r="E85" s="160">
        <v>6.8000000000000005E-2</v>
      </c>
      <c r="F85" s="14">
        <f t="shared" si="8"/>
        <v>0.92647058823529405</v>
      </c>
      <c r="G85" s="163">
        <v>0.17299999999999999</v>
      </c>
      <c r="H85" s="163"/>
      <c r="I85" s="72">
        <f t="shared" ref="I85:I89" si="10">E85/G85</f>
        <v>0.39306358381502898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25">
      <c r="B86" s="382"/>
      <c r="C86" s="47" t="s">
        <v>41</v>
      </c>
      <c r="D86" s="160">
        <v>0.13100000000000001</v>
      </c>
      <c r="E86" s="160">
        <v>0.14499999999999999</v>
      </c>
      <c r="F86" s="14">
        <f t="shared" si="8"/>
        <v>0.90344827586206911</v>
      </c>
      <c r="G86" s="163">
        <v>0.245</v>
      </c>
      <c r="H86" s="163"/>
      <c r="I86" s="72">
        <f t="shared" si="10"/>
        <v>0.59183673469387754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x14ac:dyDescent="0.25">
      <c r="B87" s="382"/>
      <c r="C87" s="47" t="s">
        <v>42</v>
      </c>
      <c r="D87" s="160">
        <v>0.17399999999999999</v>
      </c>
      <c r="E87" s="160">
        <v>0.17799999999999999</v>
      </c>
      <c r="F87" s="14">
        <f t="shared" si="8"/>
        <v>0.97752808988764039</v>
      </c>
      <c r="G87" s="163">
        <v>0.186</v>
      </c>
      <c r="H87" s="163"/>
      <c r="I87" s="72">
        <f t="shared" si="10"/>
        <v>0.95698924731182788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 x14ac:dyDescent="0.25">
      <c r="B88" s="382"/>
      <c r="C88" s="47" t="s">
        <v>43</v>
      </c>
      <c r="D88" s="160">
        <v>0.221</v>
      </c>
      <c r="E88" s="160">
        <v>0.23</v>
      </c>
      <c r="F88" s="14">
        <f t="shared" si="8"/>
        <v>0.96086956521739131</v>
      </c>
      <c r="G88" s="163">
        <v>0.114</v>
      </c>
      <c r="H88" s="163"/>
      <c r="I88" s="72">
        <f t="shared" si="10"/>
        <v>2.0175438596491229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4"/>
    </row>
    <row r="89" spans="2:36" ht="15.75" thickBot="1" x14ac:dyDescent="0.3">
      <c r="B89" s="383"/>
      <c r="C89" s="47" t="s">
        <v>44</v>
      </c>
      <c r="D89" s="160">
        <v>0.19</v>
      </c>
      <c r="E89" s="160">
        <v>0.23599999999999999</v>
      </c>
      <c r="F89" s="14">
        <f t="shared" si="8"/>
        <v>0.80508474576271194</v>
      </c>
      <c r="G89" s="163">
        <v>4.7E-2</v>
      </c>
      <c r="H89" s="163"/>
      <c r="I89" s="72">
        <f t="shared" si="10"/>
        <v>5.0212765957446805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375"/>
    </row>
    <row r="90" spans="2:36" ht="15.75" thickBot="1" x14ac:dyDescent="0.3">
      <c r="B90" s="266"/>
      <c r="C90" s="224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25"/>
    </row>
    <row r="91" spans="2:36" x14ac:dyDescent="0.25">
      <c r="B91" s="373" t="s">
        <v>45</v>
      </c>
      <c r="C91" s="5"/>
      <c r="D91" s="385" t="s">
        <v>46</v>
      </c>
      <c r="E91" s="385"/>
      <c r="F91" s="385" t="s">
        <v>47</v>
      </c>
      <c r="G91" s="385"/>
      <c r="H91" s="48"/>
      <c r="I91" s="42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7"/>
      <c r="AJ91" s="386" t="s">
        <v>48</v>
      </c>
    </row>
    <row r="92" spans="2:36" x14ac:dyDescent="0.25">
      <c r="B92" s="374"/>
      <c r="C92" s="1"/>
      <c r="D92" s="40" t="s">
        <v>49</v>
      </c>
      <c r="E92" s="40" t="s">
        <v>50</v>
      </c>
      <c r="F92" s="40" t="s">
        <v>49</v>
      </c>
      <c r="G92" s="40" t="s">
        <v>50</v>
      </c>
      <c r="H92" s="40"/>
      <c r="I92" s="41" t="s">
        <v>51</v>
      </c>
      <c r="J92" s="96" t="s">
        <v>52</v>
      </c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9"/>
      <c r="AJ92" s="387"/>
    </row>
    <row r="93" spans="2:36" x14ac:dyDescent="0.25">
      <c r="B93" s="374"/>
      <c r="C93" s="2" t="s">
        <v>53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4"/>
      <c r="AJ93" s="387"/>
    </row>
    <row r="94" spans="2:36" x14ac:dyDescent="0.25">
      <c r="B94" s="374"/>
      <c r="C94" s="1" t="s">
        <v>54</v>
      </c>
      <c r="D94" s="167">
        <v>2497249</v>
      </c>
      <c r="E94" s="163">
        <f>D94/D96</f>
        <v>0.63743724217570841</v>
      </c>
      <c r="F94" s="168">
        <v>239390</v>
      </c>
      <c r="G94" s="160">
        <f>F94/$F$96</f>
        <v>0.55462367883306385</v>
      </c>
      <c r="H94" s="160"/>
      <c r="I94" s="161">
        <f>G94/E94</f>
        <v>0.87008358178134637</v>
      </c>
      <c r="J94" s="191">
        <f>F94/D94</f>
        <v>9.5861485979171476E-2</v>
      </c>
      <c r="K94" s="191"/>
      <c r="L94" s="161"/>
      <c r="M94" s="161"/>
      <c r="N94" s="161"/>
      <c r="P94" s="39"/>
      <c r="Q94" s="39"/>
      <c r="R94" s="39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82"/>
      <c r="AJ94" s="387"/>
    </row>
    <row r="95" spans="2:36" x14ac:dyDescent="0.25">
      <c r="B95" s="374"/>
      <c r="C95" s="1" t="s">
        <v>55</v>
      </c>
      <c r="D95" s="167">
        <f>SUM(D99:D105)</f>
        <v>1420390</v>
      </c>
      <c r="E95" s="163">
        <f>D95/D96</f>
        <v>0.36256275782429165</v>
      </c>
      <c r="F95" s="168">
        <f>SUM(F99:F105)</f>
        <v>192236</v>
      </c>
      <c r="G95" s="160">
        <f>F95/$F$96</f>
        <v>0.44537632116693621</v>
      </c>
      <c r="H95" s="160"/>
      <c r="I95" s="161">
        <f>G95/E95</f>
        <v>1.2284116654440784</v>
      </c>
      <c r="J95" s="191">
        <f>F95/D95</f>
        <v>0.13534029386295313</v>
      </c>
      <c r="K95" s="191"/>
      <c r="L95" s="161"/>
      <c r="M95" s="161"/>
      <c r="N95" s="161"/>
      <c r="P95" s="39"/>
      <c r="Q95" s="39"/>
      <c r="R95" s="39"/>
      <c r="S95" s="252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25">
      <c r="B96" s="374"/>
      <c r="C96" s="1" t="s">
        <v>53</v>
      </c>
      <c r="D96" s="167">
        <f>SUM(D94:D95)</f>
        <v>3917639</v>
      </c>
      <c r="E96" s="192"/>
      <c r="F96" s="168">
        <f>SUM(F94:F95)</f>
        <v>431626</v>
      </c>
      <c r="G96" s="169"/>
      <c r="H96" s="169"/>
      <c r="I96" s="161"/>
      <c r="J96" s="191">
        <f>F96/D96</f>
        <v>0.11017503144113074</v>
      </c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25">
      <c r="B97" s="374"/>
      <c r="C97" s="1"/>
      <c r="D97" s="192"/>
      <c r="E97" s="192"/>
      <c r="F97" s="171"/>
      <c r="G97" s="169"/>
      <c r="H97" s="169"/>
      <c r="I97" s="161"/>
      <c r="J97" s="191"/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25">
      <c r="B98" s="374"/>
      <c r="C98" s="2" t="s">
        <v>56</v>
      </c>
      <c r="D98" s="192"/>
      <c r="E98" s="192"/>
      <c r="F98" s="169"/>
      <c r="G98" s="169"/>
      <c r="H98" s="169"/>
      <c r="I98" s="161"/>
      <c r="J98" s="191"/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25">
      <c r="B99" s="374"/>
      <c r="C99" s="1" t="s">
        <v>57</v>
      </c>
      <c r="D99" s="167">
        <v>470154</v>
      </c>
      <c r="E99" s="163">
        <f>D99/$D$95</f>
        <v>0.33100345679707688</v>
      </c>
      <c r="F99" s="168">
        <v>62448</v>
      </c>
      <c r="G99" s="160">
        <f>F99/$F$95</f>
        <v>0.3248507043425789</v>
      </c>
      <c r="H99" s="160"/>
      <c r="I99" s="161">
        <f t="shared" ref="I99:I105" si="11">G99/E99</f>
        <v>0.98141181813013523</v>
      </c>
      <c r="J99" s="191">
        <f t="shared" ref="J99:J105" si="12">F99/D99</f>
        <v>0.13282456386630764</v>
      </c>
      <c r="K99" s="191"/>
      <c r="L99" s="163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25">
      <c r="B100" s="374"/>
      <c r="C100" s="1" t="s">
        <v>58</v>
      </c>
      <c r="D100" s="167">
        <v>246493</v>
      </c>
      <c r="E100" s="163">
        <f t="shared" ref="E100:E105" si="13">D100/$D$95</f>
        <v>0.1735389576102338</v>
      </c>
      <c r="F100" s="168">
        <v>42405</v>
      </c>
      <c r="G100" s="160">
        <f t="shared" ref="G100:G102" si="14">F100/$F$95</f>
        <v>0.22058823529411764</v>
      </c>
      <c r="H100" s="160"/>
      <c r="I100" s="161">
        <f t="shared" si="11"/>
        <v>1.2711165166126899</v>
      </c>
      <c r="J100" s="191">
        <f t="shared" si="12"/>
        <v>0.17203328289241479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25">
      <c r="B101" s="374"/>
      <c r="C101" s="1" t="s">
        <v>59</v>
      </c>
      <c r="D101" s="167">
        <v>216224</v>
      </c>
      <c r="E101" s="163">
        <f t="shared" si="13"/>
        <v>0.1522286132681869</v>
      </c>
      <c r="F101" s="168">
        <v>42965</v>
      </c>
      <c r="G101" s="160">
        <f t="shared" si="14"/>
        <v>0.22350132129257788</v>
      </c>
      <c r="H101" s="160"/>
      <c r="I101" s="161">
        <f t="shared" si="11"/>
        <v>1.4681952130696163</v>
      </c>
      <c r="J101" s="191">
        <f t="shared" si="12"/>
        <v>0.19870597158502293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25">
      <c r="B102" s="374"/>
      <c r="C102" s="172" t="s">
        <v>60</v>
      </c>
      <c r="D102" s="168">
        <v>324403</v>
      </c>
      <c r="E102" s="163">
        <f t="shared" si="13"/>
        <v>0.22839009004569166</v>
      </c>
      <c r="F102" s="174">
        <v>27241</v>
      </c>
      <c r="G102" s="160">
        <f t="shared" si="14"/>
        <v>0.14170602800724111</v>
      </c>
      <c r="H102" s="160"/>
      <c r="I102" s="161">
        <f t="shared" si="11"/>
        <v>0.62045611514445065</v>
      </c>
      <c r="J102" s="191">
        <f t="shared" si="12"/>
        <v>8.3972712952716216E-2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 x14ac:dyDescent="0.25">
      <c r="B103" s="374"/>
      <c r="C103" s="1" t="s">
        <v>61</v>
      </c>
      <c r="D103" s="167">
        <v>70261</v>
      </c>
      <c r="E103" s="163">
        <f t="shared" si="13"/>
        <v>4.946599173466442E-2</v>
      </c>
      <c r="F103" s="168">
        <v>4310</v>
      </c>
      <c r="G103" s="160">
        <f>F103/$F$95</f>
        <v>2.2420358309577809E-2</v>
      </c>
      <c r="H103" s="160"/>
      <c r="I103" s="161">
        <f t="shared" si="11"/>
        <v>0.45324792899818145</v>
      </c>
      <c r="J103" s="191">
        <f t="shared" si="12"/>
        <v>6.1342707903388791E-2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</row>
    <row r="104" spans="2:39" x14ac:dyDescent="0.25">
      <c r="B104" s="374"/>
      <c r="C104" s="1" t="s">
        <v>62</v>
      </c>
      <c r="D104" s="167">
        <v>71972</v>
      </c>
      <c r="E104" s="163">
        <f t="shared" si="13"/>
        <v>5.0670590471631034E-2</v>
      </c>
      <c r="F104" s="168">
        <v>9643</v>
      </c>
      <c r="G104" s="160">
        <f>F104/$F$95</f>
        <v>5.0162300505628497E-2</v>
      </c>
      <c r="H104" s="160"/>
      <c r="I104" s="161">
        <f t="shared" si="11"/>
        <v>0.9899687380535438</v>
      </c>
      <c r="J104" s="191">
        <f t="shared" si="12"/>
        <v>0.13398265992330349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387"/>
      <c r="AM104" s="13"/>
    </row>
    <row r="105" spans="2:39" ht="15.75" thickBot="1" x14ac:dyDescent="0.3">
      <c r="B105" s="375"/>
      <c r="C105" s="9" t="s">
        <v>63</v>
      </c>
      <c r="D105" s="175">
        <v>20883</v>
      </c>
      <c r="E105" s="179">
        <f t="shared" si="13"/>
        <v>1.4702300072515296E-2</v>
      </c>
      <c r="F105" s="177">
        <v>3224</v>
      </c>
      <c r="G105" s="176">
        <f>F105/$F$95</f>
        <v>1.6771052248278157E-2</v>
      </c>
      <c r="H105" s="176"/>
      <c r="I105" s="178">
        <f t="shared" si="11"/>
        <v>1.140709424073735</v>
      </c>
      <c r="J105" s="198">
        <f t="shared" si="12"/>
        <v>0.15438394866637936</v>
      </c>
      <c r="K105" s="198"/>
      <c r="L105" s="179"/>
      <c r="M105" s="178"/>
      <c r="N105" s="178"/>
      <c r="O105" s="100"/>
      <c r="P105" s="100"/>
      <c r="Q105" s="100"/>
      <c r="R105" s="100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83"/>
      <c r="AJ105" s="388"/>
    </row>
    <row r="106" spans="2:39" ht="15.75" thickBot="1" x14ac:dyDescent="0.3">
      <c r="D106" s="8"/>
    </row>
    <row r="107" spans="2:39" x14ac:dyDescent="0.25">
      <c r="B107" s="373" t="s">
        <v>64</v>
      </c>
      <c r="C107" s="21" t="s">
        <v>65</v>
      </c>
      <c r="D107" s="23" t="s">
        <v>66</v>
      </c>
      <c r="E107" s="48" t="s">
        <v>67</v>
      </c>
      <c r="F107" s="48" t="s">
        <v>68</v>
      </c>
      <c r="G107" s="48" t="s">
        <v>51</v>
      </c>
      <c r="H107" s="9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373" t="s">
        <v>19</v>
      </c>
    </row>
    <row r="108" spans="2:39" x14ac:dyDescent="0.25">
      <c r="B108" s="374"/>
      <c r="C108" s="1" t="s">
        <v>69</v>
      </c>
      <c r="D108" s="168">
        <v>137441</v>
      </c>
      <c r="E108" s="180">
        <v>983843</v>
      </c>
      <c r="F108" s="68"/>
      <c r="O108" s="8"/>
      <c r="AI108" s="4"/>
      <c r="AJ108" s="374"/>
    </row>
    <row r="109" spans="2:39" x14ac:dyDescent="0.25">
      <c r="B109" s="374"/>
      <c r="C109" s="1" t="s">
        <v>70</v>
      </c>
      <c r="D109" s="13">
        <f>D108/I50</f>
        <v>0.70220766680120783</v>
      </c>
      <c r="E109" s="312">
        <v>0.2419</v>
      </c>
      <c r="F109" s="68"/>
      <c r="O109" s="8"/>
      <c r="AI109" s="4"/>
      <c r="AJ109" s="374"/>
    </row>
    <row r="110" spans="2:39" x14ac:dyDescent="0.25">
      <c r="B110" s="374"/>
      <c r="C110" s="1"/>
      <c r="D110" s="199"/>
      <c r="E110" s="200"/>
      <c r="F110" s="14"/>
      <c r="O110" s="8"/>
      <c r="AI110" s="4"/>
      <c r="AJ110" s="374"/>
      <c r="AM110" s="8"/>
    </row>
    <row r="111" spans="2:39" ht="14.45" customHeight="1" x14ac:dyDescent="0.25">
      <c r="B111" s="374"/>
      <c r="C111" s="1" t="s">
        <v>71</v>
      </c>
      <c r="D111" s="168">
        <v>431653</v>
      </c>
      <c r="E111" s="183">
        <v>2283246</v>
      </c>
      <c r="F111" s="68"/>
      <c r="O111" s="8"/>
      <c r="AI111" s="4"/>
      <c r="AJ111" s="374"/>
      <c r="AK111" s="24"/>
      <c r="AM111" s="14"/>
    </row>
    <row r="112" spans="2:39" x14ac:dyDescent="0.25">
      <c r="B112" s="374"/>
      <c r="C112" s="1" t="s">
        <v>72</v>
      </c>
      <c r="D112" s="184">
        <f>D111/D108</f>
        <v>3.1406421664568795</v>
      </c>
      <c r="E112" s="161">
        <f>E111/E108</f>
        <v>2.3207422322464053</v>
      </c>
      <c r="F112" s="14"/>
      <c r="O112" s="8"/>
      <c r="AI112" s="4"/>
      <c r="AJ112" s="374"/>
    </row>
    <row r="113" spans="2:39" x14ac:dyDescent="0.25">
      <c r="B113" s="374"/>
      <c r="C113" s="1"/>
      <c r="D113" s="202"/>
      <c r="E113" s="169"/>
      <c r="F113" s="14"/>
      <c r="O113" s="8"/>
      <c r="AI113" s="4"/>
      <c r="AJ113" s="374"/>
      <c r="AM113" s="8"/>
    </row>
    <row r="114" spans="2:39" x14ac:dyDescent="0.25">
      <c r="B114" s="374"/>
      <c r="C114" s="1" t="s">
        <v>73</v>
      </c>
      <c r="D114" s="168">
        <v>232636</v>
      </c>
      <c r="E114" s="183">
        <v>1582600</v>
      </c>
      <c r="F114" s="14"/>
      <c r="O114" s="8"/>
      <c r="AI114" s="4"/>
      <c r="AJ114" s="374"/>
      <c r="AM114" s="14"/>
    </row>
    <row r="115" spans="2:39" x14ac:dyDescent="0.25">
      <c r="B115" s="374"/>
      <c r="C115" s="1" t="s">
        <v>74</v>
      </c>
      <c r="D115" s="184">
        <f>D114/D108</f>
        <v>1.6926244715914465</v>
      </c>
      <c r="E115" s="165">
        <f>E114/E108</f>
        <v>1.6085899884432779</v>
      </c>
      <c r="F115" s="14"/>
      <c r="AI115" s="4"/>
      <c r="AJ115" s="374"/>
    </row>
    <row r="116" spans="2:39" ht="15.75" thickBot="1" x14ac:dyDescent="0.3">
      <c r="B116" s="375"/>
      <c r="C116" s="9" t="s">
        <v>75</v>
      </c>
      <c r="D116" s="185">
        <f>D111/D114</f>
        <v>1.8554866830585119</v>
      </c>
      <c r="E116" s="186">
        <f>E111/E114</f>
        <v>1.4427183116390749</v>
      </c>
      <c r="F116" s="18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11"/>
      <c r="AJ116" s="375"/>
    </row>
    <row r="117" spans="2:39" x14ac:dyDescent="0.25">
      <c r="D117" s="37"/>
      <c r="E117" s="22"/>
      <c r="F117" s="14"/>
    </row>
    <row r="118" spans="2:39" s="35" customFormat="1" x14ac:dyDescent="0.25">
      <c r="B118" s="47"/>
      <c r="C118" s="78"/>
      <c r="D118" s="8"/>
      <c r="E118" s="13"/>
    </row>
    <row r="119" spans="2:39" s="35" customFormat="1" x14ac:dyDescent="0.25">
      <c r="B119" s="47"/>
      <c r="C119" s="78"/>
      <c r="D119" s="8"/>
      <c r="E119" s="34"/>
    </row>
    <row r="120" spans="2:39" s="35" customFormat="1" x14ac:dyDescent="0.25">
      <c r="B120" s="47"/>
      <c r="C120" s="78"/>
      <c r="D120" s="8"/>
      <c r="E120" s="34"/>
    </row>
    <row r="121" spans="2:39" s="35" customFormat="1" x14ac:dyDescent="0.25">
      <c r="B121" s="47"/>
      <c r="C121" s="78"/>
      <c r="D121" s="262"/>
      <c r="E121" s="34"/>
    </row>
    <row r="122" spans="2:39" s="35" customFormat="1" x14ac:dyDescent="0.25">
      <c r="B122" s="47"/>
      <c r="C122" s="78"/>
      <c r="D122" s="8"/>
      <c r="E122" s="78"/>
    </row>
    <row r="123" spans="2:39" s="35" customFormat="1" x14ac:dyDescent="0.25">
      <c r="B123" s="47"/>
      <c r="C123" s="78"/>
      <c r="D123" s="8"/>
      <c r="E123" s="34"/>
    </row>
  </sheetData>
  <mergeCells count="15">
    <mergeCell ref="B107:B116"/>
    <mergeCell ref="AJ107:AJ116"/>
    <mergeCell ref="B4:B51"/>
    <mergeCell ref="B53:B89"/>
    <mergeCell ref="AJ53:AJ89"/>
    <mergeCell ref="B91:B105"/>
    <mergeCell ref="D91:E91"/>
    <mergeCell ref="F91:G91"/>
    <mergeCell ref="AJ91:AJ105"/>
    <mergeCell ref="AJ3:AJ51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1D23-A9BB-42F2-A9A2-4988DAFFB216}">
  <sheetPr>
    <tabColor theme="4"/>
  </sheetPr>
  <dimension ref="A1:AM124"/>
  <sheetViews>
    <sheetView topLeftCell="A84" zoomScale="90" zoomScaleNormal="90" workbookViewId="0">
      <selection activeCell="E77" sqref="E77:E82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14.28515625" style="47" customWidth="1"/>
    <col min="37" max="16384" width="8.85546875" style="3"/>
  </cols>
  <sheetData>
    <row r="1" spans="1:38" ht="15.75" thickBot="1" x14ac:dyDescent="0.3">
      <c r="A1" s="8"/>
      <c r="B1" s="155"/>
    </row>
    <row r="2" spans="1:38" ht="15.75" thickBot="1" x14ac:dyDescent="0.3">
      <c r="A2" s="149"/>
      <c r="B2" s="154"/>
      <c r="C2" s="396" t="s">
        <v>209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7" t="s">
        <v>1</v>
      </c>
    </row>
    <row r="3" spans="1:38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373" t="s">
        <v>10</v>
      </c>
    </row>
    <row r="4" spans="1:38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74"/>
    </row>
    <row r="5" spans="1:38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54" t="s">
        <v>12</v>
      </c>
      <c r="AJ5" s="374"/>
    </row>
    <row r="6" spans="1:38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54" t="s">
        <v>12</v>
      </c>
      <c r="AJ6" s="374"/>
      <c r="AK6" s="39"/>
      <c r="AL6" s="39"/>
    </row>
    <row r="7" spans="1:38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54" t="s">
        <v>12</v>
      </c>
      <c r="AJ7" s="374"/>
      <c r="AK7" s="39"/>
      <c r="AL7" s="39"/>
    </row>
    <row r="8" spans="1:38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54" t="s">
        <v>12</v>
      </c>
      <c r="AJ8" s="374"/>
      <c r="AK8" s="39"/>
      <c r="AL8" s="39"/>
    </row>
    <row r="9" spans="1:38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54" t="s">
        <v>12</v>
      </c>
      <c r="AJ9" s="374"/>
      <c r="AK9" s="39"/>
      <c r="AL9" s="39"/>
    </row>
    <row r="10" spans="1:38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54" t="s">
        <v>12</v>
      </c>
      <c r="AJ10" s="374"/>
      <c r="AK10" s="39"/>
      <c r="AL10" s="39"/>
    </row>
    <row r="11" spans="1:38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54" t="s">
        <v>12</v>
      </c>
      <c r="AJ11" s="374"/>
      <c r="AK11" s="39"/>
      <c r="AL11" s="39"/>
    </row>
    <row r="12" spans="1:38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54" t="s">
        <v>12</v>
      </c>
      <c r="AJ12" s="374"/>
      <c r="AK12" s="39"/>
      <c r="AL12" s="39"/>
    </row>
    <row r="13" spans="1:38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54" t="s">
        <v>12</v>
      </c>
      <c r="AJ13" s="374"/>
      <c r="AK13" s="39"/>
      <c r="AL13" s="39"/>
    </row>
    <row r="14" spans="1:38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54" t="s">
        <v>12</v>
      </c>
      <c r="AJ14" s="374"/>
      <c r="AK14" s="39"/>
      <c r="AL14" s="39"/>
    </row>
    <row r="15" spans="1:38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54" t="s">
        <v>12</v>
      </c>
      <c r="AJ15" s="374"/>
      <c r="AK15" s="39"/>
      <c r="AL15" s="39"/>
    </row>
    <row r="16" spans="1:38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54" t="s">
        <v>12</v>
      </c>
      <c r="AJ16" s="374"/>
      <c r="AK16" s="39"/>
      <c r="AL16" s="39"/>
    </row>
    <row r="17" spans="1:38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54" t="s">
        <v>12</v>
      </c>
      <c r="AJ17" s="374"/>
      <c r="AK17" s="39"/>
      <c r="AL17" s="39"/>
    </row>
    <row r="18" spans="1:38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54" t="s">
        <v>12</v>
      </c>
      <c r="AJ18" s="374"/>
      <c r="AK18" s="39"/>
      <c r="AL18" s="142"/>
    </row>
    <row r="19" spans="1:38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54" t="s">
        <v>12</v>
      </c>
      <c r="AJ19" s="374"/>
      <c r="AK19" s="39"/>
      <c r="AL19" s="142"/>
    </row>
    <row r="20" spans="1:38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59" t="s">
        <v>12</v>
      </c>
      <c r="AJ20" s="374"/>
      <c r="AK20" s="39"/>
      <c r="AL20" s="142"/>
    </row>
    <row r="21" spans="1:38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59"/>
      <c r="AJ21" s="374"/>
      <c r="AK21" s="39"/>
      <c r="AL21" s="142"/>
    </row>
    <row r="22" spans="1:38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1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80"/>
      <c r="AJ22" s="374"/>
      <c r="AK22" s="39"/>
      <c r="AL22" s="142"/>
    </row>
    <row r="23" spans="1:38" x14ac:dyDescent="0.25">
      <c r="A23" s="8"/>
      <c r="B23" s="374"/>
      <c r="C23" s="263">
        <v>44958</v>
      </c>
      <c r="D23" s="246">
        <f t="shared" ref="D23:D51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80"/>
      <c r="AJ23" s="374"/>
      <c r="AK23" s="39"/>
      <c r="AL23" s="142"/>
    </row>
    <row r="24" spans="1:38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80"/>
      <c r="AJ24" s="374"/>
      <c r="AK24" s="39"/>
      <c r="AL24" s="142"/>
    </row>
    <row r="25" spans="1:38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80"/>
      <c r="AJ25" s="374"/>
      <c r="AK25" s="39"/>
      <c r="AL25" s="142"/>
    </row>
    <row r="26" spans="1:38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80"/>
      <c r="AJ26" s="374"/>
      <c r="AK26" s="39"/>
      <c r="AL26" s="142"/>
    </row>
    <row r="27" spans="1:38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80"/>
      <c r="AJ27" s="374"/>
      <c r="AK27" s="39"/>
      <c r="AL27" s="142"/>
    </row>
    <row r="28" spans="1:38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80"/>
      <c r="AJ28" s="374"/>
      <c r="AK28" s="39"/>
      <c r="AL28" s="142"/>
    </row>
    <row r="29" spans="1:38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80"/>
      <c r="AJ29" s="374"/>
      <c r="AK29" s="39"/>
      <c r="AL29" s="142"/>
    </row>
    <row r="30" spans="1:38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80"/>
      <c r="AJ30" s="374"/>
      <c r="AK30" s="39"/>
      <c r="AL30" s="142"/>
    </row>
    <row r="31" spans="1:38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80"/>
      <c r="AJ31" s="374"/>
      <c r="AK31" s="39"/>
      <c r="AL31" s="142"/>
    </row>
    <row r="32" spans="1:38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80"/>
      <c r="AJ32" s="374"/>
      <c r="AK32" s="39"/>
      <c r="AL32" s="142"/>
    </row>
    <row r="33" spans="1:38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80"/>
      <c r="AJ33" s="374"/>
      <c r="AK33" s="39"/>
      <c r="AL33" s="142"/>
    </row>
    <row r="34" spans="1:38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80"/>
      <c r="AJ34" s="374"/>
      <c r="AK34" s="39"/>
      <c r="AL34" s="142"/>
    </row>
    <row r="35" spans="1:38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80"/>
      <c r="AJ35" s="374"/>
      <c r="AK35" s="39"/>
      <c r="AL35" s="142"/>
    </row>
    <row r="36" spans="1:38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80"/>
      <c r="AJ36" s="374"/>
      <c r="AK36" s="39"/>
      <c r="AL36" s="142"/>
    </row>
    <row r="37" spans="1:38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80"/>
      <c r="AJ37" s="374"/>
      <c r="AK37" s="39"/>
      <c r="AL37" s="142"/>
    </row>
    <row r="38" spans="1:38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80"/>
      <c r="AJ38" s="374"/>
      <c r="AK38" s="39"/>
      <c r="AL38" s="142"/>
    </row>
    <row r="39" spans="1:38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80"/>
      <c r="AJ39" s="374"/>
      <c r="AK39" s="39"/>
      <c r="AL39" s="142"/>
    </row>
    <row r="40" spans="1:38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80"/>
      <c r="AJ40" s="374"/>
      <c r="AK40" s="39"/>
      <c r="AL40" s="142"/>
    </row>
    <row r="41" spans="1:38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80"/>
      <c r="AJ41" s="374"/>
      <c r="AK41" s="39"/>
      <c r="AL41" s="142"/>
    </row>
    <row r="42" spans="1:38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326">
        <v>0.64290000000000003</v>
      </c>
      <c r="AJ42" s="374"/>
      <c r="AK42" s="39"/>
      <c r="AL42" s="142"/>
    </row>
    <row r="43" spans="1:38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327">
        <v>0.375</v>
      </c>
      <c r="AJ43" s="374"/>
      <c r="AK43" s="39"/>
      <c r="AL43" s="142"/>
    </row>
    <row r="44" spans="1:38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327">
        <v>0.57140000000000002</v>
      </c>
      <c r="AJ44" s="374"/>
      <c r="AK44" s="39"/>
      <c r="AL44" s="142"/>
    </row>
    <row r="45" spans="1:38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327">
        <v>0.39550000000000002</v>
      </c>
      <c r="AJ45" s="374"/>
      <c r="AK45" s="39"/>
      <c r="AL45" s="142"/>
    </row>
    <row r="46" spans="1:38" x14ac:dyDescent="0.25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327">
        <v>0.54879999999999995</v>
      </c>
      <c r="AJ46" s="374"/>
      <c r="AK46" s="39"/>
      <c r="AL46" s="142"/>
    </row>
    <row r="47" spans="1:38" x14ac:dyDescent="0.25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327">
        <v>0.55710000000000004</v>
      </c>
      <c r="AJ47" s="374"/>
      <c r="AK47" s="39"/>
      <c r="AL47" s="142"/>
    </row>
    <row r="48" spans="1:38" x14ac:dyDescent="0.25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327">
        <v>0.62260000000000004</v>
      </c>
      <c r="AJ48" s="374"/>
      <c r="AK48" s="39"/>
      <c r="AL48" s="142"/>
    </row>
    <row r="49" spans="1:38" x14ac:dyDescent="0.25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327">
        <v>0.64710000000000001</v>
      </c>
      <c r="AJ49" s="374"/>
      <c r="AK49" s="39"/>
      <c r="AL49" s="142"/>
    </row>
    <row r="50" spans="1:38" x14ac:dyDescent="0.25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327">
        <v>0.45760000000000001</v>
      </c>
      <c r="AJ50" s="374"/>
      <c r="AK50" s="39"/>
      <c r="AL50" s="142"/>
    </row>
    <row r="51" spans="1:38" x14ac:dyDescent="0.25">
      <c r="A51" s="8"/>
      <c r="B51" s="374"/>
      <c r="C51" s="271">
        <v>45833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327">
        <v>0.55740000000000001</v>
      </c>
      <c r="AJ51" s="374"/>
      <c r="AK51" s="39"/>
      <c r="AL51" s="142"/>
    </row>
    <row r="52" spans="1:38" ht="15.75" thickBot="1" x14ac:dyDescent="0.3">
      <c r="B52" s="375"/>
      <c r="C52" s="58" t="s">
        <v>78</v>
      </c>
      <c r="D52" s="113"/>
      <c r="E52" s="113">
        <f>SUM(E5:E51)</f>
        <v>550839</v>
      </c>
      <c r="F52" s="113">
        <f>SUM(F5:F51)</f>
        <v>348365.52</v>
      </c>
      <c r="G52" s="113">
        <f>SUM(G5:G51)</f>
        <v>348374</v>
      </c>
      <c r="H52" s="113"/>
      <c r="I52" s="113"/>
      <c r="J52" s="130"/>
      <c r="K52" s="130"/>
      <c r="L52" s="130"/>
      <c r="M52" s="130"/>
      <c r="N52" s="130"/>
      <c r="O52" s="328"/>
      <c r="P52" s="328"/>
      <c r="Q52" s="333"/>
      <c r="R52" s="333">
        <f>SUM(R5:R51)</f>
        <v>481255</v>
      </c>
      <c r="S52" s="354"/>
      <c r="T52" s="113"/>
      <c r="U52" s="130"/>
      <c r="V52" s="130"/>
      <c r="W52" s="130"/>
      <c r="X52" s="113">
        <f>SUM(X17:X51)</f>
        <v>62372</v>
      </c>
      <c r="Y52" s="113"/>
      <c r="Z52" s="130"/>
      <c r="AA52" s="130"/>
      <c r="AB52" s="130"/>
      <c r="AC52" s="130"/>
      <c r="AD52" s="113">
        <f>SUM(AD20:AD51)</f>
        <v>9932</v>
      </c>
      <c r="AE52" s="93"/>
      <c r="AF52" s="93"/>
      <c r="AG52" s="93"/>
      <c r="AH52" s="93"/>
      <c r="AI52" s="112"/>
      <c r="AJ52" s="375"/>
      <c r="AK52" s="8"/>
      <c r="AL52" s="142"/>
    </row>
    <row r="53" spans="1:38" ht="15.75" thickBot="1" x14ac:dyDescent="0.3">
      <c r="C53" s="324"/>
      <c r="D53" s="20"/>
      <c r="E53" s="100"/>
      <c r="F53" s="353"/>
      <c r="G53" s="10"/>
      <c r="H53" s="10"/>
      <c r="I53" s="10"/>
      <c r="J53" s="10"/>
      <c r="K53" s="10"/>
      <c r="L53" s="10"/>
      <c r="M53" s="10"/>
      <c r="N53" s="10"/>
      <c r="O53" s="10"/>
      <c r="P53" s="44"/>
      <c r="Q53" s="44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L53" s="142"/>
    </row>
    <row r="54" spans="1:38" x14ac:dyDescent="0.25">
      <c r="B54" s="381" t="s">
        <v>13</v>
      </c>
      <c r="C54" s="94"/>
      <c r="D54" s="48" t="s">
        <v>145</v>
      </c>
      <c r="E54" s="48" t="s">
        <v>15</v>
      </c>
      <c r="F54" s="48" t="s">
        <v>146</v>
      </c>
      <c r="G54" s="48" t="s">
        <v>193</v>
      </c>
      <c r="H54" s="48"/>
      <c r="I54" s="48" t="s">
        <v>18</v>
      </c>
      <c r="J54" s="94"/>
      <c r="K54" s="94"/>
      <c r="L54" s="94"/>
      <c r="M54" s="94"/>
      <c r="N54" s="94"/>
      <c r="O54" s="94"/>
      <c r="P54" s="116"/>
      <c r="Q54" s="116"/>
      <c r="R54" s="116"/>
      <c r="S54" s="47"/>
      <c r="T54" s="94"/>
      <c r="U54" s="94"/>
      <c r="V54" s="94"/>
      <c r="W54" s="94"/>
      <c r="X54" s="94"/>
      <c r="Y54" s="94"/>
      <c r="AD54" s="94"/>
      <c r="AE54" s="94"/>
      <c r="AF54" s="94"/>
      <c r="AG54" s="94"/>
      <c r="AH54" s="94"/>
      <c r="AI54" s="49"/>
      <c r="AJ54" s="373" t="s">
        <v>19</v>
      </c>
      <c r="AL54" s="142"/>
    </row>
    <row r="55" spans="1:38" x14ac:dyDescent="0.25">
      <c r="B55" s="382"/>
      <c r="C55" s="156" t="s">
        <v>20</v>
      </c>
      <c r="D55" s="47"/>
      <c r="E55" s="47"/>
      <c r="F55" s="47"/>
      <c r="G55" s="260"/>
      <c r="H55" s="260"/>
      <c r="N55" s="289"/>
      <c r="O55" s="154"/>
      <c r="P55" s="158"/>
      <c r="Q55" s="73"/>
      <c r="T55" s="254"/>
      <c r="U55" s="254"/>
      <c r="V55" s="254"/>
      <c r="W55" s="254"/>
      <c r="Y55" s="47"/>
      <c r="Z55" s="47"/>
      <c r="AA55" s="239"/>
      <c r="AB55" s="47"/>
      <c r="AC55" s="47"/>
      <c r="AD55" s="47"/>
      <c r="AE55" s="47"/>
      <c r="AF55" s="47"/>
      <c r="AG55" s="47"/>
      <c r="AH55" s="47"/>
      <c r="AI55" s="12"/>
      <c r="AJ55" s="374"/>
      <c r="AL55" s="8"/>
    </row>
    <row r="56" spans="1:38" x14ac:dyDescent="0.25">
      <c r="B56" s="382"/>
      <c r="C56" s="47" t="s">
        <v>21</v>
      </c>
      <c r="D56" s="160">
        <v>0.40200000000000002</v>
      </c>
      <c r="E56" s="160">
        <v>0.44600000000000001</v>
      </c>
      <c r="F56" s="14">
        <f>D56/E56</f>
        <v>0.90134529147982068</v>
      </c>
      <c r="G56" s="160">
        <v>0.51500000000000001</v>
      </c>
      <c r="H56" s="160"/>
      <c r="I56" s="14">
        <f>E56/G56</f>
        <v>0.86601941747572819</v>
      </c>
      <c r="J56" s="14"/>
      <c r="K56" s="352"/>
      <c r="L56" s="14"/>
      <c r="M56" s="14"/>
      <c r="N56" s="14"/>
      <c r="O56" s="253"/>
      <c r="P56" s="73"/>
      <c r="R56" s="158"/>
      <c r="S56" s="158"/>
      <c r="T56" s="14"/>
      <c r="U56" s="14"/>
      <c r="V56" s="14"/>
      <c r="W56" s="14"/>
      <c r="X56" s="47"/>
      <c r="Y56" s="14"/>
      <c r="Z56" s="14"/>
      <c r="AA56" s="239"/>
      <c r="AB56" s="14"/>
      <c r="AC56" s="14"/>
      <c r="AD56" s="14"/>
      <c r="AE56" s="14"/>
      <c r="AF56" s="14"/>
      <c r="AG56" s="14"/>
      <c r="AH56" s="14"/>
      <c r="AI56" s="15"/>
      <c r="AJ56" s="374"/>
      <c r="AL56" s="8"/>
    </row>
    <row r="57" spans="1:38" x14ac:dyDescent="0.25">
      <c r="B57" s="382"/>
      <c r="C57" s="47" t="s">
        <v>22</v>
      </c>
      <c r="D57" s="160">
        <v>0.59799999999999998</v>
      </c>
      <c r="E57" s="160">
        <v>0.55400000000000005</v>
      </c>
      <c r="F57" s="14">
        <f>D57/E57</f>
        <v>1.0794223826714799</v>
      </c>
      <c r="G57" s="160">
        <v>0.48499999999999999</v>
      </c>
      <c r="H57" s="160"/>
      <c r="I57" s="14">
        <f t="shared" ref="I57:I74" si="5">E57/G57</f>
        <v>1.1422680412371136</v>
      </c>
      <c r="J57" s="14"/>
      <c r="K57" s="14"/>
      <c r="L57" s="14"/>
      <c r="M57" s="14"/>
      <c r="N57" s="14"/>
      <c r="O57" s="149"/>
      <c r="P57" s="73"/>
      <c r="Q57" s="73"/>
      <c r="R57" s="158"/>
      <c r="S57" s="14"/>
      <c r="T57" s="14"/>
      <c r="U57" s="14"/>
      <c r="V57" s="14"/>
      <c r="W57" s="14"/>
      <c r="X57" s="14"/>
      <c r="Y57" s="14"/>
      <c r="Z57" s="14"/>
      <c r="AA57" s="239"/>
      <c r="AB57" s="14"/>
      <c r="AC57" s="14"/>
      <c r="AD57" s="14"/>
      <c r="AE57" s="14"/>
      <c r="AF57" s="14"/>
      <c r="AG57" s="14"/>
      <c r="AH57" s="14"/>
      <c r="AI57" s="15"/>
      <c r="AJ57" s="374"/>
    </row>
    <row r="58" spans="1:38" x14ac:dyDescent="0.25">
      <c r="B58" s="382"/>
      <c r="D58" s="190"/>
      <c r="E58" s="160"/>
      <c r="F58" s="14"/>
      <c r="G58" s="190"/>
      <c r="H58" s="190"/>
      <c r="I58" s="14"/>
      <c r="J58" s="170"/>
      <c r="K58" s="170"/>
      <c r="L58" s="170"/>
      <c r="M58" s="170"/>
      <c r="N58" s="170"/>
      <c r="O58" s="149"/>
      <c r="P58" s="222"/>
      <c r="Q58" s="222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/>
      <c r="AJ58" s="374"/>
    </row>
    <row r="59" spans="1:38" x14ac:dyDescent="0.25">
      <c r="B59" s="382"/>
      <c r="C59" s="156" t="s">
        <v>23</v>
      </c>
      <c r="D59" s="169"/>
      <c r="E59" s="162"/>
      <c r="F59" s="14"/>
      <c r="G59" s="190"/>
      <c r="H59" s="190"/>
      <c r="I59" s="14"/>
      <c r="J59" s="170"/>
      <c r="K59" s="170"/>
      <c r="L59" s="170"/>
      <c r="M59" s="170"/>
      <c r="N59" s="170"/>
      <c r="O59" s="149"/>
      <c r="P59" s="39"/>
      <c r="Q59" s="3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374"/>
    </row>
    <row r="60" spans="1:38" x14ac:dyDescent="0.25">
      <c r="B60" s="382"/>
      <c r="C60" s="47" t="s">
        <v>24</v>
      </c>
      <c r="D60" s="160">
        <v>1.55E-2</v>
      </c>
      <c r="E60" s="160">
        <v>8.2000000000000007E-3</v>
      </c>
      <c r="F60" s="14">
        <f t="shared" ref="F60:F65" si="6">D60/E60</f>
        <v>1.8902439024390243</v>
      </c>
      <c r="G60" s="160">
        <v>1.0200000000000001E-2</v>
      </c>
      <c r="H60" s="160"/>
      <c r="I60" s="14">
        <f t="shared" si="5"/>
        <v>0.80392156862745101</v>
      </c>
      <c r="J60" s="14"/>
      <c r="K60" s="14"/>
      <c r="L60" s="14"/>
      <c r="M60" s="14"/>
      <c r="N60" s="14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374"/>
    </row>
    <row r="61" spans="1:38" x14ac:dyDescent="0.25">
      <c r="B61" s="382"/>
      <c r="C61" s="47" t="s">
        <v>25</v>
      </c>
      <c r="D61" s="160">
        <v>0.1933</v>
      </c>
      <c r="E61" s="160">
        <v>0.1138</v>
      </c>
      <c r="F61" s="14">
        <f t="shared" si="6"/>
        <v>1.6985940246045694</v>
      </c>
      <c r="G61" s="160">
        <v>0.1265</v>
      </c>
      <c r="H61" s="160"/>
      <c r="I61" s="14">
        <f t="shared" si="5"/>
        <v>0.89960474308300398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374"/>
    </row>
    <row r="62" spans="1:38" x14ac:dyDescent="0.25">
      <c r="B62" s="382"/>
      <c r="C62" s="47" t="s">
        <v>26</v>
      </c>
      <c r="D62" s="160">
        <v>0.39639999999999997</v>
      </c>
      <c r="E62" s="160">
        <v>0.35389999999999999</v>
      </c>
      <c r="F62" s="14">
        <f t="shared" si="6"/>
        <v>1.1200904210228877</v>
      </c>
      <c r="G62" s="160">
        <v>0.28920000000000001</v>
      </c>
      <c r="H62" s="160"/>
      <c r="I62" s="14">
        <f t="shared" si="5"/>
        <v>1.2237206085753802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374"/>
    </row>
    <row r="63" spans="1:38" x14ac:dyDescent="0.25">
      <c r="B63" s="382"/>
      <c r="C63" s="47" t="s">
        <v>27</v>
      </c>
      <c r="D63" s="160">
        <v>0.30330000000000001</v>
      </c>
      <c r="E63" s="160">
        <v>0.36270000000000002</v>
      </c>
      <c r="F63" s="14">
        <f t="shared" si="6"/>
        <v>0.83622828784119108</v>
      </c>
      <c r="G63" s="160">
        <v>0.33460000000000001</v>
      </c>
      <c r="H63" s="160"/>
      <c r="I63" s="14">
        <f t="shared" si="5"/>
        <v>1.0839808726838016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374"/>
    </row>
    <row r="64" spans="1:38" x14ac:dyDescent="0.25">
      <c r="B64" s="382"/>
      <c r="C64" s="47" t="s">
        <v>28</v>
      </c>
      <c r="D64" s="160">
        <v>8.1199999999999994E-2</v>
      </c>
      <c r="E64" s="160">
        <v>0.13769999999999999</v>
      </c>
      <c r="F64" s="14">
        <f t="shared" si="6"/>
        <v>0.58968772694262894</v>
      </c>
      <c r="G64" s="160">
        <v>0.16869999999999999</v>
      </c>
      <c r="H64" s="160"/>
      <c r="I64" s="14">
        <f t="shared" si="5"/>
        <v>0.81624184943687017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374"/>
    </row>
    <row r="65" spans="2:36" x14ac:dyDescent="0.25">
      <c r="B65" s="382"/>
      <c r="C65" s="47" t="s">
        <v>29</v>
      </c>
      <c r="D65" s="160">
        <v>1.04E-2</v>
      </c>
      <c r="E65" s="160">
        <v>2.3800000000000002E-2</v>
      </c>
      <c r="F65" s="14">
        <f t="shared" si="6"/>
        <v>0.43697478991596633</v>
      </c>
      <c r="G65" s="160">
        <v>7.0800000000000002E-2</v>
      </c>
      <c r="H65" s="160"/>
      <c r="I65" s="14">
        <f t="shared" si="5"/>
        <v>0.33615819209039549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374"/>
    </row>
    <row r="66" spans="2:36" x14ac:dyDescent="0.25">
      <c r="B66" s="382"/>
      <c r="D66" s="190"/>
      <c r="E66" s="190"/>
      <c r="F66" s="14"/>
      <c r="G66" s="190"/>
      <c r="H66" s="190"/>
      <c r="I66" s="170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374"/>
    </row>
    <row r="67" spans="2:36" x14ac:dyDescent="0.25">
      <c r="B67" s="382"/>
      <c r="C67" s="156" t="s">
        <v>30</v>
      </c>
      <c r="D67" s="169"/>
      <c r="E67" s="169"/>
      <c r="F67" s="14"/>
      <c r="G67" s="190"/>
      <c r="H67" s="190"/>
      <c r="I67" s="170"/>
      <c r="J67" s="170"/>
      <c r="K67" s="170"/>
      <c r="L67" s="170"/>
      <c r="M67" s="170"/>
      <c r="N67" s="170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374"/>
    </row>
    <row r="68" spans="2:36" x14ac:dyDescent="0.25">
      <c r="B68" s="382"/>
      <c r="C68" s="47" t="s">
        <v>31</v>
      </c>
      <c r="D68" s="160">
        <v>0.51200000000000001</v>
      </c>
      <c r="E68" s="163">
        <v>0.47939999999999999</v>
      </c>
      <c r="F68" s="14">
        <f>D68/E68</f>
        <v>1.0680016687526075</v>
      </c>
      <c r="G68" s="160">
        <v>0.47610000000000002</v>
      </c>
      <c r="H68" s="160"/>
      <c r="I68" s="14">
        <f>E68/G68</f>
        <v>1.0069313169502205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374"/>
    </row>
    <row r="69" spans="2:36" x14ac:dyDescent="0.25">
      <c r="B69" s="382"/>
      <c r="C69" s="47" t="s">
        <v>32</v>
      </c>
      <c r="D69" s="160">
        <v>0.19109999999999999</v>
      </c>
      <c r="E69" s="160">
        <v>0.19670000000000001</v>
      </c>
      <c r="F69" s="14">
        <f>D69/E69</f>
        <v>0.97153024911032015</v>
      </c>
      <c r="G69" s="160">
        <v>0.15770000000000001</v>
      </c>
      <c r="H69" s="160"/>
      <c r="I69" s="14">
        <f t="shared" si="5"/>
        <v>1.2473050095117311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374"/>
    </row>
    <row r="70" spans="2:36" x14ac:dyDescent="0.25">
      <c r="B70" s="382"/>
      <c r="C70" s="47" t="s">
        <v>33</v>
      </c>
      <c r="D70" s="160">
        <v>0.1113</v>
      </c>
      <c r="E70" s="160">
        <v>0.12139999999999999</v>
      </c>
      <c r="F70" s="14">
        <f>D70/E70</f>
        <v>0.91680395387149916</v>
      </c>
      <c r="G70" s="160">
        <v>0.12180000000000001</v>
      </c>
      <c r="H70" s="160"/>
      <c r="I70" s="14">
        <f t="shared" si="5"/>
        <v>0.9967159277504104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374"/>
    </row>
    <row r="71" spans="2:36" x14ac:dyDescent="0.25">
      <c r="B71" s="382"/>
      <c r="C71" s="47" t="s">
        <v>34</v>
      </c>
      <c r="D71" s="160">
        <v>9.6100000000000005E-2</v>
      </c>
      <c r="E71" s="160">
        <v>9.8599999999999993E-2</v>
      </c>
      <c r="F71" s="14">
        <f t="shared" ref="F71:F74" si="7">D71/E71</f>
        <v>0.97464503042596362</v>
      </c>
      <c r="G71" s="160">
        <v>0.1171</v>
      </c>
      <c r="H71" s="160"/>
      <c r="I71" s="14">
        <f t="shared" si="5"/>
        <v>0.84201537147736971</v>
      </c>
      <c r="J71" s="14"/>
      <c r="K71" s="14"/>
      <c r="L71" s="14"/>
      <c r="M71" s="14"/>
      <c r="N71" s="14"/>
      <c r="O71" s="223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374"/>
    </row>
    <row r="72" spans="2:36" x14ac:dyDescent="0.25">
      <c r="B72" s="382"/>
      <c r="C72" s="47" t="s">
        <v>35</v>
      </c>
      <c r="D72" s="160">
        <v>2.4E-2</v>
      </c>
      <c r="E72" s="160">
        <v>2.3900000000000001E-2</v>
      </c>
      <c r="F72" s="14">
        <f t="shared" si="7"/>
        <v>1.00418410041841</v>
      </c>
      <c r="G72" s="160">
        <v>3.2300000000000002E-2</v>
      </c>
      <c r="H72" s="160"/>
      <c r="I72" s="14">
        <f t="shared" si="5"/>
        <v>0.73993808049535603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374"/>
    </row>
    <row r="73" spans="2:36" x14ac:dyDescent="0.25">
      <c r="B73" s="382"/>
      <c r="C73" s="47" t="s">
        <v>36</v>
      </c>
      <c r="D73" s="160">
        <v>1.2999999999999999E-2</v>
      </c>
      <c r="E73" s="160">
        <v>1.4800000000000001E-2</v>
      </c>
      <c r="F73" s="14">
        <f t="shared" si="7"/>
        <v>0.87837837837837829</v>
      </c>
      <c r="G73" s="160">
        <v>1.8700000000000001E-2</v>
      </c>
      <c r="H73" s="160"/>
      <c r="I73" s="14">
        <f t="shared" si="5"/>
        <v>0.79144385026737962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374"/>
    </row>
    <row r="74" spans="2:36" x14ac:dyDescent="0.25">
      <c r="B74" s="382"/>
      <c r="C74" s="47" t="s">
        <v>37</v>
      </c>
      <c r="D74" s="160">
        <v>5.2600000000000001E-2</v>
      </c>
      <c r="E74" s="160">
        <v>6.5199999999999994E-2</v>
      </c>
      <c r="F74" s="14">
        <f t="shared" si="7"/>
        <v>0.80674846625766883</v>
      </c>
      <c r="G74" s="160">
        <v>7.6300000000000007E-2</v>
      </c>
      <c r="H74" s="160"/>
      <c r="I74" s="14">
        <f t="shared" si="5"/>
        <v>0.85452162516382679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374"/>
    </row>
    <row r="75" spans="2:36" x14ac:dyDescent="0.25">
      <c r="B75" s="382"/>
      <c r="D75" s="190"/>
      <c r="E75" s="190"/>
      <c r="F75" s="14"/>
      <c r="G75" s="190"/>
      <c r="H75" s="190"/>
      <c r="I75" s="170"/>
      <c r="J75" s="170"/>
      <c r="K75" s="170"/>
      <c r="L75" s="170"/>
      <c r="M75" s="170"/>
      <c r="N75" s="170"/>
      <c r="O75" s="149"/>
      <c r="P75" s="222"/>
      <c r="Q75" s="222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374"/>
    </row>
    <row r="76" spans="2:36" x14ac:dyDescent="0.25">
      <c r="B76" s="382"/>
      <c r="C76" s="156" t="s">
        <v>38</v>
      </c>
      <c r="D76" s="169"/>
      <c r="E76" s="169"/>
      <c r="F76" s="14"/>
      <c r="G76" s="190"/>
      <c r="H76" s="190"/>
      <c r="I76" s="170"/>
      <c r="J76" s="170"/>
      <c r="K76" s="170"/>
      <c r="L76" s="170"/>
      <c r="M76" s="170"/>
      <c r="N76" s="170"/>
      <c r="O76" s="149"/>
      <c r="P76" s="222"/>
      <c r="Q76" s="222"/>
      <c r="R76" s="239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374"/>
    </row>
    <row r="77" spans="2:36" x14ac:dyDescent="0.25">
      <c r="B77" s="382"/>
      <c r="C77" s="47" t="s">
        <v>39</v>
      </c>
      <c r="D77" s="160">
        <v>0.58340000000000003</v>
      </c>
      <c r="E77" s="160">
        <v>0.49469999999999997</v>
      </c>
      <c r="F77" s="14">
        <f>D77/E77</f>
        <v>1.179300586213867</v>
      </c>
      <c r="G77" s="164">
        <v>0.50660000000000005</v>
      </c>
      <c r="H77" s="164"/>
      <c r="I77" s="72">
        <f>E77/G77</f>
        <v>0.97651006711409383</v>
      </c>
      <c r="J77" s="72"/>
      <c r="K77" s="72"/>
      <c r="L77" s="72"/>
      <c r="M77" s="72"/>
      <c r="N77" s="72"/>
      <c r="O77" s="149"/>
      <c r="P77" s="240"/>
      <c r="Q77" s="240"/>
      <c r="R77" s="241"/>
      <c r="S77" s="16"/>
      <c r="T77" s="16"/>
      <c r="U77" s="16"/>
      <c r="V77" s="16"/>
      <c r="W77" s="16"/>
      <c r="X77" s="68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36"/>
      <c r="AJ77" s="374"/>
    </row>
    <row r="78" spans="2:36" x14ac:dyDescent="0.25">
      <c r="B78" s="382"/>
      <c r="C78" s="47" t="s">
        <v>40</v>
      </c>
      <c r="D78" s="160">
        <v>4.1799999999999997E-2</v>
      </c>
      <c r="E78" s="160">
        <v>4.7800000000000002E-2</v>
      </c>
      <c r="F78" s="14">
        <f>D78/E78</f>
        <v>0.87447698744769864</v>
      </c>
      <c r="G78" s="160">
        <v>6.6199999999999995E-2</v>
      </c>
      <c r="H78" s="160"/>
      <c r="I78" s="72">
        <f>E78/G78</f>
        <v>0.72205438066465266</v>
      </c>
      <c r="J78" s="72"/>
      <c r="K78" s="72"/>
      <c r="L78" s="72"/>
      <c r="M78" s="72"/>
      <c r="N78" s="72"/>
      <c r="O78" s="149"/>
      <c r="P78" s="240"/>
      <c r="Q78" s="240"/>
      <c r="R78" s="241"/>
      <c r="S78" s="14"/>
      <c r="T78" s="16"/>
      <c r="U78" s="16"/>
      <c r="V78" s="16"/>
      <c r="W78" s="16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374"/>
    </row>
    <row r="79" spans="2:36" x14ac:dyDescent="0.25">
      <c r="B79" s="382"/>
      <c r="C79" s="47" t="s">
        <v>41</v>
      </c>
      <c r="D79" s="160">
        <v>7.51E-2</v>
      </c>
      <c r="E79" s="160">
        <v>8.72E-2</v>
      </c>
      <c r="F79" s="14">
        <f>D79/E79</f>
        <v>0.86123853211009171</v>
      </c>
      <c r="G79" s="160">
        <v>0.1191</v>
      </c>
      <c r="H79" s="160"/>
      <c r="I79" s="72">
        <f>E79/G79</f>
        <v>0.73215785054575988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374"/>
    </row>
    <row r="80" spans="2:36" x14ac:dyDescent="0.25">
      <c r="B80" s="382"/>
      <c r="C80" s="47" t="s">
        <v>42</v>
      </c>
      <c r="D80" s="160">
        <v>9.3200000000000005E-2</v>
      </c>
      <c r="E80" s="160">
        <v>0.1082</v>
      </c>
      <c r="F80" s="14">
        <f>D80/E80</f>
        <v>0.8613678373382625</v>
      </c>
      <c r="G80" s="160">
        <v>0.129</v>
      </c>
      <c r="H80" s="160"/>
      <c r="I80" s="72">
        <f>E80/G80</f>
        <v>0.83875968992248062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374"/>
    </row>
    <row r="81" spans="2:36" x14ac:dyDescent="0.25">
      <c r="B81" s="382"/>
      <c r="C81" s="47" t="s">
        <v>43</v>
      </c>
      <c r="D81" s="160">
        <v>0.11840000000000001</v>
      </c>
      <c r="E81" s="160">
        <v>0.1351</v>
      </c>
      <c r="F81" s="14">
        <f>D81/E81</f>
        <v>0.87638786084381948</v>
      </c>
      <c r="G81" s="160">
        <v>0.1174</v>
      </c>
      <c r="H81" s="160"/>
      <c r="I81" s="72">
        <f>E81/G81</f>
        <v>1.1507666098807494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374"/>
    </row>
    <row r="82" spans="2:36" x14ac:dyDescent="0.25">
      <c r="B82" s="382"/>
      <c r="C82" s="47" t="s">
        <v>44</v>
      </c>
      <c r="D82" s="160">
        <v>8.7999999999999995E-2</v>
      </c>
      <c r="E82" s="160">
        <v>0.127</v>
      </c>
      <c r="F82" s="14">
        <f t="shared" ref="F82:F90" si="8">D82/E82</f>
        <v>0.69291338582677164</v>
      </c>
      <c r="G82" s="160">
        <v>6.1699999999999998E-2</v>
      </c>
      <c r="H82" s="160"/>
      <c r="I82" s="72">
        <f t="shared" ref="I82" si="9">E82/G82</f>
        <v>2.0583468395461915</v>
      </c>
      <c r="J82" s="72"/>
      <c r="K82" s="72"/>
      <c r="L82" s="72"/>
      <c r="M82" s="72"/>
      <c r="N82" s="72"/>
      <c r="P82" s="34"/>
      <c r="Q82" s="34"/>
      <c r="R82" s="239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374"/>
    </row>
    <row r="83" spans="2:36" x14ac:dyDescent="0.25">
      <c r="B83" s="382"/>
      <c r="D83" s="190"/>
      <c r="E83" s="190"/>
      <c r="F83" s="14"/>
      <c r="G83" s="190"/>
      <c r="H83" s="190"/>
      <c r="I83" s="170"/>
      <c r="J83" s="170"/>
      <c r="K83" s="170"/>
      <c r="L83" s="170"/>
      <c r="M83" s="170"/>
      <c r="N83" s="170"/>
      <c r="O83" s="149"/>
      <c r="P83" s="222"/>
      <c r="Q83" s="222"/>
      <c r="R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374"/>
    </row>
    <row r="84" spans="2:36" x14ac:dyDescent="0.25">
      <c r="B84" s="382"/>
      <c r="C84" s="156" t="s">
        <v>194</v>
      </c>
      <c r="D84" s="190"/>
      <c r="E84" s="190"/>
      <c r="F84" s="14"/>
      <c r="G84" s="190"/>
      <c r="H84" s="190"/>
      <c r="I84" s="170"/>
      <c r="J84" s="170"/>
      <c r="K84" s="170"/>
      <c r="L84" s="170"/>
      <c r="M84" s="170"/>
      <c r="N84" s="170"/>
      <c r="O84" s="149"/>
      <c r="P84" s="39"/>
      <c r="Q84" s="39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374"/>
    </row>
    <row r="85" spans="2:36" x14ac:dyDescent="0.25">
      <c r="B85" s="382"/>
      <c r="C85" s="47" t="s">
        <v>39</v>
      </c>
      <c r="D85" s="160">
        <v>0.26879999999999998</v>
      </c>
      <c r="E85" s="160">
        <v>0.1512</v>
      </c>
      <c r="F85" s="14">
        <f t="shared" si="8"/>
        <v>1.7777777777777777</v>
      </c>
      <c r="G85" s="163">
        <v>0.24990000000000001</v>
      </c>
      <c r="H85" s="163"/>
      <c r="I85" s="72">
        <f>E85/G85</f>
        <v>0.60504201680672265</v>
      </c>
      <c r="J85" s="72"/>
      <c r="K85" s="72"/>
      <c r="L85" s="72"/>
      <c r="M85" s="72"/>
      <c r="N85" s="72"/>
      <c r="O85" s="149"/>
      <c r="P85" s="38"/>
      <c r="Q85" s="3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374"/>
    </row>
    <row r="86" spans="2:36" x14ac:dyDescent="0.25">
      <c r="B86" s="382"/>
      <c r="C86" s="47" t="s">
        <v>40</v>
      </c>
      <c r="D86" s="160">
        <v>6.2799999999999995E-2</v>
      </c>
      <c r="E86" s="160">
        <v>6.7699999999999996E-2</v>
      </c>
      <c r="F86" s="14">
        <f t="shared" si="8"/>
        <v>0.92762186115214174</v>
      </c>
      <c r="G86" s="163">
        <v>0.17810000000000001</v>
      </c>
      <c r="H86" s="163"/>
      <c r="I86" s="72">
        <f t="shared" ref="I86:I90" si="10">E86/G86</f>
        <v>0.38012352610892752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374"/>
    </row>
    <row r="87" spans="2:36" x14ac:dyDescent="0.25">
      <c r="B87" s="382"/>
      <c r="C87" s="47" t="s">
        <v>41</v>
      </c>
      <c r="D87" s="160">
        <v>0.1358</v>
      </c>
      <c r="E87" s="160">
        <v>0.14510000000000001</v>
      </c>
      <c r="F87" s="14">
        <f t="shared" si="8"/>
        <v>0.93590627153687111</v>
      </c>
      <c r="G87" s="163">
        <v>0.2457</v>
      </c>
      <c r="H87" s="163"/>
      <c r="I87" s="72">
        <f t="shared" si="10"/>
        <v>0.59055759055759061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374"/>
    </row>
    <row r="88" spans="2:36" x14ac:dyDescent="0.25">
      <c r="B88" s="382"/>
      <c r="C88" s="47" t="s">
        <v>42</v>
      </c>
      <c r="D88" s="160">
        <v>0.1704</v>
      </c>
      <c r="E88" s="160">
        <v>0.17680000000000001</v>
      </c>
      <c r="F88" s="14">
        <f t="shared" si="8"/>
        <v>0.96380090497737547</v>
      </c>
      <c r="G88" s="163">
        <v>0.1794</v>
      </c>
      <c r="H88" s="163"/>
      <c r="I88" s="72">
        <f t="shared" si="10"/>
        <v>0.98550724637681164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374"/>
    </row>
    <row r="89" spans="2:36" x14ac:dyDescent="0.25">
      <c r="B89" s="382"/>
      <c r="C89" s="47" t="s">
        <v>43</v>
      </c>
      <c r="D89" s="160">
        <v>0.2026</v>
      </c>
      <c r="E89" s="160">
        <v>0.2273</v>
      </c>
      <c r="F89" s="14">
        <f t="shared" si="8"/>
        <v>0.89133304003519576</v>
      </c>
      <c r="G89" s="163">
        <v>0.1048</v>
      </c>
      <c r="H89" s="163"/>
      <c r="I89" s="72">
        <f t="shared" si="10"/>
        <v>2.1688931297709924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374"/>
    </row>
    <row r="90" spans="2:36" ht="15.75" thickBot="1" x14ac:dyDescent="0.3">
      <c r="B90" s="383"/>
      <c r="C90" s="47" t="s">
        <v>44</v>
      </c>
      <c r="D90" s="160">
        <v>0.1595</v>
      </c>
      <c r="E90" s="160">
        <v>0.23200000000000001</v>
      </c>
      <c r="F90" s="14">
        <f t="shared" si="8"/>
        <v>0.6875</v>
      </c>
      <c r="G90" s="163">
        <v>4.2099999999999999E-2</v>
      </c>
      <c r="H90" s="163"/>
      <c r="I90" s="72">
        <f t="shared" si="10"/>
        <v>5.5106888361045137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375"/>
    </row>
    <row r="91" spans="2:36" ht="15.75" thickBot="1" x14ac:dyDescent="0.3">
      <c r="B91" s="266"/>
      <c r="C91" s="224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25"/>
    </row>
    <row r="92" spans="2:36" x14ac:dyDescent="0.25">
      <c r="B92" s="373" t="s">
        <v>45</v>
      </c>
      <c r="C92" s="5"/>
      <c r="D92" s="385" t="s">
        <v>46</v>
      </c>
      <c r="E92" s="385"/>
      <c r="F92" s="385" t="s">
        <v>47</v>
      </c>
      <c r="G92" s="385"/>
      <c r="H92" s="48"/>
      <c r="I92" s="42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7"/>
      <c r="AJ92" s="386" t="s">
        <v>48</v>
      </c>
    </row>
    <row r="93" spans="2:36" x14ac:dyDescent="0.25">
      <c r="B93" s="374"/>
      <c r="C93" s="1"/>
      <c r="D93" s="40" t="s">
        <v>49</v>
      </c>
      <c r="E93" s="40" t="s">
        <v>50</v>
      </c>
      <c r="F93" s="40" t="s">
        <v>49</v>
      </c>
      <c r="G93" s="40" t="s">
        <v>50</v>
      </c>
      <c r="H93" s="40"/>
      <c r="I93" s="41" t="s">
        <v>51</v>
      </c>
      <c r="J93" s="96" t="s">
        <v>52</v>
      </c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9"/>
      <c r="AJ93" s="387"/>
    </row>
    <row r="94" spans="2:36" x14ac:dyDescent="0.25">
      <c r="B94" s="374"/>
      <c r="C94" s="2" t="s">
        <v>53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4"/>
      <c r="AJ94" s="387"/>
    </row>
    <row r="95" spans="2:36" x14ac:dyDescent="0.25">
      <c r="B95" s="374"/>
      <c r="C95" s="1" t="s">
        <v>54</v>
      </c>
      <c r="D95" s="167">
        <v>2539948</v>
      </c>
      <c r="E95" s="163">
        <f>D95/D97</f>
        <v>0.67690700466515741</v>
      </c>
      <c r="F95" s="168">
        <v>248790</v>
      </c>
      <c r="G95" s="160">
        <f>F95/$F$97</f>
        <v>0.61903766627353207</v>
      </c>
      <c r="H95" s="160"/>
      <c r="I95" s="161">
        <f>G95/E95</f>
        <v>0.91450917483081551</v>
      </c>
      <c r="J95" s="191">
        <f>F95/D95</f>
        <v>9.7950824190101524E-2</v>
      </c>
      <c r="K95" s="191"/>
      <c r="L95" s="161"/>
      <c r="M95" s="161"/>
      <c r="N95" s="161"/>
      <c r="P95" s="39"/>
      <c r="Q95" s="39"/>
      <c r="R95" s="39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82"/>
      <c r="AJ95" s="387"/>
    </row>
    <row r="96" spans="2:36" x14ac:dyDescent="0.25">
      <c r="B96" s="374"/>
      <c r="C96" s="1" t="s">
        <v>55</v>
      </c>
      <c r="D96" s="167">
        <f>SUM(D100:D106)</f>
        <v>1212337</v>
      </c>
      <c r="E96" s="163">
        <f>D96/D97</f>
        <v>0.32309299533484265</v>
      </c>
      <c r="F96" s="168">
        <f>SUM(F100:F106)</f>
        <v>153108</v>
      </c>
      <c r="G96" s="160">
        <f>F96/$F$97</f>
        <v>0.38096233372646793</v>
      </c>
      <c r="H96" s="160"/>
      <c r="I96" s="161">
        <f>G96/E96</f>
        <v>1.1791104704441253</v>
      </c>
      <c r="J96" s="191">
        <f>F96/D96</f>
        <v>0.12629161693489516</v>
      </c>
      <c r="K96" s="191"/>
      <c r="L96" s="161"/>
      <c r="M96" s="161"/>
      <c r="N96" s="161"/>
      <c r="P96" s="39"/>
      <c r="Q96" s="39"/>
      <c r="R96" s="39"/>
      <c r="S96" s="252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387"/>
    </row>
    <row r="97" spans="2:39" x14ac:dyDescent="0.25">
      <c r="B97" s="374"/>
      <c r="C97" s="1" t="s">
        <v>53</v>
      </c>
      <c r="D97" s="167">
        <f>SUM(D95:D96)</f>
        <v>3752285</v>
      </c>
      <c r="E97" s="192"/>
      <c r="F97" s="168">
        <f>SUM(F95:F96)</f>
        <v>401898</v>
      </c>
      <c r="G97" s="169"/>
      <c r="H97" s="169"/>
      <c r="I97" s="161"/>
      <c r="J97" s="191">
        <f>F97/D97</f>
        <v>0.10710753580818089</v>
      </c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387"/>
    </row>
    <row r="98" spans="2:39" x14ac:dyDescent="0.25">
      <c r="B98" s="374"/>
      <c r="C98" s="1"/>
      <c r="D98" s="192"/>
      <c r="E98" s="192"/>
      <c r="F98" s="168"/>
      <c r="G98" s="169"/>
      <c r="H98" s="169"/>
      <c r="I98" s="161"/>
      <c r="J98" s="191"/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387"/>
    </row>
    <row r="99" spans="2:39" x14ac:dyDescent="0.25">
      <c r="B99" s="374"/>
      <c r="C99" s="2" t="s">
        <v>56</v>
      </c>
      <c r="D99" s="192"/>
      <c r="E99" s="192"/>
      <c r="F99" s="169"/>
      <c r="G99" s="169"/>
      <c r="H99" s="169"/>
      <c r="I99" s="161"/>
      <c r="J99" s="191"/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387"/>
    </row>
    <row r="100" spans="2:39" x14ac:dyDescent="0.25">
      <c r="B100" s="374"/>
      <c r="C100" s="1" t="s">
        <v>57</v>
      </c>
      <c r="D100" s="167">
        <v>394491</v>
      </c>
      <c r="E100" s="163">
        <f>D100/$D$96</f>
        <v>0.32539714617305254</v>
      </c>
      <c r="F100" s="168">
        <v>51911</v>
      </c>
      <c r="G100" s="160">
        <f>F100/$F$96</f>
        <v>0.33904825352039081</v>
      </c>
      <c r="H100" s="160"/>
      <c r="I100" s="161">
        <f t="shared" ref="I100:I106" si="11">G100/E100</f>
        <v>1.0419521421988081</v>
      </c>
      <c r="J100" s="191">
        <f t="shared" ref="J100:J106" si="12">F100/D100</f>
        <v>0.1315898208070653</v>
      </c>
      <c r="K100" s="191"/>
      <c r="L100" s="163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387"/>
    </row>
    <row r="101" spans="2:39" x14ac:dyDescent="0.25">
      <c r="B101" s="374"/>
      <c r="C101" s="1" t="s">
        <v>58</v>
      </c>
      <c r="D101" s="167">
        <v>200784</v>
      </c>
      <c r="E101" s="163">
        <f t="shared" ref="E101:E106" si="13">D101/$D$96</f>
        <v>0.16561731597732313</v>
      </c>
      <c r="F101" s="168">
        <v>32484</v>
      </c>
      <c r="G101" s="160">
        <f t="shared" ref="G101:G103" si="14">F101/$F$96</f>
        <v>0.21216396269300103</v>
      </c>
      <c r="H101" s="160"/>
      <c r="I101" s="161">
        <f t="shared" si="11"/>
        <v>1.2810493965622003</v>
      </c>
      <c r="J101" s="191">
        <f t="shared" si="12"/>
        <v>0.16178579966531198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387"/>
    </row>
    <row r="102" spans="2:39" x14ac:dyDescent="0.25">
      <c r="B102" s="374"/>
      <c r="C102" s="1" t="s">
        <v>59</v>
      </c>
      <c r="D102" s="167">
        <v>187057</v>
      </c>
      <c r="E102" s="163">
        <f t="shared" si="13"/>
        <v>0.15429455671154144</v>
      </c>
      <c r="F102" s="168">
        <v>31177</v>
      </c>
      <c r="G102" s="160">
        <f t="shared" si="14"/>
        <v>0.20362750476787628</v>
      </c>
      <c r="H102" s="160"/>
      <c r="I102" s="161">
        <f t="shared" si="11"/>
        <v>1.3197322647523098</v>
      </c>
      <c r="J102" s="191">
        <f t="shared" si="12"/>
        <v>0.16667112163672035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387"/>
    </row>
    <row r="103" spans="2:39" x14ac:dyDescent="0.25">
      <c r="B103" s="374"/>
      <c r="C103" s="172" t="s">
        <v>60</v>
      </c>
      <c r="D103" s="168">
        <v>304706</v>
      </c>
      <c r="E103" s="163">
        <f t="shared" si="13"/>
        <v>0.25133770560495966</v>
      </c>
      <c r="F103" s="174">
        <v>23853</v>
      </c>
      <c r="G103" s="160">
        <f t="shared" si="14"/>
        <v>0.15579198996786581</v>
      </c>
      <c r="H103" s="160"/>
      <c r="I103" s="161">
        <f t="shared" si="11"/>
        <v>0.61985124592778795</v>
      </c>
      <c r="J103" s="191">
        <f t="shared" si="12"/>
        <v>7.8282016107329683E-2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387"/>
    </row>
    <row r="104" spans="2:39" x14ac:dyDescent="0.25">
      <c r="B104" s="374"/>
      <c r="C104" s="1" t="s">
        <v>61</v>
      </c>
      <c r="D104" s="167">
        <v>34686</v>
      </c>
      <c r="E104" s="163">
        <f t="shared" si="13"/>
        <v>2.8610856552262285E-2</v>
      </c>
      <c r="F104" s="168">
        <v>2120</v>
      </c>
      <c r="G104" s="160">
        <f>F104/$F$96</f>
        <v>1.3846435196070747E-2</v>
      </c>
      <c r="H104" s="160"/>
      <c r="I104" s="161">
        <f t="shared" si="11"/>
        <v>0.48395738068093236</v>
      </c>
      <c r="J104" s="191">
        <f t="shared" si="12"/>
        <v>6.1119760133771552E-2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387"/>
    </row>
    <row r="105" spans="2:39" x14ac:dyDescent="0.25">
      <c r="B105" s="374"/>
      <c r="C105" s="1" t="s">
        <v>62</v>
      </c>
      <c r="D105" s="167">
        <v>64463</v>
      </c>
      <c r="E105" s="163">
        <f t="shared" si="13"/>
        <v>5.3172508964091668E-2</v>
      </c>
      <c r="F105" s="168">
        <v>7401</v>
      </c>
      <c r="G105" s="160">
        <f>F105/$F$96</f>
        <v>4.8338427776471508E-2</v>
      </c>
      <c r="H105" s="160"/>
      <c r="I105" s="161">
        <f t="shared" si="11"/>
        <v>0.9090868329932541</v>
      </c>
      <c r="J105" s="191">
        <f t="shared" si="12"/>
        <v>0.11481004607294107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387"/>
      <c r="AM105" s="13"/>
    </row>
    <row r="106" spans="2:39" ht="15.75" thickBot="1" x14ac:dyDescent="0.3">
      <c r="B106" s="375"/>
      <c r="C106" s="9" t="s">
        <v>63</v>
      </c>
      <c r="D106" s="175">
        <v>26150</v>
      </c>
      <c r="E106" s="179">
        <f t="shared" si="13"/>
        <v>2.1569910016769264E-2</v>
      </c>
      <c r="F106" s="177">
        <v>4162</v>
      </c>
      <c r="G106" s="176">
        <f>F106/$F$96</f>
        <v>2.7183426078323799E-2</v>
      </c>
      <c r="H106" s="176"/>
      <c r="I106" s="178">
        <f t="shared" si="11"/>
        <v>1.2602475419318104</v>
      </c>
      <c r="J106" s="198">
        <f t="shared" si="12"/>
        <v>0.15915869980879541</v>
      </c>
      <c r="K106" s="198"/>
      <c r="L106" s="179"/>
      <c r="M106" s="178"/>
      <c r="N106" s="178"/>
      <c r="O106" s="100"/>
      <c r="P106" s="100"/>
      <c r="Q106" s="100"/>
      <c r="R106" s="100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83"/>
      <c r="AJ106" s="388"/>
    </row>
    <row r="107" spans="2:39" ht="15.75" thickBot="1" x14ac:dyDescent="0.3">
      <c r="D107" s="8"/>
    </row>
    <row r="108" spans="2:39" x14ac:dyDescent="0.25">
      <c r="B108" s="373" t="s">
        <v>64</v>
      </c>
      <c r="C108" s="21" t="s">
        <v>65</v>
      </c>
      <c r="D108" s="23" t="s">
        <v>66</v>
      </c>
      <c r="E108" s="48" t="s">
        <v>67</v>
      </c>
      <c r="F108" s="48" t="s">
        <v>68</v>
      </c>
      <c r="G108" s="48" t="s">
        <v>51</v>
      </c>
      <c r="H108" s="9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373" t="s">
        <v>19</v>
      </c>
    </row>
    <row r="109" spans="2:39" x14ac:dyDescent="0.25">
      <c r="B109" s="374"/>
      <c r="C109" s="1" t="s">
        <v>69</v>
      </c>
      <c r="D109" s="168">
        <v>131601</v>
      </c>
      <c r="E109" s="180">
        <v>929969</v>
      </c>
      <c r="F109" s="68"/>
      <c r="O109" s="8"/>
      <c r="AI109" s="4"/>
      <c r="AJ109" s="374"/>
    </row>
    <row r="110" spans="2:39" x14ac:dyDescent="0.25">
      <c r="B110" s="374"/>
      <c r="C110" s="1" t="s">
        <v>70</v>
      </c>
      <c r="D110" s="160">
        <f>D109/I51</f>
        <v>0.64982692810973897</v>
      </c>
      <c r="E110" s="261">
        <v>0.2278</v>
      </c>
      <c r="F110" s="68"/>
      <c r="O110" s="8"/>
      <c r="AI110" s="4"/>
      <c r="AJ110" s="374"/>
    </row>
    <row r="111" spans="2:39" x14ac:dyDescent="0.25">
      <c r="B111" s="374"/>
      <c r="C111" s="1"/>
      <c r="D111" s="199"/>
      <c r="E111" s="200"/>
      <c r="F111" s="14"/>
      <c r="O111" s="8"/>
      <c r="AI111" s="4"/>
      <c r="AJ111" s="374"/>
      <c r="AM111" s="8"/>
    </row>
    <row r="112" spans="2:39" ht="14.45" customHeight="1" x14ac:dyDescent="0.25">
      <c r="B112" s="374"/>
      <c r="C112" s="1" t="s">
        <v>71</v>
      </c>
      <c r="D112" s="168">
        <v>401742</v>
      </c>
      <c r="E112" s="183">
        <v>2130740</v>
      </c>
      <c r="F112" s="68"/>
      <c r="O112" s="8"/>
      <c r="AI112" s="4"/>
      <c r="AJ112" s="374"/>
      <c r="AK112" s="24"/>
      <c r="AM112" s="14"/>
    </row>
    <row r="113" spans="2:39" x14ac:dyDescent="0.25">
      <c r="B113" s="374"/>
      <c r="C113" s="1" t="s">
        <v>72</v>
      </c>
      <c r="D113" s="184">
        <f>D112/D109</f>
        <v>3.0527275628604644</v>
      </c>
      <c r="E113" s="161">
        <f>E112/E109</f>
        <v>2.2911946527249833</v>
      </c>
      <c r="F113" s="14"/>
      <c r="O113" s="8"/>
      <c r="AI113" s="4"/>
      <c r="AJ113" s="374"/>
    </row>
    <row r="114" spans="2:39" x14ac:dyDescent="0.25">
      <c r="B114" s="374"/>
      <c r="C114" s="1"/>
      <c r="D114" s="202"/>
      <c r="E114" s="169"/>
      <c r="F114" s="14"/>
      <c r="O114" s="8"/>
      <c r="AI114" s="4"/>
      <c r="AJ114" s="374"/>
      <c r="AM114" s="8"/>
    </row>
    <row r="115" spans="2:39" x14ac:dyDescent="0.25">
      <c r="B115" s="374"/>
      <c r="C115" s="1" t="s">
        <v>73</v>
      </c>
      <c r="D115" s="168">
        <v>218947</v>
      </c>
      <c r="E115" s="183">
        <v>1453962</v>
      </c>
      <c r="F115" s="14"/>
      <c r="O115" s="8"/>
      <c r="AI115" s="4"/>
      <c r="AJ115" s="374"/>
      <c r="AM115" s="14"/>
    </row>
    <row r="116" spans="2:39" x14ac:dyDescent="0.25">
      <c r="B116" s="374"/>
      <c r="C116" s="1" t="s">
        <v>74</v>
      </c>
      <c r="D116" s="184">
        <f>D115/D109</f>
        <v>1.6637183608027295</v>
      </c>
      <c r="E116" s="165">
        <f>E115/E109</f>
        <v>1.5634521150705023</v>
      </c>
      <c r="F116" s="14"/>
      <c r="AI116" s="4"/>
      <c r="AJ116" s="374"/>
    </row>
    <row r="117" spans="2:39" ht="15.75" thickBot="1" x14ac:dyDescent="0.3">
      <c r="B117" s="375"/>
      <c r="C117" s="9" t="s">
        <v>75</v>
      </c>
      <c r="D117" s="185">
        <f>D112/D115</f>
        <v>1.8348824144656013</v>
      </c>
      <c r="E117" s="186">
        <f>E112/E115</f>
        <v>1.4654715872904518</v>
      </c>
      <c r="F117" s="18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11"/>
      <c r="AJ117" s="375"/>
    </row>
    <row r="118" spans="2:39" x14ac:dyDescent="0.25">
      <c r="D118" s="37"/>
      <c r="E118" s="22"/>
      <c r="F118" s="14"/>
    </row>
    <row r="119" spans="2:39" s="35" customFormat="1" x14ac:dyDescent="0.25">
      <c r="B119" s="47"/>
      <c r="C119" s="78"/>
      <c r="D119" s="8"/>
      <c r="E119" s="13"/>
    </row>
    <row r="120" spans="2:39" s="35" customFormat="1" x14ac:dyDescent="0.25">
      <c r="B120" s="47"/>
      <c r="C120" s="78"/>
      <c r="D120" s="8"/>
      <c r="E120" s="34"/>
    </row>
    <row r="121" spans="2:39" s="35" customFormat="1" x14ac:dyDescent="0.25">
      <c r="B121" s="47"/>
      <c r="C121" s="78"/>
      <c r="D121" s="8"/>
      <c r="E121" s="34"/>
    </row>
    <row r="122" spans="2:39" s="35" customFormat="1" x14ac:dyDescent="0.25">
      <c r="B122" s="47"/>
      <c r="C122" s="78"/>
      <c r="D122" s="262"/>
      <c r="E122" s="34"/>
    </row>
    <row r="123" spans="2:39" s="35" customFormat="1" x14ac:dyDescent="0.25">
      <c r="B123" s="47"/>
      <c r="C123" s="78"/>
      <c r="D123" s="8"/>
      <c r="E123" s="78"/>
    </row>
    <row r="124" spans="2:39" s="35" customFormat="1" x14ac:dyDescent="0.25">
      <c r="B124" s="47"/>
      <c r="C124" s="78"/>
      <c r="D124" s="8"/>
      <c r="E124" s="34"/>
    </row>
  </sheetData>
  <mergeCells count="15">
    <mergeCell ref="C2:AI2"/>
    <mergeCell ref="D3:Q3"/>
    <mergeCell ref="R3:W3"/>
    <mergeCell ref="X3:AC3"/>
    <mergeCell ref="AD3:AI3"/>
    <mergeCell ref="B108:B117"/>
    <mergeCell ref="AJ108:AJ117"/>
    <mergeCell ref="B4:B52"/>
    <mergeCell ref="B54:B90"/>
    <mergeCell ref="AJ54:AJ90"/>
    <mergeCell ref="B92:B106"/>
    <mergeCell ref="D92:E92"/>
    <mergeCell ref="F92:G92"/>
    <mergeCell ref="AJ92:AJ106"/>
    <mergeCell ref="AJ3:AJ5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9946-E3C5-4796-AAB6-83577FDD9F48}">
  <sheetPr>
    <tabColor theme="4"/>
  </sheetPr>
  <dimension ref="A1:AN126"/>
  <sheetViews>
    <sheetView zoomScale="90" zoomScaleNormal="90" workbookViewId="0">
      <pane ySplit="4" topLeftCell="A87" activePane="bottomLeft" state="frozen"/>
      <selection pane="bottomLeft" activeCell="G66" sqref="G66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 x14ac:dyDescent="0.3">
      <c r="A1" s="8"/>
      <c r="B1" s="155"/>
    </row>
    <row r="2" spans="1:39" ht="15.75" thickBot="1" x14ac:dyDescent="0.3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49" t="s">
        <v>211</v>
      </c>
      <c r="AK3" s="373" t="s">
        <v>10</v>
      </c>
    </row>
    <row r="4" spans="1:39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2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25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25">
      <c r="A46" s="8"/>
      <c r="B46" s="374"/>
      <c r="C46" s="271">
        <v>45682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25">
      <c r="A47" s="8"/>
      <c r="B47" s="374"/>
      <c r="C47" s="271">
        <v>45713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25">
      <c r="A48" s="8"/>
      <c r="B48" s="374"/>
      <c r="C48" s="271">
        <v>45741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25">
      <c r="A49" s="8"/>
      <c r="B49" s="374"/>
      <c r="C49" s="271">
        <v>45772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25">
      <c r="A50" s="8"/>
      <c r="B50" s="374"/>
      <c r="C50" s="271">
        <v>45802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25">
      <c r="A51" s="8"/>
      <c r="B51" s="374"/>
      <c r="C51" s="271">
        <v>45833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25">
      <c r="A52" s="8"/>
      <c r="B52" s="374"/>
      <c r="C52" s="271">
        <v>45863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286">
        <v>0.97770000000000001</v>
      </c>
      <c r="V52" s="286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ht="15.75" thickBot="1" x14ac:dyDescent="0.3">
      <c r="B53" s="375"/>
      <c r="C53" s="58" t="s">
        <v>78</v>
      </c>
      <c r="D53" s="113"/>
      <c r="E53" s="113">
        <f>SUM(E5:E52)</f>
        <v>576115</v>
      </c>
      <c r="F53" s="113">
        <f>SUM(F5:F52)</f>
        <v>361825.52</v>
      </c>
      <c r="G53" s="113">
        <f>SUM(G5:G52)</f>
        <v>360465</v>
      </c>
      <c r="H53" s="113"/>
      <c r="I53" s="113"/>
      <c r="J53" s="130"/>
      <c r="K53" s="130"/>
      <c r="L53" s="130"/>
      <c r="M53" s="130"/>
      <c r="N53" s="130"/>
      <c r="O53" s="146"/>
      <c r="P53" s="146"/>
      <c r="Q53" s="146"/>
      <c r="R53" s="333">
        <f>SUM(R5:R52)</f>
        <v>503614</v>
      </c>
      <c r="S53" s="354"/>
      <c r="T53" s="333"/>
      <c r="U53" s="130"/>
      <c r="V53" s="130"/>
      <c r="W53" s="130"/>
      <c r="X53" s="113">
        <f>SUM(X17:X52)</f>
        <v>65128</v>
      </c>
      <c r="Y53" s="113"/>
      <c r="Z53" s="130"/>
      <c r="AA53" s="130"/>
      <c r="AB53" s="130"/>
      <c r="AC53" s="130"/>
      <c r="AD53" s="113">
        <f>SUM(AD20:AD52)</f>
        <v>10093</v>
      </c>
      <c r="AE53" s="93"/>
      <c r="AF53" s="93"/>
      <c r="AG53" s="93"/>
      <c r="AH53" s="93"/>
      <c r="AI53" s="112"/>
      <c r="AJ53" s="83"/>
      <c r="AK53" s="375"/>
      <c r="AL53" s="8"/>
      <c r="AM53" s="142"/>
    </row>
    <row r="54" spans="1:39" ht="15.75" thickBot="1" x14ac:dyDescent="0.3">
      <c r="C54" s="324"/>
      <c r="D54" s="20"/>
      <c r="E54" s="100"/>
      <c r="F54" s="353"/>
      <c r="G54" s="10"/>
      <c r="H54" s="10"/>
      <c r="I54" s="10"/>
      <c r="J54" s="10"/>
      <c r="K54" s="10"/>
      <c r="L54" s="10"/>
      <c r="M54" s="10"/>
      <c r="N54" s="10"/>
      <c r="O54" s="10"/>
      <c r="P54" s="44"/>
      <c r="Q54" s="44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8"/>
      <c r="AM54" s="142"/>
    </row>
    <row r="55" spans="1:39" x14ac:dyDescent="0.25">
      <c r="B55" s="381" t="s">
        <v>13</v>
      </c>
      <c r="C55" s="94"/>
      <c r="D55" s="48" t="s">
        <v>148</v>
      </c>
      <c r="E55" s="48" t="s">
        <v>15</v>
      </c>
      <c r="F55" s="48" t="s">
        <v>149</v>
      </c>
      <c r="G55" s="48" t="s">
        <v>193</v>
      </c>
      <c r="H55" s="48"/>
      <c r="I55" s="48" t="s">
        <v>18</v>
      </c>
      <c r="J55" s="94"/>
      <c r="K55" s="94"/>
      <c r="L55" s="94"/>
      <c r="M55" s="94"/>
      <c r="N55" s="94"/>
      <c r="O55" s="94"/>
      <c r="P55" s="116"/>
      <c r="Q55" s="116"/>
      <c r="R55" s="116"/>
      <c r="S55" s="47"/>
      <c r="T55" s="94"/>
      <c r="U55" s="94"/>
      <c r="V55" s="94"/>
      <c r="W55" s="94"/>
      <c r="X55" s="94"/>
      <c r="Y55" s="94"/>
      <c r="AD55" s="94"/>
      <c r="AE55" s="94"/>
      <c r="AF55" s="94"/>
      <c r="AG55" s="94"/>
      <c r="AH55" s="94"/>
      <c r="AI55" s="49"/>
      <c r="AJ55" s="49"/>
      <c r="AK55" s="373" t="s">
        <v>19</v>
      </c>
      <c r="AM55" s="142"/>
    </row>
    <row r="56" spans="1:39" x14ac:dyDescent="0.25">
      <c r="B56" s="382"/>
      <c r="C56" s="156" t="s">
        <v>20</v>
      </c>
      <c r="D56" s="47"/>
      <c r="E56" s="47"/>
      <c r="F56" s="47"/>
      <c r="G56" s="260"/>
      <c r="H56" s="260"/>
      <c r="N56" s="289"/>
      <c r="O56" s="154"/>
      <c r="P56" s="158"/>
      <c r="Q56" s="73"/>
      <c r="T56" s="254"/>
      <c r="U56" s="254"/>
      <c r="V56" s="254"/>
      <c r="W56" s="254"/>
      <c r="Y56" s="47"/>
      <c r="Z56" s="47"/>
      <c r="AA56" s="239"/>
      <c r="AB56" s="47"/>
      <c r="AC56" s="47"/>
      <c r="AD56" s="47"/>
      <c r="AE56" s="47"/>
      <c r="AF56" s="47"/>
      <c r="AG56" s="47"/>
      <c r="AH56" s="47"/>
      <c r="AI56" s="12"/>
      <c r="AJ56" s="12"/>
      <c r="AK56" s="374"/>
      <c r="AM56" s="8"/>
    </row>
    <row r="57" spans="1:39" x14ac:dyDescent="0.25">
      <c r="B57" s="382"/>
      <c r="C57" s="47" t="s">
        <v>21</v>
      </c>
      <c r="D57" s="160">
        <v>0.36783222919317332</v>
      </c>
      <c r="E57" s="160">
        <v>0.39156755044263142</v>
      </c>
      <c r="F57" s="14">
        <f>D57/E57</f>
        <v>0.93938384009954989</v>
      </c>
      <c r="G57" s="160">
        <v>0.50940890855841059</v>
      </c>
      <c r="H57" s="160"/>
      <c r="I57" s="14">
        <f>E57/G57</f>
        <v>0.76867040184031832</v>
      </c>
      <c r="J57" s="14"/>
      <c r="K57" s="352"/>
      <c r="L57" s="14"/>
      <c r="M57" s="14"/>
      <c r="N57" s="14"/>
      <c r="O57" s="253"/>
      <c r="P57" s="73"/>
      <c r="R57" s="158"/>
      <c r="S57" s="158"/>
      <c r="T57" s="14"/>
      <c r="U57" s="14"/>
      <c r="V57" s="14"/>
      <c r="W57" s="14"/>
      <c r="X57" s="47"/>
      <c r="Y57" s="14"/>
      <c r="Z57" s="14"/>
      <c r="AA57" s="239"/>
      <c r="AB57" s="14"/>
      <c r="AC57" s="14"/>
      <c r="AD57" s="14"/>
      <c r="AE57" s="14"/>
      <c r="AF57" s="14"/>
      <c r="AG57" s="14"/>
      <c r="AH57" s="14"/>
      <c r="AI57" s="15"/>
      <c r="AJ57" s="15"/>
      <c r="AK57" s="374"/>
      <c r="AM57" s="8"/>
    </row>
    <row r="58" spans="1:39" x14ac:dyDescent="0.25">
      <c r="B58" s="382"/>
      <c r="C58" s="47" t="s">
        <v>22</v>
      </c>
      <c r="D58" s="160">
        <v>0.63216777080682662</v>
      </c>
      <c r="E58" s="160">
        <v>0.60843244955736853</v>
      </c>
      <c r="F58" s="14">
        <f>D58/E58</f>
        <v>1.039010610408313</v>
      </c>
      <c r="G58" s="160">
        <v>0.49059109144158936</v>
      </c>
      <c r="H58" s="160"/>
      <c r="I58" s="14">
        <f t="shared" ref="I58:I75" si="5">E58/G58</f>
        <v>1.2402028087577077</v>
      </c>
      <c r="J58" s="14"/>
      <c r="K58" s="14"/>
      <c r="L58" s="14"/>
      <c r="M58" s="14"/>
      <c r="N58" s="14"/>
      <c r="O58" s="149"/>
      <c r="P58" s="73"/>
      <c r="Q58" s="73"/>
      <c r="R58" s="158"/>
      <c r="S58" s="14"/>
      <c r="T58" s="14"/>
      <c r="U58" s="14"/>
      <c r="V58" s="14"/>
      <c r="W58" s="14"/>
      <c r="X58" s="14"/>
      <c r="Y58" s="14"/>
      <c r="Z58" s="14"/>
      <c r="AA58" s="239"/>
      <c r="AB58" s="14"/>
      <c r="AC58" s="14"/>
      <c r="AD58" s="14"/>
      <c r="AE58" s="14"/>
      <c r="AF58" s="14"/>
      <c r="AG58" s="14"/>
      <c r="AH58" s="14"/>
      <c r="AI58" s="15"/>
      <c r="AJ58" s="15"/>
      <c r="AK58" s="374"/>
    </row>
    <row r="59" spans="1:39" x14ac:dyDescent="0.25">
      <c r="B59" s="382"/>
      <c r="D59" s="190"/>
      <c r="E59" s="160"/>
      <c r="F59" s="14"/>
      <c r="G59" s="190"/>
      <c r="H59" s="190"/>
      <c r="I59" s="14"/>
      <c r="J59" s="170"/>
      <c r="K59" s="170"/>
      <c r="L59" s="170"/>
      <c r="M59" s="170"/>
      <c r="N59" s="170"/>
      <c r="O59" s="149"/>
      <c r="P59" s="222"/>
      <c r="Q59" s="222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/>
      <c r="AJ59" s="15"/>
      <c r="AK59" s="374"/>
    </row>
    <row r="60" spans="1:39" x14ac:dyDescent="0.25">
      <c r="B60" s="382"/>
      <c r="C60" s="156" t="s">
        <v>23</v>
      </c>
      <c r="D60" s="169"/>
      <c r="E60" s="162"/>
      <c r="F60" s="14"/>
      <c r="G60" s="190"/>
      <c r="H60" s="190"/>
      <c r="I60" s="14"/>
      <c r="J60" s="170"/>
      <c r="K60" s="170"/>
      <c r="L60" s="170"/>
      <c r="M60" s="170"/>
      <c r="N60" s="170"/>
      <c r="O60" s="149"/>
      <c r="P60" s="39"/>
      <c r="Q60" s="3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 x14ac:dyDescent="0.25">
      <c r="B61" s="382"/>
      <c r="C61" s="47" t="s">
        <v>24</v>
      </c>
      <c r="D61" s="160">
        <v>1.4604738048739067E-2</v>
      </c>
      <c r="E61" s="160">
        <v>4.0009574178796418E-3</v>
      </c>
      <c r="F61" s="14">
        <f t="shared" ref="F61:F66" si="6">D61/E61</f>
        <v>3.6503107939796653</v>
      </c>
      <c r="G61" s="160">
        <v>1.1124404714753807E-2</v>
      </c>
      <c r="H61" s="160"/>
      <c r="I61" s="14">
        <f t="shared" si="5"/>
        <v>0.35965586658073923</v>
      </c>
      <c r="J61" s="14"/>
      <c r="K61" s="14"/>
      <c r="L61" s="14"/>
      <c r="M61" s="14"/>
      <c r="N61" s="14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25">
      <c r="B62" s="382"/>
      <c r="C62" s="47" t="s">
        <v>25</v>
      </c>
      <c r="D62" s="160">
        <v>0.18107327842404686</v>
      </c>
      <c r="E62" s="160">
        <v>9.087102737591031E-2</v>
      </c>
      <c r="F62" s="14">
        <f t="shared" si="6"/>
        <v>1.9926403789294997</v>
      </c>
      <c r="G62" s="160">
        <v>0.12817284109302815</v>
      </c>
      <c r="H62" s="160"/>
      <c r="I62" s="14">
        <f t="shared" si="5"/>
        <v>0.70897256080916471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25">
      <c r="B63" s="382"/>
      <c r="C63" s="47" t="s">
        <v>26</v>
      </c>
      <c r="D63" s="160">
        <v>0.39237496815827461</v>
      </c>
      <c r="E63" s="160">
        <v>0.34477811189101348</v>
      </c>
      <c r="F63" s="14">
        <f t="shared" si="6"/>
        <v>1.1380506900690575</v>
      </c>
      <c r="G63" s="160">
        <v>0.28445779284995099</v>
      </c>
      <c r="H63" s="160"/>
      <c r="I63" s="14">
        <f t="shared" si="5"/>
        <v>1.2120536703766134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25">
      <c r="B64" s="382"/>
      <c r="C64" s="47" t="s">
        <v>27</v>
      </c>
      <c r="D64" s="160">
        <v>0.31459624692196653</v>
      </c>
      <c r="E64" s="160">
        <v>0.35610835693443849</v>
      </c>
      <c r="F64" s="14">
        <f t="shared" si="6"/>
        <v>0.88342843068938548</v>
      </c>
      <c r="G64" s="160">
        <v>0.32960381739819683</v>
      </c>
      <c r="H64" s="160"/>
      <c r="I64" s="14">
        <f t="shared" si="5"/>
        <v>1.0804133269616272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25">
      <c r="B65" s="382"/>
      <c r="C65" s="47" t="s">
        <v>28</v>
      </c>
      <c r="D65" s="160">
        <v>8.6482126178143839E-2</v>
      </c>
      <c r="E65" s="160">
        <v>0.17296103768735574</v>
      </c>
      <c r="F65" s="14">
        <f t="shared" si="6"/>
        <v>0.50000929304360953</v>
      </c>
      <c r="G65" s="160">
        <v>0.17261652993601634</v>
      </c>
      <c r="H65" s="160"/>
      <c r="I65" s="14">
        <f t="shared" si="5"/>
        <v>1.0019957981513536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25">
      <c r="B66" s="382"/>
      <c r="C66" s="47" t="s">
        <v>29</v>
      </c>
      <c r="D66" s="160">
        <v>1.0868642268829073E-2</v>
      </c>
      <c r="E66" s="160">
        <v>3.1280508693402355E-2</v>
      </c>
      <c r="F66" s="14">
        <f t="shared" si="6"/>
        <v>0.34745733758228403</v>
      </c>
      <c r="G66" s="160">
        <v>7.4024614008053879E-2</v>
      </c>
      <c r="H66" s="160"/>
      <c r="I66" s="14">
        <f t="shared" si="5"/>
        <v>0.42256902129876739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25">
      <c r="B67" s="382"/>
      <c r="D67" s="190"/>
      <c r="E67" s="190"/>
      <c r="F67" s="14"/>
      <c r="G67" s="190"/>
      <c r="H67" s="190"/>
      <c r="I67" s="170"/>
      <c r="J67" s="170"/>
      <c r="K67" s="170"/>
      <c r="L67" s="170"/>
      <c r="M67" s="170"/>
      <c r="N67" s="170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25">
      <c r="B68" s="382"/>
      <c r="C68" s="156" t="s">
        <v>30</v>
      </c>
      <c r="D68" s="169"/>
      <c r="E68" s="169"/>
      <c r="F68" s="14"/>
      <c r="G68" s="190"/>
      <c r="H68" s="190"/>
      <c r="I68" s="170"/>
      <c r="J68" s="170"/>
      <c r="K68" s="170"/>
      <c r="L68" s="170"/>
      <c r="M68" s="170"/>
      <c r="N68" s="170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25">
      <c r="B69" s="382"/>
      <c r="C69" s="47" t="s">
        <v>31</v>
      </c>
      <c r="D69" s="160">
        <v>0.52937929863292854</v>
      </c>
      <c r="E69" s="163">
        <v>0.48072576433200748</v>
      </c>
      <c r="F69" s="14">
        <f>D69/E69</f>
        <v>1.1012085016257191</v>
      </c>
      <c r="G69" s="160">
        <v>0.47492306381630373</v>
      </c>
      <c r="H69" s="160"/>
      <c r="I69" s="14">
        <f>E69/G69</f>
        <v>1.0122181906034957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25">
      <c r="B70" s="382"/>
      <c r="C70" s="47" t="s">
        <v>32</v>
      </c>
      <c r="D70" s="160">
        <v>0.17398318756899039</v>
      </c>
      <c r="E70" s="160">
        <v>0.19627111122846955</v>
      </c>
      <c r="F70" s="14">
        <f>D70/E70</f>
        <v>0.88644317790846516</v>
      </c>
      <c r="G70" s="160">
        <v>0.153906245718502</v>
      </c>
      <c r="H70" s="160"/>
      <c r="I70" s="14">
        <f t="shared" si="5"/>
        <v>1.2752641084329601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25">
      <c r="B71" s="382"/>
      <c r="C71" s="47" t="s">
        <v>33</v>
      </c>
      <c r="D71" s="160">
        <v>0.10754012057400017</v>
      </c>
      <c r="E71" s="160">
        <v>0.12287970376294177</v>
      </c>
      <c r="F71" s="14">
        <f>D71/E71</f>
        <v>0.87516585148565651</v>
      </c>
      <c r="G71" s="160">
        <v>0.12310910365422585</v>
      </c>
      <c r="H71" s="160"/>
      <c r="I71" s="14">
        <f t="shared" si="5"/>
        <v>0.99813661309785517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25">
      <c r="B72" s="382"/>
      <c r="C72" s="47" t="s">
        <v>34</v>
      </c>
      <c r="D72" s="160">
        <v>9.3105205060711557E-2</v>
      </c>
      <c r="E72" s="160">
        <v>9.6716166393979786E-2</v>
      </c>
      <c r="F72" s="14">
        <f t="shared" ref="F72:F75" si="7">D72/E72</f>
        <v>0.96266434591132644</v>
      </c>
      <c r="G72" s="160">
        <v>0.11959360456918976</v>
      </c>
      <c r="H72" s="160"/>
      <c r="I72" s="14">
        <f t="shared" si="5"/>
        <v>0.8087068429986618</v>
      </c>
      <c r="J72" s="14"/>
      <c r="K72" s="14"/>
      <c r="L72" s="14"/>
      <c r="M72" s="14"/>
      <c r="N72" s="14"/>
      <c r="O72" s="223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25">
      <c r="B73" s="382"/>
      <c r="C73" s="47" t="s">
        <v>35</v>
      </c>
      <c r="D73" s="160">
        <v>2.5515835951430754E-2</v>
      </c>
      <c r="E73" s="160">
        <v>2.0665676054845556E-2</v>
      </c>
      <c r="F73" s="14">
        <f t="shared" si="7"/>
        <v>1.2346964059493211</v>
      </c>
      <c r="G73" s="160">
        <v>3.2711641140842664E-2</v>
      </c>
      <c r="H73" s="160"/>
      <c r="I73" s="14">
        <f t="shared" si="5"/>
        <v>0.63175295809426946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25">
      <c r="B74" s="382"/>
      <c r="C74" s="47" t="s">
        <v>36</v>
      </c>
      <c r="D74" s="160">
        <v>1.2821601426509299E-2</v>
      </c>
      <c r="E74" s="160">
        <v>1.4155483989776558E-2</v>
      </c>
      <c r="F74" s="14">
        <f t="shared" si="7"/>
        <v>0.90576920123461535</v>
      </c>
      <c r="G74" s="160">
        <v>1.9112233413694717E-2</v>
      </c>
      <c r="H74" s="160"/>
      <c r="I74" s="14">
        <f t="shared" si="5"/>
        <v>0.74065043490069349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25">
      <c r="B75" s="382"/>
      <c r="C75" s="47" t="s">
        <v>37</v>
      </c>
      <c r="D75" s="160">
        <v>5.7315105714528317E-2</v>
      </c>
      <c r="E75" s="160">
        <v>6.8338326972544647E-2</v>
      </c>
      <c r="F75" s="14">
        <f t="shared" si="7"/>
        <v>0.83869635464671266</v>
      </c>
      <c r="G75" s="160">
        <v>7.6295733871799443E-2</v>
      </c>
      <c r="H75" s="160"/>
      <c r="I75" s="14">
        <f t="shared" si="5"/>
        <v>0.89570312132227847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25">
      <c r="B76" s="382"/>
      <c r="D76" s="190"/>
      <c r="E76" s="190"/>
      <c r="F76" s="14"/>
      <c r="G76" s="190"/>
      <c r="H76" s="190"/>
      <c r="I76" s="170"/>
      <c r="J76" s="170"/>
      <c r="K76" s="170"/>
      <c r="L76" s="170"/>
      <c r="M76" s="170"/>
      <c r="N76" s="170"/>
      <c r="O76" s="149"/>
      <c r="P76" s="222"/>
      <c r="Q76" s="222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25">
      <c r="B77" s="382"/>
      <c r="C77" s="156" t="s">
        <v>38</v>
      </c>
      <c r="D77" s="169"/>
      <c r="E77" s="169"/>
      <c r="F77" s="14"/>
      <c r="G77" s="190"/>
      <c r="H77" s="190"/>
      <c r="I77" s="170"/>
      <c r="J77" s="170"/>
      <c r="K77" s="170"/>
      <c r="L77" s="170"/>
      <c r="M77" s="170"/>
      <c r="N77" s="170"/>
      <c r="O77" s="149"/>
      <c r="P77" s="222"/>
      <c r="Q77" s="222"/>
      <c r="R77" s="239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25">
      <c r="B78" s="382"/>
      <c r="C78" s="47" t="s">
        <v>39</v>
      </c>
      <c r="D78" s="160">
        <v>0.55689054937590221</v>
      </c>
      <c r="E78" s="160">
        <v>0.4800681219653864</v>
      </c>
      <c r="F78" s="14">
        <f>D78/E78</f>
        <v>1.1600240130421633</v>
      </c>
      <c r="G78" s="164">
        <v>0.51420652050284443</v>
      </c>
      <c r="H78" s="164"/>
      <c r="I78" s="72">
        <f>E78/G78</f>
        <v>0.93360955729601802</v>
      </c>
      <c r="J78" s="72"/>
      <c r="K78" s="72"/>
      <c r="L78" s="72"/>
      <c r="M78" s="72"/>
      <c r="N78" s="72"/>
      <c r="O78" s="149"/>
      <c r="P78" s="240"/>
      <c r="Q78" s="240"/>
      <c r="R78" s="241"/>
      <c r="S78" s="16"/>
      <c r="T78" s="16"/>
      <c r="U78" s="16"/>
      <c r="V78" s="16"/>
      <c r="W78" s="16"/>
      <c r="X78" s="68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36"/>
      <c r="AJ78" s="36"/>
      <c r="AK78" s="374"/>
    </row>
    <row r="79" spans="2:37" x14ac:dyDescent="0.25">
      <c r="B79" s="382"/>
      <c r="C79" s="47" t="s">
        <v>40</v>
      </c>
      <c r="D79" s="160">
        <v>4.5469983866859132E-2</v>
      </c>
      <c r="E79" s="160">
        <v>5.1624381798803354E-2</v>
      </c>
      <c r="F79" s="14">
        <f>D79/E79</f>
        <v>0.88078505315705535</v>
      </c>
      <c r="G79" s="160">
        <v>6.6945426474913305E-2</v>
      </c>
      <c r="H79" s="160"/>
      <c r="I79" s="72">
        <f>E79/G79</f>
        <v>0.77114127905584018</v>
      </c>
      <c r="J79" s="72"/>
      <c r="K79" s="72"/>
      <c r="L79" s="72"/>
      <c r="M79" s="72"/>
      <c r="N79" s="72"/>
      <c r="O79" s="149"/>
      <c r="P79" s="240"/>
      <c r="Q79" s="240"/>
      <c r="R79" s="241"/>
      <c r="S79" s="14"/>
      <c r="T79" s="16"/>
      <c r="U79" s="16"/>
      <c r="V79" s="16"/>
      <c r="W79" s="16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25">
      <c r="B80" s="382"/>
      <c r="C80" s="47" t="s">
        <v>41</v>
      </c>
      <c r="D80" s="160">
        <v>8.4996178992952365E-2</v>
      </c>
      <c r="E80" s="160">
        <v>9.4460015000366548E-2</v>
      </c>
      <c r="F80" s="14">
        <f>D80/E80</f>
        <v>0.89981119516678609</v>
      </c>
      <c r="G80" s="160">
        <v>0.1196372219047869</v>
      </c>
      <c r="H80" s="160"/>
      <c r="I80" s="72">
        <f>E80/G80</f>
        <v>0.78955373166005482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25">
      <c r="B81" s="382"/>
      <c r="C81" s="47" t="s">
        <v>42</v>
      </c>
      <c r="D81" s="160">
        <v>0.10550225014859471</v>
      </c>
      <c r="E81" s="160">
        <v>0.11742580175831364</v>
      </c>
      <c r="F81" s="14">
        <f>D81/E81</f>
        <v>0.89845884438362156</v>
      </c>
      <c r="G81" s="160">
        <v>0.12812755111998583</v>
      </c>
      <c r="H81" s="160"/>
      <c r="I81" s="72">
        <f>E81/G81</f>
        <v>0.91647581438865966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25">
      <c r="B82" s="382"/>
      <c r="C82" s="47" t="s">
        <v>43</v>
      </c>
      <c r="D82" s="160">
        <v>0.12685743398148935</v>
      </c>
      <c r="E82" s="160">
        <v>0.13933423185153021</v>
      </c>
      <c r="F82" s="14">
        <f>D82/E82</f>
        <v>0.91045418125722544</v>
      </c>
      <c r="G82" s="160">
        <v>0.11367370027061642</v>
      </c>
      <c r="H82" s="160"/>
      <c r="I82" s="72">
        <f>E82/G82</f>
        <v>1.2257385087300339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25">
      <c r="B83" s="382"/>
      <c r="C83" s="47" t="s">
        <v>44</v>
      </c>
      <c r="D83" s="160">
        <v>8.0283603634202255E-2</v>
      </c>
      <c r="E83" s="160">
        <v>0.11708744762559987</v>
      </c>
      <c r="F83" s="14">
        <f t="shared" ref="F83:F91" si="8">D83/E83</f>
        <v>0.68567216437169254</v>
      </c>
      <c r="G83" s="160">
        <v>5.7409579726853073E-2</v>
      </c>
      <c r="H83" s="160"/>
      <c r="I83" s="72">
        <f t="shared" ref="I83" si="9">E83/G83</f>
        <v>2.0395106214448169</v>
      </c>
      <c r="J83" s="72"/>
      <c r="K83" s="72"/>
      <c r="L83" s="72"/>
      <c r="M83" s="72"/>
      <c r="N83" s="72"/>
      <c r="P83" s="34"/>
      <c r="Q83" s="34"/>
      <c r="R83" s="239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25">
      <c r="B84" s="382"/>
      <c r="D84" s="190"/>
      <c r="E84" s="190"/>
      <c r="F84" s="14"/>
      <c r="G84" s="190"/>
      <c r="H84" s="190"/>
      <c r="I84" s="170"/>
      <c r="J84" s="170"/>
      <c r="K84" s="170"/>
      <c r="L84" s="170"/>
      <c r="M84" s="170"/>
      <c r="N84" s="170"/>
      <c r="O84" s="149"/>
      <c r="P84" s="222"/>
      <c r="Q84" s="222"/>
      <c r="R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25">
      <c r="B85" s="382"/>
      <c r="C85" s="156" t="s">
        <v>194</v>
      </c>
      <c r="D85" s="190"/>
      <c r="E85" s="190"/>
      <c r="F85" s="14"/>
      <c r="G85" s="190"/>
      <c r="H85" s="190"/>
      <c r="I85" s="170"/>
      <c r="J85" s="170"/>
      <c r="K85" s="170"/>
      <c r="L85" s="170"/>
      <c r="M85" s="170"/>
      <c r="N85" s="170"/>
      <c r="O85" s="149"/>
      <c r="P85" s="39"/>
      <c r="Q85" s="39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25">
      <c r="B86" s="382"/>
      <c r="C86" s="47" t="s">
        <v>39</v>
      </c>
      <c r="D86" s="160">
        <v>0.25868217712490449</v>
      </c>
      <c r="E86" s="160">
        <v>0.13937934573589203</v>
      </c>
      <c r="F86" s="14">
        <f t="shared" si="8"/>
        <v>1.8559577515529289</v>
      </c>
      <c r="G86" s="163">
        <v>0.27095056287002806</v>
      </c>
      <c r="H86" s="163"/>
      <c r="I86" s="72">
        <f>E86/G86</f>
        <v>0.51440876984909878</v>
      </c>
      <c r="J86" s="72"/>
      <c r="K86" s="72"/>
      <c r="L86" s="72"/>
      <c r="M86" s="72"/>
      <c r="N86" s="72"/>
      <c r="O86" s="149"/>
      <c r="P86" s="38"/>
      <c r="Q86" s="38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25">
      <c r="B87" s="382"/>
      <c r="C87" s="47" t="s">
        <v>40</v>
      </c>
      <c r="D87" s="160">
        <v>9.8199881124225188E-2</v>
      </c>
      <c r="E87" s="160">
        <v>0.10212655572410605</v>
      </c>
      <c r="F87" s="14">
        <f t="shared" si="8"/>
        <v>0.96155089563101748</v>
      </c>
      <c r="G87" s="163">
        <v>0.18389532845133513</v>
      </c>
      <c r="H87" s="163"/>
      <c r="I87" s="72">
        <f t="shared" ref="I87:I91" si="10">E87/G87</f>
        <v>0.5553515501680194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25">
      <c r="B88" s="382"/>
      <c r="C88" s="47" t="s">
        <v>41</v>
      </c>
      <c r="D88" s="160">
        <v>0.1846395516685064</v>
      </c>
      <c r="E88" s="160">
        <v>0.17620919308178584</v>
      </c>
      <c r="F88" s="14">
        <f t="shared" si="8"/>
        <v>1.0478428987686681</v>
      </c>
      <c r="G88" s="163">
        <v>0.24402318646285301</v>
      </c>
      <c r="H88" s="163"/>
      <c r="I88" s="72">
        <f t="shared" si="10"/>
        <v>0.72210020545981879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25">
      <c r="B89" s="382"/>
      <c r="C89" s="47" t="s">
        <v>42</v>
      </c>
      <c r="D89" s="160">
        <v>0.19351277914579265</v>
      </c>
      <c r="E89" s="160">
        <v>0.20434897845248098</v>
      </c>
      <c r="F89" s="14">
        <f t="shared" si="8"/>
        <v>0.94697208966372115</v>
      </c>
      <c r="G89" s="163">
        <v>0.16948455009768706</v>
      </c>
      <c r="H89" s="163"/>
      <c r="I89" s="72">
        <f t="shared" si="10"/>
        <v>1.2057085931118727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25">
      <c r="B90" s="382"/>
      <c r="C90" s="47" t="s">
        <v>43</v>
      </c>
      <c r="D90" s="160">
        <v>0.18251676997537572</v>
      </c>
      <c r="E90" s="160">
        <v>0.22017549301016753</v>
      </c>
      <c r="F90" s="14">
        <f t="shared" si="8"/>
        <v>0.82896042370595369</v>
      </c>
      <c r="G90" s="163">
        <v>9.4524274379873832E-2</v>
      </c>
      <c r="H90" s="163"/>
      <c r="I90" s="72">
        <f t="shared" si="10"/>
        <v>2.3293010653044215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ht="15.75" thickBot="1" x14ac:dyDescent="0.3">
      <c r="B91" s="383"/>
      <c r="C91" s="47" t="s">
        <v>44</v>
      </c>
      <c r="D91" s="160">
        <v>8.2448840961195549E-2</v>
      </c>
      <c r="E91" s="160">
        <v>0.15776043399556755</v>
      </c>
      <c r="F91" s="14">
        <f t="shared" si="8"/>
        <v>0.5226205257746187</v>
      </c>
      <c r="G91" s="163">
        <v>3.7122097738222871E-2</v>
      </c>
      <c r="H91" s="163"/>
      <c r="I91" s="72">
        <f t="shared" si="10"/>
        <v>4.2497715271389174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5"/>
    </row>
    <row r="92" spans="2:37" ht="15.75" thickBot="1" x14ac:dyDescent="0.3">
      <c r="B92" s="266"/>
      <c r="C92" s="224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25"/>
    </row>
    <row r="93" spans="2:37" x14ac:dyDescent="0.25">
      <c r="B93" s="373" t="s">
        <v>45</v>
      </c>
      <c r="C93" s="5"/>
      <c r="D93" s="385" t="s">
        <v>46</v>
      </c>
      <c r="E93" s="385"/>
      <c r="F93" s="385" t="s">
        <v>47</v>
      </c>
      <c r="G93" s="385"/>
      <c r="H93" s="48"/>
      <c r="I93" s="42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7"/>
      <c r="AJ93" s="7"/>
      <c r="AK93" s="386" t="s">
        <v>48</v>
      </c>
    </row>
    <row r="94" spans="2:37" x14ac:dyDescent="0.25">
      <c r="B94" s="374"/>
      <c r="C94" s="1"/>
      <c r="D94" s="40" t="s">
        <v>49</v>
      </c>
      <c r="E94" s="40" t="s">
        <v>50</v>
      </c>
      <c r="F94" s="40" t="s">
        <v>49</v>
      </c>
      <c r="G94" s="40" t="s">
        <v>50</v>
      </c>
      <c r="H94" s="40"/>
      <c r="I94" s="41" t="s">
        <v>51</v>
      </c>
      <c r="J94" s="96" t="s">
        <v>52</v>
      </c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9"/>
      <c r="AJ94" s="99"/>
      <c r="AK94" s="387"/>
    </row>
    <row r="95" spans="2:37" x14ac:dyDescent="0.25">
      <c r="B95" s="374"/>
      <c r="C95" s="2" t="s">
        <v>53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4"/>
      <c r="AJ95" s="4"/>
      <c r="AK95" s="387"/>
    </row>
    <row r="96" spans="2:37" x14ac:dyDescent="0.25">
      <c r="B96" s="374"/>
      <c r="C96" s="1" t="s">
        <v>54</v>
      </c>
      <c r="D96" s="167">
        <v>3156814</v>
      </c>
      <c r="E96" s="163">
        <f>D96/D98</f>
        <v>0.60169502347739989</v>
      </c>
      <c r="F96" s="168">
        <v>263577</v>
      </c>
      <c r="G96" s="160">
        <f>F96/$F$98</f>
        <v>0.49165365610712869</v>
      </c>
      <c r="H96" s="160"/>
      <c r="I96" s="161">
        <f>G96/E96</f>
        <v>0.81711438008194792</v>
      </c>
      <c r="J96" s="191">
        <f>F96/D96</f>
        <v>8.349462464370723E-2</v>
      </c>
      <c r="K96" s="191"/>
      <c r="L96" s="161"/>
      <c r="M96" s="161"/>
      <c r="N96" s="161"/>
      <c r="P96" s="39"/>
      <c r="Q96" s="39"/>
      <c r="R96" s="39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82"/>
      <c r="AJ96" s="82"/>
      <c r="AK96" s="387"/>
    </row>
    <row r="97" spans="2:40" x14ac:dyDescent="0.25">
      <c r="B97" s="374"/>
      <c r="C97" s="1" t="s">
        <v>55</v>
      </c>
      <c r="D97" s="167">
        <f>SUM(D101:D107)</f>
        <v>2089721</v>
      </c>
      <c r="E97" s="163">
        <f>D97/D98</f>
        <v>0.39830497652260016</v>
      </c>
      <c r="F97" s="168">
        <f>SUM(F101:F107)</f>
        <v>272526</v>
      </c>
      <c r="G97" s="160">
        <f>F97/$F$98</f>
        <v>0.50834634389287137</v>
      </c>
      <c r="H97" s="160"/>
      <c r="I97" s="161">
        <f>G97/E97</f>
        <v>1.2762741463362746</v>
      </c>
      <c r="J97" s="191">
        <f>F97/D97</f>
        <v>0.13041262446039448</v>
      </c>
      <c r="K97" s="191"/>
      <c r="L97" s="161"/>
      <c r="M97" s="161"/>
      <c r="N97" s="161"/>
      <c r="P97" s="39"/>
      <c r="Q97" s="39"/>
      <c r="R97" s="39"/>
      <c r="S97" s="252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82"/>
      <c r="AK97" s="387"/>
    </row>
    <row r="98" spans="2:40" x14ac:dyDescent="0.25">
      <c r="B98" s="374"/>
      <c r="C98" s="1" t="s">
        <v>53</v>
      </c>
      <c r="D98" s="167">
        <f>SUM(D96:D97)</f>
        <v>5246535</v>
      </c>
      <c r="E98" s="192"/>
      <c r="F98" s="168">
        <f>SUM(F96:F97)</f>
        <v>536103</v>
      </c>
      <c r="G98" s="169"/>
      <c r="H98" s="169"/>
      <c r="I98" s="161"/>
      <c r="J98" s="191">
        <f>F98/D98</f>
        <v>0.1021822974591802</v>
      </c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 x14ac:dyDescent="0.25">
      <c r="B99" s="374"/>
      <c r="C99" s="1"/>
      <c r="D99" s="192"/>
      <c r="E99" s="192"/>
      <c r="F99" s="168"/>
      <c r="G99" s="169"/>
      <c r="H99" s="169"/>
      <c r="I99" s="161"/>
      <c r="J99" s="191"/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25">
      <c r="B100" s="374"/>
      <c r="C100" s="2" t="s">
        <v>56</v>
      </c>
      <c r="D100" s="192"/>
      <c r="E100" s="192"/>
      <c r="F100" s="169"/>
      <c r="G100" s="169"/>
      <c r="H100" s="169"/>
      <c r="I100" s="161"/>
      <c r="J100" s="191"/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25">
      <c r="B101" s="374"/>
      <c r="C101" s="1" t="s">
        <v>57</v>
      </c>
      <c r="D101" s="167">
        <v>647286</v>
      </c>
      <c r="E101" s="163">
        <f>D101/$D$97</f>
        <v>0.30974756917310969</v>
      </c>
      <c r="F101" s="168">
        <v>86259</v>
      </c>
      <c r="G101" s="160">
        <f>F101/$F$97</f>
        <v>0.31651658924286125</v>
      </c>
      <c r="H101" s="160"/>
      <c r="I101" s="161">
        <f t="shared" ref="I101:I107" si="11">G101/E101</f>
        <v>1.0218533436366324</v>
      </c>
      <c r="J101" s="191">
        <f t="shared" ref="J101:J107" si="12">F101/D101</f>
        <v>0.13326257635728256</v>
      </c>
      <c r="K101" s="191"/>
      <c r="L101" s="163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25">
      <c r="B102" s="374"/>
      <c r="C102" s="1" t="s">
        <v>58</v>
      </c>
      <c r="D102" s="167">
        <v>301779</v>
      </c>
      <c r="E102" s="163">
        <f t="shared" ref="E102:E107" si="13">D102/$D$97</f>
        <v>0.1444111438799725</v>
      </c>
      <c r="F102" s="168">
        <v>47542</v>
      </c>
      <c r="G102" s="160">
        <f t="shared" ref="G102:G104" si="14">F102/$F$97</f>
        <v>0.17444941033149131</v>
      </c>
      <c r="H102" s="160"/>
      <c r="I102" s="161">
        <f t="shared" si="11"/>
        <v>1.2080051832875525</v>
      </c>
      <c r="J102" s="191">
        <f t="shared" si="12"/>
        <v>0.1575391263142896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25">
      <c r="B103" s="374"/>
      <c r="C103" s="1" t="s">
        <v>59</v>
      </c>
      <c r="D103" s="167">
        <v>343973</v>
      </c>
      <c r="E103" s="163">
        <f t="shared" si="13"/>
        <v>0.1646023560082901</v>
      </c>
      <c r="F103" s="168">
        <v>63777</v>
      </c>
      <c r="G103" s="160">
        <f t="shared" si="14"/>
        <v>0.23402170802051914</v>
      </c>
      <c r="H103" s="160"/>
      <c r="I103" s="161">
        <f t="shared" si="11"/>
        <v>1.4217397229036792</v>
      </c>
      <c r="J103" s="191">
        <f t="shared" si="12"/>
        <v>0.18541280856346282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25">
      <c r="B104" s="374"/>
      <c r="C104" s="172" t="s">
        <v>60</v>
      </c>
      <c r="D104" s="168">
        <v>631160</v>
      </c>
      <c r="E104" s="163">
        <f t="shared" si="13"/>
        <v>0.30203074955939097</v>
      </c>
      <c r="F104" s="174">
        <v>52243</v>
      </c>
      <c r="G104" s="160">
        <f t="shared" si="14"/>
        <v>0.19169914063245341</v>
      </c>
      <c r="H104" s="160"/>
      <c r="I104" s="161">
        <f t="shared" si="11"/>
        <v>0.63470074127256348</v>
      </c>
      <c r="J104" s="191">
        <f t="shared" si="12"/>
        <v>8.2772989416312823E-2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25">
      <c r="B105" s="374"/>
      <c r="C105" s="1" t="s">
        <v>61</v>
      </c>
      <c r="D105" s="167">
        <v>17351</v>
      </c>
      <c r="E105" s="163">
        <f t="shared" si="13"/>
        <v>8.3030222694799923E-3</v>
      </c>
      <c r="F105" s="168">
        <v>1919</v>
      </c>
      <c r="G105" s="160">
        <f>F105/$F$97</f>
        <v>7.0415299824603894E-3</v>
      </c>
      <c r="H105" s="160"/>
      <c r="I105" s="161">
        <f t="shared" si="11"/>
        <v>0.84806830018310808</v>
      </c>
      <c r="J105" s="191">
        <f t="shared" si="12"/>
        <v>0.11059881274854476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25">
      <c r="B106" s="374"/>
      <c r="C106" s="1" t="s">
        <v>62</v>
      </c>
      <c r="D106" s="167">
        <v>112176</v>
      </c>
      <c r="E106" s="163">
        <f t="shared" si="13"/>
        <v>5.3679893153200833E-2</v>
      </c>
      <c r="F106" s="168">
        <v>15118</v>
      </c>
      <c r="G106" s="160">
        <f>F106/$F$97</f>
        <v>5.5473606188033438E-2</v>
      </c>
      <c r="H106" s="160"/>
      <c r="I106" s="161">
        <f t="shared" si="11"/>
        <v>1.0334149889179809</v>
      </c>
      <c r="J106" s="191">
        <f t="shared" si="12"/>
        <v>0.13477036086150335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  <c r="AN106" s="13"/>
    </row>
    <row r="107" spans="2:40" ht="15.75" thickBot="1" x14ac:dyDescent="0.3">
      <c r="B107" s="375"/>
      <c r="C107" s="9" t="s">
        <v>63</v>
      </c>
      <c r="D107" s="175">
        <v>35996</v>
      </c>
      <c r="E107" s="179">
        <f t="shared" si="13"/>
        <v>1.7225265956555921E-2</v>
      </c>
      <c r="F107" s="177">
        <v>5668</v>
      </c>
      <c r="G107" s="176">
        <f>F107/$F$97</f>
        <v>2.0798015602181075E-2</v>
      </c>
      <c r="H107" s="176"/>
      <c r="I107" s="178">
        <f t="shared" si="11"/>
        <v>1.2074133226526682</v>
      </c>
      <c r="J107" s="198">
        <f t="shared" si="12"/>
        <v>0.15746194021557952</v>
      </c>
      <c r="K107" s="198"/>
      <c r="L107" s="179"/>
      <c r="M107" s="178"/>
      <c r="N107" s="178"/>
      <c r="O107" s="100"/>
      <c r="P107" s="100"/>
      <c r="Q107" s="100"/>
      <c r="R107" s="100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83"/>
      <c r="AJ107" s="83"/>
      <c r="AK107" s="388"/>
    </row>
    <row r="108" spans="2:40" ht="15.75" thickBot="1" x14ac:dyDescent="0.3">
      <c r="D108" s="8"/>
    </row>
    <row r="109" spans="2:40" x14ac:dyDescent="0.25">
      <c r="B109" s="373" t="s">
        <v>64</v>
      </c>
      <c r="C109" s="21" t="s">
        <v>65</v>
      </c>
      <c r="D109" s="23" t="s">
        <v>66</v>
      </c>
      <c r="E109" s="48" t="s">
        <v>67</v>
      </c>
      <c r="F109" s="48" t="s">
        <v>68</v>
      </c>
      <c r="G109" s="48" t="s">
        <v>51</v>
      </c>
      <c r="H109" s="9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7"/>
      <c r="AK109" s="373" t="s">
        <v>19</v>
      </c>
    </row>
    <row r="110" spans="2:40" x14ac:dyDescent="0.25">
      <c r="B110" s="374"/>
      <c r="C110" s="1" t="s">
        <v>69</v>
      </c>
      <c r="D110" s="168">
        <v>162138</v>
      </c>
      <c r="E110" s="180">
        <v>1165428</v>
      </c>
      <c r="F110" s="68"/>
      <c r="O110" s="8"/>
      <c r="AI110" s="4"/>
      <c r="AJ110" s="4"/>
      <c r="AK110" s="374"/>
    </row>
    <row r="111" spans="2:40" x14ac:dyDescent="0.25">
      <c r="B111" s="374"/>
      <c r="C111" s="1" t="s">
        <v>70</v>
      </c>
      <c r="D111" s="160">
        <f>D110/I52</f>
        <v>0.75254114567378649</v>
      </c>
      <c r="E111" s="261">
        <f>E110/3971815</f>
        <v>0.29342454268388635</v>
      </c>
      <c r="F111" s="68"/>
      <c r="O111" s="8"/>
      <c r="AI111" s="4"/>
      <c r="AJ111" s="4"/>
      <c r="AK111" s="374"/>
    </row>
    <row r="112" spans="2:40" x14ac:dyDescent="0.25">
      <c r="B112" s="374"/>
      <c r="C112" s="1"/>
      <c r="D112" s="199"/>
      <c r="E112" s="200"/>
      <c r="F112" s="14"/>
      <c r="O112" s="8"/>
      <c r="AI112" s="4"/>
      <c r="AJ112" s="4"/>
      <c r="AK112" s="374"/>
      <c r="AN112" s="8"/>
    </row>
    <row r="113" spans="2:40" ht="14.45" customHeight="1" x14ac:dyDescent="0.25">
      <c r="B113" s="374"/>
      <c r="C113" s="1" t="s">
        <v>71</v>
      </c>
      <c r="D113" s="168">
        <v>538119</v>
      </c>
      <c r="E113" s="183">
        <v>3043542</v>
      </c>
      <c r="F113" s="68"/>
      <c r="O113" s="8"/>
      <c r="AI113" s="4"/>
      <c r="AJ113" s="4"/>
      <c r="AK113" s="374"/>
      <c r="AL113" s="24"/>
      <c r="AN113" s="14"/>
    </row>
    <row r="114" spans="2:40" x14ac:dyDescent="0.25">
      <c r="B114" s="374"/>
      <c r="C114" s="1" t="s">
        <v>72</v>
      </c>
      <c r="D114" s="184">
        <f>D113/D110</f>
        <v>3.3188950153572883</v>
      </c>
      <c r="E114" s="161">
        <f>E113/E110</f>
        <v>2.6115229769664019</v>
      </c>
      <c r="F114" s="14"/>
      <c r="O114" s="8"/>
      <c r="AI114" s="4"/>
      <c r="AJ114" s="4"/>
      <c r="AK114" s="374"/>
    </row>
    <row r="115" spans="2:40" x14ac:dyDescent="0.25">
      <c r="B115" s="374"/>
      <c r="C115" s="1"/>
      <c r="D115" s="202"/>
      <c r="E115" s="169"/>
      <c r="F115" s="14"/>
      <c r="O115" s="8"/>
      <c r="AI115" s="4"/>
      <c r="AJ115" s="4"/>
      <c r="AK115" s="374"/>
      <c r="AN115" s="8"/>
    </row>
    <row r="116" spans="2:40" x14ac:dyDescent="0.25">
      <c r="B116" s="374"/>
      <c r="C116" s="1" t="s">
        <v>73</v>
      </c>
      <c r="D116" s="168">
        <v>299715</v>
      </c>
      <c r="E116" s="183">
        <v>1639062</v>
      </c>
      <c r="F116" s="14"/>
      <c r="O116" s="8"/>
      <c r="AI116" s="4"/>
      <c r="AJ116" s="4"/>
      <c r="AK116" s="374"/>
      <c r="AN116" s="14"/>
    </row>
    <row r="117" spans="2:40" x14ac:dyDescent="0.25">
      <c r="B117" s="374"/>
      <c r="C117" s="1" t="s">
        <v>74</v>
      </c>
      <c r="D117" s="184">
        <f>D116/D110</f>
        <v>1.8485179291714466</v>
      </c>
      <c r="E117" s="165">
        <f>E116/E110</f>
        <v>1.4064034843851358</v>
      </c>
      <c r="F117" s="14"/>
      <c r="AI117" s="4"/>
      <c r="AJ117" s="4"/>
      <c r="AK117" s="374"/>
    </row>
    <row r="118" spans="2:40" ht="15.75" thickBot="1" x14ac:dyDescent="0.3">
      <c r="B118" s="375"/>
      <c r="C118" s="9" t="s">
        <v>75</v>
      </c>
      <c r="D118" s="185">
        <f>D113/D116</f>
        <v>1.7954356638806868</v>
      </c>
      <c r="E118" s="186">
        <f>E113/E116</f>
        <v>1.8568803376565377</v>
      </c>
      <c r="F118" s="18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11"/>
      <c r="AJ118" s="11"/>
      <c r="AK118" s="375"/>
    </row>
    <row r="119" spans="2:40" x14ac:dyDescent="0.25">
      <c r="D119" s="37"/>
      <c r="E119" s="22"/>
      <c r="F119" s="14"/>
    </row>
    <row r="120" spans="2:40" s="35" customFormat="1" x14ac:dyDescent="0.25">
      <c r="B120" s="47"/>
      <c r="C120" s="78"/>
      <c r="D120" s="8"/>
      <c r="E120" s="13"/>
    </row>
    <row r="121" spans="2:40" s="35" customFormat="1" x14ac:dyDescent="0.25">
      <c r="B121" s="47"/>
      <c r="C121" s="78"/>
      <c r="D121" s="8"/>
      <c r="E121" s="34"/>
    </row>
    <row r="122" spans="2:40" s="35" customFormat="1" x14ac:dyDescent="0.25">
      <c r="B122" s="47"/>
      <c r="C122" s="78"/>
      <c r="D122" s="8"/>
      <c r="E122" s="34"/>
    </row>
    <row r="123" spans="2:40" s="35" customFormat="1" x14ac:dyDescent="0.25">
      <c r="B123" s="47"/>
      <c r="C123" s="78"/>
      <c r="D123" s="262"/>
      <c r="E123" s="34"/>
    </row>
    <row r="124" spans="2:40" s="35" customFormat="1" x14ac:dyDescent="0.25">
      <c r="B124" s="47"/>
      <c r="C124" s="78"/>
      <c r="D124" s="8"/>
      <c r="E124" s="78"/>
    </row>
    <row r="125" spans="2:40" s="35" customFormat="1" x14ac:dyDescent="0.25">
      <c r="B125" s="47"/>
      <c r="C125" s="78"/>
      <c r="D125" s="8"/>
      <c r="E125" s="34"/>
    </row>
    <row r="126" spans="2:40" x14ac:dyDescent="0.25">
      <c r="E126" s="357"/>
    </row>
  </sheetData>
  <mergeCells count="15">
    <mergeCell ref="B109:B118"/>
    <mergeCell ref="AK109:AK118"/>
    <mergeCell ref="B4:B53"/>
    <mergeCell ref="B55:B91"/>
    <mergeCell ref="AK55:AK91"/>
    <mergeCell ref="B93:B107"/>
    <mergeCell ref="D93:E93"/>
    <mergeCell ref="F93:G93"/>
    <mergeCell ref="AK93:AK107"/>
    <mergeCell ref="AK3:AK53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119F-EA88-44D6-9A2B-28679F5722AB}">
  <sheetPr>
    <tabColor theme="4"/>
  </sheetPr>
  <dimension ref="A1:AN127"/>
  <sheetViews>
    <sheetView zoomScale="90" zoomScaleNormal="90" workbookViewId="0">
      <pane ySplit="4" topLeftCell="A36" activePane="bottomLeft" state="frozen"/>
      <selection pane="bottomLeft" activeCell="G127" sqref="G127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 x14ac:dyDescent="0.3">
      <c r="A1" s="8"/>
      <c r="B1" s="155"/>
    </row>
    <row r="2" spans="1:39" ht="15.75" thickBot="1" x14ac:dyDescent="0.3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49" t="s">
        <v>211</v>
      </c>
      <c r="AK3" s="373" t="s">
        <v>10</v>
      </c>
    </row>
    <row r="4" spans="1:39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1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25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25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25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25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25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25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25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25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ref="O52:O53" si="5">I52-D52</f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25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5"/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ht="15.75" thickBot="1" x14ac:dyDescent="0.3">
      <c r="B54" s="375"/>
      <c r="C54" s="58" t="s">
        <v>78</v>
      </c>
      <c r="D54" s="113"/>
      <c r="E54" s="113">
        <f>SUM(E5:E53)</f>
        <v>593101</v>
      </c>
      <c r="F54" s="113">
        <f>SUM(F5:F53)</f>
        <v>370206.52</v>
      </c>
      <c r="G54" s="113">
        <f>SUM(G5:G53)</f>
        <v>375787</v>
      </c>
      <c r="H54" s="113"/>
      <c r="I54" s="113"/>
      <c r="J54" s="130"/>
      <c r="K54" s="130"/>
      <c r="L54" s="130"/>
      <c r="M54" s="130"/>
      <c r="N54" s="130"/>
      <c r="O54" s="146"/>
      <c r="P54" s="146"/>
      <c r="Q54" s="146"/>
      <c r="R54" s="333">
        <f>SUM(R5:R53)</f>
        <v>518066</v>
      </c>
      <c r="S54" s="354"/>
      <c r="T54" s="333"/>
      <c r="U54" s="130"/>
      <c r="V54" s="130"/>
      <c r="W54" s="130"/>
      <c r="X54" s="113">
        <f>SUM(X17:X53)</f>
        <v>67527</v>
      </c>
      <c r="Y54" s="113"/>
      <c r="Z54" s="130"/>
      <c r="AA54" s="130"/>
      <c r="AB54" s="130"/>
      <c r="AC54" s="130"/>
      <c r="AD54" s="113">
        <f>SUM(AD20:AD53)</f>
        <v>10228</v>
      </c>
      <c r="AE54" s="93"/>
      <c r="AF54" s="93"/>
      <c r="AG54" s="93"/>
      <c r="AH54" s="93"/>
      <c r="AI54" s="112"/>
      <c r="AJ54" s="83"/>
      <c r="AK54" s="375"/>
      <c r="AL54" s="8"/>
      <c r="AM54" s="142"/>
    </row>
    <row r="55" spans="1:39" ht="15.75" thickBot="1" x14ac:dyDescent="0.3">
      <c r="C55" s="324"/>
      <c r="D55" s="20"/>
      <c r="E55" s="100"/>
      <c r="F55" s="353"/>
      <c r="G55" s="10"/>
      <c r="H55" s="10"/>
      <c r="I55" s="10"/>
      <c r="J55" s="10"/>
      <c r="K55" s="10"/>
      <c r="L55" s="10"/>
      <c r="M55" s="10"/>
      <c r="N55" s="10"/>
      <c r="O55" s="10"/>
      <c r="P55" s="44"/>
      <c r="Q55" s="44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8"/>
      <c r="AM55" s="142"/>
    </row>
    <row r="56" spans="1:39" x14ac:dyDescent="0.25">
      <c r="B56" s="381" t="s">
        <v>13</v>
      </c>
      <c r="C56" s="94"/>
      <c r="D56" s="48" t="s">
        <v>165</v>
      </c>
      <c r="E56" s="48" t="s">
        <v>15</v>
      </c>
      <c r="F56" s="48" t="s">
        <v>166</v>
      </c>
      <c r="G56" s="48" t="s">
        <v>193</v>
      </c>
      <c r="H56" s="48"/>
      <c r="I56" s="48" t="s">
        <v>18</v>
      </c>
      <c r="J56" s="94"/>
      <c r="K56" s="94"/>
      <c r="L56" s="94"/>
      <c r="M56" s="94"/>
      <c r="N56" s="94"/>
      <c r="O56" s="94"/>
      <c r="P56" s="116"/>
      <c r="Q56" s="116"/>
      <c r="R56" s="116"/>
      <c r="S56" s="47"/>
      <c r="T56" s="94"/>
      <c r="U56" s="94"/>
      <c r="V56" s="94"/>
      <c r="W56" s="94"/>
      <c r="X56" s="94"/>
      <c r="Y56" s="94"/>
      <c r="AD56" s="94"/>
      <c r="AE56" s="94"/>
      <c r="AF56" s="94"/>
      <c r="AG56" s="94"/>
      <c r="AH56" s="94"/>
      <c r="AI56" s="49"/>
      <c r="AJ56" s="49"/>
      <c r="AK56" s="373" t="s">
        <v>19</v>
      </c>
      <c r="AM56" s="142"/>
    </row>
    <row r="57" spans="1:39" x14ac:dyDescent="0.25">
      <c r="B57" s="382"/>
      <c r="C57" s="156" t="s">
        <v>20</v>
      </c>
      <c r="D57" s="47"/>
      <c r="E57" s="47"/>
      <c r="F57" s="47"/>
      <c r="G57" s="260"/>
      <c r="H57" s="260"/>
      <c r="N57" s="289"/>
      <c r="O57" s="154"/>
      <c r="P57" s="158"/>
      <c r="Q57" s="73"/>
      <c r="T57" s="254"/>
      <c r="U57" s="254"/>
      <c r="V57" s="254"/>
      <c r="W57" s="254"/>
      <c r="Y57" s="47"/>
      <c r="Z57" s="47"/>
      <c r="AA57" s="239"/>
      <c r="AB57" s="47"/>
      <c r="AC57" s="47"/>
      <c r="AD57" s="47"/>
      <c r="AE57" s="47"/>
      <c r="AF57" s="47"/>
      <c r="AG57" s="47"/>
      <c r="AH57" s="47"/>
      <c r="AI57" s="12"/>
      <c r="AJ57" s="12"/>
      <c r="AK57" s="374"/>
      <c r="AM57" s="8"/>
    </row>
    <row r="58" spans="1:39" x14ac:dyDescent="0.25">
      <c r="B58" s="382"/>
      <c r="C58" s="47" t="s">
        <v>21</v>
      </c>
      <c r="D58" s="160">
        <v>0.41434367229420233</v>
      </c>
      <c r="E58" s="160">
        <v>0.39193354928286439</v>
      </c>
      <c r="F58" s="14">
        <f>D58/E58</f>
        <v>1.0571783738655254</v>
      </c>
      <c r="G58" s="160">
        <v>0.5106091627193674</v>
      </c>
      <c r="H58" s="160"/>
      <c r="I58" s="14">
        <f>E58/G58</f>
        <v>0.767580329337475</v>
      </c>
      <c r="J58" s="14"/>
      <c r="K58" s="352"/>
      <c r="L58" s="14"/>
      <c r="M58" s="14"/>
      <c r="N58" s="14"/>
      <c r="O58" s="253"/>
      <c r="P58" s="73"/>
      <c r="R58" s="158"/>
      <c r="S58" s="158"/>
      <c r="T58" s="14"/>
      <c r="U58" s="14"/>
      <c r="V58" s="14"/>
      <c r="W58" s="14"/>
      <c r="X58" s="47"/>
      <c r="Y58" s="14"/>
      <c r="Z58" s="14"/>
      <c r="AA58" s="239"/>
      <c r="AB58" s="14"/>
      <c r="AC58" s="14"/>
      <c r="AD58" s="14"/>
      <c r="AE58" s="14"/>
      <c r="AF58" s="14"/>
      <c r="AG58" s="14"/>
      <c r="AH58" s="14"/>
      <c r="AI58" s="15"/>
      <c r="AJ58" s="15"/>
      <c r="AK58" s="374"/>
      <c r="AM58" s="8"/>
    </row>
    <row r="59" spans="1:39" x14ac:dyDescent="0.25">
      <c r="B59" s="382"/>
      <c r="C59" s="47" t="s">
        <v>22</v>
      </c>
      <c r="D59" s="160">
        <v>0.58565632770579767</v>
      </c>
      <c r="E59" s="160">
        <v>0.60806645071713561</v>
      </c>
      <c r="F59" s="14">
        <f>D59/E59</f>
        <v>0.96314527304555597</v>
      </c>
      <c r="G59" s="160">
        <v>0.48939083728063254</v>
      </c>
      <c r="H59" s="160"/>
      <c r="I59" s="14">
        <f t="shared" ref="I59:I76" si="6">E59/G59</f>
        <v>1.2424965986203182</v>
      </c>
      <c r="J59" s="14"/>
      <c r="K59" s="14"/>
      <c r="L59" s="14"/>
      <c r="M59" s="14"/>
      <c r="N59" s="14"/>
      <c r="O59" s="149"/>
      <c r="P59" s="73"/>
      <c r="Q59" s="73"/>
      <c r="R59" s="158"/>
      <c r="S59" s="14"/>
      <c r="T59" s="14"/>
      <c r="U59" s="14"/>
      <c r="V59" s="14"/>
      <c r="W59" s="14"/>
      <c r="X59" s="14"/>
      <c r="Y59" s="14"/>
      <c r="Z59" s="14"/>
      <c r="AA59" s="239"/>
      <c r="AB59" s="14"/>
      <c r="AC59" s="14"/>
      <c r="AD59" s="14"/>
      <c r="AE59" s="14"/>
      <c r="AF59" s="14"/>
      <c r="AG59" s="14"/>
      <c r="AH59" s="14"/>
      <c r="AI59" s="15"/>
      <c r="AJ59" s="15"/>
      <c r="AK59" s="374"/>
    </row>
    <row r="60" spans="1:39" x14ac:dyDescent="0.25">
      <c r="B60" s="382"/>
      <c r="D60" s="190"/>
      <c r="E60" s="160"/>
      <c r="F60" s="14"/>
      <c r="G60" s="190"/>
      <c r="H60" s="190"/>
      <c r="I60" s="14"/>
      <c r="J60" s="170"/>
      <c r="K60" s="170"/>
      <c r="L60" s="170"/>
      <c r="M60" s="170"/>
      <c r="N60" s="170"/>
      <c r="O60" s="149"/>
      <c r="P60" s="222"/>
      <c r="Q60" s="222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 x14ac:dyDescent="0.25">
      <c r="B61" s="382"/>
      <c r="C61" s="156" t="s">
        <v>23</v>
      </c>
      <c r="D61" s="169"/>
      <c r="E61" s="162"/>
      <c r="F61" s="14"/>
      <c r="G61" s="190"/>
      <c r="H61" s="190"/>
      <c r="I61" s="14"/>
      <c r="J61" s="170"/>
      <c r="K61" s="170"/>
      <c r="L61" s="170"/>
      <c r="M61" s="170"/>
      <c r="N61" s="170"/>
      <c r="O61" s="149"/>
      <c r="P61" s="39"/>
      <c r="Q61" s="3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25">
      <c r="B62" s="382"/>
      <c r="C62" s="47" t="s">
        <v>24</v>
      </c>
      <c r="D62" s="160">
        <v>1.3373706787787031E-2</v>
      </c>
      <c r="E62" s="160">
        <v>4.0509253540792359E-3</v>
      </c>
      <c r="F62" s="14">
        <f t="shared" ref="F62:F67" si="7">D62/E62</f>
        <v>3.3013955130819332</v>
      </c>
      <c r="G62" s="160">
        <v>1.1140505002113929E-2</v>
      </c>
      <c r="H62" s="160"/>
      <c r="I62" s="14">
        <f t="shared" si="6"/>
        <v>0.36362133972477606</v>
      </c>
      <c r="J62" s="14"/>
      <c r="K62" s="14"/>
      <c r="L62" s="14"/>
      <c r="M62" s="14"/>
      <c r="N62" s="14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25">
      <c r="B63" s="382"/>
      <c r="C63" s="47" t="s">
        <v>25</v>
      </c>
      <c r="D63" s="160">
        <v>0.16515266212465304</v>
      </c>
      <c r="E63" s="160">
        <v>9.1133550924201237E-2</v>
      </c>
      <c r="F63" s="14">
        <f t="shared" si="7"/>
        <v>1.8122048405862725</v>
      </c>
      <c r="G63" s="160">
        <v>0.12802620803668494</v>
      </c>
      <c r="H63" s="160"/>
      <c r="I63" s="14">
        <f t="shared" si="6"/>
        <v>0.71183511815086808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25">
      <c r="B64" s="382"/>
      <c r="C64" s="47" t="s">
        <v>26</v>
      </c>
      <c r="D64" s="160">
        <v>0.41654049962149886</v>
      </c>
      <c r="E64" s="160">
        <v>0.34507256816842574</v>
      </c>
      <c r="F64" s="14">
        <f t="shared" si="7"/>
        <v>1.2071098604922732</v>
      </c>
      <c r="G64" s="160">
        <v>0.28627084267438641</v>
      </c>
      <c r="H64" s="160"/>
      <c r="I64" s="14">
        <f t="shared" si="6"/>
        <v>1.2054059189008022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25">
      <c r="B65" s="382"/>
      <c r="C65" s="47" t="s">
        <v>27</v>
      </c>
      <c r="D65" s="160">
        <v>0.30866767600302802</v>
      </c>
      <c r="E65" s="160">
        <v>0.35575579888226938</v>
      </c>
      <c r="F65" s="14">
        <f t="shared" si="7"/>
        <v>0.86763919793525479</v>
      </c>
      <c r="G65" s="160">
        <v>0.32795107452225508</v>
      </c>
      <c r="H65" s="160"/>
      <c r="I65" s="14">
        <f t="shared" si="6"/>
        <v>1.0847831476098044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25">
      <c r="B66" s="382"/>
      <c r="C66" s="47" t="s">
        <v>28</v>
      </c>
      <c r="D66" s="160">
        <v>8.5036588443098665E-2</v>
      </c>
      <c r="E66" s="160">
        <v>0.17267561338654858</v>
      </c>
      <c r="F66" s="14">
        <f t="shared" si="7"/>
        <v>0.4924643774262279</v>
      </c>
      <c r="G66" s="160">
        <v>0.17289908123480779</v>
      </c>
      <c r="H66" s="160"/>
      <c r="I66" s="14">
        <f t="shared" si="6"/>
        <v>0.99870752437396859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25">
      <c r="B67" s="382"/>
      <c r="C67" s="47" t="s">
        <v>29</v>
      </c>
      <c r="D67" s="160">
        <v>1.1228867019934393E-2</v>
      </c>
      <c r="E67" s="160">
        <v>3.131154328447585E-2</v>
      </c>
      <c r="F67" s="14">
        <f t="shared" si="7"/>
        <v>0.35861748869790216</v>
      </c>
      <c r="G67" s="160">
        <v>7.3712288529751827E-2</v>
      </c>
      <c r="H67" s="160"/>
      <c r="I67" s="14">
        <f t="shared" si="6"/>
        <v>0.4247805068735297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25">
      <c r="B68" s="382"/>
      <c r="D68" s="190"/>
      <c r="E68" s="190"/>
      <c r="F68" s="14"/>
      <c r="G68" s="190"/>
      <c r="H68" s="190"/>
      <c r="I68" s="170"/>
      <c r="J68" s="170"/>
      <c r="K68" s="170"/>
      <c r="L68" s="170"/>
      <c r="M68" s="170"/>
      <c r="N68" s="170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25">
      <c r="B69" s="382"/>
      <c r="C69" s="156" t="s">
        <v>30</v>
      </c>
      <c r="D69" s="169"/>
      <c r="E69" s="169"/>
      <c r="F69" s="14"/>
      <c r="G69" s="190"/>
      <c r="H69" s="190"/>
      <c r="I69" s="170"/>
      <c r="J69" s="170"/>
      <c r="K69" s="170"/>
      <c r="L69" s="170"/>
      <c r="M69" s="170"/>
      <c r="N69" s="170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25">
      <c r="B70" s="382"/>
      <c r="C70" s="47" t="s">
        <v>31</v>
      </c>
      <c r="D70" s="160">
        <v>0.51924047438808985</v>
      </c>
      <c r="E70" s="163">
        <v>0.48098764382950704</v>
      </c>
      <c r="F70" s="14">
        <f>D70/E70</f>
        <v>1.0795297572595068</v>
      </c>
      <c r="G70" s="160">
        <v>0.4760039165792081</v>
      </c>
      <c r="H70" s="160"/>
      <c r="I70" s="14">
        <f>E70/G70</f>
        <v>1.0104699290840176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25">
      <c r="B71" s="382"/>
      <c r="C71" s="47" t="s">
        <v>32</v>
      </c>
      <c r="D71" s="160">
        <v>0.18918748422911935</v>
      </c>
      <c r="E71" s="160">
        <v>0.19600108433111887</v>
      </c>
      <c r="F71" s="14">
        <f>D71/E71</f>
        <v>0.96523692649327997</v>
      </c>
      <c r="G71" s="160">
        <v>0.15432739894474096</v>
      </c>
      <c r="H71" s="160"/>
      <c r="I71" s="14">
        <f t="shared" si="6"/>
        <v>1.2700342626865613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25">
      <c r="B72" s="382"/>
      <c r="C72" s="47" t="s">
        <v>33</v>
      </c>
      <c r="D72" s="160">
        <v>0.10755740600555135</v>
      </c>
      <c r="E72" s="160">
        <v>0.12263630144273352</v>
      </c>
      <c r="F72" s="14">
        <f>D72/E72</f>
        <v>0.87704378508003644</v>
      </c>
      <c r="G72" s="160">
        <v>0.1230398581759124</v>
      </c>
      <c r="H72" s="160"/>
      <c r="I72" s="14">
        <f t="shared" si="6"/>
        <v>0.99672011379758008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25">
      <c r="B73" s="382"/>
      <c r="C73" s="47" t="s">
        <v>34</v>
      </c>
      <c r="D73" s="160">
        <v>8.7686096391622503E-2</v>
      </c>
      <c r="E73" s="160">
        <v>9.6767329617226505E-2</v>
      </c>
      <c r="F73" s="14">
        <f t="shared" ref="F73:F76" si="8">D73/E73</f>
        <v>0.90615393375506192</v>
      </c>
      <c r="G73" s="160">
        <v>0.11815884532337097</v>
      </c>
      <c r="H73" s="160"/>
      <c r="I73" s="14">
        <f t="shared" si="6"/>
        <v>0.81895967544705373</v>
      </c>
      <c r="J73" s="14"/>
      <c r="K73" s="14"/>
      <c r="L73" s="14"/>
      <c r="M73" s="14"/>
      <c r="N73" s="14"/>
      <c r="O73" s="223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25">
      <c r="B74" s="382"/>
      <c r="C74" s="47" t="s">
        <v>35</v>
      </c>
      <c r="D74" s="160">
        <v>2.7756749936916479E-2</v>
      </c>
      <c r="E74" s="160">
        <v>2.0781805371786904E-2</v>
      </c>
      <c r="F74" s="14">
        <f t="shared" si="8"/>
        <v>1.3356274606728185</v>
      </c>
      <c r="G74" s="160">
        <v>3.2971648507803576E-2</v>
      </c>
      <c r="H74" s="160"/>
      <c r="I74" s="14">
        <f t="shared" si="6"/>
        <v>0.63029318557937319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25">
      <c r="B75" s="382"/>
      <c r="C75" s="47" t="s">
        <v>36</v>
      </c>
      <c r="D75" s="160">
        <v>1.3499873832954833E-2</v>
      </c>
      <c r="E75" s="160">
        <v>1.413928911752509E-2</v>
      </c>
      <c r="F75" s="14">
        <f t="shared" si="8"/>
        <v>0.95477740929862398</v>
      </c>
      <c r="G75" s="160">
        <v>1.913228688676193E-2</v>
      </c>
      <c r="H75" s="160"/>
      <c r="I75" s="14">
        <f t="shared" si="6"/>
        <v>0.7390276552516255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25">
      <c r="B76" s="382"/>
      <c r="C76" s="47" t="s">
        <v>37</v>
      </c>
      <c r="D76" s="160">
        <v>5.4693414080242239E-2</v>
      </c>
      <c r="E76" s="160">
        <v>6.8392571343684538E-2</v>
      </c>
      <c r="F76" s="14">
        <f t="shared" si="8"/>
        <v>0.79969816905111435</v>
      </c>
      <c r="G76" s="160">
        <v>7.5988885613820389E-2</v>
      </c>
      <c r="H76" s="160"/>
      <c r="I76" s="14">
        <f t="shared" si="6"/>
        <v>0.90003387720750727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25">
      <c r="B77" s="382"/>
      <c r="D77" s="190"/>
      <c r="E77" s="190"/>
      <c r="F77" s="14"/>
      <c r="G77" s="190"/>
      <c r="H77" s="190"/>
      <c r="I77" s="170"/>
      <c r="J77" s="170"/>
      <c r="K77" s="170"/>
      <c r="L77" s="170"/>
      <c r="M77" s="170"/>
      <c r="N77" s="170"/>
      <c r="O77" s="149"/>
      <c r="P77" s="222"/>
      <c r="Q77" s="222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25">
      <c r="B78" s="382"/>
      <c r="C78" s="156" t="s">
        <v>38</v>
      </c>
      <c r="D78" s="169"/>
      <c r="E78" s="169"/>
      <c r="F78" s="14"/>
      <c r="G78" s="190"/>
      <c r="H78" s="190"/>
      <c r="I78" s="170"/>
      <c r="J78" s="170"/>
      <c r="K78" s="170"/>
      <c r="L78" s="170"/>
      <c r="M78" s="170"/>
      <c r="N78" s="170"/>
      <c r="O78" s="149"/>
      <c r="P78" s="222"/>
      <c r="Q78" s="222"/>
      <c r="R78" s="239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25">
      <c r="B79" s="382"/>
      <c r="C79" s="47" t="s">
        <v>39</v>
      </c>
      <c r="D79" s="160">
        <v>0.54415846580873073</v>
      </c>
      <c r="E79" s="160">
        <v>0.48243711156738173</v>
      </c>
      <c r="F79" s="14">
        <f>D79/E79</f>
        <v>1.127936580253587</v>
      </c>
      <c r="G79" s="164">
        <v>0.52109020237782688</v>
      </c>
      <c r="H79" s="164"/>
      <c r="I79" s="72">
        <f>E79/G79</f>
        <v>0.92582264906524003</v>
      </c>
      <c r="J79" s="72"/>
      <c r="K79" s="72"/>
      <c r="L79" s="72"/>
      <c r="M79" s="72"/>
      <c r="N79" s="72"/>
      <c r="O79" s="149"/>
      <c r="P79" s="240"/>
      <c r="Q79" s="240"/>
      <c r="R79" s="241"/>
      <c r="S79" s="16"/>
      <c r="T79" s="16"/>
      <c r="U79" s="16"/>
      <c r="V79" s="16"/>
      <c r="W79" s="16"/>
      <c r="X79" s="68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36"/>
      <c r="AJ79" s="36"/>
      <c r="AK79" s="374"/>
    </row>
    <row r="80" spans="2:37" x14ac:dyDescent="0.25">
      <c r="B80" s="382"/>
      <c r="C80" s="47" t="s">
        <v>40</v>
      </c>
      <c r="D80" s="160">
        <v>5.1349987383295485E-2</v>
      </c>
      <c r="E80" s="160">
        <v>5.1595734391537314E-2</v>
      </c>
      <c r="F80" s="14">
        <f>D80/E80</f>
        <v>0.99523706734403738</v>
      </c>
      <c r="G80" s="160">
        <v>6.7378595830025617E-2</v>
      </c>
      <c r="H80" s="160"/>
      <c r="I80" s="72">
        <f>E80/G80</f>
        <v>0.76575852844568992</v>
      </c>
      <c r="J80" s="72"/>
      <c r="K80" s="72"/>
      <c r="L80" s="72"/>
      <c r="M80" s="72"/>
      <c r="N80" s="72"/>
      <c r="O80" s="149"/>
      <c r="P80" s="240"/>
      <c r="Q80" s="240"/>
      <c r="R80" s="241"/>
      <c r="S80" s="14"/>
      <c r="T80" s="16"/>
      <c r="U80" s="16"/>
      <c r="V80" s="16"/>
      <c r="W80" s="16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25">
      <c r="B81" s="382"/>
      <c r="C81" s="47" t="s">
        <v>41</v>
      </c>
      <c r="D81" s="160">
        <v>9.0398687862730254E-2</v>
      </c>
      <c r="E81" s="160">
        <v>9.422971169284082E-2</v>
      </c>
      <c r="F81" s="14">
        <f>D81/E81</f>
        <v>0.95934378062623715</v>
      </c>
      <c r="G81" s="160">
        <v>0.11967276529174441</v>
      </c>
      <c r="H81" s="160"/>
      <c r="I81" s="72">
        <f>E81/G81</f>
        <v>0.78739478830561649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25">
      <c r="B82" s="382"/>
      <c r="C82" s="47" t="s">
        <v>42</v>
      </c>
      <c r="D82" s="160">
        <v>0.10875599293464547</v>
      </c>
      <c r="E82" s="160">
        <v>0.11714948144504533</v>
      </c>
      <c r="F82" s="14">
        <f>D82/E82</f>
        <v>0.92835232041264104</v>
      </c>
      <c r="G82" s="160">
        <v>0.12667792455145821</v>
      </c>
      <c r="H82" s="160"/>
      <c r="I82" s="72">
        <f>E82/G82</f>
        <v>0.9247821343762046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25">
      <c r="B83" s="382"/>
      <c r="C83" s="47" t="s">
        <v>43</v>
      </c>
      <c r="D83" s="160">
        <v>0.12408528892253344</v>
      </c>
      <c r="E83" s="160">
        <v>0.13872623117077632</v>
      </c>
      <c r="F83" s="14">
        <f>D83/E83</f>
        <v>0.89446161605717223</v>
      </c>
      <c r="G83" s="160">
        <v>0.11054145040290696</v>
      </c>
      <c r="H83" s="160"/>
      <c r="I83" s="72">
        <f>E83/G83</f>
        <v>1.2549702456873877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25">
      <c r="B84" s="382"/>
      <c r="C84" s="47" t="s">
        <v>44</v>
      </c>
      <c r="D84" s="160">
        <v>8.1251577088064603E-2</v>
      </c>
      <c r="E84" s="160">
        <v>0.11586172973241846</v>
      </c>
      <c r="F84" s="14">
        <f t="shared" ref="F84:F92" si="9">D84/E84</f>
        <v>0.70128054600698897</v>
      </c>
      <c r="G84" s="160">
        <v>5.4639061546037967E-2</v>
      </c>
      <c r="H84" s="160"/>
      <c r="I84" s="72">
        <f t="shared" ref="I84" si="10">E84/G84</f>
        <v>2.1204926741795389</v>
      </c>
      <c r="J84" s="72"/>
      <c r="K84" s="72"/>
      <c r="L84" s="72"/>
      <c r="M84" s="72"/>
      <c r="N84" s="72"/>
      <c r="P84" s="34"/>
      <c r="Q84" s="34"/>
      <c r="R84" s="239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25">
      <c r="B85" s="382"/>
      <c r="D85" s="190"/>
      <c r="E85" s="190"/>
      <c r="F85" s="14"/>
      <c r="G85" s="190"/>
      <c r="H85" s="190"/>
      <c r="I85" s="170"/>
      <c r="J85" s="170"/>
      <c r="K85" s="170"/>
      <c r="L85" s="170"/>
      <c r="M85" s="170"/>
      <c r="N85" s="170"/>
      <c r="O85" s="149"/>
      <c r="P85" s="222"/>
      <c r="Q85" s="222"/>
      <c r="R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25">
      <c r="B86" s="382"/>
      <c r="C86" s="156" t="s">
        <v>194</v>
      </c>
      <c r="D86" s="190"/>
      <c r="E86" s="190"/>
      <c r="F86" s="14"/>
      <c r="G86" s="190"/>
      <c r="H86" s="190"/>
      <c r="I86" s="170"/>
      <c r="J86" s="170"/>
      <c r="K86" s="170"/>
      <c r="L86" s="170"/>
      <c r="M86" s="170"/>
      <c r="N86" s="170"/>
      <c r="O86" s="149"/>
      <c r="P86" s="39"/>
      <c r="Q86" s="3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25">
      <c r="B87" s="382"/>
      <c r="C87" s="47" t="s">
        <v>39</v>
      </c>
      <c r="D87" s="160">
        <v>0.24539490285137522</v>
      </c>
      <c r="E87" s="160">
        <v>0.14502958236498642</v>
      </c>
      <c r="F87" s="14">
        <f t="shared" si="9"/>
        <v>1.6920334379354827</v>
      </c>
      <c r="G87" s="163">
        <v>0.28599045824355246</v>
      </c>
      <c r="H87" s="163"/>
      <c r="I87" s="72">
        <f>E87/G87</f>
        <v>0.50711336054952472</v>
      </c>
      <c r="J87" s="72"/>
      <c r="K87" s="72"/>
      <c r="L87" s="72"/>
      <c r="M87" s="72"/>
      <c r="N87" s="72"/>
      <c r="O87" s="149"/>
      <c r="P87" s="38"/>
      <c r="Q87" s="38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25">
      <c r="B88" s="382"/>
      <c r="C88" s="47" t="s">
        <v>40</v>
      </c>
      <c r="D88" s="160">
        <v>9.531920262427454E-2</v>
      </c>
      <c r="E88" s="160">
        <v>0.10237073432245192</v>
      </c>
      <c r="F88" s="14">
        <f t="shared" si="9"/>
        <v>0.93111769936155631</v>
      </c>
      <c r="G88" s="163">
        <v>0.18675215202183637</v>
      </c>
      <c r="H88" s="163"/>
      <c r="I88" s="72">
        <f t="shared" ref="I88:I92" si="11">E88/G88</f>
        <v>0.54816361265000046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25">
      <c r="B89" s="382"/>
      <c r="C89" s="47" t="s">
        <v>41</v>
      </c>
      <c r="D89" s="160">
        <v>0.17783245016401716</v>
      </c>
      <c r="E89" s="160">
        <v>0.1760544503428017</v>
      </c>
      <c r="F89" s="14">
        <f t="shared" si="9"/>
        <v>1.0100991472680949</v>
      </c>
      <c r="G89" s="163">
        <v>0.24148038595798954</v>
      </c>
      <c r="H89" s="163"/>
      <c r="I89" s="72">
        <f t="shared" si="11"/>
        <v>0.72906314790067461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25">
      <c r="B90" s="382"/>
      <c r="C90" s="47" t="s">
        <v>42</v>
      </c>
      <c r="D90" s="160">
        <v>0.20117335352006055</v>
      </c>
      <c r="E90" s="160">
        <v>0.20332383639473736</v>
      </c>
      <c r="F90" s="14">
        <f t="shared" si="9"/>
        <v>0.98942336071948878</v>
      </c>
      <c r="G90" s="163">
        <v>0.16277782869890647</v>
      </c>
      <c r="H90" s="163"/>
      <c r="I90" s="72">
        <f t="shared" si="11"/>
        <v>1.2490880239644286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25">
      <c r="B91" s="382"/>
      <c r="C91" s="47" t="s">
        <v>43</v>
      </c>
      <c r="D91" s="160">
        <v>0.1807342922028766</v>
      </c>
      <c r="E91" s="160">
        <v>0.21784282244225153</v>
      </c>
      <c r="F91" s="14">
        <f t="shared" si="9"/>
        <v>0.82965456551035954</v>
      </c>
      <c r="G91" s="163">
        <v>8.8614363590322778E-2</v>
      </c>
      <c r="H91" s="163"/>
      <c r="I91" s="72">
        <f t="shared" si="11"/>
        <v>2.4583240641367228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ht="15.75" thickBot="1" x14ac:dyDescent="0.3">
      <c r="B92" s="383"/>
      <c r="C92" s="47" t="s">
        <v>44</v>
      </c>
      <c r="D92" s="160">
        <v>9.9545798637395919E-2</v>
      </c>
      <c r="E92" s="160">
        <v>0.15537857413277106</v>
      </c>
      <c r="F92" s="14">
        <f t="shared" si="9"/>
        <v>0.64066618704026712</v>
      </c>
      <c r="G92" s="163">
        <v>3.4384811487392357E-2</v>
      </c>
      <c r="H92" s="163"/>
      <c r="I92" s="72">
        <f t="shared" si="11"/>
        <v>4.5188141918341671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5"/>
    </row>
    <row r="93" spans="2:37" ht="15.75" thickBot="1" x14ac:dyDescent="0.3">
      <c r="B93" s="266"/>
      <c r="C93" s="224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25"/>
    </row>
    <row r="94" spans="2:37" x14ac:dyDescent="0.25">
      <c r="B94" s="373" t="s">
        <v>45</v>
      </c>
      <c r="C94" s="5"/>
      <c r="D94" s="385" t="s">
        <v>46</v>
      </c>
      <c r="E94" s="385"/>
      <c r="F94" s="385" t="s">
        <v>47</v>
      </c>
      <c r="G94" s="385"/>
      <c r="H94" s="48"/>
      <c r="I94" s="42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7"/>
      <c r="AJ94" s="7"/>
      <c r="AK94" s="386" t="s">
        <v>48</v>
      </c>
    </row>
    <row r="95" spans="2:37" x14ac:dyDescent="0.25">
      <c r="B95" s="374"/>
      <c r="C95" s="1"/>
      <c r="D95" s="40" t="s">
        <v>49</v>
      </c>
      <c r="E95" s="40" t="s">
        <v>50</v>
      </c>
      <c r="F95" s="40" t="s">
        <v>49</v>
      </c>
      <c r="G95" s="40" t="s">
        <v>50</v>
      </c>
      <c r="H95" s="40"/>
      <c r="I95" s="41" t="s">
        <v>51</v>
      </c>
      <c r="J95" s="96" t="s">
        <v>52</v>
      </c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97"/>
      <c r="V95" s="97"/>
      <c r="W95" s="97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9"/>
      <c r="AJ95" s="99"/>
      <c r="AK95" s="387"/>
    </row>
    <row r="96" spans="2:37" x14ac:dyDescent="0.25">
      <c r="B96" s="374"/>
      <c r="C96" s="2" t="s">
        <v>53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4"/>
      <c r="AJ96" s="4"/>
      <c r="AK96" s="387"/>
    </row>
    <row r="97" spans="2:40" x14ac:dyDescent="0.25">
      <c r="B97" s="374"/>
      <c r="C97" s="1" t="s">
        <v>54</v>
      </c>
      <c r="D97" s="167">
        <v>3022140</v>
      </c>
      <c r="E97" s="163">
        <f>D97/D99</f>
        <v>0.73397146872739083</v>
      </c>
      <c r="F97" s="168">
        <v>259483</v>
      </c>
      <c r="G97" s="160">
        <f>F97/$F$99</f>
        <v>0.67177629807592731</v>
      </c>
      <c r="H97" s="160"/>
      <c r="I97" s="161">
        <f>G97/E97</f>
        <v>0.91526214123922056</v>
      </c>
      <c r="J97" s="191">
        <f>F97/D97</f>
        <v>8.5860681503835037E-2</v>
      </c>
      <c r="K97" s="191"/>
      <c r="L97" s="161"/>
      <c r="M97" s="161"/>
      <c r="N97" s="161"/>
      <c r="P97" s="39"/>
      <c r="Q97" s="39"/>
      <c r="R97" s="39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82"/>
      <c r="AJ97" s="82"/>
      <c r="AK97" s="387"/>
    </row>
    <row r="98" spans="2:40" x14ac:dyDescent="0.25">
      <c r="B98" s="374"/>
      <c r="C98" s="1" t="s">
        <v>55</v>
      </c>
      <c r="D98" s="167">
        <f>SUM(D102:D108)</f>
        <v>1095377</v>
      </c>
      <c r="E98" s="163">
        <f>D98/D99</f>
        <v>0.26602853127260917</v>
      </c>
      <c r="F98" s="168">
        <f>SUM(F102:F108)</f>
        <v>126781</v>
      </c>
      <c r="G98" s="160">
        <f>F98/$F$99</f>
        <v>0.32822370192407263</v>
      </c>
      <c r="H98" s="160"/>
      <c r="I98" s="161">
        <f>G98/E98</f>
        <v>1.2337913544608861</v>
      </c>
      <c r="J98" s="191">
        <f>F98/D98</f>
        <v>0.11574188612687686</v>
      </c>
      <c r="K98" s="191"/>
      <c r="L98" s="161"/>
      <c r="M98" s="161"/>
      <c r="N98" s="161"/>
      <c r="P98" s="39"/>
      <c r="Q98" s="39"/>
      <c r="R98" s="39"/>
      <c r="S98" s="252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 x14ac:dyDescent="0.25">
      <c r="B99" s="374"/>
      <c r="C99" s="1" t="s">
        <v>53</v>
      </c>
      <c r="D99" s="167">
        <f>SUM(D97:D98)</f>
        <v>4117517</v>
      </c>
      <c r="E99" s="192"/>
      <c r="F99" s="168">
        <f>SUM(F97:F98)</f>
        <v>386264</v>
      </c>
      <c r="G99" s="169"/>
      <c r="H99" s="169"/>
      <c r="I99" s="161"/>
      <c r="J99" s="191">
        <f>F99/D99</f>
        <v>9.380993448235915E-2</v>
      </c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25">
      <c r="B100" s="374"/>
      <c r="C100" s="1"/>
      <c r="D100" s="192"/>
      <c r="E100" s="192"/>
      <c r="F100" s="168"/>
      <c r="G100" s="169"/>
      <c r="H100" s="169"/>
      <c r="I100" s="161"/>
      <c r="J100" s="191"/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25">
      <c r="B101" s="374"/>
      <c r="C101" s="2" t="s">
        <v>56</v>
      </c>
      <c r="D101" s="192"/>
      <c r="E101" s="192"/>
      <c r="F101" s="169"/>
      <c r="G101" s="169"/>
      <c r="H101" s="169"/>
      <c r="I101" s="161"/>
      <c r="J101" s="191"/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25">
      <c r="B102" s="374"/>
      <c r="C102" s="1" t="s">
        <v>57</v>
      </c>
      <c r="D102" s="167">
        <v>316755</v>
      </c>
      <c r="E102" s="163">
        <f>D102/$D$98</f>
        <v>0.28917441209738748</v>
      </c>
      <c r="F102" s="168">
        <v>38881</v>
      </c>
      <c r="G102" s="160">
        <f>F102/$F$98</f>
        <v>0.30667844550839635</v>
      </c>
      <c r="H102" s="160"/>
      <c r="I102" s="161">
        <f t="shared" ref="I102:I108" si="12">G102/E102</f>
        <v>1.0605310590382178</v>
      </c>
      <c r="J102" s="191">
        <f t="shared" ref="J102:J108" si="13">F102/D102</f>
        <v>0.12274786506921753</v>
      </c>
      <c r="K102" s="191"/>
      <c r="L102" s="163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25">
      <c r="B103" s="374"/>
      <c r="C103" s="1" t="s">
        <v>58</v>
      </c>
      <c r="D103" s="167">
        <v>180448</v>
      </c>
      <c r="E103" s="163">
        <f t="shared" ref="E103:E108" si="14">D103/$D$98</f>
        <v>0.16473597674590576</v>
      </c>
      <c r="F103" s="168">
        <v>27478</v>
      </c>
      <c r="G103" s="160">
        <f t="shared" ref="G103:G105" si="15">F103/$F$98</f>
        <v>0.21673594623800096</v>
      </c>
      <c r="H103" s="160"/>
      <c r="I103" s="161">
        <f t="shared" si="12"/>
        <v>1.3156564250218499</v>
      </c>
      <c r="J103" s="191">
        <f t="shared" si="13"/>
        <v>0.15227655612697286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25">
      <c r="B104" s="374"/>
      <c r="C104" s="1" t="s">
        <v>59</v>
      </c>
      <c r="D104" s="167">
        <v>130474</v>
      </c>
      <c r="E104" s="163">
        <f t="shared" si="14"/>
        <v>0.11911332810530073</v>
      </c>
      <c r="F104" s="168">
        <v>23238</v>
      </c>
      <c r="G104" s="160">
        <f t="shared" si="15"/>
        <v>0.18329244918402599</v>
      </c>
      <c r="H104" s="160"/>
      <c r="I104" s="161">
        <f t="shared" si="12"/>
        <v>1.5388072191383022</v>
      </c>
      <c r="J104" s="191">
        <f t="shared" si="13"/>
        <v>0.17810444992872143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25">
      <c r="B105" s="374"/>
      <c r="C105" s="172" t="s">
        <v>60</v>
      </c>
      <c r="D105" s="168">
        <v>354320</v>
      </c>
      <c r="E105" s="163">
        <f t="shared" si="14"/>
        <v>0.3234685409680868</v>
      </c>
      <c r="F105" s="174">
        <v>26223</v>
      </c>
      <c r="G105" s="160">
        <f t="shared" si="15"/>
        <v>0.20683698661471356</v>
      </c>
      <c r="H105" s="160"/>
      <c r="I105" s="161">
        <f t="shared" si="12"/>
        <v>0.63943462939451645</v>
      </c>
      <c r="J105" s="191">
        <f t="shared" si="13"/>
        <v>7.4009370060961838E-2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25">
      <c r="B106" s="374"/>
      <c r="C106" s="1" t="s">
        <v>61</v>
      </c>
      <c r="D106" s="167">
        <v>54165</v>
      </c>
      <c r="E106" s="163">
        <f t="shared" si="14"/>
        <v>4.944872861124526E-2</v>
      </c>
      <c r="F106" s="168">
        <v>5576</v>
      </c>
      <c r="G106" s="160">
        <f>F106/$F$98</f>
        <v>4.3981353672868963E-2</v>
      </c>
      <c r="H106" s="160"/>
      <c r="I106" s="161">
        <f t="shared" si="12"/>
        <v>0.88943345780718519</v>
      </c>
      <c r="J106" s="191">
        <f t="shared" si="13"/>
        <v>0.10294470599095357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25">
      <c r="B107" s="374"/>
      <c r="C107" s="1" t="s">
        <v>62</v>
      </c>
      <c r="D107" s="167">
        <v>45474</v>
      </c>
      <c r="E107" s="163">
        <f t="shared" si="14"/>
        <v>4.1514474012143761E-2</v>
      </c>
      <c r="F107" s="168">
        <v>3673</v>
      </c>
      <c r="G107" s="160">
        <f>F107/$F$98</f>
        <v>2.8971218084728783E-2</v>
      </c>
      <c r="H107" s="160"/>
      <c r="I107" s="161">
        <f t="shared" si="12"/>
        <v>0.69785824761393245</v>
      </c>
      <c r="J107" s="191">
        <f t="shared" si="13"/>
        <v>8.0771429828033606E-2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  <c r="AN107" s="13"/>
    </row>
    <row r="108" spans="2:40" ht="15.75" thickBot="1" x14ac:dyDescent="0.3">
      <c r="B108" s="375"/>
      <c r="C108" s="9" t="s">
        <v>63</v>
      </c>
      <c r="D108" s="175">
        <v>13741</v>
      </c>
      <c r="E108" s="179">
        <f t="shared" si="14"/>
        <v>1.2544539459930235E-2</v>
      </c>
      <c r="F108" s="177">
        <v>1712</v>
      </c>
      <c r="G108" s="176">
        <f>F108/$F$98</f>
        <v>1.3503600697265363E-2</v>
      </c>
      <c r="H108" s="176"/>
      <c r="I108" s="178">
        <f t="shared" si="12"/>
        <v>1.0764524867890577</v>
      </c>
      <c r="J108" s="198">
        <f t="shared" si="13"/>
        <v>0.12459064114693254</v>
      </c>
      <c r="K108" s="198"/>
      <c r="L108" s="179"/>
      <c r="M108" s="178"/>
      <c r="N108" s="178"/>
      <c r="O108" s="100"/>
      <c r="P108" s="100"/>
      <c r="Q108" s="100"/>
      <c r="R108" s="100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83"/>
      <c r="AJ108" s="83"/>
      <c r="AK108" s="388"/>
    </row>
    <row r="109" spans="2:40" ht="15.75" thickBot="1" x14ac:dyDescent="0.3">
      <c r="D109" s="8"/>
    </row>
    <row r="110" spans="2:40" x14ac:dyDescent="0.25">
      <c r="B110" s="373" t="s">
        <v>64</v>
      </c>
      <c r="C110" s="21" t="s">
        <v>65</v>
      </c>
      <c r="D110" s="23" t="s">
        <v>66</v>
      </c>
      <c r="E110" s="48" t="s">
        <v>67</v>
      </c>
      <c r="F110" s="48" t="s">
        <v>68</v>
      </c>
      <c r="G110" s="48" t="s">
        <v>51</v>
      </c>
      <c r="H110" s="9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7"/>
      <c r="AK110" s="373" t="s">
        <v>19</v>
      </c>
    </row>
    <row r="111" spans="2:40" x14ac:dyDescent="0.25">
      <c r="B111" s="374"/>
      <c r="C111" s="1" t="s">
        <v>69</v>
      </c>
      <c r="D111" s="168">
        <v>139745</v>
      </c>
      <c r="E111" s="180">
        <v>978375</v>
      </c>
      <c r="F111" s="68"/>
      <c r="O111" s="8"/>
      <c r="AI111" s="4"/>
      <c r="AJ111" s="4"/>
      <c r="AK111" s="374"/>
    </row>
    <row r="112" spans="2:40" x14ac:dyDescent="0.25">
      <c r="B112" s="374"/>
      <c r="C112" s="1" t="s">
        <v>70</v>
      </c>
      <c r="D112" s="160">
        <f>D111/I53</f>
        <v>0.64310301981610507</v>
      </c>
      <c r="E112" s="261">
        <f>E111/3877690</f>
        <v>0.25230871988219788</v>
      </c>
      <c r="F112" s="68"/>
      <c r="O112" s="8"/>
      <c r="AI112" s="4"/>
      <c r="AJ112" s="4"/>
      <c r="AK112" s="374"/>
    </row>
    <row r="113" spans="2:40" x14ac:dyDescent="0.25">
      <c r="B113" s="374"/>
      <c r="C113" s="1"/>
      <c r="D113" s="199"/>
      <c r="E113" s="200"/>
      <c r="F113" s="14"/>
      <c r="O113" s="8"/>
      <c r="AI113" s="4"/>
      <c r="AJ113" s="4"/>
      <c r="AK113" s="374"/>
      <c r="AN113" s="8"/>
    </row>
    <row r="114" spans="2:40" ht="14.45" customHeight="1" x14ac:dyDescent="0.25">
      <c r="B114" s="374"/>
      <c r="C114" s="1" t="s">
        <v>71</v>
      </c>
      <c r="D114" s="168">
        <v>384538</v>
      </c>
      <c r="E114" s="183">
        <v>2392298</v>
      </c>
      <c r="F114" s="68"/>
      <c r="O114" s="8"/>
      <c r="AI114" s="4"/>
      <c r="AJ114" s="4"/>
      <c r="AK114" s="374"/>
      <c r="AL114" s="24"/>
      <c r="AN114" s="14"/>
    </row>
    <row r="115" spans="2:40" x14ac:dyDescent="0.25">
      <c r="B115" s="374"/>
      <c r="C115" s="1" t="s">
        <v>72</v>
      </c>
      <c r="D115" s="184">
        <f>D114/D111</f>
        <v>2.7517120469426457</v>
      </c>
      <c r="E115" s="161">
        <f>E114/E111</f>
        <v>2.4451749073719178</v>
      </c>
      <c r="F115" s="14"/>
      <c r="O115" s="8"/>
      <c r="AI115" s="4"/>
      <c r="AJ115" s="4"/>
      <c r="AK115" s="374"/>
    </row>
    <row r="116" spans="2:40" x14ac:dyDescent="0.25">
      <c r="B116" s="374"/>
      <c r="C116" s="1"/>
      <c r="D116" s="202"/>
      <c r="E116" s="169"/>
      <c r="F116" s="14"/>
      <c r="O116" s="8"/>
      <c r="AI116" s="4"/>
      <c r="AJ116" s="4"/>
      <c r="AK116" s="374"/>
      <c r="AN116" s="8"/>
    </row>
    <row r="117" spans="2:40" x14ac:dyDescent="0.25">
      <c r="B117" s="374"/>
      <c r="C117" s="1" t="s">
        <v>73</v>
      </c>
      <c r="D117" s="168">
        <v>231127</v>
      </c>
      <c r="E117" s="183">
        <v>1296335</v>
      </c>
      <c r="F117" s="14"/>
      <c r="O117" s="8"/>
      <c r="AI117" s="4"/>
      <c r="AJ117" s="4"/>
      <c r="AK117" s="374"/>
      <c r="AN117" s="14"/>
    </row>
    <row r="118" spans="2:40" x14ac:dyDescent="0.25">
      <c r="B118" s="374"/>
      <c r="C118" s="1" t="s">
        <v>74</v>
      </c>
      <c r="D118" s="184">
        <f>D117/D111</f>
        <v>1.6539196393430893</v>
      </c>
      <c r="E118" s="165">
        <f>E117/E111</f>
        <v>1.3249878625271496</v>
      </c>
      <c r="F118" s="14"/>
      <c r="AI118" s="4"/>
      <c r="AJ118" s="4"/>
      <c r="AK118" s="374"/>
    </row>
    <row r="119" spans="2:40" ht="15.75" thickBot="1" x14ac:dyDescent="0.3">
      <c r="B119" s="375"/>
      <c r="C119" s="9" t="s">
        <v>75</v>
      </c>
      <c r="D119" s="185">
        <f>D114/D117</f>
        <v>1.6637519632063758</v>
      </c>
      <c r="E119" s="186">
        <f>E114/E117</f>
        <v>1.8454319292466839</v>
      </c>
      <c r="F119" s="18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11"/>
      <c r="AJ119" s="11"/>
      <c r="AK119" s="375"/>
    </row>
    <row r="120" spans="2:40" x14ac:dyDescent="0.25">
      <c r="D120" s="37"/>
      <c r="E120" s="22"/>
      <c r="F120" s="14"/>
    </row>
    <row r="121" spans="2:40" s="35" customFormat="1" x14ac:dyDescent="0.25">
      <c r="B121" s="47"/>
      <c r="C121" s="78"/>
      <c r="D121" s="8"/>
      <c r="E121" s="13"/>
    </row>
    <row r="122" spans="2:40" s="35" customFormat="1" x14ac:dyDescent="0.25">
      <c r="B122" s="47"/>
      <c r="C122" s="78"/>
      <c r="D122" s="8"/>
      <c r="E122" s="34"/>
    </row>
    <row r="123" spans="2:40" s="35" customFormat="1" x14ac:dyDescent="0.25">
      <c r="B123" s="47"/>
      <c r="C123" s="78"/>
      <c r="D123" s="8"/>
    </row>
    <row r="124" spans="2:40" s="35" customFormat="1" x14ac:dyDescent="0.25">
      <c r="B124" s="47"/>
      <c r="C124" s="78"/>
      <c r="D124" s="262"/>
      <c r="E124" s="34"/>
    </row>
    <row r="125" spans="2:40" s="35" customFormat="1" x14ac:dyDescent="0.25">
      <c r="B125" s="47"/>
      <c r="C125" s="78"/>
      <c r="D125" s="8"/>
      <c r="E125" s="78"/>
    </row>
    <row r="126" spans="2:40" s="35" customFormat="1" x14ac:dyDescent="0.25">
      <c r="B126" s="47"/>
      <c r="C126" s="78"/>
      <c r="D126" s="8"/>
      <c r="E126" s="34"/>
    </row>
    <row r="127" spans="2:40" x14ac:dyDescent="0.25">
      <c r="E127" s="357"/>
    </row>
  </sheetData>
  <mergeCells count="15">
    <mergeCell ref="C2:AI2"/>
    <mergeCell ref="D3:Q3"/>
    <mergeCell ref="R3:W3"/>
    <mergeCell ref="X3:AC3"/>
    <mergeCell ref="AD3:AI3"/>
    <mergeCell ref="B110:B119"/>
    <mergeCell ref="AK110:AK119"/>
    <mergeCell ref="B4:B54"/>
    <mergeCell ref="B56:B92"/>
    <mergeCell ref="AK56:AK92"/>
    <mergeCell ref="B94:B108"/>
    <mergeCell ref="D94:E94"/>
    <mergeCell ref="F94:G94"/>
    <mergeCell ref="AK94:AK108"/>
    <mergeCell ref="AK3:AK5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615B-DE57-4C9C-957F-DCCE928F0FAD}">
  <sheetPr>
    <tabColor theme="4"/>
  </sheetPr>
  <dimension ref="A1:AN128"/>
  <sheetViews>
    <sheetView topLeftCell="C1" zoomScale="90" zoomScaleNormal="90" workbookViewId="0">
      <pane ySplit="4" topLeftCell="A23" activePane="bottomLeft" state="frozen"/>
      <selection pane="bottomLeft" activeCell="Q46" sqref="Q46:Q54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 x14ac:dyDescent="0.3">
      <c r="A1" s="8"/>
      <c r="B1" s="155"/>
    </row>
    <row r="2" spans="1:39" ht="15.75" thickBot="1" x14ac:dyDescent="0.3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49" t="s">
        <v>211</v>
      </c>
      <c r="AK3" s="373" t="s">
        <v>10</v>
      </c>
    </row>
    <row r="4" spans="1:39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4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25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25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25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25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25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25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25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25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25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ref="O53" si="5">I53-D53</f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25">
      <c r="A54" s="8"/>
      <c r="B54" s="374"/>
      <c r="C54" s="271">
        <v>45901</v>
      </c>
      <c r="D54" s="220">
        <f>I53</f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>G54/D54</f>
        <v>6.5012103194691168E-2</v>
      </c>
      <c r="Q54" s="247">
        <f>H54/D54</f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ht="15.75" thickBot="1" x14ac:dyDescent="0.3">
      <c r="B55" s="375"/>
      <c r="C55" s="58" t="s">
        <v>78</v>
      </c>
      <c r="D55" s="113"/>
      <c r="E55" s="113">
        <f>SUM(E5:E54)</f>
        <v>606828</v>
      </c>
      <c r="F55" s="113">
        <f>SUM(F5:F54)</f>
        <v>376825.52</v>
      </c>
      <c r="G55" s="113">
        <f>SUM(G5:G54)</f>
        <v>389914</v>
      </c>
      <c r="H55" s="113"/>
      <c r="I55" s="113"/>
      <c r="J55" s="130"/>
      <c r="K55" s="130"/>
      <c r="L55" s="130"/>
      <c r="M55" s="130"/>
      <c r="N55" s="130"/>
      <c r="O55" s="146"/>
      <c r="P55" s="146"/>
      <c r="Q55" s="146"/>
      <c r="R55" s="333">
        <f>SUM(R5:R54)</f>
        <v>530037</v>
      </c>
      <c r="S55" s="354"/>
      <c r="T55" s="333"/>
      <c r="U55" s="130"/>
      <c r="V55" s="130"/>
      <c r="W55" s="130"/>
      <c r="X55" s="113">
        <f>SUM(X17:X54)</f>
        <v>69167</v>
      </c>
      <c r="Y55" s="113"/>
      <c r="Z55" s="130"/>
      <c r="AA55" s="130"/>
      <c r="AB55" s="130"/>
      <c r="AC55" s="130"/>
      <c r="AD55" s="113">
        <f>SUM(AD20:AD54)</f>
        <v>10344</v>
      </c>
      <c r="AE55" s="93"/>
      <c r="AF55" s="93"/>
      <c r="AG55" s="93"/>
      <c r="AH55" s="93"/>
      <c r="AI55" s="112"/>
      <c r="AJ55" s="83"/>
      <c r="AK55" s="375"/>
      <c r="AL55" s="8"/>
      <c r="AM55" s="142"/>
    </row>
    <row r="56" spans="1:39" ht="15.75" thickBot="1" x14ac:dyDescent="0.3">
      <c r="C56" s="324"/>
      <c r="D56" s="20"/>
      <c r="E56" s="100"/>
      <c r="F56" s="353"/>
      <c r="G56" s="10"/>
      <c r="H56" s="10"/>
      <c r="I56" s="10"/>
      <c r="J56" s="10"/>
      <c r="K56" s="10"/>
      <c r="L56" s="10"/>
      <c r="M56" s="10"/>
      <c r="N56" s="10"/>
      <c r="O56" s="10"/>
      <c r="P56" s="44"/>
      <c r="Q56" s="44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8"/>
      <c r="AM56" s="142"/>
    </row>
    <row r="57" spans="1:39" x14ac:dyDescent="0.25">
      <c r="B57" s="381" t="s">
        <v>13</v>
      </c>
      <c r="C57" s="94"/>
      <c r="D57" s="48" t="s">
        <v>174</v>
      </c>
      <c r="E57" s="48" t="s">
        <v>15</v>
      </c>
      <c r="F57" s="48" t="s">
        <v>175</v>
      </c>
      <c r="G57" s="48" t="s">
        <v>193</v>
      </c>
      <c r="H57" s="48"/>
      <c r="I57" s="48" t="s">
        <v>18</v>
      </c>
      <c r="J57" s="94"/>
      <c r="K57" s="94"/>
      <c r="L57" s="94"/>
      <c r="M57" s="94"/>
      <c r="N57" s="94"/>
      <c r="O57" s="94"/>
      <c r="P57" s="116"/>
      <c r="Q57" s="116"/>
      <c r="R57" s="116"/>
      <c r="S57" s="47"/>
      <c r="T57" s="94"/>
      <c r="U57" s="94"/>
      <c r="V57" s="94"/>
      <c r="W57" s="94"/>
      <c r="X57" s="94"/>
      <c r="Y57" s="94"/>
      <c r="AD57" s="94"/>
      <c r="AE57" s="94"/>
      <c r="AF57" s="94"/>
      <c r="AG57" s="94"/>
      <c r="AH57" s="94"/>
      <c r="AI57" s="49"/>
      <c r="AJ57" s="49"/>
      <c r="AK57" s="373" t="s">
        <v>19</v>
      </c>
      <c r="AM57" s="142"/>
    </row>
    <row r="58" spans="1:39" x14ac:dyDescent="0.25">
      <c r="B58" s="382"/>
      <c r="C58" s="156" t="s">
        <v>20</v>
      </c>
      <c r="D58" s="47"/>
      <c r="E58" s="47"/>
      <c r="F58" s="47"/>
      <c r="G58" s="260"/>
      <c r="H58" s="260"/>
      <c r="N58" s="289"/>
      <c r="O58" s="154"/>
      <c r="P58" s="158"/>
      <c r="Q58" s="73"/>
      <c r="T58" s="254"/>
      <c r="U58" s="254"/>
      <c r="V58" s="254"/>
      <c r="W58" s="254"/>
      <c r="Y58" s="47"/>
      <c r="Z58" s="47"/>
      <c r="AA58" s="239"/>
      <c r="AB58" s="47"/>
      <c r="AC58" s="47"/>
      <c r="AD58" s="47"/>
      <c r="AE58" s="47"/>
      <c r="AF58" s="47"/>
      <c r="AG58" s="47"/>
      <c r="AH58" s="47"/>
      <c r="AI58" s="12"/>
      <c r="AJ58" s="12"/>
      <c r="AK58" s="374"/>
      <c r="AM58" s="8"/>
    </row>
    <row r="59" spans="1:39" x14ac:dyDescent="0.25">
      <c r="B59" s="382"/>
      <c r="C59" s="47" t="s">
        <v>21</v>
      </c>
      <c r="D59" s="160">
        <v>0.41950478233664074</v>
      </c>
      <c r="E59" s="160">
        <v>0.39198247673243292</v>
      </c>
      <c r="F59" s="14">
        <f>D59/E59</f>
        <v>1.0702131019570922</v>
      </c>
      <c r="G59" s="160">
        <v>0.51167501300072415</v>
      </c>
      <c r="H59" s="160"/>
      <c r="I59" s="14">
        <f>E59/G59</f>
        <v>0.76607703478355738</v>
      </c>
      <c r="J59" s="14"/>
      <c r="K59" s="352"/>
      <c r="L59" s="14"/>
      <c r="M59" s="14"/>
      <c r="N59" s="14"/>
      <c r="O59" s="253"/>
      <c r="P59" s="73"/>
      <c r="R59" s="158"/>
      <c r="S59" s="158"/>
      <c r="T59" s="14"/>
      <c r="U59" s="14"/>
      <c r="V59" s="14"/>
      <c r="W59" s="14"/>
      <c r="X59" s="47"/>
      <c r="Y59" s="14"/>
      <c r="Z59" s="14"/>
      <c r="AA59" s="239"/>
      <c r="AB59" s="14"/>
      <c r="AC59" s="14"/>
      <c r="AD59" s="14"/>
      <c r="AE59" s="14"/>
      <c r="AF59" s="14"/>
      <c r="AG59" s="14"/>
      <c r="AH59" s="14"/>
      <c r="AI59" s="15"/>
      <c r="AJ59" s="15"/>
      <c r="AK59" s="374"/>
      <c r="AM59" s="8"/>
    </row>
    <row r="60" spans="1:39" x14ac:dyDescent="0.25">
      <c r="B60" s="382"/>
      <c r="C60" s="47" t="s">
        <v>22</v>
      </c>
      <c r="D60" s="160">
        <v>0.58049521766335921</v>
      </c>
      <c r="E60" s="160">
        <v>0.60801752326756708</v>
      </c>
      <c r="F60" s="14">
        <f>D60/E60</f>
        <v>0.95473435460165801</v>
      </c>
      <c r="G60" s="160">
        <v>0.48832498699927585</v>
      </c>
      <c r="H60" s="160"/>
      <c r="I60" s="14">
        <f t="shared" ref="I60:I77" si="6">E60/G60</f>
        <v>1.2451083590946141</v>
      </c>
      <c r="J60" s="14"/>
      <c r="K60" s="14"/>
      <c r="L60" s="14"/>
      <c r="M60" s="14"/>
      <c r="N60" s="14"/>
      <c r="O60" s="149"/>
      <c r="P60" s="73"/>
      <c r="Q60" s="73"/>
      <c r="R60" s="158"/>
      <c r="S60" s="14"/>
      <c r="T60" s="14"/>
      <c r="U60" s="14"/>
      <c r="V60" s="14"/>
      <c r="W60" s="14"/>
      <c r="X60" s="14"/>
      <c r="Y60" s="14"/>
      <c r="Z60" s="14"/>
      <c r="AA60" s="239"/>
      <c r="AB60" s="14"/>
      <c r="AC60" s="14"/>
      <c r="AD60" s="14"/>
      <c r="AE60" s="14"/>
      <c r="AF60" s="14"/>
      <c r="AG60" s="14"/>
      <c r="AH60" s="14"/>
      <c r="AI60" s="15"/>
      <c r="AJ60" s="15"/>
      <c r="AK60" s="374"/>
    </row>
    <row r="61" spans="1:39" x14ac:dyDescent="0.25">
      <c r="B61" s="382"/>
      <c r="D61" s="190"/>
      <c r="E61" s="160"/>
      <c r="F61" s="14"/>
      <c r="G61" s="190"/>
      <c r="H61" s="190"/>
      <c r="I61" s="14"/>
      <c r="J61" s="170"/>
      <c r="K61" s="170"/>
      <c r="L61" s="170"/>
      <c r="M61" s="170"/>
      <c r="N61" s="170"/>
      <c r="O61" s="149"/>
      <c r="P61" s="222"/>
      <c r="Q61" s="222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25">
      <c r="B62" s="382"/>
      <c r="C62" s="156" t="s">
        <v>23</v>
      </c>
      <c r="D62" s="169"/>
      <c r="E62" s="162"/>
      <c r="F62" s="14"/>
      <c r="G62" s="190"/>
      <c r="H62" s="190"/>
      <c r="I62" s="14"/>
      <c r="J62" s="170"/>
      <c r="K62" s="170"/>
      <c r="L62" s="170"/>
      <c r="M62" s="170"/>
      <c r="N62" s="170"/>
      <c r="O62" s="149"/>
      <c r="P62" s="39"/>
      <c r="Q62" s="3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25">
      <c r="B63" s="382"/>
      <c r="C63" s="47" t="s">
        <v>24</v>
      </c>
      <c r="D63" s="160">
        <v>1.6557628624505289E-2</v>
      </c>
      <c r="E63" s="160">
        <v>3.9209057619517792E-3</v>
      </c>
      <c r="F63" s="14">
        <f t="shared" ref="F63:F68" si="7">D63/E63</f>
        <v>4.2229091005398462</v>
      </c>
      <c r="G63" s="160">
        <v>1.0636876345528025E-2</v>
      </c>
      <c r="H63" s="160"/>
      <c r="I63" s="14">
        <f t="shared" si="6"/>
        <v>0.3686143971768755</v>
      </c>
      <c r="J63" s="14"/>
      <c r="K63" s="14"/>
      <c r="L63" s="14"/>
      <c r="M63" s="14"/>
      <c r="N63" s="14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25">
      <c r="B64" s="382"/>
      <c r="C64" s="47" t="s">
        <v>25</v>
      </c>
      <c r="D64" s="160">
        <v>0.20353767870123576</v>
      </c>
      <c r="E64" s="160">
        <v>9.0357205448438935E-2</v>
      </c>
      <c r="F64" s="14">
        <f t="shared" si="7"/>
        <v>2.2525893501363505</v>
      </c>
      <c r="G64" s="160">
        <v>0.12779293915553411</v>
      </c>
      <c r="H64" s="160"/>
      <c r="I64" s="14">
        <f t="shared" si="6"/>
        <v>0.70705945137130832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25">
      <c r="B65" s="382"/>
      <c r="C65" s="47" t="s">
        <v>26</v>
      </c>
      <c r="D65" s="160">
        <v>0.43017526855665938</v>
      </c>
      <c r="E65" s="160">
        <v>0.34581973825300466</v>
      </c>
      <c r="F65" s="14">
        <f t="shared" si="7"/>
        <v>1.2439291948163453</v>
      </c>
      <c r="G65" s="160">
        <v>0.28982439513633557</v>
      </c>
      <c r="H65" s="160"/>
      <c r="I65" s="14">
        <f t="shared" si="6"/>
        <v>1.1932043818820997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25">
      <c r="B66" s="382"/>
      <c r="C66" s="47" t="s">
        <v>27</v>
      </c>
      <c r="D66" s="160">
        <v>0.26274129714885713</v>
      </c>
      <c r="E66" s="160">
        <v>0.35527428463621047</v>
      </c>
      <c r="F66" s="14">
        <f t="shared" si="7"/>
        <v>0.73954493334043536</v>
      </c>
      <c r="G66" s="160">
        <v>0.32302636419090475</v>
      </c>
      <c r="H66" s="160"/>
      <c r="I66" s="14">
        <f t="shared" si="6"/>
        <v>1.0998306145260874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25">
      <c r="B67" s="382"/>
      <c r="C67" s="47" t="s">
        <v>28</v>
      </c>
      <c r="D67" s="160">
        <v>7.5518940311768035E-2</v>
      </c>
      <c r="E67" s="160">
        <v>0.1729797000351469</v>
      </c>
      <c r="F67" s="14">
        <f t="shared" si="7"/>
        <v>0.43657689484039869</v>
      </c>
      <c r="G67" s="160">
        <v>0.17250883373121087</v>
      </c>
      <c r="H67" s="160"/>
      <c r="I67" s="14">
        <f t="shared" si="6"/>
        <v>1.0027295199541473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25">
      <c r="B68" s="382"/>
      <c r="C68" s="47" t="s">
        <v>29</v>
      </c>
      <c r="D68" s="160">
        <v>1.1469186656974396E-2</v>
      </c>
      <c r="E68" s="160">
        <v>3.1648165865247255E-2</v>
      </c>
      <c r="F68" s="14">
        <f t="shared" si="7"/>
        <v>0.36239656685977722</v>
      </c>
      <c r="G68" s="160">
        <v>7.6210591440486655E-2</v>
      </c>
      <c r="H68" s="160"/>
      <c r="I68" s="14">
        <f t="shared" si="6"/>
        <v>0.41527253977501949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25">
      <c r="B69" s="382"/>
      <c r="D69" s="190"/>
      <c r="E69" s="190"/>
      <c r="F69" s="14"/>
      <c r="G69" s="190"/>
      <c r="H69" s="190"/>
      <c r="I69" s="170"/>
      <c r="J69" s="170"/>
      <c r="K69" s="170"/>
      <c r="L69" s="170"/>
      <c r="M69" s="170"/>
      <c r="N69" s="170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25">
      <c r="B70" s="382"/>
      <c r="C70" s="156" t="s">
        <v>30</v>
      </c>
      <c r="D70" s="169"/>
      <c r="E70" s="169"/>
      <c r="F70" s="14"/>
      <c r="G70" s="190"/>
      <c r="H70" s="190"/>
      <c r="I70" s="170"/>
      <c r="J70" s="170"/>
      <c r="K70" s="170"/>
      <c r="L70" s="170"/>
      <c r="M70" s="170"/>
      <c r="N70" s="170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25">
      <c r="B71" s="382"/>
      <c r="C71" s="47" t="s">
        <v>31</v>
      </c>
      <c r="D71" s="160">
        <v>0.51207495355787092</v>
      </c>
      <c r="E71" s="163">
        <v>0.48144524921573906</v>
      </c>
      <c r="F71" s="14">
        <f>D71/E71</f>
        <v>1.0636203273207634</v>
      </c>
      <c r="G71" s="160">
        <v>0.47583929610534786</v>
      </c>
      <c r="H71" s="160"/>
      <c r="I71" s="14">
        <f>E71/G71</f>
        <v>1.0117811899022944</v>
      </c>
      <c r="J71" s="14"/>
      <c r="K71" s="14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25">
      <c r="B72" s="382"/>
      <c r="C72" s="47" t="s">
        <v>32</v>
      </c>
      <c r="D72" s="160">
        <v>0.18738389467732816</v>
      </c>
      <c r="E72" s="160">
        <v>0.19587881121138032</v>
      </c>
      <c r="F72" s="14">
        <f>D72/E72</f>
        <v>0.95663177409788869</v>
      </c>
      <c r="G72" s="160">
        <v>0.15502788859700048</v>
      </c>
      <c r="H72" s="160"/>
      <c r="I72" s="14">
        <f t="shared" si="6"/>
        <v>1.2635069275862552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25">
      <c r="B73" s="382"/>
      <c r="C73" s="47" t="s">
        <v>33</v>
      </c>
      <c r="D73" s="160">
        <v>0.10588805427671431</v>
      </c>
      <c r="E73" s="160">
        <v>0.12221861495699853</v>
      </c>
      <c r="F73" s="14">
        <f>D73/E73</f>
        <v>0.86638237811785079</v>
      </c>
      <c r="G73" s="160">
        <v>0.12264793903601259</v>
      </c>
      <c r="H73" s="160"/>
      <c r="I73" s="14">
        <f t="shared" si="6"/>
        <v>0.99649954102459071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25">
      <c r="B74" s="382"/>
      <c r="C74" s="47" t="s">
        <v>34</v>
      </c>
      <c r="D74" s="160">
        <v>9.1672724335675637E-2</v>
      </c>
      <c r="E74" s="160">
        <v>9.67752645035206E-2</v>
      </c>
      <c r="F74" s="14">
        <f t="shared" ref="F74:F77" si="8">D74/E74</f>
        <v>0.94727433508942427</v>
      </c>
      <c r="G74" s="160">
        <v>0.1172272079474319</v>
      </c>
      <c r="H74" s="160"/>
      <c r="I74" s="14">
        <f t="shared" si="6"/>
        <v>0.82553586490703978</v>
      </c>
      <c r="J74" s="14"/>
      <c r="K74" s="14"/>
      <c r="L74" s="14"/>
      <c r="M74" s="14"/>
      <c r="N74" s="14"/>
      <c r="O74" s="223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25">
      <c r="B75" s="382"/>
      <c r="C75" s="47" t="s">
        <v>35</v>
      </c>
      <c r="D75" s="160">
        <v>2.7461432840642921E-2</v>
      </c>
      <c r="E75" s="160">
        <v>2.0874733086315472E-2</v>
      </c>
      <c r="F75" s="14">
        <f t="shared" si="8"/>
        <v>1.3155345616680192</v>
      </c>
      <c r="G75" s="160">
        <v>3.3098272462386766E-2</v>
      </c>
      <c r="H75" s="160"/>
      <c r="I75" s="14">
        <f t="shared" si="6"/>
        <v>0.63068950532199963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25">
      <c r="B76" s="382"/>
      <c r="C76" s="47" t="s">
        <v>36</v>
      </c>
      <c r="D76" s="160">
        <v>1.3003796139245618E-2</v>
      </c>
      <c r="E76" s="160">
        <v>1.4071686256032194E-2</v>
      </c>
      <c r="F76" s="14">
        <f t="shared" si="8"/>
        <v>0.92411072153283713</v>
      </c>
      <c r="G76" s="160">
        <v>1.9037487862611863E-2</v>
      </c>
      <c r="H76" s="160"/>
      <c r="I76" s="14">
        <f t="shared" si="6"/>
        <v>0.73915667642619409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25">
      <c r="B77" s="382"/>
      <c r="C77" s="47" t="s">
        <v>37</v>
      </c>
      <c r="D77" s="160">
        <v>6.2030530651805187E-2</v>
      </c>
      <c r="E77" s="160">
        <v>6.8440834625404665E-2</v>
      </c>
      <c r="F77" s="14">
        <f t="shared" si="8"/>
        <v>0.9063380216111504</v>
      </c>
      <c r="G77" s="160">
        <v>7.6738898990572887E-2</v>
      </c>
      <c r="H77" s="160"/>
      <c r="I77" s="14">
        <f t="shared" si="6"/>
        <v>0.89186625721346857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25">
      <c r="B78" s="382"/>
      <c r="D78" s="190"/>
      <c r="E78" s="190"/>
      <c r="F78" s="14"/>
      <c r="G78" s="190"/>
      <c r="H78" s="190"/>
      <c r="I78" s="170"/>
      <c r="J78" s="170"/>
      <c r="K78" s="170"/>
      <c r="L78" s="170"/>
      <c r="M78" s="170"/>
      <c r="N78" s="170"/>
      <c r="O78" s="149"/>
      <c r="P78" s="222"/>
      <c r="Q78" s="222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25">
      <c r="B79" s="382"/>
      <c r="C79" s="156" t="s">
        <v>38</v>
      </c>
      <c r="D79" s="169"/>
      <c r="E79" s="169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239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25">
      <c r="B80" s="382"/>
      <c r="C80" s="47" t="s">
        <v>39</v>
      </c>
      <c r="D80" s="160">
        <v>0.61583769633507857</v>
      </c>
      <c r="E80" s="13">
        <v>0.4951160966181567</v>
      </c>
      <c r="F80" s="14">
        <f>D80/E80</f>
        <v>1.2438248332896047</v>
      </c>
      <c r="G80" s="164">
        <v>0.52553618701485172</v>
      </c>
      <c r="H80" s="164"/>
      <c r="I80" s="72">
        <f>E80/G80</f>
        <v>0.94211608801006252</v>
      </c>
      <c r="J80" s="72"/>
      <c r="K80" s="72"/>
      <c r="L80" s="72"/>
      <c r="M80" s="72"/>
      <c r="N80" s="72"/>
      <c r="O80" s="149"/>
      <c r="P80" s="240"/>
      <c r="Q80" s="240"/>
      <c r="R80" s="241"/>
      <c r="S80" s="16"/>
      <c r="T80" s="16"/>
      <c r="U80" s="16"/>
      <c r="V80" s="16"/>
      <c r="W80" s="16"/>
      <c r="X80" s="68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36"/>
      <c r="AJ80" s="36"/>
      <c r="AK80" s="374"/>
    </row>
    <row r="81" spans="2:37" x14ac:dyDescent="0.25">
      <c r="B81" s="382"/>
      <c r="C81" s="47" t="s">
        <v>40</v>
      </c>
      <c r="D81" s="160">
        <v>4.4793484584060503E-2</v>
      </c>
      <c r="E81" s="13">
        <v>5.0553595643973832E-2</v>
      </c>
      <c r="F81" s="14">
        <f>D81/E81</f>
        <v>0.88605932008320054</v>
      </c>
      <c r="G81" s="160">
        <v>6.7609628459356766E-2</v>
      </c>
      <c r="H81" s="160"/>
      <c r="I81" s="72">
        <f>E81/G81</f>
        <v>0.74772775410774384</v>
      </c>
      <c r="J81" s="72"/>
      <c r="K81" s="72"/>
      <c r="L81" s="72"/>
      <c r="M81" s="72"/>
      <c r="N81" s="72"/>
      <c r="O81" s="149"/>
      <c r="P81" s="240"/>
      <c r="Q81" s="240"/>
      <c r="R81" s="241"/>
      <c r="S81" s="14"/>
      <c r="T81" s="16"/>
      <c r="U81" s="16"/>
      <c r="V81" s="16"/>
      <c r="W81" s="16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25">
      <c r="B82" s="382"/>
      <c r="C82" s="47" t="s">
        <v>41</v>
      </c>
      <c r="D82" s="160">
        <v>7.8025014543339155E-2</v>
      </c>
      <c r="E82" s="13">
        <v>9.242007803854127E-2</v>
      </c>
      <c r="F82" s="14">
        <f>D82/E82</f>
        <v>0.84424311469203639</v>
      </c>
      <c r="G82" s="160">
        <v>0.11965052792163475</v>
      </c>
      <c r="H82" s="160"/>
      <c r="I82" s="72">
        <f>E82/G82</f>
        <v>0.77241680119515987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25">
      <c r="B83" s="382"/>
      <c r="C83" s="47" t="s">
        <v>42</v>
      </c>
      <c r="D83" s="160">
        <v>9.1768470040721348E-2</v>
      </c>
      <c r="E83" s="13">
        <v>0.11469899048677969</v>
      </c>
      <c r="F83" s="14">
        <f>D83/E83</f>
        <v>0.80008088694816082</v>
      </c>
      <c r="G83" s="160">
        <v>0.12566418232956195</v>
      </c>
      <c r="H83" s="160"/>
      <c r="I83" s="72">
        <f>E83/G83</f>
        <v>0.91274210646574394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25">
      <c r="B84" s="382"/>
      <c r="C84" s="47" t="s">
        <v>43</v>
      </c>
      <c r="D84" s="160">
        <v>0.10223967422920302</v>
      </c>
      <c r="E84" s="13">
        <v>0.13500615683564626</v>
      </c>
      <c r="F84" s="14">
        <f>D84/E84</f>
        <v>0.75729638281361877</v>
      </c>
      <c r="G84" s="160">
        <v>0.10857728012317779</v>
      </c>
      <c r="H84" s="160"/>
      <c r="I84" s="72">
        <f>E84/G84</f>
        <v>1.2434107456227093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25">
      <c r="B85" s="382"/>
      <c r="C85" s="47" t="s">
        <v>44</v>
      </c>
      <c r="D85" s="160">
        <v>6.7335660267597436E-2</v>
      </c>
      <c r="E85" s="13">
        <v>0.11220508237690226</v>
      </c>
      <c r="F85" s="14">
        <f t="shared" ref="F85:F93" si="9">D85/E85</f>
        <v>0.60011239100038016</v>
      </c>
      <c r="G85" s="160">
        <v>5.2962194151417043E-2</v>
      </c>
      <c r="H85" s="160"/>
      <c r="I85" s="72">
        <f t="shared" ref="I85" si="10">E85/G85</f>
        <v>2.1185882528981312</v>
      </c>
      <c r="J85" s="72"/>
      <c r="K85" s="72"/>
      <c r="L85" s="72"/>
      <c r="M85" s="72"/>
      <c r="N85" s="72"/>
      <c r="P85" s="34"/>
      <c r="Q85" s="34"/>
      <c r="R85" s="239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25">
      <c r="B86" s="382"/>
      <c r="D86" s="190"/>
      <c r="E86" s="190"/>
      <c r="F86" s="14"/>
      <c r="G86" s="190"/>
      <c r="H86" s="190"/>
      <c r="I86" s="170"/>
      <c r="J86" s="170"/>
      <c r="K86" s="170"/>
      <c r="L86" s="170"/>
      <c r="M86" s="170"/>
      <c r="N86" s="170"/>
      <c r="O86" s="149"/>
      <c r="P86" s="222"/>
      <c r="Q86" s="222"/>
      <c r="R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25">
      <c r="B87" s="382"/>
      <c r="C87" s="156" t="s">
        <v>194</v>
      </c>
      <c r="D87" s="190"/>
      <c r="E87" s="190"/>
      <c r="F87" s="14"/>
      <c r="G87" s="190"/>
      <c r="H87" s="190"/>
      <c r="I87" s="170"/>
      <c r="J87" s="170"/>
      <c r="K87" s="170"/>
      <c r="L87" s="170"/>
      <c r="M87" s="170"/>
      <c r="N87" s="170"/>
      <c r="O87" s="149"/>
      <c r="P87" s="39"/>
      <c r="Q87" s="39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25">
      <c r="B88" s="382"/>
      <c r="C88" s="47" t="s">
        <v>39</v>
      </c>
      <c r="D88" s="160">
        <v>0.32795229784758578</v>
      </c>
      <c r="E88" s="13">
        <v>0.17235502860200863</v>
      </c>
      <c r="F88" s="14">
        <f t="shared" si="9"/>
        <v>1.9027718570652938</v>
      </c>
      <c r="G88" s="163">
        <v>0.2976410605191131</v>
      </c>
      <c r="H88" s="163"/>
      <c r="I88" s="72">
        <f>E88/G88</f>
        <v>0.57907006614411927</v>
      </c>
      <c r="J88" s="72"/>
      <c r="K88" s="72"/>
      <c r="L88" s="72"/>
      <c r="M88" s="72"/>
      <c r="N88" s="72"/>
      <c r="O88" s="149"/>
      <c r="P88" s="38"/>
      <c r="Q88" s="38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25">
      <c r="B89" s="382"/>
      <c r="C89" s="47" t="s">
        <v>40</v>
      </c>
      <c r="D89" s="160">
        <v>9.2568353694008149E-2</v>
      </c>
      <c r="E89" s="13">
        <v>0.1031776545833355</v>
      </c>
      <c r="F89" s="14">
        <f t="shared" si="9"/>
        <v>0.8971744324663018</v>
      </c>
      <c r="G89" s="163">
        <v>0.18801171558590918</v>
      </c>
      <c r="H89" s="163"/>
      <c r="I89" s="72">
        <f t="shared" ref="I89:I93" si="11">E89/G89</f>
        <v>0.54878311312568173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25">
      <c r="B90" s="382"/>
      <c r="C90" s="47" t="s">
        <v>41</v>
      </c>
      <c r="D90" s="160">
        <v>0.15895869691681211</v>
      </c>
      <c r="E90" s="13">
        <v>0.17219396370324572</v>
      </c>
      <c r="F90" s="14">
        <f t="shared" si="9"/>
        <v>0.92313745208140452</v>
      </c>
      <c r="G90" s="163">
        <v>0.23874048595711922</v>
      </c>
      <c r="H90" s="163"/>
      <c r="I90" s="72">
        <f t="shared" si="11"/>
        <v>0.7212600033585167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25">
      <c r="B91" s="382"/>
      <c r="C91" s="47" t="s">
        <v>42</v>
      </c>
      <c r="D91" s="160">
        <v>0.17030250145433393</v>
      </c>
      <c r="E91" s="13">
        <v>0.19611729681143455</v>
      </c>
      <c r="F91" s="14">
        <f t="shared" si="9"/>
        <v>0.86837063442740914</v>
      </c>
      <c r="G91" s="163">
        <v>0.15800071082268871</v>
      </c>
      <c r="H91" s="163"/>
      <c r="I91" s="72">
        <f t="shared" si="11"/>
        <v>1.2412431297952893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25">
      <c r="B92" s="382"/>
      <c r="C92" s="47" t="s">
        <v>43</v>
      </c>
      <c r="D92" s="160">
        <v>0.15437754508435136</v>
      </c>
      <c r="E92" s="13">
        <v>0.20829847923561717</v>
      </c>
      <c r="F92" s="14">
        <f t="shared" si="9"/>
        <v>0.74113620824723803</v>
      </c>
      <c r="G92" s="163">
        <v>8.4867151726401746E-2</v>
      </c>
      <c r="H92" s="163"/>
      <c r="I92" s="72">
        <f t="shared" si="11"/>
        <v>2.4544063869038339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ht="15.75" thickBot="1" x14ac:dyDescent="0.3">
      <c r="B93" s="383"/>
      <c r="C93" s="47" t="s">
        <v>44</v>
      </c>
      <c r="D93" s="160">
        <v>9.5840605002908669E-2</v>
      </c>
      <c r="E93" s="13">
        <v>0.14785757706435843</v>
      </c>
      <c r="F93" s="14">
        <f t="shared" si="9"/>
        <v>0.64819542498787086</v>
      </c>
      <c r="G93" s="163">
        <v>3.273887538876806E-2</v>
      </c>
      <c r="H93" s="163"/>
      <c r="I93" s="72">
        <f t="shared" si="11"/>
        <v>4.5162692764664998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5"/>
    </row>
    <row r="94" spans="2:37" ht="15.75" thickBot="1" x14ac:dyDescent="0.3">
      <c r="B94" s="266"/>
      <c r="C94" s="224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25"/>
    </row>
    <row r="95" spans="2:37" x14ac:dyDescent="0.25">
      <c r="B95" s="381" t="s">
        <v>45</v>
      </c>
      <c r="C95" s="5"/>
      <c r="D95" s="385" t="s">
        <v>46</v>
      </c>
      <c r="E95" s="385"/>
      <c r="F95" s="385" t="s">
        <v>47</v>
      </c>
      <c r="G95" s="385"/>
      <c r="H95" s="48"/>
      <c r="I95" s="42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7"/>
      <c r="AJ95" s="7"/>
      <c r="AK95" s="386" t="s">
        <v>48</v>
      </c>
    </row>
    <row r="96" spans="2:37" x14ac:dyDescent="0.25">
      <c r="B96" s="382"/>
      <c r="C96" s="1"/>
      <c r="D96" s="40" t="s">
        <v>49</v>
      </c>
      <c r="E96" s="40" t="s">
        <v>50</v>
      </c>
      <c r="F96" s="40" t="s">
        <v>49</v>
      </c>
      <c r="G96" s="40" t="s">
        <v>50</v>
      </c>
      <c r="H96" s="40"/>
      <c r="I96" s="41" t="s">
        <v>51</v>
      </c>
      <c r="J96" s="96" t="s">
        <v>52</v>
      </c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7"/>
      <c r="V96" s="97"/>
      <c r="W96" s="97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9"/>
      <c r="AJ96" s="99"/>
      <c r="AK96" s="387"/>
    </row>
    <row r="97" spans="2:40" x14ac:dyDescent="0.25">
      <c r="B97" s="382"/>
      <c r="C97" s="2" t="s">
        <v>53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4"/>
      <c r="AJ97" s="4"/>
      <c r="AK97" s="387"/>
    </row>
    <row r="98" spans="2:40" x14ac:dyDescent="0.25">
      <c r="B98" s="382"/>
      <c r="C98" s="1" t="s">
        <v>54</v>
      </c>
      <c r="D98" s="167">
        <v>1874352</v>
      </c>
      <c r="E98" s="163">
        <f>D98/D100</f>
        <v>0.68502711086876122</v>
      </c>
      <c r="F98" s="168">
        <v>186744</v>
      </c>
      <c r="G98" s="160">
        <f>F98/$F$100</f>
        <v>0.63271093583241012</v>
      </c>
      <c r="H98" s="160"/>
      <c r="I98" s="161">
        <f>G98/E98</f>
        <v>0.92362904444759419</v>
      </c>
      <c r="J98" s="191">
        <f>F98/D98</f>
        <v>9.9631232553970647E-2</v>
      </c>
      <c r="K98" s="191"/>
      <c r="L98" s="161"/>
      <c r="M98" s="161"/>
      <c r="N98" s="161"/>
      <c r="P98" s="39"/>
      <c r="Q98" s="39"/>
      <c r="R98" s="39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82"/>
      <c r="AJ98" s="82"/>
      <c r="AK98" s="387"/>
    </row>
    <row r="99" spans="2:40" x14ac:dyDescent="0.25">
      <c r="B99" s="382"/>
      <c r="C99" s="1" t="s">
        <v>55</v>
      </c>
      <c r="D99" s="167">
        <f>SUM(D103:D109)</f>
        <v>861820</v>
      </c>
      <c r="E99" s="163">
        <f>D99/D100</f>
        <v>0.31497288913123883</v>
      </c>
      <c r="F99" s="168">
        <f>SUM(F103:F109)</f>
        <v>108405</v>
      </c>
      <c r="G99" s="160">
        <f>F99/$F$100</f>
        <v>0.36728906416758994</v>
      </c>
      <c r="H99" s="160"/>
      <c r="I99" s="161">
        <f>G99/E99</f>
        <v>1.1660973907330567</v>
      </c>
      <c r="J99" s="191">
        <f>F99/D99</f>
        <v>0.12578612703348727</v>
      </c>
      <c r="K99" s="191"/>
      <c r="L99" s="161"/>
      <c r="M99" s="161"/>
      <c r="N99" s="161"/>
      <c r="P99" s="39"/>
      <c r="Q99" s="39"/>
      <c r="R99" s="39"/>
      <c r="S99" s="252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25">
      <c r="B100" s="382"/>
      <c r="C100" s="1" t="s">
        <v>53</v>
      </c>
      <c r="D100" s="167">
        <f>SUM(D98:D99)</f>
        <v>2736172</v>
      </c>
      <c r="E100" s="192"/>
      <c r="F100" s="168">
        <f>SUM(F98:F99)</f>
        <v>295149</v>
      </c>
      <c r="G100" s="169"/>
      <c r="H100" s="169"/>
      <c r="I100" s="161"/>
      <c r="J100" s="191">
        <f>F100/D100</f>
        <v>0.10786931523310669</v>
      </c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25">
      <c r="B101" s="382"/>
      <c r="C101" s="1"/>
      <c r="D101" s="192"/>
      <c r="E101" s="192"/>
      <c r="F101" s="168"/>
      <c r="G101" s="169"/>
      <c r="H101" s="169"/>
      <c r="I101" s="161"/>
      <c r="J101" s="191"/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25">
      <c r="B102" s="382"/>
      <c r="C102" s="2" t="s">
        <v>56</v>
      </c>
      <c r="D102" s="192"/>
      <c r="E102" s="192"/>
      <c r="F102" s="169"/>
      <c r="G102" s="169"/>
      <c r="H102" s="169"/>
      <c r="I102" s="161"/>
      <c r="J102" s="191"/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25">
      <c r="B103" s="382"/>
      <c r="C103" s="1" t="s">
        <v>57</v>
      </c>
      <c r="D103" s="167">
        <v>393746</v>
      </c>
      <c r="E103" s="163">
        <f>D103/$D$99</f>
        <v>0.45687730616602074</v>
      </c>
      <c r="F103" s="168">
        <v>41549</v>
      </c>
      <c r="G103" s="160">
        <f>F103/$F$99</f>
        <v>0.38327567916609012</v>
      </c>
      <c r="H103" s="160"/>
      <c r="I103" s="161">
        <f t="shared" ref="I103:I109" si="12">G103/E103</f>
        <v>0.83890286077552478</v>
      </c>
      <c r="J103" s="191">
        <f t="shared" ref="J103:J109" si="13">F103/D103</f>
        <v>0.10552234181426605</v>
      </c>
      <c r="K103" s="191"/>
      <c r="L103" s="163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25">
      <c r="B104" s="382"/>
      <c r="C104" s="1" t="s">
        <v>58</v>
      </c>
      <c r="D104" s="167">
        <v>143660</v>
      </c>
      <c r="E104" s="163">
        <f t="shared" ref="E104:E109" si="14">D104/$D$99</f>
        <v>0.16669374115244481</v>
      </c>
      <c r="F104" s="168">
        <v>21158</v>
      </c>
      <c r="G104" s="160">
        <f t="shared" ref="G104:G106" si="15">F104/$F$99</f>
        <v>0.19517549928508832</v>
      </c>
      <c r="H104" s="160"/>
      <c r="I104" s="161">
        <f t="shared" si="12"/>
        <v>1.1708627926623614</v>
      </c>
      <c r="J104" s="191">
        <f t="shared" si="13"/>
        <v>0.14727829597661143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25">
      <c r="B105" s="382"/>
      <c r="C105" s="1" t="s">
        <v>59</v>
      </c>
      <c r="D105" s="167">
        <v>209946</v>
      </c>
      <c r="E105" s="163">
        <f t="shared" si="14"/>
        <v>0.24360771390777658</v>
      </c>
      <c r="F105" s="168">
        <v>35055</v>
      </c>
      <c r="G105" s="160">
        <f t="shared" si="15"/>
        <v>0.32337069323370693</v>
      </c>
      <c r="H105" s="160"/>
      <c r="I105" s="161">
        <f t="shared" si="12"/>
        <v>1.3274238653876391</v>
      </c>
      <c r="J105" s="191">
        <f t="shared" si="13"/>
        <v>0.16697150695893229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25">
      <c r="B106" s="382"/>
      <c r="C106" s="172" t="s">
        <v>60</v>
      </c>
      <c r="D106" s="168">
        <v>24393</v>
      </c>
      <c r="E106" s="163">
        <f t="shared" si="14"/>
        <v>2.8304054210856095E-2</v>
      </c>
      <c r="F106" s="174">
        <v>1988</v>
      </c>
      <c r="G106" s="160">
        <f t="shared" si="15"/>
        <v>1.833863751671971E-2</v>
      </c>
      <c r="H106" s="160"/>
      <c r="I106" s="161">
        <f t="shared" si="12"/>
        <v>0.64791557351122786</v>
      </c>
      <c r="J106" s="191">
        <f t="shared" si="13"/>
        <v>8.1498790636658061E-2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25">
      <c r="B107" s="382"/>
      <c r="C107" s="1" t="s">
        <v>61</v>
      </c>
      <c r="D107" s="167">
        <v>17297</v>
      </c>
      <c r="E107" s="163">
        <f t="shared" si="14"/>
        <v>2.0070316307349564E-2</v>
      </c>
      <c r="F107" s="168">
        <v>2023</v>
      </c>
      <c r="G107" s="160">
        <f>F107/$F$99</f>
        <v>1.8661500853281675E-2</v>
      </c>
      <c r="H107" s="160"/>
      <c r="I107" s="161">
        <f t="shared" si="12"/>
        <v>0.92980601638291105</v>
      </c>
      <c r="J107" s="191">
        <f t="shared" si="13"/>
        <v>0.1169566976932416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25">
      <c r="B108" s="382"/>
      <c r="C108" s="1" t="s">
        <v>62</v>
      </c>
      <c r="D108" s="167">
        <v>49269</v>
      </c>
      <c r="E108" s="163">
        <f t="shared" si="14"/>
        <v>5.7168550277320089E-2</v>
      </c>
      <c r="F108" s="168">
        <v>3673</v>
      </c>
      <c r="G108" s="160">
        <f>F108/$F$99</f>
        <v>3.388220100548868E-2</v>
      </c>
      <c r="H108" s="160"/>
      <c r="I108" s="161">
        <f t="shared" si="12"/>
        <v>0.59267203455621698</v>
      </c>
      <c r="J108" s="191">
        <f t="shared" si="13"/>
        <v>7.4549919827883657E-2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  <c r="AN108" s="13"/>
    </row>
    <row r="109" spans="2:40" ht="15.75" thickBot="1" x14ac:dyDescent="0.3">
      <c r="B109" s="383"/>
      <c r="C109" s="9" t="s">
        <v>63</v>
      </c>
      <c r="D109" s="175">
        <v>23509</v>
      </c>
      <c r="E109" s="179">
        <f t="shared" si="14"/>
        <v>2.7278317978232113E-2</v>
      </c>
      <c r="F109" s="177">
        <v>2959</v>
      </c>
      <c r="G109" s="176">
        <f>F109/$F$99</f>
        <v>2.7295788939624557E-2</v>
      </c>
      <c r="H109" s="176"/>
      <c r="I109" s="178">
        <f t="shared" si="12"/>
        <v>1.0006404706260257</v>
      </c>
      <c r="J109" s="198">
        <f t="shared" si="13"/>
        <v>0.12586668935301373</v>
      </c>
      <c r="K109" s="198"/>
      <c r="L109" s="179"/>
      <c r="M109" s="178"/>
      <c r="N109" s="178"/>
      <c r="O109" s="100"/>
      <c r="P109" s="100"/>
      <c r="Q109" s="100"/>
      <c r="R109" s="100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83"/>
      <c r="AJ109" s="83"/>
      <c r="AK109" s="388"/>
    </row>
    <row r="110" spans="2:40" ht="15.75" thickBot="1" x14ac:dyDescent="0.3">
      <c r="D110" s="8"/>
    </row>
    <row r="111" spans="2:40" x14ac:dyDescent="0.25">
      <c r="B111" s="381" t="s">
        <v>64</v>
      </c>
      <c r="C111" s="21" t="s">
        <v>65</v>
      </c>
      <c r="D111" s="23" t="s">
        <v>66</v>
      </c>
      <c r="E111" s="48" t="s">
        <v>212</v>
      </c>
      <c r="F111" s="48" t="s">
        <v>68</v>
      </c>
      <c r="G111" s="48" t="s">
        <v>51</v>
      </c>
      <c r="H111" s="9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7"/>
      <c r="AK111" s="373" t="s">
        <v>19</v>
      </c>
    </row>
    <row r="112" spans="2:40" x14ac:dyDescent="0.25">
      <c r="B112" s="382"/>
      <c r="C112" s="1" t="s">
        <v>69</v>
      </c>
      <c r="D112" s="168">
        <v>116104</v>
      </c>
      <c r="E112" s="180">
        <v>725306</v>
      </c>
      <c r="F112" s="68"/>
      <c r="O112" s="8"/>
      <c r="AI112" s="4"/>
      <c r="AJ112" s="4"/>
      <c r="AK112" s="374"/>
    </row>
    <row r="113" spans="2:40" x14ac:dyDescent="0.25">
      <c r="B113" s="382"/>
      <c r="C113" s="1" t="s">
        <v>70</v>
      </c>
      <c r="D113" s="160">
        <f>D112/I54</f>
        <v>0.53511792007153092</v>
      </c>
      <c r="E113" s="261">
        <f>E112/3886805</f>
        <v>0.18660725197173514</v>
      </c>
      <c r="F113" s="68"/>
      <c r="O113" s="8"/>
      <c r="AI113" s="4"/>
      <c r="AJ113" s="4"/>
      <c r="AK113" s="374"/>
    </row>
    <row r="114" spans="2:40" x14ac:dyDescent="0.25">
      <c r="B114" s="382"/>
      <c r="C114" s="1"/>
      <c r="D114" s="199"/>
      <c r="E114" s="200"/>
      <c r="F114" s="14"/>
      <c r="O114" s="8"/>
      <c r="AI114" s="4"/>
      <c r="AJ114" s="4"/>
      <c r="AK114" s="374"/>
      <c r="AN114" s="8"/>
    </row>
    <row r="115" spans="2:40" ht="14.45" customHeight="1" x14ac:dyDescent="0.25">
      <c r="B115" s="382"/>
      <c r="C115" s="1" t="s">
        <v>71</v>
      </c>
      <c r="D115" s="168">
        <v>295641</v>
      </c>
      <c r="E115" s="183">
        <v>1545419</v>
      </c>
      <c r="F115" s="68"/>
      <c r="O115" s="8"/>
      <c r="AI115" s="4"/>
      <c r="AJ115" s="4"/>
      <c r="AK115" s="374"/>
      <c r="AL115" s="24"/>
      <c r="AN115" s="14"/>
    </row>
    <row r="116" spans="2:40" x14ac:dyDescent="0.25">
      <c r="B116" s="382"/>
      <c r="C116" s="1" t="s">
        <v>72</v>
      </c>
      <c r="D116" s="184">
        <f>D115/D112</f>
        <v>2.5463463791083858</v>
      </c>
      <c r="E116" s="161">
        <f>E115/E112</f>
        <v>2.1307131059166751</v>
      </c>
      <c r="F116" s="14"/>
      <c r="O116" s="8"/>
      <c r="AI116" s="4"/>
      <c r="AJ116" s="4"/>
      <c r="AK116" s="374"/>
    </row>
    <row r="117" spans="2:40" x14ac:dyDescent="0.25">
      <c r="B117" s="382"/>
      <c r="C117" s="1"/>
      <c r="D117" s="202"/>
      <c r="E117" s="169"/>
      <c r="F117" s="14"/>
      <c r="O117" s="8"/>
      <c r="AI117" s="4"/>
      <c r="AJ117" s="4"/>
      <c r="AK117" s="374"/>
      <c r="AN117" s="8"/>
    </row>
    <row r="118" spans="2:40" x14ac:dyDescent="0.25">
      <c r="B118" s="382"/>
      <c r="C118" s="1" t="s">
        <v>73</v>
      </c>
      <c r="D118" s="168">
        <v>186092</v>
      </c>
      <c r="E118" s="183">
        <v>936710</v>
      </c>
      <c r="F118" s="14"/>
      <c r="O118" s="8"/>
      <c r="AI118" s="4"/>
      <c r="AJ118" s="4"/>
      <c r="AK118" s="374"/>
      <c r="AN118" s="14"/>
    </row>
    <row r="119" spans="2:40" x14ac:dyDescent="0.25">
      <c r="B119" s="382"/>
      <c r="C119" s="1" t="s">
        <v>74</v>
      </c>
      <c r="D119" s="184">
        <f>D118/D112</f>
        <v>1.6028043822779576</v>
      </c>
      <c r="E119" s="165">
        <f>E118/E112</f>
        <v>1.2914687042434503</v>
      </c>
      <c r="F119" s="14"/>
      <c r="AI119" s="4"/>
      <c r="AJ119" s="4"/>
      <c r="AK119" s="374"/>
    </row>
    <row r="120" spans="2:40" ht="15.75" thickBot="1" x14ac:dyDescent="0.3">
      <c r="B120" s="383"/>
      <c r="C120" s="9" t="s">
        <v>75</v>
      </c>
      <c r="D120" s="185">
        <f>D115/D118</f>
        <v>1.5886819422651162</v>
      </c>
      <c r="E120" s="186">
        <f>E115/E118</f>
        <v>1.6498371961439506</v>
      </c>
      <c r="F120" s="18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11"/>
      <c r="AJ120" s="11"/>
      <c r="AK120" s="375"/>
    </row>
    <row r="121" spans="2:40" x14ac:dyDescent="0.25">
      <c r="D121" s="37"/>
      <c r="E121" s="22"/>
      <c r="F121" s="14"/>
    </row>
    <row r="122" spans="2:40" s="35" customFormat="1" x14ac:dyDescent="0.25">
      <c r="B122" s="47"/>
      <c r="C122" s="78"/>
      <c r="D122" s="8"/>
      <c r="E122" s="13"/>
    </row>
    <row r="123" spans="2:40" s="35" customFormat="1" x14ac:dyDescent="0.25">
      <c r="B123" s="47"/>
      <c r="C123" s="78"/>
      <c r="D123" s="8"/>
      <c r="E123" s="34"/>
    </row>
    <row r="124" spans="2:40" s="35" customFormat="1" x14ac:dyDescent="0.25">
      <c r="B124" s="47"/>
      <c r="C124" s="78"/>
      <c r="D124" s="8"/>
    </row>
    <row r="125" spans="2:40" s="35" customFormat="1" x14ac:dyDescent="0.25">
      <c r="B125" s="47"/>
      <c r="C125" s="78"/>
      <c r="D125" s="262"/>
      <c r="E125" s="34"/>
    </row>
    <row r="126" spans="2:40" s="35" customFormat="1" x14ac:dyDescent="0.25">
      <c r="B126" s="47"/>
      <c r="C126" s="78"/>
      <c r="D126" s="8"/>
      <c r="E126" s="78"/>
    </row>
    <row r="127" spans="2:40" s="35" customFormat="1" x14ac:dyDescent="0.25">
      <c r="B127" s="47"/>
      <c r="C127" s="78"/>
      <c r="D127" s="8"/>
      <c r="E127" s="34"/>
    </row>
    <row r="128" spans="2:40" x14ac:dyDescent="0.25">
      <c r="E128" s="357"/>
    </row>
  </sheetData>
  <mergeCells count="15">
    <mergeCell ref="C2:AI2"/>
    <mergeCell ref="D3:Q3"/>
    <mergeCell ref="R3:W3"/>
    <mergeCell ref="X3:AC3"/>
    <mergeCell ref="AD3:AI3"/>
    <mergeCell ref="B111:B120"/>
    <mergeCell ref="AK111:AK120"/>
    <mergeCell ref="B4:B55"/>
    <mergeCell ref="B57:B93"/>
    <mergeCell ref="AK57:AK93"/>
    <mergeCell ref="B95:B109"/>
    <mergeCell ref="D95:E95"/>
    <mergeCell ref="F95:G95"/>
    <mergeCell ref="AK95:AK109"/>
    <mergeCell ref="AK3:AK5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C79B-9878-48DF-B2E3-E144AFB30593}">
  <sheetPr>
    <tabColor theme="4"/>
  </sheetPr>
  <dimension ref="A1:AN129"/>
  <sheetViews>
    <sheetView zoomScale="90" zoomScaleNormal="90" workbookViewId="0">
      <pane ySplit="4" topLeftCell="A84" activePane="bottomLeft" state="frozen"/>
      <selection pane="bottomLeft" activeCell="E60" sqref="E60:E94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 x14ac:dyDescent="0.3">
      <c r="A1" s="8"/>
      <c r="B1" s="155"/>
    </row>
    <row r="2" spans="1:39" ht="15.75" thickBot="1" x14ac:dyDescent="0.3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49" t="s">
        <v>211</v>
      </c>
      <c r="AK3" s="373" t="s">
        <v>10</v>
      </c>
    </row>
    <row r="4" spans="1:39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5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25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25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25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25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25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25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25">
      <c r="A51" s="8"/>
      <c r="B51" s="374"/>
      <c r="C51" s="271">
        <v>45809</v>
      </c>
      <c r="D51" s="220">
        <f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>G51/D51</f>
        <v>6.3154291436541707E-2</v>
      </c>
      <c r="Q51" s="247">
        <f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25">
      <c r="A52" s="8"/>
      <c r="B52" s="374"/>
      <c r="C52" s="271">
        <v>45839</v>
      </c>
      <c r="D52" s="220">
        <f>I51</f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>G52/D52</f>
        <v>5.9703629818731264E-2</v>
      </c>
      <c r="Q52" s="247">
        <f>H52/D52</f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25">
      <c r="A53" s="8"/>
      <c r="B53" s="374"/>
      <c r="C53" s="271">
        <v>45870</v>
      </c>
      <c r="D53" s="220">
        <f>I52</f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>G53/D53</f>
        <v>7.1114947970332409E-2</v>
      </c>
      <c r="Q53" s="247">
        <f>H53/D53</f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25">
      <c r="A54" s="8"/>
      <c r="B54" s="374"/>
      <c r="C54" s="271">
        <v>45901</v>
      </c>
      <c r="D54" s="220">
        <f>I53</f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ref="O54" si="5">I54-D54</f>
        <v>-329</v>
      </c>
      <c r="P54" s="247">
        <f>G54/D54</f>
        <v>6.5012103194691168E-2</v>
      </c>
      <c r="Q54" s="247">
        <f>H54/D54</f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25">
      <c r="A55" s="8"/>
      <c r="B55" s="374"/>
      <c r="C55" s="271">
        <v>45931</v>
      </c>
      <c r="D55" s="220">
        <f>I54</f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>G55/D55</f>
        <v>6.1202291571607004E-2</v>
      </c>
      <c r="Q55" s="247">
        <f>H55/D55</f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ht="15.75" thickBot="1" x14ac:dyDescent="0.3">
      <c r="B56" s="375"/>
      <c r="C56" s="58" t="s">
        <v>78</v>
      </c>
      <c r="D56" s="113"/>
      <c r="E56" s="113">
        <f>SUM(E5:E55)</f>
        <v>617642</v>
      </c>
      <c r="F56" s="113">
        <f>SUM(F5:F55)</f>
        <v>381378.52</v>
      </c>
      <c r="G56" s="113">
        <f>SUM(G5:G55)</f>
        <v>403193</v>
      </c>
      <c r="H56" s="113"/>
      <c r="I56" s="113"/>
      <c r="J56" s="130"/>
      <c r="K56" s="130"/>
      <c r="L56" s="130"/>
      <c r="M56" s="130"/>
      <c r="N56" s="130"/>
      <c r="O56" s="146"/>
      <c r="P56" s="146"/>
      <c r="Q56" s="146"/>
      <c r="R56" s="333">
        <f>SUM(R5:R55)</f>
        <v>539264</v>
      </c>
      <c r="S56" s="354"/>
      <c r="T56" s="333"/>
      <c r="U56" s="130"/>
      <c r="V56" s="130"/>
      <c r="W56" s="130"/>
      <c r="X56" s="113">
        <f>SUM(X17:X55)</f>
        <v>70654</v>
      </c>
      <c r="Y56" s="113"/>
      <c r="Z56" s="130"/>
      <c r="AA56" s="130"/>
      <c r="AB56" s="130"/>
      <c r="AC56" s="130"/>
      <c r="AD56" s="113">
        <f>SUM(AD20:AD55)</f>
        <v>10444</v>
      </c>
      <c r="AE56" s="93"/>
      <c r="AF56" s="93"/>
      <c r="AG56" s="93"/>
      <c r="AH56" s="93"/>
      <c r="AI56" s="112"/>
      <c r="AJ56" s="83"/>
      <c r="AK56" s="375"/>
      <c r="AL56" s="8"/>
      <c r="AM56" s="142"/>
    </row>
    <row r="57" spans="1:39" ht="15.75" thickBot="1" x14ac:dyDescent="0.3">
      <c r="C57" s="324"/>
      <c r="D57" s="20"/>
      <c r="E57" s="100"/>
      <c r="F57" s="353"/>
      <c r="G57" s="10"/>
      <c r="H57" s="10"/>
      <c r="I57" s="10"/>
      <c r="J57" s="10"/>
      <c r="K57" s="10"/>
      <c r="L57" s="10"/>
      <c r="M57" s="10"/>
      <c r="N57" s="10"/>
      <c r="O57" s="10"/>
      <c r="P57" s="44"/>
      <c r="Q57" s="44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8"/>
      <c r="AM57" s="142"/>
    </row>
    <row r="58" spans="1:39" x14ac:dyDescent="0.25">
      <c r="B58" s="381" t="s">
        <v>13</v>
      </c>
      <c r="C58" s="94"/>
      <c r="D58" s="48" t="s">
        <v>177</v>
      </c>
      <c r="E58" s="48" t="s">
        <v>15</v>
      </c>
      <c r="F58" s="48" t="s">
        <v>178</v>
      </c>
      <c r="G58" s="48" t="s">
        <v>193</v>
      </c>
      <c r="H58" s="48"/>
      <c r="I58" s="48" t="s">
        <v>18</v>
      </c>
      <c r="J58" s="94"/>
      <c r="K58" s="94"/>
      <c r="L58" s="94"/>
      <c r="M58" s="94"/>
      <c r="N58" s="94"/>
      <c r="O58" s="94"/>
      <c r="P58" s="116"/>
      <c r="Q58" s="116"/>
      <c r="R58" s="116"/>
      <c r="S58" s="47"/>
      <c r="T58" s="94"/>
      <c r="U58" s="94"/>
      <c r="V58" s="94"/>
      <c r="W58" s="94"/>
      <c r="X58" s="94"/>
      <c r="Y58" s="94"/>
      <c r="AD58" s="94"/>
      <c r="AE58" s="94"/>
      <c r="AF58" s="94"/>
      <c r="AG58" s="94"/>
      <c r="AH58" s="94"/>
      <c r="AI58" s="49"/>
      <c r="AJ58" s="49"/>
      <c r="AK58" s="373" t="s">
        <v>19</v>
      </c>
      <c r="AM58" s="142"/>
    </row>
    <row r="59" spans="1:39" x14ac:dyDescent="0.25">
      <c r="B59" s="382"/>
      <c r="C59" s="156" t="s">
        <v>20</v>
      </c>
      <c r="D59" s="47"/>
      <c r="E59" s="47"/>
      <c r="F59" s="47"/>
      <c r="G59" s="260"/>
      <c r="H59" s="260"/>
      <c r="N59" s="289"/>
      <c r="O59" s="154"/>
      <c r="P59" s="158"/>
      <c r="Q59" s="73"/>
      <c r="T59" s="254"/>
      <c r="U59" s="254"/>
      <c r="V59" s="254"/>
      <c r="W59" s="254"/>
      <c r="Y59" s="47"/>
      <c r="Z59" s="47"/>
      <c r="AA59" s="239"/>
      <c r="AB59" s="47"/>
      <c r="AC59" s="47"/>
      <c r="AD59" s="47"/>
      <c r="AE59" s="47"/>
      <c r="AF59" s="47"/>
      <c r="AG59" s="47"/>
      <c r="AH59" s="47"/>
      <c r="AI59" s="12"/>
      <c r="AJ59" s="12"/>
      <c r="AK59" s="374"/>
      <c r="AM59" s="8"/>
    </row>
    <row r="60" spans="1:39" x14ac:dyDescent="0.25">
      <c r="B60" s="382"/>
      <c r="C60" s="47" t="s">
        <v>21</v>
      </c>
      <c r="D60" s="160">
        <v>0.4212445862776385</v>
      </c>
      <c r="E60" s="160">
        <v>0.39196425755383812</v>
      </c>
      <c r="F60" s="14">
        <f>D60/E60</f>
        <v>1.0747015273957181</v>
      </c>
      <c r="G60" s="160">
        <v>0.51225113941902445</v>
      </c>
      <c r="H60" s="160"/>
      <c r="I60" s="14">
        <f>E60/G60</f>
        <v>0.76517986470149957</v>
      </c>
      <c r="J60" s="14"/>
      <c r="K60" s="352"/>
      <c r="L60" s="14"/>
      <c r="M60" s="14"/>
      <c r="N60" s="14"/>
      <c r="O60" s="253"/>
      <c r="P60" s="73"/>
      <c r="R60" s="158"/>
      <c r="S60" s="158"/>
      <c r="T60" s="14"/>
      <c r="U60" s="14"/>
      <c r="V60" s="14"/>
      <c r="W60" s="14"/>
      <c r="X60" s="47"/>
      <c r="Y60" s="14"/>
      <c r="Z60" s="14"/>
      <c r="AA60" s="239"/>
      <c r="AB60" s="14"/>
      <c r="AC60" s="14"/>
      <c r="AD60" s="14"/>
      <c r="AE60" s="14"/>
      <c r="AF60" s="14"/>
      <c r="AG60" s="14"/>
      <c r="AH60" s="14"/>
      <c r="AI60" s="15"/>
      <c r="AJ60" s="15"/>
      <c r="AK60" s="374"/>
      <c r="AM60" s="8"/>
    </row>
    <row r="61" spans="1:39" x14ac:dyDescent="0.25">
      <c r="B61" s="382"/>
      <c r="C61" s="47" t="s">
        <v>22</v>
      </c>
      <c r="D61" s="160">
        <v>0.5787554137223615</v>
      </c>
      <c r="E61" s="160">
        <v>0.60803574244616188</v>
      </c>
      <c r="F61" s="14">
        <f>D61/E61</f>
        <v>0.9518443955185858</v>
      </c>
      <c r="G61" s="160">
        <v>0.4877488605809755</v>
      </c>
      <c r="H61" s="160"/>
      <c r="I61" s="14">
        <f t="shared" ref="I61:I78" si="6">E61/G61</f>
        <v>1.2466164282206795</v>
      </c>
      <c r="J61" s="14"/>
      <c r="K61" s="14"/>
      <c r="L61" s="14"/>
      <c r="M61" s="14"/>
      <c r="N61" s="14"/>
      <c r="O61" s="149"/>
      <c r="P61" s="73"/>
      <c r="Q61" s="73"/>
      <c r="R61" s="158"/>
      <c r="S61" s="14"/>
      <c r="T61" s="14"/>
      <c r="U61" s="14"/>
      <c r="V61" s="14"/>
      <c r="W61" s="14"/>
      <c r="X61" s="14"/>
      <c r="Y61" s="14"/>
      <c r="Z61" s="14"/>
      <c r="AA61" s="239"/>
      <c r="AB61" s="14"/>
      <c r="AC61" s="14"/>
      <c r="AD61" s="14"/>
      <c r="AE61" s="14"/>
      <c r="AF61" s="14"/>
      <c r="AG61" s="14"/>
      <c r="AH61" s="14"/>
      <c r="AI61" s="15"/>
      <c r="AJ61" s="15"/>
      <c r="AK61" s="374"/>
    </row>
    <row r="62" spans="1:39" x14ac:dyDescent="0.25">
      <c r="B62" s="382"/>
      <c r="D62" s="190"/>
      <c r="E62" s="160"/>
      <c r="F62" s="14"/>
      <c r="G62" s="190"/>
      <c r="H62" s="190"/>
      <c r="I62" s="14"/>
      <c r="J62" s="170"/>
      <c r="K62" s="170"/>
      <c r="L62" s="170"/>
      <c r="M62" s="170"/>
      <c r="N62" s="170"/>
      <c r="O62" s="149"/>
      <c r="P62" s="222"/>
      <c r="Q62" s="222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25">
      <c r="B63" s="382"/>
      <c r="C63" s="156" t="s">
        <v>23</v>
      </c>
      <c r="D63" s="169"/>
      <c r="E63" s="162"/>
      <c r="F63" s="14"/>
      <c r="G63" s="190"/>
      <c r="H63" s="190"/>
      <c r="I63" s="14"/>
      <c r="J63" s="170"/>
      <c r="K63" s="170"/>
      <c r="L63" s="170"/>
      <c r="M63" s="170"/>
      <c r="N63" s="170"/>
      <c r="O63" s="149"/>
      <c r="P63" s="39"/>
      <c r="Q63" s="3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25">
      <c r="B64" s="382"/>
      <c r="C64" s="47" t="s">
        <v>24</v>
      </c>
      <c r="D64" s="160">
        <v>1.7561772513783949E-2</v>
      </c>
      <c r="E64" s="160">
        <v>3.5032979246902712E-3</v>
      </c>
      <c r="F64" s="14">
        <f t="shared" ref="F64:F69" si="7">D64/E64</f>
        <v>5.0129257891581105</v>
      </c>
      <c r="G64" s="160">
        <v>9.5572968750420404E-3</v>
      </c>
      <c r="H64" s="160"/>
      <c r="I64" s="14">
        <f t="shared" si="6"/>
        <v>0.36655740325894826</v>
      </c>
      <c r="J64" s="14"/>
      <c r="K64" s="14"/>
      <c r="L64" s="14"/>
      <c r="M64" s="14"/>
      <c r="N64" s="14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25">
      <c r="B65" s="382"/>
      <c r="C65" s="47" t="s">
        <v>25</v>
      </c>
      <c r="D65" s="160">
        <v>0.18623647130896467</v>
      </c>
      <c r="E65" s="160">
        <v>8.634508602235666E-2</v>
      </c>
      <c r="F65" s="14">
        <f t="shared" si="7"/>
        <v>2.1568855842096668</v>
      </c>
      <c r="G65" s="160">
        <v>0.12411786283476728</v>
      </c>
      <c r="H65" s="160"/>
      <c r="I65" s="14">
        <f t="shared" si="6"/>
        <v>0.6956700997768881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25">
      <c r="B66" s="382"/>
      <c r="C66" s="47" t="s">
        <v>26</v>
      </c>
      <c r="D66" s="160">
        <v>0.4108637941596896</v>
      </c>
      <c r="E66" s="160">
        <v>0.34647163194881037</v>
      </c>
      <c r="F66" s="14">
        <f t="shared" si="7"/>
        <v>1.1858511816643993</v>
      </c>
      <c r="G66" s="160">
        <v>0.29175948505413946</v>
      </c>
      <c r="H66" s="160"/>
      <c r="I66" s="14">
        <f t="shared" si="6"/>
        <v>1.1875248267747607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25">
      <c r="B67" s="382"/>
      <c r="C67" s="47" t="s">
        <v>27</v>
      </c>
      <c r="D67" s="160">
        <v>0.2865019399632428</v>
      </c>
      <c r="E67" s="160">
        <v>0.35622181551181092</v>
      </c>
      <c r="F67" s="14">
        <f t="shared" si="7"/>
        <v>0.80427960188682923</v>
      </c>
      <c r="G67" s="160">
        <v>0.32214251056734988</v>
      </c>
      <c r="H67" s="160"/>
      <c r="I67" s="14">
        <f t="shared" si="6"/>
        <v>1.1057895304920837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25">
      <c r="B68" s="382"/>
      <c r="C68" s="47" t="s">
        <v>28</v>
      </c>
      <c r="D68" s="160">
        <v>8.6685725954666115E-2</v>
      </c>
      <c r="E68" s="160">
        <v>0.17493142583045765</v>
      </c>
      <c r="F68" s="14">
        <f t="shared" si="7"/>
        <v>0.49554118445636713</v>
      </c>
      <c r="G68" s="160">
        <v>0.17440625081278682</v>
      </c>
      <c r="H68" s="160"/>
      <c r="I68" s="14">
        <f t="shared" si="6"/>
        <v>1.0030112167151313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25">
      <c r="B69" s="382"/>
      <c r="C69" s="47" t="s">
        <v>29</v>
      </c>
      <c r="D69" s="160">
        <v>1.2150296099652848E-2</v>
      </c>
      <c r="E69" s="160">
        <v>3.2526742761874158E-2</v>
      </c>
      <c r="F69" s="14">
        <f t="shared" si="7"/>
        <v>0.37354788915091358</v>
      </c>
      <c r="G69" s="160">
        <v>7.8016593855914529E-2</v>
      </c>
      <c r="H69" s="160"/>
      <c r="I69" s="14">
        <f t="shared" si="6"/>
        <v>0.41692082612509834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25">
      <c r="B70" s="382"/>
      <c r="D70" s="190"/>
      <c r="E70" s="190"/>
      <c r="F70" s="14"/>
      <c r="G70" s="190"/>
      <c r="H70" s="190"/>
      <c r="I70" s="170"/>
      <c r="J70" s="170"/>
      <c r="K70" s="170"/>
      <c r="L70" s="170"/>
      <c r="M70" s="170"/>
      <c r="N70" s="170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25">
      <c r="B71" s="382"/>
      <c r="C71" s="156" t="s">
        <v>30</v>
      </c>
      <c r="D71" s="169"/>
      <c r="E71" s="169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25">
      <c r="B72" s="382"/>
      <c r="C72" s="47" t="s">
        <v>31</v>
      </c>
      <c r="D72" s="160">
        <v>0.49601797018582805</v>
      </c>
      <c r="E72" s="163">
        <v>0.48130016935918274</v>
      </c>
      <c r="F72" s="14">
        <f>D72/E72</f>
        <v>1.0305792554493405</v>
      </c>
      <c r="G72" s="160">
        <v>0.47440028893504171</v>
      </c>
      <c r="H72" s="160"/>
      <c r="I72" s="14">
        <f>E72/G72</f>
        <v>1.0145444271116071</v>
      </c>
      <c r="J72" s="14"/>
      <c r="K72" s="14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25">
      <c r="B73" s="382"/>
      <c r="C73" s="47" t="s">
        <v>32</v>
      </c>
      <c r="D73" s="160">
        <v>0.2018582805799469</v>
      </c>
      <c r="E73" s="160">
        <v>0.19575546458902846</v>
      </c>
      <c r="F73" s="14">
        <f>D73/E73</f>
        <v>1.0311757120228076</v>
      </c>
      <c r="G73" s="160">
        <v>0.15561532284876534</v>
      </c>
      <c r="H73" s="160"/>
      <c r="I73" s="14">
        <f t="shared" si="6"/>
        <v>1.2579446612675367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25">
      <c r="B74" s="382"/>
      <c r="C74" s="47" t="s">
        <v>33</v>
      </c>
      <c r="D74" s="160">
        <v>0.10976107821114968</v>
      </c>
      <c r="E74" s="160">
        <v>0.12221197684544849</v>
      </c>
      <c r="F74" s="14">
        <f>D74/E74</f>
        <v>0.89812047103988468</v>
      </c>
      <c r="G74" s="160">
        <v>0.12305138579133053</v>
      </c>
      <c r="H74" s="160"/>
      <c r="I74" s="14">
        <f t="shared" si="6"/>
        <v>0.99317838689516669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25">
      <c r="B75" s="382"/>
      <c r="C75" s="47" t="s">
        <v>34</v>
      </c>
      <c r="D75" s="160">
        <v>9.5772922197263632E-2</v>
      </c>
      <c r="E75" s="160">
        <v>9.7089226365390496E-2</v>
      </c>
      <c r="F75" s="14">
        <f t="shared" ref="F75:F78" si="8">D75/E75</f>
        <v>0.98644232509204455</v>
      </c>
      <c r="G75" s="160">
        <v>0.11748918892715825</v>
      </c>
      <c r="H75" s="160"/>
      <c r="I75" s="14">
        <f t="shared" si="6"/>
        <v>0.82636732155487547</v>
      </c>
      <c r="J75" s="14"/>
      <c r="K75" s="14"/>
      <c r="L75" s="14"/>
      <c r="M75" s="14"/>
      <c r="N75" s="14"/>
      <c r="O75" s="223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25">
      <c r="B76" s="382"/>
      <c r="C76" s="47" t="s">
        <v>35</v>
      </c>
      <c r="D76" s="160">
        <v>2.2360628956503981E-2</v>
      </c>
      <c r="E76" s="160">
        <v>2.0879922631882059E-2</v>
      </c>
      <c r="F76" s="14">
        <f t="shared" si="8"/>
        <v>1.0709153166286638</v>
      </c>
      <c r="G76" s="160">
        <v>3.2966451481092542E-2</v>
      </c>
      <c r="H76" s="160"/>
      <c r="I76" s="14">
        <f t="shared" si="6"/>
        <v>0.63336882478411283</v>
      </c>
      <c r="J76" s="14"/>
      <c r="K76" s="14"/>
      <c r="L76" s="14"/>
      <c r="M76" s="14"/>
      <c r="N76" s="14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25">
      <c r="B77" s="382"/>
      <c r="C77" s="47" t="s">
        <v>36</v>
      </c>
      <c r="D77" s="160">
        <v>1.225239942822136E-2</v>
      </c>
      <c r="E77" s="160">
        <v>1.40079137773928E-2</v>
      </c>
      <c r="F77" s="14">
        <f t="shared" si="8"/>
        <v>0.87467695924823274</v>
      </c>
      <c r="G77" s="160">
        <v>1.8951541406922442E-2</v>
      </c>
      <c r="H77" s="160"/>
      <c r="I77" s="14">
        <f t="shared" si="6"/>
        <v>0.73914377076875237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25">
      <c r="B78" s="382"/>
      <c r="C78" s="47" t="s">
        <v>37</v>
      </c>
      <c r="D78" s="160">
        <v>6.0751480498264246E-2</v>
      </c>
      <c r="E78" s="160">
        <v>6.8455726777534059E-2</v>
      </c>
      <c r="F78" s="14">
        <f t="shared" si="8"/>
        <v>0.88745651179328056</v>
      </c>
      <c r="G78" s="160">
        <v>7.7136759208212516E-2</v>
      </c>
      <c r="H78" s="160"/>
      <c r="I78" s="14">
        <f t="shared" si="6"/>
        <v>0.88745920207451223</v>
      </c>
      <c r="J78" s="14"/>
      <c r="K78" s="14"/>
      <c r="L78" s="14"/>
      <c r="M78" s="14"/>
      <c r="N78" s="14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25">
      <c r="B79" s="382"/>
      <c r="D79" s="190"/>
      <c r="E79" s="190"/>
      <c r="F79" s="14"/>
      <c r="G79" s="190"/>
      <c r="H79" s="190"/>
      <c r="I79" s="170"/>
      <c r="J79" s="170"/>
      <c r="K79" s="170"/>
      <c r="L79" s="170"/>
      <c r="M79" s="170"/>
      <c r="N79" s="170"/>
      <c r="O79" s="149"/>
      <c r="P79" s="222"/>
      <c r="Q79" s="222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25">
      <c r="B80" s="382"/>
      <c r="C80" s="156" t="s">
        <v>38</v>
      </c>
      <c r="D80" s="169"/>
      <c r="E80" s="169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239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25">
      <c r="B81" s="382"/>
      <c r="C81" s="47" t="s">
        <v>39</v>
      </c>
      <c r="D81" s="160">
        <v>0.55462528078415352</v>
      </c>
      <c r="E81" s="13">
        <v>0.50149947931269279</v>
      </c>
      <c r="F81" s="14">
        <f>D81/E81</f>
        <v>1.105933911525232</v>
      </c>
      <c r="G81" s="164">
        <v>0.52865513767101091</v>
      </c>
      <c r="H81" s="164"/>
      <c r="I81" s="72">
        <f>E81/G81</f>
        <v>0.94863256511995264</v>
      </c>
      <c r="J81" s="72"/>
      <c r="K81" s="72"/>
      <c r="L81" s="72"/>
      <c r="M81" s="72"/>
      <c r="N81" s="72"/>
      <c r="O81" s="149"/>
      <c r="P81" s="240"/>
      <c r="Q81" s="240"/>
      <c r="R81" s="241"/>
      <c r="S81" s="16"/>
      <c r="T81" s="16"/>
      <c r="U81" s="16"/>
      <c r="V81" s="16"/>
      <c r="W81" s="16"/>
      <c r="X81" s="68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36"/>
      <c r="AJ81" s="36"/>
      <c r="AK81" s="374"/>
    </row>
    <row r="82" spans="2:37" x14ac:dyDescent="0.25">
      <c r="B82" s="382"/>
      <c r="C82" s="47" t="s">
        <v>40</v>
      </c>
      <c r="D82" s="160">
        <v>4.7273841127220745E-2</v>
      </c>
      <c r="E82" s="13">
        <v>5.0218788801217606E-2</v>
      </c>
      <c r="F82" s="14">
        <f>D82/E82</f>
        <v>0.94135765229914392</v>
      </c>
      <c r="G82" s="160">
        <v>6.7830395697804149E-2</v>
      </c>
      <c r="H82" s="160"/>
      <c r="I82" s="72">
        <f>E82/G82</f>
        <v>0.74035818727861735</v>
      </c>
      <c r="J82" s="72"/>
      <c r="K82" s="72"/>
      <c r="L82" s="72"/>
      <c r="M82" s="72"/>
      <c r="N82" s="72"/>
      <c r="O82" s="149"/>
      <c r="P82" s="240"/>
      <c r="Q82" s="240"/>
      <c r="R82" s="241"/>
      <c r="S82" s="14"/>
      <c r="T82" s="16"/>
      <c r="U82" s="16"/>
      <c r="V82" s="16"/>
      <c r="W82" s="16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25">
      <c r="B83" s="382"/>
      <c r="C83" s="47" t="s">
        <v>41</v>
      </c>
      <c r="D83" s="160">
        <v>8.168266285480906E-2</v>
      </c>
      <c r="E83" s="13">
        <v>9.1528317378940197E-2</v>
      </c>
      <c r="F83" s="14">
        <f>D83/E83</f>
        <v>0.89243050887334974</v>
      </c>
      <c r="G83" s="160">
        <v>0.11956216165665656</v>
      </c>
      <c r="H83" s="160"/>
      <c r="I83" s="72">
        <f>E83/G83</f>
        <v>0.76552912820177677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25">
      <c r="B84" s="382"/>
      <c r="C84" s="47" t="s">
        <v>42</v>
      </c>
      <c r="D84" s="160">
        <v>0.10884214825403309</v>
      </c>
      <c r="E84" s="13">
        <v>0.11353987263187407</v>
      </c>
      <c r="F84" s="14">
        <f>D84/E84</f>
        <v>0.95862489300941678</v>
      </c>
      <c r="G84" s="160">
        <v>0.12489243223409491</v>
      </c>
      <c r="H84" s="160"/>
      <c r="I84" s="72">
        <f>E84/G84</f>
        <v>0.90910130102245168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25">
      <c r="B85" s="382"/>
      <c r="C85" s="47" t="s">
        <v>43</v>
      </c>
      <c r="D85" s="160">
        <v>0.12283030426791913</v>
      </c>
      <c r="E85" s="13">
        <v>0.13325089117635278</v>
      </c>
      <c r="F85" s="14">
        <f>D85/E85</f>
        <v>0.9217972441576967</v>
      </c>
      <c r="G85" s="160">
        <v>0.10718882994011668</v>
      </c>
      <c r="H85" s="160"/>
      <c r="I85" s="72">
        <f>E85/G85</f>
        <v>1.2431415778192207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25">
      <c r="B86" s="382"/>
      <c r="C86" s="47" t="s">
        <v>44</v>
      </c>
      <c r="D86" s="160">
        <v>8.4745762711864403E-2</v>
      </c>
      <c r="E86" s="13">
        <v>0.10996265069892258</v>
      </c>
      <c r="F86" s="14">
        <f t="shared" ref="F86:F94" si="9">D86/E86</f>
        <v>0.77067769986645784</v>
      </c>
      <c r="G86" s="160">
        <v>5.1871042800316763E-2</v>
      </c>
      <c r="H86" s="160"/>
      <c r="I86" s="72">
        <f t="shared" ref="I86" si="10">E86/G86</f>
        <v>2.1199236560991417</v>
      </c>
      <c r="J86" s="72"/>
      <c r="K86" s="72"/>
      <c r="L86" s="72"/>
      <c r="M86" s="72"/>
      <c r="N86" s="72"/>
      <c r="P86" s="34"/>
      <c r="Q86" s="34"/>
      <c r="R86" s="239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25">
      <c r="B87" s="382"/>
      <c r="D87" s="190"/>
      <c r="E87" s="190"/>
      <c r="F87" s="14"/>
      <c r="G87" s="190"/>
      <c r="H87" s="190"/>
      <c r="I87" s="170"/>
      <c r="J87" s="170"/>
      <c r="K87" s="170"/>
      <c r="L87" s="170"/>
      <c r="M87" s="170"/>
      <c r="N87" s="170"/>
      <c r="O87" s="149"/>
      <c r="P87" s="222"/>
      <c r="Q87" s="222"/>
      <c r="R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25">
      <c r="B88" s="382"/>
      <c r="C88" s="156" t="s">
        <v>194</v>
      </c>
      <c r="D88" s="190"/>
      <c r="E88" s="190"/>
      <c r="F88" s="14"/>
      <c r="G88" s="190"/>
      <c r="H88" s="190"/>
      <c r="I88" s="170"/>
      <c r="J88" s="170"/>
      <c r="K88" s="170"/>
      <c r="L88" s="170"/>
      <c r="M88" s="170"/>
      <c r="N88" s="170"/>
      <c r="O88" s="149"/>
      <c r="P88" s="39"/>
      <c r="Q88" s="3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25">
      <c r="B89" s="382"/>
      <c r="C89" s="47" t="s">
        <v>39</v>
      </c>
      <c r="D89" s="160">
        <v>0.24218909536450889</v>
      </c>
      <c r="E89" s="70">
        <v>0.18505427163856289</v>
      </c>
      <c r="F89" s="14">
        <f t="shared" si="9"/>
        <v>1.3087463111229249</v>
      </c>
      <c r="G89" s="163">
        <v>0.30473887308161879</v>
      </c>
      <c r="H89" s="163"/>
      <c r="I89" s="72">
        <f>E89/G89</f>
        <v>0.60725522073122407</v>
      </c>
      <c r="J89" s="72"/>
      <c r="K89" s="72"/>
      <c r="L89" s="72"/>
      <c r="M89" s="72"/>
      <c r="N89" s="72"/>
      <c r="O89" s="149"/>
      <c r="P89" s="38"/>
      <c r="Q89" s="38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25">
      <c r="B90" s="382"/>
      <c r="C90" s="47" t="s">
        <v>40</v>
      </c>
      <c r="D90" s="160">
        <v>8.6481519297529105E-2</v>
      </c>
      <c r="E90" s="70">
        <v>0.10284074978972244</v>
      </c>
      <c r="F90" s="14">
        <f t="shared" si="9"/>
        <v>0.84092657311772911</v>
      </c>
      <c r="G90" s="163">
        <v>0.18873899548508521</v>
      </c>
      <c r="H90" s="163"/>
      <c r="I90" s="72">
        <f t="shared" ref="I90:I94" si="11">E90/G90</f>
        <v>0.54488342234421427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25">
      <c r="B91" s="382"/>
      <c r="C91" s="47" t="s">
        <v>41</v>
      </c>
      <c r="D91" s="160">
        <v>0.16724525219522157</v>
      </c>
      <c r="E91" s="70">
        <v>0.17091310529899467</v>
      </c>
      <c r="F91" s="14">
        <f t="shared" si="9"/>
        <v>0.97853966144166316</v>
      </c>
      <c r="G91" s="163">
        <v>0.23710409413856129</v>
      </c>
      <c r="H91" s="163"/>
      <c r="I91" s="72">
        <f t="shared" si="11"/>
        <v>0.72083574060562083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25">
      <c r="B92" s="382"/>
      <c r="C92" s="47" t="s">
        <v>42</v>
      </c>
      <c r="D92" s="160">
        <v>0.18450071472329999</v>
      </c>
      <c r="E92" s="70">
        <v>0.19327512316257459</v>
      </c>
      <c r="F92" s="14">
        <f t="shared" si="9"/>
        <v>0.95460145984802214</v>
      </c>
      <c r="G92" s="163">
        <v>0.15506974852665406</v>
      </c>
      <c r="H92" s="163"/>
      <c r="I92" s="72">
        <f t="shared" si="11"/>
        <v>1.2463754213759728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25">
      <c r="B93" s="382"/>
      <c r="C93" s="47" t="s">
        <v>43</v>
      </c>
      <c r="D93" s="160">
        <v>0.19420053093730855</v>
      </c>
      <c r="E93" s="70">
        <v>0.20392918652621461</v>
      </c>
      <c r="F93" s="14">
        <f t="shared" si="9"/>
        <v>0.95229395186325883</v>
      </c>
      <c r="G93" s="163">
        <v>8.2601748596435487E-2</v>
      </c>
      <c r="H93" s="163"/>
      <c r="I93" s="72">
        <f t="shared" si="11"/>
        <v>2.4688240865522642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ht="15.75" thickBot="1" x14ac:dyDescent="0.3">
      <c r="B94" s="383"/>
      <c r="C94" s="47" t="s">
        <v>44</v>
      </c>
      <c r="D94" s="160">
        <v>0.12538288748213192</v>
      </c>
      <c r="E94" s="70">
        <v>0.14398756358393078</v>
      </c>
      <c r="F94" s="14">
        <f t="shared" si="9"/>
        <v>0.8707897012858743</v>
      </c>
      <c r="G94" s="163">
        <v>3.1746540171645125E-2</v>
      </c>
      <c r="H94" s="163"/>
      <c r="I94" s="72">
        <f t="shared" si="11"/>
        <v>4.5355356144458012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5"/>
    </row>
    <row r="95" spans="2:37" ht="15.75" thickBot="1" x14ac:dyDescent="0.3">
      <c r="B95" s="266"/>
      <c r="C95" s="224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25"/>
    </row>
    <row r="96" spans="2:37" x14ac:dyDescent="0.25">
      <c r="B96" s="381" t="s">
        <v>45</v>
      </c>
      <c r="C96" s="5"/>
      <c r="D96" s="385" t="s">
        <v>46</v>
      </c>
      <c r="E96" s="385"/>
      <c r="F96" s="385" t="s">
        <v>47</v>
      </c>
      <c r="G96" s="385"/>
      <c r="H96" s="48"/>
      <c r="I96" s="42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7"/>
      <c r="AJ96" s="7"/>
      <c r="AK96" s="386" t="s">
        <v>48</v>
      </c>
    </row>
    <row r="97" spans="2:40" x14ac:dyDescent="0.25">
      <c r="B97" s="382"/>
      <c r="C97" s="1"/>
      <c r="D97" s="40" t="s">
        <v>49</v>
      </c>
      <c r="E97" s="40" t="s">
        <v>50</v>
      </c>
      <c r="F97" s="40" t="s">
        <v>49</v>
      </c>
      <c r="G97" s="40" t="s">
        <v>50</v>
      </c>
      <c r="H97" s="40"/>
      <c r="I97" s="41" t="s">
        <v>51</v>
      </c>
      <c r="J97" s="96" t="s">
        <v>52</v>
      </c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9"/>
      <c r="AJ97" s="99"/>
      <c r="AK97" s="387"/>
    </row>
    <row r="98" spans="2:40" x14ac:dyDescent="0.25">
      <c r="B98" s="382"/>
      <c r="C98" s="2" t="s">
        <v>53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4"/>
      <c r="AJ98" s="4"/>
      <c r="AK98" s="387"/>
    </row>
    <row r="99" spans="2:40" x14ac:dyDescent="0.25">
      <c r="B99" s="382"/>
      <c r="C99" s="1" t="s">
        <v>54</v>
      </c>
      <c r="D99" s="167">
        <v>1506929</v>
      </c>
      <c r="E99" s="163">
        <f>D99/D101</f>
        <v>0.68894607771421879</v>
      </c>
      <c r="F99" s="168">
        <v>167044</v>
      </c>
      <c r="G99" s="160">
        <f>F99/$F$101</f>
        <v>0.64790185514868726</v>
      </c>
      <c r="H99" s="160"/>
      <c r="I99" s="161">
        <f>G99/E99</f>
        <v>0.94042462263272064</v>
      </c>
      <c r="J99" s="191">
        <f>F99/D99</f>
        <v>0.11085061074542994</v>
      </c>
      <c r="K99" s="191"/>
      <c r="L99" s="161"/>
      <c r="M99" s="161"/>
      <c r="N99" s="161"/>
      <c r="P99" s="39"/>
      <c r="Q99" s="39"/>
      <c r="R99" s="39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82"/>
      <c r="AJ99" s="82"/>
      <c r="AK99" s="387"/>
    </row>
    <row r="100" spans="2:40" x14ac:dyDescent="0.25">
      <c r="B100" s="382"/>
      <c r="C100" s="1" t="s">
        <v>55</v>
      </c>
      <c r="D100" s="167">
        <f>SUM(D104:D110)</f>
        <v>680367</v>
      </c>
      <c r="E100" s="163">
        <f>D100/D101</f>
        <v>0.31105392228578116</v>
      </c>
      <c r="F100" s="168">
        <f>SUM(F104:F110)</f>
        <v>90779</v>
      </c>
      <c r="G100" s="160">
        <f>F100/$F$101</f>
        <v>0.35209814485131274</v>
      </c>
      <c r="H100" s="160"/>
      <c r="I100" s="161">
        <f>G100/E100</f>
        <v>1.1319521138454642</v>
      </c>
      <c r="J100" s="191">
        <f>F100/D100</f>
        <v>0.13342651833495744</v>
      </c>
      <c r="K100" s="191"/>
      <c r="L100" s="161"/>
      <c r="M100" s="161"/>
      <c r="N100" s="161"/>
      <c r="P100" s="39"/>
      <c r="Q100" s="39"/>
      <c r="R100" s="39"/>
      <c r="S100" s="252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25">
      <c r="B101" s="382"/>
      <c r="C101" s="1" t="s">
        <v>53</v>
      </c>
      <c r="D101" s="167">
        <f>SUM(D99:D100)</f>
        <v>2187296</v>
      </c>
      <c r="E101" s="192"/>
      <c r="F101" s="168">
        <f>SUM(F99:F100)</f>
        <v>257823</v>
      </c>
      <c r="G101" s="169"/>
      <c r="H101" s="169"/>
      <c r="I101" s="161"/>
      <c r="J101" s="191">
        <f>F101/D101</f>
        <v>0.11787293535031382</v>
      </c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25">
      <c r="B102" s="382"/>
      <c r="C102" s="1"/>
      <c r="D102" s="192"/>
      <c r="E102" s="192"/>
      <c r="F102" s="168"/>
      <c r="G102" s="169"/>
      <c r="H102" s="169"/>
      <c r="I102" s="161"/>
      <c r="J102" s="191"/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25">
      <c r="B103" s="382"/>
      <c r="C103" s="2" t="s">
        <v>56</v>
      </c>
      <c r="D103" s="192"/>
      <c r="E103" s="192"/>
      <c r="F103" s="169"/>
      <c r="G103" s="169"/>
      <c r="H103" s="169"/>
      <c r="I103" s="161"/>
      <c r="J103" s="191"/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25">
      <c r="B104" s="382"/>
      <c r="C104" s="1" t="s">
        <v>57</v>
      </c>
      <c r="D104" s="167">
        <v>180763</v>
      </c>
      <c r="E104" s="163">
        <f>D104/$D$100</f>
        <v>0.26568454966216765</v>
      </c>
      <c r="F104" s="168">
        <v>25382</v>
      </c>
      <c r="G104" s="160">
        <f>F104/$F$100</f>
        <v>0.27960211062029766</v>
      </c>
      <c r="H104" s="160"/>
      <c r="I104" s="161">
        <f t="shared" ref="I104:I110" si="12">G104/E104</f>
        <v>1.0523837798465396</v>
      </c>
      <c r="J104" s="191">
        <f t="shared" ref="J104:J110" si="13">F104/D104</f>
        <v>0.14041590369710616</v>
      </c>
      <c r="K104" s="191"/>
      <c r="L104" s="163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25">
      <c r="B105" s="382"/>
      <c r="C105" s="1" t="s">
        <v>58</v>
      </c>
      <c r="D105" s="167">
        <v>111920</v>
      </c>
      <c r="E105" s="163">
        <f t="shared" ref="E105:E110" si="14">D105/$D$100</f>
        <v>0.16449945397116555</v>
      </c>
      <c r="F105" s="168">
        <v>23524</v>
      </c>
      <c r="G105" s="160">
        <f t="shared" ref="G105:G107" si="15">F105/$F$100</f>
        <v>0.25913482193018211</v>
      </c>
      <c r="H105" s="160"/>
      <c r="I105" s="161">
        <f t="shared" si="12"/>
        <v>1.5752929002159777</v>
      </c>
      <c r="J105" s="191">
        <f t="shared" si="13"/>
        <v>0.21018584703359541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25">
      <c r="B106" s="382"/>
      <c r="C106" s="1" t="s">
        <v>59</v>
      </c>
      <c r="D106" s="167">
        <v>89108</v>
      </c>
      <c r="E106" s="163">
        <f t="shared" si="14"/>
        <v>0.13097049092622071</v>
      </c>
      <c r="F106" s="168">
        <v>20353</v>
      </c>
      <c r="G106" s="160">
        <f t="shared" si="15"/>
        <v>0.22420383568887078</v>
      </c>
      <c r="H106" s="160"/>
      <c r="I106" s="161">
        <f t="shared" si="12"/>
        <v>1.7118652766993978</v>
      </c>
      <c r="J106" s="191">
        <f t="shared" si="13"/>
        <v>0.22840822372850922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25">
      <c r="B107" s="382"/>
      <c r="C107" s="172" t="s">
        <v>60</v>
      </c>
      <c r="D107" s="168">
        <v>75719</v>
      </c>
      <c r="E107" s="163">
        <f t="shared" si="14"/>
        <v>0.11129140596178239</v>
      </c>
      <c r="F107" s="174">
        <v>8564</v>
      </c>
      <c r="G107" s="160">
        <f t="shared" si="15"/>
        <v>9.4338999107723157E-2</v>
      </c>
      <c r="H107" s="160"/>
      <c r="I107" s="161">
        <f t="shared" si="12"/>
        <v>0.84767550820697957</v>
      </c>
      <c r="J107" s="191">
        <f t="shared" si="13"/>
        <v>0.11310239173787293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25">
      <c r="B108" s="382"/>
      <c r="C108" s="1" t="s">
        <v>61</v>
      </c>
      <c r="D108" s="167">
        <v>187961</v>
      </c>
      <c r="E108" s="163">
        <f t="shared" si="14"/>
        <v>0.27626413391596005</v>
      </c>
      <c r="F108" s="168">
        <v>7990</v>
      </c>
      <c r="G108" s="160">
        <f>F108/$F$100</f>
        <v>8.8015950825631475E-2</v>
      </c>
      <c r="H108" s="160"/>
      <c r="I108" s="161">
        <f t="shared" si="12"/>
        <v>0.31859347638809332</v>
      </c>
      <c r="J108" s="191">
        <f t="shared" si="13"/>
        <v>4.250881831869377E-2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25">
      <c r="B109" s="382"/>
      <c r="C109" s="1" t="s">
        <v>62</v>
      </c>
      <c r="D109" s="167">
        <v>20837</v>
      </c>
      <c r="E109" s="163">
        <f t="shared" si="14"/>
        <v>3.0626117962805368E-2</v>
      </c>
      <c r="F109" s="168">
        <v>2637</v>
      </c>
      <c r="G109" s="160">
        <f>F109/$F$100</f>
        <v>2.9048568501525682E-2</v>
      </c>
      <c r="H109" s="160"/>
      <c r="I109" s="161">
        <f t="shared" si="12"/>
        <v>0.94849006122174617</v>
      </c>
      <c r="J109" s="191">
        <f t="shared" si="13"/>
        <v>0.12655372654412822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  <c r="AN109" s="13"/>
    </row>
    <row r="110" spans="2:40" ht="15.75" thickBot="1" x14ac:dyDescent="0.3">
      <c r="B110" s="383"/>
      <c r="C110" s="9" t="s">
        <v>63</v>
      </c>
      <c r="D110" s="175">
        <v>14059</v>
      </c>
      <c r="E110" s="179">
        <f t="shared" si="14"/>
        <v>2.066384759989829E-2</v>
      </c>
      <c r="F110" s="177">
        <v>2329</v>
      </c>
      <c r="G110" s="176">
        <f>F110/$F$100</f>
        <v>2.5655713325769176E-2</v>
      </c>
      <c r="H110" s="176"/>
      <c r="I110" s="178">
        <f t="shared" si="12"/>
        <v>1.2415748423297246</v>
      </c>
      <c r="J110" s="198">
        <f t="shared" si="13"/>
        <v>0.16565900846432891</v>
      </c>
      <c r="K110" s="198"/>
      <c r="L110" s="179"/>
      <c r="M110" s="178"/>
      <c r="N110" s="178"/>
      <c r="O110" s="100"/>
      <c r="P110" s="100"/>
      <c r="Q110" s="100"/>
      <c r="R110" s="100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83"/>
      <c r="AJ110" s="83"/>
      <c r="AK110" s="388"/>
    </row>
    <row r="111" spans="2:40" ht="15.75" thickBot="1" x14ac:dyDescent="0.3">
      <c r="D111" s="8"/>
    </row>
    <row r="112" spans="2:40" x14ac:dyDescent="0.25">
      <c r="B112" s="381" t="s">
        <v>64</v>
      </c>
      <c r="C112" s="21" t="s">
        <v>65</v>
      </c>
      <c r="D112" s="23" t="s">
        <v>66</v>
      </c>
      <c r="E112" s="48" t="s">
        <v>212</v>
      </c>
      <c r="F112" s="48" t="s">
        <v>68</v>
      </c>
      <c r="G112" s="48" t="s">
        <v>51</v>
      </c>
      <c r="H112" s="9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7"/>
      <c r="AK112" s="373" t="s">
        <v>19</v>
      </c>
    </row>
    <row r="113" spans="2:40" x14ac:dyDescent="0.25">
      <c r="B113" s="382"/>
      <c r="C113" s="1" t="s">
        <v>69</v>
      </c>
      <c r="D113" s="168">
        <v>105285</v>
      </c>
      <c r="E113" s="180">
        <v>586502</v>
      </c>
      <c r="F113" s="68"/>
      <c r="O113" s="8"/>
      <c r="AI113" s="4"/>
      <c r="AJ113" s="4"/>
      <c r="AK113" s="374"/>
    </row>
    <row r="114" spans="2:40" x14ac:dyDescent="0.25">
      <c r="B114" s="382"/>
      <c r="C114" s="1" t="s">
        <v>70</v>
      </c>
      <c r="D114" s="160">
        <f>D113/I55</f>
        <v>0.49089408605158619</v>
      </c>
      <c r="E114" s="261">
        <f>E113/3884587</f>
        <v>0.15098181608495317</v>
      </c>
      <c r="F114" s="68"/>
      <c r="O114" s="8"/>
      <c r="AI114" s="4"/>
      <c r="AJ114" s="4"/>
      <c r="AK114" s="374"/>
    </row>
    <row r="115" spans="2:40" x14ac:dyDescent="0.25">
      <c r="B115" s="382"/>
      <c r="C115" s="1"/>
      <c r="D115" s="199"/>
      <c r="E115" s="200"/>
      <c r="F115" s="14"/>
      <c r="O115" s="8"/>
      <c r="AI115" s="4"/>
      <c r="AJ115" s="4"/>
      <c r="AK115" s="374"/>
      <c r="AN115" s="8"/>
    </row>
    <row r="116" spans="2:40" ht="14.45" customHeight="1" x14ac:dyDescent="0.25">
      <c r="B116" s="382"/>
      <c r="C116" s="1" t="s">
        <v>71</v>
      </c>
      <c r="D116" s="168">
        <v>260973</v>
      </c>
      <c r="E116" s="183">
        <v>1189955</v>
      </c>
      <c r="F116" s="68"/>
      <c r="O116" s="8"/>
      <c r="AI116" s="4"/>
      <c r="AJ116" s="4"/>
      <c r="AK116" s="374"/>
      <c r="AL116" s="24"/>
      <c r="AN116" s="14"/>
    </row>
    <row r="117" spans="2:40" x14ac:dyDescent="0.25">
      <c r="B117" s="382"/>
      <c r="C117" s="1" t="s">
        <v>72</v>
      </c>
      <c r="D117" s="184">
        <f>D116/D113</f>
        <v>2.4787291636985325</v>
      </c>
      <c r="E117" s="161">
        <f>E116/E113</f>
        <v>2.0289018622272388</v>
      </c>
      <c r="F117" s="14"/>
      <c r="O117" s="8"/>
      <c r="AI117" s="4"/>
      <c r="AJ117" s="4"/>
      <c r="AK117" s="374"/>
    </row>
    <row r="118" spans="2:40" x14ac:dyDescent="0.25">
      <c r="B118" s="382"/>
      <c r="C118" s="1"/>
      <c r="D118" s="202"/>
      <c r="E118" s="169"/>
      <c r="F118" s="14"/>
      <c r="O118" s="8"/>
      <c r="AI118" s="4"/>
      <c r="AJ118" s="4"/>
      <c r="AK118" s="374"/>
      <c r="AN118" s="8"/>
    </row>
    <row r="119" spans="2:40" x14ac:dyDescent="0.25">
      <c r="B119" s="382"/>
      <c r="C119" s="1" t="s">
        <v>73</v>
      </c>
      <c r="D119" s="168">
        <v>166555</v>
      </c>
      <c r="E119" s="183">
        <v>755895</v>
      </c>
      <c r="F119" s="14"/>
      <c r="O119" s="8"/>
      <c r="AI119" s="4"/>
      <c r="AJ119" s="4"/>
      <c r="AK119" s="374"/>
      <c r="AN119" s="14"/>
    </row>
    <row r="120" spans="2:40" x14ac:dyDescent="0.25">
      <c r="B120" s="382"/>
      <c r="C120" s="1" t="s">
        <v>74</v>
      </c>
      <c r="D120" s="184">
        <f>D119/D113</f>
        <v>1.5819442465688369</v>
      </c>
      <c r="E120" s="165">
        <f>E119/E113</f>
        <v>1.2888191344616045</v>
      </c>
      <c r="F120" s="14"/>
      <c r="AI120" s="4"/>
      <c r="AJ120" s="4"/>
      <c r="AK120" s="374"/>
    </row>
    <row r="121" spans="2:40" ht="15.75" thickBot="1" x14ac:dyDescent="0.3">
      <c r="B121" s="383"/>
      <c r="C121" s="9" t="s">
        <v>75</v>
      </c>
      <c r="D121" s="185">
        <f>D116/D119</f>
        <v>1.56688781483594</v>
      </c>
      <c r="E121" s="186">
        <f>E116/E119</f>
        <v>1.5742331937636842</v>
      </c>
      <c r="F121" s="18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11"/>
      <c r="AJ121" s="11"/>
      <c r="AK121" s="375"/>
    </row>
    <row r="122" spans="2:40" x14ac:dyDescent="0.25">
      <c r="D122" s="37"/>
      <c r="E122" s="22"/>
      <c r="F122" s="14"/>
    </row>
    <row r="123" spans="2:40" s="35" customFormat="1" x14ac:dyDescent="0.25">
      <c r="B123" s="47"/>
      <c r="C123" s="78"/>
      <c r="D123" s="8"/>
      <c r="E123" s="13"/>
    </row>
    <row r="124" spans="2:40" s="35" customFormat="1" x14ac:dyDescent="0.25">
      <c r="B124" s="47"/>
      <c r="C124" s="78"/>
      <c r="D124" s="8"/>
      <c r="E124" s="34"/>
    </row>
    <row r="125" spans="2:40" s="35" customFormat="1" x14ac:dyDescent="0.25">
      <c r="B125" s="47"/>
      <c r="C125" s="78"/>
      <c r="D125" s="8"/>
    </row>
    <row r="126" spans="2:40" s="35" customFormat="1" x14ac:dyDescent="0.25">
      <c r="B126" s="47"/>
      <c r="C126" s="78"/>
      <c r="D126" s="262"/>
      <c r="E126" s="34"/>
    </row>
    <row r="127" spans="2:40" s="35" customFormat="1" x14ac:dyDescent="0.25">
      <c r="B127" s="47"/>
      <c r="C127" s="78"/>
      <c r="D127" s="8"/>
      <c r="E127" s="78"/>
    </row>
    <row r="128" spans="2:40" s="35" customFormat="1" x14ac:dyDescent="0.25">
      <c r="B128" s="47"/>
      <c r="C128" s="78"/>
      <c r="D128" s="8"/>
      <c r="E128" s="34"/>
    </row>
    <row r="129" spans="5:5" x14ac:dyDescent="0.25">
      <c r="E129" s="357"/>
    </row>
  </sheetData>
  <mergeCells count="15">
    <mergeCell ref="B112:B121"/>
    <mergeCell ref="AK112:AK121"/>
    <mergeCell ref="B4:B56"/>
    <mergeCell ref="B58:B94"/>
    <mergeCell ref="AK58:AK94"/>
    <mergeCell ref="B96:B110"/>
    <mergeCell ref="D96:E96"/>
    <mergeCell ref="F96:G96"/>
    <mergeCell ref="AK96:AK110"/>
    <mergeCell ref="AK3:AK56"/>
    <mergeCell ref="C2:AI2"/>
    <mergeCell ref="D3:Q3"/>
    <mergeCell ref="R3:W3"/>
    <mergeCell ref="X3:AC3"/>
    <mergeCell ref="AD3:AI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A76B-8D06-4BED-B722-79BD52DF0964}">
  <sheetPr>
    <tabColor theme="4"/>
  </sheetPr>
  <dimension ref="A1:AN130"/>
  <sheetViews>
    <sheetView zoomScale="90" zoomScaleNormal="90" workbookViewId="0">
      <pane ySplit="4" topLeftCell="A82" activePane="bottomLeft" state="frozen"/>
      <selection pane="bottomLeft" activeCell="E90" sqref="E90:E95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 x14ac:dyDescent="0.3">
      <c r="A1" s="8"/>
      <c r="B1" s="155"/>
    </row>
    <row r="2" spans="1:39" ht="15.75" thickBot="1" x14ac:dyDescent="0.3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49" t="s">
        <v>211</v>
      </c>
      <c r="AK3" s="373" t="s">
        <v>10</v>
      </c>
    </row>
    <row r="4" spans="1:39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6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25">
      <c r="A23" s="8"/>
      <c r="B23" s="374"/>
      <c r="C23" s="263">
        <v>44958</v>
      </c>
      <c r="D23" s="246">
        <f t="shared" ref="D23:D50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0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0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25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25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25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25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25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25">
      <c r="A51" s="8"/>
      <c r="B51" s="374"/>
      <c r="C51" s="271">
        <v>45809</v>
      </c>
      <c r="D51" s="220">
        <f t="shared" ref="D51:D56" si="5">I50</f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ref="P51:P56" si="6">G51/D51</f>
        <v>6.3154291436541707E-2</v>
      </c>
      <c r="Q51" s="247">
        <f t="shared" ref="Q51:Q56" si="7">H51/D51</f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25">
      <c r="A52" s="8"/>
      <c r="B52" s="374"/>
      <c r="C52" s="271">
        <v>45839</v>
      </c>
      <c r="D52" s="220">
        <f t="shared" si="5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6"/>
        <v>5.9703629818731264E-2</v>
      </c>
      <c r="Q52" s="247">
        <f t="shared" si="7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25">
      <c r="A53" s="8"/>
      <c r="B53" s="374"/>
      <c r="C53" s="271">
        <v>45870</v>
      </c>
      <c r="D53" s="220">
        <f t="shared" si="5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6"/>
        <v>7.1114947970332409E-2</v>
      </c>
      <c r="Q53" s="247">
        <f t="shared" si="7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25">
      <c r="A54" s="8"/>
      <c r="B54" s="374"/>
      <c r="C54" s="271">
        <v>45901</v>
      </c>
      <c r="D54" s="220">
        <f t="shared" si="5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6"/>
        <v>6.5012103194691168E-2</v>
      </c>
      <c r="Q54" s="247">
        <f t="shared" si="7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25">
      <c r="A55" s="8"/>
      <c r="B55" s="374"/>
      <c r="C55" s="271">
        <v>45931</v>
      </c>
      <c r="D55" s="220">
        <f t="shared" si="5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ref="O55" si="8">I55-D55</f>
        <v>-2493</v>
      </c>
      <c r="P55" s="247">
        <f t="shared" si="6"/>
        <v>6.1202291571607004E-2</v>
      </c>
      <c r="Q55" s="247">
        <f t="shared" si="7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x14ac:dyDescent="0.25">
      <c r="A56" s="8"/>
      <c r="B56" s="374"/>
      <c r="C56" s="271">
        <v>45962</v>
      </c>
      <c r="D56" s="220">
        <f t="shared" si="5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6"/>
        <v>5.8976295716070798E-2</v>
      </c>
      <c r="Q56" s="247">
        <f t="shared" si="7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ht="15.75" thickBot="1" x14ac:dyDescent="0.3">
      <c r="B57" s="375"/>
      <c r="C57" s="58" t="s">
        <v>78</v>
      </c>
      <c r="D57" s="113"/>
      <c r="E57" s="113">
        <f>SUM(E5:E56)</f>
        <v>636758</v>
      </c>
      <c r="F57" s="113">
        <f>SUM(F5:F56)</f>
        <v>388833.52</v>
      </c>
      <c r="G57" s="113">
        <f>SUM(G5:G56)</f>
        <v>415842</v>
      </c>
      <c r="H57" s="113"/>
      <c r="I57" s="113"/>
      <c r="J57" s="130"/>
      <c r="K57" s="130"/>
      <c r="L57" s="130"/>
      <c r="M57" s="130"/>
      <c r="N57" s="130"/>
      <c r="O57" s="146"/>
      <c r="P57" s="146"/>
      <c r="Q57" s="146"/>
      <c r="R57" s="333">
        <f>SUM(R5:R56)</f>
        <v>552191</v>
      </c>
      <c r="S57" s="354"/>
      <c r="T57" s="333"/>
      <c r="U57" s="130"/>
      <c r="V57" s="130"/>
      <c r="W57" s="130"/>
      <c r="X57" s="113">
        <f>SUM(X17:X56)</f>
        <v>76719</v>
      </c>
      <c r="Y57" s="113"/>
      <c r="Z57" s="130"/>
      <c r="AA57" s="130"/>
      <c r="AB57" s="130"/>
      <c r="AC57" s="130"/>
      <c r="AD57" s="113">
        <f>SUM(AD20:AD56)</f>
        <v>10568</v>
      </c>
      <c r="AE57" s="93"/>
      <c r="AF57" s="93"/>
      <c r="AG57" s="93"/>
      <c r="AH57" s="93"/>
      <c r="AI57" s="112"/>
      <c r="AJ57" s="83"/>
      <c r="AK57" s="375"/>
      <c r="AL57" s="8"/>
      <c r="AM57" s="142"/>
    </row>
    <row r="58" spans="1:39" ht="15.75" thickBot="1" x14ac:dyDescent="0.3">
      <c r="C58" s="324"/>
      <c r="D58" s="20"/>
      <c r="E58" s="100"/>
      <c r="F58" s="353"/>
      <c r="G58" s="10"/>
      <c r="H58" s="10"/>
      <c r="I58" s="10"/>
      <c r="J58" s="10"/>
      <c r="K58" s="10"/>
      <c r="L58" s="10"/>
      <c r="M58" s="10"/>
      <c r="N58" s="10"/>
      <c r="O58" s="10"/>
      <c r="P58" s="44"/>
      <c r="Q58" s="44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8"/>
      <c r="AM58" s="142"/>
    </row>
    <row r="59" spans="1:39" x14ac:dyDescent="0.25">
      <c r="B59" s="381" t="s">
        <v>13</v>
      </c>
      <c r="C59" s="94"/>
      <c r="D59" s="48" t="s">
        <v>180</v>
      </c>
      <c r="E59" s="48" t="s">
        <v>15</v>
      </c>
      <c r="F59" s="48" t="s">
        <v>181</v>
      </c>
      <c r="G59" s="48" t="s">
        <v>193</v>
      </c>
      <c r="H59" s="48"/>
      <c r="I59" s="48" t="s">
        <v>18</v>
      </c>
      <c r="J59" s="94"/>
      <c r="K59" s="94"/>
      <c r="L59" s="94"/>
      <c r="M59" s="94"/>
      <c r="N59" s="94"/>
      <c r="O59" s="94"/>
      <c r="P59" s="116"/>
      <c r="Q59" s="116"/>
      <c r="R59" s="116"/>
      <c r="S59" s="47"/>
      <c r="T59" s="94"/>
      <c r="U59" s="94"/>
      <c r="V59" s="94"/>
      <c r="W59" s="94"/>
      <c r="X59" s="94"/>
      <c r="Y59" s="94"/>
      <c r="AD59" s="94"/>
      <c r="AE59" s="94"/>
      <c r="AF59" s="94"/>
      <c r="AG59" s="94"/>
      <c r="AH59" s="94"/>
      <c r="AI59" s="49"/>
      <c r="AJ59" s="49"/>
      <c r="AK59" s="373" t="s">
        <v>19</v>
      </c>
      <c r="AM59" s="142"/>
    </row>
    <row r="60" spans="1:39" x14ac:dyDescent="0.25">
      <c r="B60" s="382"/>
      <c r="C60" s="156" t="s">
        <v>20</v>
      </c>
      <c r="D60" s="47"/>
      <c r="E60" s="47"/>
      <c r="F60" s="47"/>
      <c r="G60" s="260"/>
      <c r="H60" s="260"/>
      <c r="N60" s="289"/>
      <c r="O60" s="154"/>
      <c r="P60" s="158"/>
      <c r="Q60" s="73"/>
      <c r="T60" s="254"/>
      <c r="U60" s="254"/>
      <c r="V60" s="254"/>
      <c r="W60" s="254"/>
      <c r="Y60" s="47"/>
      <c r="Z60" s="47"/>
      <c r="AA60" s="239"/>
      <c r="AB60" s="47"/>
      <c r="AC60" s="47"/>
      <c r="AD60" s="47"/>
      <c r="AE60" s="47"/>
      <c r="AF60" s="47"/>
      <c r="AG60" s="47"/>
      <c r="AH60" s="47"/>
      <c r="AI60" s="12"/>
      <c r="AJ60" s="12"/>
      <c r="AK60" s="374"/>
      <c r="AM60" s="8"/>
    </row>
    <row r="61" spans="1:39" x14ac:dyDescent="0.25">
      <c r="B61" s="382"/>
      <c r="C61" s="47" t="s">
        <v>21</v>
      </c>
      <c r="D61" s="160">
        <v>0.46795143300861219</v>
      </c>
      <c r="E61" s="160">
        <v>0.39196425755383812</v>
      </c>
      <c r="F61" s="14">
        <f>D61/E61</f>
        <v>1.1938625116713273</v>
      </c>
      <c r="G61" s="160">
        <v>0.51225113941902445</v>
      </c>
      <c r="H61" s="160"/>
      <c r="I61" s="14">
        <f>E61/G61</f>
        <v>0.76517986470149957</v>
      </c>
      <c r="J61" s="14"/>
      <c r="K61" s="352"/>
      <c r="L61" s="14"/>
      <c r="M61" s="14"/>
      <c r="N61" s="14"/>
      <c r="O61" s="253"/>
      <c r="P61" s="73"/>
      <c r="R61" s="158"/>
      <c r="S61" s="158"/>
      <c r="T61" s="14"/>
      <c r="U61" s="14"/>
      <c r="V61" s="14"/>
      <c r="W61" s="14"/>
      <c r="X61" s="47"/>
      <c r="Y61" s="14"/>
      <c r="Z61" s="14"/>
      <c r="AA61" s="239"/>
      <c r="AB61" s="14"/>
      <c r="AC61" s="14"/>
      <c r="AD61" s="14"/>
      <c r="AE61" s="14"/>
      <c r="AF61" s="14"/>
      <c r="AG61" s="14"/>
      <c r="AH61" s="14"/>
      <c r="AI61" s="15"/>
      <c r="AJ61" s="15"/>
      <c r="AK61" s="374"/>
      <c r="AM61" s="8"/>
    </row>
    <row r="62" spans="1:39" x14ac:dyDescent="0.25">
      <c r="B62" s="382"/>
      <c r="C62" s="47" t="s">
        <v>22</v>
      </c>
      <c r="D62" s="160">
        <v>0.53204856699138781</v>
      </c>
      <c r="E62" s="160">
        <v>0.60803574244616188</v>
      </c>
      <c r="F62" s="14">
        <f>D62/E62</f>
        <v>0.87502843969488797</v>
      </c>
      <c r="G62" s="160">
        <v>0.4877488605809755</v>
      </c>
      <c r="H62" s="160"/>
      <c r="I62" s="14">
        <f t="shared" ref="I62:I79" si="9">E62/G62</f>
        <v>1.2466164282206795</v>
      </c>
      <c r="J62" s="14"/>
      <c r="K62" s="14"/>
      <c r="L62" s="14"/>
      <c r="M62" s="14"/>
      <c r="N62" s="14"/>
      <c r="O62" s="149"/>
      <c r="P62" s="73"/>
      <c r="Q62" s="73"/>
      <c r="R62" s="158"/>
      <c r="S62" s="14"/>
      <c r="T62" s="14"/>
      <c r="U62" s="14"/>
      <c r="V62" s="14"/>
      <c r="W62" s="14"/>
      <c r="X62" s="14"/>
      <c r="Y62" s="14"/>
      <c r="Z62" s="14"/>
      <c r="AA62" s="239"/>
      <c r="AB62" s="14"/>
      <c r="AC62" s="14"/>
      <c r="AD62" s="14"/>
      <c r="AE62" s="14"/>
      <c r="AF62" s="14"/>
      <c r="AG62" s="14"/>
      <c r="AH62" s="14"/>
      <c r="AI62" s="15"/>
      <c r="AJ62" s="15"/>
      <c r="AK62" s="374"/>
    </row>
    <row r="63" spans="1:39" x14ac:dyDescent="0.25">
      <c r="B63" s="382"/>
      <c r="D63" s="190"/>
      <c r="E63" s="160"/>
      <c r="F63" s="14"/>
      <c r="G63" s="190"/>
      <c r="H63" s="190"/>
      <c r="I63" s="14"/>
      <c r="J63" s="170"/>
      <c r="K63" s="170"/>
      <c r="L63" s="170"/>
      <c r="M63" s="170"/>
      <c r="N63" s="170"/>
      <c r="O63" s="149"/>
      <c r="P63" s="222"/>
      <c r="Q63" s="222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25">
      <c r="B64" s="382"/>
      <c r="C64" s="156" t="s">
        <v>23</v>
      </c>
      <c r="D64" s="169"/>
      <c r="E64" s="162"/>
      <c r="F64" s="14"/>
      <c r="G64" s="190"/>
      <c r="H64" s="190"/>
      <c r="I64" s="14"/>
      <c r="J64" s="170"/>
      <c r="K64" s="170"/>
      <c r="L64" s="170"/>
      <c r="M64" s="170"/>
      <c r="N64" s="170"/>
      <c r="O64" s="149"/>
      <c r="P64" s="39"/>
      <c r="Q64" s="39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25">
      <c r="B65" s="382"/>
      <c r="C65" s="47" t="s">
        <v>24</v>
      </c>
      <c r="D65" s="160">
        <v>1.6407599309153715E-2</v>
      </c>
      <c r="E65" s="160">
        <v>3.5032979246902712E-3</v>
      </c>
      <c r="F65" s="14">
        <f t="shared" ref="F65:F70" si="10">D65/E65</f>
        <v>4.683472448494177</v>
      </c>
      <c r="G65" s="160">
        <v>9.5572968750420404E-3</v>
      </c>
      <c r="H65" s="160"/>
      <c r="I65" s="14">
        <f t="shared" si="9"/>
        <v>0.36655740325894826</v>
      </c>
      <c r="J65" s="14"/>
      <c r="K65" s="14"/>
      <c r="L65" s="14"/>
      <c r="M65" s="14"/>
      <c r="N65" s="14"/>
      <c r="O65" s="149"/>
      <c r="P65" s="39"/>
      <c r="Q65" s="39"/>
      <c r="R65" s="14"/>
      <c r="S65" s="14"/>
      <c r="T65" s="14"/>
      <c r="U65" s="14"/>
      <c r="V65" s="14"/>
      <c r="W65" s="14">
        <f>X55*Y55</f>
        <v>761</v>
      </c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25">
      <c r="B66" s="382"/>
      <c r="C66" s="47" t="s">
        <v>25</v>
      </c>
      <c r="D66" s="160">
        <v>0.17197137922526523</v>
      </c>
      <c r="E66" s="160">
        <v>8.634508602235666E-2</v>
      </c>
      <c r="F66" s="14">
        <f t="shared" si="10"/>
        <v>1.9916753476942282</v>
      </c>
      <c r="G66" s="160">
        <v>0.12411786283476728</v>
      </c>
      <c r="H66" s="160"/>
      <c r="I66" s="14">
        <f t="shared" si="9"/>
        <v>0.6956700997768881</v>
      </c>
      <c r="J66" s="14"/>
      <c r="K66" s="14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25">
      <c r="B67" s="382"/>
      <c r="C67" s="47" t="s">
        <v>26</v>
      </c>
      <c r="D67" s="160">
        <v>0.3926720947446336</v>
      </c>
      <c r="E67" s="160">
        <v>0.34647163194881037</v>
      </c>
      <c r="F67" s="14">
        <f t="shared" si="10"/>
        <v>1.1333455860035582</v>
      </c>
      <c r="G67" s="160">
        <v>0.29175948505413946</v>
      </c>
      <c r="H67" s="160"/>
      <c r="I67" s="14">
        <f t="shared" si="9"/>
        <v>1.1875248267747607</v>
      </c>
      <c r="J67" s="14"/>
      <c r="K67" s="14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25">
      <c r="B68" s="382"/>
      <c r="C68" s="47" t="s">
        <v>27</v>
      </c>
      <c r="D68" s="160">
        <v>0.30754996299037751</v>
      </c>
      <c r="E68" s="160">
        <v>0.35622181551181092</v>
      </c>
      <c r="F68" s="14">
        <f t="shared" si="10"/>
        <v>0.86336644640502191</v>
      </c>
      <c r="G68" s="160">
        <v>0.32214251056734988</v>
      </c>
      <c r="H68" s="160"/>
      <c r="I68" s="14">
        <f t="shared" si="9"/>
        <v>1.1057895304920837</v>
      </c>
      <c r="J68" s="14"/>
      <c r="K68" s="14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25">
      <c r="B69" s="382"/>
      <c r="C69" s="47" t="s">
        <v>28</v>
      </c>
      <c r="D69" s="160">
        <v>9.7828768813224776E-2</v>
      </c>
      <c r="E69" s="160">
        <v>0.17493142583045765</v>
      </c>
      <c r="F69" s="14">
        <f t="shared" si="10"/>
        <v>0.55924067587512694</v>
      </c>
      <c r="G69" s="160">
        <v>0.17440625081278682</v>
      </c>
      <c r="H69" s="160"/>
      <c r="I69" s="14">
        <f t="shared" si="9"/>
        <v>1.0030112167151313</v>
      </c>
      <c r="J69" s="14"/>
      <c r="K69" s="14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25">
      <c r="B70" s="382"/>
      <c r="C70" s="47" t="s">
        <v>29</v>
      </c>
      <c r="D70" s="160">
        <v>1.3570194917345176E-2</v>
      </c>
      <c r="E70" s="160">
        <v>3.2526742761874158E-2</v>
      </c>
      <c r="F70" s="14">
        <f t="shared" si="10"/>
        <v>0.41720116326099893</v>
      </c>
      <c r="G70" s="160">
        <v>7.8016593855914529E-2</v>
      </c>
      <c r="H70" s="160"/>
      <c r="I70" s="14">
        <f t="shared" si="9"/>
        <v>0.41692082612509834</v>
      </c>
      <c r="J70" s="14"/>
      <c r="K70" s="14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25">
      <c r="B71" s="382"/>
      <c r="D71" s="190"/>
      <c r="E71" s="190"/>
      <c r="F71" s="14"/>
      <c r="G71" s="190"/>
      <c r="H71" s="190"/>
      <c r="I71" s="170"/>
      <c r="J71" s="170"/>
      <c r="K71" s="170"/>
      <c r="L71" s="170"/>
      <c r="M71" s="170"/>
      <c r="N71" s="170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25">
      <c r="B72" s="382"/>
      <c r="C72" s="156" t="s">
        <v>30</v>
      </c>
      <c r="D72" s="169"/>
      <c r="E72" s="169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25">
      <c r="B73" s="382"/>
      <c r="C73" s="47" t="s">
        <v>31</v>
      </c>
      <c r="D73" s="160">
        <v>0.50252899087095981</v>
      </c>
      <c r="E73" s="163">
        <v>0.48130016935918274</v>
      </c>
      <c r="F73" s="14">
        <f>D73/E73</f>
        <v>1.0441072388153152</v>
      </c>
      <c r="G73" s="160">
        <v>0.47440028893504171</v>
      </c>
      <c r="H73" s="160"/>
      <c r="I73" s="14">
        <f>E73/G73</f>
        <v>1.0145444271116071</v>
      </c>
      <c r="J73" s="14"/>
      <c r="K73" s="14"/>
      <c r="L73" s="14"/>
      <c r="M73" s="14"/>
      <c r="N73" s="14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25">
      <c r="B74" s="382"/>
      <c r="C74" s="47" t="s">
        <v>32</v>
      </c>
      <c r="D74" s="160">
        <v>0.19750801875154206</v>
      </c>
      <c r="E74" s="160">
        <v>0.19575546458902846</v>
      </c>
      <c r="F74" s="14">
        <f>D74/E74</f>
        <v>1.0089527726145113</v>
      </c>
      <c r="G74" s="160">
        <v>0.15561532284876534</v>
      </c>
      <c r="H74" s="160"/>
      <c r="I74" s="14">
        <f t="shared" si="9"/>
        <v>1.2579446612675367</v>
      </c>
      <c r="J74" s="14"/>
      <c r="K74" s="14"/>
      <c r="L74" s="14"/>
      <c r="M74" s="14"/>
      <c r="N74" s="14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25">
      <c r="B75" s="382"/>
      <c r="C75" s="47" t="s">
        <v>33</v>
      </c>
      <c r="D75" s="160">
        <v>0.11010362694300518</v>
      </c>
      <c r="E75" s="160">
        <v>0.12221197684544849</v>
      </c>
      <c r="F75" s="14">
        <f>D75/E75</f>
        <v>0.90092337743823792</v>
      </c>
      <c r="G75" s="160">
        <v>0.12305138579133053</v>
      </c>
      <c r="H75" s="160"/>
      <c r="I75" s="14">
        <f t="shared" si="9"/>
        <v>0.99317838689516669</v>
      </c>
      <c r="J75" s="14"/>
      <c r="K75" s="14"/>
      <c r="L75" s="14"/>
      <c r="M75" s="14"/>
      <c r="N75" s="14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25">
      <c r="B76" s="382"/>
      <c r="C76" s="47" t="s">
        <v>34</v>
      </c>
      <c r="D76" s="160">
        <v>9.5053047125585988E-2</v>
      </c>
      <c r="E76" s="160">
        <v>9.7089226365390496E-2</v>
      </c>
      <c r="F76" s="14">
        <f t="shared" ref="F76:F79" si="11">D76/E76</f>
        <v>0.97902775296466527</v>
      </c>
      <c r="G76" s="160">
        <v>0.11748918892715825</v>
      </c>
      <c r="H76" s="160"/>
      <c r="I76" s="14">
        <f t="shared" si="9"/>
        <v>0.82636732155487547</v>
      </c>
      <c r="J76" s="14"/>
      <c r="K76" s="14"/>
      <c r="L76" s="14"/>
      <c r="M76" s="14"/>
      <c r="N76" s="14"/>
      <c r="O76" s="223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25">
      <c r="B77" s="382"/>
      <c r="C77" s="47" t="s">
        <v>35</v>
      </c>
      <c r="D77" s="160">
        <v>2.5660004934616332E-2</v>
      </c>
      <c r="E77" s="160">
        <v>2.0879922631882059E-2</v>
      </c>
      <c r="F77" s="14">
        <f t="shared" si="11"/>
        <v>1.2289319930446223</v>
      </c>
      <c r="G77" s="160">
        <v>3.2966451481092542E-2</v>
      </c>
      <c r="H77" s="160"/>
      <c r="I77" s="14">
        <f t="shared" si="9"/>
        <v>0.63336882478411283</v>
      </c>
      <c r="J77" s="14"/>
      <c r="K77" s="14"/>
      <c r="L77" s="14"/>
      <c r="M77" s="14"/>
      <c r="N77" s="14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25">
      <c r="B78" s="382"/>
      <c r="C78" s="47" t="s">
        <v>36</v>
      </c>
      <c r="D78" s="160">
        <v>1.1164569454724896E-2</v>
      </c>
      <c r="E78" s="160">
        <v>1.40079137773928E-2</v>
      </c>
      <c r="F78" s="14">
        <f t="shared" si="11"/>
        <v>0.79701871614481645</v>
      </c>
      <c r="G78" s="160">
        <v>1.8951541406922442E-2</v>
      </c>
      <c r="H78" s="160"/>
      <c r="I78" s="14">
        <f t="shared" si="9"/>
        <v>0.73914377076875237</v>
      </c>
      <c r="J78" s="14"/>
      <c r="K78" s="14"/>
      <c r="L78" s="14"/>
      <c r="M78" s="14"/>
      <c r="N78" s="14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25">
      <c r="B79" s="382"/>
      <c r="C79" s="47" t="s">
        <v>37</v>
      </c>
      <c r="D79" s="160">
        <v>5.773501110288675E-2</v>
      </c>
      <c r="E79" s="160">
        <v>6.8455726777534059E-2</v>
      </c>
      <c r="F79" s="14">
        <f t="shared" si="11"/>
        <v>0.84339198224441825</v>
      </c>
      <c r="G79" s="160">
        <v>7.7136759208212516E-2</v>
      </c>
      <c r="H79" s="160"/>
      <c r="I79" s="14">
        <f t="shared" si="9"/>
        <v>0.88745920207451223</v>
      </c>
      <c r="J79" s="14"/>
      <c r="K79" s="14"/>
      <c r="L79" s="14"/>
      <c r="M79" s="14"/>
      <c r="N79" s="14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25">
      <c r="B80" s="382"/>
      <c r="D80" s="190"/>
      <c r="E80" s="190"/>
      <c r="F80" s="14"/>
      <c r="G80" s="190"/>
      <c r="H80" s="190"/>
      <c r="I80" s="170"/>
      <c r="J80" s="170"/>
      <c r="K80" s="170"/>
      <c r="L80" s="170"/>
      <c r="M80" s="170"/>
      <c r="N80" s="170"/>
      <c r="O80" s="149"/>
      <c r="P80" s="222"/>
      <c r="Q80" s="222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25">
      <c r="B81" s="382"/>
      <c r="C81" s="156" t="s">
        <v>38</v>
      </c>
      <c r="D81" s="169"/>
      <c r="E81" s="169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239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25">
      <c r="B82" s="382"/>
      <c r="C82" s="47" t="s">
        <v>39</v>
      </c>
      <c r="D82" s="160">
        <v>0.55064150012336543</v>
      </c>
      <c r="E82" s="13">
        <v>0.50149947931269279</v>
      </c>
      <c r="F82" s="14">
        <f>D82/E82</f>
        <v>1.097990173146385</v>
      </c>
      <c r="G82" s="164">
        <v>0.52865513767101091</v>
      </c>
      <c r="H82" s="164"/>
      <c r="I82" s="72">
        <f>E82/G82</f>
        <v>0.94863256511995264</v>
      </c>
      <c r="J82" s="72"/>
      <c r="K82" s="72"/>
      <c r="L82" s="72"/>
      <c r="M82" s="72"/>
      <c r="N82" s="72"/>
      <c r="O82" s="149"/>
      <c r="P82" s="240"/>
      <c r="Q82" s="240"/>
      <c r="R82" s="241"/>
      <c r="S82" s="16"/>
      <c r="T82" s="16"/>
      <c r="U82" s="16"/>
      <c r="V82" s="16"/>
      <c r="W82" s="16"/>
      <c r="X82" s="68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36"/>
      <c r="AJ82" s="36"/>
      <c r="AK82" s="374"/>
    </row>
    <row r="83" spans="2:37" x14ac:dyDescent="0.25">
      <c r="B83" s="382"/>
      <c r="C83" s="47" t="s">
        <v>40</v>
      </c>
      <c r="D83" s="160">
        <v>5.0579817419195656E-2</v>
      </c>
      <c r="E83" s="13">
        <v>5.0218788801217606E-2</v>
      </c>
      <c r="F83" s="14">
        <f>D83/E83</f>
        <v>1.0071891144051108</v>
      </c>
      <c r="G83" s="160">
        <v>6.7830395697804149E-2</v>
      </c>
      <c r="H83" s="160"/>
      <c r="I83" s="72">
        <f>E83/G83</f>
        <v>0.74035818727861735</v>
      </c>
      <c r="J83" s="72"/>
      <c r="K83" s="72"/>
      <c r="L83" s="72"/>
      <c r="M83" s="72"/>
      <c r="N83" s="72"/>
      <c r="O83" s="149"/>
      <c r="P83" s="240"/>
      <c r="Q83" s="240"/>
      <c r="R83" s="241"/>
      <c r="S83" s="14"/>
      <c r="T83" s="16"/>
      <c r="U83" s="16"/>
      <c r="V83" s="16"/>
      <c r="W83" s="16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25">
      <c r="B84" s="382"/>
      <c r="C84" s="47" t="s">
        <v>41</v>
      </c>
      <c r="D84" s="160">
        <v>8.6479151245990621E-2</v>
      </c>
      <c r="E84" s="13">
        <v>9.1528317378940197E-2</v>
      </c>
      <c r="F84" s="14">
        <f>D84/E84</f>
        <v>0.94483492893193577</v>
      </c>
      <c r="G84" s="160">
        <v>0.11956216165665656</v>
      </c>
      <c r="H84" s="160"/>
      <c r="I84" s="72">
        <f>E84/G84</f>
        <v>0.76552912820177677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25">
      <c r="B85" s="382"/>
      <c r="C85" s="47" t="s">
        <v>42</v>
      </c>
      <c r="D85" s="160">
        <v>0.10886997285961017</v>
      </c>
      <c r="E85" s="13">
        <v>0.11353987263187407</v>
      </c>
      <c r="F85" s="14">
        <f>D85/E85</f>
        <v>0.95886995762796978</v>
      </c>
      <c r="G85" s="160">
        <v>0.12489243223409491</v>
      </c>
      <c r="H85" s="160"/>
      <c r="I85" s="72">
        <f>E85/G85</f>
        <v>0.90910130102245168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25">
      <c r="B86" s="382"/>
      <c r="C86" s="47" t="s">
        <v>43</v>
      </c>
      <c r="D86" s="160">
        <v>0.12200838884776709</v>
      </c>
      <c r="E86" s="13">
        <v>0.13325089117635278</v>
      </c>
      <c r="F86" s="14">
        <f>D86/E86</f>
        <v>0.91562906462136417</v>
      </c>
      <c r="G86" s="160">
        <v>0.10718882994011668</v>
      </c>
      <c r="H86" s="160"/>
      <c r="I86" s="72">
        <f>E86/G86</f>
        <v>1.2431415778192207</v>
      </c>
      <c r="J86" s="72"/>
      <c r="K86" s="72"/>
      <c r="L86" s="72"/>
      <c r="M86" s="72"/>
      <c r="N86" s="72"/>
      <c r="O86" s="149"/>
      <c r="P86" s="240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25">
      <c r="B87" s="382"/>
      <c r="C87" s="47" t="s">
        <v>44</v>
      </c>
      <c r="D87" s="160">
        <v>8.1421169504071064E-2</v>
      </c>
      <c r="E87" s="13">
        <v>0.10996265069892258</v>
      </c>
      <c r="F87" s="14">
        <f t="shared" ref="F87:F95" si="12">D87/E87</f>
        <v>0.74044385967924686</v>
      </c>
      <c r="G87" s="160">
        <v>5.1871042800316763E-2</v>
      </c>
      <c r="H87" s="160"/>
      <c r="I87" s="72">
        <f t="shared" ref="I87" si="13">E87/G87</f>
        <v>2.1199236560991417</v>
      </c>
      <c r="J87" s="72"/>
      <c r="K87" s="72"/>
      <c r="L87" s="72"/>
      <c r="M87" s="72"/>
      <c r="N87" s="72"/>
      <c r="P87" s="34"/>
      <c r="Q87" s="34"/>
      <c r="R87" s="239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25">
      <c r="B88" s="382"/>
      <c r="D88" s="190"/>
      <c r="E88" s="190"/>
      <c r="F88" s="14"/>
      <c r="G88" s="190"/>
      <c r="H88" s="190"/>
      <c r="I88" s="170"/>
      <c r="J88" s="170"/>
      <c r="K88" s="170"/>
      <c r="L88" s="170"/>
      <c r="M88" s="170"/>
      <c r="N88" s="170"/>
      <c r="O88" s="149"/>
      <c r="P88" s="222"/>
      <c r="Q88" s="222"/>
      <c r="R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25">
      <c r="B89" s="382"/>
      <c r="C89" s="156" t="s">
        <v>194</v>
      </c>
      <c r="D89" s="190"/>
      <c r="E89" s="190"/>
      <c r="F89" s="14"/>
      <c r="G89" s="190"/>
      <c r="H89" s="190"/>
      <c r="I89" s="170"/>
      <c r="J89" s="170"/>
      <c r="K89" s="170"/>
      <c r="L89" s="170"/>
      <c r="M89" s="170"/>
      <c r="N89" s="170"/>
      <c r="O89" s="149"/>
      <c r="P89" s="39"/>
      <c r="Q89" s="39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25">
      <c r="B90" s="382"/>
      <c r="C90" s="47" t="s">
        <v>39</v>
      </c>
      <c r="D90" s="160">
        <v>0.26677769553417224</v>
      </c>
      <c r="E90" s="70">
        <v>0.18505427163856289</v>
      </c>
      <c r="F90" s="14">
        <f t="shared" si="12"/>
        <v>1.4416186839243934</v>
      </c>
      <c r="G90" s="163">
        <v>0.30473887308161879</v>
      </c>
      <c r="H90" s="163"/>
      <c r="I90" s="72">
        <f>E90/G90</f>
        <v>0.60725522073122407</v>
      </c>
      <c r="J90" s="72"/>
      <c r="K90" s="72"/>
      <c r="L90" s="72"/>
      <c r="M90" s="72"/>
      <c r="N90" s="72"/>
      <c r="O90" s="149"/>
      <c r="P90" s="38"/>
      <c r="Q90" s="3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25">
      <c r="B91" s="382"/>
      <c r="C91" s="47" t="s">
        <v>40</v>
      </c>
      <c r="D91" s="160">
        <v>8.4196891191709838E-2</v>
      </c>
      <c r="E91" s="70">
        <v>0.10284074978972244</v>
      </c>
      <c r="F91" s="14">
        <f t="shared" si="12"/>
        <v>0.81871137038446795</v>
      </c>
      <c r="G91" s="163">
        <v>0.18873899548508521</v>
      </c>
      <c r="H91" s="163"/>
      <c r="I91" s="72">
        <f t="shared" ref="I91:I95" si="14">E91/G91</f>
        <v>0.54488342234421427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25">
      <c r="B92" s="382"/>
      <c r="C92" s="47" t="s">
        <v>41</v>
      </c>
      <c r="D92" s="160">
        <v>0.16802368615840119</v>
      </c>
      <c r="E92" s="70">
        <v>0.17091310529899467</v>
      </c>
      <c r="F92" s="14">
        <f t="shared" si="12"/>
        <v>0.98309422126794344</v>
      </c>
      <c r="G92" s="163">
        <v>0.23710409413856129</v>
      </c>
      <c r="H92" s="163"/>
      <c r="I92" s="72">
        <f t="shared" si="14"/>
        <v>0.72083574060562083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25">
      <c r="B93" s="382"/>
      <c r="C93" s="47" t="s">
        <v>42</v>
      </c>
      <c r="D93" s="160">
        <v>0.19103133481371823</v>
      </c>
      <c r="E93" s="70">
        <v>0.19327512316257459</v>
      </c>
      <c r="F93" s="14">
        <f t="shared" si="12"/>
        <v>0.9883907027860539</v>
      </c>
      <c r="G93" s="163">
        <v>0.15506974852665406</v>
      </c>
      <c r="H93" s="163"/>
      <c r="I93" s="72">
        <f t="shared" si="14"/>
        <v>1.2463754213759728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x14ac:dyDescent="0.25">
      <c r="B94" s="382"/>
      <c r="C94" s="47" t="s">
        <v>43</v>
      </c>
      <c r="D94" s="160">
        <v>0.1810387367382186</v>
      </c>
      <c r="E94" s="70">
        <v>0.20392918652621461</v>
      </c>
      <c r="F94" s="14">
        <f t="shared" si="12"/>
        <v>0.88775294906080793</v>
      </c>
      <c r="G94" s="163">
        <v>8.2601748596435487E-2</v>
      </c>
      <c r="H94" s="163"/>
      <c r="I94" s="72">
        <f t="shared" si="14"/>
        <v>2.4688240865522642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ht="15.75" thickBot="1" x14ac:dyDescent="0.3">
      <c r="B95" s="383"/>
      <c r="C95" s="47" t="s">
        <v>44</v>
      </c>
      <c r="D95" s="160">
        <v>0.10893165556377991</v>
      </c>
      <c r="E95" s="70">
        <v>0.14398756358393078</v>
      </c>
      <c r="F95" s="14">
        <f t="shared" si="12"/>
        <v>0.75653516770761475</v>
      </c>
      <c r="G95" s="163">
        <v>3.1746540171645125E-2</v>
      </c>
      <c r="H95" s="163"/>
      <c r="I95" s="72">
        <f t="shared" si="14"/>
        <v>4.5355356144458012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5"/>
    </row>
    <row r="96" spans="2:37" ht="15.75" thickBot="1" x14ac:dyDescent="0.3">
      <c r="B96" s="266"/>
      <c r="C96" s="224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25"/>
    </row>
    <row r="97" spans="2:40" x14ac:dyDescent="0.25">
      <c r="B97" s="381" t="s">
        <v>45</v>
      </c>
      <c r="C97" s="5"/>
      <c r="D97" s="385" t="s">
        <v>46</v>
      </c>
      <c r="E97" s="385"/>
      <c r="F97" s="385" t="s">
        <v>47</v>
      </c>
      <c r="G97" s="385"/>
      <c r="H97" s="48"/>
      <c r="I97" s="42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7"/>
      <c r="AJ97" s="7"/>
      <c r="AK97" s="386" t="s">
        <v>48</v>
      </c>
    </row>
    <row r="98" spans="2:40" x14ac:dyDescent="0.25">
      <c r="B98" s="382"/>
      <c r="C98" s="1"/>
      <c r="D98" s="40" t="s">
        <v>49</v>
      </c>
      <c r="E98" s="40" t="s">
        <v>50</v>
      </c>
      <c r="F98" s="40" t="s">
        <v>49</v>
      </c>
      <c r="G98" s="40" t="s">
        <v>50</v>
      </c>
      <c r="H98" s="40"/>
      <c r="I98" s="41" t="s">
        <v>51</v>
      </c>
      <c r="J98" s="96" t="s">
        <v>52</v>
      </c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9"/>
      <c r="AJ98" s="99"/>
      <c r="AK98" s="387"/>
    </row>
    <row r="99" spans="2:40" x14ac:dyDescent="0.25">
      <c r="B99" s="382"/>
      <c r="C99" s="2" t="s">
        <v>53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4"/>
      <c r="AJ99" s="4"/>
      <c r="AK99" s="387"/>
    </row>
    <row r="100" spans="2:40" x14ac:dyDescent="0.25">
      <c r="B100" s="382"/>
      <c r="C100" s="1" t="s">
        <v>54</v>
      </c>
      <c r="D100" s="167">
        <v>1988169</v>
      </c>
      <c r="E100" s="163">
        <f>D100/D102</f>
        <v>0.65176530444654324</v>
      </c>
      <c r="F100" s="168">
        <v>236760</v>
      </c>
      <c r="G100" s="160">
        <f>F100/$F$102</f>
        <v>0.5968734480055059</v>
      </c>
      <c r="H100" s="160"/>
      <c r="I100" s="161">
        <f>G100/E100</f>
        <v>0.91577971999038887</v>
      </c>
      <c r="J100" s="191">
        <f>F100/D100</f>
        <v>0.11908444402865148</v>
      </c>
      <c r="K100" s="191"/>
      <c r="L100" s="161"/>
      <c r="M100" s="161"/>
      <c r="N100" s="161"/>
      <c r="P100" s="39"/>
      <c r="Q100" s="39"/>
      <c r="R100" s="39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82"/>
      <c r="AJ100" s="82"/>
      <c r="AK100" s="387"/>
    </row>
    <row r="101" spans="2:40" x14ac:dyDescent="0.25">
      <c r="B101" s="382"/>
      <c r="C101" s="1" t="s">
        <v>55</v>
      </c>
      <c r="D101" s="167">
        <f>SUM(D105:D111)</f>
        <v>1062268</v>
      </c>
      <c r="E101" s="163">
        <f>D101/D102</f>
        <v>0.34823469555345676</v>
      </c>
      <c r="F101" s="168">
        <f>SUM(F105:F111)</f>
        <v>159907</v>
      </c>
      <c r="G101" s="160">
        <f>F101/$F$102</f>
        <v>0.4031265519944941</v>
      </c>
      <c r="H101" s="160"/>
      <c r="I101" s="161">
        <f>G101/E101</f>
        <v>1.1576289127474693</v>
      </c>
      <c r="J101" s="191">
        <f>F101/D101</f>
        <v>0.15053357533127235</v>
      </c>
      <c r="K101" s="191"/>
      <c r="L101" s="161"/>
      <c r="M101" s="161"/>
      <c r="N101" s="161"/>
      <c r="P101" s="39"/>
      <c r="Q101" s="39"/>
      <c r="R101" s="39"/>
      <c r="S101" s="252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25">
      <c r="B102" s="382"/>
      <c r="C102" s="1" t="s">
        <v>53</v>
      </c>
      <c r="D102" s="167">
        <f>SUM(D100:D101)</f>
        <v>3050437</v>
      </c>
      <c r="E102" s="192"/>
      <c r="F102" s="168">
        <f>SUM(F100:F101)</f>
        <v>396667</v>
      </c>
      <c r="G102" s="169"/>
      <c r="H102" s="169"/>
      <c r="I102" s="161"/>
      <c r="J102" s="191">
        <f>F102/D102</f>
        <v>0.13003612269324036</v>
      </c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25">
      <c r="B103" s="382"/>
      <c r="C103" s="1"/>
      <c r="D103" s="192"/>
      <c r="E103" s="192"/>
      <c r="F103" s="168"/>
      <c r="G103" s="169"/>
      <c r="H103" s="169"/>
      <c r="I103" s="161"/>
      <c r="J103" s="191"/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25">
      <c r="B104" s="382"/>
      <c r="C104" s="2" t="s">
        <v>56</v>
      </c>
      <c r="D104" s="192"/>
      <c r="E104" s="192"/>
      <c r="F104" s="169"/>
      <c r="G104" s="169"/>
      <c r="H104" s="169"/>
      <c r="I104" s="161"/>
      <c r="J104" s="191"/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25">
      <c r="B105" s="382"/>
      <c r="C105" s="1" t="s">
        <v>57</v>
      </c>
      <c r="D105" s="167">
        <v>352098</v>
      </c>
      <c r="E105" s="163">
        <f>D105/$D$101</f>
        <v>0.33145872792929842</v>
      </c>
      <c r="F105" s="168">
        <v>51747</v>
      </c>
      <c r="G105" s="160">
        <f>F105/$F$101</f>
        <v>0.32360684647951621</v>
      </c>
      <c r="H105" s="160"/>
      <c r="I105" s="161">
        <f t="shared" ref="I105:I111" si="15">G105/E105</f>
        <v>0.97631113382098944</v>
      </c>
      <c r="J105" s="191">
        <f t="shared" ref="J105:J111" si="16">F105/D105</f>
        <v>0.14696760560980182</v>
      </c>
      <c r="K105" s="191"/>
      <c r="L105" s="163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25">
      <c r="B106" s="382"/>
      <c r="C106" s="1" t="s">
        <v>58</v>
      </c>
      <c r="D106" s="167">
        <v>181706</v>
      </c>
      <c r="E106" s="163">
        <f t="shared" ref="E106:E111" si="17">D106/$D$101</f>
        <v>0.17105476207510723</v>
      </c>
      <c r="F106" s="168">
        <v>35046</v>
      </c>
      <c r="G106" s="160">
        <f t="shared" ref="G106:G108" si="18">F106/$F$101</f>
        <v>0.21916488959207539</v>
      </c>
      <c r="H106" s="160"/>
      <c r="I106" s="161">
        <f t="shared" si="15"/>
        <v>1.2812557039238921</v>
      </c>
      <c r="J106" s="191">
        <f t="shared" si="16"/>
        <v>0.19287200202524957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25">
      <c r="B107" s="382"/>
      <c r="C107" s="1" t="s">
        <v>59</v>
      </c>
      <c r="D107" s="167">
        <v>143867</v>
      </c>
      <c r="E107" s="163">
        <f t="shared" si="17"/>
        <v>0.13543380766435589</v>
      </c>
      <c r="F107" s="168">
        <v>30709</v>
      </c>
      <c r="G107" s="160">
        <f t="shared" si="18"/>
        <v>0.19204287492104785</v>
      </c>
      <c r="H107" s="160"/>
      <c r="I107" s="161">
        <f t="shared" si="15"/>
        <v>1.4179832807845556</v>
      </c>
      <c r="J107" s="191">
        <f t="shared" si="16"/>
        <v>0.21345409301646659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25">
      <c r="B108" s="382"/>
      <c r="C108" s="172" t="s">
        <v>60</v>
      </c>
      <c r="D108" s="168">
        <v>260130</v>
      </c>
      <c r="E108" s="163">
        <f t="shared" si="17"/>
        <v>0.24488170593484884</v>
      </c>
      <c r="F108" s="174">
        <v>26975</v>
      </c>
      <c r="G108" s="160">
        <f t="shared" si="18"/>
        <v>0.16869180210997642</v>
      </c>
      <c r="H108" s="160"/>
      <c r="I108" s="161">
        <f t="shared" si="15"/>
        <v>0.68887057718740796</v>
      </c>
      <c r="J108" s="191">
        <f t="shared" si="16"/>
        <v>0.10369815092453773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25">
      <c r="B109" s="382"/>
      <c r="C109" s="1" t="s">
        <v>61</v>
      </c>
      <c r="D109" s="167">
        <v>51613</v>
      </c>
      <c r="E109" s="163">
        <f t="shared" si="17"/>
        <v>4.8587550411007395E-2</v>
      </c>
      <c r="F109" s="168">
        <v>4744</v>
      </c>
      <c r="G109" s="160">
        <f>F109/$F$101</f>
        <v>2.966724408562477E-2</v>
      </c>
      <c r="H109" s="160"/>
      <c r="I109" s="161">
        <f t="shared" si="15"/>
        <v>0.61059353341887612</v>
      </c>
      <c r="J109" s="191">
        <f t="shared" si="16"/>
        <v>9.1914827659698134E-2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 x14ac:dyDescent="0.25">
      <c r="B110" s="382"/>
      <c r="C110" s="1" t="s">
        <v>62</v>
      </c>
      <c r="D110" s="167">
        <v>59794</v>
      </c>
      <c r="E110" s="163">
        <f t="shared" si="17"/>
        <v>5.6288996750349256E-2</v>
      </c>
      <c r="F110" s="168">
        <v>8430</v>
      </c>
      <c r="G110" s="160">
        <f>F110/$F$101</f>
        <v>5.2718142420281791E-2</v>
      </c>
      <c r="H110" s="160"/>
      <c r="I110" s="161">
        <f t="shared" si="15"/>
        <v>0.93656212517155391</v>
      </c>
      <c r="J110" s="191">
        <f t="shared" si="16"/>
        <v>0.14098404522192862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  <c r="AN110" s="13"/>
    </row>
    <row r="111" spans="2:40" ht="15.75" thickBot="1" x14ac:dyDescent="0.3">
      <c r="B111" s="383"/>
      <c r="C111" s="9" t="s">
        <v>63</v>
      </c>
      <c r="D111" s="175">
        <v>13060</v>
      </c>
      <c r="E111" s="179">
        <f t="shared" si="17"/>
        <v>1.2294449235032968E-2</v>
      </c>
      <c r="F111" s="177">
        <v>2256</v>
      </c>
      <c r="G111" s="176">
        <f>F111/$F$101</f>
        <v>1.4108200391477546E-2</v>
      </c>
      <c r="H111" s="176"/>
      <c r="I111" s="178">
        <f t="shared" si="15"/>
        <v>1.1475260194068966</v>
      </c>
      <c r="J111" s="198">
        <f t="shared" si="16"/>
        <v>0.17274119448698316</v>
      </c>
      <c r="K111" s="198"/>
      <c r="L111" s="179"/>
      <c r="M111" s="178"/>
      <c r="N111" s="178"/>
      <c r="O111" s="100"/>
      <c r="P111" s="100"/>
      <c r="Q111" s="100"/>
      <c r="R111" s="100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83"/>
      <c r="AJ111" s="83"/>
      <c r="AK111" s="388"/>
    </row>
    <row r="112" spans="2:40" ht="15.75" thickBot="1" x14ac:dyDescent="0.3">
      <c r="D112" s="8"/>
    </row>
    <row r="113" spans="2:40" x14ac:dyDescent="0.25">
      <c r="B113" s="381" t="s">
        <v>64</v>
      </c>
      <c r="C113" s="21" t="s">
        <v>65</v>
      </c>
      <c r="D113" s="23" t="s">
        <v>66</v>
      </c>
      <c r="E113" s="48" t="s">
        <v>212</v>
      </c>
      <c r="F113" s="48" t="s">
        <v>68</v>
      </c>
      <c r="G113" s="48" t="s">
        <v>51</v>
      </c>
      <c r="H113" s="9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7"/>
      <c r="AK113" s="373" t="s">
        <v>19</v>
      </c>
    </row>
    <row r="114" spans="2:40" x14ac:dyDescent="0.25">
      <c r="B114" s="382"/>
      <c r="C114" s="1" t="s">
        <v>69</v>
      </c>
      <c r="D114" s="168">
        <v>134949</v>
      </c>
      <c r="E114" s="180">
        <v>777293</v>
      </c>
      <c r="F114" s="68"/>
      <c r="O114" s="8"/>
      <c r="AI114" s="4"/>
      <c r="AJ114" s="4"/>
      <c r="AK114" s="374"/>
    </row>
    <row r="115" spans="2:40" x14ac:dyDescent="0.25">
      <c r="B115" s="382"/>
      <c r="C115" s="1" t="s">
        <v>70</v>
      </c>
      <c r="D115" s="160">
        <f>D114/I56</f>
        <v>0.6166137396906628</v>
      </c>
      <c r="E115" s="261">
        <f>E114/3854921</f>
        <v>0.20163655753256682</v>
      </c>
      <c r="F115" s="68"/>
      <c r="O115" s="8"/>
      <c r="AI115" s="4"/>
      <c r="AJ115" s="4"/>
      <c r="AK115" s="374"/>
    </row>
    <row r="116" spans="2:40" x14ac:dyDescent="0.25">
      <c r="B116" s="382"/>
      <c r="C116" s="1"/>
      <c r="D116" s="199"/>
      <c r="E116" s="200"/>
      <c r="F116" s="14"/>
      <c r="O116" s="8"/>
      <c r="AI116" s="4"/>
      <c r="AJ116" s="4"/>
      <c r="AK116" s="374"/>
      <c r="AN116" s="8"/>
    </row>
    <row r="117" spans="2:40" ht="14.45" customHeight="1" x14ac:dyDescent="0.25">
      <c r="B117" s="382"/>
      <c r="C117" s="1" t="s">
        <v>71</v>
      </c>
      <c r="D117" s="168">
        <v>401091</v>
      </c>
      <c r="E117" s="183">
        <v>1752731</v>
      </c>
      <c r="F117" s="68"/>
      <c r="O117" s="8"/>
      <c r="AI117" s="4"/>
      <c r="AJ117" s="4"/>
      <c r="AK117" s="374"/>
      <c r="AL117" s="24"/>
      <c r="AN117" s="14"/>
    </row>
    <row r="118" spans="2:40" x14ac:dyDescent="0.25">
      <c r="B118" s="382"/>
      <c r="C118" s="1" t="s">
        <v>72</v>
      </c>
      <c r="D118" s="184">
        <f>D117/D114</f>
        <v>2.9721672631883154</v>
      </c>
      <c r="E118" s="161">
        <f>E117/E114</f>
        <v>2.2549167431071679</v>
      </c>
      <c r="F118" s="14"/>
      <c r="O118" s="8"/>
      <c r="AI118" s="4"/>
      <c r="AJ118" s="4"/>
      <c r="AK118" s="374"/>
    </row>
    <row r="119" spans="2:40" x14ac:dyDescent="0.25">
      <c r="B119" s="382"/>
      <c r="C119" s="1"/>
      <c r="D119" s="202"/>
      <c r="E119" s="169"/>
      <c r="F119" s="14"/>
      <c r="O119" s="8"/>
      <c r="AI119" s="4"/>
      <c r="AJ119" s="4"/>
      <c r="AK119" s="374"/>
      <c r="AN119" s="8"/>
    </row>
    <row r="120" spans="2:40" x14ac:dyDescent="0.25">
      <c r="B120" s="382"/>
      <c r="C120" s="1" t="s">
        <v>73</v>
      </c>
      <c r="D120" s="168">
        <v>228787</v>
      </c>
      <c r="E120" s="183">
        <v>1029885</v>
      </c>
      <c r="F120" s="14"/>
      <c r="O120" s="8"/>
      <c r="AI120" s="4"/>
      <c r="AJ120" s="4"/>
      <c r="AK120" s="374"/>
      <c r="AN120" s="14"/>
    </row>
    <row r="121" spans="2:40" x14ac:dyDescent="0.25">
      <c r="B121" s="382"/>
      <c r="C121" s="1" t="s">
        <v>74</v>
      </c>
      <c r="D121" s="184">
        <f>D120/D114</f>
        <v>1.6953589874693402</v>
      </c>
      <c r="E121" s="165">
        <f>E120/E114</f>
        <v>1.3249636880815856</v>
      </c>
      <c r="F121" s="14"/>
      <c r="AI121" s="4"/>
      <c r="AJ121" s="4"/>
      <c r="AK121" s="374"/>
    </row>
    <row r="122" spans="2:40" ht="15.75" thickBot="1" x14ac:dyDescent="0.3">
      <c r="B122" s="383"/>
      <c r="C122" s="9" t="s">
        <v>75</v>
      </c>
      <c r="D122" s="185">
        <f>D117/D120</f>
        <v>1.7531197139697623</v>
      </c>
      <c r="E122" s="186">
        <f>E117/E120</f>
        <v>1.7018705972026003</v>
      </c>
      <c r="F122" s="18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11"/>
      <c r="AJ122" s="11"/>
      <c r="AK122" s="375"/>
    </row>
    <row r="123" spans="2:40" x14ac:dyDescent="0.25">
      <c r="D123" s="37"/>
      <c r="E123" s="22"/>
      <c r="F123" s="14"/>
    </row>
    <row r="124" spans="2:40" s="35" customFormat="1" x14ac:dyDescent="0.25">
      <c r="B124" s="47"/>
      <c r="C124" s="78"/>
      <c r="D124" s="8"/>
      <c r="E124" s="13"/>
    </row>
    <row r="125" spans="2:40" s="35" customFormat="1" x14ac:dyDescent="0.25">
      <c r="B125" s="47"/>
      <c r="C125" s="78"/>
      <c r="D125" s="8"/>
      <c r="E125" s="34"/>
    </row>
    <row r="126" spans="2:40" s="35" customFormat="1" x14ac:dyDescent="0.25">
      <c r="B126" s="47"/>
      <c r="C126" s="78"/>
      <c r="D126" s="8"/>
    </row>
    <row r="127" spans="2:40" s="35" customFormat="1" x14ac:dyDescent="0.25">
      <c r="B127" s="47"/>
      <c r="C127" s="78"/>
      <c r="D127" s="262"/>
      <c r="E127" s="34"/>
    </row>
    <row r="128" spans="2:40" s="35" customFormat="1" x14ac:dyDescent="0.25">
      <c r="B128" s="47"/>
      <c r="C128" s="78"/>
      <c r="D128" s="8"/>
      <c r="E128" s="78"/>
    </row>
    <row r="129" spans="2:5" s="35" customFormat="1" x14ac:dyDescent="0.25">
      <c r="B129" s="47"/>
      <c r="C129" s="78"/>
      <c r="D129" s="8"/>
      <c r="E129" s="34"/>
    </row>
    <row r="130" spans="2:5" x14ac:dyDescent="0.25">
      <c r="E130" s="357"/>
    </row>
  </sheetData>
  <mergeCells count="15">
    <mergeCell ref="B113:B122"/>
    <mergeCell ref="AK113:AK122"/>
    <mergeCell ref="B4:B57"/>
    <mergeCell ref="B59:B95"/>
    <mergeCell ref="AK59:AK95"/>
    <mergeCell ref="B97:B111"/>
    <mergeCell ref="D97:E97"/>
    <mergeCell ref="F97:G97"/>
    <mergeCell ref="AK97:AK111"/>
    <mergeCell ref="AK3:AK57"/>
    <mergeCell ref="C2:AI2"/>
    <mergeCell ref="D3:Q3"/>
    <mergeCell ref="R3:W3"/>
    <mergeCell ref="X3:AC3"/>
    <mergeCell ref="AD3:AI3"/>
  </mergeCells>
  <phoneticPr fontId="10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8461-6A1D-4DA2-BF5E-F5869121A542}">
  <sheetPr>
    <tabColor theme="4"/>
  </sheetPr>
  <dimension ref="A1:AN126"/>
  <sheetViews>
    <sheetView zoomScaleNormal="100" workbookViewId="0">
      <pane ySplit="4" topLeftCell="A88" activePane="bottomLeft" state="frozen"/>
      <selection pane="bottomLeft" activeCell="F109" sqref="F109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 x14ac:dyDescent="0.3">
      <c r="A1" s="8"/>
      <c r="B1" s="155"/>
    </row>
    <row r="2" spans="1:39" ht="15.75" thickBot="1" x14ac:dyDescent="0.3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49" t="s">
        <v>211</v>
      </c>
      <c r="AK3" s="373" t="s">
        <v>10</v>
      </c>
    </row>
    <row r="4" spans="1:39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7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25">
      <c r="A23" s="8"/>
      <c r="B23" s="374"/>
      <c r="C23" s="263">
        <v>44958</v>
      </c>
      <c r="D23" s="246">
        <f t="shared" ref="D23:D56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7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7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25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25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25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25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25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25">
      <c r="A51" s="8"/>
      <c r="B51" s="374"/>
      <c r="C51" s="271">
        <v>45809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si="4"/>
        <v>6.3154291436541707E-2</v>
      </c>
      <c r="Q51" s="247">
        <f t="shared" si="3"/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25">
      <c r="A52" s="8"/>
      <c r="B52" s="374"/>
      <c r="C52" s="271">
        <v>45839</v>
      </c>
      <c r="D52" s="220">
        <f t="shared" si="2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4"/>
        <v>5.9703629818731264E-2</v>
      </c>
      <c r="Q52" s="247">
        <f t="shared" si="3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25">
      <c r="A53" s="8"/>
      <c r="B53" s="374"/>
      <c r="C53" s="271">
        <v>45870</v>
      </c>
      <c r="D53" s="220">
        <f t="shared" si="2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4"/>
        <v>7.1114947970332409E-2</v>
      </c>
      <c r="Q53" s="247">
        <f t="shared" si="3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25">
      <c r="A54" s="8"/>
      <c r="B54" s="374"/>
      <c r="C54" s="271">
        <v>45901</v>
      </c>
      <c r="D54" s="220">
        <f t="shared" si="2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4"/>
        <v>6.5012103194691168E-2</v>
      </c>
      <c r="Q54" s="247">
        <f t="shared" si="3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25">
      <c r="A55" s="8"/>
      <c r="B55" s="374"/>
      <c r="C55" s="271">
        <v>45931</v>
      </c>
      <c r="D55" s="220">
        <f t="shared" si="2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 t="shared" si="4"/>
        <v>6.1202291571607004E-2</v>
      </c>
      <c r="Q55" s="247">
        <f t="shared" si="3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x14ac:dyDescent="0.25">
      <c r="A56" s="8"/>
      <c r="B56" s="374"/>
      <c r="C56" s="271">
        <v>45962</v>
      </c>
      <c r="D56" s="220">
        <f t="shared" si="2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4"/>
        <v>5.8976295716070798E-2</v>
      </c>
      <c r="Q56" s="247">
        <f t="shared" si="3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x14ac:dyDescent="0.25">
      <c r="A57" s="8"/>
      <c r="B57" s="374"/>
      <c r="C57" s="271">
        <v>45992</v>
      </c>
      <c r="D57" s="221">
        <v>218855</v>
      </c>
      <c r="E57" s="220">
        <v>31069</v>
      </c>
      <c r="F57" s="220">
        <v>12905</v>
      </c>
      <c r="G57" s="251">
        <v>22331</v>
      </c>
      <c r="H57" s="311">
        <v>16667</v>
      </c>
      <c r="I57" s="221">
        <v>228075</v>
      </c>
      <c r="J57" s="283">
        <v>0.96319999999999995</v>
      </c>
      <c r="K57" s="283">
        <v>3.6999999999999998E-2</v>
      </c>
      <c r="L57" s="283">
        <v>0.67400000000000004</v>
      </c>
      <c r="M57" s="283">
        <v>0.30299999999999999</v>
      </c>
      <c r="N57" s="283">
        <v>2.35E-2</v>
      </c>
      <c r="O57" s="246">
        <f t="shared" si="1"/>
        <v>9220</v>
      </c>
      <c r="P57" s="247">
        <f t="shared" si="4"/>
        <v>0.10203559434328666</v>
      </c>
      <c r="Q57" s="247">
        <f t="shared" si="3"/>
        <v>7.6155445386214618E-2</v>
      </c>
      <c r="R57" s="366">
        <v>16029</v>
      </c>
      <c r="S57" s="367">
        <v>0.36099999999999999</v>
      </c>
      <c r="T57" s="368">
        <v>0.63900000000000001</v>
      </c>
      <c r="U57" s="369">
        <v>0.97870000000000001</v>
      </c>
      <c r="V57" s="286">
        <v>1.84E-2</v>
      </c>
      <c r="W57" s="286">
        <v>2.8999999999999998E-3</v>
      </c>
      <c r="X57" s="220">
        <v>12911</v>
      </c>
      <c r="Y57" s="228">
        <v>0.46210000000000001</v>
      </c>
      <c r="Z57" s="228">
        <f>1-Y57</f>
        <v>0.53790000000000004</v>
      </c>
      <c r="AA57" s="286">
        <v>0.73409999999999997</v>
      </c>
      <c r="AB57" s="286">
        <v>0.2107</v>
      </c>
      <c r="AC57" s="286">
        <v>5.5300000000000002E-2</v>
      </c>
      <c r="AD57" s="251">
        <v>2129</v>
      </c>
      <c r="AE57" s="231">
        <v>0.69840000000000002</v>
      </c>
      <c r="AF57" s="231">
        <v>0.30159999999999998</v>
      </c>
      <c r="AG57" s="227">
        <v>0.10440000000000001</v>
      </c>
      <c r="AH57" s="227">
        <v>0.26640000000000003</v>
      </c>
      <c r="AI57" s="227">
        <v>0.62929999999999997</v>
      </c>
      <c r="AJ57" s="372">
        <v>8.1501365888684174E-2</v>
      </c>
      <c r="AK57" s="380"/>
      <c r="AL57" s="39"/>
      <c r="AM57" s="142"/>
    </row>
    <row r="58" spans="1:39" ht="15.75" thickBot="1" x14ac:dyDescent="0.3">
      <c r="B58" s="375"/>
      <c r="C58" s="58" t="s">
        <v>78</v>
      </c>
      <c r="D58" s="113"/>
      <c r="E58" s="113">
        <f>SUM(E5:E57)</f>
        <v>667827</v>
      </c>
      <c r="F58" s="113">
        <f>SUM(F5:F56)</f>
        <v>388833.52</v>
      </c>
      <c r="G58" s="113">
        <f>SUM(G5:G56)</f>
        <v>415842</v>
      </c>
      <c r="H58" s="113"/>
      <c r="I58" s="113"/>
      <c r="J58" s="130"/>
      <c r="K58" s="130"/>
      <c r="L58" s="130"/>
      <c r="M58" s="130"/>
      <c r="N58" s="130"/>
      <c r="O58" s="146"/>
      <c r="P58" s="146"/>
      <c r="Q58" s="146"/>
      <c r="R58" s="333">
        <f>SUM(R5:R57)</f>
        <v>568220</v>
      </c>
      <c r="S58" s="354"/>
      <c r="T58" s="333"/>
      <c r="U58" s="130"/>
      <c r="V58" s="130"/>
      <c r="W58" s="130"/>
      <c r="X58" s="113">
        <f>SUM(X17:X57)</f>
        <v>89630</v>
      </c>
      <c r="Y58" s="113"/>
      <c r="Z58" s="130"/>
      <c r="AA58" s="130"/>
      <c r="AB58" s="130"/>
      <c r="AC58" s="130"/>
      <c r="AD58" s="113">
        <f>SUM(AD20:AD57)</f>
        <v>12697</v>
      </c>
      <c r="AE58" s="93"/>
      <c r="AF58" s="93"/>
      <c r="AG58" s="93"/>
      <c r="AH58" s="93"/>
      <c r="AI58" s="112"/>
      <c r="AJ58" s="83"/>
      <c r="AK58" s="375"/>
      <c r="AL58" s="8"/>
      <c r="AM58" s="142"/>
    </row>
    <row r="59" spans="1:39" ht="15.75" thickBot="1" x14ac:dyDescent="0.3">
      <c r="C59" s="324"/>
      <c r="D59" s="20"/>
      <c r="E59" s="100"/>
      <c r="F59" s="353"/>
      <c r="G59" s="10"/>
      <c r="H59" s="10"/>
      <c r="I59" s="10"/>
      <c r="J59" s="10"/>
      <c r="K59" s="10"/>
      <c r="L59" s="10"/>
      <c r="M59" s="10"/>
      <c r="N59" s="10"/>
      <c r="O59" s="10"/>
      <c r="P59" s="44"/>
      <c r="Q59" s="44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8"/>
      <c r="AM59" s="142"/>
    </row>
    <row r="60" spans="1:39" x14ac:dyDescent="0.25">
      <c r="B60" s="381" t="s">
        <v>13</v>
      </c>
      <c r="C60" s="94"/>
      <c r="D60" s="48" t="s">
        <v>188</v>
      </c>
      <c r="E60" s="48" t="s">
        <v>15</v>
      </c>
      <c r="F60" s="48" t="s">
        <v>189</v>
      </c>
      <c r="G60" s="48" t="s">
        <v>193</v>
      </c>
      <c r="H60" s="48"/>
      <c r="I60" s="48" t="s">
        <v>18</v>
      </c>
      <c r="J60" s="94"/>
      <c r="K60" s="94"/>
      <c r="L60" s="94"/>
      <c r="M60" s="94"/>
      <c r="N60" s="94"/>
      <c r="O60" s="94"/>
      <c r="P60" s="116"/>
      <c r="Q60" s="116"/>
      <c r="R60" s="116"/>
      <c r="S60" s="47"/>
      <c r="T60" s="94"/>
      <c r="U60" s="94"/>
      <c r="V60" s="94"/>
      <c r="W60" s="94"/>
      <c r="X60" s="94"/>
      <c r="Y60" s="94"/>
      <c r="AD60" s="94"/>
      <c r="AE60" s="94"/>
      <c r="AF60" s="94"/>
      <c r="AG60" s="94"/>
      <c r="AH60" s="94"/>
      <c r="AI60" s="49"/>
      <c r="AJ60" s="49"/>
      <c r="AK60" s="373" t="s">
        <v>19</v>
      </c>
      <c r="AM60" s="142"/>
    </row>
    <row r="61" spans="1:39" x14ac:dyDescent="0.25">
      <c r="B61" s="382"/>
      <c r="C61" s="156" t="s">
        <v>20</v>
      </c>
      <c r="D61" s="47"/>
      <c r="E61" s="47"/>
      <c r="F61" s="47"/>
      <c r="G61" s="260"/>
      <c r="H61" s="260"/>
      <c r="N61" s="289"/>
      <c r="O61" s="154"/>
      <c r="P61" s="158"/>
      <c r="Q61" s="73"/>
      <c r="T61" s="254"/>
      <c r="U61" s="254"/>
      <c r="V61" s="254"/>
      <c r="W61" s="254"/>
      <c r="Y61" s="47"/>
      <c r="Z61" s="47"/>
      <c r="AA61" s="239"/>
      <c r="AB61" s="47"/>
      <c r="AC61" s="47"/>
      <c r="AD61" s="47"/>
      <c r="AE61" s="47"/>
      <c r="AF61" s="47"/>
      <c r="AG61" s="47"/>
      <c r="AH61" s="47"/>
      <c r="AI61" s="12"/>
      <c r="AJ61" s="12"/>
      <c r="AK61" s="374"/>
      <c r="AM61" s="8"/>
    </row>
    <row r="62" spans="1:39" x14ac:dyDescent="0.25">
      <c r="B62" s="382"/>
      <c r="C62" s="47" t="s">
        <v>21</v>
      </c>
      <c r="D62" s="160">
        <v>0.41439999999999999</v>
      </c>
      <c r="E62" s="160">
        <v>0.43219999999999997</v>
      </c>
      <c r="F62" s="14">
        <f>D62/E62</f>
        <v>0.95881536325775107</v>
      </c>
      <c r="G62" s="160">
        <v>0.56810000000000005</v>
      </c>
      <c r="H62" s="160"/>
      <c r="I62" s="14">
        <f>E62/G62</f>
        <v>0.76078155254356616</v>
      </c>
      <c r="J62" s="14"/>
      <c r="K62" s="352"/>
      <c r="L62" s="14"/>
      <c r="M62" s="14"/>
      <c r="N62" s="14"/>
      <c r="O62" s="253"/>
      <c r="P62" s="73"/>
      <c r="R62" s="158"/>
      <c r="S62" s="158"/>
      <c r="T62" s="14"/>
      <c r="U62" s="14"/>
      <c r="V62" s="14"/>
      <c r="W62" s="14"/>
      <c r="X62" s="47"/>
      <c r="Y62" s="14"/>
      <c r="Z62" s="14"/>
      <c r="AA62" s="239"/>
      <c r="AB62" s="14"/>
      <c r="AC62" s="14"/>
      <c r="AD62" s="14"/>
      <c r="AE62" s="14"/>
      <c r="AF62" s="14"/>
      <c r="AG62" s="14"/>
      <c r="AH62" s="14"/>
      <c r="AI62" s="15"/>
      <c r="AJ62" s="15"/>
      <c r="AK62" s="374"/>
      <c r="AM62" s="8"/>
    </row>
    <row r="63" spans="1:39" x14ac:dyDescent="0.25">
      <c r="B63" s="382"/>
      <c r="C63" s="47" t="s">
        <v>22</v>
      </c>
      <c r="D63" s="160">
        <v>0.58560000000000001</v>
      </c>
      <c r="E63" s="160">
        <v>0.56779999999999997</v>
      </c>
      <c r="F63" s="14">
        <f>D63/E63</f>
        <v>1.0313490665727369</v>
      </c>
      <c r="G63" s="160">
        <v>0.43190000000000001</v>
      </c>
      <c r="H63" s="160"/>
      <c r="I63" s="14">
        <f t="shared" ref="I63:I80" si="5">E63/G63</f>
        <v>1.314656170409817</v>
      </c>
      <c r="J63" s="14"/>
      <c r="K63" s="14"/>
      <c r="L63" s="14"/>
      <c r="M63" s="14"/>
      <c r="N63" s="14"/>
      <c r="O63" s="149"/>
      <c r="P63" s="73"/>
      <c r="Q63" s="73"/>
      <c r="R63" s="158"/>
      <c r="S63" s="14"/>
      <c r="T63" s="14"/>
      <c r="U63" s="14"/>
      <c r="V63" s="14"/>
      <c r="W63" s="14"/>
      <c r="X63" s="14"/>
      <c r="Y63" s="14"/>
      <c r="Z63" s="14"/>
      <c r="AA63" s="239"/>
      <c r="AB63" s="14"/>
      <c r="AC63" s="14"/>
      <c r="AD63" s="14"/>
      <c r="AE63" s="14"/>
      <c r="AF63" s="14"/>
      <c r="AG63" s="14"/>
      <c r="AH63" s="14"/>
      <c r="AI63" s="15"/>
      <c r="AJ63" s="15"/>
      <c r="AK63" s="374"/>
    </row>
    <row r="64" spans="1:39" x14ac:dyDescent="0.25">
      <c r="B64" s="382"/>
      <c r="D64" s="190"/>
      <c r="E64" s="160"/>
      <c r="F64" s="14"/>
      <c r="G64" s="190"/>
      <c r="H64" s="190"/>
      <c r="I64" s="14"/>
      <c r="J64" s="170"/>
      <c r="K64" s="170"/>
      <c r="L64" s="170"/>
      <c r="M64" s="170"/>
      <c r="N64" s="170"/>
      <c r="O64" s="149"/>
      <c r="P64" s="222"/>
      <c r="Q64" s="222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25">
      <c r="B65" s="382"/>
      <c r="C65" s="156" t="s">
        <v>23</v>
      </c>
      <c r="D65" s="169"/>
      <c r="E65" s="162"/>
      <c r="F65" s="14"/>
      <c r="G65" s="190"/>
      <c r="H65" s="190"/>
      <c r="I65" s="14"/>
      <c r="J65" s="170"/>
      <c r="K65" s="170"/>
      <c r="L65" s="170"/>
      <c r="M65" s="170"/>
      <c r="N65" s="170"/>
      <c r="O65" s="149"/>
      <c r="P65" s="39"/>
      <c r="Q65" s="39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25">
      <c r="B66" s="382"/>
      <c r="C66" s="47" t="s">
        <v>24</v>
      </c>
      <c r="D66" s="166">
        <v>1.0200000000000001E-2</v>
      </c>
      <c r="E66" s="166">
        <v>4.5000000000000005E-3</v>
      </c>
      <c r="F66" s="14">
        <f t="shared" ref="F66:F71" si="6">D66/E66</f>
        <v>2.2666666666666666</v>
      </c>
      <c r="G66" s="166">
        <v>3.4999999999999996E-3</v>
      </c>
      <c r="H66" s="160"/>
      <c r="I66" s="14">
        <f t="shared" si="5"/>
        <v>1.285714285714286</v>
      </c>
      <c r="J66" s="14"/>
      <c r="K66" s="370"/>
      <c r="L66" s="14"/>
      <c r="M66" s="14"/>
      <c r="N66" s="14"/>
      <c r="O66" s="149"/>
      <c r="P66" s="39"/>
      <c r="Q66" s="39"/>
      <c r="R66" s="14"/>
      <c r="S66" s="14"/>
      <c r="T66" s="14"/>
      <c r="U66" s="14"/>
      <c r="V66" s="14"/>
      <c r="W66" s="14">
        <f>X55*Y55</f>
        <v>761</v>
      </c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25">
      <c r="B67" s="382"/>
      <c r="C67" s="47" t="s">
        <v>25</v>
      </c>
      <c r="D67" s="166">
        <v>0.11449999999999999</v>
      </c>
      <c r="E67" s="166">
        <v>8.7899999999999992E-2</v>
      </c>
      <c r="F67" s="14">
        <f t="shared" si="6"/>
        <v>1.3026166097838452</v>
      </c>
      <c r="G67" s="166">
        <v>5.8899999999999994E-2</v>
      </c>
      <c r="H67" s="160"/>
      <c r="I67" s="14">
        <f t="shared" si="5"/>
        <v>1.4923599320882852</v>
      </c>
      <c r="J67" s="14"/>
      <c r="K67" s="370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25">
      <c r="B68" s="382"/>
      <c r="C68" s="47" t="s">
        <v>26</v>
      </c>
      <c r="D68" s="166">
        <v>0.35700000000000004</v>
      </c>
      <c r="E68" s="166">
        <v>0.36049999999999999</v>
      </c>
      <c r="F68" s="14">
        <f t="shared" si="6"/>
        <v>0.99029126213592245</v>
      </c>
      <c r="G68" s="166">
        <v>0.26700000000000002</v>
      </c>
      <c r="H68" s="160"/>
      <c r="I68" s="14">
        <f t="shared" si="5"/>
        <v>1.3501872659176029</v>
      </c>
      <c r="J68" s="14"/>
      <c r="K68" s="370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25">
      <c r="B69" s="382"/>
      <c r="C69" s="47" t="s">
        <v>27</v>
      </c>
      <c r="D69" s="166">
        <v>0.3533</v>
      </c>
      <c r="E69" s="166">
        <v>0.37109999999999999</v>
      </c>
      <c r="F69" s="14">
        <f t="shared" si="6"/>
        <v>0.95203449205066026</v>
      </c>
      <c r="G69" s="166">
        <v>0.34840000000000004</v>
      </c>
      <c r="H69" s="160"/>
      <c r="I69" s="14">
        <f t="shared" si="5"/>
        <v>1.0651549942594718</v>
      </c>
      <c r="J69" s="14"/>
      <c r="K69" s="370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25">
      <c r="B70" s="382"/>
      <c r="C70" s="47" t="s">
        <v>28</v>
      </c>
      <c r="D70" s="166">
        <v>0.1376</v>
      </c>
      <c r="E70" s="166">
        <v>0.14810000000000001</v>
      </c>
      <c r="F70" s="14">
        <f t="shared" si="6"/>
        <v>0.92910195813639429</v>
      </c>
      <c r="G70" s="166">
        <v>0.20929999999999999</v>
      </c>
      <c r="H70" s="160"/>
      <c r="I70" s="14">
        <f t="shared" si="5"/>
        <v>0.70759675107501208</v>
      </c>
      <c r="J70" s="14"/>
      <c r="K70" s="370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25">
      <c r="B71" s="382"/>
      <c r="C71" s="47" t="s">
        <v>29</v>
      </c>
      <c r="D71" s="166">
        <v>2.7300000000000001E-2</v>
      </c>
      <c r="E71" s="166">
        <v>2.7900000000000001E-2</v>
      </c>
      <c r="F71" s="14">
        <f t="shared" si="6"/>
        <v>0.978494623655914</v>
      </c>
      <c r="G71" s="166">
        <v>0.113</v>
      </c>
      <c r="H71" s="160"/>
      <c r="I71" s="14">
        <f t="shared" si="5"/>
        <v>0.24690265486725663</v>
      </c>
      <c r="J71" s="14"/>
      <c r="K71" s="370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25">
      <c r="B72" s="382"/>
      <c r="D72" s="190"/>
      <c r="E72" s="190"/>
      <c r="F72" s="14"/>
      <c r="G72" s="190"/>
      <c r="H72" s="190"/>
      <c r="I72" s="170"/>
      <c r="J72" s="170"/>
      <c r="K72" s="170"/>
      <c r="L72" s="170"/>
      <c r="M72" s="170"/>
      <c r="N72" s="170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25">
      <c r="B73" s="382"/>
      <c r="C73" s="156" t="s">
        <v>30</v>
      </c>
      <c r="D73" s="169"/>
      <c r="E73" s="169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25">
      <c r="B74" s="382"/>
      <c r="C74" s="47" t="s">
        <v>31</v>
      </c>
      <c r="D74" s="160">
        <v>0.51670000000000005</v>
      </c>
      <c r="E74" s="163">
        <v>0.48249999999999998</v>
      </c>
      <c r="F74" s="14">
        <f>D74/E74</f>
        <v>1.0708808290155443</v>
      </c>
      <c r="G74" s="160">
        <v>0.4602</v>
      </c>
      <c r="H74" s="160"/>
      <c r="I74" s="14">
        <f>E74/G74</f>
        <v>1.048457192524989</v>
      </c>
      <c r="J74" s="14"/>
      <c r="K74" s="14"/>
      <c r="L74" s="14"/>
      <c r="M74" s="371"/>
      <c r="N74" s="370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25">
      <c r="B75" s="382"/>
      <c r="C75" s="47" t="s">
        <v>32</v>
      </c>
      <c r="D75" s="160">
        <v>0.10059999999999999</v>
      </c>
      <c r="E75" s="160">
        <v>9.9000000000000005E-2</v>
      </c>
      <c r="F75" s="14">
        <f>D75/E75</f>
        <v>1.016161616161616</v>
      </c>
      <c r="G75" s="160">
        <v>0.1187</v>
      </c>
      <c r="H75" s="160"/>
      <c r="I75" s="14">
        <f t="shared" si="5"/>
        <v>0.83403538331929239</v>
      </c>
      <c r="J75" s="14"/>
      <c r="K75" s="14"/>
      <c r="L75" s="14"/>
      <c r="M75" s="371"/>
      <c r="N75" s="370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25">
      <c r="B76" s="382"/>
      <c r="C76" s="47" t="s">
        <v>33</v>
      </c>
      <c r="D76" s="160">
        <v>0.1797</v>
      </c>
      <c r="E76" s="160">
        <v>0.19409999999999999</v>
      </c>
      <c r="F76" s="14">
        <f>D76/E76</f>
        <v>0.92581143740340033</v>
      </c>
      <c r="G76" s="160">
        <v>0.1439</v>
      </c>
      <c r="H76" s="160"/>
      <c r="I76" s="14">
        <f t="shared" si="5"/>
        <v>1.3488533703961083</v>
      </c>
      <c r="J76" s="14"/>
      <c r="K76" s="14"/>
      <c r="L76" s="14"/>
      <c r="M76" s="371"/>
      <c r="N76" s="370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25">
      <c r="B77" s="382"/>
      <c r="C77" s="47" t="s">
        <v>34</v>
      </c>
      <c r="D77" s="160">
        <v>0.10680000000000001</v>
      </c>
      <c r="E77" s="160">
        <v>0.12089999999999999</v>
      </c>
      <c r="F77" s="14">
        <f t="shared" ref="F77:F80" si="7">D77/E77</f>
        <v>0.88337468982630285</v>
      </c>
      <c r="G77" s="160">
        <v>0.1361</v>
      </c>
      <c r="H77" s="160"/>
      <c r="I77" s="14">
        <f t="shared" si="5"/>
        <v>0.8883174136664217</v>
      </c>
      <c r="J77" s="14"/>
      <c r="K77" s="14"/>
      <c r="L77" s="14"/>
      <c r="M77" s="371"/>
      <c r="N77" s="370"/>
      <c r="O77" s="223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25">
      <c r="B78" s="382"/>
      <c r="C78" s="47" t="s">
        <v>35</v>
      </c>
      <c r="D78" s="160">
        <v>2.3900000000000001E-2</v>
      </c>
      <c r="E78" s="160">
        <v>2.4400000000000002E-2</v>
      </c>
      <c r="F78" s="14">
        <f t="shared" si="7"/>
        <v>0.97950819672131151</v>
      </c>
      <c r="G78" s="160">
        <v>3.56E-2</v>
      </c>
      <c r="H78" s="160"/>
      <c r="I78" s="14">
        <f t="shared" si="5"/>
        <v>0.6853932584269663</v>
      </c>
      <c r="J78" s="14"/>
      <c r="K78" s="14"/>
      <c r="L78" s="14"/>
      <c r="M78" s="371"/>
      <c r="N78" s="370"/>
      <c r="O78" s="149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25">
      <c r="B79" s="382"/>
      <c r="C79" s="47" t="s">
        <v>36</v>
      </c>
      <c r="D79" s="160">
        <v>1.37E-2</v>
      </c>
      <c r="E79" s="160">
        <v>1.46E-2</v>
      </c>
      <c r="F79" s="14">
        <f t="shared" si="7"/>
        <v>0.93835616438356162</v>
      </c>
      <c r="G79" s="160">
        <v>2.6700000000000002E-2</v>
      </c>
      <c r="H79" s="160"/>
      <c r="I79" s="14">
        <f t="shared" si="5"/>
        <v>0.54681647940074907</v>
      </c>
      <c r="J79" s="14"/>
      <c r="K79" s="14"/>
      <c r="L79" s="14"/>
      <c r="M79" s="371"/>
      <c r="N79" s="370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25">
      <c r="B80" s="382"/>
      <c r="C80" s="47" t="s">
        <v>37</v>
      </c>
      <c r="D80" s="160">
        <v>5.8700000000000002E-2</v>
      </c>
      <c r="E80" s="160">
        <v>6.4399999999999999E-2</v>
      </c>
      <c r="F80" s="14">
        <f t="shared" si="7"/>
        <v>0.91149068322981375</v>
      </c>
      <c r="G80" s="160">
        <v>7.8700000000000006E-2</v>
      </c>
      <c r="H80" s="160"/>
      <c r="I80" s="14">
        <f t="shared" si="5"/>
        <v>0.81829733163913587</v>
      </c>
      <c r="J80" s="14"/>
      <c r="K80" s="14"/>
      <c r="L80" s="14"/>
      <c r="M80" s="371"/>
      <c r="N80" s="3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25">
      <c r="B81" s="382"/>
      <c r="D81" s="190"/>
      <c r="E81" s="190"/>
      <c r="F81" s="14"/>
      <c r="G81" s="190"/>
      <c r="H81" s="190"/>
      <c r="I81" s="170"/>
      <c r="J81" s="170"/>
      <c r="K81" s="170"/>
      <c r="L81" s="170"/>
      <c r="M81" s="170"/>
      <c r="N81" s="170"/>
      <c r="O81" s="149"/>
      <c r="P81" s="222"/>
      <c r="Q81" s="222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25">
      <c r="B82" s="382"/>
      <c r="C82" s="156" t="s">
        <v>38</v>
      </c>
      <c r="D82" s="169"/>
      <c r="E82" s="169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239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25">
      <c r="B83" s="382"/>
      <c r="C83" s="47" t="s">
        <v>39</v>
      </c>
      <c r="D83" s="160">
        <v>0.46350000000000002</v>
      </c>
      <c r="E83" s="13">
        <v>0.50280000000000002</v>
      </c>
      <c r="F83" s="14">
        <f>D83/E83</f>
        <v>0.92183770883054894</v>
      </c>
      <c r="G83" s="164">
        <v>0.54969999999999997</v>
      </c>
      <c r="H83" s="164"/>
      <c r="I83" s="72">
        <f>E83/G83</f>
        <v>0.91468073494633451</v>
      </c>
      <c r="J83" s="72"/>
      <c r="K83" s="72"/>
      <c r="L83" s="72"/>
      <c r="M83" s="72"/>
      <c r="N83" s="72"/>
      <c r="O83" s="149"/>
      <c r="P83" s="240"/>
      <c r="Q83" s="240"/>
      <c r="R83" s="241"/>
      <c r="S83" s="16"/>
      <c r="T83" s="16"/>
      <c r="U83" s="16"/>
      <c r="V83" s="16"/>
      <c r="W83" s="16"/>
      <c r="X83" s="68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36"/>
      <c r="AJ83" s="36"/>
      <c r="AK83" s="374"/>
    </row>
    <row r="84" spans="2:37" x14ac:dyDescent="0.25">
      <c r="B84" s="382"/>
      <c r="C84" s="47" t="s">
        <v>40</v>
      </c>
      <c r="D84" s="160">
        <v>4.1200000000000001E-2</v>
      </c>
      <c r="E84" s="13">
        <v>5.1200000000000002E-2</v>
      </c>
      <c r="F84" s="14">
        <f>D84/E84</f>
        <v>0.8046875</v>
      </c>
      <c r="G84" s="160">
        <v>6.6299999999999998E-2</v>
      </c>
      <c r="H84" s="160"/>
      <c r="I84" s="72">
        <f>E84/G84</f>
        <v>0.77224736048265463</v>
      </c>
      <c r="J84" s="72"/>
      <c r="K84" s="72"/>
      <c r="L84" s="72"/>
      <c r="M84" s="72"/>
      <c r="N84" s="72"/>
      <c r="O84" s="149"/>
      <c r="P84" s="240"/>
      <c r="Q84" s="240"/>
      <c r="R84" s="241"/>
      <c r="S84" s="14"/>
      <c r="T84" s="16"/>
      <c r="U84" s="16"/>
      <c r="V84" s="16"/>
      <c r="W84" s="16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/>
      <c r="AJ84" s="15"/>
      <c r="AK84" s="374"/>
    </row>
    <row r="85" spans="2:37" x14ac:dyDescent="0.25">
      <c r="B85" s="382"/>
      <c r="C85" s="47" t="s">
        <v>41</v>
      </c>
      <c r="D85" s="160">
        <v>8.1199999999999994E-2</v>
      </c>
      <c r="E85" s="13">
        <v>9.2399999999999996E-2</v>
      </c>
      <c r="F85" s="14">
        <f>D85/E85</f>
        <v>0.87878787878787878</v>
      </c>
      <c r="G85" s="160">
        <v>0.11650000000000001</v>
      </c>
      <c r="H85" s="160"/>
      <c r="I85" s="72">
        <f>E85/G85</f>
        <v>0.79313304721030031</v>
      </c>
      <c r="J85" s="72"/>
      <c r="K85" s="72"/>
      <c r="L85" s="72"/>
      <c r="M85" s="72"/>
      <c r="N85" s="72"/>
      <c r="O85" s="149"/>
      <c r="P85" s="240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25">
      <c r="B86" s="382"/>
      <c r="C86" s="47" t="s">
        <v>42</v>
      </c>
      <c r="D86" s="160">
        <v>0.1108</v>
      </c>
      <c r="E86" s="13">
        <v>0.1143</v>
      </c>
      <c r="F86" s="14">
        <f>D86/E86</f>
        <v>0.96937882764654415</v>
      </c>
      <c r="G86" s="160">
        <v>0.12</v>
      </c>
      <c r="H86" s="160"/>
      <c r="I86" s="72">
        <f>E86/G86</f>
        <v>0.95250000000000001</v>
      </c>
      <c r="J86" s="72"/>
      <c r="K86" s="72"/>
      <c r="L86" s="72"/>
      <c r="M86" s="72"/>
      <c r="N86" s="72"/>
      <c r="O86" s="149"/>
      <c r="P86" s="240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25">
      <c r="B87" s="382"/>
      <c r="C87" s="47" t="s">
        <v>43</v>
      </c>
      <c r="D87" s="160">
        <v>0.14810000000000001</v>
      </c>
      <c r="E87" s="13">
        <v>0.13220000000000001</v>
      </c>
      <c r="F87" s="14">
        <f>D87/E87</f>
        <v>1.1202723146747353</v>
      </c>
      <c r="G87" s="160">
        <v>0.10050000000000001</v>
      </c>
      <c r="H87" s="160"/>
      <c r="I87" s="72">
        <f>E87/G87</f>
        <v>1.3154228855721393</v>
      </c>
      <c r="J87" s="72"/>
      <c r="K87" s="72"/>
      <c r="L87" s="72"/>
      <c r="M87" s="72"/>
      <c r="N87" s="72"/>
      <c r="O87" s="149"/>
      <c r="P87" s="240"/>
      <c r="Q87" s="240"/>
      <c r="R87" s="241"/>
      <c r="S87" s="14"/>
      <c r="T87" s="16"/>
      <c r="U87" s="16"/>
      <c r="V87" s="16"/>
      <c r="W87" s="16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25">
      <c r="B88" s="382"/>
      <c r="C88" s="47" t="s">
        <v>44</v>
      </c>
      <c r="D88" s="160">
        <v>0.15509999999999999</v>
      </c>
      <c r="E88" s="13">
        <v>0.1071</v>
      </c>
      <c r="F88" s="14">
        <f t="shared" ref="F88:F96" si="8">D88/E88</f>
        <v>1.4481792717086834</v>
      </c>
      <c r="G88" s="160">
        <v>4.7E-2</v>
      </c>
      <c r="H88" s="160"/>
      <c r="I88" s="72">
        <f t="shared" ref="I88" si="9">E88/G88</f>
        <v>2.2787234042553193</v>
      </c>
      <c r="J88" s="72"/>
      <c r="K88" s="72"/>
      <c r="L88" s="72"/>
      <c r="M88" s="72"/>
      <c r="N88" s="72"/>
      <c r="P88" s="34"/>
      <c r="Q88" s="34"/>
      <c r="R88" s="239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25">
      <c r="B89" s="382"/>
      <c r="D89" s="190"/>
      <c r="E89" s="190"/>
      <c r="F89" s="14"/>
      <c r="G89" s="190"/>
      <c r="H89" s="190"/>
      <c r="I89" s="170"/>
      <c r="J89" s="170"/>
      <c r="K89" s="170"/>
      <c r="L89" s="170"/>
      <c r="M89" s="170"/>
      <c r="N89" s="170"/>
      <c r="O89" s="149"/>
      <c r="P89" s="222"/>
      <c r="Q89" s="222"/>
      <c r="R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25">
      <c r="B90" s="382"/>
      <c r="C90" s="156" t="s">
        <v>194</v>
      </c>
      <c r="D90" s="190"/>
      <c r="E90" s="190"/>
      <c r="F90" s="14"/>
      <c r="G90" s="190"/>
      <c r="H90" s="190"/>
      <c r="I90" s="170"/>
      <c r="J90" s="170"/>
      <c r="K90" s="170"/>
      <c r="L90" s="170"/>
      <c r="M90" s="170"/>
      <c r="N90" s="170"/>
      <c r="O90" s="149"/>
      <c r="P90" s="39"/>
      <c r="Q90" s="39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25">
      <c r="B91" s="382"/>
      <c r="C91" s="47" t="s">
        <v>39</v>
      </c>
      <c r="D91" s="160">
        <v>0.14299999999999999</v>
      </c>
      <c r="E91" s="13">
        <v>0.18540000000000001</v>
      </c>
      <c r="F91" s="14">
        <f t="shared" si="8"/>
        <v>0.77130528586839253</v>
      </c>
      <c r="G91" s="163">
        <v>0.32429999999999998</v>
      </c>
      <c r="H91" s="163"/>
      <c r="I91" s="72">
        <f>E91/G91</f>
        <v>0.57169287696577253</v>
      </c>
      <c r="J91" s="72"/>
      <c r="K91" s="72"/>
      <c r="L91" s="72"/>
      <c r="M91" s="72"/>
      <c r="N91" s="72"/>
      <c r="O91" s="149"/>
      <c r="P91" s="38"/>
      <c r="Q91" s="38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25">
      <c r="B92" s="382"/>
      <c r="C92" s="47" t="s">
        <v>40</v>
      </c>
      <c r="D92" s="160">
        <v>5.6300000000000003E-2</v>
      </c>
      <c r="E92" s="13">
        <v>0.1053</v>
      </c>
      <c r="F92" s="14">
        <f t="shared" si="8"/>
        <v>0.53466286799620133</v>
      </c>
      <c r="G92" s="163">
        <v>0.19589999999999999</v>
      </c>
      <c r="H92" s="163"/>
      <c r="I92" s="72">
        <f t="shared" ref="I92:I96" si="10">E92/G92</f>
        <v>0.53751914241960186</v>
      </c>
      <c r="J92" s="72"/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25">
      <c r="B93" s="382"/>
      <c r="C93" s="47" t="s">
        <v>41</v>
      </c>
      <c r="D93" s="160">
        <v>0.11990000000000001</v>
      </c>
      <c r="E93" s="13">
        <v>0.17499999999999999</v>
      </c>
      <c r="F93" s="14">
        <f t="shared" si="8"/>
        <v>0.68514285714285728</v>
      </c>
      <c r="G93" s="163">
        <v>0.2339</v>
      </c>
      <c r="H93" s="163"/>
      <c r="I93" s="72">
        <f t="shared" si="10"/>
        <v>0.74818298418127405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x14ac:dyDescent="0.25">
      <c r="B94" s="382"/>
      <c r="C94" s="47" t="s">
        <v>42</v>
      </c>
      <c r="D94" s="160">
        <v>0.17910000000000001</v>
      </c>
      <c r="E94" s="13">
        <v>0.1953</v>
      </c>
      <c r="F94" s="14">
        <f t="shared" si="8"/>
        <v>0.91705069124423966</v>
      </c>
      <c r="G94" s="163">
        <v>0.14410000000000001</v>
      </c>
      <c r="H94" s="163"/>
      <c r="I94" s="72">
        <f t="shared" si="10"/>
        <v>1.3553088133240805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x14ac:dyDescent="0.25">
      <c r="B95" s="382"/>
      <c r="C95" s="47" t="s">
        <v>43</v>
      </c>
      <c r="D95" s="160">
        <v>0.25480000000000003</v>
      </c>
      <c r="E95" s="13">
        <v>0.2014</v>
      </c>
      <c r="F95" s="14">
        <f t="shared" si="8"/>
        <v>1.2651439920556109</v>
      </c>
      <c r="G95" s="163">
        <v>7.3999999999999996E-2</v>
      </c>
      <c r="H95" s="163"/>
      <c r="I95" s="72">
        <f t="shared" si="10"/>
        <v>2.7216216216216216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4"/>
    </row>
    <row r="96" spans="2:37" ht="15.75" thickBot="1" x14ac:dyDescent="0.3">
      <c r="B96" s="383"/>
      <c r="C96" s="47" t="s">
        <v>44</v>
      </c>
      <c r="D96" s="160">
        <v>0.24690000000000001</v>
      </c>
      <c r="E96" s="13">
        <v>0.13769999999999999</v>
      </c>
      <c r="F96" s="14">
        <f t="shared" si="8"/>
        <v>1.7930283224400874</v>
      </c>
      <c r="G96" s="163">
        <v>2.7799999999999998E-2</v>
      </c>
      <c r="H96" s="163"/>
      <c r="I96" s="72">
        <f t="shared" si="10"/>
        <v>4.9532374100719423</v>
      </c>
      <c r="J96" s="72"/>
      <c r="K96" s="72"/>
      <c r="L96" s="72"/>
      <c r="M96" s="72"/>
      <c r="N96" s="72"/>
      <c r="O96" s="149"/>
      <c r="P96" s="38"/>
      <c r="Q96" s="38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/>
      <c r="AJ96" s="15"/>
      <c r="AK96" s="375"/>
    </row>
    <row r="97" spans="2:40" ht="15.75" thickBot="1" x14ac:dyDescent="0.3">
      <c r="B97" s="266"/>
      <c r="C97" s="224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25"/>
    </row>
    <row r="98" spans="2:40" x14ac:dyDescent="0.25">
      <c r="B98" s="381" t="s">
        <v>45</v>
      </c>
      <c r="C98" s="5"/>
      <c r="D98" s="385" t="s">
        <v>46</v>
      </c>
      <c r="E98" s="385"/>
      <c r="F98" s="385" t="s">
        <v>47</v>
      </c>
      <c r="G98" s="385"/>
      <c r="H98" s="48"/>
      <c r="I98" s="42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7"/>
      <c r="AJ98" s="7"/>
      <c r="AK98" s="386" t="s">
        <v>48</v>
      </c>
    </row>
    <row r="99" spans="2:40" x14ac:dyDescent="0.25">
      <c r="B99" s="382"/>
      <c r="C99" s="1"/>
      <c r="D99" s="40" t="s">
        <v>49</v>
      </c>
      <c r="E99" s="40" t="s">
        <v>50</v>
      </c>
      <c r="F99" s="40" t="s">
        <v>49</v>
      </c>
      <c r="G99" s="40" t="s">
        <v>50</v>
      </c>
      <c r="H99" s="40"/>
      <c r="I99" s="41" t="s">
        <v>51</v>
      </c>
      <c r="J99" s="96" t="s">
        <v>52</v>
      </c>
      <c r="K99" s="97"/>
      <c r="L99" s="97"/>
      <c r="M99" s="97"/>
      <c r="N99" s="97"/>
      <c r="O99" s="97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9"/>
      <c r="AJ99" s="99"/>
      <c r="AK99" s="387"/>
    </row>
    <row r="100" spans="2:40" x14ac:dyDescent="0.25">
      <c r="B100" s="382"/>
      <c r="C100" s="2" t="s">
        <v>53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4"/>
      <c r="AJ100" s="4"/>
      <c r="AK100" s="387"/>
    </row>
    <row r="101" spans="2:40" x14ac:dyDescent="0.25">
      <c r="B101" s="382"/>
      <c r="C101" s="1" t="s">
        <v>54</v>
      </c>
      <c r="D101" s="167">
        <v>3398438</v>
      </c>
      <c r="E101" s="163">
        <f>D101/D103</f>
        <v>0.67726137883645632</v>
      </c>
      <c r="F101" s="168">
        <v>304949</v>
      </c>
      <c r="G101" s="160">
        <f>F101/$F$103</f>
        <v>0.6376031312594872</v>
      </c>
      <c r="H101" s="160"/>
      <c r="I101" s="161">
        <f>G101/E101</f>
        <v>0.94144321702633849</v>
      </c>
      <c r="J101" s="191">
        <f>F101/D101</f>
        <v>8.9732106338264811E-2</v>
      </c>
      <c r="K101" s="191"/>
      <c r="L101" s="161"/>
      <c r="M101" s="161"/>
      <c r="N101" s="161"/>
      <c r="P101" s="39"/>
      <c r="Q101" s="39"/>
      <c r="R101" s="39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82"/>
      <c r="AJ101" s="82"/>
      <c r="AK101" s="387"/>
    </row>
    <row r="102" spans="2:40" x14ac:dyDescent="0.25">
      <c r="B102" s="382"/>
      <c r="C102" s="1" t="s">
        <v>55</v>
      </c>
      <c r="D102" s="167">
        <f>SUM(D106:D112)</f>
        <v>1619474</v>
      </c>
      <c r="E102" s="163">
        <f>D102/D103</f>
        <v>0.32273862116354374</v>
      </c>
      <c r="F102" s="168">
        <f>SUM(F106:F112)</f>
        <v>173325</v>
      </c>
      <c r="G102" s="160">
        <f>F102/$F$103</f>
        <v>0.36239686874051275</v>
      </c>
      <c r="H102" s="160"/>
      <c r="I102" s="161">
        <f>G102/E102</f>
        <v>1.1228803898151152</v>
      </c>
      <c r="J102" s="191">
        <f>F102/D102</f>
        <v>0.10702549099275444</v>
      </c>
      <c r="K102" s="191"/>
      <c r="L102" s="161"/>
      <c r="M102" s="161"/>
      <c r="N102" s="161"/>
      <c r="P102" s="39"/>
      <c r="Q102" s="39"/>
      <c r="R102" s="39"/>
      <c r="S102" s="252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25">
      <c r="B103" s="382"/>
      <c r="C103" s="1" t="s">
        <v>53</v>
      </c>
      <c r="D103" s="167">
        <f>SUM(D101:D102)</f>
        <v>5017912</v>
      </c>
      <c r="E103" s="192"/>
      <c r="F103" s="168">
        <f>SUM(F101:F102)</f>
        <v>478274</v>
      </c>
      <c r="G103" s="169"/>
      <c r="H103" s="169"/>
      <c r="I103" s="161"/>
      <c r="J103" s="191">
        <f>F103/D103</f>
        <v>9.5313349456905588E-2</v>
      </c>
      <c r="K103" s="191"/>
      <c r="L103" s="161"/>
      <c r="M103" s="161"/>
      <c r="N103" s="161"/>
      <c r="P103" s="39"/>
      <c r="Q103" s="39"/>
      <c r="R103" s="39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25">
      <c r="B104" s="382"/>
      <c r="C104" s="1"/>
      <c r="D104" s="192"/>
      <c r="E104" s="192"/>
      <c r="F104" s="168"/>
      <c r="G104" s="169"/>
      <c r="H104" s="169"/>
      <c r="I104" s="161"/>
      <c r="J104" s="191"/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25">
      <c r="B105" s="382"/>
      <c r="C105" s="2" t="s">
        <v>56</v>
      </c>
      <c r="D105" s="192"/>
      <c r="E105" s="192"/>
      <c r="F105" s="169"/>
      <c r="G105" s="169"/>
      <c r="H105" s="169"/>
      <c r="I105" s="161"/>
      <c r="J105" s="191"/>
      <c r="K105" s="191"/>
      <c r="L105" s="161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25">
      <c r="B106" s="382"/>
      <c r="C106" s="1" t="s">
        <v>57</v>
      </c>
      <c r="D106" s="167">
        <v>440876</v>
      </c>
      <c r="E106" s="163">
        <f>D106/$D$102</f>
        <v>0.27223407106257957</v>
      </c>
      <c r="F106" s="168">
        <v>44667</v>
      </c>
      <c r="G106" s="160">
        <f>F106/$F$102</f>
        <v>0.25770662051060145</v>
      </c>
      <c r="H106" s="160"/>
      <c r="I106" s="161">
        <f t="shared" ref="I106:I112" si="11">G106/E106</f>
        <v>0.94663617784770726</v>
      </c>
      <c r="J106" s="191">
        <f t="shared" ref="J106:J112" si="12">F106/D106</f>
        <v>0.10131420172565529</v>
      </c>
      <c r="K106" s="191"/>
      <c r="L106" s="163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25">
      <c r="B107" s="382"/>
      <c r="C107" s="1" t="s">
        <v>58</v>
      </c>
      <c r="D107" s="167">
        <v>214818</v>
      </c>
      <c r="E107" s="163">
        <f t="shared" ref="E107:E112" si="13">D107/$D$102</f>
        <v>0.13264677296455515</v>
      </c>
      <c r="F107" s="168">
        <v>32646</v>
      </c>
      <c r="G107" s="160">
        <f t="shared" ref="G107:G109" si="14">F107/$F$102</f>
        <v>0.18835136304630029</v>
      </c>
      <c r="H107" s="160"/>
      <c r="I107" s="161">
        <f t="shared" si="11"/>
        <v>1.4199468169242992</v>
      </c>
      <c r="J107" s="191">
        <f t="shared" si="12"/>
        <v>0.15197050526492192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25">
      <c r="B108" s="382"/>
      <c r="C108" s="1" t="s">
        <v>59</v>
      </c>
      <c r="D108" s="167">
        <v>205858</v>
      </c>
      <c r="E108" s="163">
        <f t="shared" si="13"/>
        <v>0.12711411235993908</v>
      </c>
      <c r="F108" s="168">
        <v>35597</v>
      </c>
      <c r="G108" s="160">
        <f t="shared" si="14"/>
        <v>0.20537718159526899</v>
      </c>
      <c r="H108" s="160"/>
      <c r="I108" s="161">
        <f t="shared" si="11"/>
        <v>1.6156914270361933</v>
      </c>
      <c r="J108" s="191">
        <f t="shared" si="12"/>
        <v>0.17292016827133266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25">
      <c r="B109" s="382"/>
      <c r="C109" s="172" t="s">
        <v>60</v>
      </c>
      <c r="D109" s="168">
        <v>610619</v>
      </c>
      <c r="E109" s="163">
        <f t="shared" si="13"/>
        <v>0.37704773278237252</v>
      </c>
      <c r="F109" s="168">
        <v>45342</v>
      </c>
      <c r="G109" s="160">
        <f t="shared" si="14"/>
        <v>0.26160103851146688</v>
      </c>
      <c r="H109" s="160"/>
      <c r="I109" s="161">
        <f t="shared" si="11"/>
        <v>0.69381411361637835</v>
      </c>
      <c r="J109" s="191">
        <f>F109/D109</f>
        <v>7.4255796167495614E-2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 x14ac:dyDescent="0.25">
      <c r="B110" s="382"/>
      <c r="C110" s="1" t="s">
        <v>61</v>
      </c>
      <c r="D110" s="173">
        <v>41428</v>
      </c>
      <c r="E110" s="163">
        <f t="shared" si="13"/>
        <v>2.5581145483039556E-2</v>
      </c>
      <c r="F110" s="174">
        <v>3608</v>
      </c>
      <c r="G110" s="160">
        <f>F110/$F$102</f>
        <v>2.0816385403144382E-2</v>
      </c>
      <c r="H110" s="160"/>
      <c r="I110" s="161">
        <f t="shared" si="11"/>
        <v>0.81373937757970083</v>
      </c>
      <c r="J110" s="191">
        <f t="shared" si="12"/>
        <v>8.7090856425605864E-2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</row>
    <row r="111" spans="2:40" x14ac:dyDescent="0.25">
      <c r="B111" s="382"/>
      <c r="C111" s="1" t="s">
        <v>62</v>
      </c>
      <c r="D111" s="167">
        <v>82246</v>
      </c>
      <c r="E111" s="163">
        <f t="shared" si="13"/>
        <v>5.0785625456166633E-2</v>
      </c>
      <c r="F111" s="168">
        <v>8160</v>
      </c>
      <c r="G111" s="160">
        <f>F111/$F$102</f>
        <v>4.7079186499350931E-2</v>
      </c>
      <c r="H111" s="160"/>
      <c r="I111" s="161">
        <f t="shared" si="11"/>
        <v>0.92701795195936398</v>
      </c>
      <c r="J111" s="191">
        <f t="shared" si="12"/>
        <v>9.9214551467548567E-2</v>
      </c>
      <c r="K111" s="191"/>
      <c r="L111" s="163"/>
      <c r="M111" s="161"/>
      <c r="N111" s="161"/>
      <c r="P111" s="39"/>
      <c r="Q111" s="39"/>
      <c r="R111" s="39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82"/>
      <c r="AJ111" s="82"/>
      <c r="AK111" s="387"/>
      <c r="AN111" s="13"/>
    </row>
    <row r="112" spans="2:40" ht="15.75" thickBot="1" x14ac:dyDescent="0.3">
      <c r="B112" s="383"/>
      <c r="C112" s="9" t="s">
        <v>63</v>
      </c>
      <c r="D112" s="175">
        <v>23629</v>
      </c>
      <c r="E112" s="179">
        <f t="shared" si="13"/>
        <v>1.4590539891347438E-2</v>
      </c>
      <c r="F112" s="177">
        <v>3305</v>
      </c>
      <c r="G112" s="176">
        <f>F112/$F$102</f>
        <v>1.9068224433867013E-2</v>
      </c>
      <c r="H112" s="176"/>
      <c r="I112" s="178">
        <f t="shared" si="11"/>
        <v>1.3068895720010303</v>
      </c>
      <c r="J112" s="198">
        <f t="shared" si="12"/>
        <v>0.13987049811672098</v>
      </c>
      <c r="K112" s="198"/>
      <c r="L112" s="179"/>
      <c r="M112" s="178"/>
      <c r="N112" s="178"/>
      <c r="O112" s="100"/>
      <c r="P112" s="100"/>
      <c r="Q112" s="100"/>
      <c r="R112" s="100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83"/>
      <c r="AJ112" s="83"/>
      <c r="AK112" s="388"/>
    </row>
    <row r="113" spans="2:40" ht="15.75" thickBot="1" x14ac:dyDescent="0.3">
      <c r="D113" s="8"/>
    </row>
    <row r="114" spans="2:40" x14ac:dyDescent="0.25">
      <c r="B114" s="381" t="s">
        <v>64</v>
      </c>
      <c r="C114" s="21" t="s">
        <v>65</v>
      </c>
      <c r="D114" s="23" t="s">
        <v>66</v>
      </c>
      <c r="E114" s="48" t="s">
        <v>212</v>
      </c>
      <c r="F114" s="48" t="s">
        <v>68</v>
      </c>
      <c r="G114" s="48" t="s">
        <v>51</v>
      </c>
      <c r="H114" s="9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7"/>
      <c r="AK114" s="373" t="s">
        <v>19</v>
      </c>
    </row>
    <row r="115" spans="2:40" x14ac:dyDescent="0.25">
      <c r="B115" s="382"/>
      <c r="C115" s="1" t="s">
        <v>69</v>
      </c>
      <c r="D115" s="168">
        <v>154467</v>
      </c>
      <c r="E115" s="180">
        <v>1082501</v>
      </c>
      <c r="F115" s="68"/>
      <c r="O115" s="8"/>
      <c r="AI115" s="4"/>
      <c r="AJ115" s="4"/>
      <c r="AK115" s="374"/>
    </row>
    <row r="116" spans="2:40" x14ac:dyDescent="0.25">
      <c r="B116" s="382"/>
      <c r="C116" s="1" t="s">
        <v>70</v>
      </c>
      <c r="D116" s="160">
        <f>D115/I56</f>
        <v>0.70579607502684427</v>
      </c>
      <c r="E116" s="261">
        <f>E115/3854921</f>
        <v>0.28081016446251428</v>
      </c>
      <c r="F116" s="68"/>
      <c r="O116" s="8"/>
      <c r="AI116" s="4"/>
      <c r="AJ116" s="4"/>
      <c r="AK116" s="374"/>
    </row>
    <row r="117" spans="2:40" x14ac:dyDescent="0.25">
      <c r="B117" s="382"/>
      <c r="C117" s="1"/>
      <c r="D117" s="199"/>
      <c r="E117" s="200"/>
      <c r="F117" s="14"/>
      <c r="O117" s="8"/>
      <c r="AI117" s="4"/>
      <c r="AJ117" s="4"/>
      <c r="AK117" s="374"/>
      <c r="AN117" s="8"/>
    </row>
    <row r="118" spans="2:40" ht="14.45" customHeight="1" x14ac:dyDescent="0.25">
      <c r="B118" s="382"/>
      <c r="C118" s="1" t="s">
        <v>71</v>
      </c>
      <c r="D118" s="168">
        <v>478274</v>
      </c>
      <c r="E118" s="183">
        <v>2682690</v>
      </c>
      <c r="F118" s="68"/>
      <c r="O118" s="8"/>
      <c r="AI118" s="4"/>
      <c r="AJ118" s="4"/>
      <c r="AK118" s="374"/>
      <c r="AL118" s="24"/>
      <c r="AN118" s="14"/>
    </row>
    <row r="119" spans="2:40" x14ac:dyDescent="0.25">
      <c r="B119" s="382"/>
      <c r="C119" s="1" t="s">
        <v>72</v>
      </c>
      <c r="D119" s="184">
        <f>D118/D115</f>
        <v>3.0962859380968104</v>
      </c>
      <c r="E119" s="161">
        <f>E118/E115</f>
        <v>2.4782332764588668</v>
      </c>
      <c r="F119" s="14"/>
      <c r="O119" s="8"/>
      <c r="AI119" s="4"/>
      <c r="AJ119" s="4"/>
      <c r="AK119" s="374"/>
    </row>
    <row r="120" spans="2:40" x14ac:dyDescent="0.25">
      <c r="B120" s="382"/>
      <c r="C120" s="1"/>
      <c r="D120" s="202"/>
      <c r="E120" s="169"/>
      <c r="F120" s="14"/>
      <c r="O120" s="8"/>
      <c r="AI120" s="4"/>
      <c r="AJ120" s="4"/>
      <c r="AK120" s="374"/>
      <c r="AN120" s="8"/>
    </row>
    <row r="121" spans="2:40" x14ac:dyDescent="0.25">
      <c r="B121" s="382"/>
      <c r="C121" s="1" t="s">
        <v>73</v>
      </c>
      <c r="D121" s="168">
        <v>243660</v>
      </c>
      <c r="E121" s="183">
        <v>1387596</v>
      </c>
      <c r="F121" s="14"/>
      <c r="O121" s="8"/>
      <c r="AI121" s="4"/>
      <c r="AJ121" s="4"/>
      <c r="AK121" s="374"/>
      <c r="AN121" s="14"/>
    </row>
    <row r="122" spans="2:40" x14ac:dyDescent="0.25">
      <c r="B122" s="382"/>
      <c r="C122" s="1" t="s">
        <v>74</v>
      </c>
      <c r="D122" s="184">
        <f>D121/D115</f>
        <v>1.5774243042203189</v>
      </c>
      <c r="E122" s="165">
        <f>E121/E115</f>
        <v>1.281842695757325</v>
      </c>
      <c r="F122" s="14"/>
      <c r="AI122" s="4"/>
      <c r="AJ122" s="4"/>
      <c r="AK122" s="374"/>
    </row>
    <row r="123" spans="2:40" ht="15.75" thickBot="1" x14ac:dyDescent="0.3">
      <c r="B123" s="383"/>
      <c r="C123" s="9" t="s">
        <v>75</v>
      </c>
      <c r="D123" s="185">
        <f>D118/D121</f>
        <v>1.9628744972502667</v>
      </c>
      <c r="E123" s="186">
        <f>E118/E121</f>
        <v>1.9333365042851089</v>
      </c>
      <c r="F123" s="18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11"/>
      <c r="AJ123" s="11"/>
      <c r="AK123" s="375"/>
    </row>
    <row r="124" spans="2:40" x14ac:dyDescent="0.25">
      <c r="D124" s="37"/>
      <c r="E124" s="22"/>
      <c r="F124" s="14"/>
    </row>
    <row r="125" spans="2:40" s="35" customFormat="1" x14ac:dyDescent="0.25">
      <c r="B125" s="47"/>
      <c r="C125" s="78"/>
      <c r="D125" s="8"/>
      <c r="E125" s="13"/>
    </row>
    <row r="126" spans="2:40" s="35" customFormat="1" x14ac:dyDescent="0.25">
      <c r="B126" s="47"/>
      <c r="C126" s="78"/>
      <c r="D126" s="8"/>
      <c r="E126" s="34"/>
    </row>
  </sheetData>
  <mergeCells count="15">
    <mergeCell ref="B114:B123"/>
    <mergeCell ref="AK114:AK123"/>
    <mergeCell ref="B4:B58"/>
    <mergeCell ref="B60:B96"/>
    <mergeCell ref="AK60:AK96"/>
    <mergeCell ref="B98:B112"/>
    <mergeCell ref="D98:E98"/>
    <mergeCell ref="F98:G98"/>
    <mergeCell ref="AK98:AK112"/>
    <mergeCell ref="AK3:AK58"/>
    <mergeCell ref="C2:AI2"/>
    <mergeCell ref="D3:Q3"/>
    <mergeCell ref="R3:W3"/>
    <mergeCell ref="X3:AC3"/>
    <mergeCell ref="AD3:AI3"/>
  </mergeCells>
  <pageMargins left="0.7" right="0.7" top="0.75" bottom="0.75" header="0.3" footer="0.3"/>
  <ignoredErrors>
    <ignoredError sqref="E102" formula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14AC9-19EC-40A1-825C-96556818043A}">
  <sheetPr>
    <tabColor theme="5" tint="-0.249977111117893"/>
  </sheetPr>
  <dimension ref="A1:AN127"/>
  <sheetViews>
    <sheetView tabSelected="1" zoomScale="85" zoomScaleNormal="85" workbookViewId="0">
      <pane ySplit="4" topLeftCell="A98" activePane="bottomLeft" state="frozen"/>
      <selection pane="bottomLeft" activeCell="L129" sqref="L129"/>
    </sheetView>
  </sheetViews>
  <sheetFormatPr defaultColWidth="8.85546875" defaultRowHeight="15" x14ac:dyDescent="0.25"/>
  <cols>
    <col min="1" max="1" width="8.85546875" style="3"/>
    <col min="2" max="2" width="12.85546875" style="47" customWidth="1"/>
    <col min="3" max="3" width="24.42578125" style="47" bestFit="1" customWidth="1"/>
    <col min="4" max="4" width="15.28515625" style="3" bestFit="1" customWidth="1"/>
    <col min="5" max="5" width="12.140625" style="3" bestFit="1" customWidth="1"/>
    <col min="6" max="6" width="15.28515625" style="3" bestFit="1" customWidth="1"/>
    <col min="7" max="7" width="10.85546875" style="3" bestFit="1" customWidth="1"/>
    <col min="8" max="8" width="10.85546875" style="3" customWidth="1"/>
    <col min="9" max="9" width="14.28515625" style="3" bestFit="1" customWidth="1"/>
    <col min="10" max="14" width="14.28515625" style="3" customWidth="1"/>
    <col min="15" max="16" width="13.28515625" style="3" customWidth="1"/>
    <col min="17" max="17" width="29.28515625" style="3" bestFit="1" customWidth="1"/>
    <col min="18" max="20" width="13.28515625" style="3" customWidth="1"/>
    <col min="21" max="21" width="21.5703125" style="3" bestFit="1" customWidth="1"/>
    <col min="22" max="22" width="20.140625" style="3" bestFit="1" customWidth="1"/>
    <col min="23" max="23" width="22" style="3" bestFit="1" customWidth="1"/>
    <col min="24" max="25" width="13.28515625" style="3" customWidth="1"/>
    <col min="26" max="26" width="16" style="3" bestFit="1" customWidth="1"/>
    <col min="27" max="27" width="26.42578125" style="3" customWidth="1"/>
    <col min="28" max="28" width="20.140625" style="3" bestFit="1" customWidth="1"/>
    <col min="29" max="29" width="22" style="3" bestFit="1" customWidth="1"/>
    <col min="30" max="31" width="13.28515625" style="3" customWidth="1"/>
    <col min="32" max="32" width="16" style="3" bestFit="1" customWidth="1"/>
    <col min="33" max="33" width="26.85546875" style="3" bestFit="1" customWidth="1"/>
    <col min="34" max="34" width="20.140625" style="3" bestFit="1" customWidth="1"/>
    <col min="35" max="35" width="22" style="3" bestFit="1" customWidth="1"/>
    <col min="36" max="36" width="38.7109375" style="3" bestFit="1" customWidth="1"/>
    <col min="37" max="37" width="14.28515625" style="47" customWidth="1"/>
    <col min="38" max="16384" width="8.85546875" style="3"/>
  </cols>
  <sheetData>
    <row r="1" spans="1:39" ht="15.75" thickBot="1" x14ac:dyDescent="0.3">
      <c r="A1" s="8"/>
      <c r="B1" s="155"/>
    </row>
    <row r="2" spans="1:39" ht="15.75" thickBot="1" x14ac:dyDescent="0.3">
      <c r="A2" s="149"/>
      <c r="B2" s="154"/>
      <c r="C2" s="396" t="s">
        <v>210</v>
      </c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  <c r="AF2" s="403"/>
      <c r="AG2" s="403"/>
      <c r="AH2" s="403"/>
      <c r="AI2" s="403"/>
      <c r="AJ2" s="224"/>
      <c r="AK2" s="27" t="s">
        <v>1</v>
      </c>
    </row>
    <row r="3" spans="1:39" ht="15.75" thickBot="1" x14ac:dyDescent="0.3">
      <c r="C3" s="5"/>
      <c r="D3" s="393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94"/>
      <c r="R3" s="393" t="s">
        <v>128</v>
      </c>
      <c r="S3" s="385"/>
      <c r="T3" s="385"/>
      <c r="U3" s="385"/>
      <c r="V3" s="385"/>
      <c r="W3" s="394"/>
      <c r="X3" s="393" t="s">
        <v>129</v>
      </c>
      <c r="Y3" s="385"/>
      <c r="Z3" s="385"/>
      <c r="AA3" s="385"/>
      <c r="AB3" s="385"/>
      <c r="AC3" s="394"/>
      <c r="AD3" s="393" t="s">
        <v>133</v>
      </c>
      <c r="AE3" s="385"/>
      <c r="AF3" s="385"/>
      <c r="AG3" s="385"/>
      <c r="AH3" s="385"/>
      <c r="AI3" s="395"/>
      <c r="AJ3" s="49" t="s">
        <v>211</v>
      </c>
      <c r="AK3" s="373" t="s">
        <v>10</v>
      </c>
    </row>
    <row r="4" spans="1:39" x14ac:dyDescent="0.25">
      <c r="B4" s="373" t="s">
        <v>2</v>
      </c>
      <c r="C4" s="233" t="s">
        <v>3</v>
      </c>
      <c r="D4" s="114" t="s">
        <v>4</v>
      </c>
      <c r="E4" s="114" t="s">
        <v>5</v>
      </c>
      <c r="F4" s="114" t="s">
        <v>6</v>
      </c>
      <c r="G4" s="114" t="s">
        <v>7</v>
      </c>
      <c r="H4" s="267" t="s">
        <v>196</v>
      </c>
      <c r="I4" s="114" t="s">
        <v>8</v>
      </c>
      <c r="J4" s="267" t="s">
        <v>183</v>
      </c>
      <c r="K4" s="267" t="s">
        <v>184</v>
      </c>
      <c r="L4" s="323" t="s">
        <v>185</v>
      </c>
      <c r="M4" s="267" t="s">
        <v>186</v>
      </c>
      <c r="N4" s="267" t="s">
        <v>187</v>
      </c>
      <c r="O4" s="114" t="s">
        <v>114</v>
      </c>
      <c r="P4" s="114" t="s">
        <v>9</v>
      </c>
      <c r="Q4" s="267" t="s">
        <v>197</v>
      </c>
      <c r="R4" s="114" t="s">
        <v>5</v>
      </c>
      <c r="S4" s="114" t="s">
        <v>115</v>
      </c>
      <c r="T4" s="114" t="s">
        <v>116</v>
      </c>
      <c r="U4" s="267" t="s">
        <v>168</v>
      </c>
      <c r="V4" s="267" t="s">
        <v>169</v>
      </c>
      <c r="W4" s="267" t="s">
        <v>170</v>
      </c>
      <c r="X4" s="114" t="s">
        <v>5</v>
      </c>
      <c r="Y4" s="62" t="s">
        <v>115</v>
      </c>
      <c r="Z4" s="91" t="s">
        <v>171</v>
      </c>
      <c r="AA4" s="268" t="s">
        <v>198</v>
      </c>
      <c r="AB4" s="268" t="s">
        <v>169</v>
      </c>
      <c r="AC4" s="269" t="s">
        <v>170</v>
      </c>
      <c r="AD4" s="114" t="s">
        <v>5</v>
      </c>
      <c r="AE4" s="114" t="s">
        <v>115</v>
      </c>
      <c r="AF4" s="270" t="s">
        <v>171</v>
      </c>
      <c r="AG4" s="269" t="s">
        <v>199</v>
      </c>
      <c r="AH4" s="269" t="s">
        <v>169</v>
      </c>
      <c r="AI4" s="325" t="s">
        <v>170</v>
      </c>
      <c r="AJ4" s="355"/>
      <c r="AK4" s="374"/>
    </row>
    <row r="5" spans="1:39" ht="14.25" customHeight="1" x14ac:dyDescent="0.25">
      <c r="B5" s="374"/>
      <c r="C5" s="263">
        <v>44409</v>
      </c>
      <c r="D5" s="52">
        <v>0</v>
      </c>
      <c r="E5" s="53">
        <v>16908</v>
      </c>
      <c r="F5" s="53">
        <v>16908</v>
      </c>
      <c r="G5" s="52">
        <v>0</v>
      </c>
      <c r="H5" s="52"/>
      <c r="I5" s="53">
        <v>16908</v>
      </c>
      <c r="J5" s="53"/>
      <c r="K5" s="53"/>
      <c r="L5" s="53"/>
      <c r="M5" s="53"/>
      <c r="N5" s="53"/>
      <c r="O5" s="53">
        <v>16908</v>
      </c>
      <c r="P5" s="52" t="s">
        <v>12</v>
      </c>
      <c r="Q5" s="52"/>
      <c r="R5" s="53">
        <v>16908</v>
      </c>
      <c r="S5" s="105">
        <v>1</v>
      </c>
      <c r="T5" s="105">
        <v>0</v>
      </c>
      <c r="U5" s="105"/>
      <c r="V5" s="105"/>
      <c r="W5" s="105"/>
      <c r="X5" s="52" t="s">
        <v>12</v>
      </c>
      <c r="Y5" s="52" t="s">
        <v>12</v>
      </c>
      <c r="Z5" s="249" t="s">
        <v>12</v>
      </c>
      <c r="AA5" s="249"/>
      <c r="AB5" s="249" t="s">
        <v>12</v>
      </c>
      <c r="AC5" s="249"/>
      <c r="AD5" s="52" t="s">
        <v>12</v>
      </c>
      <c r="AE5" s="52" t="s">
        <v>12</v>
      </c>
      <c r="AF5" s="249" t="s">
        <v>12</v>
      </c>
      <c r="AG5" s="249"/>
      <c r="AH5" s="249"/>
      <c r="AI5" s="249" t="s">
        <v>12</v>
      </c>
      <c r="AJ5" s="52"/>
      <c r="AK5" s="380"/>
    </row>
    <row r="6" spans="1:39" x14ac:dyDescent="0.25">
      <c r="B6" s="374"/>
      <c r="C6" s="263">
        <v>44440</v>
      </c>
      <c r="D6" s="53">
        <v>16908</v>
      </c>
      <c r="E6" s="53">
        <v>8838</v>
      </c>
      <c r="F6" s="53">
        <v>8527</v>
      </c>
      <c r="G6" s="53">
        <v>1662</v>
      </c>
      <c r="H6" s="53"/>
      <c r="I6" s="53">
        <v>24084</v>
      </c>
      <c r="J6" s="53"/>
      <c r="K6" s="53"/>
      <c r="L6" s="53"/>
      <c r="M6" s="53"/>
      <c r="N6" s="53"/>
      <c r="O6" s="53">
        <v>7176</v>
      </c>
      <c r="P6" s="140">
        <f>G6/I5</f>
        <v>9.829666430092264E-2</v>
      </c>
      <c r="Q6" s="140"/>
      <c r="R6" s="53">
        <v>8838</v>
      </c>
      <c r="S6" s="105">
        <v>0.96481104322244848</v>
      </c>
      <c r="T6" s="105">
        <v>3.5188956777551482E-2</v>
      </c>
      <c r="U6" s="105"/>
      <c r="V6" s="105"/>
      <c r="W6" s="105"/>
      <c r="X6" s="52" t="s">
        <v>12</v>
      </c>
      <c r="Y6" s="52" t="s">
        <v>12</v>
      </c>
      <c r="Z6" s="249" t="s">
        <v>12</v>
      </c>
      <c r="AA6" s="249"/>
      <c r="AB6" s="249" t="s">
        <v>12</v>
      </c>
      <c r="AC6" s="249"/>
      <c r="AD6" s="52" t="s">
        <v>12</v>
      </c>
      <c r="AE6" s="52" t="s">
        <v>12</v>
      </c>
      <c r="AF6" s="249" t="s">
        <v>12</v>
      </c>
      <c r="AG6" s="249"/>
      <c r="AH6" s="249"/>
      <c r="AI6" s="249" t="s">
        <v>12</v>
      </c>
      <c r="AJ6" s="52"/>
      <c r="AK6" s="380"/>
      <c r="AL6" s="39"/>
      <c r="AM6" s="39"/>
    </row>
    <row r="7" spans="1:39" x14ac:dyDescent="0.25">
      <c r="B7" s="374"/>
      <c r="C7" s="263">
        <v>44470</v>
      </c>
      <c r="D7" s="53">
        <v>24084</v>
      </c>
      <c r="E7" s="53">
        <v>10402</v>
      </c>
      <c r="F7" s="53">
        <v>9588</v>
      </c>
      <c r="G7" s="53">
        <v>2038</v>
      </c>
      <c r="H7" s="53"/>
      <c r="I7" s="53">
        <v>32448</v>
      </c>
      <c r="J7" s="53"/>
      <c r="K7" s="53"/>
      <c r="L7" s="53"/>
      <c r="M7" s="53"/>
      <c r="N7" s="53"/>
      <c r="O7" s="53">
        <v>8364</v>
      </c>
      <c r="P7" s="140">
        <f t="shared" ref="P7:P20" si="0">G7/I6</f>
        <v>8.4620494934396273E-2</v>
      </c>
      <c r="Q7" s="140"/>
      <c r="R7" s="53">
        <v>10402</v>
      </c>
      <c r="S7" s="105">
        <v>0.92174581811190159</v>
      </c>
      <c r="T7" s="105">
        <v>7.8254181888098448E-2</v>
      </c>
      <c r="U7" s="105"/>
      <c r="V7" s="105"/>
      <c r="W7" s="105"/>
      <c r="X7" s="52" t="s">
        <v>12</v>
      </c>
      <c r="Y7" s="52" t="s">
        <v>12</v>
      </c>
      <c r="Z7" s="249" t="s">
        <v>12</v>
      </c>
      <c r="AA7" s="249"/>
      <c r="AB7" s="249" t="s">
        <v>12</v>
      </c>
      <c r="AC7" s="249"/>
      <c r="AD7" s="52" t="s">
        <v>12</v>
      </c>
      <c r="AE7" s="52" t="s">
        <v>12</v>
      </c>
      <c r="AF7" s="249" t="s">
        <v>12</v>
      </c>
      <c r="AG7" s="249"/>
      <c r="AH7" s="249"/>
      <c r="AI7" s="249" t="s">
        <v>12</v>
      </c>
      <c r="AJ7" s="52"/>
      <c r="AK7" s="380"/>
      <c r="AL7" s="39"/>
      <c r="AM7" s="39"/>
    </row>
    <row r="8" spans="1:39" x14ac:dyDescent="0.25">
      <c r="B8" s="374"/>
      <c r="C8" s="263">
        <v>44501</v>
      </c>
      <c r="D8" s="53">
        <v>32448</v>
      </c>
      <c r="E8" s="53">
        <v>7055</v>
      </c>
      <c r="F8" s="53">
        <v>6350</v>
      </c>
      <c r="G8" s="53">
        <v>1765</v>
      </c>
      <c r="H8" s="53"/>
      <c r="I8" s="53">
        <v>37738</v>
      </c>
      <c r="J8" s="53"/>
      <c r="K8" s="53"/>
      <c r="L8" s="53"/>
      <c r="M8" s="53"/>
      <c r="N8" s="53"/>
      <c r="O8" s="53">
        <v>5290</v>
      </c>
      <c r="P8" s="140">
        <f t="shared" si="0"/>
        <v>5.4394723865877709E-2</v>
      </c>
      <c r="Q8" s="140"/>
      <c r="R8" s="53">
        <v>7055</v>
      </c>
      <c r="S8" s="105">
        <v>0.90007087172218281</v>
      </c>
      <c r="T8" s="105">
        <v>9.992912827781715E-2</v>
      </c>
      <c r="U8" s="105"/>
      <c r="V8" s="105"/>
      <c r="W8" s="105"/>
      <c r="X8" s="52" t="s">
        <v>12</v>
      </c>
      <c r="Y8" s="52" t="s">
        <v>12</v>
      </c>
      <c r="Z8" s="249" t="s">
        <v>12</v>
      </c>
      <c r="AA8" s="249"/>
      <c r="AB8" s="249" t="s">
        <v>12</v>
      </c>
      <c r="AC8" s="249"/>
      <c r="AD8" s="52" t="s">
        <v>12</v>
      </c>
      <c r="AE8" s="52" t="s">
        <v>12</v>
      </c>
      <c r="AF8" s="249" t="s">
        <v>12</v>
      </c>
      <c r="AG8" s="249"/>
      <c r="AH8" s="249"/>
      <c r="AI8" s="249" t="s">
        <v>12</v>
      </c>
      <c r="AJ8" s="52"/>
      <c r="AK8" s="380"/>
      <c r="AL8" s="39"/>
      <c r="AM8" s="39"/>
    </row>
    <row r="9" spans="1:39" x14ac:dyDescent="0.25">
      <c r="B9" s="374"/>
      <c r="C9" s="263">
        <v>44531</v>
      </c>
      <c r="D9" s="53">
        <v>37738</v>
      </c>
      <c r="E9" s="53">
        <v>4453</v>
      </c>
      <c r="F9" s="53">
        <v>3751</v>
      </c>
      <c r="G9" s="53">
        <v>2136</v>
      </c>
      <c r="H9" s="53"/>
      <c r="I9" s="53">
        <v>40055</v>
      </c>
      <c r="J9" s="53"/>
      <c r="K9" s="53"/>
      <c r="L9" s="53"/>
      <c r="M9" s="53"/>
      <c r="N9" s="53"/>
      <c r="O9" s="53">
        <v>2317</v>
      </c>
      <c r="P9" s="140">
        <f t="shared" si="0"/>
        <v>5.6600773755895915E-2</v>
      </c>
      <c r="Q9" s="140"/>
      <c r="R9" s="53">
        <v>4453</v>
      </c>
      <c r="S9" s="105">
        <v>0.84235346957107571</v>
      </c>
      <c r="T9" s="105">
        <v>0.15764653042892432</v>
      </c>
      <c r="U9" s="105"/>
      <c r="V9" s="105"/>
      <c r="W9" s="105"/>
      <c r="X9" s="52" t="s">
        <v>12</v>
      </c>
      <c r="Y9" s="52" t="s">
        <v>12</v>
      </c>
      <c r="Z9" s="249" t="s">
        <v>12</v>
      </c>
      <c r="AA9" s="249"/>
      <c r="AB9" s="249" t="s">
        <v>12</v>
      </c>
      <c r="AC9" s="249"/>
      <c r="AD9" s="52" t="s">
        <v>12</v>
      </c>
      <c r="AE9" s="52" t="s">
        <v>12</v>
      </c>
      <c r="AF9" s="249" t="s">
        <v>12</v>
      </c>
      <c r="AG9" s="249"/>
      <c r="AH9" s="249"/>
      <c r="AI9" s="249" t="s">
        <v>12</v>
      </c>
      <c r="AJ9" s="52"/>
      <c r="AK9" s="380"/>
      <c r="AL9" s="39"/>
      <c r="AM9" s="39"/>
    </row>
    <row r="10" spans="1:39" x14ac:dyDescent="0.25">
      <c r="B10" s="374"/>
      <c r="C10" s="263">
        <v>44562</v>
      </c>
      <c r="D10" s="53">
        <v>40055</v>
      </c>
      <c r="E10" s="53">
        <v>1126</v>
      </c>
      <c r="F10" s="52">
        <v>890</v>
      </c>
      <c r="G10" s="53">
        <v>2158</v>
      </c>
      <c r="H10" s="53"/>
      <c r="I10" s="53">
        <v>39023</v>
      </c>
      <c r="J10" s="53"/>
      <c r="K10" s="53"/>
      <c r="L10" s="53"/>
      <c r="M10" s="53"/>
      <c r="N10" s="53"/>
      <c r="O10" s="53">
        <v>-1032</v>
      </c>
      <c r="P10" s="140">
        <f t="shared" si="0"/>
        <v>5.3875920609162402E-2</v>
      </c>
      <c r="Q10" s="140"/>
      <c r="R10" s="53">
        <v>1126</v>
      </c>
      <c r="S10" s="105">
        <v>0.79040852575488452</v>
      </c>
      <c r="T10" s="105">
        <v>0.20959147424511546</v>
      </c>
      <c r="U10" s="105"/>
      <c r="V10" s="105"/>
      <c r="W10" s="105"/>
      <c r="X10" s="52" t="s">
        <v>12</v>
      </c>
      <c r="Y10" s="52" t="s">
        <v>12</v>
      </c>
      <c r="Z10" s="249" t="s">
        <v>12</v>
      </c>
      <c r="AA10" s="249"/>
      <c r="AB10" s="249" t="s">
        <v>12</v>
      </c>
      <c r="AC10" s="249"/>
      <c r="AD10" s="52" t="s">
        <v>12</v>
      </c>
      <c r="AE10" s="52" t="s">
        <v>12</v>
      </c>
      <c r="AF10" s="249" t="s">
        <v>12</v>
      </c>
      <c r="AG10" s="249"/>
      <c r="AH10" s="249"/>
      <c r="AI10" s="249" t="s">
        <v>12</v>
      </c>
      <c r="AJ10" s="140">
        <v>2.0123349105757578E-2</v>
      </c>
      <c r="AK10" s="380"/>
      <c r="AL10" s="39"/>
      <c r="AM10" s="39"/>
    </row>
    <row r="11" spans="1:39" x14ac:dyDescent="0.25">
      <c r="B11" s="374"/>
      <c r="C11" s="263">
        <v>44593</v>
      </c>
      <c r="D11" s="53">
        <v>39023</v>
      </c>
      <c r="E11" s="53">
        <v>2415</v>
      </c>
      <c r="F11" s="53">
        <v>1593</v>
      </c>
      <c r="G11" s="53">
        <v>2117</v>
      </c>
      <c r="H11" s="53"/>
      <c r="I11" s="53">
        <v>39321</v>
      </c>
      <c r="J11" s="53"/>
      <c r="K11" s="53"/>
      <c r="L11" s="53"/>
      <c r="M11" s="53"/>
      <c r="N11" s="53"/>
      <c r="O11" s="53">
        <v>298</v>
      </c>
      <c r="P11" s="140">
        <f t="shared" si="0"/>
        <v>5.4250057658304075E-2</v>
      </c>
      <c r="Q11" s="140"/>
      <c r="R11" s="53">
        <v>2415</v>
      </c>
      <c r="S11" s="105">
        <v>0.65962732919254663</v>
      </c>
      <c r="T11" s="105">
        <v>0.34037267080745343</v>
      </c>
      <c r="U11" s="105"/>
      <c r="V11" s="105"/>
      <c r="W11" s="105"/>
      <c r="X11" s="52" t="s">
        <v>12</v>
      </c>
      <c r="Y11" s="52" t="s">
        <v>12</v>
      </c>
      <c r="Z11" s="249" t="s">
        <v>12</v>
      </c>
      <c r="AA11" s="249"/>
      <c r="AB11" s="249" t="s">
        <v>12</v>
      </c>
      <c r="AC11" s="249"/>
      <c r="AD11" s="52" t="s">
        <v>12</v>
      </c>
      <c r="AE11" s="52" t="s">
        <v>12</v>
      </c>
      <c r="AF11" s="249" t="s">
        <v>12</v>
      </c>
      <c r="AG11" s="249"/>
      <c r="AH11" s="249"/>
      <c r="AI11" s="249" t="s">
        <v>12</v>
      </c>
      <c r="AJ11" s="140">
        <v>2.2649517085388919E-2</v>
      </c>
      <c r="AK11" s="380"/>
      <c r="AL11" s="39"/>
      <c r="AM11" s="39"/>
    </row>
    <row r="12" spans="1:39" x14ac:dyDescent="0.25">
      <c r="B12" s="374"/>
      <c r="C12" s="263">
        <v>44621</v>
      </c>
      <c r="D12" s="53">
        <v>39321</v>
      </c>
      <c r="E12" s="53">
        <v>4303</v>
      </c>
      <c r="F12" s="53">
        <v>3269</v>
      </c>
      <c r="G12" s="53">
        <v>1616</v>
      </c>
      <c r="H12" s="53"/>
      <c r="I12" s="53">
        <v>42008</v>
      </c>
      <c r="J12" s="53"/>
      <c r="K12" s="53"/>
      <c r="L12" s="53"/>
      <c r="M12" s="53"/>
      <c r="N12" s="53"/>
      <c r="O12" s="53">
        <v>2687</v>
      </c>
      <c r="P12" s="140">
        <f t="shared" si="0"/>
        <v>4.1097632308435696E-2</v>
      </c>
      <c r="Q12" s="140"/>
      <c r="R12" s="53">
        <v>4303</v>
      </c>
      <c r="S12" s="105">
        <v>0.75970253311643043</v>
      </c>
      <c r="T12" s="105">
        <v>0.24029746688356959</v>
      </c>
      <c r="U12" s="105"/>
      <c r="V12" s="105"/>
      <c r="W12" s="105"/>
      <c r="X12" s="52" t="s">
        <v>12</v>
      </c>
      <c r="Y12" s="52" t="s">
        <v>12</v>
      </c>
      <c r="Z12" s="249" t="s">
        <v>12</v>
      </c>
      <c r="AA12" s="249"/>
      <c r="AB12" s="249" t="s">
        <v>12</v>
      </c>
      <c r="AC12" s="249"/>
      <c r="AD12" s="52" t="s">
        <v>12</v>
      </c>
      <c r="AE12" s="52" t="s">
        <v>12</v>
      </c>
      <c r="AF12" s="249" t="s">
        <v>12</v>
      </c>
      <c r="AG12" s="249"/>
      <c r="AH12" s="249"/>
      <c r="AI12" s="249" t="s">
        <v>12</v>
      </c>
      <c r="AJ12" s="140">
        <v>1.614453890555587E-2</v>
      </c>
      <c r="AK12" s="380"/>
      <c r="AL12" s="39"/>
      <c r="AM12" s="39"/>
    </row>
    <row r="13" spans="1:39" x14ac:dyDescent="0.25">
      <c r="B13" s="374"/>
      <c r="C13" s="263">
        <v>44652</v>
      </c>
      <c r="D13" s="53">
        <v>42008</v>
      </c>
      <c r="E13" s="53">
        <v>7320</v>
      </c>
      <c r="F13" s="53">
        <v>6176</v>
      </c>
      <c r="G13" s="53">
        <v>1969</v>
      </c>
      <c r="H13" s="53"/>
      <c r="I13" s="53">
        <v>47359</v>
      </c>
      <c r="J13" s="53"/>
      <c r="K13" s="53"/>
      <c r="L13" s="53"/>
      <c r="M13" s="53"/>
      <c r="N13" s="53"/>
      <c r="O13" s="53">
        <v>5351</v>
      </c>
      <c r="P13" s="140">
        <f t="shared" si="0"/>
        <v>4.6872024376309274E-2</v>
      </c>
      <c r="Q13" s="140"/>
      <c r="R13" s="53">
        <v>7320</v>
      </c>
      <c r="S13" s="105">
        <v>0.8437158469945355</v>
      </c>
      <c r="T13" s="105">
        <v>0.15628415300546447</v>
      </c>
      <c r="U13" s="105"/>
      <c r="V13" s="105"/>
      <c r="W13" s="105"/>
      <c r="X13" s="52" t="s">
        <v>12</v>
      </c>
      <c r="Y13" s="52" t="s">
        <v>12</v>
      </c>
      <c r="Z13" s="249" t="s">
        <v>12</v>
      </c>
      <c r="AA13" s="249"/>
      <c r="AB13" s="249" t="s">
        <v>12</v>
      </c>
      <c r="AC13" s="249"/>
      <c r="AD13" s="52" t="s">
        <v>12</v>
      </c>
      <c r="AE13" s="52" t="s">
        <v>12</v>
      </c>
      <c r="AF13" s="249" t="s">
        <v>12</v>
      </c>
      <c r="AG13" s="249"/>
      <c r="AH13" s="249"/>
      <c r="AI13" s="249" t="s">
        <v>12</v>
      </c>
      <c r="AJ13" s="140">
        <v>2.1600254497183783E-2</v>
      </c>
      <c r="AK13" s="380"/>
      <c r="AL13" s="39"/>
      <c r="AM13" s="39"/>
    </row>
    <row r="14" spans="1:39" x14ac:dyDescent="0.25">
      <c r="B14" s="374"/>
      <c r="C14" s="263">
        <v>44682</v>
      </c>
      <c r="D14" s="53">
        <v>47359</v>
      </c>
      <c r="E14" s="53">
        <v>9040</v>
      </c>
      <c r="F14" s="53">
        <v>7891</v>
      </c>
      <c r="G14" s="53">
        <v>2294</v>
      </c>
      <c r="H14" s="53"/>
      <c r="I14" s="53">
        <v>54105</v>
      </c>
      <c r="J14" s="53"/>
      <c r="K14" s="53"/>
      <c r="L14" s="53"/>
      <c r="M14" s="53"/>
      <c r="N14" s="53"/>
      <c r="O14" s="53">
        <v>6746</v>
      </c>
      <c r="P14" s="140">
        <f t="shared" si="0"/>
        <v>4.8438522772862605E-2</v>
      </c>
      <c r="Q14" s="140"/>
      <c r="R14" s="53">
        <v>9040</v>
      </c>
      <c r="S14" s="105">
        <v>0.87289823008849554</v>
      </c>
      <c r="T14" s="105">
        <v>0.12710176991150443</v>
      </c>
      <c r="U14" s="105"/>
      <c r="V14" s="105"/>
      <c r="W14" s="105"/>
      <c r="X14" s="52" t="s">
        <v>12</v>
      </c>
      <c r="Y14" s="52" t="s">
        <v>12</v>
      </c>
      <c r="Z14" s="249" t="s">
        <v>12</v>
      </c>
      <c r="AA14" s="249"/>
      <c r="AB14" s="249" t="s">
        <v>12</v>
      </c>
      <c r="AC14" s="249"/>
      <c r="AD14" s="52" t="s">
        <v>12</v>
      </c>
      <c r="AE14" s="52" t="s">
        <v>12</v>
      </c>
      <c r="AF14" s="249" t="s">
        <v>12</v>
      </c>
      <c r="AG14" s="249"/>
      <c r="AH14" s="249"/>
      <c r="AI14" s="249" t="s">
        <v>12</v>
      </c>
      <c r="AJ14" s="140">
        <v>2.2480973519979165E-2</v>
      </c>
      <c r="AK14" s="380"/>
      <c r="AL14" s="39"/>
      <c r="AM14" s="39"/>
    </row>
    <row r="15" spans="1:39" x14ac:dyDescent="0.25">
      <c r="B15" s="374"/>
      <c r="C15" s="263">
        <v>44713</v>
      </c>
      <c r="D15" s="53">
        <v>54105</v>
      </c>
      <c r="E15" s="53">
        <v>11314</v>
      </c>
      <c r="F15" s="53">
        <v>10076</v>
      </c>
      <c r="G15" s="53">
        <v>2964</v>
      </c>
      <c r="H15" s="53"/>
      <c r="I15" s="53">
        <v>62455</v>
      </c>
      <c r="J15" s="53"/>
      <c r="K15" s="53"/>
      <c r="L15" s="53"/>
      <c r="M15" s="53"/>
      <c r="N15" s="53"/>
      <c r="O15" s="53">
        <v>8350</v>
      </c>
      <c r="P15" s="140">
        <f t="shared" si="0"/>
        <v>5.4782367618519547E-2</v>
      </c>
      <c r="Q15" s="140"/>
      <c r="R15" s="53">
        <v>11314</v>
      </c>
      <c r="S15" s="105">
        <v>0.89057804490012371</v>
      </c>
      <c r="T15" s="105">
        <v>0.10942195509987626</v>
      </c>
      <c r="U15" s="105"/>
      <c r="V15" s="105"/>
      <c r="W15" s="105"/>
      <c r="X15" s="52" t="s">
        <v>12</v>
      </c>
      <c r="Y15" s="52" t="s">
        <v>12</v>
      </c>
      <c r="Z15" s="249" t="s">
        <v>12</v>
      </c>
      <c r="AA15" s="249"/>
      <c r="AB15" s="249" t="s">
        <v>12</v>
      </c>
      <c r="AC15" s="249"/>
      <c r="AD15" s="52" t="s">
        <v>12</v>
      </c>
      <c r="AE15" s="52" t="s">
        <v>12</v>
      </c>
      <c r="AF15" s="249" t="s">
        <v>12</v>
      </c>
      <c r="AG15" s="249"/>
      <c r="AH15" s="249"/>
      <c r="AI15" s="249" t="s">
        <v>12</v>
      </c>
      <c r="AJ15" s="140">
        <v>2.0048052498244553E-2</v>
      </c>
      <c r="AK15" s="380"/>
      <c r="AL15" s="39"/>
      <c r="AM15" s="39"/>
    </row>
    <row r="16" spans="1:39" x14ac:dyDescent="0.25">
      <c r="B16" s="374"/>
      <c r="C16" s="263">
        <v>44743</v>
      </c>
      <c r="D16" s="53">
        <v>62455</v>
      </c>
      <c r="E16" s="53">
        <v>13238</v>
      </c>
      <c r="F16" s="53">
        <v>11589</v>
      </c>
      <c r="G16" s="53">
        <v>3606</v>
      </c>
      <c r="H16" s="53"/>
      <c r="I16" s="53">
        <v>72087</v>
      </c>
      <c r="J16" s="53"/>
      <c r="K16" s="53"/>
      <c r="L16" s="53"/>
      <c r="M16" s="53"/>
      <c r="N16" s="53"/>
      <c r="O16" s="53">
        <v>9632</v>
      </c>
      <c r="P16" s="140">
        <f t="shared" si="0"/>
        <v>5.773757105115683E-2</v>
      </c>
      <c r="Q16" s="140"/>
      <c r="R16" s="53">
        <v>13238</v>
      </c>
      <c r="S16" s="105">
        <v>0.87543435564284633</v>
      </c>
      <c r="T16" s="105">
        <v>0.12</v>
      </c>
      <c r="U16" s="105"/>
      <c r="V16" s="105"/>
      <c r="W16" s="105"/>
      <c r="X16" s="52" t="s">
        <v>12</v>
      </c>
      <c r="Y16" s="52" t="s">
        <v>12</v>
      </c>
      <c r="Z16" s="249" t="s">
        <v>12</v>
      </c>
      <c r="AA16" s="249"/>
      <c r="AB16" s="249" t="s">
        <v>12</v>
      </c>
      <c r="AC16" s="249"/>
      <c r="AD16" s="52" t="s">
        <v>12</v>
      </c>
      <c r="AE16" s="52" t="s">
        <v>12</v>
      </c>
      <c r="AF16" s="249" t="s">
        <v>12</v>
      </c>
      <c r="AG16" s="249"/>
      <c r="AH16" s="249"/>
      <c r="AI16" s="249" t="s">
        <v>12</v>
      </c>
      <c r="AJ16" s="140">
        <v>2.1205654936567883E-2</v>
      </c>
      <c r="AK16" s="380"/>
      <c r="AL16" s="39"/>
      <c r="AM16" s="39"/>
    </row>
    <row r="17" spans="1:39" x14ac:dyDescent="0.25">
      <c r="B17" s="374"/>
      <c r="C17" s="263">
        <v>44774</v>
      </c>
      <c r="D17" s="53">
        <v>72087</v>
      </c>
      <c r="E17" s="53">
        <v>7112</v>
      </c>
      <c r="F17" s="53">
        <v>5979.5199999999995</v>
      </c>
      <c r="G17" s="53">
        <v>4880</v>
      </c>
      <c r="H17" s="53"/>
      <c r="I17" s="53">
        <v>74319</v>
      </c>
      <c r="J17" s="53"/>
      <c r="K17" s="53"/>
      <c r="L17" s="53"/>
      <c r="M17" s="53"/>
      <c r="N17" s="53"/>
      <c r="O17" s="53">
        <v>2232</v>
      </c>
      <c r="P17" s="140">
        <f t="shared" si="0"/>
        <v>6.76959784704593E-2</v>
      </c>
      <c r="Q17" s="140"/>
      <c r="R17" s="53">
        <v>7078</v>
      </c>
      <c r="S17" s="105">
        <v>0.84</v>
      </c>
      <c r="T17" s="105">
        <v>0.16</v>
      </c>
      <c r="U17" s="105"/>
      <c r="V17" s="105"/>
      <c r="W17" s="105"/>
      <c r="X17" s="53">
        <v>66</v>
      </c>
      <c r="Y17" s="105">
        <v>0.52</v>
      </c>
      <c r="Z17" s="98">
        <v>0.48</v>
      </c>
      <c r="AA17" s="98"/>
      <c r="AB17" s="98" t="s">
        <v>12</v>
      </c>
      <c r="AC17" s="98"/>
      <c r="AD17" s="52" t="s">
        <v>12</v>
      </c>
      <c r="AE17" s="52" t="s">
        <v>12</v>
      </c>
      <c r="AF17" s="249" t="s">
        <v>12</v>
      </c>
      <c r="AG17" s="249"/>
      <c r="AH17" s="249"/>
      <c r="AI17" s="249" t="s">
        <v>12</v>
      </c>
      <c r="AJ17" s="140">
        <v>2.4076167503537135E-2</v>
      </c>
      <c r="AK17" s="380"/>
      <c r="AL17" s="39"/>
      <c r="AM17" s="39"/>
    </row>
    <row r="18" spans="1:39" x14ac:dyDescent="0.25">
      <c r="B18" s="374"/>
      <c r="C18" s="263">
        <v>44805</v>
      </c>
      <c r="D18" s="53">
        <v>74319</v>
      </c>
      <c r="E18" s="53">
        <v>4920</v>
      </c>
      <c r="F18" s="53">
        <v>3836</v>
      </c>
      <c r="G18" s="53">
        <v>4474</v>
      </c>
      <c r="H18" s="53"/>
      <c r="I18" s="53">
        <v>74765</v>
      </c>
      <c r="J18" s="53"/>
      <c r="K18" s="53"/>
      <c r="L18" s="53"/>
      <c r="M18" s="53"/>
      <c r="N18" s="53"/>
      <c r="O18" s="53">
        <v>446</v>
      </c>
      <c r="P18" s="140">
        <f t="shared" si="0"/>
        <v>6.0199948869064442E-2</v>
      </c>
      <c r="Q18" s="140"/>
      <c r="R18" s="53">
        <v>4413</v>
      </c>
      <c r="S18" s="105">
        <v>0.75</v>
      </c>
      <c r="T18" s="105">
        <v>0.25</v>
      </c>
      <c r="U18" s="105"/>
      <c r="V18" s="105"/>
      <c r="W18" s="105"/>
      <c r="X18" s="53">
        <v>1718</v>
      </c>
      <c r="Y18" s="105">
        <v>0.3</v>
      </c>
      <c r="Z18" s="98">
        <v>0.7</v>
      </c>
      <c r="AA18" s="98"/>
      <c r="AB18" s="98"/>
      <c r="AC18" s="98"/>
      <c r="AD18" s="52" t="s">
        <v>12</v>
      </c>
      <c r="AE18" s="52" t="s">
        <v>12</v>
      </c>
      <c r="AF18" s="249" t="s">
        <v>12</v>
      </c>
      <c r="AG18" s="249"/>
      <c r="AH18" s="249"/>
      <c r="AI18" s="249" t="s">
        <v>12</v>
      </c>
      <c r="AJ18" s="140">
        <v>2.8601780840914859E-2</v>
      </c>
      <c r="AK18" s="380"/>
      <c r="AL18" s="39"/>
      <c r="AM18" s="142"/>
    </row>
    <row r="19" spans="1:39" x14ac:dyDescent="0.25">
      <c r="A19" s="8"/>
      <c r="B19" s="374"/>
      <c r="C19" s="263">
        <v>44835</v>
      </c>
      <c r="D19" s="146">
        <v>74765</v>
      </c>
      <c r="E19" s="146">
        <v>7659</v>
      </c>
      <c r="F19" s="146">
        <v>5705</v>
      </c>
      <c r="G19" s="146">
        <v>4911</v>
      </c>
      <c r="H19" s="146"/>
      <c r="I19" s="146">
        <v>77513</v>
      </c>
      <c r="J19" s="146"/>
      <c r="K19" s="146"/>
      <c r="L19" s="146"/>
      <c r="M19" s="146"/>
      <c r="N19" s="146"/>
      <c r="O19" s="146">
        <v>2748</v>
      </c>
      <c r="P19" s="140">
        <f t="shared" si="0"/>
        <v>6.5685815555406937E-2</v>
      </c>
      <c r="Q19" s="140"/>
      <c r="R19" s="146">
        <v>6929</v>
      </c>
      <c r="S19" s="147">
        <v>0.72</v>
      </c>
      <c r="T19" s="147">
        <v>0.28000000000000003</v>
      </c>
      <c r="U19" s="147"/>
      <c r="V19" s="147"/>
      <c r="W19" s="147"/>
      <c r="X19" s="146">
        <v>1168</v>
      </c>
      <c r="Y19" s="147">
        <v>0.63</v>
      </c>
      <c r="Z19" s="250">
        <v>0.37</v>
      </c>
      <c r="AA19" s="250"/>
      <c r="AB19" s="250"/>
      <c r="AC19" s="250"/>
      <c r="AD19" s="52" t="s">
        <v>12</v>
      </c>
      <c r="AE19" s="52" t="s">
        <v>12</v>
      </c>
      <c r="AF19" s="249" t="s">
        <v>12</v>
      </c>
      <c r="AG19" s="249"/>
      <c r="AH19" s="249"/>
      <c r="AI19" s="249" t="s">
        <v>12</v>
      </c>
      <c r="AJ19" s="140">
        <v>3.5643131134868659E-2</v>
      </c>
      <c r="AK19" s="380"/>
      <c r="AL19" s="39"/>
      <c r="AM19" s="142"/>
    </row>
    <row r="20" spans="1:39" x14ac:dyDescent="0.25">
      <c r="A20" s="8"/>
      <c r="B20" s="374"/>
      <c r="C20" s="263">
        <v>44866</v>
      </c>
      <c r="D20" s="146">
        <v>77513</v>
      </c>
      <c r="E20" s="146">
        <v>8926</v>
      </c>
      <c r="F20" s="146">
        <v>6723</v>
      </c>
      <c r="G20" s="146">
        <v>4596</v>
      </c>
      <c r="H20" s="146"/>
      <c r="I20" s="146">
        <v>81843</v>
      </c>
      <c r="J20" s="146"/>
      <c r="K20" s="146"/>
      <c r="L20" s="146"/>
      <c r="M20" s="146"/>
      <c r="N20" s="146"/>
      <c r="O20" s="146">
        <v>4330</v>
      </c>
      <c r="P20" s="140">
        <f t="shared" si="0"/>
        <v>5.9293279836930578E-2</v>
      </c>
      <c r="Q20" s="140"/>
      <c r="R20" s="146">
        <v>7512</v>
      </c>
      <c r="S20" s="147">
        <v>0.70673588924387643</v>
      </c>
      <c r="T20" s="147">
        <v>0.29326411075612357</v>
      </c>
      <c r="U20" s="147"/>
      <c r="V20" s="147"/>
      <c r="W20" s="147"/>
      <c r="X20" s="146">
        <v>1558</v>
      </c>
      <c r="Y20" s="147">
        <v>0.7002567394094994</v>
      </c>
      <c r="Z20" s="250">
        <v>0.2997432605905006</v>
      </c>
      <c r="AA20" s="137"/>
      <c r="AB20" s="137"/>
      <c r="AC20" s="137"/>
      <c r="AD20" s="89">
        <v>343</v>
      </c>
      <c r="AE20" s="104">
        <v>0.94169096209912539</v>
      </c>
      <c r="AF20" s="104">
        <v>5.8309037900874605E-2</v>
      </c>
      <c r="AG20" s="104"/>
      <c r="AH20" s="104"/>
      <c r="AI20" s="98" t="s">
        <v>12</v>
      </c>
      <c r="AJ20" s="140">
        <v>3.9175064937176859E-2</v>
      </c>
      <c r="AK20" s="380"/>
      <c r="AL20" s="39"/>
      <c r="AM20" s="142"/>
    </row>
    <row r="21" spans="1:39" x14ac:dyDescent="0.25">
      <c r="A21" s="8"/>
      <c r="B21" s="374"/>
      <c r="C21" s="263">
        <v>44896</v>
      </c>
      <c r="D21" s="146">
        <v>81843</v>
      </c>
      <c r="E21" s="146">
        <v>11993</v>
      </c>
      <c r="F21" s="146">
        <v>9448</v>
      </c>
      <c r="G21" s="146">
        <v>4987</v>
      </c>
      <c r="H21" s="146"/>
      <c r="I21" s="146">
        <v>88849</v>
      </c>
      <c r="J21" s="146"/>
      <c r="K21" s="146"/>
      <c r="L21" s="146"/>
      <c r="M21" s="146"/>
      <c r="N21" s="146"/>
      <c r="O21" s="146">
        <v>7006</v>
      </c>
      <c r="P21" s="140">
        <v>6.0933738988062508E-2</v>
      </c>
      <c r="Q21" s="140"/>
      <c r="R21" s="146">
        <v>9343</v>
      </c>
      <c r="S21" s="147">
        <v>0.72760355346248529</v>
      </c>
      <c r="T21" s="147">
        <v>0.27239644653751471</v>
      </c>
      <c r="U21" s="147"/>
      <c r="V21" s="147"/>
      <c r="W21" s="147"/>
      <c r="X21" s="146">
        <v>2527</v>
      </c>
      <c r="Y21" s="151">
        <v>0.79343094578551643</v>
      </c>
      <c r="Z21" s="137">
        <v>0.20656905421448357</v>
      </c>
      <c r="AA21" s="137"/>
      <c r="AB21" s="137"/>
      <c r="AC21" s="137"/>
      <c r="AD21" s="89">
        <v>675</v>
      </c>
      <c r="AE21" s="104">
        <v>0.9555555555555556</v>
      </c>
      <c r="AF21" s="104">
        <v>4.4444444444444398E-2</v>
      </c>
      <c r="AG21" s="104"/>
      <c r="AH21" s="104"/>
      <c r="AI21" s="98"/>
      <c r="AJ21" s="140">
        <v>3.292158356238984E-2</v>
      </c>
      <c r="AK21" s="380"/>
      <c r="AL21" s="39"/>
      <c r="AM21" s="142"/>
    </row>
    <row r="22" spans="1:39" x14ac:dyDescent="0.25">
      <c r="A22" s="8"/>
      <c r="B22" s="374"/>
      <c r="C22" s="263">
        <v>44927</v>
      </c>
      <c r="D22" s="246">
        <v>88849</v>
      </c>
      <c r="E22" s="246">
        <v>10454</v>
      </c>
      <c r="F22" s="246">
        <v>7377</v>
      </c>
      <c r="G22" s="258">
        <v>6546</v>
      </c>
      <c r="H22" s="258">
        <v>6236</v>
      </c>
      <c r="I22" s="246">
        <v>92600</v>
      </c>
      <c r="J22" s="246"/>
      <c r="K22" s="246"/>
      <c r="L22" s="246"/>
      <c r="M22" s="246"/>
      <c r="N22" s="246"/>
      <c r="O22" s="246">
        <f t="shared" ref="O22:O58" si="1">I22-D22</f>
        <v>3751</v>
      </c>
      <c r="P22" s="247">
        <f>G22/D22</f>
        <v>7.3675561908406392E-2</v>
      </c>
      <c r="Q22" s="247">
        <f>H22/D22</f>
        <v>7.0186496190165343E-2</v>
      </c>
      <c r="R22" s="246">
        <v>8900</v>
      </c>
      <c r="S22" s="248">
        <v>0.70853932584269663</v>
      </c>
      <c r="T22" s="248">
        <v>0.29146067415730337</v>
      </c>
      <c r="U22" s="248"/>
      <c r="V22" s="248"/>
      <c r="W22" s="248"/>
      <c r="X22" s="246">
        <v>1174</v>
      </c>
      <c r="Y22" s="229">
        <v>0.70783645655877347</v>
      </c>
      <c r="Z22" s="228">
        <v>0.29216354344122658</v>
      </c>
      <c r="AA22" s="228"/>
      <c r="AB22" s="228"/>
      <c r="AC22" s="228"/>
      <c r="AD22" s="251">
        <v>380</v>
      </c>
      <c r="AE22" s="231">
        <v>0.97368421052631582</v>
      </c>
      <c r="AF22" s="231">
        <v>2.6315789473684209E-2</v>
      </c>
      <c r="AG22" s="231"/>
      <c r="AH22" s="231"/>
      <c r="AI22" s="265"/>
      <c r="AJ22" s="247">
        <v>3.0045436886173848E-2</v>
      </c>
      <c r="AK22" s="380"/>
      <c r="AL22" s="39"/>
      <c r="AM22" s="142"/>
    </row>
    <row r="23" spans="1:39" x14ac:dyDescent="0.25">
      <c r="A23" s="8"/>
      <c r="B23" s="374"/>
      <c r="C23" s="263">
        <v>44958</v>
      </c>
      <c r="D23" s="246">
        <f t="shared" ref="D23:D56" si="2">I22</f>
        <v>92600</v>
      </c>
      <c r="E23" s="246">
        <v>8068</v>
      </c>
      <c r="F23" s="246">
        <v>5491</v>
      </c>
      <c r="G23" s="258">
        <v>5943</v>
      </c>
      <c r="H23" s="258">
        <v>5763</v>
      </c>
      <c r="I23" s="246">
        <v>94790</v>
      </c>
      <c r="J23" s="246"/>
      <c r="K23" s="246"/>
      <c r="L23" s="246"/>
      <c r="M23" s="246"/>
      <c r="N23" s="246"/>
      <c r="O23" s="246">
        <f t="shared" si="1"/>
        <v>2190</v>
      </c>
      <c r="P23" s="247">
        <f>G23/D23</f>
        <v>6.4179265658747306E-2</v>
      </c>
      <c r="Q23" s="247">
        <f t="shared" ref="Q23:Q58" si="3">H23/D23</f>
        <v>6.2235421166306697E-2</v>
      </c>
      <c r="R23" s="246">
        <v>7248</v>
      </c>
      <c r="S23" s="248">
        <v>0.68184326710816778</v>
      </c>
      <c r="T23" s="248">
        <v>0.31815673289183222</v>
      </c>
      <c r="U23" s="248"/>
      <c r="V23" s="248"/>
      <c r="W23" s="248"/>
      <c r="X23" s="246">
        <v>698</v>
      </c>
      <c r="Y23" s="229">
        <v>0.66332378223495703</v>
      </c>
      <c r="Z23" s="228">
        <v>0.33667621776504297</v>
      </c>
      <c r="AA23" s="228"/>
      <c r="AB23" s="228"/>
      <c r="AC23" s="228"/>
      <c r="AD23" s="251">
        <v>122</v>
      </c>
      <c r="AE23" s="231">
        <v>0.96721311475409832</v>
      </c>
      <c r="AF23" s="231">
        <v>3.2786885245901676E-2</v>
      </c>
      <c r="AG23" s="231"/>
      <c r="AH23" s="231"/>
      <c r="AI23" s="265"/>
      <c r="AJ23" s="247">
        <v>4.0230137133909237E-2</v>
      </c>
      <c r="AK23" s="380"/>
      <c r="AL23" s="39"/>
      <c r="AM23" s="142"/>
    </row>
    <row r="24" spans="1:39" x14ac:dyDescent="0.25">
      <c r="A24" s="8"/>
      <c r="B24" s="374"/>
      <c r="C24" s="263">
        <v>44986</v>
      </c>
      <c r="D24" s="246">
        <f t="shared" si="2"/>
        <v>94790</v>
      </c>
      <c r="E24" s="246">
        <v>9351</v>
      </c>
      <c r="F24" s="246">
        <v>6131</v>
      </c>
      <c r="G24" s="258">
        <v>6251</v>
      </c>
      <c r="H24" s="258">
        <v>6072</v>
      </c>
      <c r="I24" s="246">
        <v>97934</v>
      </c>
      <c r="J24" s="246"/>
      <c r="K24" s="246"/>
      <c r="L24" s="246"/>
      <c r="M24" s="246"/>
      <c r="N24" s="246"/>
      <c r="O24" s="246">
        <f t="shared" si="1"/>
        <v>3144</v>
      </c>
      <c r="P24" s="247">
        <f t="shared" ref="P24:P58" si="4">G24/D24</f>
        <v>6.5945774870766957E-2</v>
      </c>
      <c r="Q24" s="247">
        <f t="shared" si="3"/>
        <v>6.4057390020044305E-2</v>
      </c>
      <c r="R24" s="246">
        <v>8430</v>
      </c>
      <c r="S24" s="248">
        <v>0.66</v>
      </c>
      <c r="T24" s="248">
        <v>0.34</v>
      </c>
      <c r="U24" s="248"/>
      <c r="V24" s="248"/>
      <c r="W24" s="248"/>
      <c r="X24" s="246">
        <v>842</v>
      </c>
      <c r="Y24" s="229">
        <v>0.61</v>
      </c>
      <c r="Z24" s="228">
        <v>0.39</v>
      </c>
      <c r="AA24" s="228"/>
      <c r="AB24" s="228"/>
      <c r="AC24" s="228"/>
      <c r="AD24" s="251">
        <v>79</v>
      </c>
      <c r="AE24" s="231">
        <v>0.97</v>
      </c>
      <c r="AF24" s="231">
        <v>0.03</v>
      </c>
      <c r="AG24" s="231"/>
      <c r="AH24" s="231"/>
      <c r="AI24" s="265"/>
      <c r="AJ24" s="247">
        <v>4.1848356437839303E-2</v>
      </c>
      <c r="AK24" s="380"/>
      <c r="AL24" s="39"/>
      <c r="AM24" s="142"/>
    </row>
    <row r="25" spans="1:39" x14ac:dyDescent="0.25">
      <c r="A25" s="8"/>
      <c r="B25" s="374"/>
      <c r="C25" s="263">
        <v>45017</v>
      </c>
      <c r="D25" s="246">
        <f t="shared" si="2"/>
        <v>97934</v>
      </c>
      <c r="E25" s="246">
        <v>14513</v>
      </c>
      <c r="F25" s="246">
        <v>10008</v>
      </c>
      <c r="G25" s="258">
        <v>6480</v>
      </c>
      <c r="H25" s="258">
        <v>6214</v>
      </c>
      <c r="I25" s="246">
        <v>105959</v>
      </c>
      <c r="J25" s="246"/>
      <c r="K25" s="246"/>
      <c r="L25" s="246"/>
      <c r="M25" s="246"/>
      <c r="N25" s="246"/>
      <c r="O25" s="246">
        <f t="shared" si="1"/>
        <v>8025</v>
      </c>
      <c r="P25" s="247">
        <f t="shared" si="4"/>
        <v>6.6167010435599485E-2</v>
      </c>
      <c r="Q25" s="247">
        <f t="shared" si="3"/>
        <v>6.3450895501051735E-2</v>
      </c>
      <c r="R25" s="246">
        <v>13328</v>
      </c>
      <c r="S25" s="248">
        <v>0.7</v>
      </c>
      <c r="T25" s="248">
        <v>0.3</v>
      </c>
      <c r="U25" s="248"/>
      <c r="V25" s="248"/>
      <c r="W25" s="248"/>
      <c r="X25" s="246">
        <v>1135</v>
      </c>
      <c r="Y25" s="229">
        <v>0.63</v>
      </c>
      <c r="Z25" s="228">
        <v>0.37</v>
      </c>
      <c r="AA25" s="228"/>
      <c r="AB25" s="228"/>
      <c r="AC25" s="228"/>
      <c r="AD25" s="251">
        <v>50</v>
      </c>
      <c r="AE25" s="231">
        <v>0.92</v>
      </c>
      <c r="AF25" s="231">
        <v>0.08</v>
      </c>
      <c r="AG25" s="231"/>
      <c r="AH25" s="231"/>
      <c r="AI25" s="265"/>
      <c r="AJ25" s="247">
        <v>3.7003549178835686E-2</v>
      </c>
      <c r="AK25" s="380"/>
      <c r="AL25" s="39"/>
      <c r="AM25" s="142"/>
    </row>
    <row r="26" spans="1:39" x14ac:dyDescent="0.25">
      <c r="A26" s="8"/>
      <c r="B26" s="374"/>
      <c r="C26" s="263">
        <v>45047</v>
      </c>
      <c r="D26" s="246">
        <f t="shared" si="2"/>
        <v>105959</v>
      </c>
      <c r="E26" s="246">
        <v>11669</v>
      </c>
      <c r="F26" s="246">
        <v>7633</v>
      </c>
      <c r="G26" s="258">
        <v>7684</v>
      </c>
      <c r="H26" s="258">
        <v>7432</v>
      </c>
      <c r="I26" s="246">
        <v>109968</v>
      </c>
      <c r="J26" s="246"/>
      <c r="K26" s="246"/>
      <c r="L26" s="246"/>
      <c r="M26" s="246"/>
      <c r="N26" s="246"/>
      <c r="O26" s="246">
        <f t="shared" si="1"/>
        <v>4009</v>
      </c>
      <c r="P26" s="247">
        <f t="shared" si="4"/>
        <v>7.2518615690974814E-2</v>
      </c>
      <c r="Q26" s="247">
        <f t="shared" si="3"/>
        <v>7.0140337300276523E-2</v>
      </c>
      <c r="R26" s="246">
        <v>10693</v>
      </c>
      <c r="S26" s="248">
        <v>0.66</v>
      </c>
      <c r="T26" s="248">
        <v>0.34</v>
      </c>
      <c r="U26" s="248"/>
      <c r="V26" s="248"/>
      <c r="W26" s="248"/>
      <c r="X26" s="246">
        <v>913</v>
      </c>
      <c r="Y26" s="229">
        <v>0.61</v>
      </c>
      <c r="Z26" s="228">
        <v>0.39</v>
      </c>
      <c r="AA26" s="228"/>
      <c r="AB26" s="228"/>
      <c r="AC26" s="228"/>
      <c r="AD26" s="251">
        <v>63</v>
      </c>
      <c r="AE26" s="231">
        <v>0.92</v>
      </c>
      <c r="AF26" s="231">
        <v>0.08</v>
      </c>
      <c r="AG26" s="231"/>
      <c r="AH26" s="231"/>
      <c r="AI26" s="265"/>
      <c r="AJ26" s="247">
        <v>4.542810506666195E-2</v>
      </c>
      <c r="AK26" s="380"/>
      <c r="AL26" s="39"/>
      <c r="AM26" s="142"/>
    </row>
    <row r="27" spans="1:39" x14ac:dyDescent="0.25">
      <c r="A27" s="8"/>
      <c r="B27" s="374"/>
      <c r="C27" s="263">
        <v>45078</v>
      </c>
      <c r="D27" s="246">
        <f t="shared" si="2"/>
        <v>109968</v>
      </c>
      <c r="E27" s="246">
        <v>14312</v>
      </c>
      <c r="F27" s="246">
        <v>9168</v>
      </c>
      <c r="G27" s="258">
        <v>7210</v>
      </c>
      <c r="H27" s="258">
        <v>6824</v>
      </c>
      <c r="I27" s="246">
        <v>116694</v>
      </c>
      <c r="J27" s="246"/>
      <c r="K27" s="246"/>
      <c r="L27" s="246"/>
      <c r="M27" s="246"/>
      <c r="N27" s="246"/>
      <c r="O27" s="246">
        <f t="shared" si="1"/>
        <v>6726</v>
      </c>
      <c r="P27" s="247">
        <f t="shared" si="4"/>
        <v>6.5564527862650948E-2</v>
      </c>
      <c r="Q27" s="247">
        <f t="shared" si="3"/>
        <v>6.2054415830059655E-2</v>
      </c>
      <c r="R27" s="246">
        <v>12662</v>
      </c>
      <c r="S27" s="248">
        <v>0.67</v>
      </c>
      <c r="T27" s="248">
        <v>0.33</v>
      </c>
      <c r="U27" s="248"/>
      <c r="V27" s="248"/>
      <c r="W27" s="248"/>
      <c r="X27" s="246">
        <v>1553</v>
      </c>
      <c r="Y27" s="229">
        <v>0.42</v>
      </c>
      <c r="Z27" s="228">
        <v>0.57999999999999996</v>
      </c>
      <c r="AA27" s="228"/>
      <c r="AB27" s="228"/>
      <c r="AC27" s="228"/>
      <c r="AD27" s="251">
        <v>97</v>
      </c>
      <c r="AE27" s="231">
        <v>0.97</v>
      </c>
      <c r="AF27" s="231">
        <v>0.03</v>
      </c>
      <c r="AG27" s="231"/>
      <c r="AH27" s="231"/>
      <c r="AI27" s="265"/>
      <c r="AJ27" s="247">
        <v>4.4349292299968104E-2</v>
      </c>
      <c r="AK27" s="380"/>
      <c r="AL27" s="39"/>
      <c r="AM27" s="142"/>
    </row>
    <row r="28" spans="1:39" x14ac:dyDescent="0.25">
      <c r="A28" s="8"/>
      <c r="B28" s="374"/>
      <c r="C28" s="263">
        <v>45108</v>
      </c>
      <c r="D28" s="246">
        <f t="shared" si="2"/>
        <v>116694</v>
      </c>
      <c r="E28" s="246">
        <v>22411</v>
      </c>
      <c r="F28" s="246">
        <v>15474</v>
      </c>
      <c r="G28" s="258">
        <v>7812</v>
      </c>
      <c r="H28" s="258">
        <v>7162</v>
      </c>
      <c r="I28" s="246">
        <v>131596</v>
      </c>
      <c r="J28" s="246"/>
      <c r="K28" s="246"/>
      <c r="L28" s="246"/>
      <c r="M28" s="246"/>
      <c r="N28" s="246"/>
      <c r="O28" s="246">
        <f t="shared" si="1"/>
        <v>14902</v>
      </c>
      <c r="P28" s="247">
        <f t="shared" si="4"/>
        <v>6.6944315903131268E-2</v>
      </c>
      <c r="Q28" s="247">
        <f t="shared" si="3"/>
        <v>6.1374192332082196E-2</v>
      </c>
      <c r="R28" s="246">
        <v>20838</v>
      </c>
      <c r="S28" s="248">
        <v>0.7</v>
      </c>
      <c r="T28" s="248">
        <v>0.3</v>
      </c>
      <c r="U28" s="248"/>
      <c r="V28" s="248"/>
      <c r="W28" s="248"/>
      <c r="X28" s="246">
        <v>1510</v>
      </c>
      <c r="Y28" s="229">
        <v>0.63</v>
      </c>
      <c r="Z28" s="228">
        <v>0.37</v>
      </c>
      <c r="AA28" s="228"/>
      <c r="AB28" s="228"/>
      <c r="AC28" s="228"/>
      <c r="AD28" s="251">
        <v>63</v>
      </c>
      <c r="AE28" s="231">
        <v>0.95</v>
      </c>
      <c r="AF28" s="231">
        <v>0.05</v>
      </c>
      <c r="AG28" s="231"/>
      <c r="AH28" s="231"/>
      <c r="AI28" s="265"/>
      <c r="AJ28" s="247">
        <v>4.1056584394220275E-2</v>
      </c>
      <c r="AK28" s="380"/>
      <c r="AL28" s="39"/>
      <c r="AM28" s="142"/>
    </row>
    <row r="29" spans="1:39" x14ac:dyDescent="0.25">
      <c r="A29" s="8"/>
      <c r="B29" s="374"/>
      <c r="C29" s="263">
        <v>45139</v>
      </c>
      <c r="D29" s="246">
        <f t="shared" si="2"/>
        <v>131596</v>
      </c>
      <c r="E29" s="246">
        <v>14682</v>
      </c>
      <c r="F29" s="246">
        <v>9615</v>
      </c>
      <c r="G29" s="258">
        <v>10609</v>
      </c>
      <c r="H29" s="258">
        <v>10286</v>
      </c>
      <c r="I29" s="246">
        <v>135723</v>
      </c>
      <c r="J29" s="246"/>
      <c r="K29" s="246"/>
      <c r="L29" s="246"/>
      <c r="M29" s="246"/>
      <c r="N29" s="246"/>
      <c r="O29" s="246">
        <f t="shared" si="1"/>
        <v>4127</v>
      </c>
      <c r="P29" s="247">
        <f t="shared" si="4"/>
        <v>8.0617951913432018E-2</v>
      </c>
      <c r="Q29" s="247">
        <f t="shared" si="3"/>
        <v>7.8163470014286154E-2</v>
      </c>
      <c r="R29" s="246">
        <v>13518</v>
      </c>
      <c r="S29" s="248">
        <v>0.69</v>
      </c>
      <c r="T29" s="248">
        <v>0.31</v>
      </c>
      <c r="U29" s="248"/>
      <c r="V29" s="248"/>
      <c r="W29" s="248"/>
      <c r="X29" s="246">
        <v>1100</v>
      </c>
      <c r="Y29" s="228">
        <v>0.64</v>
      </c>
      <c r="Z29" s="228">
        <v>0.36</v>
      </c>
      <c r="AA29" s="228"/>
      <c r="AB29" s="228"/>
      <c r="AC29" s="228"/>
      <c r="AD29" s="251">
        <v>64</v>
      </c>
      <c r="AE29" s="231">
        <v>1</v>
      </c>
      <c r="AF29" s="231">
        <v>0</v>
      </c>
      <c r="AG29" s="231"/>
      <c r="AH29" s="231"/>
      <c r="AI29" s="265"/>
      <c r="AJ29" s="247">
        <v>2.9902458703905829E-2</v>
      </c>
      <c r="AK29" s="380"/>
      <c r="AL29" s="39"/>
      <c r="AM29" s="142"/>
    </row>
    <row r="30" spans="1:39" x14ac:dyDescent="0.25">
      <c r="A30" s="8"/>
      <c r="B30" s="374"/>
      <c r="C30" s="263">
        <v>45170</v>
      </c>
      <c r="D30" s="220">
        <f t="shared" si="2"/>
        <v>135723</v>
      </c>
      <c r="E30" s="220">
        <v>8663</v>
      </c>
      <c r="F30" s="220">
        <v>5193</v>
      </c>
      <c r="G30" s="251">
        <v>10931</v>
      </c>
      <c r="H30" s="251">
        <v>10683</v>
      </c>
      <c r="I30" s="220">
        <v>133491</v>
      </c>
      <c r="J30" s="221"/>
      <c r="K30" s="221"/>
      <c r="L30" s="221"/>
      <c r="M30" s="221"/>
      <c r="N30" s="221"/>
      <c r="O30" s="221">
        <f t="shared" si="1"/>
        <v>-2232</v>
      </c>
      <c r="P30" s="227">
        <f>G30/D30</f>
        <v>8.0539039072227994E-2</v>
      </c>
      <c r="Q30" s="247">
        <f t="shared" si="3"/>
        <v>7.8711787979929712E-2</v>
      </c>
      <c r="R30" s="220">
        <v>7898</v>
      </c>
      <c r="S30" s="228">
        <v>0.61</v>
      </c>
      <c r="T30" s="228">
        <v>0.39</v>
      </c>
      <c r="U30" s="228"/>
      <c r="V30" s="228"/>
      <c r="W30" s="228"/>
      <c r="X30" s="220">
        <v>719</v>
      </c>
      <c r="Y30" s="228">
        <v>0.57999999999999996</v>
      </c>
      <c r="Z30" s="228">
        <v>0.42</v>
      </c>
      <c r="AA30" s="228"/>
      <c r="AB30" s="228"/>
      <c r="AC30" s="228"/>
      <c r="AD30" s="251">
        <v>46</v>
      </c>
      <c r="AE30" s="231">
        <v>0.93</v>
      </c>
      <c r="AF30" s="231">
        <v>7.0000000000000007E-2</v>
      </c>
      <c r="AG30" s="231"/>
      <c r="AH30" s="231"/>
      <c r="AI30" s="265"/>
      <c r="AJ30" s="247">
        <v>4.6674720954974123E-2</v>
      </c>
      <c r="AK30" s="380"/>
      <c r="AL30" s="39"/>
      <c r="AM30" s="142"/>
    </row>
    <row r="31" spans="1:39" x14ac:dyDescent="0.25">
      <c r="A31" s="8"/>
      <c r="B31" s="374"/>
      <c r="C31" s="263">
        <v>45200</v>
      </c>
      <c r="D31" s="220">
        <f t="shared" si="2"/>
        <v>133491</v>
      </c>
      <c r="E31" s="220">
        <v>8586</v>
      </c>
      <c r="F31" s="220">
        <v>4938</v>
      </c>
      <c r="G31" s="251">
        <v>9000</v>
      </c>
      <c r="H31" s="251">
        <v>8737</v>
      </c>
      <c r="I31" s="220">
        <v>133068</v>
      </c>
      <c r="J31" s="221"/>
      <c r="K31" s="221"/>
      <c r="L31" s="221"/>
      <c r="M31" s="221"/>
      <c r="N31" s="221"/>
      <c r="O31" s="221">
        <f t="shared" si="1"/>
        <v>-423</v>
      </c>
      <c r="P31" s="227">
        <f t="shared" si="4"/>
        <v>6.7420275524192635E-2</v>
      </c>
      <c r="Q31" s="247">
        <f t="shared" si="3"/>
        <v>6.5450105250541235E-2</v>
      </c>
      <c r="R31" s="220">
        <v>7818</v>
      </c>
      <c r="S31" s="228">
        <v>0.59</v>
      </c>
      <c r="T31" s="228">
        <v>0.41</v>
      </c>
      <c r="U31" s="228"/>
      <c r="V31" s="228"/>
      <c r="W31" s="228"/>
      <c r="X31" s="220">
        <v>736</v>
      </c>
      <c r="Y31" s="228">
        <v>0.49</v>
      </c>
      <c r="Z31" s="228">
        <v>0.51</v>
      </c>
      <c r="AA31" s="228"/>
      <c r="AB31" s="228"/>
      <c r="AC31" s="228"/>
      <c r="AD31" s="251">
        <v>32</v>
      </c>
      <c r="AE31" s="231">
        <v>0.94</v>
      </c>
      <c r="AF31" s="231">
        <v>0.06</v>
      </c>
      <c r="AG31" s="231"/>
      <c r="AH31" s="231"/>
      <c r="AI31" s="265"/>
      <c r="AJ31" s="247">
        <v>4.1481639065955464E-2</v>
      </c>
      <c r="AK31" s="380"/>
      <c r="AL31" s="39"/>
      <c r="AM31" s="142"/>
    </row>
    <row r="32" spans="1:39" x14ac:dyDescent="0.25">
      <c r="A32" s="8"/>
      <c r="B32" s="374"/>
      <c r="C32" s="263">
        <v>45231</v>
      </c>
      <c r="D32" s="220">
        <f t="shared" si="2"/>
        <v>133068</v>
      </c>
      <c r="E32" s="220">
        <v>11089</v>
      </c>
      <c r="F32" s="220">
        <v>6358</v>
      </c>
      <c r="G32" s="251">
        <v>9095</v>
      </c>
      <c r="H32" s="311">
        <v>8743</v>
      </c>
      <c r="I32" s="221">
        <v>134808</v>
      </c>
      <c r="J32" s="221"/>
      <c r="K32" s="221"/>
      <c r="L32" s="221"/>
      <c r="M32" s="221"/>
      <c r="N32" s="221"/>
      <c r="O32" s="221">
        <f t="shared" si="1"/>
        <v>1740</v>
      </c>
      <c r="P32" s="227">
        <f t="shared" si="4"/>
        <v>6.8348513541948472E-2</v>
      </c>
      <c r="Q32" s="247">
        <f t="shared" si="3"/>
        <v>6.5703249466438213E-2</v>
      </c>
      <c r="R32" s="220">
        <v>8559</v>
      </c>
      <c r="S32" s="228">
        <v>0.56000000000000005</v>
      </c>
      <c r="T32" s="228">
        <v>0.44</v>
      </c>
      <c r="U32" s="228"/>
      <c r="V32" s="228"/>
      <c r="W32" s="228"/>
      <c r="X32" s="220">
        <v>2261</v>
      </c>
      <c r="Y32" s="228">
        <v>0.63</v>
      </c>
      <c r="Z32" s="228">
        <v>0.37</v>
      </c>
      <c r="AA32" s="228"/>
      <c r="AB32" s="228"/>
      <c r="AC32" s="228"/>
      <c r="AD32" s="251">
        <v>269</v>
      </c>
      <c r="AE32" s="231">
        <v>0.75</v>
      </c>
      <c r="AF32" s="231">
        <v>0.25</v>
      </c>
      <c r="AG32" s="231"/>
      <c r="AH32" s="231"/>
      <c r="AI32" s="265"/>
      <c r="AJ32" s="247">
        <v>5.8811998662607147E-2</v>
      </c>
      <c r="AK32" s="380"/>
      <c r="AL32" s="39"/>
      <c r="AM32" s="142"/>
    </row>
    <row r="33" spans="1:39" ht="13.15" customHeight="1" x14ac:dyDescent="0.25">
      <c r="A33" s="8"/>
      <c r="B33" s="374"/>
      <c r="C33" s="263">
        <v>45261</v>
      </c>
      <c r="D33" s="220">
        <f t="shared" si="2"/>
        <v>134808</v>
      </c>
      <c r="E33" s="220">
        <v>16947</v>
      </c>
      <c r="F33" s="220">
        <v>9304</v>
      </c>
      <c r="G33" s="251">
        <v>10315</v>
      </c>
      <c r="H33" s="311">
        <v>9539</v>
      </c>
      <c r="I33" s="221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f t="shared" si="1"/>
        <v>6473</v>
      </c>
      <c r="P33" s="227">
        <f t="shared" si="4"/>
        <v>7.6516230490772066E-2</v>
      </c>
      <c r="Q33" s="247">
        <f t="shared" si="3"/>
        <v>7.0759895555159935E-2</v>
      </c>
      <c r="R33" s="220">
        <v>12908</v>
      </c>
      <c r="S33" s="248">
        <v>0.54</v>
      </c>
      <c r="T33" s="228">
        <v>0.46</v>
      </c>
      <c r="U33" s="228"/>
      <c r="V33" s="228"/>
      <c r="W33" s="228"/>
      <c r="X33" s="220">
        <v>3018</v>
      </c>
      <c r="Y33" s="228">
        <v>0.55000000000000004</v>
      </c>
      <c r="Z33" s="228">
        <v>0.45</v>
      </c>
      <c r="AA33" s="228"/>
      <c r="AB33" s="228"/>
      <c r="AC33" s="228"/>
      <c r="AD33" s="251">
        <v>1021</v>
      </c>
      <c r="AE33" s="231">
        <v>0.81</v>
      </c>
      <c r="AF33" s="231">
        <v>0.19</v>
      </c>
      <c r="AG33" s="231"/>
      <c r="AH33" s="231"/>
      <c r="AI33" s="265"/>
      <c r="AJ33" s="247">
        <v>5.493050684056449E-2</v>
      </c>
      <c r="AK33" s="380"/>
      <c r="AL33" s="39"/>
      <c r="AM33" s="142"/>
    </row>
    <row r="34" spans="1:39" x14ac:dyDescent="0.25">
      <c r="A34" s="8"/>
      <c r="B34" s="374"/>
      <c r="C34" s="263">
        <v>45292</v>
      </c>
      <c r="D34" s="220">
        <f t="shared" si="2"/>
        <v>141281</v>
      </c>
      <c r="E34" s="220">
        <v>10889</v>
      </c>
      <c r="F34" s="220">
        <v>6501</v>
      </c>
      <c r="G34" s="251">
        <v>11242</v>
      </c>
      <c r="H34" s="311">
        <v>10548</v>
      </c>
      <c r="I34" s="221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f t="shared" si="1"/>
        <v>61</v>
      </c>
      <c r="P34" s="227">
        <f t="shared" si="4"/>
        <v>7.9571916959817662E-2</v>
      </c>
      <c r="Q34" s="247">
        <f t="shared" si="3"/>
        <v>7.4659720698466173E-2</v>
      </c>
      <c r="R34" s="220">
        <v>9258</v>
      </c>
      <c r="S34" s="248">
        <v>0.6</v>
      </c>
      <c r="T34" s="228">
        <v>0.4</v>
      </c>
      <c r="U34" s="228"/>
      <c r="V34" s="228"/>
      <c r="W34" s="228"/>
      <c r="X34" s="220">
        <v>1140</v>
      </c>
      <c r="Y34" s="228">
        <v>0.6</v>
      </c>
      <c r="Z34" s="228">
        <v>0.4</v>
      </c>
      <c r="AA34" s="228"/>
      <c r="AB34" s="228"/>
      <c r="AC34" s="228"/>
      <c r="AD34" s="251">
        <v>491</v>
      </c>
      <c r="AE34" s="231">
        <v>0.8</v>
      </c>
      <c r="AF34" s="231">
        <v>0.2</v>
      </c>
      <c r="AG34" s="231"/>
      <c r="AH34" s="231"/>
      <c r="AI34" s="265"/>
      <c r="AJ34" s="247">
        <v>5.3394060848970672E-2</v>
      </c>
      <c r="AK34" s="380"/>
      <c r="AL34" s="39"/>
      <c r="AM34" s="142"/>
    </row>
    <row r="35" spans="1:39" x14ac:dyDescent="0.25">
      <c r="A35" s="8"/>
      <c r="B35" s="374"/>
      <c r="C35" s="263">
        <v>45323</v>
      </c>
      <c r="D35" s="220">
        <f t="shared" si="2"/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 t="shared" si="1"/>
        <v>-196</v>
      </c>
      <c r="P35" s="227">
        <f t="shared" si="4"/>
        <v>6.4290868956148911E-2</v>
      </c>
      <c r="Q35" s="247">
        <f t="shared" si="3"/>
        <v>6.274143566668082E-2</v>
      </c>
      <c r="R35" s="220">
        <v>7963</v>
      </c>
      <c r="S35" s="248">
        <v>0.53</v>
      </c>
      <c r="T35" s="228">
        <v>0.47</v>
      </c>
      <c r="U35" s="228"/>
      <c r="V35" s="228"/>
      <c r="W35" s="228"/>
      <c r="X35" s="220">
        <v>728</v>
      </c>
      <c r="Y35" s="228">
        <v>0.51</v>
      </c>
      <c r="Z35" s="228">
        <v>0.49</v>
      </c>
      <c r="AA35" s="228"/>
      <c r="AB35" s="228"/>
      <c r="AC35" s="228"/>
      <c r="AD35" s="251">
        <v>167</v>
      </c>
      <c r="AE35" s="231">
        <v>0.76</v>
      </c>
      <c r="AF35" s="231">
        <v>0.24</v>
      </c>
      <c r="AG35" s="231"/>
      <c r="AH35" s="231"/>
      <c r="AI35" s="265"/>
      <c r="AJ35" s="247">
        <v>5.028010924460475E-2</v>
      </c>
      <c r="AK35" s="380"/>
      <c r="AL35" s="39"/>
      <c r="AM35" s="142"/>
    </row>
    <row r="36" spans="1:39" x14ac:dyDescent="0.25">
      <c r="A36" s="8"/>
      <c r="B36" s="374"/>
      <c r="C36" s="263">
        <v>45352</v>
      </c>
      <c r="D36" s="220">
        <f t="shared" si="2"/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f t="shared" si="1"/>
        <v>7024</v>
      </c>
      <c r="P36" s="227">
        <f t="shared" si="4"/>
        <v>5.8946055857055812E-2</v>
      </c>
      <c r="Q36" s="247">
        <f t="shared" si="3"/>
        <v>5.7656610885182716E-2</v>
      </c>
      <c r="R36" s="220">
        <v>14217</v>
      </c>
      <c r="S36" s="248">
        <v>0.55000000000000004</v>
      </c>
      <c r="T36" s="228">
        <v>0.45</v>
      </c>
      <c r="U36" s="228"/>
      <c r="V36" s="228"/>
      <c r="W36" s="228"/>
      <c r="X36" s="220">
        <v>1018</v>
      </c>
      <c r="Y36" s="228">
        <v>0.55000000000000004</v>
      </c>
      <c r="Z36" s="228">
        <v>0.45</v>
      </c>
      <c r="AA36" s="228"/>
      <c r="AB36" s="228"/>
      <c r="AC36" s="228"/>
      <c r="AD36" s="251">
        <v>147</v>
      </c>
      <c r="AE36" s="231">
        <v>0.7</v>
      </c>
      <c r="AF36" s="231">
        <v>0.3</v>
      </c>
      <c r="AG36" s="231"/>
      <c r="AH36" s="231"/>
      <c r="AI36" s="265"/>
      <c r="AJ36" s="247">
        <v>5.8591547216774655E-2</v>
      </c>
      <c r="AK36" s="380"/>
      <c r="AL36" s="39"/>
      <c r="AM36" s="142"/>
    </row>
    <row r="37" spans="1:39" x14ac:dyDescent="0.25">
      <c r="A37" s="8"/>
      <c r="B37" s="374"/>
      <c r="C37" s="263">
        <v>45383</v>
      </c>
      <c r="D37" s="220">
        <f t="shared" si="2"/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 t="shared" si="1"/>
        <v>-1980</v>
      </c>
      <c r="P37" s="227">
        <f t="shared" si="4"/>
        <v>7.0554093271242485E-2</v>
      </c>
      <c r="Q37" s="247">
        <f t="shared" si="3"/>
        <v>6.9076061280961054E-2</v>
      </c>
      <c r="R37" s="220">
        <v>7666</v>
      </c>
      <c r="S37" s="248">
        <v>0.51</v>
      </c>
      <c r="T37" s="228">
        <v>0.49</v>
      </c>
      <c r="U37" s="228"/>
      <c r="V37" s="228"/>
      <c r="W37" s="228"/>
      <c r="X37" s="220">
        <v>715</v>
      </c>
      <c r="Y37" s="228">
        <v>0.54</v>
      </c>
      <c r="Z37" s="228">
        <v>0.46</v>
      </c>
      <c r="AA37" s="228"/>
      <c r="AB37" s="228"/>
      <c r="AC37" s="228"/>
      <c r="AD37" s="251">
        <v>71</v>
      </c>
      <c r="AE37" s="231">
        <v>0.73</v>
      </c>
      <c r="AF37" s="231">
        <v>0.27</v>
      </c>
      <c r="AG37" s="231"/>
      <c r="AH37" s="231"/>
      <c r="AI37" s="265"/>
      <c r="AJ37" s="247">
        <v>6.8867440605353214E-2</v>
      </c>
      <c r="AK37" s="380"/>
      <c r="AL37" s="39"/>
      <c r="AM37" s="142"/>
    </row>
    <row r="38" spans="1:39" x14ac:dyDescent="0.25">
      <c r="A38" s="8"/>
      <c r="B38" s="374"/>
      <c r="C38" s="263">
        <v>45413</v>
      </c>
      <c r="D38" s="220">
        <f t="shared" si="2"/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 t="shared" si="1"/>
        <v>2148</v>
      </c>
      <c r="P38" s="227">
        <f t="shared" si="4"/>
        <v>6.185785621451536E-2</v>
      </c>
      <c r="Q38" s="247">
        <f t="shared" si="3"/>
        <v>5.9258499213352488E-2</v>
      </c>
      <c r="R38" s="220">
        <v>9346</v>
      </c>
      <c r="S38" s="248">
        <v>0.49</v>
      </c>
      <c r="T38" s="228">
        <v>0.51</v>
      </c>
      <c r="U38" s="228"/>
      <c r="V38" s="228"/>
      <c r="W38" s="228"/>
      <c r="X38" s="220">
        <v>1585</v>
      </c>
      <c r="Y38" s="228">
        <v>0.5</v>
      </c>
      <c r="Z38" s="228">
        <v>0.5</v>
      </c>
      <c r="AA38" s="228"/>
      <c r="AB38" s="228"/>
      <c r="AC38" s="228"/>
      <c r="AD38" s="251">
        <v>343</v>
      </c>
      <c r="AE38" s="231">
        <v>0.87</v>
      </c>
      <c r="AF38" s="231">
        <v>0.13</v>
      </c>
      <c r="AG38" s="231"/>
      <c r="AH38" s="231"/>
      <c r="AI38" s="265"/>
      <c r="AJ38" s="247">
        <v>7.7884493978526106E-2</v>
      </c>
      <c r="AK38" s="380"/>
      <c r="AL38" s="39"/>
      <c r="AM38" s="142"/>
    </row>
    <row r="39" spans="1:39" x14ac:dyDescent="0.25">
      <c r="A39" s="8"/>
      <c r="B39" s="374"/>
      <c r="C39" s="263">
        <v>45444</v>
      </c>
      <c r="D39" s="220">
        <f t="shared" si="2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 t="shared" si="1"/>
        <v>5438</v>
      </c>
      <c r="P39" s="227">
        <f t="shared" si="4"/>
        <v>5.898690827704297E-2</v>
      </c>
      <c r="Q39" s="247">
        <f t="shared" si="3"/>
        <v>5.6162278040690856E-2</v>
      </c>
      <c r="R39" s="220">
        <v>12438</v>
      </c>
      <c r="S39" s="248">
        <v>0.51</v>
      </c>
      <c r="T39" s="228">
        <v>0.49</v>
      </c>
      <c r="U39" s="228"/>
      <c r="V39" s="228"/>
      <c r="W39" s="228"/>
      <c r="X39" s="220">
        <v>1383</v>
      </c>
      <c r="Y39" s="228">
        <v>0.54</v>
      </c>
      <c r="Z39" s="228">
        <v>0.46</v>
      </c>
      <c r="AA39" s="228"/>
      <c r="AB39" s="228"/>
      <c r="AC39" s="228"/>
      <c r="AD39" s="251">
        <v>364</v>
      </c>
      <c r="AE39" s="231">
        <v>0.87</v>
      </c>
      <c r="AF39" s="231">
        <v>0.13</v>
      </c>
      <c r="AG39" s="231"/>
      <c r="AH39" s="231"/>
      <c r="AI39" s="265"/>
      <c r="AJ39" s="247">
        <v>5.4774209234084652E-2</v>
      </c>
      <c r="AK39" s="380"/>
      <c r="AL39" s="39"/>
      <c r="AM39" s="142"/>
    </row>
    <row r="40" spans="1:39" x14ac:dyDescent="0.25">
      <c r="A40" s="8"/>
      <c r="B40" s="374"/>
      <c r="C40" s="263">
        <v>45474</v>
      </c>
      <c r="D40" s="220">
        <f t="shared" si="2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 t="shared" si="1"/>
        <v>10012</v>
      </c>
      <c r="P40" s="227">
        <f t="shared" si="4"/>
        <v>6.2688585995213819E-2</v>
      </c>
      <c r="Q40" s="247">
        <f t="shared" si="3"/>
        <v>6.03800332951826E-2</v>
      </c>
      <c r="R40" s="220">
        <v>18041</v>
      </c>
      <c r="S40" s="248">
        <v>0.55000000000000004</v>
      </c>
      <c r="T40" s="228">
        <v>0.45</v>
      </c>
      <c r="U40" s="228"/>
      <c r="V40" s="228"/>
      <c r="W40" s="228"/>
      <c r="X40" s="220">
        <v>1463</v>
      </c>
      <c r="Y40" s="228">
        <v>0.53</v>
      </c>
      <c r="Z40" s="228">
        <v>0.47</v>
      </c>
      <c r="AA40" s="228"/>
      <c r="AB40" s="228"/>
      <c r="AC40" s="228"/>
      <c r="AD40" s="251">
        <v>143</v>
      </c>
      <c r="AE40" s="231">
        <v>0.77</v>
      </c>
      <c r="AF40" s="231">
        <v>0.23</v>
      </c>
      <c r="AG40" s="231"/>
      <c r="AH40" s="231"/>
      <c r="AI40" s="265"/>
      <c r="AJ40" s="247">
        <v>5.3978405035883241E-2</v>
      </c>
      <c r="AK40" s="380"/>
      <c r="AL40" s="39"/>
      <c r="AM40" s="142"/>
    </row>
    <row r="41" spans="1:39" x14ac:dyDescent="0.25">
      <c r="A41" s="8"/>
      <c r="B41" s="374"/>
      <c r="C41" s="263">
        <v>45505</v>
      </c>
      <c r="D41" s="220">
        <f t="shared" si="2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si="1"/>
        <v>6105</v>
      </c>
      <c r="P41" s="227">
        <f t="shared" si="4"/>
        <v>7.2349622682980438E-2</v>
      </c>
      <c r="Q41" s="247">
        <f t="shared" si="3"/>
        <v>7.005397220797617E-2</v>
      </c>
      <c r="R41" s="220">
        <v>16367</v>
      </c>
      <c r="S41" s="248">
        <v>0.57999999999999996</v>
      </c>
      <c r="T41" s="228">
        <v>0.42</v>
      </c>
      <c r="U41" s="228"/>
      <c r="V41" s="228"/>
      <c r="W41" s="228"/>
      <c r="X41" s="220">
        <v>1502</v>
      </c>
      <c r="Y41" s="228">
        <v>0.56000000000000005</v>
      </c>
      <c r="Z41" s="228">
        <v>0.44</v>
      </c>
      <c r="AA41" s="228"/>
      <c r="AB41" s="228"/>
      <c r="AC41" s="228"/>
      <c r="AD41" s="251">
        <v>100</v>
      </c>
      <c r="AE41" s="231">
        <v>0.88</v>
      </c>
      <c r="AF41" s="231">
        <v>0.12</v>
      </c>
      <c r="AG41" s="231"/>
      <c r="AH41" s="231"/>
      <c r="AI41" s="265"/>
      <c r="AJ41" s="247">
        <v>5.3459749468117622E-2</v>
      </c>
      <c r="AK41" s="380"/>
      <c r="AL41" s="39"/>
      <c r="AM41" s="142"/>
    </row>
    <row r="42" spans="1:39" x14ac:dyDescent="0.25">
      <c r="A42" s="8"/>
      <c r="B42" s="374"/>
      <c r="C42" s="263">
        <v>45536</v>
      </c>
      <c r="D42" s="220">
        <f t="shared" si="2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1"/>
        <v>-1681</v>
      </c>
      <c r="P42" s="227">
        <f t="shared" si="4"/>
        <v>7.5594638978651263E-2</v>
      </c>
      <c r="Q42" s="247">
        <f t="shared" si="3"/>
        <v>7.3699328400816985E-2</v>
      </c>
      <c r="R42" s="220">
        <v>9943</v>
      </c>
      <c r="S42" s="264">
        <v>0.53967620000000005</v>
      </c>
      <c r="T42" s="228">
        <v>0.46032380000000001</v>
      </c>
      <c r="U42" s="286">
        <v>0.98140000000000005</v>
      </c>
      <c r="V42" s="286">
        <v>1.7299999999999999E-2</v>
      </c>
      <c r="W42" s="286">
        <v>1.2999999999999999E-3</v>
      </c>
      <c r="X42" s="220">
        <v>1090</v>
      </c>
      <c r="Y42" s="228">
        <v>0.58348619999999995</v>
      </c>
      <c r="Z42" s="228">
        <v>0.41651379999999999</v>
      </c>
      <c r="AA42" s="286">
        <v>0.75990000000000002</v>
      </c>
      <c r="AB42" s="286">
        <v>0.2225</v>
      </c>
      <c r="AC42" s="286">
        <v>1.7600000000000001E-2</v>
      </c>
      <c r="AD42" s="251">
        <v>76</v>
      </c>
      <c r="AE42" s="231">
        <v>0.81579999999999997</v>
      </c>
      <c r="AF42" s="231">
        <v>0.1842</v>
      </c>
      <c r="AG42" s="227">
        <v>0.35709999999999997</v>
      </c>
      <c r="AH42" s="227">
        <v>0</v>
      </c>
      <c r="AI42" s="287">
        <v>0.64290000000000003</v>
      </c>
      <c r="AJ42" s="247">
        <v>6.9946201032529826E-2</v>
      </c>
      <c r="AK42" s="380"/>
      <c r="AL42" s="39"/>
      <c r="AM42" s="142"/>
    </row>
    <row r="43" spans="1:39" x14ac:dyDescent="0.25">
      <c r="A43" s="8"/>
      <c r="B43" s="374"/>
      <c r="C43" s="271">
        <v>45589</v>
      </c>
      <c r="D43" s="220">
        <f t="shared" si="2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1"/>
        <v>170</v>
      </c>
      <c r="P43" s="227">
        <f t="shared" si="4"/>
        <v>6.2849261646018117E-2</v>
      </c>
      <c r="Q43" s="247">
        <f t="shared" si="3"/>
        <v>6.1291703326754335E-2</v>
      </c>
      <c r="R43" s="246">
        <v>9699</v>
      </c>
      <c r="S43" s="264">
        <v>0.49690000000000001</v>
      </c>
      <c r="T43" s="228">
        <v>0.50309999999999999</v>
      </c>
      <c r="U43" s="286">
        <v>0.98629999999999995</v>
      </c>
      <c r="V43" s="286">
        <v>1.2699999999999999E-2</v>
      </c>
      <c r="W43" s="286">
        <v>1E-3</v>
      </c>
      <c r="X43" s="220">
        <v>936</v>
      </c>
      <c r="Y43" s="228">
        <v>0.53420000000000001</v>
      </c>
      <c r="Z43" s="228">
        <v>0.46579999999999999</v>
      </c>
      <c r="AA43" s="286">
        <v>0.76149999999999995</v>
      </c>
      <c r="AB43" s="286">
        <v>0.21329999999999999</v>
      </c>
      <c r="AC43" s="286">
        <v>2.52E-2</v>
      </c>
      <c r="AD43" s="251">
        <v>81</v>
      </c>
      <c r="AE43" s="231">
        <v>0.80249999999999999</v>
      </c>
      <c r="AF43" s="231">
        <v>0.19750000000000001</v>
      </c>
      <c r="AG43" s="227">
        <v>0.4375</v>
      </c>
      <c r="AH43" s="227">
        <v>0.1875</v>
      </c>
      <c r="AI43" s="227">
        <v>0.375</v>
      </c>
      <c r="AJ43" s="247">
        <v>7.4584070823442969E-2</v>
      </c>
      <c r="AK43" s="380"/>
      <c r="AL43" s="39"/>
      <c r="AM43" s="142"/>
    </row>
    <row r="44" spans="1:39" x14ac:dyDescent="0.25">
      <c r="A44" s="8"/>
      <c r="B44" s="374"/>
      <c r="C44" s="271">
        <v>45620</v>
      </c>
      <c r="D44" s="220">
        <f t="shared" si="2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1"/>
        <v>5571</v>
      </c>
      <c r="P44" s="227">
        <f t="shared" si="4"/>
        <v>6.5719613735434904E-2</v>
      </c>
      <c r="Q44" s="247">
        <f t="shared" si="3"/>
        <v>6.2120654226698817E-2</v>
      </c>
      <c r="R44" s="246">
        <v>12913</v>
      </c>
      <c r="S44" s="264">
        <v>0.49170000000000003</v>
      </c>
      <c r="T44" s="228">
        <v>0.50829999999999997</v>
      </c>
      <c r="U44" s="286">
        <v>0.98219999999999996</v>
      </c>
      <c r="V44" s="286">
        <v>1.6E-2</v>
      </c>
      <c r="W44" s="286">
        <v>1.8E-3</v>
      </c>
      <c r="X44" s="220">
        <v>4818</v>
      </c>
      <c r="Y44" s="228">
        <v>0.48609999999999998</v>
      </c>
      <c r="Z44" s="228">
        <v>0.51390000000000002</v>
      </c>
      <c r="AA44" s="286">
        <v>0.84809999999999997</v>
      </c>
      <c r="AB44" s="286">
        <v>0.12280000000000001</v>
      </c>
      <c r="AC44" s="286">
        <v>2.9100000000000001E-2</v>
      </c>
      <c r="AD44" s="251">
        <v>222</v>
      </c>
      <c r="AE44" s="231">
        <v>0.81079999999999997</v>
      </c>
      <c r="AF44" s="231">
        <v>0.18920000000000001</v>
      </c>
      <c r="AG44" s="227">
        <v>0.23810000000000001</v>
      </c>
      <c r="AH44" s="227">
        <v>0.1905</v>
      </c>
      <c r="AI44" s="227">
        <v>0.57140000000000002</v>
      </c>
      <c r="AJ44" s="247">
        <v>7.5505887930649038E-2</v>
      </c>
      <c r="AK44" s="380"/>
      <c r="AL44" s="39"/>
      <c r="AM44" s="142"/>
    </row>
    <row r="45" spans="1:39" x14ac:dyDescent="0.25">
      <c r="A45" s="8"/>
      <c r="B45" s="374"/>
      <c r="C45" s="271">
        <v>45650</v>
      </c>
      <c r="D45" s="220">
        <f t="shared" si="2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1"/>
        <v>9697</v>
      </c>
      <c r="P45" s="227">
        <f t="shared" si="4"/>
        <v>0.10008450558484189</v>
      </c>
      <c r="Q45" s="247">
        <f t="shared" si="3"/>
        <v>7.6813852017498976E-2</v>
      </c>
      <c r="R45" s="246">
        <v>13575</v>
      </c>
      <c r="S45" s="264">
        <v>0.48409999999999997</v>
      </c>
      <c r="T45" s="228">
        <v>0.51590000000000003</v>
      </c>
      <c r="U45" s="286">
        <v>0.9899</v>
      </c>
      <c r="V45" s="286">
        <v>8.6999999999999994E-3</v>
      </c>
      <c r="W45" s="286">
        <v>1.4E-3</v>
      </c>
      <c r="X45" s="220">
        <v>11089</v>
      </c>
      <c r="Y45" s="228">
        <v>0.51390000000000002</v>
      </c>
      <c r="Z45" s="228">
        <v>0.48609999999999998</v>
      </c>
      <c r="AA45" s="286">
        <v>0.87760000000000005</v>
      </c>
      <c r="AB45" s="286">
        <v>9.4200000000000006E-2</v>
      </c>
      <c r="AC45" s="286">
        <v>2.8199999999999999E-2</v>
      </c>
      <c r="AD45" s="251">
        <v>2224</v>
      </c>
      <c r="AE45" s="231">
        <v>0.79990000000000006</v>
      </c>
      <c r="AF45" s="231">
        <v>0.2001</v>
      </c>
      <c r="AG45" s="227">
        <v>0.28539999999999999</v>
      </c>
      <c r="AH45" s="227">
        <v>0.31909999999999999</v>
      </c>
      <c r="AI45" s="227">
        <v>0.39550000000000002</v>
      </c>
      <c r="AJ45" s="247">
        <v>6.2112296678718301E-2</v>
      </c>
      <c r="AK45" s="380"/>
      <c r="AL45" s="39"/>
      <c r="AM45" s="142"/>
    </row>
    <row r="46" spans="1:39" x14ac:dyDescent="0.25">
      <c r="A46" s="8"/>
      <c r="B46" s="374"/>
      <c r="C46" s="271">
        <v>45658</v>
      </c>
      <c r="D46" s="220">
        <f t="shared" si="2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1"/>
        <v>-1826</v>
      </c>
      <c r="P46" s="227">
        <f t="shared" si="4"/>
        <v>8.151374897903621E-2</v>
      </c>
      <c r="Q46" s="247">
        <f t="shared" si="3"/>
        <v>7.3400490062619117E-2</v>
      </c>
      <c r="R46" s="220">
        <v>9454</v>
      </c>
      <c r="S46" s="310">
        <v>0.49280000000000002</v>
      </c>
      <c r="T46" s="228">
        <v>0.50719999999999998</v>
      </c>
      <c r="U46" s="286">
        <v>0.97640000000000005</v>
      </c>
      <c r="V46" s="286">
        <v>1.9800000000000002E-2</v>
      </c>
      <c r="W46" s="286">
        <v>3.8E-3</v>
      </c>
      <c r="X46" s="220">
        <v>1567</v>
      </c>
      <c r="Y46" s="228">
        <v>0.48120000000000002</v>
      </c>
      <c r="Z46" s="228">
        <v>0.51880000000000004</v>
      </c>
      <c r="AA46" s="286">
        <v>0.67900000000000005</v>
      </c>
      <c r="AB46" s="286">
        <v>0.2485</v>
      </c>
      <c r="AC46" s="286">
        <v>7.2599999999999998E-2</v>
      </c>
      <c r="AD46" s="251">
        <v>1043</v>
      </c>
      <c r="AE46" s="231">
        <v>0.71519999999999995</v>
      </c>
      <c r="AF46" s="231">
        <v>0.2848</v>
      </c>
      <c r="AG46" s="227">
        <v>0.16500000000000001</v>
      </c>
      <c r="AH46" s="227">
        <v>0.28620000000000001</v>
      </c>
      <c r="AI46" s="227">
        <v>0.54879999999999995</v>
      </c>
      <c r="AJ46" s="247">
        <v>6.2208074256983908E-2</v>
      </c>
      <c r="AK46" s="380"/>
      <c r="AL46" s="39"/>
      <c r="AM46" s="142"/>
    </row>
    <row r="47" spans="1:39" x14ac:dyDescent="0.25">
      <c r="A47" s="8"/>
      <c r="B47" s="374"/>
      <c r="C47" s="271">
        <v>45689</v>
      </c>
      <c r="D47" s="220">
        <f t="shared" si="2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1"/>
        <v>2333</v>
      </c>
      <c r="P47" s="227">
        <f t="shared" si="4"/>
        <v>5.8881115804294261E-2</v>
      </c>
      <c r="Q47" s="247">
        <f t="shared" si="3"/>
        <v>5.7352164730728614E-2</v>
      </c>
      <c r="R47" s="246">
        <v>11666</v>
      </c>
      <c r="S47" s="264">
        <v>0.48870000000000002</v>
      </c>
      <c r="T47" s="248">
        <v>0.51129999999999998</v>
      </c>
      <c r="U47" s="286">
        <v>0.97670000000000001</v>
      </c>
      <c r="V47" s="286">
        <v>2.0500000000000001E-2</v>
      </c>
      <c r="W47" s="286">
        <v>2.8E-3</v>
      </c>
      <c r="X47" s="220">
        <v>985</v>
      </c>
      <c r="Y47" s="228">
        <v>0.45179999999999998</v>
      </c>
      <c r="Z47" s="228">
        <v>0.54820000000000002</v>
      </c>
      <c r="AA47" s="286">
        <v>0.67410000000000003</v>
      </c>
      <c r="AB47" s="286">
        <v>0.28149999999999997</v>
      </c>
      <c r="AC47" s="286">
        <v>4.4400000000000002E-2</v>
      </c>
      <c r="AD47" s="251">
        <v>329</v>
      </c>
      <c r="AE47" s="231">
        <v>0.78720000000000001</v>
      </c>
      <c r="AF47" s="231">
        <v>0.21279999999999999</v>
      </c>
      <c r="AG47" s="227">
        <v>0.21429999999999999</v>
      </c>
      <c r="AH47" s="227">
        <v>0.2286</v>
      </c>
      <c r="AI47" s="227">
        <v>0.55710000000000004</v>
      </c>
      <c r="AJ47" s="247">
        <v>7.4788309591911864E-2</v>
      </c>
      <c r="AK47" s="380"/>
      <c r="AL47" s="39"/>
      <c r="AM47" s="142"/>
    </row>
    <row r="48" spans="1:39" x14ac:dyDescent="0.25">
      <c r="A48" s="8"/>
      <c r="B48" s="374"/>
      <c r="C48" s="271">
        <v>45717</v>
      </c>
      <c r="D48" s="220">
        <f t="shared" si="2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f t="shared" si="1"/>
        <v>-2539</v>
      </c>
      <c r="P48" s="227">
        <f t="shared" si="4"/>
        <v>6.5069478759971114E-2</v>
      </c>
      <c r="Q48" s="247">
        <f t="shared" si="3"/>
        <v>6.3728231889094628E-2</v>
      </c>
      <c r="R48" s="246">
        <v>8386</v>
      </c>
      <c r="S48" s="264">
        <v>0.41549999999999998</v>
      </c>
      <c r="T48" s="248">
        <v>0.58450000000000002</v>
      </c>
      <c r="U48" s="286">
        <v>0.98180000000000001</v>
      </c>
      <c r="V48" s="286">
        <v>1.5699999999999999E-2</v>
      </c>
      <c r="W48" s="286">
        <v>2.3999999999999998E-3</v>
      </c>
      <c r="X48" s="220">
        <v>830</v>
      </c>
      <c r="Y48" s="228">
        <v>0.42770000000000002</v>
      </c>
      <c r="Z48" s="228">
        <v>0.57230000000000003</v>
      </c>
      <c r="AA48" s="286">
        <v>0.68420000000000003</v>
      </c>
      <c r="AB48" s="286">
        <v>0.26740000000000003</v>
      </c>
      <c r="AC48" s="286">
        <v>4.8399999999999999E-2</v>
      </c>
      <c r="AD48" s="251">
        <v>203</v>
      </c>
      <c r="AE48" s="231">
        <v>0.7389</v>
      </c>
      <c r="AF48" s="231">
        <v>0.2611</v>
      </c>
      <c r="AG48" s="227">
        <v>0.1321</v>
      </c>
      <c r="AH48" s="227">
        <v>0.24529999999999999</v>
      </c>
      <c r="AI48" s="227">
        <v>0.62260000000000004</v>
      </c>
      <c r="AJ48" s="247">
        <v>8.3918946035379319E-2</v>
      </c>
      <c r="AK48" s="380"/>
      <c r="AL48" s="39"/>
      <c r="AM48" s="142"/>
    </row>
    <row r="49" spans="1:39" x14ac:dyDescent="0.25">
      <c r="A49" s="8"/>
      <c r="B49" s="374"/>
      <c r="C49" s="271">
        <v>45748</v>
      </c>
      <c r="D49" s="220">
        <f t="shared" si="2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si="1"/>
        <v>3787</v>
      </c>
      <c r="P49" s="247">
        <f t="shared" si="4"/>
        <v>5.6949201070378486E-2</v>
      </c>
      <c r="Q49" s="247">
        <f t="shared" si="3"/>
        <v>5.566628858373069E-2</v>
      </c>
      <c r="R49" s="220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286">
        <v>2.5999999999999999E-3</v>
      </c>
      <c r="X49" s="220">
        <v>1156</v>
      </c>
      <c r="Y49" s="228">
        <v>0.46710000000000002</v>
      </c>
      <c r="Z49" s="228">
        <v>0.53290000000000004</v>
      </c>
      <c r="AA49" s="286">
        <v>0.67530000000000001</v>
      </c>
      <c r="AB49" s="286">
        <v>0.28570000000000001</v>
      </c>
      <c r="AC49" s="286">
        <v>3.9E-2</v>
      </c>
      <c r="AD49" s="251">
        <v>193</v>
      </c>
      <c r="AE49" s="231">
        <v>0.73580000000000001</v>
      </c>
      <c r="AF49" s="231">
        <v>0.26419999999999999</v>
      </c>
      <c r="AG49" s="227">
        <v>9.8000000000000004E-2</v>
      </c>
      <c r="AH49" s="227">
        <v>0.25490000000000002</v>
      </c>
      <c r="AI49" s="227">
        <v>0.64710000000000001</v>
      </c>
      <c r="AJ49" s="247">
        <v>6.8748425320865905E-2</v>
      </c>
      <c r="AK49" s="380"/>
      <c r="AL49" s="39"/>
      <c r="AM49" s="142"/>
    </row>
    <row r="50" spans="1:39" x14ac:dyDescent="0.25">
      <c r="A50" s="8"/>
      <c r="B50" s="374"/>
      <c r="C50" s="271">
        <v>45778</v>
      </c>
      <c r="D50" s="220">
        <f t="shared" si="2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46">
        <f t="shared" si="1"/>
        <v>10322</v>
      </c>
      <c r="P50" s="247">
        <f t="shared" si="4"/>
        <v>6.3024190286130363E-2</v>
      </c>
      <c r="Q50" s="247">
        <f t="shared" si="3"/>
        <v>5.6497936948841726E-2</v>
      </c>
      <c r="R50" s="220">
        <v>16916</v>
      </c>
      <c r="S50" s="332">
        <v>0.46350000000000002</v>
      </c>
      <c r="T50" s="229">
        <v>0.53649999999999998</v>
      </c>
      <c r="U50" s="286">
        <v>0.98560000000000003</v>
      </c>
      <c r="V50" s="286">
        <v>1.26E-2</v>
      </c>
      <c r="W50" s="286">
        <v>1.9E-3</v>
      </c>
      <c r="X50" s="220">
        <v>5898</v>
      </c>
      <c r="Y50" s="228">
        <v>0.45610000000000001</v>
      </c>
      <c r="Z50" s="228">
        <v>0.54390000000000005</v>
      </c>
      <c r="AA50" s="286">
        <v>0.86250000000000004</v>
      </c>
      <c r="AB50" s="286">
        <v>0.10970000000000001</v>
      </c>
      <c r="AC50" s="286">
        <v>2.7699999999999999E-2</v>
      </c>
      <c r="AD50" s="251">
        <v>186</v>
      </c>
      <c r="AE50" s="231">
        <v>0.68279999999999996</v>
      </c>
      <c r="AF50" s="231">
        <v>0.31719999999999998</v>
      </c>
      <c r="AG50" s="227">
        <v>0.2203</v>
      </c>
      <c r="AH50" s="227">
        <v>0.32200000000000001</v>
      </c>
      <c r="AI50" s="227">
        <v>0.45760000000000001</v>
      </c>
      <c r="AJ50" s="247">
        <v>9.341540397762664E-2</v>
      </c>
      <c r="AK50" s="380"/>
      <c r="AL50" s="39"/>
      <c r="AM50" s="142"/>
    </row>
    <row r="51" spans="1:39" x14ac:dyDescent="0.25">
      <c r="A51" s="8"/>
      <c r="B51" s="374"/>
      <c r="C51" s="271">
        <v>45809</v>
      </c>
      <c r="D51" s="220">
        <f t="shared" si="2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si="1"/>
        <v>6790</v>
      </c>
      <c r="P51" s="247">
        <f t="shared" si="4"/>
        <v>6.3154291436541707E-2</v>
      </c>
      <c r="Q51" s="247">
        <f t="shared" si="3"/>
        <v>5.6057672165822803E-2</v>
      </c>
      <c r="R51" s="246">
        <v>16098</v>
      </c>
      <c r="S51" s="264">
        <v>0.50209999999999999</v>
      </c>
      <c r="T51" s="229">
        <v>0.49790000000000001</v>
      </c>
      <c r="U51" s="286">
        <v>0.97430000000000005</v>
      </c>
      <c r="V51" s="286">
        <v>2.1700000000000001E-2</v>
      </c>
      <c r="W51" s="286">
        <v>4.0000000000000001E-3</v>
      </c>
      <c r="X51" s="220">
        <v>1773</v>
      </c>
      <c r="Y51" s="228">
        <v>0.56850000000000001</v>
      </c>
      <c r="Z51" s="228">
        <v>0.43149999999999999</v>
      </c>
      <c r="AA51" s="286">
        <v>0.65229999999999999</v>
      </c>
      <c r="AB51" s="286">
        <v>0.26269999999999999</v>
      </c>
      <c r="AC51" s="286">
        <v>8.5000000000000006E-2</v>
      </c>
      <c r="AD51" s="251">
        <v>245</v>
      </c>
      <c r="AE51" s="231">
        <v>0.751</v>
      </c>
      <c r="AF51" s="231">
        <v>0.249</v>
      </c>
      <c r="AG51" s="227">
        <v>0.16389999999999999</v>
      </c>
      <c r="AH51" s="227">
        <v>0.2787</v>
      </c>
      <c r="AI51" s="227">
        <v>0.55740000000000001</v>
      </c>
      <c r="AJ51" s="247">
        <v>8.8532485209780062E-2</v>
      </c>
      <c r="AK51" s="380"/>
      <c r="AL51" s="39"/>
      <c r="AM51" s="142"/>
    </row>
    <row r="52" spans="1:39" x14ac:dyDescent="0.25">
      <c r="A52" s="8"/>
      <c r="B52" s="374"/>
      <c r="C52" s="271">
        <v>45839</v>
      </c>
      <c r="D52" s="220">
        <f t="shared" si="2"/>
        <v>202517</v>
      </c>
      <c r="E52" s="220">
        <v>25276</v>
      </c>
      <c r="F52" s="220">
        <v>13460</v>
      </c>
      <c r="G52" s="251">
        <v>12091</v>
      </c>
      <c r="H52" s="311">
        <v>8960</v>
      </c>
      <c r="I52" s="221">
        <v>215454</v>
      </c>
      <c r="J52" s="283">
        <v>0.97089999999999999</v>
      </c>
      <c r="K52" s="283">
        <v>2.9100000000000001E-2</v>
      </c>
      <c r="L52" s="283">
        <v>0.72629999999999995</v>
      </c>
      <c r="M52" s="283">
        <v>0.249</v>
      </c>
      <c r="N52" s="283">
        <v>2.47E-2</v>
      </c>
      <c r="O52" s="246">
        <f t="shared" si="1"/>
        <v>12937</v>
      </c>
      <c r="P52" s="247">
        <f t="shared" si="4"/>
        <v>5.9703629818731264E-2</v>
      </c>
      <c r="Q52" s="247">
        <f t="shared" si="3"/>
        <v>4.4243199336352013E-2</v>
      </c>
      <c r="R52" s="246">
        <v>22359</v>
      </c>
      <c r="S52" s="264">
        <v>0.53569999999999995</v>
      </c>
      <c r="T52" s="248">
        <v>0.46429999999999999</v>
      </c>
      <c r="U52" s="334">
        <v>0.97770000000000001</v>
      </c>
      <c r="V52" s="334">
        <v>1.9800000000000002E-2</v>
      </c>
      <c r="W52" s="286">
        <v>2.5000000000000001E-3</v>
      </c>
      <c r="X52" s="220">
        <v>2756</v>
      </c>
      <c r="Y52" s="228">
        <v>0.54610000000000003</v>
      </c>
      <c r="Z52" s="228">
        <v>0.45390000000000003</v>
      </c>
      <c r="AA52" s="286">
        <v>0.73380000000000001</v>
      </c>
      <c r="AB52" s="286">
        <v>0.22189999999999999</v>
      </c>
      <c r="AC52" s="286">
        <v>4.4400000000000002E-2</v>
      </c>
      <c r="AD52" s="251">
        <v>161</v>
      </c>
      <c r="AE52" s="231">
        <v>0.73909999999999998</v>
      </c>
      <c r="AF52" s="231">
        <v>0.26090000000000002</v>
      </c>
      <c r="AG52" s="227">
        <v>9.7600000000000006E-2</v>
      </c>
      <c r="AH52" s="227">
        <v>0.24390000000000001</v>
      </c>
      <c r="AI52" s="227">
        <v>0.65849999999999997</v>
      </c>
      <c r="AJ52" s="247">
        <v>8.5334628778216348E-2</v>
      </c>
      <c r="AK52" s="380"/>
      <c r="AL52" s="39"/>
      <c r="AM52" s="142"/>
    </row>
    <row r="53" spans="1:39" x14ac:dyDescent="0.25">
      <c r="A53" s="8"/>
      <c r="B53" s="374"/>
      <c r="C53" s="271">
        <v>45870</v>
      </c>
      <c r="D53" s="220">
        <f t="shared" si="2"/>
        <v>215454</v>
      </c>
      <c r="E53" s="220">
        <v>16986</v>
      </c>
      <c r="F53" s="220">
        <v>8381</v>
      </c>
      <c r="G53" s="251">
        <v>15322</v>
      </c>
      <c r="H53" s="311">
        <v>12733</v>
      </c>
      <c r="I53" s="221">
        <v>217298</v>
      </c>
      <c r="J53" s="283">
        <v>0.97430000000000005</v>
      </c>
      <c r="K53" s="283">
        <v>2.5701462658616125E-2</v>
      </c>
      <c r="L53" s="283">
        <v>0.72173046675000119</v>
      </c>
      <c r="M53" s="283">
        <v>0.25330608818387707</v>
      </c>
      <c r="N53" s="283">
        <v>2.4963445066121765E-2</v>
      </c>
      <c r="O53" s="246">
        <f t="shared" si="1"/>
        <v>1844</v>
      </c>
      <c r="P53" s="247">
        <f t="shared" si="4"/>
        <v>7.1114947970332409E-2</v>
      </c>
      <c r="Q53" s="247">
        <f t="shared" si="3"/>
        <v>5.9098461852646042E-2</v>
      </c>
      <c r="R53" s="246">
        <v>14452</v>
      </c>
      <c r="S53" s="264">
        <v>0.48346249654027124</v>
      </c>
      <c r="T53" s="248">
        <v>0.51653750345972882</v>
      </c>
      <c r="U53" s="362">
        <v>0.98017799352750812</v>
      </c>
      <c r="V53" s="334">
        <v>1.6720604099244876E-2</v>
      </c>
      <c r="W53" s="286">
        <v>3.1014023732470336E-3</v>
      </c>
      <c r="X53" s="220">
        <v>2399</v>
      </c>
      <c r="Y53" s="228">
        <v>0.53897457273864113</v>
      </c>
      <c r="Z53" s="228">
        <v>0.46102542726135887</v>
      </c>
      <c r="AA53" s="286">
        <v>0.7722681359044995</v>
      </c>
      <c r="AB53" s="286">
        <v>0.18916437098255279</v>
      </c>
      <c r="AC53" s="286">
        <v>3.8567493112947659E-2</v>
      </c>
      <c r="AD53" s="251">
        <v>135</v>
      </c>
      <c r="AE53" s="231">
        <v>0.74814814814814812</v>
      </c>
      <c r="AF53" s="231">
        <v>0.25185185185185188</v>
      </c>
      <c r="AG53" s="227">
        <v>0.17647058823529413</v>
      </c>
      <c r="AH53" s="227">
        <v>0.23529411764705882</v>
      </c>
      <c r="AI53" s="227">
        <v>0.58823529411764708</v>
      </c>
      <c r="AJ53" s="247">
        <v>7.9326771603926954E-2</v>
      </c>
      <c r="AK53" s="380"/>
      <c r="AL53" s="39"/>
      <c r="AM53" s="142"/>
    </row>
    <row r="54" spans="1:39" x14ac:dyDescent="0.25">
      <c r="A54" s="8"/>
      <c r="B54" s="374"/>
      <c r="C54" s="271">
        <v>45901</v>
      </c>
      <c r="D54" s="220">
        <f t="shared" si="2"/>
        <v>217298</v>
      </c>
      <c r="E54" s="220">
        <v>13727</v>
      </c>
      <c r="F54" s="220">
        <v>6619</v>
      </c>
      <c r="G54" s="251">
        <v>14127</v>
      </c>
      <c r="H54" s="311">
        <v>12443</v>
      </c>
      <c r="I54" s="221">
        <v>216969</v>
      </c>
      <c r="J54" s="283">
        <v>0.97426850894044625</v>
      </c>
      <c r="K54" s="283">
        <v>2.5731491059553718E-2</v>
      </c>
      <c r="L54" s="283">
        <v>0.72173046675000119</v>
      </c>
      <c r="M54" s="283">
        <v>0.25330608818387707</v>
      </c>
      <c r="N54" s="283">
        <v>2.4963445066121765E-2</v>
      </c>
      <c r="O54" s="246">
        <f t="shared" si="1"/>
        <v>-329</v>
      </c>
      <c r="P54" s="247">
        <f t="shared" si="4"/>
        <v>6.5012103194691168E-2</v>
      </c>
      <c r="Q54" s="247">
        <f t="shared" si="3"/>
        <v>5.7262377012213643E-2</v>
      </c>
      <c r="R54" s="246">
        <v>11971</v>
      </c>
      <c r="S54" s="264">
        <v>0.47172333138417843</v>
      </c>
      <c r="T54" s="248">
        <v>0.52827666861582157</v>
      </c>
      <c r="U54" s="362">
        <v>0.98477640342530925</v>
      </c>
      <c r="V54" s="334">
        <v>1.3637805264827149E-2</v>
      </c>
      <c r="W54" s="286">
        <v>1.585791309863622E-3</v>
      </c>
      <c r="X54" s="220">
        <v>1640</v>
      </c>
      <c r="Y54" s="228">
        <v>0.53963414634146345</v>
      </c>
      <c r="Z54" s="228">
        <v>0.46036585365853655</v>
      </c>
      <c r="AA54" s="286">
        <v>0.76005361930294901</v>
      </c>
      <c r="AB54" s="286">
        <v>0.22252010723860591</v>
      </c>
      <c r="AC54" s="286">
        <v>1.7426273458445041E-2</v>
      </c>
      <c r="AD54" s="251">
        <v>116</v>
      </c>
      <c r="AE54" s="231">
        <v>0.75</v>
      </c>
      <c r="AF54" s="231">
        <v>0.25</v>
      </c>
      <c r="AG54" s="227">
        <v>0.20689655172413793</v>
      </c>
      <c r="AH54" s="227">
        <v>0.13793103448275862</v>
      </c>
      <c r="AI54" s="227">
        <v>0.65517241379310343</v>
      </c>
      <c r="AJ54" s="247">
        <v>9.357137318529421E-2</v>
      </c>
      <c r="AK54" s="380"/>
      <c r="AL54" s="39"/>
      <c r="AM54" s="142"/>
    </row>
    <row r="55" spans="1:39" x14ac:dyDescent="0.25">
      <c r="A55" s="8"/>
      <c r="B55" s="374"/>
      <c r="C55" s="271">
        <v>45931</v>
      </c>
      <c r="D55" s="220">
        <f t="shared" si="2"/>
        <v>216969</v>
      </c>
      <c r="E55" s="220">
        <v>10814</v>
      </c>
      <c r="F55" s="220">
        <v>4553</v>
      </c>
      <c r="G55" s="251">
        <v>13279</v>
      </c>
      <c r="H55" s="311">
        <v>11622</v>
      </c>
      <c r="I55" s="221">
        <v>214476</v>
      </c>
      <c r="J55" s="283">
        <v>0.97288141928671212</v>
      </c>
      <c r="K55" s="283">
        <v>2.7118580713287824E-2</v>
      </c>
      <c r="L55" s="283">
        <v>0.70964802848292008</v>
      </c>
      <c r="M55" s="283">
        <v>0.26480331553150832</v>
      </c>
      <c r="N55" s="283">
        <v>2.5548655985571645E-2</v>
      </c>
      <c r="O55" s="246">
        <f t="shared" si="1"/>
        <v>-2493</v>
      </c>
      <c r="P55" s="247">
        <f t="shared" si="4"/>
        <v>6.1202291571607004E-2</v>
      </c>
      <c r="Q55" s="247">
        <f t="shared" si="3"/>
        <v>5.356525586604538E-2</v>
      </c>
      <c r="R55" s="246">
        <v>9227</v>
      </c>
      <c r="S55" s="264">
        <v>0.40240598244283082</v>
      </c>
      <c r="T55" s="248">
        <v>0.59759401755716923</v>
      </c>
      <c r="U55" s="362">
        <v>0.98343647615580632</v>
      </c>
      <c r="V55" s="334">
        <v>1.5653440116490717E-2</v>
      </c>
      <c r="W55" s="286">
        <v>9.1008372770294869E-4</v>
      </c>
      <c r="X55" s="220">
        <v>1487</v>
      </c>
      <c r="Y55" s="228">
        <v>0.51176866173503699</v>
      </c>
      <c r="Z55" s="228">
        <v>0.48823133826496301</v>
      </c>
      <c r="AA55" s="286">
        <v>0.75315568022440393</v>
      </c>
      <c r="AB55" s="286">
        <v>0.22019635343618513</v>
      </c>
      <c r="AC55" s="286">
        <v>2.6647966339410939E-2</v>
      </c>
      <c r="AD55" s="251">
        <v>100</v>
      </c>
      <c r="AE55" s="231">
        <v>0.79</v>
      </c>
      <c r="AF55" s="231">
        <v>0.21</v>
      </c>
      <c r="AG55" s="227">
        <v>0.2857142857142857</v>
      </c>
      <c r="AH55" s="227">
        <v>0.23809523809523808</v>
      </c>
      <c r="AI55" s="227">
        <v>0.47619047619047616</v>
      </c>
      <c r="AJ55" s="247">
        <v>0.10527737838622446</v>
      </c>
      <c r="AK55" s="380"/>
      <c r="AL55" s="39"/>
      <c r="AM55" s="142"/>
    </row>
    <row r="56" spans="1:39" x14ac:dyDescent="0.25">
      <c r="A56" s="8"/>
      <c r="B56" s="374"/>
      <c r="C56" s="271">
        <v>45962</v>
      </c>
      <c r="D56" s="220">
        <f t="shared" si="2"/>
        <v>214476</v>
      </c>
      <c r="E56" s="220">
        <v>19116</v>
      </c>
      <c r="F56" s="220">
        <v>7455</v>
      </c>
      <c r="G56" s="251">
        <v>12649</v>
      </c>
      <c r="H56" s="311">
        <v>10700</v>
      </c>
      <c r="I56" s="221">
        <v>218855</v>
      </c>
      <c r="J56" s="283">
        <v>0.94948752817910498</v>
      </c>
      <c r="K56" s="283">
        <v>5.051247182089498E-2</v>
      </c>
      <c r="L56" s="283">
        <v>0.70186278715306616</v>
      </c>
      <c r="M56" s="283">
        <v>0.27485009172469815</v>
      </c>
      <c r="N56" s="283">
        <v>2.3287121122235709E-2</v>
      </c>
      <c r="O56" s="246">
        <f t="shared" si="1"/>
        <v>4379</v>
      </c>
      <c r="P56" s="247">
        <f t="shared" si="4"/>
        <v>5.8976295716070798E-2</v>
      </c>
      <c r="Q56" s="247">
        <f t="shared" si="3"/>
        <v>4.9889031873030086E-2</v>
      </c>
      <c r="R56" s="246">
        <v>12927</v>
      </c>
      <c r="S56" s="264">
        <v>0.36667440241355304</v>
      </c>
      <c r="T56" s="248">
        <v>0.63332559758644691</v>
      </c>
      <c r="U56" s="362">
        <v>0.98227474150664695</v>
      </c>
      <c r="V56" s="334">
        <v>1.55096011816839E-2</v>
      </c>
      <c r="W56" s="286">
        <v>2.2156573116691287E-3</v>
      </c>
      <c r="X56" s="220">
        <v>6065</v>
      </c>
      <c r="Y56" s="228">
        <v>0.43231657048639738</v>
      </c>
      <c r="Z56" s="228">
        <v>0.56768342951360262</v>
      </c>
      <c r="AA56" s="286">
        <v>0.87970588235294123</v>
      </c>
      <c r="AB56" s="286">
        <v>0.10705882352941176</v>
      </c>
      <c r="AC56" s="286">
        <v>1.3235294117647059E-2</v>
      </c>
      <c r="AD56" s="251">
        <v>124</v>
      </c>
      <c r="AE56" s="231">
        <v>0.75</v>
      </c>
      <c r="AF56" s="231">
        <v>0.25</v>
      </c>
      <c r="AG56" s="227">
        <v>0.19354838709677419</v>
      </c>
      <c r="AH56" s="227">
        <v>0.25806451612903225</v>
      </c>
      <c r="AI56" s="227">
        <v>0.54838709677419351</v>
      </c>
      <c r="AJ56" s="247">
        <v>0.11413762884501602</v>
      </c>
      <c r="AK56" s="380"/>
      <c r="AL56" s="39"/>
      <c r="AM56" s="142"/>
    </row>
    <row r="57" spans="1:39" x14ac:dyDescent="0.25">
      <c r="A57" s="8"/>
      <c r="B57" s="374"/>
      <c r="C57" s="271">
        <v>45992</v>
      </c>
      <c r="D57" s="221">
        <v>218855</v>
      </c>
      <c r="E57" s="220">
        <v>31069</v>
      </c>
      <c r="F57" s="220">
        <v>12905</v>
      </c>
      <c r="G57" s="251">
        <v>22331</v>
      </c>
      <c r="H57" s="311">
        <v>16667</v>
      </c>
      <c r="I57" s="221">
        <v>228075</v>
      </c>
      <c r="J57" s="283">
        <v>0.96319999999999995</v>
      </c>
      <c r="K57" s="283">
        <v>3.6999999999999998E-2</v>
      </c>
      <c r="L57" s="283">
        <v>0.67400000000000004</v>
      </c>
      <c r="M57" s="283">
        <v>0.30299999999999999</v>
      </c>
      <c r="N57" s="283">
        <v>2.35E-2</v>
      </c>
      <c r="O57" s="246">
        <f t="shared" si="1"/>
        <v>9220</v>
      </c>
      <c r="P57" s="247">
        <f t="shared" si="4"/>
        <v>0.10203559434328666</v>
      </c>
      <c r="Q57" s="247">
        <f t="shared" si="3"/>
        <v>7.6155445386214618E-2</v>
      </c>
      <c r="R57" s="246">
        <v>16029</v>
      </c>
      <c r="S57" s="264">
        <v>0.36099999999999999</v>
      </c>
      <c r="T57" s="248">
        <v>0.63900000000000001</v>
      </c>
      <c r="U57" s="369">
        <v>0.97870000000000001</v>
      </c>
      <c r="V57" s="286">
        <v>1.84E-2</v>
      </c>
      <c r="W57" s="286">
        <v>2.8999999999999998E-3</v>
      </c>
      <c r="X57" s="220">
        <v>12911</v>
      </c>
      <c r="Y57" s="228">
        <v>0.46210000000000001</v>
      </c>
      <c r="Z57" s="228">
        <f>1-Y57</f>
        <v>0.53790000000000004</v>
      </c>
      <c r="AA57" s="286">
        <v>0.73409999999999997</v>
      </c>
      <c r="AB57" s="286">
        <v>0.2107</v>
      </c>
      <c r="AC57" s="286">
        <v>5.5300000000000002E-2</v>
      </c>
      <c r="AD57" s="251">
        <v>2129</v>
      </c>
      <c r="AE57" s="231">
        <v>0.69840000000000002</v>
      </c>
      <c r="AF57" s="231">
        <v>0.30159999999999998</v>
      </c>
      <c r="AG57" s="227">
        <v>0.10440000000000001</v>
      </c>
      <c r="AH57" s="227">
        <v>0.26640000000000003</v>
      </c>
      <c r="AI57" s="227">
        <v>0.62929999999999997</v>
      </c>
      <c r="AJ57" s="372">
        <v>8.1501365888684174E-2</v>
      </c>
      <c r="AK57" s="380"/>
      <c r="AL57" s="39"/>
      <c r="AM57" s="142"/>
    </row>
    <row r="58" spans="1:39" x14ac:dyDescent="0.25">
      <c r="A58" s="8"/>
      <c r="B58" s="374"/>
      <c r="C58" s="271">
        <v>46023</v>
      </c>
      <c r="D58" s="221">
        <v>228075</v>
      </c>
      <c r="E58" s="220">
        <v>14773</v>
      </c>
      <c r="F58" s="220">
        <v>6573</v>
      </c>
      <c r="G58" s="251">
        <v>18350</v>
      </c>
      <c r="H58" s="311">
        <v>16167</v>
      </c>
      <c r="I58" s="413">
        <v>226151</v>
      </c>
      <c r="J58" s="283">
        <v>0.97518033556363404</v>
      </c>
      <c r="K58" s="283">
        <v>2.4819664436365501E-2</v>
      </c>
      <c r="L58" s="283">
        <v>0.6593</v>
      </c>
      <c r="M58" s="283">
        <v>0.31569999999999998</v>
      </c>
      <c r="N58" s="283">
        <v>2.5000000000000001E-2</v>
      </c>
      <c r="O58" s="246">
        <f t="shared" si="1"/>
        <v>-1924</v>
      </c>
      <c r="P58" s="247">
        <f t="shared" si="4"/>
        <v>8.0455990354050197E-2</v>
      </c>
      <c r="Q58" s="247">
        <f t="shared" si="3"/>
        <v>7.0884577441631041E-2</v>
      </c>
      <c r="R58" s="246">
        <v>10736</v>
      </c>
      <c r="S58" s="264">
        <v>0.39589999999999997</v>
      </c>
      <c r="T58" s="248">
        <v>0.60409999999999997</v>
      </c>
      <c r="U58" s="369">
        <v>0.9587</v>
      </c>
      <c r="V58" s="286">
        <v>3.6999999999999998E-2</v>
      </c>
      <c r="W58" s="286">
        <v>4.3E-3</v>
      </c>
      <c r="X58" s="220">
        <v>2752</v>
      </c>
      <c r="Y58" s="228">
        <v>0.57410000000000005</v>
      </c>
      <c r="Z58" s="228">
        <v>0.4259</v>
      </c>
      <c r="AA58" s="286">
        <v>0.52900000000000003</v>
      </c>
      <c r="AB58" s="286">
        <v>0.32169999999999999</v>
      </c>
      <c r="AC58" s="286">
        <v>0.14929999999999999</v>
      </c>
      <c r="AD58" s="251">
        <v>1285</v>
      </c>
      <c r="AE58" s="231">
        <v>0.65839999999999999</v>
      </c>
      <c r="AF58" s="231">
        <v>0.34160000000000001</v>
      </c>
      <c r="AG58" s="227">
        <v>0.13669999999999999</v>
      </c>
      <c r="AH58" s="227">
        <v>0.2437</v>
      </c>
      <c r="AI58" s="227">
        <v>0.61960000000000004</v>
      </c>
      <c r="AJ58" s="372"/>
      <c r="AK58" s="380"/>
      <c r="AL58" s="39"/>
      <c r="AM58" s="142"/>
    </row>
    <row r="59" spans="1:39" ht="15.75" thickBot="1" x14ac:dyDescent="0.3">
      <c r="B59" s="375"/>
      <c r="C59" s="58" t="s">
        <v>78</v>
      </c>
      <c r="D59" s="113"/>
      <c r="E59" s="113">
        <f>SUM(E5:E57)</f>
        <v>667827</v>
      </c>
      <c r="F59" s="113">
        <f>SUM(F5:F56)</f>
        <v>388833.52</v>
      </c>
      <c r="G59" s="113">
        <f>SUM(G5:G56)</f>
        <v>415842</v>
      </c>
      <c r="H59" s="113"/>
      <c r="I59" s="113"/>
      <c r="J59" s="130"/>
      <c r="K59" s="130"/>
      <c r="L59" s="130"/>
      <c r="M59" s="130"/>
      <c r="N59" s="130"/>
      <c r="O59" s="146"/>
      <c r="P59" s="146"/>
      <c r="Q59" s="146"/>
      <c r="R59" s="333">
        <f>SUM(R5:R57)</f>
        <v>568220</v>
      </c>
      <c r="S59" s="354"/>
      <c r="T59" s="333"/>
      <c r="U59" s="130"/>
      <c r="V59" s="130"/>
      <c r="W59" s="130"/>
      <c r="X59" s="113">
        <f>SUM(X17:X57)</f>
        <v>89630</v>
      </c>
      <c r="Y59" s="113"/>
      <c r="Z59" s="130"/>
      <c r="AA59" s="130"/>
      <c r="AB59" s="130"/>
      <c r="AC59" s="130"/>
      <c r="AD59" s="113">
        <f>SUM(AD20:AD57)</f>
        <v>12697</v>
      </c>
      <c r="AE59" s="93"/>
      <c r="AF59" s="93"/>
      <c r="AG59" s="93"/>
      <c r="AH59" s="93"/>
      <c r="AI59" s="112"/>
      <c r="AJ59" s="83"/>
      <c r="AK59" s="375"/>
      <c r="AL59" s="8"/>
      <c r="AM59" s="142"/>
    </row>
    <row r="60" spans="1:39" ht="15.75" thickBot="1" x14ac:dyDescent="0.3">
      <c r="C60" s="324"/>
      <c r="D60" s="20"/>
      <c r="E60" s="100"/>
      <c r="F60" s="353"/>
      <c r="G60" s="10"/>
      <c r="H60" s="10"/>
      <c r="I60" s="10"/>
      <c r="J60" s="10"/>
      <c r="K60" s="10"/>
      <c r="L60" s="10"/>
      <c r="M60" s="10"/>
      <c r="N60" s="10"/>
      <c r="O60" s="10"/>
      <c r="P60" s="44"/>
      <c r="Q60" s="44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8"/>
      <c r="AM60" s="142"/>
    </row>
    <row r="61" spans="1:39" x14ac:dyDescent="0.25">
      <c r="B61" s="381" t="s">
        <v>13</v>
      </c>
      <c r="C61" s="94"/>
      <c r="D61" s="48" t="s">
        <v>191</v>
      </c>
      <c r="E61" s="48" t="s">
        <v>15</v>
      </c>
      <c r="F61" s="48" t="s">
        <v>192</v>
      </c>
      <c r="G61" s="48" t="s">
        <v>244</v>
      </c>
      <c r="H61" s="48"/>
      <c r="I61" s="48" t="s">
        <v>18</v>
      </c>
      <c r="J61" s="94"/>
      <c r="K61" s="94"/>
      <c r="L61" s="94"/>
      <c r="M61" s="94"/>
      <c r="N61" s="94"/>
      <c r="O61" s="94"/>
      <c r="P61" s="116"/>
      <c r="Q61" s="116"/>
      <c r="R61" s="116"/>
      <c r="S61" s="47"/>
      <c r="T61" s="94"/>
      <c r="U61" s="94"/>
      <c r="V61" s="94"/>
      <c r="W61" s="94"/>
      <c r="X61" s="94"/>
      <c r="Y61" s="94"/>
      <c r="AD61" s="94"/>
      <c r="AE61" s="94"/>
      <c r="AF61" s="94"/>
      <c r="AG61" s="94"/>
      <c r="AH61" s="94"/>
      <c r="AI61" s="49"/>
      <c r="AJ61" s="49"/>
      <c r="AK61" s="373" t="s">
        <v>19</v>
      </c>
      <c r="AM61" s="142"/>
    </row>
    <row r="62" spans="1:39" x14ac:dyDescent="0.25">
      <c r="B62" s="382"/>
      <c r="C62" s="156" t="s">
        <v>20</v>
      </c>
      <c r="D62" s="47"/>
      <c r="E62" s="47"/>
      <c r="F62" s="47"/>
      <c r="G62" s="260"/>
      <c r="H62" s="260"/>
      <c r="N62" s="289"/>
      <c r="O62" s="154"/>
      <c r="P62" s="158"/>
      <c r="Q62" s="73"/>
      <c r="T62" s="254"/>
      <c r="U62" s="254"/>
      <c r="V62" s="254"/>
      <c r="W62" s="254"/>
      <c r="Y62" s="47"/>
      <c r="Z62" s="47"/>
      <c r="AA62" s="239"/>
      <c r="AB62" s="47"/>
      <c r="AC62" s="47"/>
      <c r="AD62" s="47"/>
      <c r="AE62" s="47"/>
      <c r="AF62" s="47"/>
      <c r="AG62" s="47"/>
      <c r="AH62" s="47"/>
      <c r="AI62" s="12"/>
      <c r="AJ62" s="12"/>
      <c r="AK62" s="374"/>
      <c r="AM62" s="8"/>
    </row>
    <row r="63" spans="1:39" x14ac:dyDescent="0.25">
      <c r="B63" s="382"/>
      <c r="C63" s="47" t="s">
        <v>21</v>
      </c>
      <c r="D63" s="160">
        <v>0.45450000000000002</v>
      </c>
      <c r="E63" s="160">
        <v>0.43259999999999998</v>
      </c>
      <c r="F63" s="14">
        <f>D63/E63</f>
        <v>1.050624133148405</v>
      </c>
      <c r="G63" s="160">
        <v>0.56820000000000004</v>
      </c>
      <c r="H63" s="160"/>
      <c r="I63" s="14">
        <f>E63/G63</f>
        <v>0.76135163674762396</v>
      </c>
      <c r="J63" s="14"/>
      <c r="K63" s="352"/>
      <c r="L63" s="14"/>
      <c r="M63" s="14"/>
      <c r="N63" s="14"/>
      <c r="O63" s="253"/>
      <c r="P63" s="73"/>
      <c r="R63" s="158"/>
      <c r="S63" s="158"/>
      <c r="T63" s="14"/>
      <c r="U63" s="14"/>
      <c r="V63" s="14"/>
      <c r="W63" s="14"/>
      <c r="X63" s="47"/>
      <c r="Y63" s="14"/>
      <c r="Z63" s="14"/>
      <c r="AA63" s="239"/>
      <c r="AB63" s="14"/>
      <c r="AC63" s="14"/>
      <c r="AD63" s="14"/>
      <c r="AE63" s="14"/>
      <c r="AF63" s="14"/>
      <c r="AG63" s="14"/>
      <c r="AH63" s="14"/>
      <c r="AI63" s="15"/>
      <c r="AJ63" s="15"/>
      <c r="AK63" s="374"/>
      <c r="AM63" s="8"/>
    </row>
    <row r="64" spans="1:39" x14ac:dyDescent="0.25">
      <c r="B64" s="382"/>
      <c r="C64" s="47" t="s">
        <v>22</v>
      </c>
      <c r="D64" s="160">
        <v>0.54549999999999998</v>
      </c>
      <c r="E64" s="160">
        <v>0.56740000000000002</v>
      </c>
      <c r="F64" s="14">
        <f>D64/E64</f>
        <v>0.96140289037715887</v>
      </c>
      <c r="G64" s="160">
        <v>0.43180000000000002</v>
      </c>
      <c r="H64" s="160"/>
      <c r="I64" s="14">
        <f t="shared" ref="I64:I81" si="5">E64/G64</f>
        <v>1.3140342751273737</v>
      </c>
      <c r="J64" s="14"/>
      <c r="K64" s="14"/>
      <c r="L64" s="14"/>
      <c r="M64" s="14"/>
      <c r="N64" s="14"/>
      <c r="O64" s="149"/>
      <c r="P64" s="73"/>
      <c r="Q64" s="73"/>
      <c r="R64" s="158"/>
      <c r="S64" s="14"/>
      <c r="T64" s="14"/>
      <c r="U64" s="14"/>
      <c r="V64" s="14"/>
      <c r="W64" s="14"/>
      <c r="X64" s="14"/>
      <c r="Y64" s="14"/>
      <c r="Z64" s="14"/>
      <c r="AA64" s="239"/>
      <c r="AB64" s="14"/>
      <c r="AC64" s="14"/>
      <c r="AD64" s="14"/>
      <c r="AE64" s="14"/>
      <c r="AF64" s="14"/>
      <c r="AG64" s="14"/>
      <c r="AH64" s="14"/>
      <c r="AI64" s="15"/>
      <c r="AJ64" s="15"/>
      <c r="AK64" s="374"/>
    </row>
    <row r="65" spans="2:37" x14ac:dyDescent="0.25">
      <c r="B65" s="382"/>
      <c r="D65" s="190"/>
      <c r="E65" s="160"/>
      <c r="F65" s="14"/>
      <c r="G65" s="190"/>
      <c r="H65" s="190"/>
      <c r="I65" s="14"/>
      <c r="J65" s="170"/>
      <c r="K65" s="170"/>
      <c r="L65" s="170"/>
      <c r="M65" s="170"/>
      <c r="N65" s="170"/>
      <c r="O65" s="149"/>
      <c r="P65" s="222"/>
      <c r="Q65" s="222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/>
      <c r="AJ65" s="15"/>
      <c r="AK65" s="374"/>
    </row>
    <row r="66" spans="2:37" x14ac:dyDescent="0.25">
      <c r="B66" s="382"/>
      <c r="C66" s="156" t="s">
        <v>23</v>
      </c>
      <c r="D66" s="169"/>
      <c r="E66" s="162"/>
      <c r="F66" s="14"/>
      <c r="G66" s="190"/>
      <c r="H66" s="190"/>
      <c r="I66" s="14"/>
      <c r="J66" s="170"/>
      <c r="K66" s="170"/>
      <c r="L66" s="170"/>
      <c r="M66" s="170"/>
      <c r="N66" s="170"/>
      <c r="O66" s="149"/>
      <c r="P66" s="39"/>
      <c r="Q66" s="3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/>
      <c r="AJ66" s="15"/>
      <c r="AK66" s="374"/>
    </row>
    <row r="67" spans="2:37" x14ac:dyDescent="0.25">
      <c r="B67" s="382"/>
      <c r="C67" s="47" t="s">
        <v>24</v>
      </c>
      <c r="D67" s="166">
        <v>1.0699999999999999E-2</v>
      </c>
      <c r="E67" s="166">
        <v>4.7000000000000002E-3</v>
      </c>
      <c r="F67" s="14">
        <f t="shared" ref="F67:F72" si="6">D67/E67</f>
        <v>2.2765957446808507</v>
      </c>
      <c r="G67" s="166">
        <v>3.5999999999999999E-3</v>
      </c>
      <c r="H67" s="160"/>
      <c r="I67" s="14">
        <f t="shared" si="5"/>
        <v>1.3055555555555556</v>
      </c>
      <c r="J67" s="14"/>
      <c r="K67" s="370"/>
      <c r="L67" s="14"/>
      <c r="M67" s="14"/>
      <c r="N67" s="14"/>
      <c r="O67" s="149"/>
      <c r="P67" s="39"/>
      <c r="Q67" s="39"/>
      <c r="R67" s="14"/>
      <c r="S67" s="14"/>
      <c r="T67" s="14"/>
      <c r="U67" s="14"/>
      <c r="V67" s="14"/>
      <c r="W67" s="14">
        <f>X55*Y55</f>
        <v>761</v>
      </c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/>
      <c r="AJ67" s="15"/>
      <c r="AK67" s="374"/>
    </row>
    <row r="68" spans="2:37" x14ac:dyDescent="0.25">
      <c r="B68" s="382"/>
      <c r="C68" s="47" t="s">
        <v>25</v>
      </c>
      <c r="D68" s="166">
        <v>0.14219999999999999</v>
      </c>
      <c r="E68" s="166">
        <v>8.9099999999999999E-2</v>
      </c>
      <c r="F68" s="14">
        <f t="shared" si="6"/>
        <v>1.5959595959595958</v>
      </c>
      <c r="G68" s="166">
        <v>5.9200000000000003E-2</v>
      </c>
      <c r="H68" s="160"/>
      <c r="I68" s="14">
        <f t="shared" si="5"/>
        <v>1.5050675675675675</v>
      </c>
      <c r="J68" s="14"/>
      <c r="K68" s="370"/>
      <c r="L68" s="14"/>
      <c r="M68" s="14"/>
      <c r="N68" s="14"/>
      <c r="O68" s="149"/>
      <c r="P68" s="39"/>
      <c r="Q68" s="3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/>
      <c r="AJ68" s="15"/>
      <c r="AK68" s="374"/>
    </row>
    <row r="69" spans="2:37" x14ac:dyDescent="0.25">
      <c r="B69" s="382"/>
      <c r="C69" s="47" t="s">
        <v>26</v>
      </c>
      <c r="D69" s="166">
        <v>0.4108</v>
      </c>
      <c r="E69" s="166">
        <v>0.36109999999999998</v>
      </c>
      <c r="F69" s="14">
        <f t="shared" si="6"/>
        <v>1.137635004153974</v>
      </c>
      <c r="G69" s="166">
        <v>0.26700000000000002</v>
      </c>
      <c r="H69" s="160"/>
      <c r="I69" s="14">
        <f t="shared" si="5"/>
        <v>1.3524344569288387</v>
      </c>
      <c r="J69" s="14"/>
      <c r="K69" s="370"/>
      <c r="L69" s="14"/>
      <c r="M69" s="14"/>
      <c r="N69" s="14"/>
      <c r="O69" s="149"/>
      <c r="P69" s="39"/>
      <c r="Q69" s="3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/>
      <c r="AJ69" s="15"/>
      <c r="AK69" s="374"/>
    </row>
    <row r="70" spans="2:37" x14ac:dyDescent="0.25">
      <c r="B70" s="382"/>
      <c r="C70" s="47" t="s">
        <v>27</v>
      </c>
      <c r="D70" s="166">
        <v>0.31009999999999999</v>
      </c>
      <c r="E70" s="166">
        <v>0.36969999999999997</v>
      </c>
      <c r="F70" s="14">
        <f t="shared" si="6"/>
        <v>0.83878820665404386</v>
      </c>
      <c r="G70" s="166">
        <v>0.34810000000000002</v>
      </c>
      <c r="H70" s="160"/>
      <c r="I70" s="14">
        <f t="shared" si="5"/>
        <v>1.0620511347313988</v>
      </c>
      <c r="J70" s="14"/>
      <c r="K70" s="370"/>
      <c r="L70" s="14"/>
      <c r="M70" s="14"/>
      <c r="N70" s="14"/>
      <c r="O70" s="149"/>
      <c r="P70" s="39"/>
      <c r="Q70" s="3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/>
      <c r="AJ70" s="15"/>
      <c r="AK70" s="374"/>
    </row>
    <row r="71" spans="2:37" x14ac:dyDescent="0.25">
      <c r="B71" s="382"/>
      <c r="C71" s="47" t="s">
        <v>28</v>
      </c>
      <c r="D71" s="166">
        <v>0.1042</v>
      </c>
      <c r="E71" s="166">
        <v>0.14749999999999999</v>
      </c>
      <c r="F71" s="14">
        <f t="shared" si="6"/>
        <v>0.70644067796610177</v>
      </c>
      <c r="G71" s="166">
        <v>0.20910000000000001</v>
      </c>
      <c r="H71" s="160"/>
      <c r="I71" s="14">
        <f t="shared" si="5"/>
        <v>0.70540411286465798</v>
      </c>
      <c r="J71" s="14"/>
      <c r="K71" s="370"/>
      <c r="L71" s="14"/>
      <c r="M71" s="14"/>
      <c r="N71" s="14"/>
      <c r="O71" s="149"/>
      <c r="P71" s="39"/>
      <c r="Q71" s="3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/>
      <c r="AJ71" s="15"/>
      <c r="AK71" s="374"/>
    </row>
    <row r="72" spans="2:37" x14ac:dyDescent="0.25">
      <c r="B72" s="382"/>
      <c r="C72" s="47" t="s">
        <v>29</v>
      </c>
      <c r="D72" s="166">
        <v>2.1999999999999999E-2</v>
      </c>
      <c r="E72" s="166">
        <v>2.7900000000000001E-2</v>
      </c>
      <c r="F72" s="14">
        <f t="shared" si="6"/>
        <v>0.78853046594982068</v>
      </c>
      <c r="G72" s="166">
        <v>0.11310000000000001</v>
      </c>
      <c r="H72" s="160"/>
      <c r="I72" s="14">
        <f t="shared" si="5"/>
        <v>0.24668435013262599</v>
      </c>
      <c r="J72" s="14"/>
      <c r="K72" s="370"/>
      <c r="L72" s="14"/>
      <c r="M72" s="14"/>
      <c r="N72" s="14"/>
      <c r="O72" s="149"/>
      <c r="P72" s="39"/>
      <c r="Q72" s="3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/>
      <c r="AJ72" s="15"/>
      <c r="AK72" s="374"/>
    </row>
    <row r="73" spans="2:37" x14ac:dyDescent="0.25">
      <c r="B73" s="382"/>
      <c r="D73" s="190"/>
      <c r="E73" s="190"/>
      <c r="F73" s="14"/>
      <c r="G73" s="190"/>
      <c r="H73" s="190"/>
      <c r="I73" s="170"/>
      <c r="J73" s="170"/>
      <c r="K73" s="170"/>
      <c r="L73" s="170"/>
      <c r="M73" s="170"/>
      <c r="N73" s="170"/>
      <c r="O73" s="149"/>
      <c r="P73" s="39"/>
      <c r="Q73" s="3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/>
      <c r="AJ73" s="15"/>
      <c r="AK73" s="374"/>
    </row>
    <row r="74" spans="2:37" x14ac:dyDescent="0.25">
      <c r="B74" s="382"/>
      <c r="C74" s="156" t="s">
        <v>30</v>
      </c>
      <c r="D74" s="169"/>
      <c r="E74" s="169"/>
      <c r="F74" s="14"/>
      <c r="G74" s="190"/>
      <c r="H74" s="190"/>
      <c r="I74" s="170"/>
      <c r="J74" s="170"/>
      <c r="K74" s="170"/>
      <c r="L74" s="170"/>
      <c r="M74" s="170"/>
      <c r="N74" s="170"/>
      <c r="O74" s="149"/>
      <c r="P74" s="39"/>
      <c r="Q74" s="3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/>
      <c r="AJ74" s="15"/>
      <c r="AK74" s="374"/>
    </row>
    <row r="75" spans="2:37" x14ac:dyDescent="0.25">
      <c r="B75" s="382"/>
      <c r="C75" s="47" t="s">
        <v>31</v>
      </c>
      <c r="D75" s="160">
        <v>0.49559999999999998</v>
      </c>
      <c r="E75" s="163">
        <v>0.48259999999999997</v>
      </c>
      <c r="F75" s="14">
        <f>D75/E75</f>
        <v>1.0269374222958974</v>
      </c>
      <c r="G75" s="160">
        <v>0.45989999999999998</v>
      </c>
      <c r="H75" s="160"/>
      <c r="I75" s="14">
        <f>E75/G75</f>
        <v>1.0493585562078713</v>
      </c>
      <c r="J75" s="14"/>
      <c r="K75" s="14"/>
      <c r="L75" s="14"/>
      <c r="M75" s="371"/>
      <c r="N75" s="370"/>
      <c r="O75" s="149"/>
      <c r="P75" s="39"/>
      <c r="Q75" s="3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/>
      <c r="AJ75" s="15"/>
      <c r="AK75" s="374"/>
    </row>
    <row r="76" spans="2:37" x14ac:dyDescent="0.25">
      <c r="B76" s="382"/>
      <c r="C76" s="47" t="s">
        <v>32</v>
      </c>
      <c r="D76" s="160">
        <v>0.18629999999999999</v>
      </c>
      <c r="E76" s="160">
        <v>0.19400000000000001</v>
      </c>
      <c r="F76" s="14">
        <f>D76/E76</f>
        <v>0.96030927835051538</v>
      </c>
      <c r="G76" s="160">
        <v>0.1439</v>
      </c>
      <c r="H76" s="160"/>
      <c r="I76" s="14">
        <f t="shared" si="5"/>
        <v>1.3481584433634468</v>
      </c>
      <c r="J76" s="14"/>
      <c r="K76" s="14"/>
      <c r="L76" s="14"/>
      <c r="M76" s="371"/>
      <c r="N76" s="370"/>
      <c r="O76" s="149"/>
      <c r="P76" s="39"/>
      <c r="Q76" s="3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/>
      <c r="AJ76" s="15"/>
      <c r="AK76" s="374"/>
    </row>
    <row r="77" spans="2:37" x14ac:dyDescent="0.25">
      <c r="B77" s="382"/>
      <c r="C77" s="47" t="s">
        <v>33</v>
      </c>
      <c r="D77" s="160">
        <v>0.113</v>
      </c>
      <c r="E77" s="160">
        <v>0.1208</v>
      </c>
      <c r="F77" s="14">
        <f>D77/E77</f>
        <v>0.93543046357615889</v>
      </c>
      <c r="G77" s="160">
        <v>0.13619999999999999</v>
      </c>
      <c r="H77" s="160"/>
      <c r="I77" s="14">
        <f t="shared" si="5"/>
        <v>0.88693098384728353</v>
      </c>
      <c r="J77" s="14"/>
      <c r="K77" s="14"/>
      <c r="L77" s="14"/>
      <c r="M77" s="371"/>
      <c r="N77" s="370"/>
      <c r="O77" s="149"/>
      <c r="P77" s="39"/>
      <c r="Q77" s="3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/>
      <c r="AJ77" s="15"/>
      <c r="AK77" s="374"/>
    </row>
    <row r="78" spans="2:37" x14ac:dyDescent="0.25">
      <c r="B78" s="382"/>
      <c r="C78" s="47" t="s">
        <v>34</v>
      </c>
      <c r="D78" s="160">
        <v>0.10340000000000001</v>
      </c>
      <c r="E78" s="160">
        <v>9.9099999999999994E-2</v>
      </c>
      <c r="F78" s="14">
        <f t="shared" ref="F78:F81" si="7">D78/E78</f>
        <v>1.0433905146316853</v>
      </c>
      <c r="G78" s="160">
        <v>0.11890000000000001</v>
      </c>
      <c r="H78" s="160"/>
      <c r="I78" s="14">
        <f t="shared" si="5"/>
        <v>0.83347350714886448</v>
      </c>
      <c r="J78" s="14"/>
      <c r="K78" s="14"/>
      <c r="L78" s="14"/>
      <c r="M78" s="371"/>
      <c r="N78" s="370"/>
      <c r="O78" s="223"/>
      <c r="P78" s="39"/>
      <c r="Q78" s="3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/>
      <c r="AJ78" s="15"/>
      <c r="AK78" s="374"/>
    </row>
    <row r="79" spans="2:37" x14ac:dyDescent="0.25">
      <c r="B79" s="382"/>
      <c r="C79" s="47" t="s">
        <v>35</v>
      </c>
      <c r="D79" s="160">
        <v>2.2800000000000001E-2</v>
      </c>
      <c r="E79" s="160">
        <v>2.4400000000000002E-2</v>
      </c>
      <c r="F79" s="14">
        <f t="shared" si="7"/>
        <v>0.93442622950819665</v>
      </c>
      <c r="G79" s="160">
        <v>3.56E-2</v>
      </c>
      <c r="H79" s="160"/>
      <c r="I79" s="14">
        <f t="shared" si="5"/>
        <v>0.6853932584269663</v>
      </c>
      <c r="J79" s="14"/>
      <c r="K79" s="14"/>
      <c r="L79" s="14"/>
      <c r="M79" s="371"/>
      <c r="N79" s="370"/>
      <c r="O79" s="149"/>
      <c r="P79" s="39"/>
      <c r="Q79" s="3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/>
      <c r="AJ79" s="15"/>
      <c r="AK79" s="374"/>
    </row>
    <row r="80" spans="2:37" x14ac:dyDescent="0.25">
      <c r="B80" s="382"/>
      <c r="C80" s="47" t="s">
        <v>36</v>
      </c>
      <c r="D80" s="160">
        <v>1.3899999999999999E-2</v>
      </c>
      <c r="E80" s="160">
        <v>1.46E-2</v>
      </c>
      <c r="F80" s="14">
        <f t="shared" si="7"/>
        <v>0.95205479452054786</v>
      </c>
      <c r="G80" s="160">
        <v>2.6700000000000002E-2</v>
      </c>
      <c r="H80" s="160"/>
      <c r="I80" s="14">
        <f t="shared" si="5"/>
        <v>0.54681647940074907</v>
      </c>
      <c r="J80" s="14"/>
      <c r="K80" s="14"/>
      <c r="L80" s="14"/>
      <c r="M80" s="371"/>
      <c r="N80" s="370"/>
      <c r="O80" s="149"/>
      <c r="P80" s="39"/>
      <c r="Q80" s="3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/>
      <c r="AJ80" s="15"/>
      <c r="AK80" s="374"/>
    </row>
    <row r="81" spans="2:37" x14ac:dyDescent="0.25">
      <c r="B81" s="382"/>
      <c r="C81" s="47" t="s">
        <v>37</v>
      </c>
      <c r="D81" s="160">
        <v>6.5100000000000005E-2</v>
      </c>
      <c r="E81" s="160">
        <v>6.4500000000000002E-2</v>
      </c>
      <c r="F81" s="14">
        <f t="shared" si="7"/>
        <v>1.0093023255813953</v>
      </c>
      <c r="G81" s="160">
        <v>7.8799999999999995E-2</v>
      </c>
      <c r="H81" s="160"/>
      <c r="I81" s="14">
        <f t="shared" si="5"/>
        <v>0.81852791878172593</v>
      </c>
      <c r="J81" s="14"/>
      <c r="K81" s="14"/>
      <c r="L81" s="14"/>
      <c r="M81" s="371"/>
      <c r="N81" s="370"/>
      <c r="O81" s="149"/>
      <c r="P81" s="39"/>
      <c r="Q81" s="3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/>
      <c r="AJ81" s="15"/>
      <c r="AK81" s="374"/>
    </row>
    <row r="82" spans="2:37" x14ac:dyDescent="0.25">
      <c r="B82" s="382"/>
      <c r="D82" s="190"/>
      <c r="E82" s="190"/>
      <c r="F82" s="14"/>
      <c r="G82" s="190"/>
      <c r="H82" s="190"/>
      <c r="I82" s="170"/>
      <c r="J82" s="170"/>
      <c r="K82" s="170"/>
      <c r="L82" s="170"/>
      <c r="M82" s="170"/>
      <c r="N82" s="170"/>
      <c r="O82" s="149"/>
      <c r="P82" s="222"/>
      <c r="Q82" s="222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/>
      <c r="AJ82" s="15"/>
      <c r="AK82" s="374"/>
    </row>
    <row r="83" spans="2:37" x14ac:dyDescent="0.25">
      <c r="B83" s="382"/>
      <c r="C83" s="156" t="s">
        <v>38</v>
      </c>
      <c r="D83" s="169"/>
      <c r="E83" s="169"/>
      <c r="F83" s="14"/>
      <c r="G83" s="190"/>
      <c r="H83" s="190"/>
      <c r="I83" s="170"/>
      <c r="J83" s="170"/>
      <c r="K83" s="156"/>
      <c r="L83" s="190"/>
      <c r="M83" s="190"/>
      <c r="N83" s="14"/>
      <c r="O83" s="190"/>
      <c r="P83" s="170"/>
      <c r="Q83" s="222"/>
      <c r="R83" s="239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/>
      <c r="AJ83" s="15"/>
      <c r="AK83" s="374"/>
    </row>
    <row r="84" spans="2:37" x14ac:dyDescent="0.25">
      <c r="B84" s="382"/>
      <c r="C84" s="47" t="s">
        <v>39</v>
      </c>
      <c r="D84" s="160">
        <v>0.5917</v>
      </c>
      <c r="E84" s="13">
        <v>0.505</v>
      </c>
      <c r="F84" s="14">
        <f>D84/E84</f>
        <v>1.1716831683168316</v>
      </c>
      <c r="G84" s="164">
        <v>0.50990000000000002</v>
      </c>
      <c r="H84" s="164"/>
      <c r="I84" s="72">
        <f>E84/G84</f>
        <v>0.99039027260247103</v>
      </c>
      <c r="J84" s="72"/>
      <c r="K84" s="47"/>
      <c r="L84" s="160"/>
      <c r="M84" s="160"/>
      <c r="N84" s="14"/>
      <c r="O84" s="163"/>
      <c r="P84" s="72"/>
      <c r="Q84" s="240"/>
      <c r="R84" s="241"/>
      <c r="S84" s="16"/>
      <c r="T84" s="16"/>
      <c r="U84" s="16"/>
      <c r="V84" s="16"/>
      <c r="W84" s="16"/>
      <c r="X84" s="68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36"/>
      <c r="AJ84" s="36"/>
      <c r="AK84" s="374"/>
    </row>
    <row r="85" spans="2:37" x14ac:dyDescent="0.25">
      <c r="B85" s="382"/>
      <c r="C85" s="47" t="s">
        <v>40</v>
      </c>
      <c r="D85" s="160">
        <v>4.9200000000000001E-2</v>
      </c>
      <c r="E85" s="13">
        <v>5.0999999999999997E-2</v>
      </c>
      <c r="F85" s="14">
        <f>D85/E85</f>
        <v>0.9647058823529413</v>
      </c>
      <c r="G85" s="160">
        <v>5.67E-2</v>
      </c>
      <c r="H85" s="160"/>
      <c r="I85" s="72">
        <f>E85/G85</f>
        <v>0.89947089947089942</v>
      </c>
      <c r="J85" s="72"/>
      <c r="K85" s="47"/>
      <c r="L85" s="160"/>
      <c r="M85" s="160"/>
      <c r="N85" s="14"/>
      <c r="O85" s="163"/>
      <c r="P85" s="72"/>
      <c r="Q85" s="240"/>
      <c r="R85" s="241"/>
      <c r="S85" s="14"/>
      <c r="T85" s="16"/>
      <c r="U85" s="16"/>
      <c r="V85" s="16"/>
      <c r="W85" s="16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/>
      <c r="AJ85" s="15"/>
      <c r="AK85" s="374"/>
    </row>
    <row r="86" spans="2:37" x14ac:dyDescent="0.25">
      <c r="B86" s="382"/>
      <c r="C86" s="47" t="s">
        <v>41</v>
      </c>
      <c r="D86" s="160">
        <v>8.1900000000000001E-2</v>
      </c>
      <c r="E86" s="13">
        <v>9.2100000000000001E-2</v>
      </c>
      <c r="F86" s="14">
        <f>D86/E86</f>
        <v>0.88925081433224751</v>
      </c>
      <c r="G86" s="160">
        <v>0.1055</v>
      </c>
      <c r="H86" s="160"/>
      <c r="I86" s="72">
        <f>E86/G86</f>
        <v>0.87298578199052135</v>
      </c>
      <c r="J86" s="72"/>
      <c r="K86" s="47"/>
      <c r="L86" s="160"/>
      <c r="M86" s="160"/>
      <c r="N86" s="14"/>
      <c r="O86" s="163"/>
      <c r="P86" s="72"/>
      <c r="Q86" s="240"/>
      <c r="R86" s="241"/>
      <c r="S86" s="14"/>
      <c r="T86" s="16"/>
      <c r="U86" s="16"/>
      <c r="V86" s="16"/>
      <c r="W86" s="16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/>
      <c r="AJ86" s="15"/>
      <c r="AK86" s="374"/>
    </row>
    <row r="87" spans="2:37" x14ac:dyDescent="0.25">
      <c r="B87" s="382"/>
      <c r="C87" s="47" t="s">
        <v>42</v>
      </c>
      <c r="D87" s="160">
        <v>9.6799999999999997E-2</v>
      </c>
      <c r="E87" s="13">
        <v>0.1138</v>
      </c>
      <c r="F87" s="14">
        <f>D87/E87</f>
        <v>0.85061511423550085</v>
      </c>
      <c r="G87" s="160">
        <v>0.1212</v>
      </c>
      <c r="H87" s="160"/>
      <c r="I87" s="72">
        <f>E87/G87</f>
        <v>0.93894389438943893</v>
      </c>
      <c r="J87" s="72"/>
      <c r="K87" s="47"/>
      <c r="L87" s="160"/>
      <c r="M87" s="160"/>
      <c r="N87" s="14"/>
      <c r="O87" s="163"/>
      <c r="P87" s="72"/>
      <c r="Q87" s="240"/>
      <c r="R87" s="241"/>
      <c r="S87" s="14"/>
      <c r="T87" s="16"/>
      <c r="U87" s="16"/>
      <c r="V87" s="16"/>
      <c r="W87" s="16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/>
      <c r="AJ87" s="15"/>
      <c r="AK87" s="374"/>
    </row>
    <row r="88" spans="2:37" x14ac:dyDescent="0.25">
      <c r="B88" s="382"/>
      <c r="C88" s="47" t="s">
        <v>43</v>
      </c>
      <c r="D88" s="160">
        <v>0.1066</v>
      </c>
      <c r="E88" s="13">
        <v>0.13170000000000001</v>
      </c>
      <c r="F88" s="14">
        <f>D88/E88</f>
        <v>0.80941533788914188</v>
      </c>
      <c r="G88" s="160">
        <v>0.1222</v>
      </c>
      <c r="H88" s="160"/>
      <c r="I88" s="72">
        <f>E88/G88</f>
        <v>1.0777414075286416</v>
      </c>
      <c r="J88" s="72"/>
      <c r="K88" s="47"/>
      <c r="L88" s="160"/>
      <c r="M88" s="160"/>
      <c r="N88" s="14"/>
      <c r="O88" s="163"/>
      <c r="P88" s="72"/>
      <c r="Q88" s="240"/>
      <c r="R88" s="241"/>
      <c r="S88" s="14"/>
      <c r="T88" s="16"/>
      <c r="U88" s="16"/>
      <c r="V88" s="16"/>
      <c r="W88" s="16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/>
      <c r="AJ88" s="15"/>
      <c r="AK88" s="374"/>
    </row>
    <row r="89" spans="2:37" x14ac:dyDescent="0.25">
      <c r="B89" s="382"/>
      <c r="C89" s="47" t="s">
        <v>44</v>
      </c>
      <c r="D89" s="160">
        <v>7.3700000000000002E-2</v>
      </c>
      <c r="E89" s="13">
        <v>0.10639999999999999</v>
      </c>
      <c r="F89" s="14">
        <f t="shared" ref="F89:F97" si="8">D89/E89</f>
        <v>0.69266917293233088</v>
      </c>
      <c r="G89" s="160">
        <v>8.4500000000000006E-2</v>
      </c>
      <c r="H89" s="160"/>
      <c r="I89" s="72">
        <f t="shared" ref="I89" si="9">E89/G89</f>
        <v>1.2591715976331359</v>
      </c>
      <c r="J89" s="72"/>
      <c r="K89" s="47"/>
      <c r="L89" s="160"/>
      <c r="M89" s="160"/>
      <c r="N89" s="14"/>
      <c r="O89" s="163"/>
      <c r="P89" s="72"/>
      <c r="Q89" s="34"/>
      <c r="R89" s="239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/>
      <c r="AJ89" s="15"/>
      <c r="AK89" s="374"/>
    </row>
    <row r="90" spans="2:37" x14ac:dyDescent="0.25">
      <c r="B90" s="382"/>
      <c r="D90" s="190"/>
      <c r="E90" s="190"/>
      <c r="F90" s="14"/>
      <c r="G90" s="190"/>
      <c r="H90" s="190"/>
      <c r="I90" s="170"/>
      <c r="J90" s="170"/>
      <c r="K90" s="170"/>
      <c r="L90" s="170"/>
      <c r="M90" s="170"/>
      <c r="N90" s="170"/>
      <c r="O90" s="149"/>
      <c r="P90" s="222"/>
      <c r="Q90" s="222"/>
      <c r="R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/>
      <c r="AJ90" s="15"/>
      <c r="AK90" s="374"/>
    </row>
    <row r="91" spans="2:37" x14ac:dyDescent="0.25">
      <c r="B91" s="382"/>
      <c r="C91" s="156" t="s">
        <v>245</v>
      </c>
      <c r="D91" s="190"/>
      <c r="E91" s="190"/>
      <c r="F91" s="14"/>
      <c r="G91" s="190"/>
      <c r="H91" s="190"/>
      <c r="I91" s="170"/>
      <c r="J91" s="170"/>
      <c r="K91" s="170"/>
      <c r="L91" s="170"/>
      <c r="M91" s="170"/>
      <c r="N91" s="170"/>
      <c r="O91" s="149"/>
      <c r="P91" s="39"/>
      <c r="Q91" s="39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/>
      <c r="AJ91" s="15"/>
      <c r="AK91" s="374"/>
    </row>
    <row r="92" spans="2:37" x14ac:dyDescent="0.25">
      <c r="B92" s="382"/>
      <c r="C92" s="47" t="s">
        <v>39</v>
      </c>
      <c r="D92" s="160">
        <v>0.2283</v>
      </c>
      <c r="E92" s="13">
        <v>0.1351</v>
      </c>
      <c r="F92" s="14">
        <f>D92/E92</f>
        <v>1.6898593634344929</v>
      </c>
      <c r="G92" s="163">
        <v>0.1883</v>
      </c>
      <c r="H92" s="163"/>
      <c r="I92" s="72">
        <f>E92/G92</f>
        <v>0.71747211895910779</v>
      </c>
      <c r="J92" s="72" t="s">
        <v>246</v>
      </c>
      <c r="K92" s="72"/>
      <c r="L92" s="72"/>
      <c r="M92" s="72"/>
      <c r="N92" s="72"/>
      <c r="O92" s="149"/>
      <c r="P92" s="38"/>
      <c r="Q92" s="38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/>
      <c r="AJ92" s="15"/>
      <c r="AK92" s="374"/>
    </row>
    <row r="93" spans="2:37" x14ac:dyDescent="0.25">
      <c r="B93" s="382"/>
      <c r="C93" s="47" t="s">
        <v>40</v>
      </c>
      <c r="D93" s="160">
        <v>9.5000000000000001E-2</v>
      </c>
      <c r="E93" s="13">
        <v>0.1016</v>
      </c>
      <c r="F93" s="14">
        <f t="shared" si="8"/>
        <v>0.93503937007874016</v>
      </c>
      <c r="G93" s="163">
        <v>0.15179999999999999</v>
      </c>
      <c r="H93" s="163"/>
      <c r="I93" s="72">
        <f t="shared" ref="I93:I97" si="10">E93/G93</f>
        <v>0.66930171277997363</v>
      </c>
      <c r="J93" s="72"/>
      <c r="K93" s="72"/>
      <c r="L93" s="72"/>
      <c r="M93" s="72"/>
      <c r="N93" s="72"/>
      <c r="O93" s="149"/>
      <c r="P93" s="38"/>
      <c r="Q93" s="3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/>
      <c r="AJ93" s="15"/>
      <c r="AK93" s="374"/>
    </row>
    <row r="94" spans="2:37" x14ac:dyDescent="0.25">
      <c r="B94" s="382"/>
      <c r="C94" s="47" t="s">
        <v>41</v>
      </c>
      <c r="D94" s="160">
        <v>0.16200000000000001</v>
      </c>
      <c r="E94" s="13">
        <v>0.1706</v>
      </c>
      <c r="F94" s="14">
        <f t="shared" si="8"/>
        <v>0.94958968347010553</v>
      </c>
      <c r="G94" s="163">
        <v>0.21829999999999999</v>
      </c>
      <c r="H94" s="163"/>
      <c r="I94" s="72">
        <f t="shared" si="10"/>
        <v>0.78149335776454421</v>
      </c>
      <c r="J94" s="72"/>
      <c r="K94" s="72"/>
      <c r="L94" s="72"/>
      <c r="M94" s="72"/>
      <c r="N94" s="72"/>
      <c r="O94" s="149"/>
      <c r="P94" s="38"/>
      <c r="Q94" s="3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/>
      <c r="AJ94" s="15"/>
      <c r="AK94" s="374"/>
    </row>
    <row r="95" spans="2:37" x14ac:dyDescent="0.25">
      <c r="B95" s="382"/>
      <c r="C95" s="47" t="s">
        <v>42</v>
      </c>
      <c r="D95" s="160">
        <v>0.18679999999999999</v>
      </c>
      <c r="E95" s="13">
        <v>0.2016</v>
      </c>
      <c r="F95" s="14">
        <f t="shared" si="8"/>
        <v>0.92658730158730152</v>
      </c>
      <c r="G95" s="163">
        <v>0.18429999999999999</v>
      </c>
      <c r="H95" s="163"/>
      <c r="I95" s="72">
        <f t="shared" si="10"/>
        <v>1.0938686923494303</v>
      </c>
      <c r="J95" s="72"/>
      <c r="K95" s="72"/>
      <c r="L95" s="72"/>
      <c r="M95" s="72"/>
      <c r="N95" s="72"/>
      <c r="O95" s="149"/>
      <c r="P95" s="38"/>
      <c r="Q95" s="38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/>
      <c r="AJ95" s="15"/>
      <c r="AK95" s="374"/>
    </row>
    <row r="96" spans="2:37" x14ac:dyDescent="0.25">
      <c r="B96" s="382"/>
      <c r="C96" s="47" t="s">
        <v>43</v>
      </c>
      <c r="D96" s="160">
        <v>0.1913</v>
      </c>
      <c r="E96" s="13">
        <v>0.22309999999999999</v>
      </c>
      <c r="F96" s="14">
        <f t="shared" si="8"/>
        <v>0.85746302106678618</v>
      </c>
      <c r="G96" s="163">
        <v>0.151</v>
      </c>
      <c r="H96" s="163"/>
      <c r="I96" s="72">
        <f t="shared" si="10"/>
        <v>1.4774834437086093</v>
      </c>
      <c r="J96" s="72"/>
      <c r="K96" s="72"/>
      <c r="L96" s="72"/>
      <c r="M96" s="72"/>
      <c r="N96" s="72"/>
      <c r="O96" s="149"/>
      <c r="P96" s="38"/>
      <c r="Q96" s="38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/>
      <c r="AJ96" s="15"/>
      <c r="AK96" s="374"/>
    </row>
    <row r="97" spans="2:40" ht="15.75" thickBot="1" x14ac:dyDescent="0.3">
      <c r="B97" s="383"/>
      <c r="C97" s="47" t="s">
        <v>44</v>
      </c>
      <c r="D97" s="160">
        <v>0.1366</v>
      </c>
      <c r="E97" s="13">
        <v>0.16800000000000001</v>
      </c>
      <c r="F97" s="14">
        <f t="shared" si="8"/>
        <v>0.81309523809523809</v>
      </c>
      <c r="G97" s="163">
        <v>0.1062</v>
      </c>
      <c r="H97" s="163"/>
      <c r="I97" s="72">
        <f t="shared" si="10"/>
        <v>1.5819209039548023</v>
      </c>
      <c r="J97" s="72"/>
      <c r="K97" s="72"/>
      <c r="L97" s="72"/>
      <c r="M97" s="72"/>
      <c r="N97" s="72"/>
      <c r="O97" s="149"/>
      <c r="P97" s="38"/>
      <c r="Q97" s="38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5"/>
      <c r="AJ97" s="15"/>
      <c r="AK97" s="375"/>
    </row>
    <row r="98" spans="2:40" ht="15.75" thickBot="1" x14ac:dyDescent="0.3">
      <c r="B98" s="266"/>
      <c r="C98" s="224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25"/>
    </row>
    <row r="99" spans="2:40" x14ac:dyDescent="0.25">
      <c r="B99" s="381" t="s">
        <v>45</v>
      </c>
      <c r="C99" s="5"/>
      <c r="D99" s="385" t="s">
        <v>46</v>
      </c>
      <c r="E99" s="385"/>
      <c r="F99" s="385" t="s">
        <v>47</v>
      </c>
      <c r="G99" s="385"/>
      <c r="H99" s="48"/>
      <c r="I99" s="42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7"/>
      <c r="AJ99" s="7"/>
      <c r="AK99" s="386" t="s">
        <v>48</v>
      </c>
    </row>
    <row r="100" spans="2:40" x14ac:dyDescent="0.25">
      <c r="B100" s="382"/>
      <c r="C100" s="1"/>
      <c r="D100" s="40" t="s">
        <v>49</v>
      </c>
      <c r="E100" s="40" t="s">
        <v>50</v>
      </c>
      <c r="F100" s="40" t="s">
        <v>49</v>
      </c>
      <c r="G100" s="40" t="s">
        <v>50</v>
      </c>
      <c r="H100" s="40"/>
      <c r="I100" s="41" t="s">
        <v>51</v>
      </c>
      <c r="J100" s="96" t="s">
        <v>52</v>
      </c>
      <c r="K100" s="97"/>
      <c r="L100" s="97"/>
      <c r="M100" s="97"/>
      <c r="N100" s="97"/>
      <c r="O100" s="97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9"/>
      <c r="AJ100" s="99"/>
      <c r="AK100" s="387"/>
    </row>
    <row r="101" spans="2:40" x14ac:dyDescent="0.25">
      <c r="B101" s="382"/>
      <c r="C101" s="2" t="s">
        <v>53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4"/>
      <c r="AJ101" s="4"/>
      <c r="AK101" s="387"/>
    </row>
    <row r="102" spans="2:40" x14ac:dyDescent="0.25">
      <c r="B102" s="382"/>
      <c r="C102" s="1" t="s">
        <v>54</v>
      </c>
      <c r="D102" s="167">
        <v>2570346</v>
      </c>
      <c r="E102" s="163">
        <f>D102/D104</f>
        <v>0.74734285597152683</v>
      </c>
      <c r="F102" s="167">
        <v>251635</v>
      </c>
      <c r="G102" s="160">
        <f>F102/$F$104</f>
        <v>0.73467927943709677</v>
      </c>
      <c r="H102" s="160"/>
      <c r="I102" s="161">
        <f>G102/E102</f>
        <v>0.98305519824904497</v>
      </c>
      <c r="J102" s="191">
        <f>F102/D102</f>
        <v>9.7899271148709166E-2</v>
      </c>
      <c r="K102" s="191"/>
      <c r="L102" s="161"/>
      <c r="M102" s="161"/>
      <c r="N102" s="161"/>
      <c r="P102" s="39"/>
      <c r="Q102" s="39"/>
      <c r="R102" s="39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82"/>
      <c r="AJ102" s="82"/>
      <c r="AK102" s="387"/>
    </row>
    <row r="103" spans="2:40" x14ac:dyDescent="0.25">
      <c r="B103" s="382"/>
      <c r="C103" s="1" t="s">
        <v>55</v>
      </c>
      <c r="D103" s="167">
        <f>SUM(D107:D113)</f>
        <v>868967</v>
      </c>
      <c r="E103" s="163">
        <f>D103/D104</f>
        <v>0.25265714402847311</v>
      </c>
      <c r="F103" s="167">
        <f>SUM(F107:F113)</f>
        <v>90875</v>
      </c>
      <c r="G103" s="160">
        <f>F103/$F$104</f>
        <v>0.26532072056290329</v>
      </c>
      <c r="H103" s="160"/>
      <c r="I103" s="161">
        <f>G103/E103</f>
        <v>1.0501215850560039</v>
      </c>
      <c r="J103" s="191">
        <f>F103/D103</f>
        <v>0.10457819456895372</v>
      </c>
      <c r="K103" s="191"/>
      <c r="L103" s="161"/>
      <c r="M103" s="161"/>
      <c r="N103" s="161"/>
      <c r="P103" s="39"/>
      <c r="Q103" s="39"/>
      <c r="R103" s="39"/>
      <c r="S103" s="252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82"/>
      <c r="AJ103" s="82"/>
      <c r="AK103" s="387"/>
    </row>
    <row r="104" spans="2:40" x14ac:dyDescent="0.25">
      <c r="B104" s="382"/>
      <c r="C104" s="1" t="s">
        <v>53</v>
      </c>
      <c r="D104" s="167">
        <f>SUM(D102:D103)</f>
        <v>3439313</v>
      </c>
      <c r="E104" s="192"/>
      <c r="F104" s="167">
        <f>SUM(F102:F103)</f>
        <v>342510</v>
      </c>
      <c r="G104" s="169"/>
      <c r="H104" s="169"/>
      <c r="I104" s="161"/>
      <c r="J104" s="191">
        <f>F104/D104</f>
        <v>9.9586748865253025E-2</v>
      </c>
      <c r="K104" s="191"/>
      <c r="L104" s="161"/>
      <c r="M104" s="161"/>
      <c r="N104" s="161"/>
      <c r="P104" s="39"/>
      <c r="Q104" s="39"/>
      <c r="R104" s="39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82"/>
      <c r="AJ104" s="82"/>
      <c r="AK104" s="387"/>
    </row>
    <row r="105" spans="2:40" x14ac:dyDescent="0.25">
      <c r="B105" s="382"/>
      <c r="C105" s="1"/>
      <c r="D105" s="192"/>
      <c r="E105" s="192"/>
      <c r="F105" s="192"/>
      <c r="G105" s="169"/>
      <c r="H105" s="169"/>
      <c r="I105" s="161"/>
      <c r="J105" s="191"/>
      <c r="K105" s="191"/>
      <c r="L105" s="161"/>
      <c r="M105" s="161"/>
      <c r="N105" s="161"/>
      <c r="P105" s="39"/>
      <c r="Q105" s="39"/>
      <c r="R105" s="39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82"/>
      <c r="AJ105" s="82"/>
      <c r="AK105" s="387"/>
    </row>
    <row r="106" spans="2:40" x14ac:dyDescent="0.25">
      <c r="B106" s="382"/>
      <c r="C106" s="2" t="s">
        <v>56</v>
      </c>
      <c r="D106" s="192"/>
      <c r="E106" s="192"/>
      <c r="F106" s="192"/>
      <c r="G106" s="169"/>
      <c r="H106" s="169"/>
      <c r="I106" s="161"/>
      <c r="J106" s="191"/>
      <c r="K106" s="191"/>
      <c r="L106" s="161"/>
      <c r="M106" s="161"/>
      <c r="N106" s="161"/>
      <c r="P106" s="39"/>
      <c r="Q106" s="39"/>
      <c r="R106" s="39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82"/>
      <c r="AJ106" s="82"/>
      <c r="AK106" s="387"/>
    </row>
    <row r="107" spans="2:40" x14ac:dyDescent="0.25">
      <c r="B107" s="382"/>
      <c r="C107" s="1" t="s">
        <v>57</v>
      </c>
      <c r="D107" s="167">
        <v>250885</v>
      </c>
      <c r="E107" s="163">
        <f>D107/$D$103</f>
        <v>0.28871637242841214</v>
      </c>
      <c r="F107" s="167">
        <v>25767</v>
      </c>
      <c r="G107" s="160">
        <f>F107/$F$103</f>
        <v>0.28354332874828059</v>
      </c>
      <c r="H107" s="160"/>
      <c r="I107" s="161">
        <f t="shared" ref="I107:I113" si="11">G107/E107</f>
        <v>0.982082610568217</v>
      </c>
      <c r="J107" s="191">
        <f t="shared" ref="J107:J113" si="12">F107/D107</f>
        <v>0.10270442633078901</v>
      </c>
      <c r="K107" s="191"/>
      <c r="L107" s="163"/>
      <c r="M107" s="161"/>
      <c r="N107" s="161"/>
      <c r="P107" s="39"/>
      <c r="Q107" s="39"/>
      <c r="R107" s="39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82"/>
      <c r="AJ107" s="82"/>
      <c r="AK107" s="387"/>
    </row>
    <row r="108" spans="2:40" x14ac:dyDescent="0.25">
      <c r="B108" s="382"/>
      <c r="C108" s="1" t="s">
        <v>58</v>
      </c>
      <c r="D108" s="167">
        <v>184493</v>
      </c>
      <c r="E108" s="163">
        <f t="shared" ref="E108:E113" si="13">D108/$D$103</f>
        <v>0.21231301073573564</v>
      </c>
      <c r="F108" s="167">
        <v>27972</v>
      </c>
      <c r="G108" s="160">
        <f t="shared" ref="G108:G110" si="14">F108/$F$103</f>
        <v>0.30780742778541953</v>
      </c>
      <c r="H108" s="160"/>
      <c r="I108" s="161">
        <f t="shared" si="11"/>
        <v>1.4497812767986464</v>
      </c>
      <c r="J108" s="191">
        <f t="shared" si="12"/>
        <v>0.15161550844747498</v>
      </c>
      <c r="K108" s="191"/>
      <c r="L108" s="163"/>
      <c r="M108" s="161"/>
      <c r="N108" s="161"/>
      <c r="P108" s="39"/>
      <c r="Q108" s="39"/>
      <c r="R108" s="39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82"/>
      <c r="AJ108" s="82"/>
      <c r="AK108" s="387"/>
    </row>
    <row r="109" spans="2:40" x14ac:dyDescent="0.25">
      <c r="B109" s="382"/>
      <c r="C109" s="1" t="s">
        <v>59</v>
      </c>
      <c r="D109" s="167">
        <v>100088</v>
      </c>
      <c r="E109" s="163">
        <f t="shared" si="13"/>
        <v>0.11518043838258529</v>
      </c>
      <c r="F109" s="167">
        <v>13218</v>
      </c>
      <c r="G109" s="160">
        <f t="shared" si="14"/>
        <v>0.14545254470426411</v>
      </c>
      <c r="H109" s="160"/>
      <c r="I109" s="161">
        <f t="shared" si="11"/>
        <v>1.2628233296102458</v>
      </c>
      <c r="J109" s="191">
        <f t="shared" si="12"/>
        <v>0.13206378387019424</v>
      </c>
      <c r="K109" s="191"/>
      <c r="L109" s="163"/>
      <c r="M109" s="161"/>
      <c r="N109" s="161"/>
      <c r="P109" s="39"/>
      <c r="Q109" s="39"/>
      <c r="R109" s="39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82"/>
      <c r="AJ109" s="82"/>
      <c r="AK109" s="387"/>
    </row>
    <row r="110" spans="2:40" x14ac:dyDescent="0.25">
      <c r="B110" s="382"/>
      <c r="C110" s="172" t="s">
        <v>60</v>
      </c>
      <c r="D110" s="168">
        <v>251468</v>
      </c>
      <c r="E110" s="163">
        <f t="shared" si="13"/>
        <v>0.28938728398201541</v>
      </c>
      <c r="F110" s="168">
        <v>15742</v>
      </c>
      <c r="G110" s="160">
        <f t="shared" si="14"/>
        <v>0.17322696011004127</v>
      </c>
      <c r="H110" s="160"/>
      <c r="I110" s="161">
        <f t="shared" si="11"/>
        <v>0.59859907362345199</v>
      </c>
      <c r="J110" s="191">
        <f>F110/D110</f>
        <v>6.2600410390188807E-2</v>
      </c>
      <c r="K110" s="191"/>
      <c r="L110" s="163"/>
      <c r="M110" s="161"/>
      <c r="N110" s="161"/>
      <c r="P110" s="39"/>
      <c r="Q110" s="39"/>
      <c r="R110" s="39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82"/>
      <c r="AJ110" s="82"/>
      <c r="AK110" s="387"/>
    </row>
    <row r="111" spans="2:40" x14ac:dyDescent="0.25">
      <c r="B111" s="382"/>
      <c r="C111" s="1" t="s">
        <v>61</v>
      </c>
      <c r="D111" s="173">
        <v>15855</v>
      </c>
      <c r="E111" s="163">
        <f t="shared" si="13"/>
        <v>1.824580219962323E-2</v>
      </c>
      <c r="F111" s="173">
        <v>1320</v>
      </c>
      <c r="G111" s="160">
        <f>F111/$F$103</f>
        <v>1.452544704264099E-2</v>
      </c>
      <c r="H111" s="160"/>
      <c r="I111" s="161">
        <f t="shared" si="11"/>
        <v>0.79609802209414149</v>
      </c>
      <c r="J111" s="191">
        <f t="shared" si="12"/>
        <v>8.3254493850520347E-2</v>
      </c>
      <c r="K111" s="191"/>
      <c r="L111" s="163"/>
      <c r="M111" s="161"/>
      <c r="N111" s="161"/>
      <c r="P111" s="39"/>
      <c r="Q111" s="39"/>
      <c r="R111" s="39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82"/>
      <c r="AJ111" s="82"/>
      <c r="AK111" s="387"/>
    </row>
    <row r="112" spans="2:40" x14ac:dyDescent="0.25">
      <c r="B112" s="382"/>
      <c r="C112" s="1" t="s">
        <v>62</v>
      </c>
      <c r="D112" s="167">
        <v>48600</v>
      </c>
      <c r="E112" s="163">
        <f t="shared" si="13"/>
        <v>5.5928475995060803E-2</v>
      </c>
      <c r="F112" s="167">
        <v>5035</v>
      </c>
      <c r="G112" s="160">
        <f>F112/$F$103</f>
        <v>5.5405777166437416E-2</v>
      </c>
      <c r="H112" s="160"/>
      <c r="I112" s="161">
        <f t="shared" si="11"/>
        <v>0.99065415569933379</v>
      </c>
      <c r="J112" s="191">
        <f t="shared" si="12"/>
        <v>0.10360082304526749</v>
      </c>
      <c r="K112" s="191"/>
      <c r="L112" s="163"/>
      <c r="M112" s="161"/>
      <c r="N112" s="161"/>
      <c r="P112" s="39"/>
      <c r="Q112" s="39"/>
      <c r="R112" s="39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82"/>
      <c r="AJ112" s="82"/>
      <c r="AK112" s="387"/>
      <c r="AN112" s="13"/>
    </row>
    <row r="113" spans="2:40" ht="15.75" thickBot="1" x14ac:dyDescent="0.3">
      <c r="B113" s="383"/>
      <c r="C113" s="9" t="s">
        <v>63</v>
      </c>
      <c r="D113" s="175">
        <v>17578</v>
      </c>
      <c r="E113" s="179">
        <f t="shared" si="13"/>
        <v>2.0228616276567465E-2</v>
      </c>
      <c r="F113" s="175">
        <v>1821</v>
      </c>
      <c r="G113" s="176">
        <f>F113/$F$103</f>
        <v>2.0038514442916093E-2</v>
      </c>
      <c r="H113" s="176"/>
      <c r="I113" s="178">
        <f t="shared" si="11"/>
        <v>0.9906023313185498</v>
      </c>
      <c r="J113" s="198">
        <f t="shared" si="12"/>
        <v>0.10359540334509046</v>
      </c>
      <c r="K113" s="198"/>
      <c r="L113" s="179"/>
      <c r="M113" s="178"/>
      <c r="N113" s="178"/>
      <c r="O113" s="100"/>
      <c r="P113" s="100"/>
      <c r="Q113" s="100"/>
      <c r="R113" s="100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83"/>
      <c r="AJ113" s="83"/>
      <c r="AK113" s="388"/>
    </row>
    <row r="114" spans="2:40" ht="15.75" thickBot="1" x14ac:dyDescent="0.3">
      <c r="D114" s="8"/>
    </row>
    <row r="115" spans="2:40" x14ac:dyDescent="0.25">
      <c r="B115" s="381" t="s">
        <v>64</v>
      </c>
      <c r="C115" s="21" t="s">
        <v>65</v>
      </c>
      <c r="D115" s="23" t="s">
        <v>66</v>
      </c>
      <c r="E115" s="48" t="s">
        <v>212</v>
      </c>
      <c r="F115" s="48" t="s">
        <v>68</v>
      </c>
      <c r="G115" s="48" t="s">
        <v>51</v>
      </c>
      <c r="H115" s="9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7"/>
      <c r="AK115" s="373" t="s">
        <v>19</v>
      </c>
    </row>
    <row r="116" spans="2:40" x14ac:dyDescent="0.25">
      <c r="B116" s="382"/>
      <c r="C116" s="1" t="s">
        <v>69</v>
      </c>
      <c r="D116" s="168">
        <v>127389</v>
      </c>
      <c r="E116" s="180">
        <v>828408</v>
      </c>
      <c r="F116" s="68"/>
      <c r="O116" s="8"/>
      <c r="AI116" s="4"/>
      <c r="AJ116" s="4"/>
      <c r="AK116" s="374"/>
    </row>
    <row r="117" spans="2:40" x14ac:dyDescent="0.25">
      <c r="B117" s="382"/>
      <c r="C117" s="1" t="s">
        <v>70</v>
      </c>
      <c r="D117" s="160">
        <f>D116/I56</f>
        <v>0.58207032053185903</v>
      </c>
      <c r="E117" s="261">
        <f>E116/3854921</f>
        <v>0.21489623263356111</v>
      </c>
      <c r="F117" s="68"/>
      <c r="O117" s="8"/>
      <c r="AI117" s="4"/>
      <c r="AJ117" s="4"/>
      <c r="AK117" s="374"/>
    </row>
    <row r="118" spans="2:40" x14ac:dyDescent="0.25">
      <c r="B118" s="382"/>
      <c r="C118" s="1"/>
      <c r="D118" s="199"/>
      <c r="E118" s="200"/>
      <c r="F118" s="14"/>
      <c r="O118" s="8"/>
      <c r="AI118" s="4"/>
      <c r="AJ118" s="4"/>
      <c r="AK118" s="374"/>
      <c r="AN118" s="8"/>
    </row>
    <row r="119" spans="2:40" ht="14.45" customHeight="1" x14ac:dyDescent="0.25">
      <c r="B119" s="382"/>
      <c r="C119" s="1" t="s">
        <v>71</v>
      </c>
      <c r="D119" s="168">
        <v>342510</v>
      </c>
      <c r="E119" s="183">
        <v>1855879</v>
      </c>
      <c r="F119" s="68"/>
      <c r="O119" s="8"/>
      <c r="AI119" s="4"/>
      <c r="AJ119" s="4"/>
      <c r="AK119" s="374"/>
      <c r="AL119" s="24"/>
      <c r="AN119" s="14"/>
    </row>
    <row r="120" spans="2:40" x14ac:dyDescent="0.25">
      <c r="B120" s="382"/>
      <c r="C120" s="1" t="s">
        <v>72</v>
      </c>
      <c r="D120" s="184">
        <f>D119/D116</f>
        <v>2.6886936862680453</v>
      </c>
      <c r="E120" s="161">
        <f>E119/E116</f>
        <v>2.2402958445596854</v>
      </c>
      <c r="F120" s="14"/>
      <c r="O120" s="8"/>
      <c r="AI120" s="4"/>
      <c r="AJ120" s="4"/>
      <c r="AK120" s="374"/>
    </row>
    <row r="121" spans="2:40" x14ac:dyDescent="0.25">
      <c r="B121" s="382"/>
      <c r="C121" s="1"/>
      <c r="D121" s="202"/>
      <c r="E121" s="169"/>
      <c r="F121" s="14"/>
      <c r="O121" s="8"/>
      <c r="AI121" s="4"/>
      <c r="AJ121" s="4"/>
      <c r="AK121" s="374"/>
      <c r="AN121" s="8"/>
    </row>
    <row r="122" spans="2:40" x14ac:dyDescent="0.25">
      <c r="B122" s="382"/>
      <c r="C122" s="1" t="s">
        <v>73</v>
      </c>
      <c r="D122" s="168">
        <v>198820</v>
      </c>
      <c r="E122" s="183">
        <v>1054351</v>
      </c>
      <c r="F122" s="14"/>
      <c r="O122" s="8"/>
      <c r="AI122" s="4"/>
      <c r="AJ122" s="4"/>
      <c r="AK122" s="374"/>
      <c r="AN122" s="14"/>
    </row>
    <row r="123" spans="2:40" x14ac:dyDescent="0.25">
      <c r="B123" s="382"/>
      <c r="C123" s="1" t="s">
        <v>74</v>
      </c>
      <c r="D123" s="184">
        <f>D122/D116</f>
        <v>1.5607313033307428</v>
      </c>
      <c r="E123" s="165">
        <f>E122/E116</f>
        <v>1.272743623914786</v>
      </c>
      <c r="F123" s="14"/>
      <c r="AI123" s="4"/>
      <c r="AJ123" s="4"/>
      <c r="AK123" s="374"/>
    </row>
    <row r="124" spans="2:40" ht="15.75" thickBot="1" x14ac:dyDescent="0.3">
      <c r="B124" s="383"/>
      <c r="C124" s="9" t="s">
        <v>75</v>
      </c>
      <c r="D124" s="185">
        <f>D119/D122</f>
        <v>1.7227140126747813</v>
      </c>
      <c r="E124" s="186">
        <f>E119/E122</f>
        <v>1.7602098352446196</v>
      </c>
      <c r="F124" s="18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11"/>
      <c r="AJ124" s="11"/>
      <c r="AK124" s="375"/>
    </row>
    <row r="125" spans="2:40" x14ac:dyDescent="0.25">
      <c r="D125" s="37"/>
      <c r="E125" s="22"/>
      <c r="F125" s="14"/>
    </row>
    <row r="126" spans="2:40" s="35" customFormat="1" x14ac:dyDescent="0.25">
      <c r="B126" s="47"/>
      <c r="C126" s="78"/>
      <c r="D126" s="8"/>
      <c r="E126" s="13"/>
    </row>
    <row r="127" spans="2:40" s="35" customFormat="1" x14ac:dyDescent="0.25">
      <c r="B127" s="47"/>
      <c r="C127" s="78"/>
      <c r="D127" s="8"/>
      <c r="E127" s="34"/>
    </row>
  </sheetData>
  <mergeCells count="15">
    <mergeCell ref="B115:B124"/>
    <mergeCell ref="AK115:AK124"/>
    <mergeCell ref="B4:B59"/>
    <mergeCell ref="B61:B97"/>
    <mergeCell ref="AK61:AK97"/>
    <mergeCell ref="B99:B113"/>
    <mergeCell ref="D99:E99"/>
    <mergeCell ref="F99:G99"/>
    <mergeCell ref="AK99:AK113"/>
    <mergeCell ref="AK3:AK59"/>
    <mergeCell ref="C2:AI2"/>
    <mergeCell ref="D3:Q3"/>
    <mergeCell ref="R3:W3"/>
    <mergeCell ref="X3:AC3"/>
    <mergeCell ref="AD3:AI3"/>
  </mergeCells>
  <pageMargins left="0.7" right="0.7" top="0.75" bottom="0.75" header="0.3" footer="0.3"/>
  <ignoredErrors>
    <ignoredError sqref="E103" formula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C32B-D7E9-442C-8A4F-2DC7767AE67D}">
  <sheetPr codeName="Sheet32">
    <tabColor theme="0" tint="-0.249977111117893"/>
  </sheetPr>
  <dimension ref="B2:U438"/>
  <sheetViews>
    <sheetView topLeftCell="A410" zoomScale="90" zoomScaleNormal="90" workbookViewId="0">
      <selection activeCell="D425" sqref="D425"/>
    </sheetView>
  </sheetViews>
  <sheetFormatPr defaultColWidth="8.85546875" defaultRowHeight="15" x14ac:dyDescent="0.25"/>
  <cols>
    <col min="1" max="1" width="4.42578125" style="35" customWidth="1"/>
    <col min="2" max="2" width="6.7109375" style="35" bestFit="1" customWidth="1"/>
    <col min="3" max="3" width="16.7109375" style="35" bestFit="1" customWidth="1"/>
    <col min="4" max="4" width="15.42578125" style="35" bestFit="1" customWidth="1"/>
    <col min="5" max="5" width="13.42578125" style="35" bestFit="1" customWidth="1"/>
    <col min="6" max="6" width="12.140625" style="35" customWidth="1"/>
    <col min="7" max="7" width="9.28515625" style="35" bestFit="1" customWidth="1"/>
    <col min="8" max="8" width="10" style="35" bestFit="1" customWidth="1"/>
    <col min="9" max="9" width="9.140625" style="35" bestFit="1" customWidth="1"/>
    <col min="10" max="16384" width="8.85546875" style="35"/>
  </cols>
  <sheetData>
    <row r="2" spans="2:21" x14ac:dyDescent="0.25">
      <c r="B2" s="410" t="s">
        <v>213</v>
      </c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</row>
    <row r="4" spans="2:21" ht="15.75" thickBot="1" x14ac:dyDescent="0.3">
      <c r="B4" s="409" t="s">
        <v>214</v>
      </c>
      <c r="C4" s="409"/>
      <c r="D4" s="409"/>
    </row>
    <row r="5" spans="2:21" ht="15.75" thickBot="1" x14ac:dyDescent="0.3">
      <c r="B5" s="106" t="s">
        <v>3</v>
      </c>
      <c r="C5" s="106" t="s">
        <v>215</v>
      </c>
      <c r="D5" s="106" t="s">
        <v>216</v>
      </c>
    </row>
    <row r="6" spans="2:21" x14ac:dyDescent="0.25">
      <c r="B6" s="106" t="s">
        <v>217</v>
      </c>
      <c r="C6" s="32">
        <v>16908</v>
      </c>
      <c r="D6" s="358">
        <v>0</v>
      </c>
    </row>
    <row r="7" spans="2:21" x14ac:dyDescent="0.25">
      <c r="B7" s="28" t="s">
        <v>218</v>
      </c>
      <c r="C7" s="30">
        <v>8838</v>
      </c>
      <c r="D7" s="30">
        <v>1662</v>
      </c>
    </row>
    <row r="8" spans="2:21" x14ac:dyDescent="0.25">
      <c r="B8" s="28" t="s">
        <v>219</v>
      </c>
      <c r="C8" s="30">
        <v>10402</v>
      </c>
      <c r="D8" s="30">
        <v>2038</v>
      </c>
    </row>
    <row r="9" spans="2:21" x14ac:dyDescent="0.25">
      <c r="B9" s="28" t="s">
        <v>220</v>
      </c>
      <c r="C9" s="29">
        <v>7055</v>
      </c>
      <c r="D9" s="29">
        <v>1765</v>
      </c>
    </row>
    <row r="10" spans="2:21" x14ac:dyDescent="0.25">
      <c r="B10" s="28" t="s">
        <v>221</v>
      </c>
      <c r="C10" s="29">
        <v>4453</v>
      </c>
      <c r="D10" s="29">
        <v>2136</v>
      </c>
    </row>
    <row r="11" spans="2:21" x14ac:dyDescent="0.25">
      <c r="B11" s="28" t="s">
        <v>222</v>
      </c>
      <c r="C11" s="29">
        <v>1126</v>
      </c>
      <c r="D11" s="29">
        <v>2158</v>
      </c>
    </row>
    <row r="12" spans="2:21" x14ac:dyDescent="0.25">
      <c r="B12" s="28" t="s">
        <v>223</v>
      </c>
      <c r="C12" s="29">
        <v>2415</v>
      </c>
      <c r="D12" s="29">
        <v>2117</v>
      </c>
    </row>
    <row r="13" spans="2:21" x14ac:dyDescent="0.25">
      <c r="B13" s="28" t="s">
        <v>224</v>
      </c>
      <c r="C13" s="29">
        <v>4303</v>
      </c>
      <c r="D13" s="29">
        <v>1616</v>
      </c>
    </row>
    <row r="14" spans="2:21" x14ac:dyDescent="0.25">
      <c r="B14" s="28" t="s">
        <v>225</v>
      </c>
      <c r="C14" s="29">
        <v>7320</v>
      </c>
      <c r="D14" s="29">
        <v>1969</v>
      </c>
    </row>
    <row r="15" spans="2:21" x14ac:dyDescent="0.25">
      <c r="B15" s="28" t="s">
        <v>226</v>
      </c>
      <c r="C15" s="29">
        <v>9040</v>
      </c>
      <c r="D15" s="29">
        <v>2294</v>
      </c>
    </row>
    <row r="16" spans="2:21" x14ac:dyDescent="0.25">
      <c r="B16" s="28" t="s">
        <v>227</v>
      </c>
      <c r="C16" s="29">
        <v>11314</v>
      </c>
      <c r="D16" s="29">
        <v>2964</v>
      </c>
    </row>
    <row r="17" spans="2:4" x14ac:dyDescent="0.25">
      <c r="B17" s="28" t="s">
        <v>228</v>
      </c>
      <c r="C17" s="29">
        <v>13238</v>
      </c>
      <c r="D17" s="29">
        <v>3606</v>
      </c>
    </row>
    <row r="18" spans="2:4" x14ac:dyDescent="0.25">
      <c r="B18" s="28" t="s">
        <v>217</v>
      </c>
      <c r="C18" s="29">
        <v>7112</v>
      </c>
      <c r="D18" s="29">
        <v>4880</v>
      </c>
    </row>
    <row r="19" spans="2:4" x14ac:dyDescent="0.25">
      <c r="B19" s="28" t="s">
        <v>218</v>
      </c>
      <c r="C19" s="29">
        <v>4920</v>
      </c>
      <c r="D19" s="29">
        <v>4474</v>
      </c>
    </row>
    <row r="20" spans="2:4" x14ac:dyDescent="0.25">
      <c r="B20" s="28" t="s">
        <v>219</v>
      </c>
      <c r="C20" s="29">
        <v>7659</v>
      </c>
      <c r="D20" s="29">
        <v>4911</v>
      </c>
    </row>
    <row r="21" spans="2:4" x14ac:dyDescent="0.25">
      <c r="B21" s="28" t="s">
        <v>220</v>
      </c>
      <c r="C21" s="29">
        <v>8926</v>
      </c>
      <c r="D21" s="29">
        <v>4596</v>
      </c>
    </row>
    <row r="22" spans="2:4" x14ac:dyDescent="0.25">
      <c r="B22" s="28" t="s">
        <v>221</v>
      </c>
      <c r="C22" s="29">
        <v>11993</v>
      </c>
      <c r="D22" s="29">
        <v>4987</v>
      </c>
    </row>
    <row r="23" spans="2:4" x14ac:dyDescent="0.25">
      <c r="B23" s="28" t="s">
        <v>222</v>
      </c>
      <c r="C23" s="30">
        <v>10454</v>
      </c>
      <c r="D23" s="30">
        <v>6236</v>
      </c>
    </row>
    <row r="24" spans="2:4" x14ac:dyDescent="0.25">
      <c r="B24" s="28" t="s">
        <v>223</v>
      </c>
      <c r="C24" s="30">
        <v>8068</v>
      </c>
      <c r="D24" s="30">
        <v>5763</v>
      </c>
    </row>
    <row r="25" spans="2:4" x14ac:dyDescent="0.25">
      <c r="B25" s="28" t="s">
        <v>224</v>
      </c>
      <c r="C25" s="30">
        <v>9351</v>
      </c>
      <c r="D25" s="30">
        <v>6072</v>
      </c>
    </row>
    <row r="26" spans="2:4" x14ac:dyDescent="0.25">
      <c r="B26" s="28" t="s">
        <v>225</v>
      </c>
      <c r="C26" s="30">
        <v>14513</v>
      </c>
      <c r="D26" s="30">
        <v>6480</v>
      </c>
    </row>
    <row r="27" spans="2:4" x14ac:dyDescent="0.25">
      <c r="B27" s="28" t="s">
        <v>226</v>
      </c>
      <c r="C27" s="225">
        <v>11669</v>
      </c>
      <c r="D27" s="225">
        <v>7684</v>
      </c>
    </row>
    <row r="28" spans="2:4" x14ac:dyDescent="0.25">
      <c r="B28" s="28" t="s">
        <v>227</v>
      </c>
      <c r="C28" s="29">
        <v>14312</v>
      </c>
      <c r="D28" s="29">
        <v>7210</v>
      </c>
    </row>
    <row r="29" spans="2:4" x14ac:dyDescent="0.25">
      <c r="B29" s="28" t="s">
        <v>228</v>
      </c>
      <c r="C29" s="29">
        <v>22411</v>
      </c>
      <c r="D29" s="29">
        <v>7812</v>
      </c>
    </row>
    <row r="30" spans="2:4" x14ac:dyDescent="0.25">
      <c r="B30" s="28" t="s">
        <v>217</v>
      </c>
      <c r="C30" s="29">
        <v>14682</v>
      </c>
      <c r="D30" s="29">
        <v>10609</v>
      </c>
    </row>
    <row r="31" spans="2:4" x14ac:dyDescent="0.25">
      <c r="B31" s="28" t="s">
        <v>218</v>
      </c>
      <c r="C31" s="29">
        <v>8663</v>
      </c>
      <c r="D31" s="29">
        <v>10931</v>
      </c>
    </row>
    <row r="32" spans="2:4" x14ac:dyDescent="0.25">
      <c r="B32" s="28" t="s">
        <v>219</v>
      </c>
      <c r="C32" s="29">
        <v>8586</v>
      </c>
      <c r="D32" s="29">
        <v>9000</v>
      </c>
    </row>
    <row r="33" spans="2:4" x14ac:dyDescent="0.25">
      <c r="B33" s="28" t="s">
        <v>220</v>
      </c>
      <c r="C33" s="29">
        <v>11089</v>
      </c>
      <c r="D33" s="29">
        <v>9095</v>
      </c>
    </row>
    <row r="34" spans="2:4" x14ac:dyDescent="0.25">
      <c r="B34" s="28" t="s">
        <v>221</v>
      </c>
      <c r="C34" s="29">
        <v>16947</v>
      </c>
      <c r="D34" s="29">
        <v>10315</v>
      </c>
    </row>
    <row r="35" spans="2:4" x14ac:dyDescent="0.25">
      <c r="B35" s="28" t="s">
        <v>222</v>
      </c>
      <c r="C35" s="29">
        <v>10889</v>
      </c>
      <c r="D35" s="29">
        <v>11242</v>
      </c>
    </row>
    <row r="36" spans="2:4" x14ac:dyDescent="0.25">
      <c r="B36" s="28" t="s">
        <v>223</v>
      </c>
      <c r="C36" s="29">
        <v>8858</v>
      </c>
      <c r="D36" s="29">
        <v>9087</v>
      </c>
    </row>
    <row r="37" spans="2:4" x14ac:dyDescent="0.25">
      <c r="B37" s="28" t="s">
        <v>224</v>
      </c>
      <c r="C37" s="29">
        <v>15382</v>
      </c>
      <c r="D37" s="29">
        <v>8320</v>
      </c>
    </row>
    <row r="38" spans="2:4" x14ac:dyDescent="0.25">
      <c r="B38" s="28" t="s">
        <v>225</v>
      </c>
      <c r="C38" s="29">
        <v>8452</v>
      </c>
      <c r="D38" s="29">
        <v>10454</v>
      </c>
    </row>
    <row r="39" spans="2:4" x14ac:dyDescent="0.25">
      <c r="B39" s="28" t="s">
        <v>226</v>
      </c>
      <c r="C39" s="29">
        <v>11274</v>
      </c>
      <c r="D39" s="29">
        <v>9043</v>
      </c>
    </row>
    <row r="40" spans="2:4" x14ac:dyDescent="0.25">
      <c r="B40" s="28" t="s">
        <v>227</v>
      </c>
      <c r="C40" s="29">
        <v>14185</v>
      </c>
      <c r="D40" s="29">
        <v>8750</v>
      </c>
    </row>
    <row r="41" spans="2:4" x14ac:dyDescent="0.25">
      <c r="B41" s="28" t="s">
        <v>228</v>
      </c>
      <c r="C41" s="29">
        <v>19647</v>
      </c>
      <c r="D41" s="29">
        <v>9640</v>
      </c>
    </row>
    <row r="42" spans="2:4" x14ac:dyDescent="0.25">
      <c r="B42" s="28" t="s">
        <v>217</v>
      </c>
      <c r="C42" s="29">
        <v>17969</v>
      </c>
      <c r="D42" s="29">
        <v>11850</v>
      </c>
    </row>
    <row r="43" spans="2:4" x14ac:dyDescent="0.25">
      <c r="B43" s="28" t="s">
        <v>218</v>
      </c>
      <c r="C43" s="29">
        <v>11109</v>
      </c>
      <c r="D43" s="29">
        <v>12843</v>
      </c>
    </row>
    <row r="44" spans="2:4" x14ac:dyDescent="0.25">
      <c r="B44" s="28" t="s">
        <v>219</v>
      </c>
      <c r="C44" s="29">
        <v>10716</v>
      </c>
      <c r="D44" s="29">
        <v>10572</v>
      </c>
    </row>
    <row r="45" spans="2:4" x14ac:dyDescent="0.25">
      <c r="B45" s="28" t="s">
        <v>220</v>
      </c>
      <c r="C45" s="29">
        <v>17953</v>
      </c>
      <c r="D45" s="29">
        <v>11066</v>
      </c>
    </row>
    <row r="46" spans="2:4" x14ac:dyDescent="0.25">
      <c r="B46" s="28" t="s">
        <v>221</v>
      </c>
      <c r="C46" s="29">
        <v>26888</v>
      </c>
      <c r="D46" s="29">
        <v>17410</v>
      </c>
    </row>
    <row r="47" spans="2:4" x14ac:dyDescent="0.25">
      <c r="B47" s="28" t="s">
        <v>222</v>
      </c>
      <c r="C47" s="29">
        <v>12064</v>
      </c>
      <c r="D47" s="29">
        <v>14970</v>
      </c>
    </row>
    <row r="48" spans="2:4" x14ac:dyDescent="0.25">
      <c r="B48" s="28" t="s">
        <v>223</v>
      </c>
      <c r="C48" s="29">
        <v>12980</v>
      </c>
      <c r="D48" s="29">
        <v>10706</v>
      </c>
    </row>
    <row r="49" spans="2:4" x14ac:dyDescent="0.25">
      <c r="B49" s="28" t="s">
        <v>224</v>
      </c>
      <c r="C49" s="29">
        <v>9419</v>
      </c>
      <c r="D49" s="29">
        <v>11983</v>
      </c>
    </row>
    <row r="50" spans="2:4" x14ac:dyDescent="0.25">
      <c r="B50" s="28" t="s">
        <v>225</v>
      </c>
      <c r="C50" s="29">
        <v>14171</v>
      </c>
      <c r="D50" s="29">
        <v>10343</v>
      </c>
    </row>
    <row r="51" spans="2:4" x14ac:dyDescent="0.25">
      <c r="B51" s="28" t="s">
        <v>226</v>
      </c>
      <c r="C51" s="29">
        <v>23000</v>
      </c>
      <c r="D51" s="29">
        <v>11685</v>
      </c>
    </row>
    <row r="52" spans="2:4" x14ac:dyDescent="0.25">
      <c r="B52" s="28" t="s">
        <v>227</v>
      </c>
      <c r="C52" s="29">
        <v>18116</v>
      </c>
      <c r="D52" s="29">
        <v>12361</v>
      </c>
    </row>
    <row r="53" spans="2:4" x14ac:dyDescent="0.25">
      <c r="B53" s="28" t="s">
        <v>228</v>
      </c>
      <c r="C53" s="29">
        <v>25276</v>
      </c>
      <c r="D53" s="29">
        <v>12091</v>
      </c>
    </row>
    <row r="54" spans="2:4" ht="15.75" thickBot="1" x14ac:dyDescent="0.3">
      <c r="B54" s="356" t="s">
        <v>217</v>
      </c>
      <c r="C54" s="226">
        <v>16986</v>
      </c>
      <c r="D54" s="226">
        <v>15322</v>
      </c>
    </row>
    <row r="55" spans="2:4" x14ac:dyDescent="0.25">
      <c r="B55" s="47" t="s">
        <v>218</v>
      </c>
      <c r="C55" s="220">
        <v>13727</v>
      </c>
      <c r="D55" s="251">
        <v>14127</v>
      </c>
    </row>
    <row r="56" spans="2:4" x14ac:dyDescent="0.25">
      <c r="B56" s="47"/>
      <c r="C56" s="75"/>
      <c r="D56" s="75"/>
    </row>
    <row r="57" spans="2:4" x14ac:dyDescent="0.25">
      <c r="B57" s="47"/>
      <c r="C57" s="75"/>
      <c r="D57" s="75"/>
    </row>
    <row r="58" spans="2:4" x14ac:dyDescent="0.25">
      <c r="B58" s="47"/>
      <c r="C58" s="75"/>
      <c r="D58" s="75"/>
    </row>
    <row r="59" spans="2:4" x14ac:dyDescent="0.25">
      <c r="B59" s="47"/>
      <c r="C59" s="75"/>
      <c r="D59" s="75"/>
    </row>
    <row r="60" spans="2:4" x14ac:dyDescent="0.25">
      <c r="B60" s="47"/>
      <c r="C60" s="75"/>
      <c r="D60" s="75"/>
    </row>
    <row r="61" spans="2:4" x14ac:dyDescent="0.25">
      <c r="B61" s="47"/>
      <c r="C61" s="75"/>
      <c r="D61" s="75"/>
    </row>
    <row r="62" spans="2:4" x14ac:dyDescent="0.25">
      <c r="B62" s="47"/>
      <c r="C62" s="75"/>
      <c r="D62" s="75"/>
    </row>
    <row r="63" spans="2:4" x14ac:dyDescent="0.25">
      <c r="B63" s="47"/>
      <c r="C63" s="75"/>
      <c r="D63" s="75"/>
    </row>
    <row r="64" spans="2:4" x14ac:dyDescent="0.25">
      <c r="B64" s="47"/>
      <c r="C64" s="75"/>
      <c r="D64" s="75"/>
    </row>
    <row r="65" spans="2:6" x14ac:dyDescent="0.25">
      <c r="B65" s="47"/>
      <c r="C65" s="75"/>
      <c r="D65" s="75"/>
    </row>
    <row r="66" spans="2:6" x14ac:dyDescent="0.25">
      <c r="B66" s="47"/>
      <c r="C66" s="75"/>
      <c r="D66" s="75"/>
    </row>
    <row r="67" spans="2:6" x14ac:dyDescent="0.25">
      <c r="B67" s="47"/>
      <c r="C67" s="8"/>
      <c r="D67" s="8"/>
    </row>
    <row r="68" spans="2:6" ht="15.75" thickBot="1" x14ac:dyDescent="0.3">
      <c r="B68" s="409" t="s">
        <v>229</v>
      </c>
      <c r="C68" s="409"/>
      <c r="D68" s="409"/>
      <c r="E68" s="409"/>
    </row>
    <row r="69" spans="2:6" ht="15.75" thickBot="1" x14ac:dyDescent="0.3">
      <c r="B69" s="106" t="s">
        <v>3</v>
      </c>
      <c r="C69" s="106" t="s">
        <v>9</v>
      </c>
      <c r="D69" s="363" t="s">
        <v>230</v>
      </c>
      <c r="E69" s="106" t="s">
        <v>115</v>
      </c>
      <c r="F69" s="363" t="s">
        <v>116</v>
      </c>
    </row>
    <row r="70" spans="2:6" x14ac:dyDescent="0.25">
      <c r="B70" s="106" t="s">
        <v>218</v>
      </c>
      <c r="C70" s="79">
        <v>9.829666430092264E-2</v>
      </c>
      <c r="D70" s="360"/>
      <c r="E70" s="79">
        <v>0.96481104322244848</v>
      </c>
      <c r="F70" s="361">
        <v>3.5188956777551482E-2</v>
      </c>
    </row>
    <row r="71" spans="2:6" x14ac:dyDescent="0.25">
      <c r="B71" s="28" t="s">
        <v>219</v>
      </c>
      <c r="C71" s="64">
        <v>8.4620494934396273E-2</v>
      </c>
      <c r="D71" s="210"/>
      <c r="E71" s="64">
        <v>0.92174581811190159</v>
      </c>
      <c r="F71" s="65">
        <v>7.8254181888098448E-2</v>
      </c>
    </row>
    <row r="72" spans="2:6" x14ac:dyDescent="0.25">
      <c r="B72" s="28" t="s">
        <v>220</v>
      </c>
      <c r="C72" s="65">
        <v>5.4394723865877709E-2</v>
      </c>
      <c r="D72" s="210"/>
      <c r="E72" s="65">
        <v>0.90007087172218281</v>
      </c>
      <c r="F72" s="65">
        <v>9.992912827781715E-2</v>
      </c>
    </row>
    <row r="73" spans="2:6" x14ac:dyDescent="0.25">
      <c r="B73" s="28" t="s">
        <v>221</v>
      </c>
      <c r="C73" s="65">
        <v>5.6600773755895915E-2</v>
      </c>
      <c r="D73" s="210"/>
      <c r="E73" s="65">
        <v>0.84235346957107571</v>
      </c>
      <c r="F73" s="65">
        <v>0.15764653042892432</v>
      </c>
    </row>
    <row r="74" spans="2:6" x14ac:dyDescent="0.25">
      <c r="B74" s="28" t="s">
        <v>222</v>
      </c>
      <c r="C74" s="65">
        <v>5.3875920609162402E-2</v>
      </c>
      <c r="D74" s="210"/>
      <c r="E74" s="65">
        <v>0.79040852575488452</v>
      </c>
      <c r="F74" s="65">
        <v>0.20959147424511546</v>
      </c>
    </row>
    <row r="75" spans="2:6" x14ac:dyDescent="0.25">
      <c r="B75" s="28" t="s">
        <v>223</v>
      </c>
      <c r="C75" s="65">
        <v>5.4250057658304075E-2</v>
      </c>
      <c r="D75" s="210"/>
      <c r="E75" s="65">
        <v>0.65962732919254663</v>
      </c>
      <c r="F75" s="65">
        <v>0.34037267080745343</v>
      </c>
    </row>
    <row r="76" spans="2:6" x14ac:dyDescent="0.25">
      <c r="B76" s="28" t="s">
        <v>224</v>
      </c>
      <c r="C76" s="65">
        <v>4.1097632308435696E-2</v>
      </c>
      <c r="D76" s="210"/>
      <c r="E76" s="65">
        <v>0.75970253311643043</v>
      </c>
      <c r="F76" s="65">
        <v>0.24029746688356959</v>
      </c>
    </row>
    <row r="77" spans="2:6" x14ac:dyDescent="0.25">
      <c r="B77" s="28" t="s">
        <v>225</v>
      </c>
      <c r="C77" s="65">
        <v>4.6872024376309274E-2</v>
      </c>
      <c r="D77" s="210"/>
      <c r="E77" s="65">
        <v>0.8437158469945355</v>
      </c>
      <c r="F77" s="65">
        <v>0.15628415300546447</v>
      </c>
    </row>
    <row r="78" spans="2:6" x14ac:dyDescent="0.25">
      <c r="B78" s="28" t="s">
        <v>226</v>
      </c>
      <c r="C78" s="65">
        <v>4.8438522772862605E-2</v>
      </c>
      <c r="D78" s="210"/>
      <c r="E78" s="65">
        <v>0.87289823008849554</v>
      </c>
      <c r="F78" s="65">
        <v>0.12710176991150443</v>
      </c>
    </row>
    <row r="79" spans="2:6" x14ac:dyDescent="0.25">
      <c r="B79" s="28" t="s">
        <v>227</v>
      </c>
      <c r="C79" s="65">
        <v>5.4782367618519547E-2</v>
      </c>
      <c r="D79" s="210"/>
      <c r="E79" s="65">
        <v>0.89057804490012371</v>
      </c>
      <c r="F79" s="65">
        <v>0.10942195509987626</v>
      </c>
    </row>
    <row r="80" spans="2:6" x14ac:dyDescent="0.25">
      <c r="B80" s="28" t="s">
        <v>228</v>
      </c>
      <c r="C80" s="65">
        <v>0.06</v>
      </c>
      <c r="D80" s="210"/>
      <c r="E80" s="65">
        <v>0.87543435564284633</v>
      </c>
      <c r="F80" s="65">
        <v>0.12</v>
      </c>
    </row>
    <row r="81" spans="2:6" x14ac:dyDescent="0.25">
      <c r="B81" s="28" t="s">
        <v>217</v>
      </c>
      <c r="C81" s="65">
        <v>6.76959784704593E-2</v>
      </c>
      <c r="D81" s="210"/>
      <c r="E81" s="65">
        <v>0.8393057110862262</v>
      </c>
      <c r="F81" s="65">
        <v>0.1606942889137738</v>
      </c>
    </row>
    <row r="82" spans="2:6" x14ac:dyDescent="0.25">
      <c r="B82" s="28" t="s">
        <v>218</v>
      </c>
      <c r="C82" s="65">
        <v>6.0199948869064442E-2</v>
      </c>
      <c r="D82" s="210"/>
      <c r="E82" s="65">
        <v>0.75</v>
      </c>
      <c r="F82" s="65">
        <v>0.25</v>
      </c>
    </row>
    <row r="83" spans="2:6" x14ac:dyDescent="0.25">
      <c r="B83" s="28" t="s">
        <v>219</v>
      </c>
      <c r="C83" s="65">
        <v>6.5685815555406937E-2</v>
      </c>
      <c r="D83" s="210"/>
      <c r="E83" s="65">
        <v>0.72</v>
      </c>
      <c r="F83" s="65">
        <v>0.28000000000000003</v>
      </c>
    </row>
    <row r="84" spans="2:6" x14ac:dyDescent="0.25">
      <c r="B84" s="28" t="s">
        <v>220</v>
      </c>
      <c r="C84" s="65">
        <v>5.9293279836930578E-2</v>
      </c>
      <c r="D84" s="210"/>
      <c r="E84" s="65">
        <v>0.70673588924387643</v>
      </c>
      <c r="F84" s="65">
        <v>0.29326411075612357</v>
      </c>
    </row>
    <row r="85" spans="2:6" x14ac:dyDescent="0.25">
      <c r="B85" s="28" t="s">
        <v>221</v>
      </c>
      <c r="C85" s="65">
        <v>6.0933738988062508E-2</v>
      </c>
      <c r="D85" s="210"/>
      <c r="E85" s="65">
        <v>0.72760355346248529</v>
      </c>
      <c r="F85" s="65">
        <v>0.27239644653751471</v>
      </c>
    </row>
    <row r="86" spans="2:6" x14ac:dyDescent="0.25">
      <c r="B86" s="28" t="s">
        <v>222</v>
      </c>
      <c r="C86" s="64">
        <v>7.3675561908406392E-2</v>
      </c>
      <c r="D86" s="65">
        <v>7.0186496190165343E-2</v>
      </c>
      <c r="E86" s="64">
        <v>0.70853932584269663</v>
      </c>
      <c r="F86" s="65">
        <v>0.29146067415730337</v>
      </c>
    </row>
    <row r="87" spans="2:6" x14ac:dyDescent="0.25">
      <c r="B87" s="28" t="s">
        <v>223</v>
      </c>
      <c r="C87" s="64">
        <v>6.4179265658747306E-2</v>
      </c>
      <c r="D87" s="65">
        <v>6.2235421166306697E-2</v>
      </c>
      <c r="E87" s="64">
        <v>0.68184326710816778</v>
      </c>
      <c r="F87" s="65">
        <v>0.31815673289183222</v>
      </c>
    </row>
    <row r="88" spans="2:6" x14ac:dyDescent="0.25">
      <c r="B88" s="28" t="s">
        <v>224</v>
      </c>
      <c r="C88" s="64">
        <v>6.5945774870766957E-2</v>
      </c>
      <c r="D88" s="65">
        <v>6.4057390020044305E-2</v>
      </c>
      <c r="E88" s="64">
        <v>0.66</v>
      </c>
      <c r="F88" s="65">
        <v>0.34</v>
      </c>
    </row>
    <row r="89" spans="2:6" x14ac:dyDescent="0.25">
      <c r="B89" s="28" t="s">
        <v>225</v>
      </c>
      <c r="C89" s="64">
        <v>6.6167010435599485E-2</v>
      </c>
      <c r="D89" s="65">
        <v>6.3450895501051735E-2</v>
      </c>
      <c r="E89" s="64">
        <v>0.7</v>
      </c>
      <c r="F89" s="65">
        <v>0.3</v>
      </c>
    </row>
    <row r="90" spans="2:6" x14ac:dyDescent="0.25">
      <c r="B90" s="359" t="s">
        <v>226</v>
      </c>
      <c r="C90" s="65">
        <v>7.2518615690974814E-2</v>
      </c>
      <c r="D90" s="65">
        <v>7.0140337300276523E-2</v>
      </c>
      <c r="E90" s="65">
        <v>0.66</v>
      </c>
      <c r="F90" s="65">
        <v>0.34</v>
      </c>
    </row>
    <row r="91" spans="2:6" x14ac:dyDescent="0.25">
      <c r="B91" s="359" t="s">
        <v>227</v>
      </c>
      <c r="C91" s="65">
        <v>6.5564527862650948E-2</v>
      </c>
      <c r="D91" s="65">
        <v>6.2054415830059655E-2</v>
      </c>
      <c r="E91" s="65">
        <v>0.67</v>
      </c>
      <c r="F91" s="65">
        <v>0.33</v>
      </c>
    </row>
    <row r="92" spans="2:6" x14ac:dyDescent="0.25">
      <c r="B92" s="359" t="s">
        <v>228</v>
      </c>
      <c r="C92" s="65">
        <v>6.6944315903131268E-2</v>
      </c>
      <c r="D92" s="65">
        <v>6.1374192332082196E-2</v>
      </c>
      <c r="E92" s="65">
        <v>0.7</v>
      </c>
      <c r="F92" s="65">
        <v>0.3</v>
      </c>
    </row>
    <row r="93" spans="2:6" x14ac:dyDescent="0.25">
      <c r="B93" s="359" t="s">
        <v>217</v>
      </c>
      <c r="C93" s="65">
        <v>8.0617951913432018E-2</v>
      </c>
      <c r="D93" s="65">
        <v>7.8163470014286154E-2</v>
      </c>
      <c r="E93" s="65">
        <v>0.69</v>
      </c>
      <c r="F93" s="65">
        <v>0.31</v>
      </c>
    </row>
    <row r="94" spans="2:6" x14ac:dyDescent="0.25">
      <c r="B94" s="359" t="s">
        <v>218</v>
      </c>
      <c r="C94" s="65">
        <v>8.0539039072227994E-2</v>
      </c>
      <c r="D94" s="65">
        <v>7.8711787979929712E-2</v>
      </c>
      <c r="E94" s="65">
        <v>0.61</v>
      </c>
      <c r="F94" s="65">
        <v>0.39</v>
      </c>
    </row>
    <row r="95" spans="2:6" x14ac:dyDescent="0.25">
      <c r="B95" s="359" t="s">
        <v>219</v>
      </c>
      <c r="C95" s="65">
        <v>6.7420275524192635E-2</v>
      </c>
      <c r="D95" s="65">
        <v>6.5450105250541235E-2</v>
      </c>
      <c r="E95" s="65">
        <v>0.59</v>
      </c>
      <c r="F95" s="65">
        <v>0.41</v>
      </c>
    </row>
    <row r="96" spans="2:6" x14ac:dyDescent="0.25">
      <c r="B96" s="359" t="s">
        <v>220</v>
      </c>
      <c r="C96" s="65">
        <v>6.8348513541948472E-2</v>
      </c>
      <c r="D96" s="65">
        <v>6.5703249466438213E-2</v>
      </c>
      <c r="E96" s="65">
        <v>0.56000000000000005</v>
      </c>
      <c r="F96" s="65">
        <v>0.44</v>
      </c>
    </row>
    <row r="97" spans="2:6" x14ac:dyDescent="0.25">
      <c r="B97" s="359" t="s">
        <v>221</v>
      </c>
      <c r="C97" s="65">
        <v>7.6516230490772066E-2</v>
      </c>
      <c r="D97" s="65">
        <v>7.0759895555159935E-2</v>
      </c>
      <c r="E97" s="65">
        <v>0.54</v>
      </c>
      <c r="F97" s="65">
        <v>0.46</v>
      </c>
    </row>
    <row r="98" spans="2:6" x14ac:dyDescent="0.25">
      <c r="B98" s="359" t="s">
        <v>222</v>
      </c>
      <c r="C98" s="65">
        <v>7.9571916959817662E-2</v>
      </c>
      <c r="D98" s="65">
        <v>7.4659720698466173E-2</v>
      </c>
      <c r="E98" s="65">
        <v>0.6</v>
      </c>
      <c r="F98" s="65">
        <v>0.4</v>
      </c>
    </row>
    <row r="99" spans="2:6" x14ac:dyDescent="0.25">
      <c r="B99" s="359" t="s">
        <v>223</v>
      </c>
      <c r="C99" s="65">
        <v>6.4290868956148911E-2</v>
      </c>
      <c r="D99" s="65">
        <v>6.274143566668082E-2</v>
      </c>
      <c r="E99" s="65">
        <v>0.53</v>
      </c>
      <c r="F99" s="65">
        <v>0.47</v>
      </c>
    </row>
    <row r="100" spans="2:6" x14ac:dyDescent="0.25">
      <c r="B100" s="359" t="s">
        <v>224</v>
      </c>
      <c r="C100" s="65">
        <v>5.8946055857055812E-2</v>
      </c>
      <c r="D100" s="65">
        <v>5.7656610885182716E-2</v>
      </c>
      <c r="E100" s="65">
        <v>0.55000000000000004</v>
      </c>
      <c r="F100" s="65">
        <v>0.45</v>
      </c>
    </row>
    <row r="101" spans="2:6" x14ac:dyDescent="0.25">
      <c r="B101" s="359" t="s">
        <v>225</v>
      </c>
      <c r="C101" s="65">
        <v>7.0554093271242485E-2</v>
      </c>
      <c r="D101" s="65">
        <v>6.9076061280961054E-2</v>
      </c>
      <c r="E101" s="65">
        <v>0.51</v>
      </c>
      <c r="F101" s="65">
        <v>0.49</v>
      </c>
    </row>
    <row r="102" spans="2:6" x14ac:dyDescent="0.25">
      <c r="B102" s="359" t="s">
        <v>226</v>
      </c>
      <c r="C102" s="65">
        <v>6.185785621451536E-2</v>
      </c>
      <c r="D102" s="65">
        <v>5.9258499213352488E-2</v>
      </c>
      <c r="E102" s="65">
        <v>0.49</v>
      </c>
      <c r="F102" s="65">
        <v>0.51</v>
      </c>
    </row>
    <row r="103" spans="2:6" x14ac:dyDescent="0.25">
      <c r="B103" s="359" t="s">
        <v>227</v>
      </c>
      <c r="C103" s="65">
        <v>5.898690827704297E-2</v>
      </c>
      <c r="D103" s="65">
        <v>5.6162278040690856E-2</v>
      </c>
      <c r="E103" s="65">
        <v>0.51</v>
      </c>
      <c r="F103" s="65">
        <v>0.49</v>
      </c>
    </row>
    <row r="104" spans="2:6" x14ac:dyDescent="0.25">
      <c r="B104" s="359" t="s">
        <v>228</v>
      </c>
      <c r="C104" s="65">
        <v>6.2688585995213819E-2</v>
      </c>
      <c r="D104" s="65">
        <v>6.03800332951826E-2</v>
      </c>
      <c r="E104" s="65">
        <v>0.55000000000000004</v>
      </c>
      <c r="F104" s="65">
        <v>0.45</v>
      </c>
    </row>
    <row r="105" spans="2:6" x14ac:dyDescent="0.25">
      <c r="B105" s="359" t="s">
        <v>217</v>
      </c>
      <c r="C105" s="65">
        <v>7.2349622682980438E-2</v>
      </c>
      <c r="D105" s="65">
        <v>7.005397220797617E-2</v>
      </c>
      <c r="E105" s="65">
        <v>0.57999999999999996</v>
      </c>
      <c r="F105" s="65">
        <v>0.42</v>
      </c>
    </row>
    <row r="106" spans="2:6" x14ac:dyDescent="0.25">
      <c r="B106" s="359" t="s">
        <v>218</v>
      </c>
      <c r="C106" s="65">
        <v>7.5594638978651263E-2</v>
      </c>
      <c r="D106" s="65">
        <v>7.3699328400816985E-2</v>
      </c>
      <c r="E106" s="65">
        <v>0.54</v>
      </c>
      <c r="F106" s="65">
        <v>0.46</v>
      </c>
    </row>
    <row r="107" spans="2:6" x14ac:dyDescent="0.25">
      <c r="B107" s="359" t="s">
        <v>219</v>
      </c>
      <c r="C107" s="65">
        <v>6.2849261646018117E-2</v>
      </c>
      <c r="D107" s="65">
        <v>6.1291703326754335E-2</v>
      </c>
      <c r="E107" s="65">
        <v>0.49690000000000001</v>
      </c>
      <c r="F107" s="65">
        <v>0.50309999999999999</v>
      </c>
    </row>
    <row r="108" spans="2:6" x14ac:dyDescent="0.25">
      <c r="B108" s="359" t="s">
        <v>220</v>
      </c>
      <c r="C108" s="65">
        <v>6.5719613735434904E-2</v>
      </c>
      <c r="D108" s="65">
        <v>6.2120654226698817E-2</v>
      </c>
      <c r="E108" s="65">
        <v>0.49170000000000003</v>
      </c>
      <c r="F108" s="65">
        <v>0.50829999999999997</v>
      </c>
    </row>
    <row r="109" spans="2:6" x14ac:dyDescent="0.25">
      <c r="B109" s="359" t="s">
        <v>221</v>
      </c>
      <c r="C109" s="65">
        <v>0.10008450558484189</v>
      </c>
      <c r="D109" s="65">
        <v>7.6813852017498976E-2</v>
      </c>
      <c r="E109" s="65">
        <v>0.48409999999999997</v>
      </c>
      <c r="F109" s="65">
        <v>0.51590000000000003</v>
      </c>
    </row>
    <row r="110" spans="2:6" x14ac:dyDescent="0.25">
      <c r="B110" s="359" t="s">
        <v>222</v>
      </c>
      <c r="C110" s="65">
        <v>8.151374897903621E-2</v>
      </c>
      <c r="D110" s="65">
        <v>7.3400490062619117E-2</v>
      </c>
      <c r="E110" s="65">
        <v>0.49280000000000002</v>
      </c>
      <c r="F110" s="65">
        <v>0.50719999999999998</v>
      </c>
    </row>
    <row r="111" spans="2:6" x14ac:dyDescent="0.25">
      <c r="B111" s="359" t="s">
        <v>223</v>
      </c>
      <c r="C111" s="65">
        <v>5.8881115804294261E-2</v>
      </c>
      <c r="D111" s="65">
        <v>5.7352164730728614E-2</v>
      </c>
      <c r="E111" s="65">
        <v>0.48870000000000002</v>
      </c>
      <c r="F111" s="65">
        <v>0.51129999999999998</v>
      </c>
    </row>
    <row r="112" spans="2:6" x14ac:dyDescent="0.25">
      <c r="B112" s="359" t="s">
        <v>224</v>
      </c>
      <c r="C112" s="65">
        <v>6.5069478759971114E-2</v>
      </c>
      <c r="D112" s="65">
        <v>6.3728231889094628E-2</v>
      </c>
      <c r="E112" s="65">
        <v>0.41549999999999998</v>
      </c>
      <c r="F112" s="65">
        <v>0.58450000000000002</v>
      </c>
    </row>
    <row r="113" spans="2:6" x14ac:dyDescent="0.25">
      <c r="B113" s="359" t="s">
        <v>225</v>
      </c>
      <c r="C113" s="65">
        <v>5.6949201070378486E-2</v>
      </c>
      <c r="D113" s="65">
        <v>5.566628858373069E-2</v>
      </c>
      <c r="E113" s="65">
        <v>0.44069999999999998</v>
      </c>
      <c r="F113" s="65">
        <v>0.55930000000000002</v>
      </c>
    </row>
    <row r="114" spans="2:6" x14ac:dyDescent="0.25">
      <c r="B114" s="359" t="s">
        <v>226</v>
      </c>
      <c r="C114" s="65">
        <v>6.3024190286130363E-2</v>
      </c>
      <c r="D114" s="65">
        <v>5.6497936948841726E-2</v>
      </c>
      <c r="E114" s="65">
        <v>0.46350000000000002</v>
      </c>
      <c r="F114" s="65">
        <v>0.53649999999999998</v>
      </c>
    </row>
    <row r="115" spans="2:6" x14ac:dyDescent="0.25">
      <c r="B115" s="359" t="s">
        <v>227</v>
      </c>
      <c r="C115" s="65">
        <v>6.3154291436541707E-2</v>
      </c>
      <c r="D115" s="65">
        <v>5.6057672165822803E-2</v>
      </c>
      <c r="E115" s="65">
        <v>0.50209999999999999</v>
      </c>
      <c r="F115" s="65">
        <v>0.49790000000000001</v>
      </c>
    </row>
    <row r="116" spans="2:6" x14ac:dyDescent="0.25">
      <c r="B116" s="359" t="s">
        <v>228</v>
      </c>
      <c r="C116" s="65">
        <v>5.9703629818731264E-2</v>
      </c>
      <c r="D116" s="65">
        <v>4.4243199336352013E-2</v>
      </c>
      <c r="E116" s="65">
        <v>0.53569999999999995</v>
      </c>
      <c r="F116" s="65">
        <v>0.46429999999999999</v>
      </c>
    </row>
    <row r="117" spans="2:6" x14ac:dyDescent="0.25">
      <c r="B117" s="359" t="s">
        <v>217</v>
      </c>
      <c r="C117" s="65">
        <v>7.1114947970332409E-2</v>
      </c>
      <c r="D117" s="65">
        <v>5.9098461852646042E-2</v>
      </c>
      <c r="E117" s="65">
        <v>0.48346249654027124</v>
      </c>
      <c r="F117" s="65">
        <v>0.51653750345972882</v>
      </c>
    </row>
    <row r="118" spans="2:6" x14ac:dyDescent="0.25">
      <c r="B118" s="364" t="s">
        <v>218</v>
      </c>
      <c r="C118" s="365">
        <v>6.5012103194691168E-2</v>
      </c>
      <c r="D118" s="365">
        <v>5.7262377012213643E-2</v>
      </c>
      <c r="E118" s="365">
        <v>0.47172333138417843</v>
      </c>
      <c r="F118" s="365">
        <v>0.52827666861582157</v>
      </c>
    </row>
    <row r="119" spans="2:6" x14ac:dyDescent="0.25">
      <c r="B119" s="109"/>
      <c r="C119" s="203"/>
      <c r="D119" s="203"/>
      <c r="E119" s="203"/>
    </row>
    <row r="120" spans="2:6" x14ac:dyDescent="0.25">
      <c r="B120" s="109"/>
      <c r="C120" s="203"/>
      <c r="D120" s="203"/>
      <c r="E120" s="203"/>
    </row>
    <row r="121" spans="2:6" x14ac:dyDescent="0.25">
      <c r="B121" s="109"/>
      <c r="C121" s="203"/>
      <c r="D121" s="203"/>
      <c r="E121" s="203"/>
    </row>
    <row r="122" spans="2:6" x14ac:dyDescent="0.25">
      <c r="B122" s="109"/>
      <c r="C122" s="203"/>
      <c r="D122" s="203"/>
      <c r="E122" s="203"/>
    </row>
    <row r="123" spans="2:6" x14ac:dyDescent="0.25">
      <c r="B123" s="109"/>
      <c r="C123" s="203"/>
      <c r="D123" s="203"/>
      <c r="E123" s="203"/>
    </row>
    <row r="124" spans="2:6" x14ac:dyDescent="0.25">
      <c r="B124" s="109"/>
      <c r="C124" s="203"/>
      <c r="D124" s="203"/>
      <c r="E124" s="203"/>
    </row>
    <row r="125" spans="2:6" x14ac:dyDescent="0.25">
      <c r="B125" s="109"/>
      <c r="C125" s="203"/>
      <c r="D125" s="203"/>
      <c r="E125" s="203"/>
    </row>
    <row r="126" spans="2:6" x14ac:dyDescent="0.25">
      <c r="B126" s="109"/>
      <c r="C126" s="203"/>
      <c r="D126" s="203"/>
      <c r="E126" s="203"/>
    </row>
    <row r="128" spans="2:6" ht="15.75" thickBot="1" x14ac:dyDescent="0.3">
      <c r="B128" s="409" t="s">
        <v>231</v>
      </c>
      <c r="C128" s="409"/>
      <c r="D128" s="409"/>
    </row>
    <row r="129" spans="2:4" ht="15.75" thickBot="1" x14ac:dyDescent="0.3">
      <c r="B129" s="106" t="s">
        <v>3</v>
      </c>
      <c r="C129" s="106" t="s">
        <v>232</v>
      </c>
      <c r="D129" s="106" t="s">
        <v>233</v>
      </c>
    </row>
    <row r="130" spans="2:4" x14ac:dyDescent="0.25">
      <c r="B130" s="106" t="s">
        <v>217</v>
      </c>
      <c r="C130" s="79">
        <v>0.67592286117450306</v>
      </c>
      <c r="D130" s="79">
        <v>0.32407713882549694</v>
      </c>
    </row>
    <row r="131" spans="2:4" x14ac:dyDescent="0.25">
      <c r="B131" s="28" t="s">
        <v>218</v>
      </c>
      <c r="C131" s="64">
        <v>0.58909013284290379</v>
      </c>
      <c r="D131" s="64">
        <v>0.41090986715709615</v>
      </c>
    </row>
    <row r="132" spans="2:4" x14ac:dyDescent="0.25">
      <c r="B132" s="28" t="s">
        <v>219</v>
      </c>
      <c r="C132" s="64">
        <v>0.54009193811477441</v>
      </c>
      <c r="D132" s="64">
        <v>0.45990806188522565</v>
      </c>
    </row>
    <row r="133" spans="2:4" x14ac:dyDescent="0.25">
      <c r="B133" s="28" t="s">
        <v>220</v>
      </c>
      <c r="C133" s="64">
        <v>0.59396711102461808</v>
      </c>
      <c r="D133" s="64">
        <v>0.40603288897538192</v>
      </c>
    </row>
    <row r="134" spans="2:4" x14ac:dyDescent="0.25">
      <c r="B134" s="28" t="s">
        <v>221</v>
      </c>
      <c r="C134" s="64">
        <v>0.49715210233508683</v>
      </c>
      <c r="D134" s="64">
        <v>0.50284789766491311</v>
      </c>
    </row>
    <row r="135" spans="2:4" x14ac:dyDescent="0.25">
      <c r="B135" s="28" t="s">
        <v>222</v>
      </c>
      <c r="C135" s="64">
        <v>0.6578905185541396</v>
      </c>
      <c r="D135" s="64">
        <v>0.3421094814458604</v>
      </c>
    </row>
    <row r="136" spans="2:4" x14ac:dyDescent="0.25">
      <c r="B136" s="28" t="s">
        <v>223</v>
      </c>
      <c r="C136" s="64">
        <v>0.60221337163750321</v>
      </c>
      <c r="D136" s="64">
        <v>0.39778662836249673</v>
      </c>
    </row>
    <row r="137" spans="2:4" x14ac:dyDescent="0.25">
      <c r="B137" s="28" t="s">
        <v>224</v>
      </c>
      <c r="C137" s="64">
        <v>0.55776290218095448</v>
      </c>
      <c r="D137" s="64">
        <v>0.44223709781904558</v>
      </c>
    </row>
    <row r="138" spans="2:4" x14ac:dyDescent="0.25">
      <c r="B138" s="28" t="s">
        <v>225</v>
      </c>
      <c r="C138" s="64">
        <v>0.67710561062243135</v>
      </c>
      <c r="D138" s="64">
        <v>0.32289438937756865</v>
      </c>
    </row>
    <row r="139" spans="2:4" x14ac:dyDescent="0.25">
      <c r="B139" s="28" t="s">
        <v>226</v>
      </c>
      <c r="C139" s="64">
        <v>0.49610324966223424</v>
      </c>
      <c r="D139" s="64">
        <v>0.50389675033776582</v>
      </c>
    </row>
    <row r="140" spans="2:4" x14ac:dyDescent="0.25">
      <c r="B140" s="28" t="s">
        <v>227</v>
      </c>
      <c r="C140" s="64">
        <v>0.54822773780076461</v>
      </c>
      <c r="D140" s="64">
        <v>0.45177226219923544</v>
      </c>
    </row>
    <row r="141" spans="2:4" x14ac:dyDescent="0.25">
      <c r="B141" s="28" t="s">
        <v>228</v>
      </c>
      <c r="C141" s="64">
        <v>0.57117205911772306</v>
      </c>
      <c r="D141" s="64">
        <v>0.42882794088227688</v>
      </c>
    </row>
    <row r="142" spans="2:4" x14ac:dyDescent="0.25">
      <c r="B142" s="28" t="s">
        <v>217</v>
      </c>
      <c r="C142" s="64">
        <v>0.65832776509116009</v>
      </c>
      <c r="D142" s="64">
        <v>0.34167223490883991</v>
      </c>
    </row>
    <row r="143" spans="2:4" x14ac:dyDescent="0.25">
      <c r="B143" s="28" t="s">
        <v>218</v>
      </c>
      <c r="C143" s="64">
        <v>0.64368659420289853</v>
      </c>
      <c r="D143" s="64">
        <v>0.35631340579710147</v>
      </c>
    </row>
    <row r="144" spans="2:4" x14ac:dyDescent="0.25">
      <c r="B144" s="28" t="s">
        <v>219</v>
      </c>
      <c r="C144" s="64">
        <v>0.63639812086020253</v>
      </c>
      <c r="D144" s="64">
        <v>0.36360187913979752</v>
      </c>
    </row>
    <row r="145" spans="2:4" x14ac:dyDescent="0.25">
      <c r="B145" s="28" t="s">
        <v>220</v>
      </c>
      <c r="C145" s="64">
        <v>0.56442879840493476</v>
      </c>
      <c r="D145" s="64">
        <v>0.43557120159506529</v>
      </c>
    </row>
    <row r="146" spans="2:4" x14ac:dyDescent="0.25">
      <c r="B146" s="28" t="s">
        <v>221</v>
      </c>
      <c r="C146" s="64">
        <v>0.45106683335626313</v>
      </c>
      <c r="D146" s="64">
        <v>0.54893316664373693</v>
      </c>
    </row>
    <row r="147" spans="2:4" x14ac:dyDescent="0.25">
      <c r="B147" s="28" t="s">
        <v>222</v>
      </c>
      <c r="C147" s="64">
        <v>0.614092466933579</v>
      </c>
      <c r="D147" s="64">
        <v>0.38590753306642106</v>
      </c>
    </row>
    <row r="148" spans="2:4" x14ac:dyDescent="0.25">
      <c r="B148" s="28" t="s">
        <v>223</v>
      </c>
      <c r="C148" s="64">
        <v>0.51085805243221571</v>
      </c>
      <c r="D148" s="64">
        <v>0.48914194756778429</v>
      </c>
    </row>
    <row r="149" spans="2:4" x14ac:dyDescent="0.25">
      <c r="B149" s="28" t="s">
        <v>224</v>
      </c>
      <c r="C149" s="64">
        <v>0.55507234758908175</v>
      </c>
      <c r="D149" s="64">
        <v>0.44492765241091825</v>
      </c>
    </row>
    <row r="150" spans="2:4" x14ac:dyDescent="0.25">
      <c r="B150" s="28" t="s">
        <v>225</v>
      </c>
      <c r="C150" s="64">
        <v>0.63249206166400684</v>
      </c>
      <c r="D150" s="64">
        <v>0.36750793833599316</v>
      </c>
    </row>
    <row r="151" spans="2:4" x14ac:dyDescent="0.25">
      <c r="B151" s="28" t="s">
        <v>226</v>
      </c>
      <c r="C151" s="64">
        <v>0.49209953156719211</v>
      </c>
      <c r="D151" s="64">
        <v>0.50790046843280789</v>
      </c>
    </row>
    <row r="152" spans="2:4" x14ac:dyDescent="0.25">
      <c r="B152" s="28" t="s">
        <v>227</v>
      </c>
      <c r="C152" s="64">
        <v>0.5585446568710879</v>
      </c>
      <c r="D152" s="64">
        <v>0.4414553431289121</v>
      </c>
    </row>
    <row r="153" spans="2:4" x14ac:dyDescent="0.25">
      <c r="B153" s="28" t="s">
        <v>228</v>
      </c>
      <c r="C153" s="64">
        <v>0.62848848628012277</v>
      </c>
      <c r="D153" s="64">
        <v>0.37151151371987723</v>
      </c>
    </row>
    <row r="154" spans="2:4" x14ac:dyDescent="0.25">
      <c r="B154" s="28" t="s">
        <v>217</v>
      </c>
      <c r="C154" s="64">
        <v>0.65360892071017362</v>
      </c>
      <c r="D154" s="64">
        <v>0.34639107928982632</v>
      </c>
    </row>
    <row r="155" spans="2:4" x14ac:dyDescent="0.25">
      <c r="B155" s="28" t="s">
        <v>218</v>
      </c>
      <c r="C155" s="64">
        <v>0.66002896885249829</v>
      </c>
      <c r="D155" s="64">
        <v>0.34</v>
      </c>
    </row>
    <row r="156" spans="2:4" x14ac:dyDescent="0.25">
      <c r="B156" s="28" t="s">
        <v>219</v>
      </c>
      <c r="C156" s="64">
        <v>0.71898368857930828</v>
      </c>
      <c r="D156" s="64">
        <v>0.28101631142069172</v>
      </c>
    </row>
    <row r="157" spans="2:4" x14ac:dyDescent="0.25">
      <c r="B157" s="28" t="s">
        <v>220</v>
      </c>
      <c r="C157" s="64">
        <v>0.5939189660151154</v>
      </c>
      <c r="D157" s="64">
        <v>0.40608103398488454</v>
      </c>
    </row>
    <row r="158" spans="2:4" x14ac:dyDescent="0.25">
      <c r="B158" s="28" t="s">
        <v>221</v>
      </c>
      <c r="C158" s="64">
        <v>0.68519911426663382</v>
      </c>
      <c r="D158" s="64">
        <v>0.31480088573336612</v>
      </c>
    </row>
    <row r="159" spans="2:4" x14ac:dyDescent="0.25">
      <c r="B159" s="28" t="s">
        <v>222</v>
      </c>
      <c r="C159" s="64">
        <v>0.71300597537480559</v>
      </c>
      <c r="D159" s="64">
        <v>0.28699402462519435</v>
      </c>
    </row>
    <row r="160" spans="2:4" x14ac:dyDescent="0.25">
      <c r="B160" s="28" t="s">
        <v>223</v>
      </c>
      <c r="C160" s="64">
        <v>0.66</v>
      </c>
      <c r="D160" s="64">
        <v>0.34</v>
      </c>
    </row>
    <row r="161" spans="2:4" x14ac:dyDescent="0.25">
      <c r="B161" s="28" t="s">
        <v>224</v>
      </c>
      <c r="C161" s="64">
        <v>0.54245177545075196</v>
      </c>
      <c r="D161" s="64">
        <v>0.45754822454924809</v>
      </c>
    </row>
    <row r="162" spans="2:4" x14ac:dyDescent="0.25">
      <c r="B162" s="28" t="s">
        <v>225</v>
      </c>
      <c r="C162" s="64">
        <v>0.62746817372521135</v>
      </c>
      <c r="D162" s="64">
        <v>0.37253182627478865</v>
      </c>
    </row>
    <row r="163" spans="2:4" x14ac:dyDescent="0.25">
      <c r="B163" s="28" t="s">
        <v>226</v>
      </c>
      <c r="C163" s="64">
        <v>0.64588025601555532</v>
      </c>
      <c r="D163" s="64">
        <v>0.35411974398444462</v>
      </c>
    </row>
    <row r="164" spans="2:4" x14ac:dyDescent="0.25">
      <c r="B164" s="28" t="s">
        <v>227</v>
      </c>
      <c r="C164" s="64">
        <v>0.63784328124886391</v>
      </c>
      <c r="D164" s="64">
        <v>0.36215671875113609</v>
      </c>
    </row>
    <row r="165" spans="2:4" x14ac:dyDescent="0.25">
      <c r="B165" s="28" t="s">
        <v>228</v>
      </c>
      <c r="C165" s="64">
        <v>0.58293809463500623</v>
      </c>
      <c r="D165" s="64">
        <v>0.41706190536499377</v>
      </c>
    </row>
    <row r="166" spans="2:4" x14ac:dyDescent="0.25">
      <c r="B166" s="28" t="s">
        <v>217</v>
      </c>
      <c r="C166" s="64">
        <v>0.64649423608999468</v>
      </c>
      <c r="D166" s="64">
        <v>0.35350576391000532</v>
      </c>
    </row>
    <row r="167" spans="2:4" x14ac:dyDescent="0.25">
      <c r="B167" s="28" t="s">
        <v>218</v>
      </c>
      <c r="C167" s="64">
        <v>0.64091472581963971</v>
      </c>
      <c r="D167" s="64">
        <v>0.35908527418036029</v>
      </c>
    </row>
    <row r="168" spans="2:4" x14ac:dyDescent="0.25">
      <c r="B168" s="28" t="s">
        <v>219</v>
      </c>
      <c r="C168" s="64">
        <v>0.61216481643318821</v>
      </c>
      <c r="D168" s="64">
        <v>0.38783518356681174</v>
      </c>
    </row>
    <row r="169" spans="2:4" x14ac:dyDescent="0.25">
      <c r="B169" s="28" t="s">
        <v>220</v>
      </c>
      <c r="C169" s="64">
        <v>0.60214151534126492</v>
      </c>
      <c r="D169" s="64">
        <v>0.39785848465873513</v>
      </c>
    </row>
    <row r="170" spans="2:4" x14ac:dyDescent="0.25">
      <c r="B170" s="28" t="s">
        <v>221</v>
      </c>
      <c r="C170" s="64">
        <v>0.68600083945217971</v>
      </c>
      <c r="D170" s="64">
        <v>0.31399916054782029</v>
      </c>
    </row>
    <row r="171" spans="2:4" x14ac:dyDescent="0.25">
      <c r="B171" s="28" t="s">
        <v>222</v>
      </c>
      <c r="C171" s="64">
        <v>0.75061641858739125</v>
      </c>
      <c r="D171" s="64">
        <v>0.24938358141260875</v>
      </c>
    </row>
    <row r="172" spans="2:4" x14ac:dyDescent="0.25">
      <c r="B172" s="28" t="s">
        <v>223</v>
      </c>
      <c r="C172" s="64">
        <v>0.64051174670378974</v>
      </c>
      <c r="D172" s="64">
        <v>0.3594882532962102</v>
      </c>
    </row>
    <row r="173" spans="2:4" x14ac:dyDescent="0.25">
      <c r="B173" s="28" t="s">
        <v>224</v>
      </c>
      <c r="C173" s="64">
        <v>0.67911818230809728</v>
      </c>
      <c r="D173" s="64">
        <v>0.32088181769190272</v>
      </c>
    </row>
    <row r="174" spans="2:4" x14ac:dyDescent="0.25">
      <c r="B174" s="28" t="s">
        <v>225</v>
      </c>
      <c r="C174" s="64">
        <v>0.61205519465701119</v>
      </c>
      <c r="D174" s="64">
        <v>0.38794480534298886</v>
      </c>
    </row>
    <row r="175" spans="2:4" x14ac:dyDescent="0.25">
      <c r="B175" s="28" t="s">
        <v>226</v>
      </c>
      <c r="C175" s="64">
        <v>0.55462367883306385</v>
      </c>
      <c r="D175" s="64">
        <v>0.44537632116693621</v>
      </c>
    </row>
    <row r="176" spans="2:4" x14ac:dyDescent="0.25">
      <c r="B176" s="28" t="s">
        <v>227</v>
      </c>
      <c r="C176" s="64">
        <v>0.61903766627353207</v>
      </c>
      <c r="D176" s="64">
        <v>0.38096233372646793</v>
      </c>
    </row>
    <row r="177" spans="2:9" x14ac:dyDescent="0.25">
      <c r="B177" s="28" t="s">
        <v>228</v>
      </c>
      <c r="C177" s="64">
        <v>0.49165365610712869</v>
      </c>
      <c r="D177" s="64">
        <v>0.50834634389287137</v>
      </c>
    </row>
    <row r="178" spans="2:9" ht="15.75" thickBot="1" x14ac:dyDescent="0.3">
      <c r="B178" s="356" t="s">
        <v>217</v>
      </c>
      <c r="C178" s="66">
        <v>0.67177629807592731</v>
      </c>
      <c r="D178" s="66">
        <v>0.32822370192407263</v>
      </c>
    </row>
    <row r="179" spans="2:9" x14ac:dyDescent="0.25">
      <c r="B179" s="47" t="s">
        <v>218</v>
      </c>
      <c r="C179" s="39">
        <v>0.63271093583241012</v>
      </c>
      <c r="D179" s="39">
        <v>0.36728906416758994</v>
      </c>
    </row>
    <row r="180" spans="2:9" x14ac:dyDescent="0.25">
      <c r="B180" s="47"/>
      <c r="C180" s="39"/>
      <c r="D180" s="39"/>
    </row>
    <row r="181" spans="2:9" x14ac:dyDescent="0.25">
      <c r="B181" s="47"/>
      <c r="C181" s="39"/>
      <c r="D181" s="39"/>
    </row>
    <row r="182" spans="2:9" x14ac:dyDescent="0.25">
      <c r="B182" s="47"/>
      <c r="C182" s="39"/>
      <c r="D182" s="39"/>
    </row>
    <row r="183" spans="2:9" x14ac:dyDescent="0.25">
      <c r="B183" s="47"/>
      <c r="C183" s="39"/>
      <c r="D183" s="39"/>
    </row>
    <row r="184" spans="2:9" x14ac:dyDescent="0.25">
      <c r="B184" s="47"/>
      <c r="C184" s="39"/>
      <c r="D184" s="39"/>
    </row>
    <row r="185" spans="2:9" x14ac:dyDescent="0.25">
      <c r="B185" s="47"/>
      <c r="C185" s="39"/>
      <c r="D185" s="39"/>
    </row>
    <row r="186" spans="2:9" x14ac:dyDescent="0.25">
      <c r="B186" s="47"/>
      <c r="C186" s="39"/>
      <c r="D186" s="39"/>
    </row>
    <row r="188" spans="2:9" ht="15.75" thickBot="1" x14ac:dyDescent="0.3">
      <c r="B188" s="409" t="s">
        <v>234</v>
      </c>
      <c r="C188" s="409"/>
      <c r="D188" s="409"/>
      <c r="E188" s="409"/>
      <c r="F188" s="409"/>
      <c r="G188" s="409"/>
      <c r="H188" s="409"/>
      <c r="I188" s="409"/>
    </row>
    <row r="189" spans="2:9" ht="15.75" thickBot="1" x14ac:dyDescent="0.3">
      <c r="B189" s="5" t="s">
        <v>3</v>
      </c>
      <c r="C189" s="106" t="s">
        <v>57</v>
      </c>
      <c r="D189" s="94" t="s">
        <v>58</v>
      </c>
      <c r="E189" s="106" t="s">
        <v>59</v>
      </c>
      <c r="F189" s="94" t="s">
        <v>60</v>
      </c>
      <c r="G189" s="106" t="s">
        <v>61</v>
      </c>
      <c r="H189" s="94" t="s">
        <v>62</v>
      </c>
      <c r="I189" s="106" t="s">
        <v>63</v>
      </c>
    </row>
    <row r="190" spans="2:9" x14ac:dyDescent="0.25">
      <c r="B190" s="106" t="s">
        <v>217</v>
      </c>
      <c r="C190" s="79">
        <v>0.45256141482556578</v>
      </c>
      <c r="D190" s="79">
        <v>0.26699994624522927</v>
      </c>
      <c r="E190" s="79">
        <v>0.16701607267645002</v>
      </c>
      <c r="F190" s="79">
        <v>8.697521905069075E-2</v>
      </c>
      <c r="G190" s="79">
        <v>6.7731011127237541E-3</v>
      </c>
      <c r="H190" s="79">
        <v>1.988926517228404E-3</v>
      </c>
      <c r="I190" s="79">
        <v>1.7685319572112026E-2</v>
      </c>
    </row>
    <row r="191" spans="2:9" x14ac:dyDescent="0.25">
      <c r="B191" s="28" t="s">
        <v>218</v>
      </c>
      <c r="C191" s="64">
        <v>0.40748881074168797</v>
      </c>
      <c r="D191" s="64">
        <v>0.23549392583120204</v>
      </c>
      <c r="E191" s="64">
        <v>0.18646099744245526</v>
      </c>
      <c r="F191" s="64">
        <v>0.12472026854219949</v>
      </c>
      <c r="G191" s="64">
        <v>2.1819053708439898E-2</v>
      </c>
      <c r="H191" s="64">
        <v>4.3158567774936058E-3</v>
      </c>
      <c r="I191" s="64">
        <v>1.970108695652174E-2</v>
      </c>
    </row>
    <row r="192" spans="2:9" x14ac:dyDescent="0.25">
      <c r="B192" s="28" t="s">
        <v>219</v>
      </c>
      <c r="C192" s="64">
        <v>0.34929710674519582</v>
      </c>
      <c r="D192" s="64">
        <v>0.21817634667469155</v>
      </c>
      <c r="E192" s="64">
        <v>0.24831262628433859</v>
      </c>
      <c r="F192" s="64">
        <v>0.12583293925454625</v>
      </c>
      <c r="G192" s="64">
        <v>2.3644727225828641E-2</v>
      </c>
      <c r="H192" s="64">
        <v>2.3150337474743134E-2</v>
      </c>
      <c r="I192" s="64">
        <v>1.1585916340656035E-2</v>
      </c>
    </row>
    <row r="193" spans="2:9" x14ac:dyDescent="0.25">
      <c r="B193" s="28" t="s">
        <v>220</v>
      </c>
      <c r="C193" s="64">
        <v>0.37063842024539878</v>
      </c>
      <c r="D193" s="64">
        <v>0.26107170245398775</v>
      </c>
      <c r="E193" s="64">
        <v>0.19430598159509202</v>
      </c>
      <c r="F193" s="64">
        <v>0.12725268404907975</v>
      </c>
      <c r="G193" s="87">
        <v>1.5097776073619631E-2</v>
      </c>
      <c r="H193" s="64">
        <v>1.4402799079754601E-2</v>
      </c>
      <c r="I193" s="64">
        <v>1.7230636503067484E-2</v>
      </c>
    </row>
    <row r="194" spans="2:9" x14ac:dyDescent="0.25">
      <c r="B194" s="28" t="s">
        <v>221</v>
      </c>
      <c r="C194" s="64">
        <v>0.3638022842305304</v>
      </c>
      <c r="D194" s="64">
        <v>0.22298530490902591</v>
      </c>
      <c r="E194" s="64">
        <v>0.17778990347526671</v>
      </c>
      <c r="F194" s="64">
        <v>0.17116676388131033</v>
      </c>
      <c r="G194" s="64">
        <v>1.7649161758895141E-2</v>
      </c>
      <c r="H194" s="64">
        <v>3.1403465858844334E-2</v>
      </c>
      <c r="I194" s="64">
        <v>1.5203115886127157E-2</v>
      </c>
    </row>
    <row r="195" spans="2:9" x14ac:dyDescent="0.25">
      <c r="B195" s="28" t="s">
        <v>222</v>
      </c>
      <c r="C195" s="64">
        <v>0.34906875951739486</v>
      </c>
      <c r="D195" s="64">
        <v>0.34204052945999763</v>
      </c>
      <c r="E195" s="64">
        <v>8.6447229705985715E-2</v>
      </c>
      <c r="F195" s="64">
        <v>0.12357971184256765</v>
      </c>
      <c r="G195" s="64">
        <v>5.7045800632540708E-2</v>
      </c>
      <c r="H195" s="64">
        <v>3.2095583928780605E-2</v>
      </c>
      <c r="I195" s="64">
        <v>9.7223849127328101E-3</v>
      </c>
    </row>
    <row r="196" spans="2:9" x14ac:dyDescent="0.25">
      <c r="B196" s="28" t="s">
        <v>223</v>
      </c>
      <c r="C196" s="64">
        <v>0.43270414443988509</v>
      </c>
      <c r="D196" s="64">
        <v>0.30935576528518671</v>
      </c>
      <c r="E196" s="64">
        <v>0.13262207632334838</v>
      </c>
      <c r="F196" s="64">
        <v>3.7710299548625356E-2</v>
      </c>
      <c r="G196" s="64">
        <v>3.8366844480919163E-2</v>
      </c>
      <c r="H196" s="64">
        <v>3.3360689372178912E-2</v>
      </c>
      <c r="I196" s="64">
        <v>1.588018054985638E-2</v>
      </c>
    </row>
    <row r="197" spans="2:9" x14ac:dyDescent="0.25">
      <c r="B197" s="28" t="s">
        <v>224</v>
      </c>
      <c r="C197" s="64">
        <v>0.39464750744047616</v>
      </c>
      <c r="D197" s="64">
        <v>0.2734375</v>
      </c>
      <c r="E197" s="64">
        <v>0.19022042410714285</v>
      </c>
      <c r="F197" s="64">
        <v>6.4406622023809521E-3</v>
      </c>
      <c r="G197" s="64">
        <v>9.3122209821428575E-2</v>
      </c>
      <c r="H197" s="64">
        <v>2.7436755952380952E-2</v>
      </c>
      <c r="I197" s="64">
        <v>1.4694940476190476E-2</v>
      </c>
    </row>
    <row r="198" spans="2:9" x14ac:dyDescent="0.25">
      <c r="B198" s="28" t="s">
        <v>225</v>
      </c>
      <c r="C198" s="64">
        <v>0.42204688129931461</v>
      </c>
      <c r="D198" s="64">
        <v>0.32174739388354545</v>
      </c>
      <c r="E198" s="64">
        <v>0.12094684098370097</v>
      </c>
      <c r="F198" s="64">
        <v>4.5873408973103727E-2</v>
      </c>
      <c r="G198" s="64">
        <v>5.013534527443414E-2</v>
      </c>
      <c r="H198" s="64">
        <v>2.3642227725623452E-2</v>
      </c>
      <c r="I198" s="64">
        <v>1.5607901860277601E-2</v>
      </c>
    </row>
    <row r="199" spans="2:9" x14ac:dyDescent="0.25">
      <c r="B199" s="28" t="s">
        <v>226</v>
      </c>
      <c r="C199" s="64">
        <v>0.36048431480462301</v>
      </c>
      <c r="D199" s="64">
        <v>0.22971085051437282</v>
      </c>
      <c r="E199" s="64">
        <v>0.19910249354388043</v>
      </c>
      <c r="F199" s="64">
        <v>0.14693140284774847</v>
      </c>
      <c r="G199" s="64">
        <v>3.1525619858035932E-2</v>
      </c>
      <c r="H199" s="64">
        <v>1.6934084077727445E-2</v>
      </c>
      <c r="I199" s="64">
        <v>1.5311234353611898E-2</v>
      </c>
    </row>
    <row r="200" spans="2:9" x14ac:dyDescent="0.25">
      <c r="B200" s="28" t="s">
        <v>227</v>
      </c>
      <c r="C200" s="64">
        <v>0.3333696277745804</v>
      </c>
      <c r="D200" s="64">
        <v>0.24154987633965375</v>
      </c>
      <c r="E200" s="64">
        <v>0.16492712594689604</v>
      </c>
      <c r="F200" s="64">
        <v>0.17429109178864191</v>
      </c>
      <c r="G200" s="64">
        <v>3.5775949229261618E-2</v>
      </c>
      <c r="H200" s="64">
        <v>2.7843021356686214E-2</v>
      </c>
      <c r="I200" s="64">
        <v>2.2243307564280047E-2</v>
      </c>
    </row>
    <row r="201" spans="2:9" x14ac:dyDescent="0.25">
      <c r="B201" s="28" t="s">
        <v>228</v>
      </c>
      <c r="C201" s="64">
        <v>0.31315211578504215</v>
      </c>
      <c r="D201" s="64">
        <v>0.2490015588198482</v>
      </c>
      <c r="E201" s="64">
        <v>0.18392936384220646</v>
      </c>
      <c r="F201" s="64">
        <v>0.19506866772105089</v>
      </c>
      <c r="G201" s="64">
        <v>1.7090127095019742E-2</v>
      </c>
      <c r="H201" s="64">
        <v>2.9378633927657105E-2</v>
      </c>
      <c r="I201" s="64">
        <v>1.2379532809175418E-2</v>
      </c>
    </row>
    <row r="202" spans="2:9" x14ac:dyDescent="0.25">
      <c r="B202" s="28" t="s">
        <v>217</v>
      </c>
      <c r="C202" s="64">
        <v>0.32667841485429383</v>
      </c>
      <c r="D202" s="64">
        <v>0.36108484483796099</v>
      </c>
      <c r="E202" s="64">
        <v>0.14680220063612137</v>
      </c>
      <c r="F202" s="64">
        <v>8.3039628642654517E-2</v>
      </c>
      <c r="G202" s="64">
        <v>3.3525315911630708E-2</v>
      </c>
      <c r="H202" s="64">
        <v>3.313848534341958E-2</v>
      </c>
      <c r="I202" s="64">
        <v>1.5731109773919023E-2</v>
      </c>
    </row>
    <row r="203" spans="2:9" x14ac:dyDescent="0.25">
      <c r="B203" s="28" t="s">
        <v>218</v>
      </c>
      <c r="C203" s="64">
        <v>0.30470040928388031</v>
      </c>
      <c r="D203" s="64">
        <v>0.302844650074993</v>
      </c>
      <c r="E203" s="64">
        <v>0.19660879070595114</v>
      </c>
      <c r="F203" s="64">
        <v>9.3296387624882432E-2</v>
      </c>
      <c r="G203" s="64">
        <v>5.7604799552584081E-2</v>
      </c>
      <c r="H203" s="64">
        <v>2.8522764827007652E-2</v>
      </c>
      <c r="I203" s="64">
        <v>1.6422197930701377E-2</v>
      </c>
    </row>
    <row r="204" spans="2:9" x14ac:dyDescent="0.25">
      <c r="B204" s="28" t="s">
        <v>219</v>
      </c>
      <c r="C204" s="64">
        <v>0.4192681165235535</v>
      </c>
      <c r="D204" s="64">
        <v>0.32320841023994862</v>
      </c>
      <c r="E204" s="64">
        <v>0.15081052885001203</v>
      </c>
      <c r="F204" s="64">
        <v>2.6442500601877857E-2</v>
      </c>
      <c r="G204" s="64">
        <v>5.834202712462884E-2</v>
      </c>
      <c r="H204" s="64">
        <v>5.5573388973597622E-3</v>
      </c>
      <c r="I204" s="64">
        <v>1.6371077762619372E-2</v>
      </c>
    </row>
    <row r="205" spans="2:9" x14ac:dyDescent="0.25">
      <c r="B205" s="28" t="s">
        <v>220</v>
      </c>
      <c r="C205" s="64">
        <v>0.3233867853004706</v>
      </c>
      <c r="D205" s="64">
        <v>0.27648161128356247</v>
      </c>
      <c r="E205" s="64">
        <v>0.17370220435721745</v>
      </c>
      <c r="F205" s="64">
        <v>0.15623614230334587</v>
      </c>
      <c r="G205" s="64">
        <v>1.8681963179652969E-2</v>
      </c>
      <c r="H205" s="64">
        <v>3.8851617148497289E-2</v>
      </c>
      <c r="I205" s="64">
        <v>1.2659676427253351E-2</v>
      </c>
    </row>
    <row r="206" spans="2:9" x14ac:dyDescent="0.25">
      <c r="B206" s="28" t="s">
        <v>221</v>
      </c>
      <c r="C206" s="64">
        <v>0.27507110244200111</v>
      </c>
      <c r="D206" s="64">
        <v>0.2132855321513801</v>
      </c>
      <c r="E206" s="64">
        <v>0.17808846124508276</v>
      </c>
      <c r="F206" s="64">
        <v>0.26292102997744338</v>
      </c>
      <c r="G206" s="64">
        <v>2.0104828427900488E-2</v>
      </c>
      <c r="H206" s="64">
        <v>3.2211313188549508E-2</v>
      </c>
      <c r="I206" s="64">
        <v>1.8317732567642669E-2</v>
      </c>
    </row>
    <row r="207" spans="2:9" x14ac:dyDescent="0.25">
      <c r="B207" s="28" t="s">
        <v>222</v>
      </c>
      <c r="C207" s="64">
        <v>0.22135991687232109</v>
      </c>
      <c r="D207" s="64">
        <v>0.29758734900636447</v>
      </c>
      <c r="E207" s="64">
        <v>0.14311923626444992</v>
      </c>
      <c r="F207" s="64">
        <v>0.25599103779711652</v>
      </c>
      <c r="G207" s="64">
        <v>3.4014157682815953E-2</v>
      </c>
      <c r="H207" s="64">
        <v>2.5620210416937263E-2</v>
      </c>
      <c r="I207" s="64">
        <v>2.2308091959994805E-2</v>
      </c>
    </row>
    <row r="208" spans="2:9" x14ac:dyDescent="0.25">
      <c r="B208" s="28" t="s">
        <v>223</v>
      </c>
      <c r="C208" s="64">
        <v>0.32497767338300243</v>
      </c>
      <c r="D208" s="64">
        <v>0.21825032725315324</v>
      </c>
      <c r="E208" s="64">
        <v>0.13130497547130571</v>
      </c>
      <c r="F208" s="64">
        <v>0.22068484603809593</v>
      </c>
      <c r="G208" s="64">
        <v>5.2079127977392004E-2</v>
      </c>
      <c r="H208" s="64">
        <v>3.7080534860106922E-2</v>
      </c>
      <c r="I208" s="64">
        <v>1.5622515016943761E-2</v>
      </c>
    </row>
    <row r="209" spans="2:9" x14ac:dyDescent="0.25">
      <c r="B209" s="28" t="s">
        <v>224</v>
      </c>
      <c r="C209" s="64">
        <v>0.34510832845367329</v>
      </c>
      <c r="D209" s="64">
        <v>0.22709562632313859</v>
      </c>
      <c r="E209" s="64">
        <v>0.14357461375613711</v>
      </c>
      <c r="F209" s="64">
        <v>0.15093914688527543</v>
      </c>
      <c r="G209" s="64">
        <v>9.2721048601414349E-2</v>
      </c>
      <c r="H209" s="64">
        <v>2.4357010945452909E-2</v>
      </c>
      <c r="I209" s="64">
        <v>1.6204225034908336E-2</v>
      </c>
    </row>
    <row r="210" spans="2:9" x14ac:dyDescent="0.25">
      <c r="B210" s="28" t="s">
        <v>225</v>
      </c>
      <c r="C210" s="64">
        <v>0.40860660324566311</v>
      </c>
      <c r="D210" s="64">
        <v>0.20692781197537774</v>
      </c>
      <c r="E210" s="64">
        <v>0.12796866256295467</v>
      </c>
      <c r="F210" s="64">
        <v>0.2038612199216564</v>
      </c>
      <c r="G210" s="64">
        <v>1.152770005595971E-3</v>
      </c>
      <c r="H210" s="64">
        <v>3.0699496362618914E-2</v>
      </c>
      <c r="I210" s="64">
        <v>2.0783435926133183E-2</v>
      </c>
    </row>
    <row r="211" spans="2:9" x14ac:dyDescent="0.25">
      <c r="B211" s="28" t="s">
        <v>226</v>
      </c>
      <c r="C211" s="64">
        <v>0.37266809304866388</v>
      </c>
      <c r="D211" s="64">
        <v>0.20496198843720126</v>
      </c>
      <c r="E211" s="64">
        <v>0.15328447216278965</v>
      </c>
      <c r="F211" s="64">
        <v>0.20371466290344609</v>
      </c>
      <c r="G211" s="64">
        <v>3.9513816178813679E-3</v>
      </c>
      <c r="H211" s="64">
        <v>4.1862794191286933E-2</v>
      </c>
      <c r="I211" s="64">
        <v>1.9556607638730822E-2</v>
      </c>
    </row>
    <row r="212" spans="2:9" x14ac:dyDescent="0.25">
      <c r="B212" s="28" t="s">
        <v>227</v>
      </c>
      <c r="C212" s="64">
        <v>0.40026387258723645</v>
      </c>
      <c r="D212" s="64">
        <v>0.1839140529287287</v>
      </c>
      <c r="E212" s="64">
        <v>0.17993882953659518</v>
      </c>
      <c r="F212" s="64">
        <v>0.20014050358541161</v>
      </c>
      <c r="G212" s="64">
        <v>2.6215912887777044E-3</v>
      </c>
      <c r="H212" s="64">
        <v>1.7982745474328109E-2</v>
      </c>
      <c r="I212" s="64">
        <v>1.5138404598922234E-2</v>
      </c>
    </row>
    <row r="213" spans="2:9" x14ac:dyDescent="0.25">
      <c r="B213" s="28" t="s">
        <v>228</v>
      </c>
      <c r="C213" s="64">
        <v>0.40519676143852384</v>
      </c>
      <c r="D213" s="64">
        <v>0.22403429746679607</v>
      </c>
      <c r="E213" s="64">
        <v>0.27054154657242591</v>
      </c>
      <c r="F213" s="64">
        <v>5.253972162275683E-2</v>
      </c>
      <c r="G213" s="64">
        <v>1.2818098865924134E-2</v>
      </c>
      <c r="H213" s="64">
        <v>2.3036368639833146E-2</v>
      </c>
      <c r="I213" s="64">
        <v>1.1833205393740134E-2</v>
      </c>
    </row>
    <row r="214" spans="2:9" x14ac:dyDescent="0.25">
      <c r="B214" s="28" t="s">
        <v>217</v>
      </c>
      <c r="C214" s="64">
        <v>0.29984986557731924</v>
      </c>
      <c r="D214" s="64">
        <v>0.20946661545802636</v>
      </c>
      <c r="E214" s="64">
        <v>0.23417478439998604</v>
      </c>
      <c r="F214" s="64">
        <v>0.18854090290143499</v>
      </c>
      <c r="G214" s="64">
        <v>1.9156686800972964E-2</v>
      </c>
      <c r="H214" s="64">
        <v>3.1644612036358134E-2</v>
      </c>
      <c r="I214" s="64">
        <v>1.7166532825902261E-2</v>
      </c>
    </row>
    <row r="215" spans="2:9" x14ac:dyDescent="0.25">
      <c r="B215" s="28" t="s">
        <v>218</v>
      </c>
      <c r="C215" s="64">
        <v>0.45152374077921165</v>
      </c>
      <c r="D215" s="64">
        <v>0.26117497931374445</v>
      </c>
      <c r="E215" s="64">
        <v>0.19221492579355998</v>
      </c>
      <c r="F215" s="64">
        <v>2.5316455696202531E-2</v>
      </c>
      <c r="G215" s="64">
        <v>1.3591310012147674E-2</v>
      </c>
      <c r="H215" s="64">
        <v>3.9154240242249255E-2</v>
      </c>
      <c r="I215" s="64">
        <v>1.7024348162884458E-2</v>
      </c>
    </row>
    <row r="216" spans="2:9" x14ac:dyDescent="0.25">
      <c r="B216" s="28" t="s">
        <v>219</v>
      </c>
      <c r="C216" s="64">
        <v>0.42301139772045593</v>
      </c>
      <c r="D216" s="64">
        <v>0.28309538092381525</v>
      </c>
      <c r="E216" s="64">
        <v>0.19997600479904018</v>
      </c>
      <c r="F216" s="64">
        <v>1.1421715656868626E-2</v>
      </c>
      <c r="G216" s="64">
        <v>2.0083983203359329E-2</v>
      </c>
      <c r="H216" s="64">
        <v>4.1127774445110975E-2</v>
      </c>
      <c r="I216" s="64">
        <v>2.128374325134973E-2</v>
      </c>
    </row>
    <row r="217" spans="2:9" x14ac:dyDescent="0.25">
      <c r="B217" s="28" t="s">
        <v>220</v>
      </c>
      <c r="C217" s="64">
        <v>0.38188884665841127</v>
      </c>
      <c r="D217" s="64">
        <v>0.22965069945931366</v>
      </c>
      <c r="E217" s="64">
        <v>0.15861358704314457</v>
      </c>
      <c r="F217" s="64">
        <v>0.15591628557066317</v>
      </c>
      <c r="G217" s="64">
        <v>1.0813726812402683E-2</v>
      </c>
      <c r="H217" s="64">
        <v>4.6295501636771576E-2</v>
      </c>
      <c r="I217" s="64">
        <v>1.6821352819293062E-2</v>
      </c>
    </row>
    <row r="218" spans="2:9" x14ac:dyDescent="0.25">
      <c r="B218" s="28" t="s">
        <v>221</v>
      </c>
      <c r="C218" s="64">
        <v>0.39683354919387254</v>
      </c>
      <c r="D218" s="64">
        <v>0.22515742932428207</v>
      </c>
      <c r="E218" s="64">
        <v>0.1821714081550623</v>
      </c>
      <c r="F218" s="64">
        <v>0.12867893350006698</v>
      </c>
      <c r="G218" s="64">
        <v>3.5505336965745166E-3</v>
      </c>
      <c r="H218" s="64">
        <v>4.4872940020543969E-2</v>
      </c>
      <c r="I218" s="64">
        <v>1.8735206109597606E-2</v>
      </c>
    </row>
    <row r="219" spans="2:9" x14ac:dyDescent="0.25">
      <c r="B219" s="28" t="s">
        <v>222</v>
      </c>
      <c r="C219" s="64">
        <v>0.37945546241395761</v>
      </c>
      <c r="D219" s="64">
        <v>0.27775506031486402</v>
      </c>
      <c r="E219" s="64">
        <v>9.8377973147958833E-2</v>
      </c>
      <c r="F219" s="64">
        <v>0.15862468479520206</v>
      </c>
      <c r="G219" s="64">
        <v>1.6612144755673686E-2</v>
      </c>
      <c r="H219" s="64">
        <v>5.0143120016356575E-2</v>
      </c>
      <c r="I219" s="64">
        <v>1.9031554555987186E-2</v>
      </c>
    </row>
    <row r="220" spans="2:9" x14ac:dyDescent="0.25">
      <c r="B220" s="28" t="s">
        <v>223</v>
      </c>
      <c r="C220" s="64">
        <v>0.44</v>
      </c>
      <c r="D220" s="64">
        <v>0.23100000000000001</v>
      </c>
      <c r="E220" s="64">
        <v>0.193</v>
      </c>
      <c r="F220" s="64">
        <v>0.06</v>
      </c>
      <c r="G220" s="64">
        <v>4.0000000000000001E-3</v>
      </c>
      <c r="H220" s="64">
        <v>5.5E-2</v>
      </c>
      <c r="I220" s="64">
        <v>1.7000000000000001E-2</v>
      </c>
    </row>
    <row r="221" spans="2:9" x14ac:dyDescent="0.25">
      <c r="B221" s="28" t="s">
        <v>224</v>
      </c>
      <c r="C221" s="64">
        <v>0.33717640742550747</v>
      </c>
      <c r="D221" s="64">
        <v>0.16902872325048354</v>
      </c>
      <c r="E221" s="64">
        <v>0.28337107576247739</v>
      </c>
      <c r="F221" s="64">
        <v>0.1444146940798304</v>
      </c>
      <c r="G221" s="64">
        <v>5.7336371082645594E-3</v>
      </c>
      <c r="H221" s="64">
        <v>4.405195377298101E-2</v>
      </c>
      <c r="I221" s="64">
        <v>1.6223508600455662E-2</v>
      </c>
    </row>
    <row r="222" spans="2:9" x14ac:dyDescent="0.25">
      <c r="B222" s="28" t="s">
        <v>225</v>
      </c>
      <c r="C222" s="64">
        <v>0.41232866881951918</v>
      </c>
      <c r="D222" s="64">
        <v>0.20310010764262648</v>
      </c>
      <c r="E222" s="64">
        <v>0.1844707570864729</v>
      </c>
      <c r="F222" s="64">
        <v>0.14257624686042339</v>
      </c>
      <c r="G222" s="64">
        <v>6.7599569429494079E-3</v>
      </c>
      <c r="H222" s="64">
        <v>3.6383207750269105E-2</v>
      </c>
      <c r="I222" s="64">
        <v>1.4381054897739505E-2</v>
      </c>
    </row>
    <row r="223" spans="2:9" x14ac:dyDescent="0.25">
      <c r="B223" s="28" t="s">
        <v>226</v>
      </c>
      <c r="C223" s="64">
        <v>0.43129561417557027</v>
      </c>
      <c r="D223" s="64">
        <v>0.20266993067789243</v>
      </c>
      <c r="E223" s="64">
        <v>0.22281452332471574</v>
      </c>
      <c r="F223" s="64">
        <v>7.3200027454300029E-2</v>
      </c>
      <c r="G223" s="64">
        <v>1.1702395387677596E-2</v>
      </c>
      <c r="H223" s="64">
        <v>3.9843052918163306E-2</v>
      </c>
      <c r="I223" s="64">
        <v>1.8474456061680661E-2</v>
      </c>
    </row>
    <row r="224" spans="2:9" x14ac:dyDescent="0.25">
      <c r="B224" s="28" t="s">
        <v>227</v>
      </c>
      <c r="C224" s="64">
        <v>0.41223887489083189</v>
      </c>
      <c r="D224" s="64">
        <v>0.19787787225072026</v>
      </c>
      <c r="E224" s="64">
        <v>0.15298593613539857</v>
      </c>
      <c r="F224" s="64">
        <v>0.15611793167832799</v>
      </c>
      <c r="G224" s="64">
        <v>3.9591635965748821E-2</v>
      </c>
      <c r="H224" s="64">
        <v>2.6571769878635174E-2</v>
      </c>
      <c r="I224" s="64">
        <v>1.4615979200337291E-2</v>
      </c>
    </row>
    <row r="225" spans="2:9" x14ac:dyDescent="0.25">
      <c r="B225" s="28" t="s">
        <v>228</v>
      </c>
      <c r="C225" s="64">
        <v>0.37967278135845317</v>
      </c>
      <c r="D225" s="64">
        <v>0.183199058006941</v>
      </c>
      <c r="E225" s="64">
        <v>0.16396876549330688</v>
      </c>
      <c r="F225" s="64">
        <v>0.1952590480912246</v>
      </c>
      <c r="G225" s="64">
        <v>3.8051561725334655E-3</v>
      </c>
      <c r="H225" s="64">
        <v>4.8636588993554782E-2</v>
      </c>
      <c r="I225" s="64">
        <v>2.5458601883986118E-2</v>
      </c>
    </row>
    <row r="226" spans="2:9" x14ac:dyDescent="0.25">
      <c r="B226" s="28" t="s">
        <v>217</v>
      </c>
      <c r="C226" s="64">
        <v>0.33054557222913011</v>
      </c>
      <c r="D226" s="64">
        <v>0.2627109983137168</v>
      </c>
      <c r="E226" s="64">
        <v>0.15386056652302033</v>
      </c>
      <c r="F226" s="64">
        <v>0.14520771942972968</v>
      </c>
      <c r="G226" s="64">
        <v>4.4413974007392394E-2</v>
      </c>
      <c r="H226" s="64">
        <v>4.0564479040692228E-2</v>
      </c>
      <c r="I226" s="64">
        <v>2.269669045631845E-2</v>
      </c>
    </row>
    <row r="227" spans="2:9" x14ac:dyDescent="0.25">
      <c r="B227" s="28" t="s">
        <v>218</v>
      </c>
      <c r="C227" s="64">
        <v>0.40605259291905393</v>
      </c>
      <c r="D227" s="64">
        <v>0.20718867832133589</v>
      </c>
      <c r="E227" s="64">
        <v>0.1604475784731404</v>
      </c>
      <c r="F227" s="64">
        <v>0.12211693844571764</v>
      </c>
      <c r="G227" s="64">
        <v>3.5098672934724059E-2</v>
      </c>
      <c r="H227" s="64">
        <v>4.6643161451447042E-2</v>
      </c>
      <c r="I227" s="64">
        <v>2.245237745458107E-2</v>
      </c>
    </row>
    <row r="228" spans="2:9" x14ac:dyDescent="0.25">
      <c r="B228" s="28" t="s">
        <v>219</v>
      </c>
      <c r="C228" s="64">
        <v>0.36468291594623237</v>
      </c>
      <c r="D228" s="64">
        <v>0.22001227062301298</v>
      </c>
      <c r="E228" s="64">
        <v>0.1168386413073791</v>
      </c>
      <c r="F228" s="64">
        <v>0.19731161804897093</v>
      </c>
      <c r="G228" s="64">
        <v>4.794467064532322E-2</v>
      </c>
      <c r="H228" s="64">
        <v>4.0426125271905852E-2</v>
      </c>
      <c r="I228" s="64">
        <v>1.2783758157175525E-2</v>
      </c>
    </row>
    <row r="229" spans="2:9" x14ac:dyDescent="0.25">
      <c r="B229" s="28" t="s">
        <v>220</v>
      </c>
      <c r="C229" s="64">
        <v>0.34702854984418774</v>
      </c>
      <c r="D229" s="64">
        <v>0.22302401712361106</v>
      </c>
      <c r="E229" s="64">
        <v>0.14324498725172338</v>
      </c>
      <c r="F229" s="64">
        <v>0.21147974440492304</v>
      </c>
      <c r="G229" s="64">
        <v>7.326324404293494E-3</v>
      </c>
      <c r="H229" s="64">
        <v>5.3432591520035252E-2</v>
      </c>
      <c r="I229" s="64">
        <v>1.4463785451226037E-2</v>
      </c>
    </row>
    <row r="230" spans="2:9" x14ac:dyDescent="0.25">
      <c r="B230" s="28" t="s">
        <v>221</v>
      </c>
      <c r="C230" s="64">
        <v>0.30773229476949987</v>
      </c>
      <c r="D230" s="64">
        <v>0.21493815649418696</v>
      </c>
      <c r="E230" s="64">
        <v>0.1926018829470349</v>
      </c>
      <c r="F230" s="64">
        <v>0.21021841195448582</v>
      </c>
      <c r="G230" s="64">
        <v>2.879704273349121E-3</v>
      </c>
      <c r="H230" s="64">
        <v>5.553951135791671E-2</v>
      </c>
      <c r="I230" s="64">
        <v>1.6090038203526606E-2</v>
      </c>
    </row>
    <row r="231" spans="2:9" x14ac:dyDescent="0.25">
      <c r="B231" s="28" t="s">
        <v>222</v>
      </c>
      <c r="C231" s="64">
        <v>0.37645288758824796</v>
      </c>
      <c r="D231" s="64">
        <v>0.26433873981118661</v>
      </c>
      <c r="E231" s="64">
        <v>0.17199874344857233</v>
      </c>
      <c r="F231" s="64">
        <v>0.12629995205264288</v>
      </c>
      <c r="G231" s="64">
        <v>8.8950614222178138E-3</v>
      </c>
      <c r="H231" s="64">
        <v>3.5762114974455632E-2</v>
      </c>
      <c r="I231" s="64">
        <v>1.6252500702676784E-2</v>
      </c>
    </row>
    <row r="232" spans="2:9" x14ac:dyDescent="0.25">
      <c r="B232" s="28" t="s">
        <v>223</v>
      </c>
      <c r="C232" s="64">
        <v>0.35678166805351086</v>
      </c>
      <c r="D232" s="64">
        <v>0.21428876229490709</v>
      </c>
      <c r="E232" s="64">
        <v>0.17116857624442594</v>
      </c>
      <c r="F232" s="64">
        <v>0.16299686359854063</v>
      </c>
      <c r="G232" s="64">
        <v>3.4447075892380892E-2</v>
      </c>
      <c r="H232" s="64">
        <v>4.688600140818025E-2</v>
      </c>
      <c r="I232" s="64">
        <v>1.3431052508054365E-2</v>
      </c>
    </row>
    <row r="233" spans="2:9" x14ac:dyDescent="0.25">
      <c r="B233" s="28" t="s">
        <v>224</v>
      </c>
      <c r="C233" s="64">
        <v>0.36455830297392966</v>
      </c>
      <c r="D233" s="64">
        <v>0.24118285404232231</v>
      </c>
      <c r="E233" s="64">
        <v>0.17556778544298893</v>
      </c>
      <c r="F233" s="64">
        <v>7.702245303981603E-2</v>
      </c>
      <c r="G233" s="64">
        <v>7.7410019895098575E-2</v>
      </c>
      <c r="H233" s="64">
        <v>4.7993695579154068E-2</v>
      </c>
      <c r="I233" s="64">
        <v>1.6264889026690436E-2</v>
      </c>
    </row>
    <row r="234" spans="2:9" x14ac:dyDescent="0.25">
      <c r="B234" s="28" t="s">
        <v>225</v>
      </c>
      <c r="C234" s="64">
        <v>0.32891764705882354</v>
      </c>
      <c r="D234" s="64">
        <v>0.17060392156862744</v>
      </c>
      <c r="E234" s="64">
        <v>0.22309803921568627</v>
      </c>
      <c r="F234" s="64">
        <v>0.15651764705882354</v>
      </c>
      <c r="G234" s="64">
        <v>4.2666666666666665E-2</v>
      </c>
      <c r="H234" s="64">
        <v>5.3003921568627453E-2</v>
      </c>
      <c r="I234" s="64">
        <v>2.5192156862745098E-2</v>
      </c>
    </row>
    <row r="235" spans="2:9" x14ac:dyDescent="0.25">
      <c r="B235" s="28" t="s">
        <v>226</v>
      </c>
      <c r="C235" s="64">
        <v>0.3248507043425789</v>
      </c>
      <c r="D235" s="64">
        <v>0.22058823529411764</v>
      </c>
      <c r="E235" s="64">
        <v>0.22350132129257788</v>
      </c>
      <c r="F235" s="64">
        <v>0.14170602800724111</v>
      </c>
      <c r="G235" s="64">
        <v>2.2420358309577809E-2</v>
      </c>
      <c r="H235" s="64">
        <v>5.0162300505628497E-2</v>
      </c>
      <c r="I235" s="64">
        <v>1.6771052248278157E-2</v>
      </c>
    </row>
    <row r="236" spans="2:9" x14ac:dyDescent="0.25">
      <c r="B236" s="28" t="s">
        <v>227</v>
      </c>
      <c r="C236" s="64">
        <v>0.33904825352039081</v>
      </c>
      <c r="D236" s="64">
        <v>0.21216396269300103</v>
      </c>
      <c r="E236" s="64">
        <v>0.20362750476787628</v>
      </c>
      <c r="F236" s="64">
        <v>0.15579198996786581</v>
      </c>
      <c r="G236" s="64">
        <v>1.3846435196070747E-2</v>
      </c>
      <c r="H236" s="64">
        <v>4.8338427776471508E-2</v>
      </c>
      <c r="I236" s="64">
        <v>2.7183426078323799E-2</v>
      </c>
    </row>
    <row r="237" spans="2:9" x14ac:dyDescent="0.25">
      <c r="B237" s="28" t="s">
        <v>228</v>
      </c>
      <c r="C237" s="64">
        <v>0.31651658924286125</v>
      </c>
      <c r="D237" s="64">
        <v>0.17444941033149131</v>
      </c>
      <c r="E237" s="64">
        <v>0.23402170802051914</v>
      </c>
      <c r="F237" s="64">
        <v>0.19169914063245341</v>
      </c>
      <c r="G237" s="64">
        <v>7.0415299824603894E-3</v>
      </c>
      <c r="H237" s="64">
        <v>5.5473606188033438E-2</v>
      </c>
      <c r="I237" s="64">
        <v>2.0798015602181075E-2</v>
      </c>
    </row>
    <row r="238" spans="2:9" ht="15.75" thickBot="1" x14ac:dyDescent="0.3">
      <c r="B238" s="356" t="s">
        <v>217</v>
      </c>
      <c r="C238" s="66">
        <v>0.30667844550839635</v>
      </c>
      <c r="D238" s="66">
        <v>0.21673594623800096</v>
      </c>
      <c r="E238" s="66">
        <v>0.18329244918402599</v>
      </c>
      <c r="F238" s="66">
        <v>0.20683698661471356</v>
      </c>
      <c r="G238" s="66">
        <v>4.3981353672868963E-2</v>
      </c>
      <c r="H238" s="66">
        <v>2.8971218084728783E-2</v>
      </c>
      <c r="I238" s="66">
        <v>1.3503600697265363E-2</v>
      </c>
    </row>
    <row r="239" spans="2:9" x14ac:dyDescent="0.25">
      <c r="B239" s="47" t="s">
        <v>218</v>
      </c>
      <c r="C239" s="39">
        <v>0.38327567916609012</v>
      </c>
      <c r="D239" s="39">
        <v>0.19517549928508832</v>
      </c>
      <c r="E239" s="39">
        <v>0.32337069323370693</v>
      </c>
      <c r="F239" s="39">
        <v>1.833863751671971E-2</v>
      </c>
      <c r="G239" s="39">
        <v>1.8661500853281675E-2</v>
      </c>
      <c r="H239" s="39">
        <v>3.388220100548868E-2</v>
      </c>
      <c r="I239" s="39">
        <v>2.7295788939624557E-2</v>
      </c>
    </row>
    <row r="240" spans="2:9" x14ac:dyDescent="0.25">
      <c r="B240" s="47"/>
      <c r="C240" s="39"/>
      <c r="D240" s="39"/>
      <c r="E240" s="39"/>
      <c r="F240" s="39"/>
      <c r="G240" s="39"/>
      <c r="H240" s="39"/>
      <c r="I240" s="39"/>
    </row>
    <row r="241" spans="2:9" x14ac:dyDescent="0.25">
      <c r="B241" s="47"/>
      <c r="C241" s="39"/>
      <c r="D241" s="39"/>
      <c r="E241" s="39"/>
      <c r="F241" s="39"/>
      <c r="G241" s="39"/>
      <c r="H241" s="39"/>
      <c r="I241" s="39"/>
    </row>
    <row r="242" spans="2:9" x14ac:dyDescent="0.25">
      <c r="B242" s="47"/>
      <c r="C242" s="39"/>
      <c r="D242" s="39"/>
      <c r="E242" s="39"/>
      <c r="F242" s="39"/>
      <c r="G242" s="39"/>
      <c r="H242" s="39"/>
      <c r="I242" s="39"/>
    </row>
    <row r="243" spans="2:9" x14ac:dyDescent="0.25">
      <c r="B243" s="47"/>
      <c r="C243" s="39"/>
      <c r="D243" s="39"/>
      <c r="E243" s="39"/>
      <c r="F243" s="39"/>
      <c r="G243" s="39"/>
      <c r="H243" s="39"/>
      <c r="I243" s="39"/>
    </row>
    <row r="244" spans="2:9" x14ac:dyDescent="0.25">
      <c r="B244" s="47"/>
      <c r="C244" s="39"/>
      <c r="D244" s="39"/>
      <c r="E244" s="39"/>
      <c r="F244" s="39"/>
      <c r="G244" s="39"/>
      <c r="H244" s="39"/>
      <c r="I244" s="39"/>
    </row>
    <row r="245" spans="2:9" x14ac:dyDescent="0.25">
      <c r="B245" s="47"/>
      <c r="C245" s="39"/>
      <c r="D245" s="39"/>
      <c r="E245" s="39"/>
      <c r="F245" s="39"/>
      <c r="G245" s="39"/>
      <c r="H245" s="39"/>
      <c r="I245" s="39"/>
    </row>
    <row r="246" spans="2:9" x14ac:dyDescent="0.25">
      <c r="B246" s="47"/>
      <c r="C246" s="39"/>
      <c r="D246" s="39"/>
      <c r="E246" s="39"/>
      <c r="F246" s="39"/>
      <c r="G246" s="39"/>
      <c r="H246" s="39"/>
      <c r="I246" s="39"/>
    </row>
    <row r="248" spans="2:9" ht="15.75" thickBot="1" x14ac:dyDescent="0.3">
      <c r="B248" s="409" t="s">
        <v>235</v>
      </c>
      <c r="C248" s="409"/>
      <c r="D248" s="409"/>
    </row>
    <row r="249" spans="2:9" ht="15.75" thickBot="1" x14ac:dyDescent="0.3">
      <c r="B249" s="27" t="s">
        <v>3</v>
      </c>
      <c r="C249" s="27" t="s">
        <v>49</v>
      </c>
      <c r="D249" s="27" t="s">
        <v>236</v>
      </c>
    </row>
    <row r="250" spans="2:9" x14ac:dyDescent="0.25">
      <c r="B250" s="5" t="s">
        <v>217</v>
      </c>
      <c r="C250" s="32">
        <v>13452</v>
      </c>
      <c r="D250" s="206">
        <v>0.8</v>
      </c>
    </row>
    <row r="251" spans="2:9" x14ac:dyDescent="0.25">
      <c r="B251" s="1" t="s">
        <v>218</v>
      </c>
      <c r="C251" s="30">
        <v>18004</v>
      </c>
      <c r="D251" s="82">
        <v>0.75</v>
      </c>
    </row>
    <row r="252" spans="2:9" x14ac:dyDescent="0.25">
      <c r="B252" s="1" t="s">
        <v>219</v>
      </c>
      <c r="C252" s="30">
        <v>24952</v>
      </c>
      <c r="D252" s="82">
        <v>0.77</v>
      </c>
    </row>
    <row r="253" spans="2:9" x14ac:dyDescent="0.25">
      <c r="B253" s="1" t="s">
        <v>220</v>
      </c>
      <c r="C253" s="30">
        <v>27750</v>
      </c>
      <c r="D253" s="208">
        <v>0.74</v>
      </c>
    </row>
    <row r="254" spans="2:9" x14ac:dyDescent="0.25">
      <c r="B254" s="1" t="s">
        <v>221</v>
      </c>
      <c r="C254" s="30">
        <v>28315</v>
      </c>
      <c r="D254" s="208">
        <v>0.71</v>
      </c>
      <c r="E254" s="77"/>
      <c r="F254" s="77"/>
    </row>
    <row r="255" spans="2:9" x14ac:dyDescent="0.25">
      <c r="B255" s="1" t="s">
        <v>222</v>
      </c>
      <c r="C255" s="30">
        <v>8692</v>
      </c>
      <c r="D255" s="208">
        <v>0.22</v>
      </c>
    </row>
    <row r="256" spans="2:9" x14ac:dyDescent="0.25">
      <c r="B256" s="1" t="s">
        <v>223</v>
      </c>
      <c r="C256" s="30">
        <v>18858</v>
      </c>
      <c r="D256" s="208">
        <v>0.48</v>
      </c>
      <c r="E256" s="77"/>
      <c r="F256" s="77"/>
    </row>
    <row r="257" spans="2:6" x14ac:dyDescent="0.25">
      <c r="B257" s="1" t="s">
        <v>224</v>
      </c>
      <c r="C257" s="30">
        <v>28965</v>
      </c>
      <c r="D257" s="208">
        <v>0.69</v>
      </c>
    </row>
    <row r="258" spans="2:6" x14ac:dyDescent="0.25">
      <c r="B258" s="1" t="s">
        <v>225</v>
      </c>
      <c r="C258" s="30">
        <v>29615</v>
      </c>
      <c r="D258" s="208">
        <v>0.63</v>
      </c>
    </row>
    <row r="259" spans="2:6" x14ac:dyDescent="0.25">
      <c r="B259" s="1" t="s">
        <v>226</v>
      </c>
      <c r="C259" s="30">
        <v>39626</v>
      </c>
      <c r="D259" s="208">
        <v>0.73239072174475561</v>
      </c>
    </row>
    <row r="260" spans="2:6" x14ac:dyDescent="0.25">
      <c r="B260" s="1" t="s">
        <v>227</v>
      </c>
      <c r="C260" s="30">
        <v>40441</v>
      </c>
      <c r="D260" s="208">
        <v>0.64752221599551674</v>
      </c>
    </row>
    <row r="261" spans="2:6" x14ac:dyDescent="0.25">
      <c r="B261" s="1" t="s">
        <v>228</v>
      </c>
      <c r="C261" s="30">
        <v>53402</v>
      </c>
      <c r="D261" s="208">
        <v>0.74079931194251392</v>
      </c>
    </row>
    <row r="262" spans="2:6" x14ac:dyDescent="0.25">
      <c r="B262" s="1" t="s">
        <v>217</v>
      </c>
      <c r="C262" s="30">
        <v>40920</v>
      </c>
      <c r="D262" s="208">
        <v>0.55059944294191254</v>
      </c>
    </row>
    <row r="263" spans="2:6" x14ac:dyDescent="0.25">
      <c r="B263" s="1" t="s">
        <v>218</v>
      </c>
      <c r="C263" s="30">
        <v>33938</v>
      </c>
      <c r="D263" s="208">
        <v>0.45392897746271649</v>
      </c>
    </row>
    <row r="264" spans="2:6" x14ac:dyDescent="0.25">
      <c r="B264" s="1" t="s">
        <v>219</v>
      </c>
      <c r="C264" s="30">
        <v>42175</v>
      </c>
      <c r="D264" s="208">
        <v>0.54410227961761248</v>
      </c>
    </row>
    <row r="265" spans="2:6" x14ac:dyDescent="0.25">
      <c r="B265" s="1" t="s">
        <v>220</v>
      </c>
      <c r="C265" s="30">
        <v>49583</v>
      </c>
      <c r="D265" s="208">
        <v>0.6058306758061166</v>
      </c>
    </row>
    <row r="266" spans="2:6" x14ac:dyDescent="0.25">
      <c r="B266" s="1" t="s">
        <v>221</v>
      </c>
      <c r="C266" s="30">
        <v>50278</v>
      </c>
      <c r="D266" s="208">
        <v>0.56588143929588408</v>
      </c>
    </row>
    <row r="267" spans="2:6" x14ac:dyDescent="0.25">
      <c r="B267" s="1" t="s">
        <v>222</v>
      </c>
      <c r="C267" s="30">
        <v>48917</v>
      </c>
      <c r="D267" s="208">
        <v>0.52736720678762794</v>
      </c>
      <c r="E267" s="75"/>
      <c r="F267" s="75"/>
    </row>
    <row r="268" spans="2:6" x14ac:dyDescent="0.25">
      <c r="B268" s="1" t="s">
        <v>223</v>
      </c>
      <c r="C268" s="30">
        <v>52648</v>
      </c>
      <c r="D268" s="208">
        <v>0.55572796267561775</v>
      </c>
      <c r="E268" s="75"/>
      <c r="F268" s="75"/>
    </row>
    <row r="269" spans="2:6" x14ac:dyDescent="0.25">
      <c r="B269" s="1" t="s">
        <v>224</v>
      </c>
      <c r="C269" s="30">
        <v>56744</v>
      </c>
      <c r="D269" s="208">
        <v>0.57996729354047427</v>
      </c>
      <c r="E269" s="75"/>
      <c r="F269" s="75"/>
    </row>
    <row r="270" spans="2:6" x14ac:dyDescent="0.25">
      <c r="B270" s="1" t="s">
        <v>225</v>
      </c>
      <c r="C270" s="30">
        <v>77138</v>
      </c>
      <c r="D270" s="208">
        <v>0.72959603507145765</v>
      </c>
      <c r="E270" s="75"/>
      <c r="F270" s="75"/>
    </row>
    <row r="271" spans="2:6" x14ac:dyDescent="0.25">
      <c r="B271" s="1" t="s">
        <v>226</v>
      </c>
      <c r="C271" s="30">
        <v>75925</v>
      </c>
      <c r="D271" s="208">
        <v>0.69305620213416586</v>
      </c>
      <c r="E271" s="75"/>
      <c r="F271" s="75"/>
    </row>
    <row r="272" spans="2:6" x14ac:dyDescent="0.25">
      <c r="B272" s="1" t="s">
        <v>227</v>
      </c>
      <c r="C272" s="30">
        <v>83283</v>
      </c>
      <c r="D272" s="208">
        <v>0.7079660310956587</v>
      </c>
      <c r="E272" s="75"/>
      <c r="F272" s="75"/>
    </row>
    <row r="273" spans="2:6" x14ac:dyDescent="0.25">
      <c r="B273" s="1" t="s">
        <v>228</v>
      </c>
      <c r="C273" s="30">
        <v>104073</v>
      </c>
      <c r="D273" s="208">
        <v>0.78421369904302618</v>
      </c>
      <c r="E273" s="75"/>
      <c r="F273" s="75"/>
    </row>
    <row r="274" spans="2:6" x14ac:dyDescent="0.25">
      <c r="B274" s="1" t="s">
        <v>217</v>
      </c>
      <c r="C274" s="30">
        <v>91116</v>
      </c>
      <c r="D274" s="208">
        <v>0.66510942085054825</v>
      </c>
      <c r="E274" s="75"/>
      <c r="F274" s="75"/>
    </row>
    <row r="275" spans="2:6" x14ac:dyDescent="0.25">
      <c r="B275" s="1" t="s">
        <v>218</v>
      </c>
      <c r="C275" s="30">
        <v>66791</v>
      </c>
      <c r="D275" s="208">
        <v>0.4952911339839231</v>
      </c>
      <c r="E275" s="75"/>
      <c r="F275" s="75"/>
    </row>
    <row r="276" spans="2:6" x14ac:dyDescent="0.25">
      <c r="B276" s="1" t="s">
        <v>219</v>
      </c>
      <c r="C276" s="30">
        <v>64953</v>
      </c>
      <c r="D276" s="208">
        <v>0.48260976171547026</v>
      </c>
      <c r="E276" s="75"/>
      <c r="F276" s="75"/>
    </row>
    <row r="277" spans="2:6" x14ac:dyDescent="0.25">
      <c r="B277" s="1" t="s">
        <v>220</v>
      </c>
      <c r="C277" s="30">
        <v>74989</v>
      </c>
      <c r="D277" s="208">
        <v>0.55626520681265201</v>
      </c>
      <c r="E277" s="75"/>
      <c r="F277" s="75"/>
    </row>
    <row r="278" spans="2:6" x14ac:dyDescent="0.25">
      <c r="B278" s="1" t="s">
        <v>221</v>
      </c>
      <c r="C278" s="30">
        <v>90921</v>
      </c>
      <c r="D278" s="208">
        <v>0.64354725688521452</v>
      </c>
      <c r="E278" s="75"/>
      <c r="F278" s="75"/>
    </row>
    <row r="279" spans="2:6" x14ac:dyDescent="0.25">
      <c r="B279" s="1" t="s">
        <v>222</v>
      </c>
      <c r="C279" s="30">
        <v>77942</v>
      </c>
      <c r="D279" s="208">
        <v>0.55144260021791114</v>
      </c>
      <c r="E279" s="75"/>
      <c r="F279" s="75"/>
    </row>
    <row r="280" spans="2:6" x14ac:dyDescent="0.25">
      <c r="B280" s="1" t="s">
        <v>223</v>
      </c>
      <c r="C280" s="30">
        <v>69949</v>
      </c>
      <c r="D280" s="208">
        <v>0.49557904581072082</v>
      </c>
      <c r="E280" s="75"/>
      <c r="F280" s="75"/>
    </row>
    <row r="281" spans="2:6" x14ac:dyDescent="0.25">
      <c r="B281" s="1" t="s">
        <v>224</v>
      </c>
      <c r="C281" s="30">
        <v>104987</v>
      </c>
      <c r="D281" s="208">
        <v>0.70855773773368425</v>
      </c>
      <c r="E281" s="75"/>
      <c r="F281" s="75"/>
    </row>
    <row r="282" spans="2:6" x14ac:dyDescent="0.25">
      <c r="B282" s="1" t="s">
        <v>225</v>
      </c>
      <c r="C282" s="30">
        <v>74166</v>
      </c>
      <c r="D282" s="208">
        <v>0.50732608249538269</v>
      </c>
      <c r="E282" s="75"/>
      <c r="F282" s="75"/>
    </row>
    <row r="283" spans="2:6" x14ac:dyDescent="0.25">
      <c r="B283" s="1" t="s">
        <v>226</v>
      </c>
      <c r="C283" s="30">
        <v>86592</v>
      </c>
      <c r="D283" s="208">
        <v>0.58374792703150913</v>
      </c>
      <c r="E283" s="75"/>
      <c r="F283" s="75"/>
    </row>
    <row r="284" spans="2:6" x14ac:dyDescent="0.25">
      <c r="B284" s="1" t="s">
        <v>227</v>
      </c>
      <c r="C284" s="30">
        <v>94851</v>
      </c>
      <c r="D284" s="208">
        <v>0.61681276662157947</v>
      </c>
      <c r="E284" s="75"/>
      <c r="F284" s="75"/>
    </row>
    <row r="285" spans="2:6" x14ac:dyDescent="0.25">
      <c r="B285" s="1" t="s">
        <v>228</v>
      </c>
      <c r="C285" s="30">
        <v>121272</v>
      </c>
      <c r="D285" s="208">
        <v>0.74042054362956988</v>
      </c>
      <c r="E285" s="75"/>
      <c r="F285" s="75"/>
    </row>
    <row r="286" spans="2:6" x14ac:dyDescent="0.25">
      <c r="B286" s="1" t="s">
        <v>217</v>
      </c>
      <c r="C286" s="30">
        <v>116730</v>
      </c>
      <c r="D286" s="208">
        <v>0.68707951475340356</v>
      </c>
      <c r="E286" s="75"/>
      <c r="F286" s="75"/>
    </row>
    <row r="287" spans="2:6" x14ac:dyDescent="0.25">
      <c r="B287" s="1" t="s">
        <v>218</v>
      </c>
      <c r="C287" s="30">
        <v>86284</v>
      </c>
      <c r="D287" s="208">
        <v>0.51294794663876542</v>
      </c>
      <c r="E287" s="75"/>
      <c r="F287" s="75"/>
    </row>
    <row r="288" spans="2:6" x14ac:dyDescent="0.25">
      <c r="B288" s="1" t="s">
        <v>219</v>
      </c>
      <c r="C288" s="30">
        <v>86678</v>
      </c>
      <c r="D288" s="208">
        <v>0.51476998729080303</v>
      </c>
      <c r="E288" s="75"/>
      <c r="F288" s="75"/>
    </row>
    <row r="289" spans="2:6" x14ac:dyDescent="0.25">
      <c r="B289" s="1" t="s">
        <v>220</v>
      </c>
      <c r="C289" s="30">
        <v>106894</v>
      </c>
      <c r="D289" s="208">
        <v>0.61449931878150998</v>
      </c>
      <c r="E289" s="75"/>
      <c r="F289" s="75"/>
    </row>
    <row r="290" spans="2:6" x14ac:dyDescent="0.25">
      <c r="B290" s="1" t="s">
        <v>221</v>
      </c>
      <c r="C290" s="30">
        <v>122011</v>
      </c>
      <c r="D290" s="208">
        <v>0.6643670024503131</v>
      </c>
      <c r="E290" s="75"/>
      <c r="F290" s="75"/>
    </row>
    <row r="291" spans="2:6" x14ac:dyDescent="0.25">
      <c r="B291" s="1" t="s">
        <v>222</v>
      </c>
      <c r="C291" s="30">
        <v>94371</v>
      </c>
      <c r="D291" s="208">
        <v>0.51902389123548043</v>
      </c>
      <c r="E291" s="75"/>
      <c r="F291" s="75"/>
    </row>
    <row r="292" spans="2:6" x14ac:dyDescent="0.25">
      <c r="B292" s="1" t="s">
        <v>223</v>
      </c>
      <c r="C292" s="30">
        <v>100403</v>
      </c>
      <c r="D292" s="208">
        <v>0.54520327763810228</v>
      </c>
      <c r="E292" s="75"/>
      <c r="F292" s="75"/>
    </row>
    <row r="293" spans="2:6" x14ac:dyDescent="0.25">
      <c r="B293" s="1" t="s">
        <v>224</v>
      </c>
      <c r="C293" s="30">
        <v>92545</v>
      </c>
      <c r="D293" s="208">
        <v>0.50955852393485224</v>
      </c>
      <c r="E293" s="75"/>
      <c r="F293" s="75"/>
    </row>
    <row r="294" spans="2:6" x14ac:dyDescent="0.25">
      <c r="B294" s="1" t="s">
        <v>225</v>
      </c>
      <c r="C294" s="30">
        <v>113499</v>
      </c>
      <c r="D294" s="208">
        <v>0.61216795663547374</v>
      </c>
      <c r="E294" s="75"/>
      <c r="F294" s="75"/>
    </row>
    <row r="295" spans="2:6" x14ac:dyDescent="0.25">
      <c r="B295" s="1" t="s">
        <v>226</v>
      </c>
      <c r="C295" s="30">
        <v>137441</v>
      </c>
      <c r="D295" s="208">
        <v>0.70220766680120783</v>
      </c>
      <c r="E295" s="75"/>
      <c r="F295" s="75"/>
    </row>
    <row r="296" spans="2:6" ht="15.75" thickBot="1" x14ac:dyDescent="0.3">
      <c r="B296" s="9" t="s">
        <v>227</v>
      </c>
      <c r="C296" s="31">
        <v>131601</v>
      </c>
      <c r="D296" s="207">
        <v>0.64982692810973897</v>
      </c>
      <c r="E296" s="75"/>
      <c r="F296" s="75"/>
    </row>
    <row r="297" spans="2:6" x14ac:dyDescent="0.25">
      <c r="B297" s="47" t="s">
        <v>228</v>
      </c>
      <c r="C297" s="8">
        <v>162138</v>
      </c>
      <c r="D297" s="70">
        <v>0.75254114567378649</v>
      </c>
      <c r="E297" s="75"/>
      <c r="F297" s="75"/>
    </row>
    <row r="298" spans="2:6" x14ac:dyDescent="0.25">
      <c r="B298" s="47" t="s">
        <v>217</v>
      </c>
      <c r="C298" s="8">
        <v>139745</v>
      </c>
      <c r="D298" s="70">
        <v>0.64310301981610507</v>
      </c>
      <c r="E298" s="75"/>
      <c r="F298" s="75"/>
    </row>
    <row r="299" spans="2:6" x14ac:dyDescent="0.25">
      <c r="B299" s="47" t="s">
        <v>218</v>
      </c>
      <c r="C299" s="8">
        <v>116104</v>
      </c>
      <c r="D299" s="70">
        <v>0.53511792007153092</v>
      </c>
      <c r="E299" s="75"/>
      <c r="F299" s="75"/>
    </row>
    <row r="300" spans="2:6" x14ac:dyDescent="0.25">
      <c r="B300" s="47"/>
      <c r="C300" s="8"/>
      <c r="D300" s="70"/>
      <c r="E300" s="75"/>
      <c r="F300" s="75"/>
    </row>
    <row r="301" spans="2:6" x14ac:dyDescent="0.25">
      <c r="B301" s="47"/>
      <c r="C301" s="8"/>
      <c r="D301" s="70"/>
      <c r="E301" s="75"/>
      <c r="F301" s="75"/>
    </row>
    <row r="302" spans="2:6" x14ac:dyDescent="0.25">
      <c r="B302" s="47"/>
      <c r="C302" s="8"/>
      <c r="D302" s="70"/>
      <c r="E302" s="75"/>
      <c r="F302" s="75"/>
    </row>
    <row r="303" spans="2:6" x14ac:dyDescent="0.25">
      <c r="B303" s="47"/>
      <c r="C303" s="8"/>
      <c r="D303" s="70"/>
      <c r="E303" s="75"/>
      <c r="F303" s="75"/>
    </row>
    <row r="304" spans="2:6" x14ac:dyDescent="0.25">
      <c r="B304" s="47"/>
      <c r="C304" s="8"/>
      <c r="D304" s="70"/>
      <c r="E304" s="75"/>
      <c r="F304" s="75"/>
    </row>
    <row r="305" spans="2:6" x14ac:dyDescent="0.25">
      <c r="B305" s="47"/>
      <c r="C305" s="8"/>
      <c r="D305" s="70"/>
      <c r="E305" s="75"/>
      <c r="F305" s="75"/>
    </row>
    <row r="306" spans="2:6" x14ac:dyDescent="0.25">
      <c r="E306" s="76"/>
      <c r="F306" s="76"/>
    </row>
    <row r="307" spans="2:6" ht="15.75" thickBot="1" x14ac:dyDescent="0.3">
      <c r="B307" s="409" t="s">
        <v>237</v>
      </c>
      <c r="C307" s="409"/>
      <c r="D307" s="409"/>
    </row>
    <row r="308" spans="2:6" ht="15.75" thickBot="1" x14ac:dyDescent="0.3">
      <c r="B308" s="27" t="s">
        <v>3</v>
      </c>
      <c r="C308" s="27" t="s">
        <v>238</v>
      </c>
      <c r="D308" s="27" t="s">
        <v>239</v>
      </c>
    </row>
    <row r="309" spans="2:6" x14ac:dyDescent="0.25">
      <c r="B309" s="5" t="s">
        <v>217</v>
      </c>
      <c r="C309" s="32">
        <v>57403</v>
      </c>
      <c r="D309" s="209">
        <v>28443</v>
      </c>
    </row>
    <row r="310" spans="2:6" x14ac:dyDescent="0.25">
      <c r="B310" s="1" t="s">
        <v>218</v>
      </c>
      <c r="C310" s="30">
        <v>60899</v>
      </c>
      <c r="D310" s="204">
        <v>30350</v>
      </c>
    </row>
    <row r="311" spans="2:6" x14ac:dyDescent="0.25">
      <c r="B311" s="1" t="s">
        <v>219</v>
      </c>
      <c r="C311" s="30">
        <v>101155</v>
      </c>
      <c r="D311" s="204">
        <v>51596</v>
      </c>
    </row>
    <row r="312" spans="2:6" x14ac:dyDescent="0.25">
      <c r="B312" s="1" t="s">
        <v>220</v>
      </c>
      <c r="C312" s="30">
        <v>102770</v>
      </c>
      <c r="D312" s="204">
        <v>52698</v>
      </c>
    </row>
    <row r="313" spans="2:6" x14ac:dyDescent="0.25">
      <c r="B313" s="1" t="s">
        <v>221</v>
      </c>
      <c r="C313" s="30">
        <v>105692</v>
      </c>
      <c r="D313" s="204">
        <v>51802</v>
      </c>
      <c r="E313" s="75"/>
      <c r="F313" s="75"/>
    </row>
    <row r="314" spans="2:6" x14ac:dyDescent="0.25">
      <c r="B314" s="1" t="s">
        <v>222</v>
      </c>
      <c r="C314" s="30">
        <v>24954</v>
      </c>
      <c r="D314" s="204">
        <v>12845</v>
      </c>
      <c r="E314" s="76"/>
      <c r="F314" s="76"/>
    </row>
    <row r="315" spans="2:6" x14ac:dyDescent="0.25">
      <c r="B315" s="1" t="s">
        <v>223</v>
      </c>
      <c r="C315" s="30">
        <v>61264</v>
      </c>
      <c r="D315" s="204">
        <v>31220</v>
      </c>
    </row>
    <row r="316" spans="2:6" x14ac:dyDescent="0.25">
      <c r="B316" s="1" t="s">
        <v>224</v>
      </c>
      <c r="C316" s="30">
        <v>97251</v>
      </c>
      <c r="D316" s="204">
        <v>48665</v>
      </c>
      <c r="E316" s="75"/>
      <c r="F316" s="75"/>
    </row>
    <row r="317" spans="2:6" x14ac:dyDescent="0.25">
      <c r="B317" s="1" t="s">
        <v>225</v>
      </c>
      <c r="C317" s="30">
        <v>107546</v>
      </c>
      <c r="D317" s="204">
        <v>54564</v>
      </c>
      <c r="E317" s="76"/>
      <c r="F317" s="76"/>
    </row>
    <row r="318" spans="2:6" x14ac:dyDescent="0.25">
      <c r="B318" s="1" t="s">
        <v>226</v>
      </c>
      <c r="C318" s="30">
        <v>140630</v>
      </c>
      <c r="D318" s="204">
        <v>68992</v>
      </c>
      <c r="E318" s="76"/>
      <c r="F318" s="76"/>
    </row>
    <row r="319" spans="2:6" x14ac:dyDescent="0.25">
      <c r="B319" s="1" t="s">
        <v>227</v>
      </c>
      <c r="C319" s="30">
        <v>142304</v>
      </c>
      <c r="D319" s="204">
        <v>67136</v>
      </c>
      <c r="E319" s="76"/>
      <c r="F319" s="76"/>
    </row>
    <row r="320" spans="2:6" x14ac:dyDescent="0.25">
      <c r="B320" s="1" t="s">
        <v>228</v>
      </c>
      <c r="C320" s="30">
        <v>204947</v>
      </c>
      <c r="D320" s="204">
        <v>93625</v>
      </c>
      <c r="E320" s="76"/>
      <c r="F320" s="76"/>
    </row>
    <row r="321" spans="2:6" x14ac:dyDescent="0.25">
      <c r="B321" s="1" t="s">
        <v>217</v>
      </c>
      <c r="C321" s="30">
        <v>136189</v>
      </c>
      <c r="D321" s="204">
        <v>67064</v>
      </c>
      <c r="E321" s="76"/>
      <c r="F321" s="76"/>
    </row>
    <row r="322" spans="2:6" x14ac:dyDescent="0.25">
      <c r="B322" s="1" t="s">
        <v>218</v>
      </c>
      <c r="C322" s="30">
        <v>110400</v>
      </c>
      <c r="D322" s="204">
        <v>57472</v>
      </c>
      <c r="E322" s="76"/>
      <c r="F322" s="76"/>
    </row>
    <row r="323" spans="2:6" x14ac:dyDescent="0.25">
      <c r="B323" s="1" t="s">
        <v>219</v>
      </c>
      <c r="C323" s="30">
        <v>137084</v>
      </c>
      <c r="D323" s="204">
        <v>69247</v>
      </c>
      <c r="E323" s="76"/>
      <c r="F323" s="76"/>
    </row>
    <row r="324" spans="2:6" x14ac:dyDescent="0.25">
      <c r="B324" s="1" t="s">
        <v>220</v>
      </c>
      <c r="C324" s="30">
        <v>160495</v>
      </c>
      <c r="D324" s="204">
        <v>80083</v>
      </c>
      <c r="E324" s="76"/>
      <c r="F324" s="76"/>
    </row>
    <row r="325" spans="2:6" x14ac:dyDescent="0.25">
      <c r="B325" s="1" t="s">
        <v>221</v>
      </c>
      <c r="C325" s="30">
        <v>167177</v>
      </c>
      <c r="D325" s="204">
        <v>77777</v>
      </c>
      <c r="E325" s="76"/>
      <c r="F325" s="76"/>
    </row>
    <row r="326" spans="2:6" x14ac:dyDescent="0.25">
      <c r="B326" s="1" t="s">
        <v>222</v>
      </c>
      <c r="C326" s="30">
        <v>159603</v>
      </c>
      <c r="D326" s="204">
        <v>77482</v>
      </c>
    </row>
    <row r="327" spans="2:6" x14ac:dyDescent="0.25">
      <c r="B327" s="1" t="s">
        <v>223</v>
      </c>
      <c r="C327" s="30">
        <v>167080</v>
      </c>
      <c r="D327" s="204">
        <v>79791</v>
      </c>
    </row>
    <row r="328" spans="2:6" x14ac:dyDescent="0.25">
      <c r="B328" s="1" t="s">
        <v>224</v>
      </c>
      <c r="C328" s="30">
        <v>199592</v>
      </c>
      <c r="D328" s="204">
        <v>99039</v>
      </c>
    </row>
    <row r="329" spans="2:6" x14ac:dyDescent="0.25">
      <c r="B329" s="1" t="s">
        <v>225</v>
      </c>
      <c r="C329" s="30">
        <v>243124</v>
      </c>
      <c r="D329" s="204">
        <v>127185</v>
      </c>
    </row>
    <row r="330" spans="2:6" x14ac:dyDescent="0.25">
      <c r="B330" s="1" t="s">
        <v>226</v>
      </c>
      <c r="C330" s="30">
        <v>216253</v>
      </c>
      <c r="D330" s="204">
        <v>120628</v>
      </c>
    </row>
    <row r="331" spans="2:6" x14ac:dyDescent="0.25">
      <c r="B331" s="1" t="s">
        <v>227</v>
      </c>
      <c r="C331" s="30">
        <v>264405</v>
      </c>
      <c r="D331" s="204">
        <v>146248</v>
      </c>
    </row>
    <row r="332" spans="2:6" x14ac:dyDescent="0.25">
      <c r="B332" s="1" t="s">
        <v>228</v>
      </c>
      <c r="C332" s="30">
        <v>371687</v>
      </c>
      <c r="D332" s="204">
        <v>198761</v>
      </c>
    </row>
    <row r="333" spans="2:6" x14ac:dyDescent="0.25">
      <c r="B333" s="1" t="s">
        <v>217</v>
      </c>
      <c r="C333" s="30">
        <v>248049</v>
      </c>
      <c r="D333" s="204">
        <v>150819</v>
      </c>
    </row>
    <row r="334" spans="2:6" x14ac:dyDescent="0.25">
      <c r="B334" s="1" t="s">
        <v>218</v>
      </c>
      <c r="C334" s="30">
        <v>167076</v>
      </c>
      <c r="D334" s="204">
        <v>105788</v>
      </c>
    </row>
    <row r="335" spans="2:6" x14ac:dyDescent="0.25">
      <c r="B335" s="1" t="s">
        <v>219</v>
      </c>
      <c r="C335" s="30">
        <v>148301</v>
      </c>
      <c r="D335" s="204">
        <v>97201</v>
      </c>
    </row>
    <row r="336" spans="2:6" x14ac:dyDescent="0.25">
      <c r="B336" s="1" t="s">
        <v>220</v>
      </c>
      <c r="C336" s="30">
        <v>200854</v>
      </c>
      <c r="D336" s="204">
        <v>116066</v>
      </c>
    </row>
    <row r="337" spans="2:4" x14ac:dyDescent="0.25">
      <c r="B337" s="1" t="s">
        <v>221</v>
      </c>
      <c r="C337" s="30">
        <v>284510</v>
      </c>
      <c r="D337" s="204">
        <v>154116</v>
      </c>
    </row>
    <row r="338" spans="2:4" x14ac:dyDescent="0.25">
      <c r="B338" s="1" t="s">
        <v>222</v>
      </c>
      <c r="C338" s="30">
        <v>204506</v>
      </c>
      <c r="D338" s="204">
        <v>120381</v>
      </c>
    </row>
    <row r="339" spans="2:4" x14ac:dyDescent="0.25">
      <c r="B339" s="1" t="s">
        <v>223</v>
      </c>
      <c r="C339" s="30">
        <v>163238</v>
      </c>
      <c r="D339" s="204">
        <v>106035</v>
      </c>
    </row>
    <row r="340" spans="2:4" x14ac:dyDescent="0.25">
      <c r="B340" s="1" t="s">
        <v>224</v>
      </c>
      <c r="C340" s="30">
        <v>317525</v>
      </c>
      <c r="D340" s="204">
        <v>168227</v>
      </c>
    </row>
    <row r="341" spans="2:4" x14ac:dyDescent="0.25">
      <c r="B341" s="1" t="s">
        <v>225</v>
      </c>
      <c r="C341" s="30">
        <v>187031</v>
      </c>
      <c r="D341" s="204">
        <v>116718</v>
      </c>
    </row>
    <row r="342" spans="2:4" x14ac:dyDescent="0.25">
      <c r="B342" s="1" t="s">
        <v>226</v>
      </c>
      <c r="C342" s="30">
        <v>246852</v>
      </c>
      <c r="D342" s="204">
        <v>140934</v>
      </c>
    </row>
    <row r="343" spans="2:4" x14ac:dyDescent="0.25">
      <c r="B343" s="1" t="s">
        <v>227</v>
      </c>
      <c r="C343" s="30">
        <v>275066</v>
      </c>
      <c r="D343" s="204">
        <v>145606</v>
      </c>
    </row>
    <row r="344" spans="2:4" x14ac:dyDescent="0.25">
      <c r="B344" s="1" t="s">
        <v>228</v>
      </c>
      <c r="C344" s="30">
        <v>386893</v>
      </c>
      <c r="D344" s="204">
        <v>206174</v>
      </c>
    </row>
    <row r="345" spans="2:4" x14ac:dyDescent="0.25">
      <c r="B345" s="1" t="s">
        <v>217</v>
      </c>
      <c r="C345" s="30">
        <v>332152</v>
      </c>
      <c r="D345" s="204">
        <v>187171</v>
      </c>
    </row>
    <row r="346" spans="2:4" x14ac:dyDescent="0.25">
      <c r="B346" s="1" t="s">
        <v>218</v>
      </c>
      <c r="C346" s="30">
        <v>227478</v>
      </c>
      <c r="D346" s="204">
        <v>132325</v>
      </c>
    </row>
    <row r="347" spans="2:4" x14ac:dyDescent="0.25">
      <c r="B347" s="1" t="s">
        <v>219</v>
      </c>
      <c r="C347" s="30">
        <v>231254</v>
      </c>
      <c r="D347" s="204">
        <v>136391</v>
      </c>
    </row>
    <row r="348" spans="2:4" x14ac:dyDescent="0.25">
      <c r="B348" s="1" t="s">
        <v>220</v>
      </c>
      <c r="C348" s="30">
        <v>319419</v>
      </c>
      <c r="D348" s="204">
        <v>171983</v>
      </c>
    </row>
    <row r="349" spans="2:4" x14ac:dyDescent="0.25">
      <c r="B349" s="1" t="s">
        <v>221</v>
      </c>
      <c r="C349" s="30">
        <v>385851</v>
      </c>
      <c r="D349" s="204">
        <v>192682</v>
      </c>
    </row>
    <row r="350" spans="2:4" x14ac:dyDescent="0.25">
      <c r="B350" s="1" t="s">
        <v>222</v>
      </c>
      <c r="C350" s="30">
        <v>242570</v>
      </c>
      <c r="D350" s="204">
        <v>145563</v>
      </c>
    </row>
    <row r="351" spans="2:4" x14ac:dyDescent="0.25">
      <c r="B351" s="1" t="s">
        <v>223</v>
      </c>
      <c r="C351" s="30">
        <v>260825</v>
      </c>
      <c r="D351" s="204">
        <v>148214</v>
      </c>
    </row>
    <row r="352" spans="2:4" x14ac:dyDescent="0.25">
      <c r="B352" s="1" t="s">
        <v>224</v>
      </c>
      <c r="C352" s="30">
        <v>241066</v>
      </c>
      <c r="D352" s="204">
        <v>140932</v>
      </c>
    </row>
    <row r="353" spans="2:9" x14ac:dyDescent="0.25">
      <c r="B353" s="1" t="s">
        <v>225</v>
      </c>
      <c r="C353" s="30">
        <v>328805</v>
      </c>
      <c r="D353" s="204">
        <v>181641</v>
      </c>
    </row>
    <row r="354" spans="2:9" x14ac:dyDescent="0.25">
      <c r="B354" s="1" t="s">
        <v>226</v>
      </c>
      <c r="C354" s="30">
        <v>431653</v>
      </c>
      <c r="D354" s="204">
        <v>232636</v>
      </c>
    </row>
    <row r="355" spans="2:9" ht="15.75" thickBot="1" x14ac:dyDescent="0.3">
      <c r="B355" s="9" t="s">
        <v>227</v>
      </c>
      <c r="C355" s="31">
        <v>401742</v>
      </c>
      <c r="D355" s="205">
        <v>218947</v>
      </c>
    </row>
    <row r="356" spans="2:9" x14ac:dyDescent="0.25">
      <c r="B356" s="47" t="s">
        <v>228</v>
      </c>
      <c r="C356" s="8">
        <v>538119</v>
      </c>
      <c r="D356" s="8">
        <v>299715</v>
      </c>
    </row>
    <row r="357" spans="2:9" x14ac:dyDescent="0.25">
      <c r="B357" s="47" t="s">
        <v>217</v>
      </c>
      <c r="C357" s="8">
        <v>384538</v>
      </c>
      <c r="D357" s="8">
        <v>231127</v>
      </c>
    </row>
    <row r="358" spans="2:9" x14ac:dyDescent="0.25">
      <c r="B358" s="47" t="s">
        <v>218</v>
      </c>
      <c r="C358" s="8">
        <v>295641</v>
      </c>
      <c r="D358" s="8">
        <v>186092</v>
      </c>
    </row>
    <row r="359" spans="2:9" x14ac:dyDescent="0.25">
      <c r="B359" s="47"/>
      <c r="C359" s="8"/>
      <c r="D359" s="8"/>
    </row>
    <row r="360" spans="2:9" x14ac:dyDescent="0.25">
      <c r="B360" s="47"/>
      <c r="C360" s="8"/>
      <c r="D360" s="8"/>
    </row>
    <row r="361" spans="2:9" x14ac:dyDescent="0.25">
      <c r="B361" s="47"/>
      <c r="C361" s="8"/>
      <c r="D361" s="8"/>
    </row>
    <row r="362" spans="2:9" x14ac:dyDescent="0.25">
      <c r="B362" s="47"/>
      <c r="C362" s="8"/>
      <c r="D362" s="8"/>
    </row>
    <row r="363" spans="2:9" x14ac:dyDescent="0.25">
      <c r="B363" s="47"/>
      <c r="C363" s="8"/>
      <c r="D363" s="8"/>
    </row>
    <row r="364" spans="2:9" x14ac:dyDescent="0.25">
      <c r="B364" s="47"/>
      <c r="C364" s="8"/>
      <c r="D364" s="8"/>
    </row>
    <row r="365" spans="2:9" x14ac:dyDescent="0.25">
      <c r="C365" s="75"/>
      <c r="D365" s="75"/>
    </row>
    <row r="366" spans="2:9" ht="15.75" thickBot="1" x14ac:dyDescent="0.3">
      <c r="B366" s="409" t="s">
        <v>240</v>
      </c>
      <c r="C366" s="409"/>
      <c r="D366" s="409"/>
      <c r="E366" s="409"/>
      <c r="F366" s="107"/>
    </row>
    <row r="367" spans="2:9" ht="15.75" thickBot="1" x14ac:dyDescent="0.3">
      <c r="B367" s="27" t="s">
        <v>3</v>
      </c>
      <c r="C367" s="27" t="s">
        <v>72</v>
      </c>
      <c r="D367" s="27" t="s">
        <v>74</v>
      </c>
      <c r="E367" s="108" t="s">
        <v>75</v>
      </c>
      <c r="F367" s="109"/>
      <c r="H367" s="76">
        <f>(C355-C353)/C353</f>
        <v>0.22182448563738386</v>
      </c>
      <c r="I367" s="76">
        <f>(D355-D353)/D353</f>
        <v>0.20538314587565581</v>
      </c>
    </row>
    <row r="368" spans="2:9" x14ac:dyDescent="0.25">
      <c r="B368" s="5" t="s">
        <v>217</v>
      </c>
      <c r="C368" s="187">
        <v>4.2672465060957476</v>
      </c>
      <c r="D368" s="187">
        <v>2.1144067796610169</v>
      </c>
      <c r="E368" s="214">
        <v>2.0181767042857643</v>
      </c>
      <c r="F368" s="101"/>
    </row>
    <row r="369" spans="2:6" x14ac:dyDescent="0.25">
      <c r="B369" s="1" t="s">
        <v>218</v>
      </c>
      <c r="C369" s="80">
        <v>3.3825261053099309</v>
      </c>
      <c r="D369" s="80">
        <v>1.6857365029993334</v>
      </c>
      <c r="E369" s="213">
        <v>2.0065568369028006</v>
      </c>
      <c r="F369" s="101"/>
    </row>
    <row r="370" spans="2:6" x14ac:dyDescent="0.25">
      <c r="B370" s="1" t="s">
        <v>219</v>
      </c>
      <c r="C370" s="80">
        <v>4.053983648605322</v>
      </c>
      <c r="D370" s="80">
        <v>2.0678101955755048</v>
      </c>
      <c r="E370" s="213">
        <v>1.9605201953639817</v>
      </c>
      <c r="F370" s="101"/>
    </row>
    <row r="371" spans="2:6" x14ac:dyDescent="0.25">
      <c r="B371" s="1" t="s">
        <v>220</v>
      </c>
      <c r="C371" s="33">
        <v>3.7034234234234233</v>
      </c>
      <c r="D371" s="33">
        <v>1.8990270270270271</v>
      </c>
      <c r="E371" s="212">
        <v>1.9501688868647766</v>
      </c>
      <c r="F371" s="71"/>
    </row>
    <row r="372" spans="2:6" x14ac:dyDescent="0.25">
      <c r="B372" s="1" t="s">
        <v>221</v>
      </c>
      <c r="C372" s="33">
        <v>3.7327211725233975</v>
      </c>
      <c r="D372" s="33">
        <v>1.8294896697863323</v>
      </c>
      <c r="E372" s="212">
        <v>2.0403073240415428</v>
      </c>
      <c r="F372" s="71"/>
    </row>
    <row r="373" spans="2:6" x14ac:dyDescent="0.25">
      <c r="B373" s="1" t="s">
        <v>222</v>
      </c>
      <c r="C373" s="33">
        <v>2.8709157846295446</v>
      </c>
      <c r="D373" s="33">
        <v>1.4777956741831568</v>
      </c>
      <c r="E373" s="212">
        <v>1.9427014402491243</v>
      </c>
      <c r="F373" s="71"/>
    </row>
    <row r="374" spans="2:6" x14ac:dyDescent="0.25">
      <c r="B374" s="1" t="s">
        <v>223</v>
      </c>
      <c r="C374" s="33">
        <v>3.248700816629547</v>
      </c>
      <c r="D374" s="33">
        <v>1.6555308092056422</v>
      </c>
      <c r="E374" s="212">
        <v>1.9623318385650224</v>
      </c>
      <c r="F374" s="71"/>
    </row>
    <row r="375" spans="2:6" x14ac:dyDescent="0.25">
      <c r="B375" s="1" t="s">
        <v>224</v>
      </c>
      <c r="C375" s="33">
        <v>3.357534955981357</v>
      </c>
      <c r="D375" s="33">
        <v>1.6801311928189193</v>
      </c>
      <c r="E375" s="212">
        <v>1.9983766567348198</v>
      </c>
      <c r="F375" s="71"/>
    </row>
    <row r="376" spans="2:6" x14ac:dyDescent="0.25">
      <c r="B376" s="1" t="s">
        <v>225</v>
      </c>
      <c r="C376" s="33">
        <v>3.6314705385784229</v>
      </c>
      <c r="D376" s="33">
        <v>1.8424447070741179</v>
      </c>
      <c r="E376" s="212">
        <v>2.0383522727272729</v>
      </c>
      <c r="F376" s="71"/>
    </row>
    <row r="377" spans="2:6" x14ac:dyDescent="0.25">
      <c r="B377" s="1" t="s">
        <v>226</v>
      </c>
      <c r="C377" s="33">
        <v>3.5</v>
      </c>
      <c r="D377" s="33">
        <v>1.7</v>
      </c>
      <c r="E377" s="212">
        <v>2</v>
      </c>
      <c r="F377" s="71"/>
    </row>
    <row r="378" spans="2:6" x14ac:dyDescent="0.25">
      <c r="B378" s="1" t="s">
        <v>227</v>
      </c>
      <c r="C378" s="33">
        <v>3.5</v>
      </c>
      <c r="D378" s="33">
        <v>1.7</v>
      </c>
      <c r="E378" s="212">
        <v>2.1</v>
      </c>
      <c r="F378" s="71"/>
    </row>
    <row r="379" spans="2:6" x14ac:dyDescent="0.25">
      <c r="B379" s="1" t="s">
        <v>228</v>
      </c>
      <c r="C379" s="33">
        <v>3.8378150631062509</v>
      </c>
      <c r="D379" s="33">
        <v>1.7532114902063594</v>
      </c>
      <c r="E379" s="212">
        <v>2.1890200267022695</v>
      </c>
      <c r="F379" s="71"/>
    </row>
    <row r="380" spans="2:6" x14ac:dyDescent="0.25">
      <c r="B380" s="1" t="s">
        <v>217</v>
      </c>
      <c r="C380" s="33">
        <v>3.3281769305962854</v>
      </c>
      <c r="D380" s="33">
        <v>1.6389051808406647</v>
      </c>
      <c r="E380" s="212">
        <v>2.0307318382440656</v>
      </c>
      <c r="F380" s="71"/>
    </row>
    <row r="381" spans="2:6" x14ac:dyDescent="0.25">
      <c r="B381" s="1" t="s">
        <v>218</v>
      </c>
      <c r="C381" s="33">
        <v>3.2529907478342861</v>
      </c>
      <c r="D381" s="33">
        <v>1.6934409806117037</v>
      </c>
      <c r="E381" s="212">
        <v>1.9209354120267261</v>
      </c>
      <c r="F381" s="71"/>
    </row>
    <row r="382" spans="2:6" x14ac:dyDescent="0.25">
      <c r="B382" s="1" t="s">
        <v>219</v>
      </c>
      <c r="C382" s="33">
        <v>3.2503615886188499</v>
      </c>
      <c r="D382" s="33">
        <v>1.6418968583283935</v>
      </c>
      <c r="E382" s="212">
        <v>1.9796381070660101</v>
      </c>
      <c r="F382" s="71"/>
    </row>
    <row r="383" spans="2:6" x14ac:dyDescent="0.25">
      <c r="B383" s="1" t="s">
        <v>220</v>
      </c>
      <c r="C383" s="33">
        <v>3.2368957102232621</v>
      </c>
      <c r="D383" s="33">
        <v>1.6151301857491478</v>
      </c>
      <c r="E383" s="212">
        <v>2.0041082377033828</v>
      </c>
      <c r="F383" s="71"/>
    </row>
    <row r="384" spans="2:6" x14ac:dyDescent="0.25">
      <c r="B384" s="1" t="s">
        <v>221</v>
      </c>
      <c r="C384" s="33">
        <v>3.3</v>
      </c>
      <c r="D384" s="33">
        <v>1.5</v>
      </c>
      <c r="E384" s="212">
        <v>2.1</v>
      </c>
      <c r="F384" s="71"/>
    </row>
    <row r="385" spans="2:6" x14ac:dyDescent="0.25">
      <c r="B385" s="1" t="s">
        <v>222</v>
      </c>
      <c r="C385" s="33">
        <v>3.3</v>
      </c>
      <c r="D385" s="33">
        <v>1.6</v>
      </c>
      <c r="E385" s="212">
        <v>2.1</v>
      </c>
      <c r="F385" s="71"/>
    </row>
    <row r="386" spans="2:6" x14ac:dyDescent="0.25">
      <c r="B386" s="211" t="s">
        <v>223</v>
      </c>
      <c r="C386" s="188">
        <v>3.1735298586840908</v>
      </c>
      <c r="D386" s="188">
        <v>1.5155561464822975</v>
      </c>
      <c r="E386" s="213">
        <v>2.0939704979258313</v>
      </c>
    </row>
    <row r="387" spans="2:6" x14ac:dyDescent="0.25">
      <c r="B387" s="211" t="s">
        <v>224</v>
      </c>
      <c r="C387" s="210">
        <v>3.5</v>
      </c>
      <c r="D387" s="210">
        <v>1.7</v>
      </c>
      <c r="E387" s="213">
        <v>2</v>
      </c>
    </row>
    <row r="388" spans="2:6" x14ac:dyDescent="0.25">
      <c r="B388" s="1" t="s">
        <v>225</v>
      </c>
      <c r="C388" s="217">
        <v>3.1518058544426872</v>
      </c>
      <c r="D388" s="218">
        <v>1.6487982576680753</v>
      </c>
      <c r="E388" s="213">
        <v>1.9115776231473838</v>
      </c>
    </row>
    <row r="389" spans="2:6" x14ac:dyDescent="0.25">
      <c r="B389" s="211" t="s">
        <v>226</v>
      </c>
      <c r="C389" s="188">
        <v>2.8482449785972999</v>
      </c>
      <c r="D389" s="188">
        <v>1.5887783997365821</v>
      </c>
      <c r="E389" s="213">
        <v>1.792726398514441</v>
      </c>
      <c r="F389" s="102"/>
    </row>
    <row r="390" spans="2:6" x14ac:dyDescent="0.25">
      <c r="B390" s="211" t="s">
        <v>227</v>
      </c>
      <c r="C390" s="188">
        <v>3.1747775656496522</v>
      </c>
      <c r="D390" s="188">
        <v>1.7560366461342651</v>
      </c>
      <c r="E390" s="213">
        <v>1.8079221596192769</v>
      </c>
      <c r="F390" s="102"/>
    </row>
    <row r="391" spans="2:6" x14ac:dyDescent="0.25">
      <c r="B391" s="211" t="s">
        <v>228</v>
      </c>
      <c r="C391" s="188">
        <v>3.5714066088226533</v>
      </c>
      <c r="D391" s="188">
        <v>1.9098229127631565</v>
      </c>
      <c r="E391" s="213">
        <v>1.8700197724905792</v>
      </c>
      <c r="F391" s="102"/>
    </row>
    <row r="392" spans="2:6" x14ac:dyDescent="0.25">
      <c r="B392" s="211" t="s">
        <v>217</v>
      </c>
      <c r="C392" s="188">
        <v>2.7223429474516001</v>
      </c>
      <c r="D392" s="188">
        <v>1.655241669959173</v>
      </c>
      <c r="E392" s="213">
        <v>1.6446800469436875</v>
      </c>
      <c r="F392" s="102"/>
    </row>
    <row r="393" spans="2:6" x14ac:dyDescent="0.25">
      <c r="B393" s="211" t="s">
        <v>218</v>
      </c>
      <c r="C393" s="188">
        <v>2.5014747495920111</v>
      </c>
      <c r="D393" s="188">
        <v>1.58386608974263</v>
      </c>
      <c r="E393" s="213">
        <v>1.5793473739932695</v>
      </c>
      <c r="F393" s="102"/>
    </row>
    <row r="394" spans="2:6" x14ac:dyDescent="0.25">
      <c r="B394" s="211" t="s">
        <v>219</v>
      </c>
      <c r="C394" s="188">
        <v>2.2832047788400844</v>
      </c>
      <c r="D394" s="188">
        <v>1.4964820716518097</v>
      </c>
      <c r="E394" s="213">
        <v>1.5257147560210287</v>
      </c>
      <c r="F394" s="102"/>
    </row>
    <row r="395" spans="2:6" x14ac:dyDescent="0.25">
      <c r="B395" s="211" t="s">
        <v>220</v>
      </c>
      <c r="C395" s="188">
        <v>2.7</v>
      </c>
      <c r="D395" s="188">
        <v>1.5</v>
      </c>
      <c r="E395" s="213">
        <v>1.7</v>
      </c>
      <c r="F395" s="102"/>
    </row>
    <row r="396" spans="2:6" x14ac:dyDescent="0.25">
      <c r="B396" s="211" t="s">
        <v>221</v>
      </c>
      <c r="C396" s="188">
        <v>3.1292000747902025</v>
      </c>
      <c r="D396" s="188">
        <v>1.6950539479328208</v>
      </c>
      <c r="E396" s="213">
        <v>1.8460769809753692</v>
      </c>
      <c r="F396" s="102"/>
    </row>
    <row r="397" spans="2:6" x14ac:dyDescent="0.25">
      <c r="B397" s="211" t="s">
        <v>222</v>
      </c>
      <c r="C397" s="188">
        <v>2.6238228426265686</v>
      </c>
      <c r="D397" s="188">
        <v>1.5444946242077442</v>
      </c>
      <c r="E397" s="213">
        <v>1.698822903946636</v>
      </c>
      <c r="F397" s="102"/>
    </row>
    <row r="398" spans="2:6" x14ac:dyDescent="0.25">
      <c r="B398" s="211" t="s">
        <v>223</v>
      </c>
      <c r="C398" s="188">
        <v>2.3336716750775564</v>
      </c>
      <c r="D398" s="188">
        <v>1.515890148536791</v>
      </c>
      <c r="E398" s="213">
        <v>1.5394728155797615</v>
      </c>
      <c r="F398" s="102"/>
    </row>
    <row r="399" spans="2:6" x14ac:dyDescent="0.25">
      <c r="B399" s="211" t="s">
        <v>224</v>
      </c>
      <c r="C399" s="188">
        <v>3.0244220713040662</v>
      </c>
      <c r="D399" s="188">
        <v>1.6023602922266567</v>
      </c>
      <c r="E399" s="213">
        <v>1.8874794176915715</v>
      </c>
      <c r="F399" s="102"/>
    </row>
    <row r="400" spans="2:6" x14ac:dyDescent="0.25">
      <c r="B400" s="211" t="s">
        <v>225</v>
      </c>
      <c r="C400" s="188">
        <v>2.5217889599007632</v>
      </c>
      <c r="D400" s="188">
        <v>1.5737399886740555</v>
      </c>
      <c r="E400" s="213">
        <v>1.6024177933137991</v>
      </c>
      <c r="F400" s="102"/>
    </row>
    <row r="401" spans="2:6" x14ac:dyDescent="0.25">
      <c r="B401" s="211" t="s">
        <v>226</v>
      </c>
      <c r="C401" s="188">
        <v>2.8507483370288247</v>
      </c>
      <c r="D401" s="188">
        <v>1.6275637472283815</v>
      </c>
      <c r="E401" s="213">
        <v>1.7515432755758014</v>
      </c>
      <c r="F401" s="102"/>
    </row>
    <row r="402" spans="2:6" x14ac:dyDescent="0.25">
      <c r="B402" s="211" t="s">
        <v>227</v>
      </c>
      <c r="C402" s="188">
        <v>2.8999799685823029</v>
      </c>
      <c r="D402" s="188">
        <v>1.5351024238015414</v>
      </c>
      <c r="E402" s="213">
        <v>1.8891117124294328</v>
      </c>
      <c r="F402" s="102"/>
    </row>
    <row r="403" spans="2:6" x14ac:dyDescent="0.25">
      <c r="B403" s="211" t="s">
        <v>228</v>
      </c>
      <c r="C403" s="188">
        <v>3.1902912461244144</v>
      </c>
      <c r="D403" s="188">
        <v>1.7000956527475428</v>
      </c>
      <c r="E403" s="213">
        <v>1.8765363236877588</v>
      </c>
      <c r="F403" s="102"/>
    </row>
    <row r="404" spans="2:6" x14ac:dyDescent="0.25">
      <c r="B404" s="211" t="s">
        <v>217</v>
      </c>
      <c r="C404" s="188">
        <v>2.8454724578086181</v>
      </c>
      <c r="D404" s="188">
        <v>1.6034524115480169</v>
      </c>
      <c r="E404" s="213">
        <v>1.7745911492699189</v>
      </c>
      <c r="F404" s="102"/>
    </row>
    <row r="405" spans="2:6" x14ac:dyDescent="0.25">
      <c r="B405" s="211" t="s">
        <v>218</v>
      </c>
      <c r="C405" s="188">
        <v>2.6363868156320986</v>
      </c>
      <c r="D405" s="188">
        <v>1.5335983496360854</v>
      </c>
      <c r="E405" s="213">
        <v>1.719085584734555</v>
      </c>
      <c r="F405" s="102"/>
    </row>
    <row r="406" spans="2:6" x14ac:dyDescent="0.25">
      <c r="B406" s="211" t="s">
        <v>219</v>
      </c>
      <c r="C406" s="188">
        <v>2.6679664966888947</v>
      </c>
      <c r="D406" s="188">
        <v>1.5735365375297077</v>
      </c>
      <c r="E406" s="213">
        <v>1.6955224318320123</v>
      </c>
      <c r="F406" s="102"/>
    </row>
    <row r="407" spans="2:6" x14ac:dyDescent="0.25">
      <c r="B407" s="211" t="s">
        <v>220</v>
      </c>
      <c r="C407" s="188">
        <v>2.9881845566636107</v>
      </c>
      <c r="D407" s="188">
        <v>1.6089116320841208</v>
      </c>
      <c r="E407" s="213">
        <v>1.8572707767628196</v>
      </c>
      <c r="F407" s="102"/>
    </row>
    <row r="408" spans="2:6" x14ac:dyDescent="0.25">
      <c r="B408" s="211" t="s">
        <v>221</v>
      </c>
      <c r="C408" s="188">
        <v>3.16242797780528</v>
      </c>
      <c r="D408" s="188">
        <v>1.5792182672054158</v>
      </c>
      <c r="E408" s="213">
        <v>2.0025274805119317</v>
      </c>
      <c r="F408" s="102"/>
    </row>
    <row r="409" spans="2:6" x14ac:dyDescent="0.25">
      <c r="B409" s="211" t="s">
        <v>222</v>
      </c>
      <c r="C409" s="188">
        <v>2.5703870892541141</v>
      </c>
      <c r="D409" s="188">
        <v>1.5424547795403249</v>
      </c>
      <c r="E409" s="213">
        <v>1.6664262209490048</v>
      </c>
      <c r="F409" s="102"/>
    </row>
    <row r="410" spans="2:6" x14ac:dyDescent="0.25">
      <c r="B410" s="211" t="s">
        <v>223</v>
      </c>
      <c r="C410" s="188">
        <v>2.5977809428005139</v>
      </c>
      <c r="D410" s="188">
        <v>1.4761909504696076</v>
      </c>
      <c r="E410" s="213">
        <v>1.7597865248896865</v>
      </c>
      <c r="F410" s="102"/>
    </row>
    <row r="411" spans="2:6" x14ac:dyDescent="0.25">
      <c r="B411" s="211" t="s">
        <v>224</v>
      </c>
      <c r="C411" s="188">
        <v>2.6048516937705979</v>
      </c>
      <c r="D411" s="188">
        <v>1.5228483440488412</v>
      </c>
      <c r="E411" s="213">
        <v>1.7105128714557376</v>
      </c>
      <c r="F411" s="102"/>
    </row>
    <row r="412" spans="2:6" x14ac:dyDescent="0.25">
      <c r="B412" s="211" t="s">
        <v>225</v>
      </c>
      <c r="C412" s="188">
        <v>2.8969858765275465</v>
      </c>
      <c r="D412" s="188">
        <v>1.6003753337033806</v>
      </c>
      <c r="E412" s="213">
        <v>1.8101915316475905</v>
      </c>
      <c r="F412" s="102"/>
    </row>
    <row r="413" spans="2:6" x14ac:dyDescent="0.25">
      <c r="B413" s="211" t="s">
        <v>226</v>
      </c>
      <c r="C413" s="188">
        <v>3.1406421664568795</v>
      </c>
      <c r="D413" s="188">
        <v>1.6926244715914465</v>
      </c>
      <c r="E413" s="213">
        <v>1.8554866830585119</v>
      </c>
      <c r="F413" s="102"/>
    </row>
    <row r="414" spans="2:6" ht="15.75" thickBot="1" x14ac:dyDescent="0.3">
      <c r="B414" s="216" t="s">
        <v>227</v>
      </c>
      <c r="C414" s="219">
        <v>3.0527275628604644</v>
      </c>
      <c r="D414" s="219">
        <v>1.6637183608027295</v>
      </c>
      <c r="E414" s="215">
        <v>1.8348824144656013</v>
      </c>
      <c r="F414" s="102"/>
    </row>
    <row r="415" spans="2:6" x14ac:dyDescent="0.25">
      <c r="B415" s="109" t="s">
        <v>228</v>
      </c>
      <c r="C415" s="101">
        <v>3.3188950153572883</v>
      </c>
      <c r="D415" s="101">
        <v>1.8485179291714466</v>
      </c>
      <c r="E415" s="101">
        <v>1.7954356638806868</v>
      </c>
    </row>
    <row r="416" spans="2:6" x14ac:dyDescent="0.25">
      <c r="B416" s="109" t="s">
        <v>217</v>
      </c>
      <c r="C416" s="101">
        <v>2.7517120469426457</v>
      </c>
      <c r="D416" s="101">
        <v>1.6539196393430893</v>
      </c>
      <c r="E416" s="101">
        <v>1.6637519632063758</v>
      </c>
    </row>
    <row r="417" spans="2:9" x14ac:dyDescent="0.25">
      <c r="B417" s="109" t="s">
        <v>218</v>
      </c>
      <c r="C417" s="101">
        <v>2.5463463791083858</v>
      </c>
      <c r="D417" s="101">
        <v>1.6028043822779576</v>
      </c>
      <c r="E417" s="101">
        <v>1.5886819422651162</v>
      </c>
    </row>
    <row r="421" spans="2:9" ht="15.75" thickBot="1" x14ac:dyDescent="0.3"/>
    <row r="422" spans="2:9" ht="15.75" thickBot="1" x14ac:dyDescent="0.3">
      <c r="B422" s="405" t="s">
        <v>47</v>
      </c>
      <c r="C422" s="406"/>
      <c r="D422" s="406"/>
      <c r="E422" s="407"/>
      <c r="G422" s="408" t="s">
        <v>75</v>
      </c>
      <c r="H422" s="408"/>
      <c r="I422" s="408"/>
    </row>
    <row r="423" spans="2:9" ht="15.75" thickBot="1" x14ac:dyDescent="0.3">
      <c r="B423" s="27" t="s">
        <v>3</v>
      </c>
      <c r="C423" s="27" t="s">
        <v>72</v>
      </c>
      <c r="D423" s="27" t="s">
        <v>74</v>
      </c>
      <c r="E423" s="108" t="s">
        <v>75</v>
      </c>
      <c r="G423" s="350" t="s">
        <v>241</v>
      </c>
      <c r="H423" s="350" t="s">
        <v>66</v>
      </c>
      <c r="I423" s="350" t="s">
        <v>242</v>
      </c>
    </row>
    <row r="424" spans="2:9" x14ac:dyDescent="0.25">
      <c r="B424" s="211" t="s">
        <v>221</v>
      </c>
      <c r="C424" s="188">
        <v>3.16242797780528</v>
      </c>
      <c r="D424" s="188">
        <v>1.5792182672054158</v>
      </c>
      <c r="E424" s="213">
        <v>2.0025274805119317</v>
      </c>
      <c r="G424" s="350" t="s">
        <v>221</v>
      </c>
      <c r="H424" s="351">
        <v>2.0025274805119317</v>
      </c>
      <c r="I424" s="351">
        <v>1.631732175927755</v>
      </c>
    </row>
    <row r="425" spans="2:9" x14ac:dyDescent="0.25">
      <c r="B425" s="211" t="s">
        <v>222</v>
      </c>
      <c r="C425" s="188">
        <v>2.5703870892541141</v>
      </c>
      <c r="D425" s="188">
        <v>1.5424547795403249</v>
      </c>
      <c r="E425" s="213">
        <v>1.6664262209490048</v>
      </c>
      <c r="G425" s="350" t="s">
        <v>222</v>
      </c>
      <c r="H425" s="351">
        <v>1.6664262209490048</v>
      </c>
      <c r="I425" s="351">
        <v>1.5078407160653511</v>
      </c>
    </row>
    <row r="426" spans="2:9" x14ac:dyDescent="0.25">
      <c r="B426" s="211" t="s">
        <v>223</v>
      </c>
      <c r="C426" s="188">
        <v>2.5977809428005139</v>
      </c>
      <c r="D426" s="188">
        <v>1.4761909504696076</v>
      </c>
      <c r="E426" s="213">
        <v>1.7597865248896865</v>
      </c>
      <c r="G426" s="350" t="s">
        <v>223</v>
      </c>
      <c r="H426" s="351">
        <v>1.7597865248896865</v>
      </c>
      <c r="I426" s="351">
        <v>1.5038598076611207</v>
      </c>
    </row>
    <row r="427" spans="2:9" x14ac:dyDescent="0.25">
      <c r="B427" s="211" t="s">
        <v>224</v>
      </c>
      <c r="C427" s="188">
        <v>2.6048516937705979</v>
      </c>
      <c r="D427" s="188">
        <v>1.5228483440488412</v>
      </c>
      <c r="E427" s="213">
        <v>1.7105128714557376</v>
      </c>
      <c r="G427" s="350" t="s">
        <v>224</v>
      </c>
      <c r="H427" s="351">
        <v>1.7105128714557376</v>
      </c>
      <c r="I427" s="351">
        <v>1.4913002950828713</v>
      </c>
    </row>
    <row r="428" spans="2:9" x14ac:dyDescent="0.25">
      <c r="B428" s="211" t="s">
        <v>225</v>
      </c>
      <c r="C428" s="188">
        <v>2.8969858765275465</v>
      </c>
      <c r="D428" s="188">
        <v>1.6003753337033806</v>
      </c>
      <c r="E428" s="213">
        <v>1.8101915316475905</v>
      </c>
      <c r="G428" s="350" t="s">
        <v>225</v>
      </c>
      <c r="H428" s="351">
        <v>1.8101915316475905</v>
      </c>
      <c r="I428" s="351">
        <v>1.3459874934472773</v>
      </c>
    </row>
    <row r="429" spans="2:9" ht="15.75" thickBot="1" x14ac:dyDescent="0.3">
      <c r="B429" s="216" t="s">
        <v>226</v>
      </c>
      <c r="C429" s="219">
        <v>3.1406421664568795</v>
      </c>
      <c r="D429" s="219">
        <v>1.6926244715914465</v>
      </c>
      <c r="E429" s="215">
        <v>1.8554866830585119</v>
      </c>
      <c r="G429" s="350" t="s">
        <v>226</v>
      </c>
      <c r="H429" s="351">
        <v>1.8554866830585119</v>
      </c>
      <c r="I429" s="351">
        <v>1.4427183116390749</v>
      </c>
    </row>
    <row r="430" spans="2:9" ht="15.75" thickBot="1" x14ac:dyDescent="0.3"/>
    <row r="431" spans="2:9" ht="15.75" thickBot="1" x14ac:dyDescent="0.3">
      <c r="B431" s="405" t="s">
        <v>242</v>
      </c>
      <c r="C431" s="406"/>
      <c r="D431" s="406"/>
      <c r="E431" s="407"/>
      <c r="H431" s="242">
        <f>H429/H428-1</f>
        <v>2.502229770663833E-2</v>
      </c>
      <c r="I431" s="242"/>
    </row>
    <row r="432" spans="2:9" ht="15.75" thickBot="1" x14ac:dyDescent="0.3">
      <c r="B432" s="27" t="s">
        <v>3</v>
      </c>
      <c r="C432" s="27" t="s">
        <v>72</v>
      </c>
      <c r="D432" s="27" t="s">
        <v>74</v>
      </c>
      <c r="E432" s="108" t="s">
        <v>75</v>
      </c>
    </row>
    <row r="433" spans="2:5" x14ac:dyDescent="0.25">
      <c r="B433" s="211" t="s">
        <v>221</v>
      </c>
      <c r="C433" s="188">
        <v>2.5002663552359294</v>
      </c>
      <c r="D433" s="188">
        <v>1.5322774117721565</v>
      </c>
      <c r="E433" s="213">
        <v>1.631732175927755</v>
      </c>
    </row>
    <row r="434" spans="2:5" x14ac:dyDescent="0.25">
      <c r="B434" s="211" t="s">
        <v>222</v>
      </c>
      <c r="C434" s="188">
        <v>2.2259050931189153</v>
      </c>
      <c r="D434" s="188">
        <v>1.476220312532297</v>
      </c>
      <c r="E434" s="213">
        <v>1.5078407160653511</v>
      </c>
    </row>
    <row r="435" spans="2:5" x14ac:dyDescent="0.25">
      <c r="B435" s="211" t="s">
        <v>223</v>
      </c>
      <c r="C435" s="188">
        <v>2.2972868089396257</v>
      </c>
      <c r="D435" s="188">
        <v>1.5275937273119118</v>
      </c>
      <c r="E435" s="213">
        <v>1.5038598076611207</v>
      </c>
    </row>
    <row r="436" spans="2:5" x14ac:dyDescent="0.25">
      <c r="B436" s="211" t="s">
        <v>224</v>
      </c>
      <c r="C436" s="188">
        <v>2.1665496772373829</v>
      </c>
      <c r="D436" s="188">
        <v>1.4527923613915652</v>
      </c>
      <c r="E436" s="213">
        <v>1.4913002950828713</v>
      </c>
    </row>
    <row r="437" spans="2:5" x14ac:dyDescent="0.25">
      <c r="B437" s="211" t="s">
        <v>225</v>
      </c>
      <c r="C437" s="188">
        <v>2.0623759974553018</v>
      </c>
      <c r="D437" s="188">
        <v>1.532240089522114</v>
      </c>
      <c r="E437" s="213">
        <v>1.3459874934472773</v>
      </c>
    </row>
    <row r="438" spans="2:5" ht="15.75" thickBot="1" x14ac:dyDescent="0.3">
      <c r="B438" s="216" t="s">
        <v>226</v>
      </c>
      <c r="C438" s="219">
        <v>2.3207422322464053</v>
      </c>
      <c r="D438" s="219">
        <v>1.6085899884432779</v>
      </c>
      <c r="E438" s="215">
        <v>1.4427183116390749</v>
      </c>
    </row>
  </sheetData>
  <mergeCells count="11">
    <mergeCell ref="B248:D248"/>
    <mergeCell ref="B2:U2"/>
    <mergeCell ref="B4:D4"/>
    <mergeCell ref="B68:E68"/>
    <mergeCell ref="B128:D128"/>
    <mergeCell ref="B188:I188"/>
    <mergeCell ref="B422:E422"/>
    <mergeCell ref="B431:E431"/>
    <mergeCell ref="G422:I422"/>
    <mergeCell ref="B366:E366"/>
    <mergeCell ref="B307:D307"/>
  </mergeCells>
  <pageMargins left="0.7" right="0.7" top="0.75" bottom="0.75" header="0.3" footer="0.3"/>
  <pageSetup orientation="portrait" horizontalDpi="240" verticalDpi="24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1757-7EB2-4DC9-B939-9BE0F75F8095}">
  <sheetPr codeName="Sheet33">
    <tabColor rgb="FF7030A0"/>
  </sheetPr>
  <dimension ref="A1:AL59"/>
  <sheetViews>
    <sheetView zoomScale="90" zoomScaleNormal="90" workbookViewId="0">
      <pane xSplit="3" ySplit="4" topLeftCell="D30" activePane="bottomRight" state="frozen"/>
      <selection pane="topRight" activeCell="D1" sqref="D1"/>
      <selection pane="bottomLeft" activeCell="A5" sqref="A5"/>
      <selection pane="bottomRight" activeCell="C3" sqref="C3"/>
    </sheetView>
  </sheetViews>
  <sheetFormatPr defaultColWidth="8.85546875" defaultRowHeight="15" x14ac:dyDescent="0.25"/>
  <cols>
    <col min="1" max="1" width="8.85546875" style="111"/>
    <col min="2" max="2" width="6.85546875" style="111" bestFit="1" customWidth="1"/>
    <col min="3" max="3" width="11" style="111" bestFit="1" customWidth="1"/>
    <col min="4" max="4" width="14.7109375" style="111" customWidth="1"/>
    <col min="5" max="5" width="9.140625" style="111" customWidth="1"/>
    <col min="6" max="6" width="9.5703125" style="111" customWidth="1"/>
    <col min="7" max="8" width="16.42578125" style="111" customWidth="1"/>
    <col min="9" max="14" width="16.7109375" style="111" customWidth="1"/>
    <col min="15" max="15" width="13.28515625" style="111" customWidth="1"/>
    <col min="16" max="16" width="6.28515625" style="111" bestFit="1" customWidth="1"/>
    <col min="17" max="17" width="29.140625" style="111" bestFit="1" customWidth="1"/>
    <col min="18" max="18" width="8.28515625" style="111" bestFit="1" customWidth="1"/>
    <col min="19" max="19" width="18.7109375" style="111" bestFit="1" customWidth="1"/>
    <col min="20" max="20" width="14.85546875" style="111" bestFit="1" customWidth="1"/>
    <col min="21" max="21" width="21.5703125" style="111" bestFit="1" customWidth="1"/>
    <col min="22" max="22" width="20.140625" style="111" bestFit="1" customWidth="1"/>
    <col min="23" max="23" width="22" style="111" bestFit="1" customWidth="1"/>
    <col min="24" max="26" width="15.85546875" style="111" customWidth="1"/>
    <col min="27" max="27" width="26.42578125" style="111" bestFit="1" customWidth="1"/>
    <col min="28" max="28" width="20.140625" style="111" bestFit="1" customWidth="1"/>
    <col min="29" max="29" width="22" style="111" bestFit="1" customWidth="1"/>
    <col min="30" max="30" width="7.85546875" style="111" bestFit="1" customWidth="1"/>
    <col min="31" max="31" width="11.7109375" style="111" bestFit="1" customWidth="1"/>
    <col min="32" max="32" width="16" style="111" bestFit="1" customWidth="1"/>
    <col min="33" max="33" width="26.85546875" style="111" bestFit="1" customWidth="1"/>
    <col min="34" max="34" width="20.140625" style="111" bestFit="1" customWidth="1"/>
    <col min="35" max="35" width="22" style="111" bestFit="1" customWidth="1"/>
    <col min="36" max="36" width="10.5703125" style="111" bestFit="1" customWidth="1"/>
    <col min="37" max="16384" width="8.85546875" style="111"/>
  </cols>
  <sheetData>
    <row r="1" spans="1:36" ht="15.75" thickBot="1" x14ac:dyDescent="0.3">
      <c r="A1" s="153"/>
    </row>
    <row r="2" spans="1:36" ht="15.75" thickBot="1" x14ac:dyDescent="0.3">
      <c r="B2" s="47"/>
      <c r="C2" s="376" t="s">
        <v>243</v>
      </c>
      <c r="D2" s="411"/>
      <c r="E2" s="411"/>
      <c r="F2" s="411"/>
      <c r="G2" s="411"/>
      <c r="H2" s="411"/>
      <c r="I2" s="411"/>
      <c r="J2" s="411"/>
      <c r="K2" s="411"/>
      <c r="L2" s="411"/>
      <c r="M2" s="411"/>
      <c r="N2" s="411"/>
      <c r="O2" s="411"/>
      <c r="P2" s="411"/>
      <c r="Q2" s="411"/>
      <c r="R2" s="411"/>
      <c r="S2" s="411"/>
      <c r="T2" s="411"/>
      <c r="U2" s="411"/>
      <c r="V2" s="411"/>
      <c r="W2" s="411"/>
      <c r="X2" s="377"/>
      <c r="Y2" s="377"/>
      <c r="Z2" s="377"/>
      <c r="AA2" s="377"/>
      <c r="AB2" s="377"/>
      <c r="AC2" s="377"/>
      <c r="AD2" s="377"/>
      <c r="AE2" s="377"/>
      <c r="AF2" s="377"/>
      <c r="AG2" s="377"/>
      <c r="AH2" s="377"/>
      <c r="AI2" s="378"/>
      <c r="AJ2" s="46" t="s">
        <v>1</v>
      </c>
    </row>
    <row r="3" spans="1:36" ht="15.75" thickBot="1" x14ac:dyDescent="0.3">
      <c r="B3" s="47"/>
      <c r="C3" s="106"/>
      <c r="D3" s="385" t="s">
        <v>127</v>
      </c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402" t="s">
        <v>128</v>
      </c>
      <c r="S3" s="385"/>
      <c r="T3" s="385"/>
      <c r="U3" s="385"/>
      <c r="V3" s="385"/>
      <c r="W3" s="395"/>
      <c r="X3" s="404" t="s">
        <v>129</v>
      </c>
      <c r="Y3" s="404"/>
      <c r="Z3" s="404"/>
      <c r="AA3" s="404"/>
      <c r="AB3" s="404"/>
      <c r="AC3" s="404"/>
      <c r="AD3" s="402" t="s">
        <v>133</v>
      </c>
      <c r="AE3" s="385"/>
      <c r="AF3" s="385"/>
      <c r="AG3" s="385"/>
      <c r="AH3" s="385"/>
      <c r="AI3" s="395"/>
      <c r="AJ3" s="379" t="s">
        <v>10</v>
      </c>
    </row>
    <row r="4" spans="1:36" x14ac:dyDescent="0.25">
      <c r="B4" s="389" t="s">
        <v>2</v>
      </c>
      <c r="C4" s="132" t="s">
        <v>3</v>
      </c>
      <c r="D4" s="117" t="s">
        <v>4</v>
      </c>
      <c r="E4" s="114" t="s">
        <v>5</v>
      </c>
      <c r="F4" s="114" t="s">
        <v>6</v>
      </c>
      <c r="G4" s="114" t="s">
        <v>7</v>
      </c>
      <c r="H4" s="114" t="s">
        <v>196</v>
      </c>
      <c r="I4" s="114" t="s">
        <v>8</v>
      </c>
      <c r="J4" s="276" t="s">
        <v>183</v>
      </c>
      <c r="K4" s="276" t="s">
        <v>184</v>
      </c>
      <c r="L4" s="260" t="s">
        <v>185</v>
      </c>
      <c r="M4" s="276" t="s">
        <v>186</v>
      </c>
      <c r="N4" s="276" t="s">
        <v>187</v>
      </c>
      <c r="O4" s="114" t="s">
        <v>114</v>
      </c>
      <c r="P4" s="129" t="s">
        <v>9</v>
      </c>
      <c r="Q4" s="129" t="s">
        <v>197</v>
      </c>
      <c r="R4" s="57" t="s">
        <v>5</v>
      </c>
      <c r="S4" s="114" t="s">
        <v>115</v>
      </c>
      <c r="T4" s="129" t="s">
        <v>116</v>
      </c>
      <c r="U4" s="114" t="s">
        <v>168</v>
      </c>
      <c r="V4" s="114" t="s">
        <v>169</v>
      </c>
      <c r="W4" s="115" t="s">
        <v>170</v>
      </c>
      <c r="X4" s="341" t="s">
        <v>5</v>
      </c>
      <c r="Y4" s="276" t="s">
        <v>115</v>
      </c>
      <c r="Z4" s="279" t="s">
        <v>171</v>
      </c>
      <c r="AA4" s="276" t="s">
        <v>172</v>
      </c>
      <c r="AB4" s="276" t="s">
        <v>169</v>
      </c>
      <c r="AC4" s="339" t="s">
        <v>170</v>
      </c>
      <c r="AD4" s="57" t="s">
        <v>5</v>
      </c>
      <c r="AE4" s="114" t="s">
        <v>115</v>
      </c>
      <c r="AF4" s="129" t="s">
        <v>171</v>
      </c>
      <c r="AG4" s="279" t="s">
        <v>173</v>
      </c>
      <c r="AH4" s="279" t="s">
        <v>169</v>
      </c>
      <c r="AI4" s="335" t="s">
        <v>170</v>
      </c>
      <c r="AJ4" s="380"/>
    </row>
    <row r="5" spans="1:36" x14ac:dyDescent="0.25">
      <c r="B5" s="390"/>
      <c r="C5" s="321">
        <v>44409</v>
      </c>
      <c r="D5" s="123">
        <v>0</v>
      </c>
      <c r="E5" s="53">
        <v>16908</v>
      </c>
      <c r="F5" s="53">
        <v>16908</v>
      </c>
      <c r="G5" s="52">
        <v>0</v>
      </c>
      <c r="H5" s="313"/>
      <c r="I5" s="89">
        <v>16908</v>
      </c>
      <c r="J5" s="53"/>
      <c r="K5" s="53"/>
      <c r="L5" s="53"/>
      <c r="M5" s="53"/>
      <c r="N5" s="53"/>
      <c r="O5" s="103">
        <f t="shared" ref="O5:O20" si="0">I5-D5</f>
        <v>16908</v>
      </c>
      <c r="P5" s="249" t="s">
        <v>12</v>
      </c>
      <c r="Q5" s="249"/>
      <c r="R5" s="121">
        <v>16908</v>
      </c>
      <c r="S5" s="105">
        <v>1</v>
      </c>
      <c r="T5" s="98">
        <v>0</v>
      </c>
      <c r="U5" s="105"/>
      <c r="V5" s="105"/>
      <c r="W5" s="344"/>
      <c r="X5" s="273" t="s">
        <v>12</v>
      </c>
      <c r="Y5" s="236" t="s">
        <v>12</v>
      </c>
      <c r="Z5" s="274" t="s">
        <v>12</v>
      </c>
      <c r="AA5" s="236"/>
      <c r="AB5" s="273"/>
      <c r="AC5" s="274"/>
      <c r="AD5" s="120" t="s">
        <v>12</v>
      </c>
      <c r="AE5" s="52" t="s">
        <v>12</v>
      </c>
      <c r="AF5" s="249" t="s">
        <v>12</v>
      </c>
      <c r="AG5" s="52"/>
      <c r="AH5" s="52"/>
      <c r="AI5" s="54"/>
      <c r="AJ5" s="380"/>
    </row>
    <row r="6" spans="1:36" x14ac:dyDescent="0.25">
      <c r="B6" s="390"/>
      <c r="C6" s="321">
        <v>44440</v>
      </c>
      <c r="D6" s="118">
        <f t="shared" ref="D6:D20" si="1">I5</f>
        <v>16908</v>
      </c>
      <c r="E6" s="53">
        <v>8838</v>
      </c>
      <c r="F6" s="53">
        <v>8527</v>
      </c>
      <c r="G6" s="53">
        <v>1662</v>
      </c>
      <c r="H6" s="89"/>
      <c r="I6" s="89">
        <v>24084</v>
      </c>
      <c r="J6" s="53"/>
      <c r="K6" s="53"/>
      <c r="L6" s="53"/>
      <c r="M6" s="53"/>
      <c r="N6" s="53"/>
      <c r="O6" s="103">
        <f t="shared" si="0"/>
        <v>7176</v>
      </c>
      <c r="P6" s="314">
        <f t="shared" ref="P6:P21" si="2">G6/I5</f>
        <v>9.829666430092264E-2</v>
      </c>
      <c r="Q6" s="314"/>
      <c r="R6" s="121">
        <v>8838</v>
      </c>
      <c r="S6" s="105">
        <v>0.96481104322244848</v>
      </c>
      <c r="T6" s="98">
        <v>3.5188956777551482E-2</v>
      </c>
      <c r="U6" s="105"/>
      <c r="V6" s="105"/>
      <c r="W6" s="345"/>
      <c r="X6" s="273" t="s">
        <v>12</v>
      </c>
      <c r="Y6" s="236" t="s">
        <v>12</v>
      </c>
      <c r="Z6" s="274" t="s">
        <v>12</v>
      </c>
      <c r="AA6" s="236"/>
      <c r="AB6" s="273"/>
      <c r="AC6" s="274"/>
      <c r="AD6" s="120" t="s">
        <v>12</v>
      </c>
      <c r="AE6" s="52" t="s">
        <v>12</v>
      </c>
      <c r="AF6" s="249" t="s">
        <v>12</v>
      </c>
      <c r="AG6" s="52"/>
      <c r="AH6" s="52"/>
      <c r="AI6" s="54"/>
      <c r="AJ6" s="380"/>
    </row>
    <row r="7" spans="1:36" x14ac:dyDescent="0.25">
      <c r="B7" s="390"/>
      <c r="C7" s="321">
        <v>44470</v>
      </c>
      <c r="D7" s="118">
        <f t="shared" si="1"/>
        <v>24084</v>
      </c>
      <c r="E7" s="53">
        <v>10402</v>
      </c>
      <c r="F7" s="53">
        <v>9588</v>
      </c>
      <c r="G7" s="53">
        <v>2038</v>
      </c>
      <c r="H7" s="89"/>
      <c r="I7" s="89">
        <v>32448</v>
      </c>
      <c r="J7" s="53"/>
      <c r="K7" s="53"/>
      <c r="L7" s="53"/>
      <c r="M7" s="53"/>
      <c r="N7" s="53"/>
      <c r="O7" s="103">
        <f t="shared" si="0"/>
        <v>8364</v>
      </c>
      <c r="P7" s="314">
        <f t="shared" si="2"/>
        <v>8.4620494934396273E-2</v>
      </c>
      <c r="Q7" s="314"/>
      <c r="R7" s="121">
        <v>10402</v>
      </c>
      <c r="S7" s="105">
        <v>0.92174581811190159</v>
      </c>
      <c r="T7" s="98">
        <v>7.8254181888098448E-2</v>
      </c>
      <c r="U7" s="105"/>
      <c r="V7" s="105"/>
      <c r="W7" s="345"/>
      <c r="X7" s="273" t="s">
        <v>12</v>
      </c>
      <c r="Y7" s="236" t="s">
        <v>12</v>
      </c>
      <c r="Z7" s="274" t="s">
        <v>12</v>
      </c>
      <c r="AA7" s="236"/>
      <c r="AB7" s="273"/>
      <c r="AC7" s="274"/>
      <c r="AD7" s="120" t="s">
        <v>12</v>
      </c>
      <c r="AE7" s="52" t="s">
        <v>12</v>
      </c>
      <c r="AF7" s="249" t="s">
        <v>12</v>
      </c>
      <c r="AG7" s="52"/>
      <c r="AH7" s="52"/>
      <c r="AI7" s="54"/>
      <c r="AJ7" s="380"/>
    </row>
    <row r="8" spans="1:36" x14ac:dyDescent="0.25">
      <c r="B8" s="390"/>
      <c r="C8" s="321">
        <v>44501</v>
      </c>
      <c r="D8" s="118">
        <f t="shared" si="1"/>
        <v>32448</v>
      </c>
      <c r="E8" s="53">
        <v>7055</v>
      </c>
      <c r="F8" s="53">
        <v>6350</v>
      </c>
      <c r="G8" s="53">
        <v>1765</v>
      </c>
      <c r="H8" s="89"/>
      <c r="I8" s="89">
        <v>37738</v>
      </c>
      <c r="J8" s="53"/>
      <c r="K8" s="53"/>
      <c r="L8" s="53"/>
      <c r="M8" s="53"/>
      <c r="N8" s="53"/>
      <c r="O8" s="103">
        <f t="shared" si="0"/>
        <v>5290</v>
      </c>
      <c r="P8" s="314">
        <f t="shared" si="2"/>
        <v>5.4394723865877709E-2</v>
      </c>
      <c r="Q8" s="314"/>
      <c r="R8" s="121">
        <v>7055</v>
      </c>
      <c r="S8" s="105">
        <v>0.90007087172218281</v>
      </c>
      <c r="T8" s="98">
        <v>9.992912827781715E-2</v>
      </c>
      <c r="U8" s="105"/>
      <c r="V8" s="105"/>
      <c r="W8" s="345"/>
      <c r="X8" s="273" t="s">
        <v>12</v>
      </c>
      <c r="Y8" s="236" t="s">
        <v>12</v>
      </c>
      <c r="Z8" s="274" t="s">
        <v>12</v>
      </c>
      <c r="AA8" s="236"/>
      <c r="AB8" s="273"/>
      <c r="AC8" s="274"/>
      <c r="AD8" s="120" t="s">
        <v>12</v>
      </c>
      <c r="AE8" s="52" t="s">
        <v>12</v>
      </c>
      <c r="AF8" s="249" t="s">
        <v>12</v>
      </c>
      <c r="AG8" s="52"/>
      <c r="AH8" s="52"/>
      <c r="AI8" s="54"/>
      <c r="AJ8" s="380"/>
    </row>
    <row r="9" spans="1:36" x14ac:dyDescent="0.25">
      <c r="B9" s="390"/>
      <c r="C9" s="321">
        <v>44531</v>
      </c>
      <c r="D9" s="118">
        <f t="shared" si="1"/>
        <v>37738</v>
      </c>
      <c r="E9" s="53">
        <v>4453</v>
      </c>
      <c r="F9" s="53">
        <v>3751</v>
      </c>
      <c r="G9" s="53">
        <v>2136</v>
      </c>
      <c r="H9" s="89"/>
      <c r="I9" s="89">
        <v>40055</v>
      </c>
      <c r="J9" s="53"/>
      <c r="K9" s="53"/>
      <c r="L9" s="53"/>
      <c r="M9" s="53"/>
      <c r="N9" s="53"/>
      <c r="O9" s="103">
        <f t="shared" si="0"/>
        <v>2317</v>
      </c>
      <c r="P9" s="314">
        <f t="shared" si="2"/>
        <v>5.6600773755895915E-2</v>
      </c>
      <c r="Q9" s="314"/>
      <c r="R9" s="121">
        <v>4453</v>
      </c>
      <c r="S9" s="105">
        <v>0.84235346957107571</v>
      </c>
      <c r="T9" s="98">
        <v>0.15764653042892432</v>
      </c>
      <c r="U9" s="105"/>
      <c r="V9" s="105"/>
      <c r="W9" s="345"/>
      <c r="X9" s="273" t="s">
        <v>12</v>
      </c>
      <c r="Y9" s="236" t="s">
        <v>12</v>
      </c>
      <c r="Z9" s="274" t="s">
        <v>12</v>
      </c>
      <c r="AA9" s="236"/>
      <c r="AB9" s="273"/>
      <c r="AC9" s="274"/>
      <c r="AD9" s="120" t="s">
        <v>12</v>
      </c>
      <c r="AE9" s="52" t="s">
        <v>12</v>
      </c>
      <c r="AF9" s="249" t="s">
        <v>12</v>
      </c>
      <c r="AG9" s="52"/>
      <c r="AH9" s="52"/>
      <c r="AI9" s="54"/>
      <c r="AJ9" s="380"/>
    </row>
    <row r="10" spans="1:36" x14ac:dyDescent="0.25">
      <c r="B10" s="390"/>
      <c r="C10" s="321">
        <v>44562</v>
      </c>
      <c r="D10" s="118">
        <f t="shared" si="1"/>
        <v>40055</v>
      </c>
      <c r="E10" s="53">
        <v>1126</v>
      </c>
      <c r="F10" s="52">
        <v>890</v>
      </c>
      <c r="G10" s="53">
        <v>2158</v>
      </c>
      <c r="H10" s="89"/>
      <c r="I10" s="89">
        <v>39023</v>
      </c>
      <c r="J10" s="53"/>
      <c r="K10" s="53"/>
      <c r="L10" s="53"/>
      <c r="M10" s="53"/>
      <c r="N10" s="53"/>
      <c r="O10" s="103">
        <f t="shared" si="0"/>
        <v>-1032</v>
      </c>
      <c r="P10" s="314">
        <f t="shared" si="2"/>
        <v>5.3875920609162402E-2</v>
      </c>
      <c r="Q10" s="314"/>
      <c r="R10" s="121">
        <v>1126</v>
      </c>
      <c r="S10" s="105">
        <v>0.79040852575488452</v>
      </c>
      <c r="T10" s="98">
        <v>0.20959147424511546</v>
      </c>
      <c r="U10" s="105"/>
      <c r="V10" s="105"/>
      <c r="W10" s="345"/>
      <c r="X10" s="273" t="s">
        <v>12</v>
      </c>
      <c r="Y10" s="236" t="s">
        <v>12</v>
      </c>
      <c r="Z10" s="274" t="s">
        <v>12</v>
      </c>
      <c r="AA10" s="236"/>
      <c r="AB10" s="273"/>
      <c r="AC10" s="274"/>
      <c r="AD10" s="120" t="s">
        <v>12</v>
      </c>
      <c r="AE10" s="52" t="s">
        <v>12</v>
      </c>
      <c r="AF10" s="249" t="s">
        <v>12</v>
      </c>
      <c r="AG10" s="52"/>
      <c r="AH10" s="52"/>
      <c r="AI10" s="54"/>
      <c r="AJ10" s="380"/>
    </row>
    <row r="11" spans="1:36" x14ac:dyDescent="0.25">
      <c r="B11" s="390"/>
      <c r="C11" s="321">
        <v>44593</v>
      </c>
      <c r="D11" s="118">
        <f t="shared" si="1"/>
        <v>39023</v>
      </c>
      <c r="E11" s="53">
        <v>2415</v>
      </c>
      <c r="F11" s="53">
        <v>1593</v>
      </c>
      <c r="G11" s="53">
        <v>2117</v>
      </c>
      <c r="H11" s="89"/>
      <c r="I11" s="89">
        <v>39321</v>
      </c>
      <c r="J11" s="53"/>
      <c r="K11" s="53"/>
      <c r="L11" s="53"/>
      <c r="M11" s="53"/>
      <c r="N11" s="53"/>
      <c r="O11" s="103">
        <f t="shared" si="0"/>
        <v>298</v>
      </c>
      <c r="P11" s="314">
        <f t="shared" si="2"/>
        <v>5.4250057658304075E-2</v>
      </c>
      <c r="Q11" s="314"/>
      <c r="R11" s="121">
        <v>2415</v>
      </c>
      <c r="S11" s="105">
        <v>0.65962732919254663</v>
      </c>
      <c r="T11" s="98">
        <v>0.34037267080745343</v>
      </c>
      <c r="U11" s="105"/>
      <c r="V11" s="105"/>
      <c r="W11" s="345"/>
      <c r="X11" s="273" t="s">
        <v>12</v>
      </c>
      <c r="Y11" s="236" t="s">
        <v>12</v>
      </c>
      <c r="Z11" s="274" t="s">
        <v>12</v>
      </c>
      <c r="AA11" s="236"/>
      <c r="AB11" s="273"/>
      <c r="AC11" s="274"/>
      <c r="AD11" s="120" t="s">
        <v>12</v>
      </c>
      <c r="AE11" s="52" t="s">
        <v>12</v>
      </c>
      <c r="AF11" s="249" t="s">
        <v>12</v>
      </c>
      <c r="AG11" s="52"/>
      <c r="AH11" s="52"/>
      <c r="AI11" s="54"/>
      <c r="AJ11" s="380"/>
    </row>
    <row r="12" spans="1:36" x14ac:dyDescent="0.25">
      <c r="B12" s="390"/>
      <c r="C12" s="321">
        <v>44621</v>
      </c>
      <c r="D12" s="118">
        <f t="shared" si="1"/>
        <v>39321</v>
      </c>
      <c r="E12" s="53">
        <v>4303</v>
      </c>
      <c r="F12" s="53">
        <v>3269</v>
      </c>
      <c r="G12" s="53">
        <v>1616</v>
      </c>
      <c r="H12" s="89"/>
      <c r="I12" s="89">
        <v>42008</v>
      </c>
      <c r="J12" s="53"/>
      <c r="K12" s="53"/>
      <c r="L12" s="53"/>
      <c r="M12" s="53"/>
      <c r="N12" s="53"/>
      <c r="O12" s="103">
        <f t="shared" si="0"/>
        <v>2687</v>
      </c>
      <c r="P12" s="314">
        <f t="shared" si="2"/>
        <v>4.1097632308435696E-2</v>
      </c>
      <c r="Q12" s="314"/>
      <c r="R12" s="121">
        <v>4303</v>
      </c>
      <c r="S12" s="105">
        <v>0.75970253311643043</v>
      </c>
      <c r="T12" s="98">
        <v>0.24029746688356959</v>
      </c>
      <c r="U12" s="105"/>
      <c r="V12" s="105"/>
      <c r="W12" s="345"/>
      <c r="X12" s="273" t="s">
        <v>12</v>
      </c>
      <c r="Y12" s="236" t="s">
        <v>12</v>
      </c>
      <c r="Z12" s="274" t="s">
        <v>12</v>
      </c>
      <c r="AA12" s="236"/>
      <c r="AB12" s="273"/>
      <c r="AC12" s="274"/>
      <c r="AD12" s="120" t="s">
        <v>12</v>
      </c>
      <c r="AE12" s="52" t="s">
        <v>12</v>
      </c>
      <c r="AF12" s="249" t="s">
        <v>12</v>
      </c>
      <c r="AG12" s="52"/>
      <c r="AH12" s="52"/>
      <c r="AI12" s="54"/>
      <c r="AJ12" s="380"/>
    </row>
    <row r="13" spans="1:36" x14ac:dyDescent="0.25">
      <c r="B13" s="390"/>
      <c r="C13" s="321">
        <v>44652</v>
      </c>
      <c r="D13" s="118">
        <f t="shared" si="1"/>
        <v>42008</v>
      </c>
      <c r="E13" s="53">
        <v>7320</v>
      </c>
      <c r="F13" s="53">
        <v>6176</v>
      </c>
      <c r="G13" s="53">
        <v>1969</v>
      </c>
      <c r="H13" s="89"/>
      <c r="I13" s="89">
        <v>47359</v>
      </c>
      <c r="J13" s="53"/>
      <c r="K13" s="53"/>
      <c r="L13" s="53"/>
      <c r="M13" s="53"/>
      <c r="N13" s="53"/>
      <c r="O13" s="103">
        <f t="shared" si="0"/>
        <v>5351</v>
      </c>
      <c r="P13" s="314">
        <f t="shared" si="2"/>
        <v>4.6872024376309274E-2</v>
      </c>
      <c r="Q13" s="314"/>
      <c r="R13" s="121">
        <v>7320</v>
      </c>
      <c r="S13" s="105">
        <v>0.8437158469945355</v>
      </c>
      <c r="T13" s="98">
        <v>0.15628415300546447</v>
      </c>
      <c r="U13" s="105"/>
      <c r="V13" s="105"/>
      <c r="W13" s="345"/>
      <c r="X13" s="273" t="s">
        <v>12</v>
      </c>
      <c r="Y13" s="236" t="s">
        <v>12</v>
      </c>
      <c r="Z13" s="274" t="s">
        <v>12</v>
      </c>
      <c r="AA13" s="236"/>
      <c r="AB13" s="273"/>
      <c r="AC13" s="274"/>
      <c r="AD13" s="120" t="s">
        <v>12</v>
      </c>
      <c r="AE13" s="52" t="s">
        <v>12</v>
      </c>
      <c r="AF13" s="249" t="s">
        <v>12</v>
      </c>
      <c r="AG13" s="52"/>
      <c r="AH13" s="52"/>
      <c r="AI13" s="54"/>
      <c r="AJ13" s="380"/>
    </row>
    <row r="14" spans="1:36" x14ac:dyDescent="0.25">
      <c r="B14" s="390"/>
      <c r="C14" s="321">
        <v>44682</v>
      </c>
      <c r="D14" s="118">
        <f t="shared" si="1"/>
        <v>47359</v>
      </c>
      <c r="E14" s="53">
        <v>9040</v>
      </c>
      <c r="F14" s="53">
        <v>7891</v>
      </c>
      <c r="G14" s="53">
        <v>2294</v>
      </c>
      <c r="H14" s="89"/>
      <c r="I14" s="89">
        <v>54105</v>
      </c>
      <c r="J14" s="53"/>
      <c r="K14" s="53"/>
      <c r="L14" s="53"/>
      <c r="M14" s="53"/>
      <c r="N14" s="53"/>
      <c r="O14" s="103">
        <f t="shared" si="0"/>
        <v>6746</v>
      </c>
      <c r="P14" s="314">
        <f t="shared" si="2"/>
        <v>4.8438522772862605E-2</v>
      </c>
      <c r="Q14" s="314"/>
      <c r="R14" s="121">
        <v>9040</v>
      </c>
      <c r="S14" s="105">
        <v>0.87289823008849554</v>
      </c>
      <c r="T14" s="98">
        <v>0.12710176991150443</v>
      </c>
      <c r="U14" s="105"/>
      <c r="V14" s="105"/>
      <c r="W14" s="345"/>
      <c r="X14" s="273" t="s">
        <v>12</v>
      </c>
      <c r="Y14" s="236" t="s">
        <v>12</v>
      </c>
      <c r="Z14" s="274" t="s">
        <v>12</v>
      </c>
      <c r="AA14" s="236"/>
      <c r="AB14" s="273"/>
      <c r="AC14" s="274"/>
      <c r="AD14" s="120" t="s">
        <v>12</v>
      </c>
      <c r="AE14" s="52" t="s">
        <v>12</v>
      </c>
      <c r="AF14" s="249" t="s">
        <v>12</v>
      </c>
      <c r="AG14" s="52"/>
      <c r="AH14" s="52"/>
      <c r="AI14" s="54"/>
      <c r="AJ14" s="380"/>
    </row>
    <row r="15" spans="1:36" x14ac:dyDescent="0.25">
      <c r="B15" s="390"/>
      <c r="C15" s="321">
        <v>44713</v>
      </c>
      <c r="D15" s="118">
        <f t="shared" si="1"/>
        <v>54105</v>
      </c>
      <c r="E15" s="89">
        <v>11314</v>
      </c>
      <c r="F15" s="89">
        <v>10076</v>
      </c>
      <c r="G15" s="89">
        <v>2964</v>
      </c>
      <c r="H15" s="89"/>
      <c r="I15" s="89">
        <v>62455</v>
      </c>
      <c r="J15" s="53"/>
      <c r="K15" s="53"/>
      <c r="L15" s="53"/>
      <c r="M15" s="53"/>
      <c r="N15" s="53"/>
      <c r="O15" s="103">
        <f t="shared" si="0"/>
        <v>8350</v>
      </c>
      <c r="P15" s="314">
        <f t="shared" si="2"/>
        <v>5.4782367618519547E-2</v>
      </c>
      <c r="Q15" s="314"/>
      <c r="R15" s="122">
        <v>11314</v>
      </c>
      <c r="S15" s="105">
        <v>0.89057804490012371</v>
      </c>
      <c r="T15" s="98">
        <v>0.10942195509987626</v>
      </c>
      <c r="U15" s="105"/>
      <c r="V15" s="105"/>
      <c r="W15" s="345"/>
      <c r="X15" s="273" t="s">
        <v>12</v>
      </c>
      <c r="Y15" s="236" t="s">
        <v>12</v>
      </c>
      <c r="Z15" s="274" t="s">
        <v>12</v>
      </c>
      <c r="AA15" s="236"/>
      <c r="AB15" s="273"/>
      <c r="AC15" s="274"/>
      <c r="AD15" s="120" t="s">
        <v>12</v>
      </c>
      <c r="AE15" s="52" t="s">
        <v>12</v>
      </c>
      <c r="AF15" s="249" t="s">
        <v>12</v>
      </c>
      <c r="AG15" s="52"/>
      <c r="AH15" s="52"/>
      <c r="AI15" s="54"/>
      <c r="AJ15" s="380"/>
    </row>
    <row r="16" spans="1:36" x14ac:dyDescent="0.25">
      <c r="B16" s="390"/>
      <c r="C16" s="321">
        <v>44743</v>
      </c>
      <c r="D16" s="118">
        <f t="shared" si="1"/>
        <v>62455</v>
      </c>
      <c r="E16" s="89">
        <v>13238</v>
      </c>
      <c r="F16" s="89">
        <v>11589</v>
      </c>
      <c r="G16" s="89">
        <v>3606</v>
      </c>
      <c r="H16" s="89"/>
      <c r="I16" s="89">
        <v>72087</v>
      </c>
      <c r="J16" s="53"/>
      <c r="K16" s="53"/>
      <c r="L16" s="53"/>
      <c r="M16" s="53"/>
      <c r="N16" s="53"/>
      <c r="O16" s="103">
        <f t="shared" si="0"/>
        <v>9632</v>
      </c>
      <c r="P16" s="314">
        <f t="shared" si="2"/>
        <v>5.773757105115683E-2</v>
      </c>
      <c r="Q16" s="314"/>
      <c r="R16" s="122">
        <v>13238</v>
      </c>
      <c r="S16" s="105">
        <v>0.87543435564284633</v>
      </c>
      <c r="T16" s="104">
        <v>0.12</v>
      </c>
      <c r="U16" s="105"/>
      <c r="V16" s="105"/>
      <c r="W16" s="346"/>
      <c r="X16" s="273" t="s">
        <v>12</v>
      </c>
      <c r="Y16" s="236" t="s">
        <v>12</v>
      </c>
      <c r="Z16" s="274" t="s">
        <v>12</v>
      </c>
      <c r="AA16" s="236"/>
      <c r="AB16" s="273"/>
      <c r="AC16" s="274"/>
      <c r="AD16" s="120" t="s">
        <v>12</v>
      </c>
      <c r="AE16" s="52" t="s">
        <v>12</v>
      </c>
      <c r="AF16" s="249" t="s">
        <v>12</v>
      </c>
      <c r="AG16" s="52"/>
      <c r="AH16" s="52"/>
      <c r="AI16" s="54"/>
      <c r="AJ16" s="380"/>
    </row>
    <row r="17" spans="2:37" x14ac:dyDescent="0.25">
      <c r="B17" s="390"/>
      <c r="C17" s="321">
        <v>44774</v>
      </c>
      <c r="D17" s="118">
        <f t="shared" si="1"/>
        <v>72087</v>
      </c>
      <c r="E17" s="89">
        <v>7112</v>
      </c>
      <c r="F17" s="89">
        <v>5979.5199999999995</v>
      </c>
      <c r="G17" s="89">
        <v>4880</v>
      </c>
      <c r="H17" s="89"/>
      <c r="I17" s="89">
        <v>74319</v>
      </c>
      <c r="J17" s="53"/>
      <c r="K17" s="53"/>
      <c r="L17" s="53"/>
      <c r="M17" s="53"/>
      <c r="N17" s="53"/>
      <c r="O17" s="103">
        <f t="shared" si="0"/>
        <v>2232</v>
      </c>
      <c r="P17" s="314">
        <f t="shared" si="2"/>
        <v>6.76959784704593E-2</v>
      </c>
      <c r="Q17" s="314"/>
      <c r="R17" s="122">
        <v>7078</v>
      </c>
      <c r="S17" s="105">
        <v>0.84</v>
      </c>
      <c r="T17" s="104">
        <v>0.16</v>
      </c>
      <c r="U17" s="105"/>
      <c r="V17" s="105"/>
      <c r="W17" s="346"/>
      <c r="X17" s="245">
        <v>66</v>
      </c>
      <c r="Y17" s="231">
        <v>0.52</v>
      </c>
      <c r="Z17" s="231">
        <v>0.48</v>
      </c>
      <c r="AA17" s="275"/>
      <c r="AB17" s="277"/>
      <c r="AC17" s="265"/>
      <c r="AD17" s="120" t="s">
        <v>12</v>
      </c>
      <c r="AE17" s="52" t="s">
        <v>12</v>
      </c>
      <c r="AF17" s="249" t="s">
        <v>12</v>
      </c>
      <c r="AG17" s="52"/>
      <c r="AH17" s="52"/>
      <c r="AI17" s="54"/>
      <c r="AJ17" s="380"/>
    </row>
    <row r="18" spans="2:37" x14ac:dyDescent="0.25">
      <c r="B18" s="390"/>
      <c r="C18" s="321">
        <v>44805</v>
      </c>
      <c r="D18" s="118">
        <f t="shared" si="1"/>
        <v>74319</v>
      </c>
      <c r="E18" s="89">
        <v>4920</v>
      </c>
      <c r="F18" s="89">
        <v>3836</v>
      </c>
      <c r="G18" s="89">
        <v>4474</v>
      </c>
      <c r="H18" s="89"/>
      <c r="I18" s="89">
        <v>74765</v>
      </c>
      <c r="J18" s="53"/>
      <c r="K18" s="53"/>
      <c r="L18" s="53"/>
      <c r="M18" s="53"/>
      <c r="N18" s="53"/>
      <c r="O18" s="103">
        <f t="shared" si="0"/>
        <v>446</v>
      </c>
      <c r="P18" s="314">
        <f t="shared" si="2"/>
        <v>6.0199948869064442E-2</v>
      </c>
      <c r="Q18" s="314"/>
      <c r="R18" s="122">
        <v>4413</v>
      </c>
      <c r="S18" s="105">
        <v>0.75</v>
      </c>
      <c r="T18" s="104">
        <v>0.25</v>
      </c>
      <c r="U18" s="105"/>
      <c r="V18" s="105"/>
      <c r="W18" s="346"/>
      <c r="X18" s="245">
        <v>1718</v>
      </c>
      <c r="Y18" s="231">
        <v>0.3</v>
      </c>
      <c r="Z18" s="231">
        <v>0.7</v>
      </c>
      <c r="AA18" s="275"/>
      <c r="AB18" s="277"/>
      <c r="AC18" s="265"/>
      <c r="AD18" s="120" t="s">
        <v>12</v>
      </c>
      <c r="AE18" s="52" t="s">
        <v>12</v>
      </c>
      <c r="AF18" s="249" t="s">
        <v>12</v>
      </c>
      <c r="AG18" s="52"/>
      <c r="AH18" s="52"/>
      <c r="AI18" s="54"/>
      <c r="AJ18" s="380"/>
      <c r="AK18" s="128"/>
    </row>
    <row r="19" spans="2:37" x14ac:dyDescent="0.25">
      <c r="B19" s="390"/>
      <c r="C19" s="321">
        <v>44835</v>
      </c>
      <c r="D19" s="118">
        <f t="shared" si="1"/>
        <v>74765</v>
      </c>
      <c r="E19" s="89">
        <v>7659</v>
      </c>
      <c r="F19" s="89">
        <v>5705</v>
      </c>
      <c r="G19" s="89">
        <v>4911</v>
      </c>
      <c r="H19" s="89"/>
      <c r="I19" s="89">
        <v>77513</v>
      </c>
      <c r="J19" s="146"/>
      <c r="K19" s="146"/>
      <c r="L19" s="146"/>
      <c r="M19" s="146"/>
      <c r="N19" s="146"/>
      <c r="O19" s="103">
        <f t="shared" si="0"/>
        <v>2748</v>
      </c>
      <c r="P19" s="314">
        <f t="shared" si="2"/>
        <v>6.5685815555406937E-2</v>
      </c>
      <c r="Q19" s="314"/>
      <c r="R19" s="122">
        <v>6929</v>
      </c>
      <c r="S19" s="104">
        <v>0.72</v>
      </c>
      <c r="T19" s="104">
        <v>0.28000000000000003</v>
      </c>
      <c r="U19" s="105"/>
      <c r="V19" s="105"/>
      <c r="W19" s="346"/>
      <c r="X19" s="245">
        <v>1168</v>
      </c>
      <c r="Y19" s="231">
        <v>0.63</v>
      </c>
      <c r="Z19" s="231">
        <v>0.37</v>
      </c>
      <c r="AA19" s="275"/>
      <c r="AB19" s="277"/>
      <c r="AC19" s="265"/>
      <c r="AD19" s="120" t="s">
        <v>12</v>
      </c>
      <c r="AE19" s="52" t="s">
        <v>12</v>
      </c>
      <c r="AF19" s="249" t="s">
        <v>12</v>
      </c>
      <c r="AG19" s="52"/>
      <c r="AH19" s="52"/>
      <c r="AI19" s="54"/>
      <c r="AJ19" s="380"/>
      <c r="AK19" s="128"/>
    </row>
    <row r="20" spans="2:37" x14ac:dyDescent="0.25">
      <c r="B20" s="390"/>
      <c r="C20" s="321">
        <v>44866</v>
      </c>
      <c r="D20" s="118">
        <f t="shared" si="1"/>
        <v>77513</v>
      </c>
      <c r="E20" s="89">
        <v>8926</v>
      </c>
      <c r="F20" s="89">
        <v>6723</v>
      </c>
      <c r="G20" s="89">
        <v>4596</v>
      </c>
      <c r="H20" s="89"/>
      <c r="I20" s="89">
        <v>81843</v>
      </c>
      <c r="J20" s="146"/>
      <c r="K20" s="146"/>
      <c r="L20" s="146"/>
      <c r="M20" s="146"/>
      <c r="N20" s="146"/>
      <c r="O20" s="103">
        <f t="shared" si="0"/>
        <v>4330</v>
      </c>
      <c r="P20" s="314">
        <f t="shared" si="2"/>
        <v>5.9293279836930578E-2</v>
      </c>
      <c r="Q20" s="314"/>
      <c r="R20" s="122">
        <v>7512</v>
      </c>
      <c r="S20" s="104">
        <v>0.70673588924387643</v>
      </c>
      <c r="T20" s="104">
        <v>0.29326411075612357</v>
      </c>
      <c r="U20" s="105"/>
      <c r="V20" s="105"/>
      <c r="W20" s="346"/>
      <c r="X20" s="245">
        <v>1558</v>
      </c>
      <c r="Y20" s="231">
        <v>0.7002567394094994</v>
      </c>
      <c r="Z20" s="231">
        <v>0.2997432605905006</v>
      </c>
      <c r="AA20" s="275"/>
      <c r="AB20" s="277"/>
      <c r="AC20" s="265"/>
      <c r="AD20" s="122">
        <v>343</v>
      </c>
      <c r="AE20" s="104">
        <v>0.94169096209912539</v>
      </c>
      <c r="AF20" s="104">
        <v>5.8309037900874605E-2</v>
      </c>
      <c r="AG20" s="105"/>
      <c r="AH20" s="105"/>
      <c r="AI20" s="59"/>
      <c r="AJ20" s="380"/>
    </row>
    <row r="21" spans="2:37" x14ac:dyDescent="0.25">
      <c r="B21" s="390"/>
      <c r="C21" s="321">
        <v>44896</v>
      </c>
      <c r="D21" s="118">
        <f>I20</f>
        <v>81843</v>
      </c>
      <c r="E21" s="89">
        <v>11993</v>
      </c>
      <c r="F21" s="89">
        <v>9448</v>
      </c>
      <c r="G21" s="89">
        <v>4987</v>
      </c>
      <c r="H21" s="89"/>
      <c r="I21" s="89">
        <v>88849</v>
      </c>
      <c r="J21" s="146"/>
      <c r="K21" s="146"/>
      <c r="L21" s="146"/>
      <c r="M21" s="146"/>
      <c r="N21" s="146"/>
      <c r="O21" s="103">
        <f t="shared" ref="O21:O29" si="3">I21-D21</f>
        <v>7006</v>
      </c>
      <c r="P21" s="314">
        <f t="shared" si="2"/>
        <v>6.0933738988062508E-2</v>
      </c>
      <c r="Q21" s="314"/>
      <c r="R21" s="122">
        <v>9343</v>
      </c>
      <c r="S21" s="104">
        <v>0.72760355346248529</v>
      </c>
      <c r="T21" s="104">
        <v>0.27239644653751471</v>
      </c>
      <c r="U21" s="105"/>
      <c r="V21" s="105"/>
      <c r="W21" s="346"/>
      <c r="X21" s="245">
        <v>2527</v>
      </c>
      <c r="Y21" s="231">
        <v>0.79343094578551643</v>
      </c>
      <c r="Z21" s="231">
        <v>0.20656905421448357</v>
      </c>
      <c r="AA21" s="275"/>
      <c r="AB21" s="277"/>
      <c r="AC21" s="265"/>
      <c r="AD21" s="122">
        <v>675</v>
      </c>
      <c r="AE21" s="104">
        <v>0.9555555555555556</v>
      </c>
      <c r="AF21" s="104">
        <v>4.4444444444444398E-2</v>
      </c>
      <c r="AG21" s="105"/>
      <c r="AH21" s="105"/>
      <c r="AI21" s="59"/>
      <c r="AJ21" s="380"/>
    </row>
    <row r="22" spans="2:37" x14ac:dyDescent="0.25">
      <c r="B22" s="390"/>
      <c r="C22" s="321">
        <v>44927</v>
      </c>
      <c r="D22" s="316">
        <v>88849</v>
      </c>
      <c r="E22" s="220">
        <v>10454</v>
      </c>
      <c r="F22" s="220">
        <v>7377</v>
      </c>
      <c r="G22" s="220">
        <v>6546</v>
      </c>
      <c r="H22" s="220">
        <v>6236</v>
      </c>
      <c r="I22" s="220">
        <v>92600</v>
      </c>
      <c r="J22" s="246"/>
      <c r="K22" s="246"/>
      <c r="L22" s="246"/>
      <c r="M22" s="246"/>
      <c r="N22" s="246"/>
      <c r="O22" s="221">
        <f t="shared" si="3"/>
        <v>3751</v>
      </c>
      <c r="P22" s="314">
        <v>7.3675561908406392E-2</v>
      </c>
      <c r="Q22" s="314">
        <v>7.0186496190165343E-2</v>
      </c>
      <c r="R22" s="235">
        <v>8900</v>
      </c>
      <c r="S22" s="228">
        <v>0.70853932584269663</v>
      </c>
      <c r="T22" s="228">
        <v>0.29146067415730337</v>
      </c>
      <c r="U22" s="248"/>
      <c r="V22" s="248"/>
      <c r="W22" s="347"/>
      <c r="X22" s="316">
        <v>1174</v>
      </c>
      <c r="Y22" s="229">
        <v>0.70783645655877347</v>
      </c>
      <c r="Z22" s="228">
        <v>0.29216354344122658</v>
      </c>
      <c r="AA22" s="248"/>
      <c r="AB22" s="278"/>
      <c r="AC22" s="319"/>
      <c r="AD22" s="230">
        <v>380</v>
      </c>
      <c r="AE22" s="231">
        <v>0.97368421052631582</v>
      </c>
      <c r="AF22" s="231">
        <v>2.6315789473684209E-2</v>
      </c>
      <c r="AG22" s="275"/>
      <c r="AH22" s="275"/>
      <c r="AI22" s="280"/>
      <c r="AJ22" s="380"/>
    </row>
    <row r="23" spans="2:37" x14ac:dyDescent="0.25">
      <c r="B23" s="390"/>
      <c r="C23" s="321">
        <v>44958</v>
      </c>
      <c r="D23" s="316">
        <f t="shared" ref="D23:D28" si="4">I22</f>
        <v>92600</v>
      </c>
      <c r="E23" s="220">
        <v>8068</v>
      </c>
      <c r="F23" s="220">
        <v>5491</v>
      </c>
      <c r="G23" s="220">
        <v>5943</v>
      </c>
      <c r="H23" s="220">
        <v>5763</v>
      </c>
      <c r="I23" s="220">
        <v>94790</v>
      </c>
      <c r="J23" s="246"/>
      <c r="K23" s="246"/>
      <c r="L23" s="246"/>
      <c r="M23" s="246"/>
      <c r="N23" s="246"/>
      <c r="O23" s="221">
        <f t="shared" si="3"/>
        <v>2190</v>
      </c>
      <c r="P23" s="314">
        <v>6.4179265658747306E-2</v>
      </c>
      <c r="Q23" s="314">
        <v>6.2235421166306697E-2</v>
      </c>
      <c r="R23" s="235">
        <v>7248</v>
      </c>
      <c r="S23" s="228">
        <v>0.68184326710816778</v>
      </c>
      <c r="T23" s="228">
        <v>0.31815673289183222</v>
      </c>
      <c r="U23" s="248"/>
      <c r="V23" s="248"/>
      <c r="W23" s="347"/>
      <c r="X23" s="316">
        <v>698</v>
      </c>
      <c r="Y23" s="229">
        <v>0.66332378223495703</v>
      </c>
      <c r="Z23" s="228">
        <v>0.33667621776504297</v>
      </c>
      <c r="AA23" s="248"/>
      <c r="AB23" s="278"/>
      <c r="AC23" s="319"/>
      <c r="AD23" s="230">
        <v>122</v>
      </c>
      <c r="AE23" s="231">
        <v>0.96721311475409832</v>
      </c>
      <c r="AF23" s="231">
        <v>3.2786885245901676E-2</v>
      </c>
      <c r="AG23" s="275"/>
      <c r="AH23" s="275"/>
      <c r="AI23" s="280"/>
      <c r="AJ23" s="380"/>
    </row>
    <row r="24" spans="2:37" x14ac:dyDescent="0.25">
      <c r="B24" s="390"/>
      <c r="C24" s="321">
        <v>44986</v>
      </c>
      <c r="D24" s="316">
        <f t="shared" si="4"/>
        <v>94790</v>
      </c>
      <c r="E24" s="220">
        <v>9351</v>
      </c>
      <c r="F24" s="220">
        <v>6131</v>
      </c>
      <c r="G24" s="220">
        <v>6251</v>
      </c>
      <c r="H24" s="220">
        <v>6072</v>
      </c>
      <c r="I24" s="220">
        <v>97934</v>
      </c>
      <c r="J24" s="246"/>
      <c r="K24" s="246"/>
      <c r="L24" s="246"/>
      <c r="M24" s="246"/>
      <c r="N24" s="246"/>
      <c r="O24" s="221">
        <f t="shared" si="3"/>
        <v>3144</v>
      </c>
      <c r="P24" s="314">
        <v>6.5945774870766957E-2</v>
      </c>
      <c r="Q24" s="314">
        <v>6.4057390020044305E-2</v>
      </c>
      <c r="R24" s="235">
        <v>8430</v>
      </c>
      <c r="S24" s="228">
        <v>0.66</v>
      </c>
      <c r="T24" s="228">
        <v>0.34</v>
      </c>
      <c r="U24" s="248"/>
      <c r="V24" s="248"/>
      <c r="W24" s="347"/>
      <c r="X24" s="316">
        <v>842</v>
      </c>
      <c r="Y24" s="229">
        <v>0.61</v>
      </c>
      <c r="Z24" s="228">
        <v>0.39</v>
      </c>
      <c r="AA24" s="248"/>
      <c r="AB24" s="278"/>
      <c r="AC24" s="319"/>
      <c r="AD24" s="230">
        <v>79</v>
      </c>
      <c r="AE24" s="231">
        <v>0.97</v>
      </c>
      <c r="AF24" s="231">
        <v>0.03</v>
      </c>
      <c r="AG24" s="275"/>
      <c r="AH24" s="275"/>
      <c r="AI24" s="280"/>
      <c r="AJ24" s="380"/>
    </row>
    <row r="25" spans="2:37" x14ac:dyDescent="0.25">
      <c r="B25" s="390"/>
      <c r="C25" s="321">
        <v>45017</v>
      </c>
      <c r="D25" s="316">
        <f t="shared" si="4"/>
        <v>97934</v>
      </c>
      <c r="E25" s="220">
        <v>14513</v>
      </c>
      <c r="F25" s="220">
        <v>10008</v>
      </c>
      <c r="G25" s="220">
        <v>6480</v>
      </c>
      <c r="H25" s="220">
        <v>6214</v>
      </c>
      <c r="I25" s="220">
        <v>105959</v>
      </c>
      <c r="J25" s="246"/>
      <c r="K25" s="246"/>
      <c r="L25" s="246"/>
      <c r="M25" s="246"/>
      <c r="N25" s="246"/>
      <c r="O25" s="221">
        <f t="shared" si="3"/>
        <v>8025</v>
      </c>
      <c r="P25" s="314">
        <v>6.6167010435599485E-2</v>
      </c>
      <c r="Q25" s="314">
        <v>6.3450895501051735E-2</v>
      </c>
      <c r="R25" s="235">
        <v>13328</v>
      </c>
      <c r="S25" s="228">
        <v>0.7</v>
      </c>
      <c r="T25" s="228">
        <v>0.3</v>
      </c>
      <c r="U25" s="248"/>
      <c r="V25" s="248"/>
      <c r="W25" s="347"/>
      <c r="X25" s="316">
        <v>1135</v>
      </c>
      <c r="Y25" s="229">
        <v>0.63</v>
      </c>
      <c r="Z25" s="228">
        <v>0.37</v>
      </c>
      <c r="AA25" s="248"/>
      <c r="AB25" s="278"/>
      <c r="AC25" s="319"/>
      <c r="AD25" s="230">
        <v>50</v>
      </c>
      <c r="AE25" s="231">
        <v>0.92</v>
      </c>
      <c r="AF25" s="231">
        <v>0.08</v>
      </c>
      <c r="AG25" s="275"/>
      <c r="AH25" s="275"/>
      <c r="AI25" s="280"/>
      <c r="AJ25" s="380"/>
    </row>
    <row r="26" spans="2:37" x14ac:dyDescent="0.25">
      <c r="B26" s="390"/>
      <c r="C26" s="321">
        <v>45047</v>
      </c>
      <c r="D26" s="316">
        <f t="shared" si="4"/>
        <v>105959</v>
      </c>
      <c r="E26" s="220">
        <v>11669</v>
      </c>
      <c r="F26" s="220">
        <v>7633</v>
      </c>
      <c r="G26" s="220">
        <v>7684</v>
      </c>
      <c r="H26" s="220">
        <v>7432</v>
      </c>
      <c r="I26" s="220">
        <v>109968</v>
      </c>
      <c r="J26" s="246"/>
      <c r="K26" s="246"/>
      <c r="L26" s="246"/>
      <c r="M26" s="246"/>
      <c r="N26" s="246"/>
      <c r="O26" s="221">
        <f t="shared" si="3"/>
        <v>4009</v>
      </c>
      <c r="P26" s="314">
        <v>7.2518615690974814E-2</v>
      </c>
      <c r="Q26" s="314">
        <v>7.0140337300276523E-2</v>
      </c>
      <c r="R26" s="235">
        <v>10693</v>
      </c>
      <c r="S26" s="228">
        <v>0.66</v>
      </c>
      <c r="T26" s="228">
        <v>0.34</v>
      </c>
      <c r="U26" s="248"/>
      <c r="V26" s="248"/>
      <c r="W26" s="347"/>
      <c r="X26" s="316">
        <v>913</v>
      </c>
      <c r="Y26" s="229">
        <v>0.61</v>
      </c>
      <c r="Z26" s="228">
        <v>0.39</v>
      </c>
      <c r="AA26" s="248"/>
      <c r="AB26" s="278"/>
      <c r="AC26" s="319"/>
      <c r="AD26" s="230">
        <v>63</v>
      </c>
      <c r="AE26" s="231">
        <v>0.92</v>
      </c>
      <c r="AF26" s="231">
        <v>0.08</v>
      </c>
      <c r="AG26" s="275"/>
      <c r="AH26" s="275"/>
      <c r="AI26" s="280"/>
      <c r="AJ26" s="380"/>
    </row>
    <row r="27" spans="2:37" x14ac:dyDescent="0.25">
      <c r="B27" s="390"/>
      <c r="C27" s="321">
        <v>45078</v>
      </c>
      <c r="D27" s="316">
        <f t="shared" si="4"/>
        <v>109968</v>
      </c>
      <c r="E27" s="220">
        <v>14312</v>
      </c>
      <c r="F27" s="220">
        <v>9168</v>
      </c>
      <c r="G27" s="220">
        <v>7210</v>
      </c>
      <c r="H27" s="220">
        <v>6824</v>
      </c>
      <c r="I27" s="220">
        <v>116694</v>
      </c>
      <c r="J27" s="246"/>
      <c r="K27" s="246"/>
      <c r="L27" s="246"/>
      <c r="M27" s="246"/>
      <c r="N27" s="246"/>
      <c r="O27" s="221">
        <f t="shared" si="3"/>
        <v>6726</v>
      </c>
      <c r="P27" s="314">
        <v>6.5564527862650948E-2</v>
      </c>
      <c r="Q27" s="314">
        <v>6.2054415830059655E-2</v>
      </c>
      <c r="R27" s="235">
        <v>12662</v>
      </c>
      <c r="S27" s="228">
        <v>0.67</v>
      </c>
      <c r="T27" s="228">
        <v>0.33</v>
      </c>
      <c r="U27" s="248"/>
      <c r="V27" s="248"/>
      <c r="W27" s="347"/>
      <c r="X27" s="316">
        <v>1553</v>
      </c>
      <c r="Y27" s="229">
        <v>0.42</v>
      </c>
      <c r="Z27" s="228">
        <v>0.57999999999999996</v>
      </c>
      <c r="AA27" s="248"/>
      <c r="AB27" s="278"/>
      <c r="AC27" s="319"/>
      <c r="AD27" s="230">
        <v>97</v>
      </c>
      <c r="AE27" s="231">
        <v>0.97</v>
      </c>
      <c r="AF27" s="231">
        <v>0.03</v>
      </c>
      <c r="AG27" s="275"/>
      <c r="AH27" s="275"/>
      <c r="AI27" s="280"/>
      <c r="AJ27" s="380"/>
    </row>
    <row r="28" spans="2:37" x14ac:dyDescent="0.25">
      <c r="B28" s="390"/>
      <c r="C28" s="321">
        <v>45108</v>
      </c>
      <c r="D28" s="316">
        <f t="shared" si="4"/>
        <v>116694</v>
      </c>
      <c r="E28" s="220">
        <v>22411</v>
      </c>
      <c r="F28" s="220">
        <v>15474</v>
      </c>
      <c r="G28" s="220">
        <v>7812</v>
      </c>
      <c r="H28" s="220">
        <v>7162</v>
      </c>
      <c r="I28" s="220">
        <v>131596</v>
      </c>
      <c r="J28" s="246"/>
      <c r="K28" s="246"/>
      <c r="L28" s="246"/>
      <c r="M28" s="246"/>
      <c r="N28" s="246"/>
      <c r="O28" s="221">
        <f t="shared" si="3"/>
        <v>14902</v>
      </c>
      <c r="P28" s="314">
        <v>6.6944315903131268E-2</v>
      </c>
      <c r="Q28" s="314">
        <v>6.1374192332082196E-2</v>
      </c>
      <c r="R28" s="235">
        <v>20838</v>
      </c>
      <c r="S28" s="228">
        <v>0.7</v>
      </c>
      <c r="T28" s="228">
        <v>0.3</v>
      </c>
      <c r="U28" s="248"/>
      <c r="V28" s="248"/>
      <c r="W28" s="347"/>
      <c r="X28" s="316">
        <v>1510</v>
      </c>
      <c r="Y28" s="229">
        <v>0.63</v>
      </c>
      <c r="Z28" s="228">
        <v>0.37</v>
      </c>
      <c r="AA28" s="248"/>
      <c r="AB28" s="278"/>
      <c r="AC28" s="319"/>
      <c r="AD28" s="230">
        <v>63</v>
      </c>
      <c r="AE28" s="231">
        <v>0.95</v>
      </c>
      <c r="AF28" s="231">
        <v>0.05</v>
      </c>
      <c r="AG28" s="275"/>
      <c r="AH28" s="275"/>
      <c r="AI28" s="280"/>
      <c r="AJ28" s="380"/>
    </row>
    <row r="29" spans="2:37" x14ac:dyDescent="0.25">
      <c r="B29" s="390"/>
      <c r="C29" s="321">
        <v>45139</v>
      </c>
      <c r="D29" s="316">
        <f>I28</f>
        <v>131596</v>
      </c>
      <c r="E29" s="220">
        <v>14682</v>
      </c>
      <c r="F29" s="220">
        <v>9615</v>
      </c>
      <c r="G29" s="220">
        <v>10609</v>
      </c>
      <c r="H29" s="220">
        <v>10286</v>
      </c>
      <c r="I29" s="220">
        <v>135723</v>
      </c>
      <c r="J29" s="246"/>
      <c r="K29" s="246"/>
      <c r="L29" s="246"/>
      <c r="M29" s="246"/>
      <c r="N29" s="246"/>
      <c r="O29" s="221">
        <f t="shared" si="3"/>
        <v>4127</v>
      </c>
      <c r="P29" s="314">
        <v>8.0617951913432018E-2</v>
      </c>
      <c r="Q29" s="314">
        <v>7.8163470014286154E-2</v>
      </c>
      <c r="R29" s="235">
        <v>13518</v>
      </c>
      <c r="S29" s="228">
        <v>0.69</v>
      </c>
      <c r="T29" s="228">
        <v>0.31</v>
      </c>
      <c r="U29" s="248"/>
      <c r="V29" s="248"/>
      <c r="W29" s="347"/>
      <c r="X29" s="316">
        <v>1100</v>
      </c>
      <c r="Y29" s="228">
        <v>0.64</v>
      </c>
      <c r="Z29" s="228">
        <v>0.36</v>
      </c>
      <c r="AA29" s="248"/>
      <c r="AB29" s="278"/>
      <c r="AC29" s="319"/>
      <c r="AD29" s="230">
        <v>64</v>
      </c>
      <c r="AE29" s="231">
        <v>1</v>
      </c>
      <c r="AF29" s="231">
        <v>0</v>
      </c>
      <c r="AG29" s="275"/>
      <c r="AH29" s="275"/>
      <c r="AI29" s="280"/>
      <c r="AJ29" s="380"/>
    </row>
    <row r="30" spans="2:37" x14ac:dyDescent="0.25">
      <c r="B30" s="390"/>
      <c r="C30" s="321">
        <v>45170</v>
      </c>
      <c r="D30" s="316">
        <v>136994</v>
      </c>
      <c r="E30" s="220">
        <v>8663</v>
      </c>
      <c r="F30" s="220">
        <v>5193</v>
      </c>
      <c r="G30" s="220">
        <v>10931</v>
      </c>
      <c r="H30" s="220">
        <v>10683</v>
      </c>
      <c r="I30" s="220">
        <v>133491</v>
      </c>
      <c r="J30" s="221"/>
      <c r="K30" s="221"/>
      <c r="L30" s="221"/>
      <c r="M30" s="221"/>
      <c r="N30" s="221"/>
      <c r="O30" s="221">
        <v>-2142</v>
      </c>
      <c r="P30" s="314">
        <v>8.0539039072227994E-2</v>
      </c>
      <c r="Q30" s="314">
        <v>7.8711787979929712E-2</v>
      </c>
      <c r="R30" s="235">
        <v>7898</v>
      </c>
      <c r="S30" s="228">
        <v>0.61</v>
      </c>
      <c r="T30" s="228">
        <v>0.39</v>
      </c>
      <c r="U30" s="248"/>
      <c r="V30" s="248"/>
      <c r="W30" s="347"/>
      <c r="X30" s="316">
        <v>719</v>
      </c>
      <c r="Y30" s="228">
        <v>0.57999999999999996</v>
      </c>
      <c r="Z30" s="228">
        <v>0.42</v>
      </c>
      <c r="AA30" s="248"/>
      <c r="AB30" s="278"/>
      <c r="AC30" s="319"/>
      <c r="AD30" s="230">
        <v>46</v>
      </c>
      <c r="AE30" s="231">
        <v>0.93</v>
      </c>
      <c r="AF30" s="231">
        <v>7.0000000000000007E-2</v>
      </c>
      <c r="AG30" s="275"/>
      <c r="AH30" s="275"/>
      <c r="AI30" s="280"/>
      <c r="AJ30" s="380"/>
    </row>
    <row r="31" spans="2:37" x14ac:dyDescent="0.25">
      <c r="B31" s="390"/>
      <c r="C31" s="321">
        <v>45200</v>
      </c>
      <c r="D31" s="316">
        <v>134852</v>
      </c>
      <c r="E31" s="220">
        <v>8586</v>
      </c>
      <c r="F31" s="220">
        <v>4938</v>
      </c>
      <c r="G31" s="220">
        <v>9000</v>
      </c>
      <c r="H31" s="220">
        <v>8737</v>
      </c>
      <c r="I31" s="220">
        <v>133068</v>
      </c>
      <c r="J31" s="221"/>
      <c r="K31" s="221"/>
      <c r="L31" s="221"/>
      <c r="M31" s="221"/>
      <c r="N31" s="221"/>
      <c r="O31" s="221">
        <v>-265</v>
      </c>
      <c r="P31" s="314">
        <v>6.7420275524192635E-2</v>
      </c>
      <c r="Q31" s="314">
        <v>6.5450105250541235E-2</v>
      </c>
      <c r="R31" s="235">
        <v>7818</v>
      </c>
      <c r="S31" s="228">
        <v>0.59</v>
      </c>
      <c r="T31" s="228">
        <v>0.41</v>
      </c>
      <c r="U31" s="248"/>
      <c r="V31" s="248"/>
      <c r="W31" s="347"/>
      <c r="X31" s="316">
        <v>736</v>
      </c>
      <c r="Y31" s="228">
        <v>0.49</v>
      </c>
      <c r="Z31" s="228">
        <v>0.51</v>
      </c>
      <c r="AA31" s="248"/>
      <c r="AB31" s="278"/>
      <c r="AC31" s="319"/>
      <c r="AD31" s="230">
        <v>32</v>
      </c>
      <c r="AE31" s="231">
        <v>0.94</v>
      </c>
      <c r="AF31" s="231">
        <v>0.06</v>
      </c>
      <c r="AG31" s="275"/>
      <c r="AH31" s="275"/>
      <c r="AI31" s="280"/>
      <c r="AJ31" s="380"/>
    </row>
    <row r="32" spans="2:37" x14ac:dyDescent="0.25">
      <c r="B32" s="390"/>
      <c r="C32" s="321">
        <v>45231</v>
      </c>
      <c r="D32" s="316">
        <v>134587</v>
      </c>
      <c r="E32" s="220">
        <v>11089</v>
      </c>
      <c r="F32" s="220">
        <v>6358</v>
      </c>
      <c r="G32" s="220">
        <v>9095</v>
      </c>
      <c r="H32" s="220">
        <v>8743</v>
      </c>
      <c r="I32" s="220">
        <v>134808</v>
      </c>
      <c r="J32" s="221"/>
      <c r="K32" s="221"/>
      <c r="L32" s="221"/>
      <c r="M32" s="221"/>
      <c r="N32" s="221"/>
      <c r="O32" s="221">
        <v>2291</v>
      </c>
      <c r="P32" s="314">
        <v>6.8348513541948472E-2</v>
      </c>
      <c r="Q32" s="314">
        <v>6.5703249466438213E-2</v>
      </c>
      <c r="R32" s="235">
        <v>8559</v>
      </c>
      <c r="S32" s="228">
        <v>0.56000000000000005</v>
      </c>
      <c r="T32" s="228">
        <v>0.44</v>
      </c>
      <c r="U32" s="248"/>
      <c r="V32" s="248"/>
      <c r="W32" s="347"/>
      <c r="X32" s="316">
        <v>2261</v>
      </c>
      <c r="Y32" s="228">
        <v>0.63</v>
      </c>
      <c r="Z32" s="228">
        <v>0.37</v>
      </c>
      <c r="AA32" s="248"/>
      <c r="AB32" s="278"/>
      <c r="AC32" s="319"/>
      <c r="AD32" s="230">
        <v>269</v>
      </c>
      <c r="AE32" s="231">
        <v>0.75</v>
      </c>
      <c r="AF32" s="231">
        <v>0.25</v>
      </c>
      <c r="AG32" s="275"/>
      <c r="AH32" s="275"/>
      <c r="AI32" s="280"/>
      <c r="AJ32" s="380"/>
    </row>
    <row r="33" spans="2:36" x14ac:dyDescent="0.25">
      <c r="B33" s="390"/>
      <c r="C33" s="321">
        <v>45261</v>
      </c>
      <c r="D33" s="316">
        <v>134808</v>
      </c>
      <c r="E33" s="220">
        <v>16947</v>
      </c>
      <c r="F33" s="220">
        <v>9304</v>
      </c>
      <c r="G33" s="220">
        <v>10315</v>
      </c>
      <c r="H33" s="220">
        <v>9539</v>
      </c>
      <c r="I33" s="220">
        <v>141281</v>
      </c>
      <c r="J33" s="283">
        <v>0.97067599999999998</v>
      </c>
      <c r="K33" s="283">
        <v>2.9323999999999999E-2</v>
      </c>
      <c r="L33" s="283">
        <v>0.83886799999999995</v>
      </c>
      <c r="M33" s="283">
        <v>0.144398</v>
      </c>
      <c r="N33" s="283">
        <v>1.6735E-2</v>
      </c>
      <c r="O33" s="221">
        <v>6473</v>
      </c>
      <c r="P33" s="314">
        <v>7.6516230490772066E-2</v>
      </c>
      <c r="Q33" s="314">
        <v>7.0759895555159935E-2</v>
      </c>
      <c r="R33" s="235">
        <v>12908</v>
      </c>
      <c r="S33" s="228">
        <v>0.54</v>
      </c>
      <c r="T33" s="228">
        <v>0.46</v>
      </c>
      <c r="U33" s="248"/>
      <c r="V33" s="248"/>
      <c r="W33" s="347"/>
      <c r="X33" s="316">
        <v>3018</v>
      </c>
      <c r="Y33" s="228">
        <v>0.55000000000000004</v>
      </c>
      <c r="Z33" s="228">
        <v>0.45</v>
      </c>
      <c r="AA33" s="248"/>
      <c r="AB33" s="278"/>
      <c r="AC33" s="319"/>
      <c r="AD33" s="230">
        <v>1021</v>
      </c>
      <c r="AE33" s="231">
        <v>0.81</v>
      </c>
      <c r="AF33" s="231">
        <v>0.19</v>
      </c>
      <c r="AG33" s="275"/>
      <c r="AH33" s="275"/>
      <c r="AI33" s="280"/>
      <c r="AJ33" s="380"/>
    </row>
    <row r="34" spans="2:36" x14ac:dyDescent="0.25">
      <c r="B34" s="390"/>
      <c r="C34" s="321">
        <v>45292</v>
      </c>
      <c r="D34" s="316">
        <v>141281</v>
      </c>
      <c r="E34" s="220">
        <v>10889</v>
      </c>
      <c r="F34" s="220">
        <v>6501</v>
      </c>
      <c r="G34" s="220">
        <v>11242</v>
      </c>
      <c r="H34" s="220">
        <v>10548</v>
      </c>
      <c r="I34" s="220">
        <v>141342</v>
      </c>
      <c r="J34" s="283">
        <v>0.97501800000000005</v>
      </c>
      <c r="K34" s="283">
        <v>2.4982000000000001E-2</v>
      </c>
      <c r="L34" s="283">
        <v>0.83095799999999997</v>
      </c>
      <c r="M34" s="283">
        <v>0.15139</v>
      </c>
      <c r="N34" s="283">
        <v>1.7652999999999999E-2</v>
      </c>
      <c r="O34" s="221">
        <v>61</v>
      </c>
      <c r="P34" s="314">
        <v>7.9571916959817662E-2</v>
      </c>
      <c r="Q34" s="314">
        <v>7.4659720698466173E-2</v>
      </c>
      <c r="R34" s="235">
        <v>9258</v>
      </c>
      <c r="S34" s="228">
        <v>0.6</v>
      </c>
      <c r="T34" s="228">
        <v>0.4</v>
      </c>
      <c r="U34" s="248"/>
      <c r="V34" s="248"/>
      <c r="W34" s="347"/>
      <c r="X34" s="316">
        <v>1140</v>
      </c>
      <c r="Y34" s="228">
        <v>0.6</v>
      </c>
      <c r="Z34" s="228">
        <v>0.4</v>
      </c>
      <c r="AA34" s="248"/>
      <c r="AB34" s="278"/>
      <c r="AC34" s="319"/>
      <c r="AD34" s="230">
        <v>491</v>
      </c>
      <c r="AE34" s="231">
        <v>0.8</v>
      </c>
      <c r="AF34" s="231">
        <v>0.2</v>
      </c>
      <c r="AG34" s="275"/>
      <c r="AH34" s="275"/>
      <c r="AI34" s="280"/>
      <c r="AJ34" s="380"/>
    </row>
    <row r="35" spans="2:36" x14ac:dyDescent="0.25">
      <c r="B35" s="390"/>
      <c r="C35" s="321">
        <v>45323</v>
      </c>
      <c r="D35" s="316">
        <f>I34</f>
        <v>141342</v>
      </c>
      <c r="E35" s="220">
        <v>8858</v>
      </c>
      <c r="F35" s="220">
        <v>4572</v>
      </c>
      <c r="G35" s="251">
        <v>9087</v>
      </c>
      <c r="H35" s="311">
        <v>8868</v>
      </c>
      <c r="I35" s="221">
        <v>141146</v>
      </c>
      <c r="J35" s="283">
        <v>0.97935499999999998</v>
      </c>
      <c r="K35" s="283">
        <v>2.0645E-2</v>
      </c>
      <c r="L35" s="283">
        <v>0.82726999999999995</v>
      </c>
      <c r="M35" s="283">
        <v>0.15479999999999999</v>
      </c>
      <c r="N35" s="283">
        <v>1.7930000000000001E-2</v>
      </c>
      <c r="O35" s="221">
        <f>I35-D35</f>
        <v>-196</v>
      </c>
      <c r="P35" s="314">
        <v>6.4290868956148911E-2</v>
      </c>
      <c r="Q35" s="314">
        <v>6.274143566668082E-2</v>
      </c>
      <c r="R35" s="235">
        <v>7963</v>
      </c>
      <c r="S35" s="248">
        <v>0.53</v>
      </c>
      <c r="T35" s="228">
        <v>0.47</v>
      </c>
      <c r="U35" s="248"/>
      <c r="V35" s="248"/>
      <c r="W35" s="347"/>
      <c r="X35" s="316">
        <v>728</v>
      </c>
      <c r="Y35" s="228">
        <v>0.51</v>
      </c>
      <c r="Z35" s="228">
        <v>0.49</v>
      </c>
      <c r="AA35" s="248"/>
      <c r="AB35" s="278"/>
      <c r="AC35" s="319"/>
      <c r="AD35" s="230">
        <v>167</v>
      </c>
      <c r="AE35" s="231">
        <v>0.76</v>
      </c>
      <c r="AF35" s="231">
        <v>0.24</v>
      </c>
      <c r="AG35" s="275"/>
      <c r="AH35" s="275"/>
      <c r="AI35" s="280"/>
      <c r="AJ35" s="380"/>
    </row>
    <row r="36" spans="2:36" x14ac:dyDescent="0.25">
      <c r="B36" s="390"/>
      <c r="C36" s="321">
        <v>45352</v>
      </c>
      <c r="D36" s="316">
        <v>141146</v>
      </c>
      <c r="E36" s="220">
        <v>15382</v>
      </c>
      <c r="F36" s="220">
        <v>8325</v>
      </c>
      <c r="G36" s="251">
        <v>8320</v>
      </c>
      <c r="H36" s="311">
        <v>8138</v>
      </c>
      <c r="I36" s="221">
        <v>148170</v>
      </c>
      <c r="J36" s="283">
        <v>0.971383</v>
      </c>
      <c r="K36" s="283">
        <v>2.8617E-2</v>
      </c>
      <c r="L36" s="283">
        <v>0.82951799999999998</v>
      </c>
      <c r="M36" s="283">
        <v>0.152839</v>
      </c>
      <c r="N36" s="283">
        <v>1.7644E-2</v>
      </c>
      <c r="O36" s="221">
        <v>7024</v>
      </c>
      <c r="P36" s="314">
        <v>5.8946055857055812E-2</v>
      </c>
      <c r="Q36" s="314">
        <v>5.7656610885182716E-2</v>
      </c>
      <c r="R36" s="235">
        <v>14217</v>
      </c>
      <c r="S36" s="228">
        <v>0.55000000000000004</v>
      </c>
      <c r="T36" s="228">
        <v>0.45</v>
      </c>
      <c r="U36" s="248"/>
      <c r="V36" s="248"/>
      <c r="W36" s="347"/>
      <c r="X36" s="316">
        <v>1018</v>
      </c>
      <c r="Y36" s="228">
        <v>0.55000000000000004</v>
      </c>
      <c r="Z36" s="228">
        <v>0.45</v>
      </c>
      <c r="AA36" s="248"/>
      <c r="AB36" s="278"/>
      <c r="AC36" s="319"/>
      <c r="AD36" s="230">
        <v>147</v>
      </c>
      <c r="AE36" s="231">
        <v>0.7</v>
      </c>
      <c r="AF36" s="231">
        <v>0.3</v>
      </c>
      <c r="AG36" s="275"/>
      <c r="AH36" s="275"/>
      <c r="AI36" s="280"/>
      <c r="AJ36" s="380"/>
    </row>
    <row r="37" spans="2:36" x14ac:dyDescent="0.25">
      <c r="B37" s="390"/>
      <c r="C37" s="321">
        <v>45383</v>
      </c>
      <c r="D37" s="316">
        <f>I36</f>
        <v>148170</v>
      </c>
      <c r="E37" s="220">
        <v>8452</v>
      </c>
      <c r="F37" s="220">
        <v>4345</v>
      </c>
      <c r="G37" s="251">
        <v>10454</v>
      </c>
      <c r="H37" s="311">
        <v>10235</v>
      </c>
      <c r="I37" s="221">
        <v>146190</v>
      </c>
      <c r="J37" s="283">
        <v>0.97840099999999997</v>
      </c>
      <c r="K37" s="283">
        <v>2.1599E-2</v>
      </c>
      <c r="L37" s="283">
        <v>0.82439300000000004</v>
      </c>
      <c r="M37" s="283">
        <v>0.157559</v>
      </c>
      <c r="N37" s="283">
        <v>1.8048000000000002E-2</v>
      </c>
      <c r="O37" s="221">
        <f>I37-D37</f>
        <v>-1980</v>
      </c>
      <c r="P37" s="227">
        <v>7.0554093271242485E-2</v>
      </c>
      <c r="Q37" s="287">
        <v>6.9076061280961054E-2</v>
      </c>
      <c r="R37" s="235">
        <v>7666</v>
      </c>
      <c r="S37" s="248">
        <v>0.51</v>
      </c>
      <c r="T37" s="228">
        <v>0.49</v>
      </c>
      <c r="U37" s="248"/>
      <c r="V37" s="248"/>
      <c r="W37" s="347"/>
      <c r="X37" s="316">
        <v>715</v>
      </c>
      <c r="Y37" s="228">
        <v>0.54</v>
      </c>
      <c r="Z37" s="228">
        <v>0.46</v>
      </c>
      <c r="AA37" s="248"/>
      <c r="AB37" s="278"/>
      <c r="AC37" s="319"/>
      <c r="AD37" s="230">
        <v>71</v>
      </c>
      <c r="AE37" s="231">
        <v>0.73</v>
      </c>
      <c r="AF37" s="231">
        <v>0.27</v>
      </c>
      <c r="AG37" s="275"/>
      <c r="AH37" s="275"/>
      <c r="AI37" s="280"/>
      <c r="AJ37" s="380"/>
    </row>
    <row r="38" spans="2:36" x14ac:dyDescent="0.25">
      <c r="B38" s="390"/>
      <c r="C38" s="321">
        <v>45413</v>
      </c>
      <c r="D38" s="316">
        <f t="shared" ref="D38:D51" si="5">I37</f>
        <v>146190</v>
      </c>
      <c r="E38" s="220">
        <v>11274</v>
      </c>
      <c r="F38" s="220">
        <v>5650</v>
      </c>
      <c r="G38" s="251">
        <v>9043</v>
      </c>
      <c r="H38" s="311">
        <v>8663</v>
      </c>
      <c r="I38" s="221">
        <v>148338</v>
      </c>
      <c r="J38" s="283">
        <v>0.97754300000000005</v>
      </c>
      <c r="K38" s="283">
        <v>2.2457000000000001E-2</v>
      </c>
      <c r="L38" s="283">
        <v>0.81722899999999998</v>
      </c>
      <c r="M38" s="283">
        <v>0.16308800000000001</v>
      </c>
      <c r="N38" s="283">
        <v>1.9682999999999999E-2</v>
      </c>
      <c r="O38" s="221">
        <f>I38-D38</f>
        <v>2148</v>
      </c>
      <c r="P38" s="227">
        <v>6.185785621451536E-2</v>
      </c>
      <c r="Q38" s="287">
        <v>5.9258499213352488E-2</v>
      </c>
      <c r="R38" s="235">
        <v>9346</v>
      </c>
      <c r="S38" s="228">
        <v>0.49</v>
      </c>
      <c r="T38" s="228">
        <v>0.51</v>
      </c>
      <c r="U38" s="248"/>
      <c r="V38" s="248"/>
      <c r="W38" s="347"/>
      <c r="X38" s="316">
        <v>1585</v>
      </c>
      <c r="Y38" s="228">
        <v>0.5</v>
      </c>
      <c r="Z38" s="228">
        <v>0.5</v>
      </c>
      <c r="AA38" s="248"/>
      <c r="AB38" s="278"/>
      <c r="AC38" s="319"/>
      <c r="AD38" s="230">
        <v>343</v>
      </c>
      <c r="AE38" s="231">
        <v>0.87</v>
      </c>
      <c r="AF38" s="231">
        <v>0.13</v>
      </c>
      <c r="AG38" s="275"/>
      <c r="AH38" s="275"/>
      <c r="AI38" s="280"/>
      <c r="AJ38" s="380"/>
    </row>
    <row r="39" spans="2:36" x14ac:dyDescent="0.25">
      <c r="B39" s="390"/>
      <c r="C39" s="321">
        <v>45444</v>
      </c>
      <c r="D39" s="316">
        <f t="shared" si="5"/>
        <v>148338</v>
      </c>
      <c r="E39" s="220">
        <v>14185</v>
      </c>
      <c r="F39" s="220">
        <v>7333</v>
      </c>
      <c r="G39" s="251">
        <v>8750</v>
      </c>
      <c r="H39" s="311">
        <v>8331</v>
      </c>
      <c r="I39" s="221">
        <v>153776</v>
      </c>
      <c r="J39" s="283">
        <v>0.97711499999999996</v>
      </c>
      <c r="K39" s="283">
        <v>2.2884999999999999E-2</v>
      </c>
      <c r="L39" s="283">
        <v>0.81504799999999999</v>
      </c>
      <c r="M39" s="283">
        <v>0.16428999999999999</v>
      </c>
      <c r="N39" s="283">
        <v>2.0660999999999999E-2</v>
      </c>
      <c r="O39" s="221">
        <f>I39-D39</f>
        <v>5438</v>
      </c>
      <c r="P39" s="227">
        <v>5.898690827704297E-2</v>
      </c>
      <c r="Q39" s="287">
        <v>5.6162278040690856E-2</v>
      </c>
      <c r="R39" s="235">
        <v>12438</v>
      </c>
      <c r="S39" s="228">
        <v>0.51</v>
      </c>
      <c r="T39" s="228">
        <v>0.49</v>
      </c>
      <c r="U39" s="248"/>
      <c r="V39" s="248"/>
      <c r="W39" s="347"/>
      <c r="X39" s="316">
        <v>1383</v>
      </c>
      <c r="Y39" s="228">
        <v>0.54</v>
      </c>
      <c r="Z39" s="228">
        <v>0.46</v>
      </c>
      <c r="AA39" s="248"/>
      <c r="AB39" s="278"/>
      <c r="AC39" s="319"/>
      <c r="AD39" s="230">
        <v>364</v>
      </c>
      <c r="AE39" s="231">
        <v>0.87</v>
      </c>
      <c r="AF39" s="231">
        <v>0.13</v>
      </c>
      <c r="AG39" s="275"/>
      <c r="AH39" s="275"/>
      <c r="AI39" s="280"/>
      <c r="AJ39" s="380"/>
    </row>
    <row r="40" spans="2:36" x14ac:dyDescent="0.25">
      <c r="B40" s="390"/>
      <c r="C40" s="321">
        <v>45474</v>
      </c>
      <c r="D40" s="316">
        <f t="shared" si="5"/>
        <v>153776</v>
      </c>
      <c r="E40" s="220">
        <v>19647</v>
      </c>
      <c r="F40" s="220">
        <v>10734</v>
      </c>
      <c r="G40" s="251">
        <v>9640</v>
      </c>
      <c r="H40" s="311">
        <v>9285</v>
      </c>
      <c r="I40" s="221">
        <v>163788</v>
      </c>
      <c r="J40" s="283">
        <v>0.97236800000000001</v>
      </c>
      <c r="K40" s="283">
        <v>2.7632E-2</v>
      </c>
      <c r="L40" s="283">
        <v>0.81965100000000002</v>
      </c>
      <c r="M40" s="283">
        <v>0.16039900000000001</v>
      </c>
      <c r="N40" s="283">
        <v>1.9949999999999999E-2</v>
      </c>
      <c r="O40" s="221">
        <f>I40-D40</f>
        <v>10012</v>
      </c>
      <c r="P40" s="227">
        <v>6.2688585995213819E-2</v>
      </c>
      <c r="Q40" s="287">
        <v>6.03800332951826E-2</v>
      </c>
      <c r="R40" s="235">
        <v>18041</v>
      </c>
      <c r="S40" s="228">
        <v>0.55000000000000004</v>
      </c>
      <c r="T40" s="228">
        <v>0.45</v>
      </c>
      <c r="U40" s="248"/>
      <c r="V40" s="248"/>
      <c r="W40" s="347"/>
      <c r="X40" s="316">
        <v>1463</v>
      </c>
      <c r="Y40" s="228">
        <v>0.53</v>
      </c>
      <c r="Z40" s="228">
        <v>0.47</v>
      </c>
      <c r="AA40" s="248"/>
      <c r="AB40" s="278"/>
      <c r="AC40" s="319"/>
      <c r="AD40" s="230">
        <v>143</v>
      </c>
      <c r="AE40" s="231">
        <v>0.77</v>
      </c>
      <c r="AF40" s="231">
        <v>0.23</v>
      </c>
      <c r="AG40" s="275"/>
      <c r="AH40" s="275"/>
      <c r="AI40" s="280"/>
      <c r="AJ40" s="380"/>
    </row>
    <row r="41" spans="2:36" x14ac:dyDescent="0.25">
      <c r="B41" s="390"/>
      <c r="C41" s="321">
        <v>45505</v>
      </c>
      <c r="D41" s="316">
        <f t="shared" si="5"/>
        <v>163788</v>
      </c>
      <c r="E41" s="220">
        <v>17969</v>
      </c>
      <c r="F41" s="220">
        <v>10243</v>
      </c>
      <c r="G41" s="251">
        <v>11850</v>
      </c>
      <c r="H41" s="311">
        <v>11474</v>
      </c>
      <c r="I41" s="221">
        <v>169893</v>
      </c>
      <c r="J41" s="283">
        <v>0.968696</v>
      </c>
      <c r="K41" s="283">
        <v>3.1303999999999998E-2</v>
      </c>
      <c r="L41" s="283">
        <v>0.81940100000000005</v>
      </c>
      <c r="M41" s="283">
        <v>0.16114500000000001</v>
      </c>
      <c r="N41" s="283">
        <v>1.9455E-2</v>
      </c>
      <c r="O41" s="221">
        <f t="shared" ref="O41:O47" si="6">I41-D41</f>
        <v>6105</v>
      </c>
      <c r="P41" s="227">
        <v>7.2349622682980438E-2</v>
      </c>
      <c r="Q41" s="287">
        <v>7.005397220797617E-2</v>
      </c>
      <c r="R41" s="235">
        <v>16367</v>
      </c>
      <c r="S41" s="228">
        <v>0.57999999999999996</v>
      </c>
      <c r="T41" s="228">
        <v>0.42</v>
      </c>
      <c r="U41" s="248"/>
      <c r="V41" s="248"/>
      <c r="W41" s="347"/>
      <c r="X41" s="316">
        <v>1502</v>
      </c>
      <c r="Y41" s="228">
        <v>0.56000000000000005</v>
      </c>
      <c r="Z41" s="228">
        <v>0.44</v>
      </c>
      <c r="AA41" s="248"/>
      <c r="AB41" s="278"/>
      <c r="AC41" s="319"/>
      <c r="AD41" s="230">
        <v>100</v>
      </c>
      <c r="AE41" s="231">
        <v>0.88</v>
      </c>
      <c r="AF41" s="231">
        <v>0.12</v>
      </c>
      <c r="AG41" s="275"/>
      <c r="AH41" s="275"/>
      <c r="AI41" s="280"/>
      <c r="AJ41" s="380"/>
    </row>
    <row r="42" spans="2:36" x14ac:dyDescent="0.25">
      <c r="B42" s="390"/>
      <c r="C42" s="321">
        <v>45536</v>
      </c>
      <c r="D42" s="316">
        <f t="shared" si="5"/>
        <v>169893</v>
      </c>
      <c r="E42" s="220">
        <v>11109</v>
      </c>
      <c r="F42" s="220">
        <v>5974</v>
      </c>
      <c r="G42" s="251">
        <v>12843</v>
      </c>
      <c r="H42" s="311">
        <v>12521</v>
      </c>
      <c r="I42" s="221">
        <v>168212</v>
      </c>
      <c r="J42" s="283">
        <v>0.97766299999999995</v>
      </c>
      <c r="K42" s="283">
        <v>2.2336999999999999E-2</v>
      </c>
      <c r="L42" s="283">
        <v>0.81282900000000002</v>
      </c>
      <c r="M42" s="283">
        <v>0.16733700000000001</v>
      </c>
      <c r="N42" s="283">
        <v>1.9834000000000001E-2</v>
      </c>
      <c r="O42" s="221">
        <f t="shared" si="6"/>
        <v>-1681</v>
      </c>
      <c r="P42" s="227">
        <v>7.5594638978651263E-2</v>
      </c>
      <c r="Q42" s="287">
        <v>7.3699328400816985E-2</v>
      </c>
      <c r="R42" s="235">
        <v>9943</v>
      </c>
      <c r="S42" s="228">
        <v>0.53967620000000005</v>
      </c>
      <c r="T42" s="228">
        <v>0.46032380000000001</v>
      </c>
      <c r="U42" s="248">
        <v>0.98140000000000005</v>
      </c>
      <c r="V42" s="248">
        <v>1.7299999999999999E-2</v>
      </c>
      <c r="W42" s="347">
        <v>1.2999999999999999E-3</v>
      </c>
      <c r="X42" s="316">
        <v>1090</v>
      </c>
      <c r="Y42" s="228">
        <v>0.58348619999999995</v>
      </c>
      <c r="Z42" s="228">
        <v>0.41651379999999999</v>
      </c>
      <c r="AA42" s="248">
        <v>0.75990000000000002</v>
      </c>
      <c r="AB42" s="278">
        <v>0.2225</v>
      </c>
      <c r="AC42" s="319">
        <v>1.7600000000000001E-2</v>
      </c>
      <c r="AD42" s="230">
        <v>76</v>
      </c>
      <c r="AE42" s="231">
        <v>0.81579999999999997</v>
      </c>
      <c r="AF42" s="231">
        <v>0.1842</v>
      </c>
      <c r="AG42" s="275">
        <v>0.35709999999999997</v>
      </c>
      <c r="AH42" s="275">
        <v>0</v>
      </c>
      <c r="AI42" s="280">
        <v>0.64290000000000003</v>
      </c>
      <c r="AJ42" s="380"/>
    </row>
    <row r="43" spans="2:36" x14ac:dyDescent="0.25">
      <c r="B43" s="390"/>
      <c r="C43" s="322">
        <v>45589</v>
      </c>
      <c r="D43" s="316">
        <f t="shared" si="5"/>
        <v>168212</v>
      </c>
      <c r="E43" s="220">
        <v>10716</v>
      </c>
      <c r="F43" s="220">
        <v>5322</v>
      </c>
      <c r="G43" s="251">
        <v>10572</v>
      </c>
      <c r="H43" s="311">
        <v>10310</v>
      </c>
      <c r="I43" s="221">
        <v>168382</v>
      </c>
      <c r="J43" s="283">
        <v>0.97520099999999998</v>
      </c>
      <c r="K43" s="283">
        <v>2.4799000000000002E-2</v>
      </c>
      <c r="L43" s="283">
        <v>0.81025100000000005</v>
      </c>
      <c r="M43" s="283">
        <v>0.16966100000000001</v>
      </c>
      <c r="N43" s="283">
        <v>2.0088000000000002E-2</v>
      </c>
      <c r="O43" s="221">
        <f t="shared" si="6"/>
        <v>170</v>
      </c>
      <c r="P43" s="227">
        <v>6.2849261646018117E-2</v>
      </c>
      <c r="Q43" s="287">
        <v>6.1291703326754335E-2</v>
      </c>
      <c r="R43" s="235">
        <v>9699</v>
      </c>
      <c r="S43" s="228">
        <v>0.49690000000000001</v>
      </c>
      <c r="T43" s="228">
        <v>0.50309999999999999</v>
      </c>
      <c r="U43" s="248">
        <v>0.98629999999999995</v>
      </c>
      <c r="V43" s="248">
        <v>1.2699999999999999E-2</v>
      </c>
      <c r="W43" s="347">
        <v>1E-3</v>
      </c>
      <c r="X43" s="316">
        <v>936</v>
      </c>
      <c r="Y43" s="228">
        <v>0.53420000000000001</v>
      </c>
      <c r="Z43" s="228">
        <v>0.46579999999999999</v>
      </c>
      <c r="AA43" s="248">
        <v>0.76149999999999995</v>
      </c>
      <c r="AB43" s="248">
        <v>0.21329999999999999</v>
      </c>
      <c r="AC43" s="319">
        <v>2.52E-2</v>
      </c>
      <c r="AD43" s="230">
        <v>81</v>
      </c>
      <c r="AE43" s="231">
        <v>0.80249999999999999</v>
      </c>
      <c r="AF43" s="231">
        <v>0.19750000000000001</v>
      </c>
      <c r="AG43" s="275">
        <v>0.4375</v>
      </c>
      <c r="AH43" s="275">
        <v>0.1875</v>
      </c>
      <c r="AI43" s="280">
        <v>0.375</v>
      </c>
      <c r="AJ43" s="380"/>
    </row>
    <row r="44" spans="2:36" x14ac:dyDescent="0.25">
      <c r="B44" s="390"/>
      <c r="C44" s="322">
        <v>45620</v>
      </c>
      <c r="D44" s="316">
        <f t="shared" si="5"/>
        <v>168382</v>
      </c>
      <c r="E44" s="220">
        <v>17953</v>
      </c>
      <c r="F44" s="220">
        <v>8624</v>
      </c>
      <c r="G44" s="251">
        <v>11066</v>
      </c>
      <c r="H44" s="311">
        <v>10460</v>
      </c>
      <c r="I44" s="221">
        <v>173953</v>
      </c>
      <c r="J44" s="283">
        <v>0.95819100000000001</v>
      </c>
      <c r="K44" s="283">
        <v>4.1808999999999999E-2</v>
      </c>
      <c r="L44" s="283">
        <v>0.79529700000000003</v>
      </c>
      <c r="M44" s="283">
        <v>0.18528800000000001</v>
      </c>
      <c r="N44" s="283">
        <v>1.9415000000000002E-2</v>
      </c>
      <c r="O44" s="221">
        <f t="shared" si="6"/>
        <v>5571</v>
      </c>
      <c r="P44" s="227">
        <v>6.5719613735434904E-2</v>
      </c>
      <c r="Q44" s="287">
        <v>6.2120654226698817E-2</v>
      </c>
      <c r="R44" s="235">
        <v>12913</v>
      </c>
      <c r="S44" s="228">
        <v>0.49170000000000003</v>
      </c>
      <c r="T44" s="228">
        <v>0.50829999999999997</v>
      </c>
      <c r="U44" s="229">
        <v>0.98219999999999996</v>
      </c>
      <c r="V44" s="229">
        <v>1.6E-2</v>
      </c>
      <c r="W44" s="347">
        <v>1.8E-3</v>
      </c>
      <c r="X44" s="316">
        <v>4818</v>
      </c>
      <c r="Y44" s="228">
        <v>0.48609999999999998</v>
      </c>
      <c r="Z44" s="228">
        <v>0.51390000000000002</v>
      </c>
      <c r="AA44" s="229">
        <v>0.84809999999999997</v>
      </c>
      <c r="AB44" s="229">
        <v>0.12280000000000001</v>
      </c>
      <c r="AC44" s="228">
        <v>2.9100000000000001E-2</v>
      </c>
      <c r="AD44" s="230">
        <v>222</v>
      </c>
      <c r="AE44" s="231">
        <v>0.81079999999999997</v>
      </c>
      <c r="AF44" s="231">
        <v>0.18920000000000001</v>
      </c>
      <c r="AG44" s="275">
        <v>0.23810000000000001</v>
      </c>
      <c r="AH44" s="275">
        <v>0.1905</v>
      </c>
      <c r="AI44" s="280">
        <v>0.57140000000000002</v>
      </c>
      <c r="AJ44" s="380"/>
    </row>
    <row r="45" spans="2:36" x14ac:dyDescent="0.25">
      <c r="B45" s="390"/>
      <c r="C45" s="322">
        <v>45650</v>
      </c>
      <c r="D45" s="316">
        <f t="shared" si="5"/>
        <v>173953</v>
      </c>
      <c r="E45" s="220">
        <v>26888</v>
      </c>
      <c r="F45" s="220">
        <v>13808</v>
      </c>
      <c r="G45" s="251">
        <v>17410</v>
      </c>
      <c r="H45" s="311">
        <v>13362</v>
      </c>
      <c r="I45" s="221">
        <v>183650</v>
      </c>
      <c r="J45" s="283">
        <v>0.96486300000000003</v>
      </c>
      <c r="K45" s="283">
        <v>3.5137000000000002E-2</v>
      </c>
      <c r="L45" s="283">
        <v>0.750027</v>
      </c>
      <c r="M45" s="283">
        <v>0.224602</v>
      </c>
      <c r="N45" s="283">
        <v>2.5371000000000001E-2</v>
      </c>
      <c r="O45" s="221">
        <f t="shared" si="6"/>
        <v>9697</v>
      </c>
      <c r="P45" s="227">
        <v>0.10008450558484189</v>
      </c>
      <c r="Q45" s="287">
        <v>7.6813852017498976E-2</v>
      </c>
      <c r="R45" s="235">
        <v>13575</v>
      </c>
      <c r="S45" s="228">
        <v>0.48409999999999997</v>
      </c>
      <c r="T45" s="228">
        <v>0.51590000000000003</v>
      </c>
      <c r="U45" s="229">
        <v>0.9899</v>
      </c>
      <c r="V45" s="229">
        <v>8.6999999999999994E-3</v>
      </c>
      <c r="W45" s="347">
        <v>1.4E-3</v>
      </c>
      <c r="X45" s="316">
        <v>11089</v>
      </c>
      <c r="Y45" s="228">
        <v>0.51390000000000002</v>
      </c>
      <c r="Z45" s="228">
        <v>0.48609999999999998</v>
      </c>
      <c r="AA45" s="229">
        <v>0.87760000000000005</v>
      </c>
      <c r="AB45" s="229">
        <v>9.4200000000000006E-2</v>
      </c>
      <c r="AC45" s="228">
        <v>2.8199999999999999E-2</v>
      </c>
      <c r="AD45" s="230">
        <v>2224</v>
      </c>
      <c r="AE45" s="231">
        <v>0.79990000000000006</v>
      </c>
      <c r="AF45" s="265">
        <v>0.2001</v>
      </c>
      <c r="AG45" s="265">
        <v>0.28539999999999999</v>
      </c>
      <c r="AH45" s="275">
        <v>0.31909999999999999</v>
      </c>
      <c r="AI45" s="331">
        <v>0.39550000000000002</v>
      </c>
      <c r="AJ45" s="380"/>
    </row>
    <row r="46" spans="2:36" x14ac:dyDescent="0.25">
      <c r="B46" s="390"/>
      <c r="C46" s="322">
        <v>45682</v>
      </c>
      <c r="D46" s="316">
        <f t="shared" si="5"/>
        <v>183650</v>
      </c>
      <c r="E46" s="220">
        <v>12064</v>
      </c>
      <c r="F46" s="220">
        <v>5925</v>
      </c>
      <c r="G46" s="251">
        <v>14970</v>
      </c>
      <c r="H46" s="311">
        <v>13480</v>
      </c>
      <c r="I46" s="221">
        <v>181824</v>
      </c>
      <c r="J46" s="283">
        <v>0.97738400000000003</v>
      </c>
      <c r="K46" s="283">
        <v>2.2616000000000001E-2</v>
      </c>
      <c r="L46" s="283">
        <v>0.73696200000000001</v>
      </c>
      <c r="M46" s="283">
        <v>0.23433999999999999</v>
      </c>
      <c r="N46" s="283">
        <v>2.8698000000000001E-2</v>
      </c>
      <c r="O46" s="221">
        <f t="shared" si="6"/>
        <v>-1826</v>
      </c>
      <c r="P46" s="227">
        <v>8.1513748979036196E-2</v>
      </c>
      <c r="Q46" s="287">
        <v>7.3400490062619117E-2</v>
      </c>
      <c r="R46" s="235">
        <v>9454</v>
      </c>
      <c r="S46" s="228">
        <v>0.49280000000000002</v>
      </c>
      <c r="T46" s="228">
        <v>0.50719999999999998</v>
      </c>
      <c r="U46" s="229">
        <v>0.97640000000000005</v>
      </c>
      <c r="V46" s="229">
        <v>1.9800000000000002E-2</v>
      </c>
      <c r="W46" s="347">
        <v>3.8E-3</v>
      </c>
      <c r="X46" s="316">
        <v>1567</v>
      </c>
      <c r="Y46" s="228">
        <v>0.48120000000000002</v>
      </c>
      <c r="Z46" s="228">
        <v>0.51880000000000004</v>
      </c>
      <c r="AA46" s="229">
        <v>0.67900000000000005</v>
      </c>
      <c r="AB46" s="229">
        <v>0.2485</v>
      </c>
      <c r="AC46" s="228">
        <v>7.2599999999999998E-2</v>
      </c>
      <c r="AD46" s="230">
        <v>1043</v>
      </c>
      <c r="AE46" s="265">
        <v>0.71519999999999995</v>
      </c>
      <c r="AF46" s="265">
        <v>0.2848</v>
      </c>
      <c r="AG46" s="265">
        <v>0.16500000000000001</v>
      </c>
      <c r="AH46" s="275">
        <v>0.28620000000000001</v>
      </c>
      <c r="AI46" s="331">
        <v>0.54879999999999995</v>
      </c>
      <c r="AJ46" s="380"/>
    </row>
    <row r="47" spans="2:36" x14ac:dyDescent="0.25">
      <c r="B47" s="390"/>
      <c r="C47" s="322">
        <v>45713</v>
      </c>
      <c r="D47" s="316">
        <f t="shared" si="5"/>
        <v>181824</v>
      </c>
      <c r="E47" s="220">
        <v>12980</v>
      </c>
      <c r="F47" s="220">
        <v>6249</v>
      </c>
      <c r="G47" s="251">
        <v>10706</v>
      </c>
      <c r="H47" s="311">
        <v>10428</v>
      </c>
      <c r="I47" s="221">
        <v>184157</v>
      </c>
      <c r="J47" s="283">
        <v>0.97567599999999999</v>
      </c>
      <c r="K47" s="283">
        <v>2.4323999999999998E-2</v>
      </c>
      <c r="L47" s="283">
        <v>0.736317</v>
      </c>
      <c r="M47" s="283">
        <v>0.234352</v>
      </c>
      <c r="N47" s="283">
        <v>2.9330999999999999E-2</v>
      </c>
      <c r="O47" s="221">
        <f t="shared" si="6"/>
        <v>2333</v>
      </c>
      <c r="P47" s="247">
        <v>5.8881115804294261E-2</v>
      </c>
      <c r="Q47" s="287">
        <v>5.7352164730728614E-2</v>
      </c>
      <c r="R47" s="320">
        <v>11666</v>
      </c>
      <c r="S47" s="264">
        <v>0.48870000000000002</v>
      </c>
      <c r="T47" s="248">
        <v>0.51129999999999998</v>
      </c>
      <c r="U47" s="228">
        <v>0.97670000000000001</v>
      </c>
      <c r="V47" s="228">
        <v>2.0500000000000001E-2</v>
      </c>
      <c r="W47" s="237">
        <v>2.8E-3</v>
      </c>
      <c r="X47" s="342">
        <v>985</v>
      </c>
      <c r="Y47" s="319">
        <v>0.45179999999999998</v>
      </c>
      <c r="Z47" s="319">
        <v>0.54820000000000002</v>
      </c>
      <c r="AA47" s="319">
        <v>0.67410000000000003</v>
      </c>
      <c r="AB47" s="319">
        <v>0.28149999999999997</v>
      </c>
      <c r="AC47" s="319">
        <v>4.4400000000000002E-2</v>
      </c>
      <c r="AD47" s="336">
        <v>329</v>
      </c>
      <c r="AE47" s="265">
        <v>0.78720000000000001</v>
      </c>
      <c r="AF47" s="265">
        <v>0.21279999999999999</v>
      </c>
      <c r="AG47" s="265">
        <v>0.21429999999999999</v>
      </c>
      <c r="AH47" s="265">
        <v>0.2286</v>
      </c>
      <c r="AI47" s="280">
        <v>0.55710000000000004</v>
      </c>
      <c r="AJ47" s="380"/>
    </row>
    <row r="48" spans="2:36" x14ac:dyDescent="0.25">
      <c r="B48" s="390"/>
      <c r="C48" s="322">
        <v>45741</v>
      </c>
      <c r="D48" s="316">
        <f t="shared" si="5"/>
        <v>184157</v>
      </c>
      <c r="E48" s="220">
        <v>9419</v>
      </c>
      <c r="F48" s="220">
        <v>3895</v>
      </c>
      <c r="G48" s="251">
        <v>11983</v>
      </c>
      <c r="H48" s="311">
        <v>11736</v>
      </c>
      <c r="I48" s="221">
        <v>181618</v>
      </c>
      <c r="J48" s="283">
        <v>0.97702999999999995</v>
      </c>
      <c r="K48" s="283">
        <v>2.2970000000000001E-2</v>
      </c>
      <c r="L48" s="283">
        <v>0.73020499999999999</v>
      </c>
      <c r="M48" s="283">
        <v>0.23971700000000001</v>
      </c>
      <c r="N48" s="283">
        <v>3.0078000000000001E-2</v>
      </c>
      <c r="O48" s="221">
        <v>-2539</v>
      </c>
      <c r="P48" s="227">
        <v>6.50694787599711E-2</v>
      </c>
      <c r="Q48" s="227">
        <v>6.3728231889094628E-2</v>
      </c>
      <c r="R48" s="235">
        <v>8386</v>
      </c>
      <c r="S48" s="330">
        <v>0.41549999999999998</v>
      </c>
      <c r="T48" s="228">
        <v>0.58450000000000002</v>
      </c>
      <c r="U48" s="228">
        <v>0.98180000000000001</v>
      </c>
      <c r="V48" s="248">
        <v>1.5699999999999999E-2</v>
      </c>
      <c r="W48" s="347">
        <v>2.3999999999999998E-3</v>
      </c>
      <c r="X48" s="342">
        <v>830</v>
      </c>
      <c r="Y48" s="319">
        <v>0.42770000000000002</v>
      </c>
      <c r="Z48" s="319">
        <v>0.57230000000000003</v>
      </c>
      <c r="AA48" s="319">
        <v>0.68420000000000003</v>
      </c>
      <c r="AB48" s="319">
        <v>0.26740000000000003</v>
      </c>
      <c r="AC48" s="319">
        <v>4.8399999999999999E-2</v>
      </c>
      <c r="AD48" s="336">
        <v>203</v>
      </c>
      <c r="AE48" s="265">
        <v>0.7389</v>
      </c>
      <c r="AF48" s="265">
        <v>0.2611</v>
      </c>
      <c r="AG48" s="265">
        <v>0.1321</v>
      </c>
      <c r="AH48" s="275">
        <v>0.24529999999999999</v>
      </c>
      <c r="AI48" s="331">
        <v>0.62260000000000004</v>
      </c>
      <c r="AJ48" s="380"/>
    </row>
    <row r="49" spans="2:38" x14ac:dyDescent="0.25">
      <c r="B49" s="390"/>
      <c r="C49" s="322">
        <v>45772</v>
      </c>
      <c r="D49" s="316">
        <f t="shared" si="5"/>
        <v>181618</v>
      </c>
      <c r="E49" s="220">
        <v>14171</v>
      </c>
      <c r="F49" s="220">
        <v>6266</v>
      </c>
      <c r="G49" s="251">
        <v>10343</v>
      </c>
      <c r="H49" s="311">
        <v>10110</v>
      </c>
      <c r="I49" s="221">
        <v>185405</v>
      </c>
      <c r="J49" s="283">
        <v>0.97489099999999995</v>
      </c>
      <c r="K49" s="283">
        <v>2.5108999999999999E-2</v>
      </c>
      <c r="L49" s="283">
        <v>0.73164099999999999</v>
      </c>
      <c r="M49" s="283">
        <v>0.23827599999999999</v>
      </c>
      <c r="N49" s="283">
        <v>3.0082999999999999E-2</v>
      </c>
      <c r="O49" s="246">
        <f t="shared" ref="O49" si="7">I49-D49</f>
        <v>3787</v>
      </c>
      <c r="P49" s="247">
        <f t="shared" ref="P49" si="8">G49/D49</f>
        <v>5.6949201070378486E-2</v>
      </c>
      <c r="Q49" s="287">
        <f t="shared" ref="Q49" si="9">H49/D49</f>
        <v>5.566628858373069E-2</v>
      </c>
      <c r="R49" s="235">
        <v>12822</v>
      </c>
      <c r="S49" s="332">
        <v>0.44069999999999998</v>
      </c>
      <c r="T49" s="229">
        <v>0.55930000000000002</v>
      </c>
      <c r="U49" s="286">
        <v>0.97960000000000003</v>
      </c>
      <c r="V49" s="286">
        <v>1.77E-2</v>
      </c>
      <c r="W49" s="348">
        <v>2.5999999999999999E-3</v>
      </c>
      <c r="X49" s="342">
        <v>1156</v>
      </c>
      <c r="Y49" s="248">
        <v>0.46710000000000002</v>
      </c>
      <c r="Z49" s="248">
        <v>0.53290000000000004</v>
      </c>
      <c r="AA49" s="334">
        <v>0.67530000000000001</v>
      </c>
      <c r="AB49" s="334">
        <v>0.28570000000000001</v>
      </c>
      <c r="AC49" s="340">
        <v>3.9E-2</v>
      </c>
      <c r="AD49" s="336">
        <v>193</v>
      </c>
      <c r="AE49" s="275">
        <v>0.73580000000000001</v>
      </c>
      <c r="AF49" s="275">
        <v>0.26419999999999999</v>
      </c>
      <c r="AG49" s="247">
        <v>9.8000000000000004E-2</v>
      </c>
      <c r="AH49" s="247">
        <v>0.25490000000000002</v>
      </c>
      <c r="AI49" s="326">
        <v>0.64710000000000001</v>
      </c>
      <c r="AJ49" s="380"/>
    </row>
    <row r="50" spans="2:38" x14ac:dyDescent="0.25">
      <c r="B50" s="390"/>
      <c r="C50" s="322">
        <v>45802</v>
      </c>
      <c r="D50" s="316">
        <f t="shared" si="5"/>
        <v>185405</v>
      </c>
      <c r="E50" s="220">
        <v>23000</v>
      </c>
      <c r="F50" s="220">
        <v>10437</v>
      </c>
      <c r="G50" s="251">
        <v>11685</v>
      </c>
      <c r="H50" s="311">
        <v>10475</v>
      </c>
      <c r="I50" s="221">
        <v>195727</v>
      </c>
      <c r="J50" s="283">
        <v>0.97211800000000004</v>
      </c>
      <c r="K50" s="283">
        <v>2.7882000000000001E-2</v>
      </c>
      <c r="L50" s="283">
        <v>0.72377400000000003</v>
      </c>
      <c r="M50" s="283">
        <v>0.24840499999999999</v>
      </c>
      <c r="N50" s="283">
        <v>2.7820999999999999E-2</v>
      </c>
      <c r="O50" s="221">
        <v>10322</v>
      </c>
      <c r="P50" s="227">
        <v>6.3024190286130405E-2</v>
      </c>
      <c r="Q50" s="227">
        <v>5.6497936948841726E-2</v>
      </c>
      <c r="R50" s="235">
        <v>16916</v>
      </c>
      <c r="S50" s="330">
        <v>0.46350000000000002</v>
      </c>
      <c r="T50" s="248">
        <v>0.53649999999999998</v>
      </c>
      <c r="U50" s="334">
        <v>0.98560000000000003</v>
      </c>
      <c r="V50" s="334">
        <v>1.26E-2</v>
      </c>
      <c r="W50" s="338">
        <v>1.9E-3</v>
      </c>
      <c r="X50" s="342">
        <v>5898</v>
      </c>
      <c r="Y50" s="248">
        <v>0.45610000000000001</v>
      </c>
      <c r="Z50" s="248">
        <v>0.54390000000000005</v>
      </c>
      <c r="AA50" s="334">
        <v>0.86250000000000004</v>
      </c>
      <c r="AB50" s="334">
        <v>0.10970000000000001</v>
      </c>
      <c r="AC50" s="340">
        <v>2.7699999999999999E-2</v>
      </c>
      <c r="AD50" s="336">
        <v>186</v>
      </c>
      <c r="AE50" s="275">
        <v>0.68279999999999996</v>
      </c>
      <c r="AF50" s="275">
        <v>0.31719999999999998</v>
      </c>
      <c r="AG50" s="247">
        <v>0.2203</v>
      </c>
      <c r="AH50" s="247">
        <v>0.32200000000000001</v>
      </c>
      <c r="AI50" s="326">
        <v>0.45760000000000001</v>
      </c>
      <c r="AJ50" s="380"/>
    </row>
    <row r="51" spans="2:38" x14ac:dyDescent="0.25">
      <c r="B51" s="390"/>
      <c r="C51" s="322">
        <v>45833</v>
      </c>
      <c r="D51" s="316">
        <f t="shared" si="5"/>
        <v>195727</v>
      </c>
      <c r="E51" s="220">
        <v>18116</v>
      </c>
      <c r="F51" s="220">
        <v>9173</v>
      </c>
      <c r="G51" s="251">
        <v>12361</v>
      </c>
      <c r="H51" s="311">
        <v>10972</v>
      </c>
      <c r="I51" s="221">
        <v>202517</v>
      </c>
      <c r="J51" s="283">
        <v>0.97787599999999997</v>
      </c>
      <c r="K51" s="283">
        <v>2.2124000000000001E-2</v>
      </c>
      <c r="L51" s="283">
        <v>0.72402599999999995</v>
      </c>
      <c r="M51" s="283">
        <v>0.24963299999999999</v>
      </c>
      <c r="N51" s="283">
        <v>2.6341E-2</v>
      </c>
      <c r="O51" s="246">
        <f t="shared" ref="O51" si="10">I51-D51</f>
        <v>6790</v>
      </c>
      <c r="P51" s="247">
        <f>G51/D51</f>
        <v>6.3154291436541707E-2</v>
      </c>
      <c r="Q51" s="287">
        <f>H51/D51</f>
        <v>5.6057672165822803E-2</v>
      </c>
      <c r="R51" s="320">
        <v>16098</v>
      </c>
      <c r="S51" s="264">
        <v>0.50209999999999999</v>
      </c>
      <c r="T51" s="248">
        <v>0.49790000000000001</v>
      </c>
      <c r="U51" s="334">
        <v>0.97430000000000005</v>
      </c>
      <c r="V51" s="334">
        <v>2.1700000000000001E-2</v>
      </c>
      <c r="W51" s="338">
        <v>4.0000000000000001E-3</v>
      </c>
      <c r="X51" s="342">
        <v>1773</v>
      </c>
      <c r="Y51" s="248">
        <v>0.56850000000000001</v>
      </c>
      <c r="Z51" s="248">
        <v>0.43149999999999999</v>
      </c>
      <c r="AA51" s="334">
        <v>0.65229999999999999</v>
      </c>
      <c r="AB51" s="334">
        <v>0.26269999999999999</v>
      </c>
      <c r="AC51" s="340">
        <v>8.5000000000000006E-2</v>
      </c>
      <c r="AD51" s="336">
        <v>245</v>
      </c>
      <c r="AE51" s="275">
        <v>0.751</v>
      </c>
      <c r="AF51" s="275">
        <v>0.249</v>
      </c>
      <c r="AG51" s="247">
        <v>0.16389999999999999</v>
      </c>
      <c r="AH51" s="247">
        <v>0.2787</v>
      </c>
      <c r="AI51" s="326">
        <v>0.55740000000000001</v>
      </c>
      <c r="AJ51" s="380"/>
    </row>
    <row r="52" spans="2:38" ht="15.75" thickBot="1" x14ac:dyDescent="0.3">
      <c r="B52" s="391"/>
      <c r="C52" s="134" t="s">
        <v>78</v>
      </c>
      <c r="D52" s="119"/>
      <c r="E52" s="55">
        <f>SUM(E5:E51)</f>
        <v>550839</v>
      </c>
      <c r="F52" s="55">
        <f>SUM(F5:F51)</f>
        <v>348365.52</v>
      </c>
      <c r="G52" s="55">
        <f>SUM(G5:G51)</f>
        <v>348374</v>
      </c>
      <c r="H52" s="55"/>
      <c r="I52" s="55"/>
      <c r="J52" s="93"/>
      <c r="K52" s="93"/>
      <c r="L52" s="93"/>
      <c r="M52" s="93"/>
      <c r="N52" s="93"/>
      <c r="O52" s="93"/>
      <c r="P52" s="315"/>
      <c r="Q52" s="315"/>
      <c r="R52" s="349">
        <f>SUM(R5:R51)</f>
        <v>481255</v>
      </c>
      <c r="S52" s="281"/>
      <c r="T52" s="281"/>
      <c r="U52" s="282"/>
      <c r="V52" s="282"/>
      <c r="W52" s="83"/>
      <c r="X52" s="343">
        <f>SUM(X5:X51)</f>
        <v>62372</v>
      </c>
      <c r="Y52" s="317"/>
      <c r="Z52" s="317"/>
      <c r="AA52" s="318"/>
      <c r="AB52" s="318"/>
      <c r="AC52" s="317"/>
      <c r="AD52" s="337">
        <f>SUM(AD5:AD51)</f>
        <v>9932</v>
      </c>
      <c r="AE52" s="281"/>
      <c r="AF52" s="281"/>
      <c r="AG52" s="281"/>
      <c r="AH52" s="282"/>
      <c r="AI52" s="83"/>
      <c r="AJ52" s="384"/>
    </row>
    <row r="54" spans="2:38" x14ac:dyDescent="0.25">
      <c r="I54" s="128"/>
      <c r="J54" s="128"/>
      <c r="K54" s="128"/>
      <c r="L54" s="128"/>
      <c r="M54" s="128"/>
      <c r="N54" s="128"/>
      <c r="S54" s="127"/>
      <c r="T54" s="127"/>
      <c r="U54" s="127"/>
      <c r="V54" s="127"/>
      <c r="W54" s="127"/>
      <c r="Y54" s="102"/>
      <c r="Z54" s="102"/>
      <c r="AA54" s="102"/>
      <c r="AB54" s="102"/>
      <c r="AC54" s="102"/>
      <c r="AD54" s="35"/>
      <c r="AE54" s="35"/>
      <c r="AF54" s="35"/>
      <c r="AG54" s="35"/>
      <c r="AH54" s="35"/>
      <c r="AI54" s="35"/>
      <c r="AJ54" s="125"/>
      <c r="AK54" s="127"/>
    </row>
    <row r="55" spans="2:38" x14ac:dyDescent="0.25">
      <c r="I55" s="128"/>
      <c r="J55" s="128"/>
      <c r="K55" s="128"/>
      <c r="L55" s="128"/>
      <c r="M55" s="128"/>
      <c r="N55" s="128"/>
      <c r="AF55" s="125"/>
      <c r="AG55" s="125"/>
      <c r="AH55" s="125"/>
      <c r="AI55" s="125"/>
      <c r="AJ55" s="127"/>
      <c r="AK55" s="127"/>
      <c r="AL55" s="128"/>
    </row>
    <row r="57" spans="2:38" x14ac:dyDescent="0.25">
      <c r="R57" s="255"/>
      <c r="AJ57" s="125"/>
    </row>
    <row r="58" spans="2:38" x14ac:dyDescent="0.25">
      <c r="O58" s="255"/>
      <c r="AF58" s="127"/>
      <c r="AG58" s="127"/>
      <c r="AH58" s="127"/>
      <c r="AI58" s="127"/>
    </row>
    <row r="59" spans="2:38" x14ac:dyDescent="0.25">
      <c r="AF59" s="127"/>
      <c r="AG59" s="127"/>
      <c r="AH59" s="127"/>
      <c r="AI59" s="127"/>
    </row>
  </sheetData>
  <mergeCells count="7">
    <mergeCell ref="C2:AI2"/>
    <mergeCell ref="AJ3:AJ52"/>
    <mergeCell ref="B4:B52"/>
    <mergeCell ref="R3:W3"/>
    <mergeCell ref="X3:AC3"/>
    <mergeCell ref="AD3:AI3"/>
    <mergeCell ref="D3:Q3"/>
  </mergeCells>
  <pageMargins left="0.7" right="0.7" top="0.75" bottom="0.75" header="0.3" footer="0.3"/>
  <pageSetup orientation="portrait" horizontalDpi="240" verticalDpi="24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145B-1090-443C-A722-EBB3E3A62A4E}">
  <sheetPr codeName="Sheet34">
    <tabColor rgb="FF7030A0"/>
  </sheetPr>
  <dimension ref="B1:U27"/>
  <sheetViews>
    <sheetView zoomScale="75" zoomScaleNormal="80" workbookViewId="0">
      <selection activeCell="M32" sqref="M32"/>
    </sheetView>
  </sheetViews>
  <sheetFormatPr defaultColWidth="8.85546875" defaultRowHeight="15" x14ac:dyDescent="0.25"/>
  <cols>
    <col min="1" max="1" width="8.85546875" style="111"/>
    <col min="2" max="2" width="6.42578125" style="111" bestFit="1" customWidth="1"/>
    <col min="3" max="3" width="10.28515625" style="111" bestFit="1" customWidth="1"/>
    <col min="4" max="4" width="14.7109375" style="111" customWidth="1"/>
    <col min="5" max="5" width="8.42578125" style="111" bestFit="1" customWidth="1"/>
    <col min="6" max="6" width="8.28515625" style="111" bestFit="1" customWidth="1"/>
    <col min="7" max="7" width="7.28515625" style="111" bestFit="1" customWidth="1"/>
    <col min="8" max="8" width="13.85546875" style="111" bestFit="1" customWidth="1"/>
    <col min="9" max="9" width="11.7109375" style="111" bestFit="1" customWidth="1"/>
    <col min="10" max="10" width="6.140625" style="111" bestFit="1" customWidth="1"/>
    <col min="11" max="11" width="8.42578125" style="111" bestFit="1" customWidth="1"/>
    <col min="12" max="12" width="10.85546875" style="111" customWidth="1"/>
    <col min="13" max="13" width="11.140625" style="111" bestFit="1" customWidth="1"/>
    <col min="14" max="14" width="7.7109375" style="111" bestFit="1" customWidth="1"/>
    <col min="15" max="15" width="10.85546875" style="111" bestFit="1" customWidth="1"/>
    <col min="16" max="16" width="11.28515625" style="111" bestFit="1" customWidth="1"/>
    <col min="17" max="17" width="7.5703125" style="111" bestFit="1" customWidth="1"/>
    <col min="18" max="18" width="10.85546875" style="111" bestFit="1" customWidth="1"/>
    <col min="19" max="19" width="11.28515625" style="111" bestFit="1" customWidth="1"/>
    <col min="20" max="20" width="10" style="111" bestFit="1" customWidth="1"/>
    <col min="21" max="16384" width="8.85546875" style="111"/>
  </cols>
  <sheetData>
    <row r="1" spans="2:20" ht="15.75" thickBot="1" x14ac:dyDescent="0.3"/>
    <row r="2" spans="2:20" ht="15.75" thickBot="1" x14ac:dyDescent="0.3">
      <c r="B2" s="47"/>
      <c r="C2" s="376" t="s">
        <v>132</v>
      </c>
      <c r="D2" s="377"/>
      <c r="E2" s="377"/>
      <c r="F2" s="377"/>
      <c r="G2" s="377"/>
      <c r="H2" s="377"/>
      <c r="I2" s="377"/>
      <c r="J2" s="377"/>
      <c r="K2" s="377"/>
      <c r="L2" s="377"/>
      <c r="M2" s="377"/>
      <c r="N2" s="377"/>
      <c r="O2" s="377"/>
      <c r="P2" s="377"/>
      <c r="Q2" s="377"/>
      <c r="R2" s="377"/>
      <c r="S2" s="378"/>
      <c r="T2" s="46" t="s">
        <v>1</v>
      </c>
    </row>
    <row r="3" spans="2:20" ht="15.75" thickBot="1" x14ac:dyDescent="0.3">
      <c r="B3" s="47"/>
      <c r="C3" s="106"/>
      <c r="D3" s="394" t="s">
        <v>127</v>
      </c>
      <c r="E3" s="392"/>
      <c r="F3" s="392"/>
      <c r="G3" s="392"/>
      <c r="H3" s="392"/>
      <c r="I3" s="392"/>
      <c r="J3" s="412"/>
      <c r="K3" s="402" t="s">
        <v>128</v>
      </c>
      <c r="L3" s="385"/>
      <c r="M3" s="385"/>
      <c r="N3" s="402" t="s">
        <v>129</v>
      </c>
      <c r="O3" s="385"/>
      <c r="P3" s="395"/>
      <c r="Q3" s="385" t="s">
        <v>133</v>
      </c>
      <c r="R3" s="385"/>
      <c r="S3" s="395"/>
      <c r="T3" s="373" t="s">
        <v>10</v>
      </c>
    </row>
    <row r="4" spans="2:20" x14ac:dyDescent="0.25">
      <c r="B4" s="389" t="s">
        <v>2</v>
      </c>
      <c r="C4" s="132" t="s">
        <v>3</v>
      </c>
      <c r="D4" s="117" t="s">
        <v>4</v>
      </c>
      <c r="E4" s="114" t="s">
        <v>5</v>
      </c>
      <c r="F4" s="114" t="s">
        <v>6</v>
      </c>
      <c r="G4" s="114" t="s">
        <v>7</v>
      </c>
      <c r="H4" s="114" t="s">
        <v>8</v>
      </c>
      <c r="I4" s="114" t="s">
        <v>114</v>
      </c>
      <c r="J4" s="115" t="s">
        <v>9</v>
      </c>
      <c r="K4" s="57" t="s">
        <v>5</v>
      </c>
      <c r="L4" s="114" t="s">
        <v>115</v>
      </c>
      <c r="M4" s="129" t="s">
        <v>116</v>
      </c>
      <c r="N4" s="57" t="s">
        <v>5</v>
      </c>
      <c r="O4" s="114" t="s">
        <v>115</v>
      </c>
      <c r="P4" s="115" t="s">
        <v>130</v>
      </c>
      <c r="Q4" s="117" t="s">
        <v>5</v>
      </c>
      <c r="R4" s="114" t="s">
        <v>115</v>
      </c>
      <c r="S4" s="115" t="s">
        <v>130</v>
      </c>
      <c r="T4" s="374"/>
    </row>
    <row r="5" spans="2:20" x14ac:dyDescent="0.25">
      <c r="B5" s="390"/>
      <c r="C5" s="132" t="s">
        <v>11</v>
      </c>
      <c r="D5" s="123">
        <v>0</v>
      </c>
      <c r="E5" s="53">
        <v>16908</v>
      </c>
      <c r="F5" s="53">
        <v>16908</v>
      </c>
      <c r="G5" s="52">
        <v>0</v>
      </c>
      <c r="H5" s="89">
        <v>16908</v>
      </c>
      <c r="I5" s="103">
        <v>16908</v>
      </c>
      <c r="J5" s="54" t="s">
        <v>12</v>
      </c>
      <c r="K5" s="121">
        <v>16908</v>
      </c>
      <c r="L5" s="105">
        <v>1</v>
      </c>
      <c r="M5" s="98">
        <v>0</v>
      </c>
      <c r="N5" s="120" t="s">
        <v>12</v>
      </c>
      <c r="O5" s="52" t="s">
        <v>12</v>
      </c>
      <c r="P5" s="54" t="s">
        <v>12</v>
      </c>
      <c r="Q5" s="123" t="s">
        <v>12</v>
      </c>
      <c r="R5" s="52" t="s">
        <v>12</v>
      </c>
      <c r="S5" s="54" t="s">
        <v>12</v>
      </c>
      <c r="T5" s="374"/>
    </row>
    <row r="6" spans="2:20" x14ac:dyDescent="0.25">
      <c r="B6" s="390"/>
      <c r="C6" s="132" t="s">
        <v>77</v>
      </c>
      <c r="D6" s="131">
        <v>16908</v>
      </c>
      <c r="E6" s="53">
        <v>8838</v>
      </c>
      <c r="F6" s="53">
        <v>8527</v>
      </c>
      <c r="G6" s="53">
        <v>1662</v>
      </c>
      <c r="H6" s="89">
        <v>24084</v>
      </c>
      <c r="I6" s="103">
        <v>7176</v>
      </c>
      <c r="J6" s="126">
        <v>9.829666430092264E-2</v>
      </c>
      <c r="K6" s="121">
        <v>8838</v>
      </c>
      <c r="L6" s="105">
        <v>0.96481104322244848</v>
      </c>
      <c r="M6" s="98">
        <v>3.5188956777551482E-2</v>
      </c>
      <c r="N6" s="120" t="s">
        <v>12</v>
      </c>
      <c r="O6" s="52" t="s">
        <v>12</v>
      </c>
      <c r="P6" s="54" t="s">
        <v>12</v>
      </c>
      <c r="Q6" s="123" t="s">
        <v>12</v>
      </c>
      <c r="R6" s="52" t="s">
        <v>12</v>
      </c>
      <c r="S6" s="54" t="s">
        <v>12</v>
      </c>
      <c r="T6" s="374"/>
    </row>
    <row r="7" spans="2:20" x14ac:dyDescent="0.25">
      <c r="B7" s="390"/>
      <c r="C7" s="132" t="s">
        <v>82</v>
      </c>
      <c r="D7" s="131">
        <v>24084</v>
      </c>
      <c r="E7" s="53">
        <v>10402</v>
      </c>
      <c r="F7" s="53">
        <v>9588</v>
      </c>
      <c r="G7" s="53">
        <v>2038</v>
      </c>
      <c r="H7" s="89">
        <v>32448</v>
      </c>
      <c r="I7" s="103">
        <v>8364</v>
      </c>
      <c r="J7" s="126">
        <v>8.4620494934396273E-2</v>
      </c>
      <c r="K7" s="121">
        <v>10402</v>
      </c>
      <c r="L7" s="105">
        <v>0.92174581811190159</v>
      </c>
      <c r="M7" s="98">
        <v>7.8254181888098448E-2</v>
      </c>
      <c r="N7" s="120" t="s">
        <v>12</v>
      </c>
      <c r="O7" s="52" t="s">
        <v>12</v>
      </c>
      <c r="P7" s="54" t="s">
        <v>12</v>
      </c>
      <c r="Q7" s="123" t="s">
        <v>12</v>
      </c>
      <c r="R7" s="52" t="s">
        <v>12</v>
      </c>
      <c r="S7" s="54" t="s">
        <v>12</v>
      </c>
      <c r="T7" s="374"/>
    </row>
    <row r="8" spans="2:20" x14ac:dyDescent="0.25">
      <c r="B8" s="390"/>
      <c r="C8" s="132" t="s">
        <v>86</v>
      </c>
      <c r="D8" s="131">
        <v>32448</v>
      </c>
      <c r="E8" s="53">
        <v>7055</v>
      </c>
      <c r="F8" s="53">
        <v>6350</v>
      </c>
      <c r="G8" s="53">
        <v>1765</v>
      </c>
      <c r="H8" s="89">
        <v>37738</v>
      </c>
      <c r="I8" s="103">
        <v>5290</v>
      </c>
      <c r="J8" s="126">
        <v>5.4394723865877709E-2</v>
      </c>
      <c r="K8" s="121">
        <v>7055</v>
      </c>
      <c r="L8" s="105">
        <v>0.90007087172218281</v>
      </c>
      <c r="M8" s="98">
        <v>9.992912827781715E-2</v>
      </c>
      <c r="N8" s="120" t="s">
        <v>12</v>
      </c>
      <c r="O8" s="52" t="s">
        <v>12</v>
      </c>
      <c r="P8" s="54" t="s">
        <v>12</v>
      </c>
      <c r="Q8" s="123" t="s">
        <v>12</v>
      </c>
      <c r="R8" s="52" t="s">
        <v>12</v>
      </c>
      <c r="S8" s="54" t="s">
        <v>12</v>
      </c>
      <c r="T8" s="374"/>
    </row>
    <row r="9" spans="2:20" x14ac:dyDescent="0.25">
      <c r="B9" s="390"/>
      <c r="C9" s="132" t="s">
        <v>90</v>
      </c>
      <c r="D9" s="131">
        <v>37738</v>
      </c>
      <c r="E9" s="53">
        <v>4453</v>
      </c>
      <c r="F9" s="53">
        <v>3751</v>
      </c>
      <c r="G9" s="53">
        <v>2136</v>
      </c>
      <c r="H9" s="89">
        <v>40055</v>
      </c>
      <c r="I9" s="103">
        <v>2317</v>
      </c>
      <c r="J9" s="126">
        <v>5.6600773755895915E-2</v>
      </c>
      <c r="K9" s="121">
        <v>4453</v>
      </c>
      <c r="L9" s="105">
        <v>0.84235346957107571</v>
      </c>
      <c r="M9" s="98">
        <v>0.15764653042892432</v>
      </c>
      <c r="N9" s="120" t="s">
        <v>12</v>
      </c>
      <c r="O9" s="52" t="s">
        <v>12</v>
      </c>
      <c r="P9" s="54" t="s">
        <v>12</v>
      </c>
      <c r="Q9" s="123" t="s">
        <v>12</v>
      </c>
      <c r="R9" s="52" t="s">
        <v>12</v>
      </c>
      <c r="S9" s="54" t="s">
        <v>12</v>
      </c>
      <c r="T9" s="374"/>
    </row>
    <row r="10" spans="2:20" x14ac:dyDescent="0.25">
      <c r="B10" s="390"/>
      <c r="C10" s="132" t="s">
        <v>94</v>
      </c>
      <c r="D10" s="131">
        <v>40055</v>
      </c>
      <c r="E10" s="53">
        <v>1126</v>
      </c>
      <c r="F10" s="52">
        <v>890</v>
      </c>
      <c r="G10" s="53">
        <v>2158</v>
      </c>
      <c r="H10" s="89">
        <v>39023</v>
      </c>
      <c r="I10" s="103">
        <v>-1032</v>
      </c>
      <c r="J10" s="126">
        <v>5.3875920609162402E-2</v>
      </c>
      <c r="K10" s="121">
        <v>1126</v>
      </c>
      <c r="L10" s="105">
        <v>0.79040852575488452</v>
      </c>
      <c r="M10" s="98">
        <v>0.20959147424511546</v>
      </c>
      <c r="N10" s="120" t="s">
        <v>12</v>
      </c>
      <c r="O10" s="52" t="s">
        <v>12</v>
      </c>
      <c r="P10" s="54" t="s">
        <v>12</v>
      </c>
      <c r="Q10" s="123" t="s">
        <v>12</v>
      </c>
      <c r="R10" s="52" t="s">
        <v>12</v>
      </c>
      <c r="S10" s="54" t="s">
        <v>12</v>
      </c>
      <c r="T10" s="374"/>
    </row>
    <row r="11" spans="2:20" x14ac:dyDescent="0.25">
      <c r="B11" s="390"/>
      <c r="C11" s="132" t="s">
        <v>98</v>
      </c>
      <c r="D11" s="131">
        <v>39023</v>
      </c>
      <c r="E11" s="53">
        <v>2415</v>
      </c>
      <c r="F11" s="53">
        <v>1593</v>
      </c>
      <c r="G11" s="53">
        <v>2117</v>
      </c>
      <c r="H11" s="89">
        <v>39321</v>
      </c>
      <c r="I11" s="103">
        <v>298</v>
      </c>
      <c r="J11" s="126">
        <v>5.4250057658304075E-2</v>
      </c>
      <c r="K11" s="121">
        <v>2415</v>
      </c>
      <c r="L11" s="105">
        <v>0.65962732919254663</v>
      </c>
      <c r="M11" s="98">
        <v>0.34037267080745343</v>
      </c>
      <c r="N11" s="120" t="s">
        <v>12</v>
      </c>
      <c r="O11" s="52" t="s">
        <v>12</v>
      </c>
      <c r="P11" s="54" t="s">
        <v>12</v>
      </c>
      <c r="Q11" s="123" t="s">
        <v>12</v>
      </c>
      <c r="R11" s="52" t="s">
        <v>12</v>
      </c>
      <c r="S11" s="54" t="s">
        <v>12</v>
      </c>
      <c r="T11" s="374"/>
    </row>
    <row r="12" spans="2:20" x14ac:dyDescent="0.25">
      <c r="B12" s="390"/>
      <c r="C12" s="132" t="s">
        <v>102</v>
      </c>
      <c r="D12" s="131">
        <v>39321</v>
      </c>
      <c r="E12" s="53">
        <v>4303</v>
      </c>
      <c r="F12" s="53">
        <v>3269</v>
      </c>
      <c r="G12" s="53">
        <v>1616</v>
      </c>
      <c r="H12" s="89">
        <v>42008</v>
      </c>
      <c r="I12" s="103">
        <v>2687</v>
      </c>
      <c r="J12" s="126">
        <v>4.1097632308435696E-2</v>
      </c>
      <c r="K12" s="121">
        <v>4303</v>
      </c>
      <c r="L12" s="105">
        <v>0.75970253311643043</v>
      </c>
      <c r="M12" s="98">
        <v>0.24029746688356959</v>
      </c>
      <c r="N12" s="120" t="s">
        <v>12</v>
      </c>
      <c r="O12" s="52" t="s">
        <v>12</v>
      </c>
      <c r="P12" s="54" t="s">
        <v>12</v>
      </c>
      <c r="Q12" s="123" t="s">
        <v>12</v>
      </c>
      <c r="R12" s="52" t="s">
        <v>12</v>
      </c>
      <c r="S12" s="54" t="s">
        <v>12</v>
      </c>
      <c r="T12" s="374"/>
    </row>
    <row r="13" spans="2:20" x14ac:dyDescent="0.25">
      <c r="B13" s="390"/>
      <c r="C13" s="132" t="s">
        <v>106</v>
      </c>
      <c r="D13" s="131">
        <v>42008</v>
      </c>
      <c r="E13" s="53">
        <v>7320</v>
      </c>
      <c r="F13" s="53">
        <v>6176</v>
      </c>
      <c r="G13" s="53">
        <v>1969</v>
      </c>
      <c r="H13" s="89">
        <v>47359</v>
      </c>
      <c r="I13" s="103">
        <v>5351</v>
      </c>
      <c r="J13" s="126">
        <v>4.6872024376309274E-2</v>
      </c>
      <c r="K13" s="121">
        <v>7320</v>
      </c>
      <c r="L13" s="105">
        <v>0.8437158469945355</v>
      </c>
      <c r="M13" s="98">
        <v>0.15628415300546447</v>
      </c>
      <c r="N13" s="120" t="s">
        <v>12</v>
      </c>
      <c r="O13" s="52" t="s">
        <v>12</v>
      </c>
      <c r="P13" s="54" t="s">
        <v>12</v>
      </c>
      <c r="Q13" s="123" t="s">
        <v>12</v>
      </c>
      <c r="R13" s="52" t="s">
        <v>12</v>
      </c>
      <c r="S13" s="54" t="s">
        <v>12</v>
      </c>
      <c r="T13" s="374"/>
    </row>
    <row r="14" spans="2:20" x14ac:dyDescent="0.25">
      <c r="B14" s="390"/>
      <c r="C14" s="132" t="s">
        <v>110</v>
      </c>
      <c r="D14" s="131">
        <v>47359</v>
      </c>
      <c r="E14" s="53">
        <v>9040</v>
      </c>
      <c r="F14" s="53">
        <v>7891</v>
      </c>
      <c r="G14" s="53">
        <v>2294</v>
      </c>
      <c r="H14" s="89">
        <v>54105</v>
      </c>
      <c r="I14" s="103">
        <v>6746</v>
      </c>
      <c r="J14" s="126">
        <v>4.8438522772862605E-2</v>
      </c>
      <c r="K14" s="121">
        <v>9040</v>
      </c>
      <c r="L14" s="105">
        <v>0.87289823008849554</v>
      </c>
      <c r="M14" s="98">
        <v>0.12710176991150443</v>
      </c>
      <c r="N14" s="120" t="s">
        <v>12</v>
      </c>
      <c r="O14" s="52" t="s">
        <v>12</v>
      </c>
      <c r="P14" s="54" t="s">
        <v>12</v>
      </c>
      <c r="Q14" s="123" t="s">
        <v>12</v>
      </c>
      <c r="R14" s="52" t="s">
        <v>12</v>
      </c>
      <c r="S14" s="54" t="s">
        <v>12</v>
      </c>
      <c r="T14" s="374"/>
    </row>
    <row r="15" spans="2:20" x14ac:dyDescent="0.25">
      <c r="B15" s="390"/>
      <c r="C15" s="133" t="s">
        <v>117</v>
      </c>
      <c r="D15" s="131">
        <v>54105</v>
      </c>
      <c r="E15" s="89">
        <v>11314</v>
      </c>
      <c r="F15" s="89">
        <v>10076</v>
      </c>
      <c r="G15" s="89">
        <v>2964</v>
      </c>
      <c r="H15" s="89">
        <v>62455</v>
      </c>
      <c r="I15" s="103">
        <v>8350</v>
      </c>
      <c r="J15" s="126">
        <v>5.4782367618519547E-2</v>
      </c>
      <c r="K15" s="122">
        <v>11314</v>
      </c>
      <c r="L15" s="105">
        <v>0.89057804490012371</v>
      </c>
      <c r="M15" s="98">
        <v>0.10942195509987626</v>
      </c>
      <c r="N15" s="120" t="s">
        <v>12</v>
      </c>
      <c r="O15" s="52" t="s">
        <v>12</v>
      </c>
      <c r="P15" s="54" t="s">
        <v>12</v>
      </c>
      <c r="Q15" s="123" t="s">
        <v>12</v>
      </c>
      <c r="R15" s="52" t="s">
        <v>12</v>
      </c>
      <c r="S15" s="54" t="s">
        <v>12</v>
      </c>
      <c r="T15" s="374"/>
    </row>
    <row r="16" spans="2:20" x14ac:dyDescent="0.25">
      <c r="B16" s="390"/>
      <c r="C16" s="133" t="s">
        <v>121</v>
      </c>
      <c r="D16" s="131">
        <v>62455</v>
      </c>
      <c r="E16" s="89">
        <v>13238</v>
      </c>
      <c r="F16" s="89">
        <v>11589</v>
      </c>
      <c r="G16" s="89">
        <v>3606</v>
      </c>
      <c r="H16" s="89">
        <v>72087</v>
      </c>
      <c r="I16" s="103">
        <v>9632</v>
      </c>
      <c r="J16" s="126">
        <v>5.773757105115683E-2</v>
      </c>
      <c r="K16" s="122">
        <v>13238</v>
      </c>
      <c r="L16" s="105">
        <v>0.87543435564284633</v>
      </c>
      <c r="M16" s="104">
        <v>0.12</v>
      </c>
      <c r="N16" s="120" t="s">
        <v>12</v>
      </c>
      <c r="O16" s="52" t="s">
        <v>12</v>
      </c>
      <c r="P16" s="54" t="s">
        <v>12</v>
      </c>
      <c r="Q16" s="123" t="s">
        <v>12</v>
      </c>
      <c r="R16" s="52" t="s">
        <v>12</v>
      </c>
      <c r="S16" s="54" t="s">
        <v>12</v>
      </c>
      <c r="T16" s="374"/>
    </row>
    <row r="17" spans="2:21" x14ac:dyDescent="0.25">
      <c r="B17" s="390"/>
      <c r="C17" s="133" t="s">
        <v>125</v>
      </c>
      <c r="D17" s="131">
        <v>72087</v>
      </c>
      <c r="E17" s="89">
        <v>7144</v>
      </c>
      <c r="F17" s="89">
        <v>5979.5199999999995</v>
      </c>
      <c r="G17" s="89">
        <v>4912</v>
      </c>
      <c r="H17" s="89">
        <v>74319</v>
      </c>
      <c r="I17" s="103">
        <v>2232</v>
      </c>
      <c r="J17" s="126">
        <v>6.76959784704593E-2</v>
      </c>
      <c r="K17" s="122">
        <v>7078</v>
      </c>
      <c r="L17" s="105">
        <v>0.84</v>
      </c>
      <c r="M17" s="104">
        <v>0.16</v>
      </c>
      <c r="N17" s="122">
        <v>66</v>
      </c>
      <c r="O17" s="104">
        <v>0.52</v>
      </c>
      <c r="P17" s="90">
        <v>0.48</v>
      </c>
      <c r="Q17" s="123" t="s">
        <v>12</v>
      </c>
      <c r="R17" s="52" t="s">
        <v>12</v>
      </c>
      <c r="S17" s="54" t="s">
        <v>12</v>
      </c>
      <c r="T17" s="374"/>
    </row>
    <row r="18" spans="2:21" x14ac:dyDescent="0.25">
      <c r="B18" s="390"/>
      <c r="C18" s="133" t="s">
        <v>77</v>
      </c>
      <c r="D18" s="131">
        <v>74319</v>
      </c>
      <c r="E18" s="89">
        <v>6131</v>
      </c>
      <c r="F18" s="89">
        <v>3836</v>
      </c>
      <c r="G18" s="89">
        <v>5685</v>
      </c>
      <c r="H18" s="89">
        <v>74765</v>
      </c>
      <c r="I18" s="103">
        <v>446</v>
      </c>
      <c r="J18" s="126">
        <v>6.0199948869064442E-2</v>
      </c>
      <c r="K18" s="122">
        <v>4413</v>
      </c>
      <c r="L18" s="105">
        <v>0.75</v>
      </c>
      <c r="M18" s="104">
        <v>0.25</v>
      </c>
      <c r="N18" s="122">
        <v>1718</v>
      </c>
      <c r="O18" s="104">
        <v>0.3</v>
      </c>
      <c r="P18" s="90">
        <v>0.7</v>
      </c>
      <c r="Q18" s="123" t="s">
        <v>12</v>
      </c>
      <c r="R18" s="52" t="s">
        <v>12</v>
      </c>
      <c r="S18" s="54" t="s">
        <v>12</v>
      </c>
      <c r="T18" s="374"/>
    </row>
    <row r="19" spans="2:21" x14ac:dyDescent="0.25">
      <c r="B19" s="390"/>
      <c r="C19" s="133" t="s">
        <v>82</v>
      </c>
      <c r="D19" s="131">
        <v>74765</v>
      </c>
      <c r="E19" s="89">
        <v>8097</v>
      </c>
      <c r="F19" s="89">
        <v>5705</v>
      </c>
      <c r="G19" s="89">
        <v>5349</v>
      </c>
      <c r="H19" s="89">
        <v>77513</v>
      </c>
      <c r="I19" s="103">
        <v>2748</v>
      </c>
      <c r="J19" s="126">
        <v>6.5685815555406937E-2</v>
      </c>
      <c r="K19" s="122">
        <v>6929</v>
      </c>
      <c r="L19" s="104">
        <v>0.72</v>
      </c>
      <c r="M19" s="104">
        <v>0.28000000000000003</v>
      </c>
      <c r="N19" s="122">
        <v>1168</v>
      </c>
      <c r="O19" s="104">
        <v>0.63</v>
      </c>
      <c r="P19" s="90">
        <v>0.37</v>
      </c>
      <c r="Q19" s="123" t="s">
        <v>12</v>
      </c>
      <c r="R19" s="52" t="s">
        <v>12</v>
      </c>
      <c r="S19" s="54" t="s">
        <v>12</v>
      </c>
      <c r="T19" s="374"/>
      <c r="U19" s="128"/>
    </row>
    <row r="20" spans="2:21" x14ac:dyDescent="0.25">
      <c r="B20" s="390"/>
      <c r="C20" s="133" t="s">
        <v>86</v>
      </c>
      <c r="D20" s="131">
        <v>77513</v>
      </c>
      <c r="E20" s="89">
        <v>9413</v>
      </c>
      <c r="F20" s="89">
        <v>6723</v>
      </c>
      <c r="G20" s="89">
        <v>5083</v>
      </c>
      <c r="H20" s="89">
        <v>81843</v>
      </c>
      <c r="I20" s="103">
        <v>4330</v>
      </c>
      <c r="J20" s="143">
        <v>5.9293279836930578E-2</v>
      </c>
      <c r="K20" s="118">
        <v>7512</v>
      </c>
      <c r="L20" s="104">
        <v>0.70673588924387643</v>
      </c>
      <c r="M20" s="104">
        <v>0.29326411075612357</v>
      </c>
      <c r="N20" s="122">
        <v>1558</v>
      </c>
      <c r="O20" s="104">
        <v>0.7002567394094994</v>
      </c>
      <c r="P20" s="90">
        <v>0.2997432605905006</v>
      </c>
      <c r="Q20" s="118">
        <v>343</v>
      </c>
      <c r="R20" s="104">
        <v>0.94169096209912539</v>
      </c>
      <c r="S20" s="90">
        <v>5.8309037900874605E-2</v>
      </c>
      <c r="T20" s="374"/>
      <c r="U20" s="128"/>
    </row>
    <row r="21" spans="2:21" x14ac:dyDescent="0.25">
      <c r="B21" s="390"/>
      <c r="C21" s="133" t="s">
        <v>90</v>
      </c>
      <c r="D21" s="131">
        <v>81843</v>
      </c>
      <c r="E21" s="89">
        <v>12545</v>
      </c>
      <c r="F21" s="89">
        <v>9448</v>
      </c>
      <c r="G21" s="89">
        <v>5539</v>
      </c>
      <c r="H21" s="89">
        <v>88849</v>
      </c>
      <c r="I21" s="103">
        <v>7006</v>
      </c>
      <c r="J21" s="152">
        <v>6.0933738988062508E-2</v>
      </c>
      <c r="K21" s="118">
        <v>9343</v>
      </c>
      <c r="L21" s="104">
        <v>0.72760355346248529</v>
      </c>
      <c r="M21" s="104">
        <v>0.27239644653751471</v>
      </c>
      <c r="N21" s="122">
        <v>2527</v>
      </c>
      <c r="O21" s="104">
        <v>0.79343094578551643</v>
      </c>
      <c r="P21" s="90">
        <v>0.20656905421448357</v>
      </c>
      <c r="Q21" s="118">
        <v>675</v>
      </c>
      <c r="R21" s="104">
        <v>0.9555555555555556</v>
      </c>
      <c r="S21" s="90">
        <v>4.4444444444444398E-2</v>
      </c>
      <c r="T21" s="374"/>
      <c r="U21" s="128"/>
    </row>
    <row r="22" spans="2:21" x14ac:dyDescent="0.25">
      <c r="B22" s="390"/>
      <c r="C22" s="133" t="s">
        <v>94</v>
      </c>
      <c r="D22" s="118">
        <v>88849</v>
      </c>
      <c r="E22" s="89">
        <v>10454</v>
      </c>
      <c r="F22" s="89">
        <v>7507</v>
      </c>
      <c r="G22" s="89">
        <v>6546</v>
      </c>
      <c r="H22" s="89">
        <v>92757</v>
      </c>
      <c r="I22" s="103">
        <v>3908</v>
      </c>
      <c r="J22" s="152">
        <v>6.9702529009893183E-2</v>
      </c>
      <c r="K22" s="118">
        <v>8900</v>
      </c>
      <c r="L22" s="104">
        <v>0.70853932584269663</v>
      </c>
      <c r="M22" s="104">
        <v>0.29146067415730337</v>
      </c>
      <c r="N22" s="122">
        <v>1174</v>
      </c>
      <c r="O22" s="104">
        <v>0.70783645655877347</v>
      </c>
      <c r="P22" s="90">
        <v>0.29216354344122658</v>
      </c>
      <c r="Q22" s="118">
        <v>380</v>
      </c>
      <c r="R22" s="104">
        <v>0.97368421052631582</v>
      </c>
      <c r="S22" s="90">
        <v>2.6315789473684209E-2</v>
      </c>
      <c r="T22" s="374"/>
      <c r="U22" s="128"/>
    </row>
    <row r="23" spans="2:21" x14ac:dyDescent="0.25">
      <c r="B23" s="390"/>
      <c r="C23" s="133" t="s">
        <v>98</v>
      </c>
      <c r="D23" s="118">
        <v>92757</v>
      </c>
      <c r="E23" s="89">
        <v>8068</v>
      </c>
      <c r="F23" s="89">
        <v>5523</v>
      </c>
      <c r="G23" s="89">
        <v>5943</v>
      </c>
      <c r="H23" s="89">
        <v>94882</v>
      </c>
      <c r="I23" s="103">
        <v>2125</v>
      </c>
      <c r="J23" s="152">
        <v>6.0999999999999999E-2</v>
      </c>
      <c r="K23" s="118">
        <v>7248</v>
      </c>
      <c r="L23" s="104">
        <v>0.68</v>
      </c>
      <c r="M23" s="104">
        <v>0.32</v>
      </c>
      <c r="N23" s="122">
        <v>698</v>
      </c>
      <c r="O23" s="104">
        <v>0.66</v>
      </c>
      <c r="P23" s="90">
        <v>0.34</v>
      </c>
      <c r="Q23" s="118">
        <v>122</v>
      </c>
      <c r="R23" s="104">
        <v>0.97</v>
      </c>
      <c r="S23" s="90">
        <v>0.03</v>
      </c>
      <c r="T23" s="374"/>
      <c r="U23" s="128"/>
    </row>
    <row r="24" spans="2:21" ht="15.75" thickBot="1" x14ac:dyDescent="0.3">
      <c r="B24" s="391"/>
      <c r="C24" s="134" t="s">
        <v>78</v>
      </c>
      <c r="D24" s="119"/>
      <c r="E24" s="113">
        <v>150196</v>
      </c>
      <c r="F24" s="113">
        <v>125806.52</v>
      </c>
      <c r="G24" s="113">
        <v>57439</v>
      </c>
      <c r="H24" s="113"/>
      <c r="I24" s="130"/>
      <c r="J24" s="145"/>
      <c r="K24" s="113">
        <v>140587</v>
      </c>
      <c r="L24" s="113"/>
      <c r="M24" s="130"/>
      <c r="N24" s="144">
        <v>8211</v>
      </c>
      <c r="O24" s="113"/>
      <c r="P24" s="145"/>
      <c r="Q24" s="189">
        <v>1398</v>
      </c>
      <c r="R24" s="93"/>
      <c r="S24" s="112"/>
      <c r="T24" s="375"/>
    </row>
    <row r="26" spans="2:21" x14ac:dyDescent="0.25">
      <c r="H26" s="128"/>
      <c r="I26" s="128"/>
      <c r="J26" s="128"/>
      <c r="L26" s="35"/>
      <c r="M26" s="75"/>
      <c r="N26" s="75"/>
      <c r="O26" s="35"/>
      <c r="P26" s="75"/>
      <c r="Q26" s="75"/>
      <c r="R26" s="35"/>
      <c r="S26" s="75"/>
    </row>
    <row r="27" spans="2:21" x14ac:dyDescent="0.25">
      <c r="H27" s="128"/>
      <c r="I27" s="128"/>
    </row>
  </sheetData>
  <mergeCells count="7">
    <mergeCell ref="C2:S2"/>
    <mergeCell ref="T3:T24"/>
    <mergeCell ref="B4:B24"/>
    <mergeCell ref="D3:J3"/>
    <mergeCell ref="K3:M3"/>
    <mergeCell ref="N3:P3"/>
    <mergeCell ref="Q3:S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Props1.xml><?xml version="1.0" encoding="utf-8"?>
<ds:datastoreItem xmlns:ds="http://schemas.openxmlformats.org/officeDocument/2006/customXml" ds:itemID="{E9D6A09D-2FCA-4773-8183-2A56F6BF8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ECB25A-A11B-46EE-B2D9-4EAF8AF165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ECD049-A7DC-48A5-8C75-B7BE34AA0C0B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AUG 21</vt:lpstr>
      <vt:lpstr>SEP 21</vt:lpstr>
      <vt:lpstr>OCT 21</vt:lpstr>
      <vt:lpstr>NOV 21</vt:lpstr>
      <vt:lpstr>DEC 21</vt:lpstr>
      <vt:lpstr>JAN 22</vt:lpstr>
      <vt:lpstr>FEB 22</vt:lpstr>
      <vt:lpstr>MAR 22</vt:lpstr>
      <vt:lpstr>APR 22</vt:lpstr>
      <vt:lpstr>MAY 22</vt:lpstr>
      <vt:lpstr>JUN 22</vt:lpstr>
      <vt:lpstr>JUL 22</vt:lpstr>
      <vt:lpstr>AUG 22</vt:lpstr>
      <vt:lpstr>SEP 22</vt:lpstr>
      <vt:lpstr>OCT 22</vt:lpstr>
      <vt:lpstr>NOV 22</vt:lpstr>
      <vt:lpstr>DEC 22</vt:lpstr>
      <vt:lpstr>JAN 23</vt:lpstr>
      <vt:lpstr>FEB 23</vt:lpstr>
      <vt:lpstr>MAR 23</vt:lpstr>
      <vt:lpstr>APR 23</vt:lpstr>
      <vt:lpstr>May 23</vt:lpstr>
      <vt:lpstr>JUN 23</vt:lpstr>
      <vt:lpstr>JUL 23</vt:lpstr>
      <vt:lpstr>AUG 23</vt:lpstr>
      <vt:lpstr>SEP 23</vt:lpstr>
      <vt:lpstr>OCT 23</vt:lpstr>
      <vt:lpstr>NOV 23</vt:lpstr>
      <vt:lpstr>DEC 23</vt:lpstr>
      <vt:lpstr>JAN 24</vt:lpstr>
      <vt:lpstr>FEB 24</vt:lpstr>
      <vt:lpstr>MAR 24</vt:lpstr>
      <vt:lpstr>APR 24</vt:lpstr>
      <vt:lpstr>MAY 24</vt:lpstr>
      <vt:lpstr>JUN 24</vt:lpstr>
      <vt:lpstr>JUL 24</vt:lpstr>
      <vt:lpstr>AUG 24</vt:lpstr>
      <vt:lpstr>SEP 24</vt:lpstr>
      <vt:lpstr>Oct 24</vt:lpstr>
      <vt:lpstr>NOV 24</vt:lpstr>
      <vt:lpstr>DEC 24</vt:lpstr>
      <vt:lpstr>JAN 25</vt:lpstr>
      <vt:lpstr>FEB 25</vt:lpstr>
      <vt:lpstr>MAR 25</vt:lpstr>
      <vt:lpstr>APR 25</vt:lpstr>
      <vt:lpstr>MAY 25</vt:lpstr>
      <vt:lpstr>JUN 25</vt:lpstr>
      <vt:lpstr>JUL 25</vt:lpstr>
      <vt:lpstr>AUG 25</vt:lpstr>
      <vt:lpstr>SEP 25</vt:lpstr>
      <vt:lpstr>OCT 25</vt:lpstr>
      <vt:lpstr>NOV 25</vt:lpstr>
      <vt:lpstr>DEC 25</vt:lpstr>
      <vt:lpstr>JAN 26</vt:lpstr>
      <vt:lpstr>MOM</vt:lpstr>
      <vt:lpstr>WIP</vt:lpstr>
      <vt:lpstr>ALT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Bennett Harris</dc:creator>
  <cp:keywords/>
  <dc:description/>
  <cp:lastModifiedBy>Ranjan Mishra</cp:lastModifiedBy>
  <cp:revision/>
  <dcterms:created xsi:type="dcterms:W3CDTF">2021-12-02T16:38:36Z</dcterms:created>
  <dcterms:modified xsi:type="dcterms:W3CDTF">2026-02-03T15:20:16Z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