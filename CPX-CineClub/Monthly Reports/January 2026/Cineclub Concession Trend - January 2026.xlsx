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48" documentId="8_{D017C2CE-36B6-416F-95B0-E28F40A14CCB}" xr6:coauthVersionLast="47" xr6:coauthVersionMax="47" xr10:uidLastSave="{C6579843-41A0-41E0-ACA8-C9C6A0B0C6FE}"/>
  <bookViews>
    <workbookView xWindow="-120" yWindow="-120" windowWidth="29040" windowHeight="15720" activeTab="1" xr2:uid="{ACADFAE0-FD56-4A43-A20E-4908E41EE0AF}"/>
  </bookViews>
  <sheets>
    <sheet name="CONCESSION" sheetId="3" r:id="rId1"/>
    <sheet name="TR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4" i="2" l="1"/>
  <c r="G54" i="2"/>
  <c r="F54" i="2"/>
  <c r="C54" i="2"/>
  <c r="D54" i="2"/>
  <c r="E54" i="2"/>
  <c r="E53" i="3"/>
  <c r="S53" i="3"/>
  <c r="R53" i="3"/>
  <c r="T53" i="3" s="1"/>
  <c r="K53" i="3"/>
  <c r="H53" i="3"/>
  <c r="E53" i="2"/>
  <c r="S52" i="3"/>
  <c r="R52" i="3"/>
  <c r="T52" i="3" s="1"/>
  <c r="K52" i="3"/>
  <c r="E52" i="3"/>
  <c r="L52" i="3" s="1"/>
  <c r="H52" i="3"/>
  <c r="E52" i="2"/>
  <c r="S51" i="3"/>
  <c r="R51" i="3"/>
  <c r="T51" i="3" s="1"/>
  <c r="K51" i="3"/>
  <c r="H51" i="3"/>
  <c r="M51" i="3" s="1"/>
  <c r="E51" i="3"/>
  <c r="E51" i="2"/>
  <c r="S50" i="3"/>
  <c r="R50" i="3"/>
  <c r="T50" i="3" s="1"/>
  <c r="K50" i="3"/>
  <c r="E50" i="3"/>
  <c r="H50" i="3"/>
  <c r="S49" i="3"/>
  <c r="E50" i="2"/>
  <c r="M50" i="3" l="1"/>
  <c r="L53" i="3"/>
  <c r="M53" i="3"/>
  <c r="M52" i="3"/>
  <c r="L51" i="3"/>
  <c r="L50" i="3"/>
  <c r="R49" i="3"/>
  <c r="T49" i="3" s="1"/>
  <c r="K49" i="3"/>
  <c r="H49" i="3"/>
  <c r="E49" i="3"/>
  <c r="M49" i="3" s="1"/>
  <c r="E49" i="2"/>
  <c r="S48" i="3"/>
  <c r="R48" i="3"/>
  <c r="T48" i="3" s="1"/>
  <c r="K48" i="3"/>
  <c r="H48" i="3"/>
  <c r="E48" i="3"/>
  <c r="M48" i="3" s="1"/>
  <c r="E48" i="2"/>
  <c r="S47" i="3"/>
  <c r="H47" i="3"/>
  <c r="L49" i="3" l="1"/>
  <c r="L48" i="3"/>
  <c r="K47" i="3"/>
  <c r="R47" i="3"/>
  <c r="T47" i="3"/>
  <c r="E47" i="3"/>
  <c r="M47" i="3" s="1"/>
  <c r="E47" i="2"/>
  <c r="E46" i="2"/>
  <c r="S46" i="3"/>
  <c r="R46" i="3"/>
  <c r="T46" i="3" s="1"/>
  <c r="K46" i="3"/>
  <c r="H46" i="3"/>
  <c r="E46" i="3"/>
  <c r="M46" i="3" s="1"/>
  <c r="E45" i="2"/>
  <c r="S44" i="3"/>
  <c r="S45" i="3"/>
  <c r="R44" i="3"/>
  <c r="T44" i="3" s="1"/>
  <c r="R45" i="3"/>
  <c r="T45" i="3" s="1"/>
  <c r="K44" i="3"/>
  <c r="L44" i="3" s="1"/>
  <c r="K45" i="3"/>
  <c r="H45" i="3"/>
  <c r="H44" i="3"/>
  <c r="E45" i="3"/>
  <c r="M45" i="3" s="1"/>
  <c r="E44" i="3"/>
  <c r="E43" i="2"/>
  <c r="E44" i="2"/>
  <c r="S43" i="3"/>
  <c r="R43" i="3"/>
  <c r="T43" i="3" s="1"/>
  <c r="K43" i="3"/>
  <c r="H43" i="3"/>
  <c r="E43" i="3"/>
  <c r="M43" i="3" l="1"/>
  <c r="L43" i="3"/>
  <c r="L45" i="3"/>
  <c r="M44" i="3"/>
  <c r="L47" i="3"/>
  <c r="L46" i="3"/>
  <c r="E42" i="2"/>
  <c r="S41" i="3"/>
  <c r="S42" i="3"/>
  <c r="R41" i="3"/>
  <c r="T41" i="3" s="1"/>
  <c r="R42" i="3"/>
  <c r="T42" i="3" s="1"/>
  <c r="K42" i="3"/>
  <c r="L42" i="3" s="1"/>
  <c r="K41" i="3"/>
  <c r="H41" i="3"/>
  <c r="H42" i="3"/>
  <c r="E41" i="3"/>
  <c r="M41" i="3" s="1"/>
  <c r="E42" i="3"/>
  <c r="M42" i="3" l="1"/>
  <c r="L41" i="3"/>
  <c r="E40" i="2"/>
  <c r="E41" i="2"/>
  <c r="S39" i="3"/>
  <c r="S40" i="3"/>
  <c r="R39" i="3"/>
  <c r="T39" i="3" s="1"/>
  <c r="R40" i="3"/>
  <c r="T40" i="3" s="1"/>
  <c r="K39" i="3"/>
  <c r="K40" i="3"/>
  <c r="H39" i="3"/>
  <c r="H40" i="3"/>
  <c r="E39" i="3"/>
  <c r="E40" i="3"/>
  <c r="E39" i="2"/>
  <c r="E38" i="2"/>
  <c r="S37" i="3"/>
  <c r="S38" i="3"/>
  <c r="R37" i="3"/>
  <c r="T37" i="3" s="1"/>
  <c r="R38" i="3"/>
  <c r="T38" i="3" s="1"/>
  <c r="K37" i="3"/>
  <c r="K38" i="3"/>
  <c r="L38" i="3" s="1"/>
  <c r="H37" i="3"/>
  <c r="H38" i="3"/>
  <c r="E37" i="3"/>
  <c r="E38" i="3"/>
  <c r="E35" i="2"/>
  <c r="E36" i="2"/>
  <c r="E37" i="2"/>
  <c r="S35" i="3"/>
  <c r="S36" i="3"/>
  <c r="R35" i="3"/>
  <c r="T35" i="3" s="1"/>
  <c r="R36" i="3"/>
  <c r="T36" i="3" s="1"/>
  <c r="K35" i="3"/>
  <c r="K36" i="3"/>
  <c r="H34" i="3"/>
  <c r="H35" i="3"/>
  <c r="H36" i="3"/>
  <c r="E35" i="3"/>
  <c r="E36" i="3"/>
  <c r="H32" i="3"/>
  <c r="H33" i="3"/>
  <c r="S34" i="3"/>
  <c r="R34" i="3"/>
  <c r="T34" i="3" s="1"/>
  <c r="K34" i="3"/>
  <c r="E34" i="3"/>
  <c r="L34" i="3" s="1"/>
  <c r="E33" i="2"/>
  <c r="E34" i="2"/>
  <c r="S32" i="3"/>
  <c r="S33" i="3"/>
  <c r="R32" i="3"/>
  <c r="T32" i="3" s="1"/>
  <c r="R33" i="3"/>
  <c r="T33" i="3" s="1"/>
  <c r="K32" i="3"/>
  <c r="K33" i="3"/>
  <c r="E32" i="3"/>
  <c r="E33" i="3"/>
  <c r="E31" i="2"/>
  <c r="E32" i="2"/>
  <c r="S31" i="3"/>
  <c r="K31" i="3"/>
  <c r="R31" i="3"/>
  <c r="T31" i="3" s="1"/>
  <c r="H31" i="3"/>
  <c r="E31" i="3"/>
  <c r="L39" i="3" l="1"/>
  <c r="M40" i="3"/>
  <c r="M39" i="3"/>
  <c r="M38" i="3"/>
  <c r="L32" i="3"/>
  <c r="L40" i="3"/>
  <c r="L37" i="3"/>
  <c r="M37" i="3"/>
  <c r="L35" i="3"/>
  <c r="M35" i="3"/>
  <c r="L36" i="3"/>
  <c r="M36" i="3"/>
  <c r="L33" i="3"/>
  <c r="M34" i="3"/>
  <c r="M33" i="3"/>
  <c r="M32" i="3"/>
  <c r="M31" i="3"/>
  <c r="L31" i="3"/>
  <c r="K30" i="3" l="1"/>
  <c r="R30" i="3"/>
  <c r="T30" i="3" s="1"/>
  <c r="H30" i="3"/>
  <c r="E30" i="3"/>
  <c r="S30" i="3"/>
  <c r="E30" i="2"/>
  <c r="R29" i="3"/>
  <c r="T29" i="3" s="1"/>
  <c r="K29" i="3"/>
  <c r="H29" i="3"/>
  <c r="E29" i="3"/>
  <c r="S29" i="3"/>
  <c r="E29" i="2"/>
  <c r="H28" i="3"/>
  <c r="K28" i="3"/>
  <c r="R28" i="3"/>
  <c r="T28" i="3" s="1"/>
  <c r="E28" i="3"/>
  <c r="S28" i="3"/>
  <c r="E28" i="2"/>
  <c r="S27" i="3"/>
  <c r="R27" i="3"/>
  <c r="T27" i="3" s="1"/>
  <c r="K27" i="3"/>
  <c r="H27" i="3"/>
  <c r="E27" i="3"/>
  <c r="M27" i="3" l="1"/>
  <c r="M30" i="3"/>
  <c r="L28" i="3"/>
  <c r="M29" i="3"/>
  <c r="L29" i="3"/>
  <c r="L27" i="3"/>
  <c r="M28" i="3"/>
  <c r="L30" i="3"/>
  <c r="E27" i="2"/>
  <c r="K26" i="3"/>
  <c r="R26" i="3"/>
  <c r="T26" i="3" s="1"/>
  <c r="H26" i="3"/>
  <c r="H25" i="3"/>
  <c r="E26" i="3"/>
  <c r="S26" i="3"/>
  <c r="R20" i="3"/>
  <c r="T20" i="3" s="1"/>
  <c r="E26" i="2"/>
  <c r="R25" i="3"/>
  <c r="T25" i="3" s="1"/>
  <c r="K25" i="3"/>
  <c r="E25" i="3"/>
  <c r="S25" i="3"/>
  <c r="E25" i="2"/>
  <c r="S24" i="3"/>
  <c r="S23" i="3"/>
  <c r="K23" i="3"/>
  <c r="K22" i="3"/>
  <c r="K21" i="3"/>
  <c r="K24" i="3"/>
  <c r="H24" i="3"/>
  <c r="H23" i="3"/>
  <c r="E24" i="3"/>
  <c r="R24" i="3"/>
  <c r="T24" i="3" s="1"/>
  <c r="E24" i="2"/>
  <c r="R23" i="3"/>
  <c r="T23" i="3" s="1"/>
  <c r="M26" i="3" l="1"/>
  <c r="M25" i="3"/>
  <c r="L26" i="3"/>
  <c r="M24" i="3"/>
  <c r="L25" i="3"/>
  <c r="L24" i="3"/>
  <c r="E23" i="3"/>
  <c r="M23" i="3" s="1"/>
  <c r="L23" i="3" l="1"/>
  <c r="E23" i="2"/>
  <c r="R22" i="3"/>
  <c r="T22" i="3" s="1"/>
  <c r="S22" i="3"/>
  <c r="E22" i="3"/>
  <c r="L22" i="3" s="1"/>
  <c r="H22" i="3"/>
  <c r="E22" i="2"/>
  <c r="S21" i="3"/>
  <c r="R21" i="3"/>
  <c r="T21" i="3" s="1"/>
  <c r="H21" i="3"/>
  <c r="E21" i="3"/>
  <c r="E21" i="2"/>
  <c r="K20" i="3"/>
  <c r="E20" i="3"/>
  <c r="H20" i="3"/>
  <c r="S20" i="3"/>
  <c r="M21" i="3" l="1"/>
  <c r="M22" i="3"/>
  <c r="L21" i="3"/>
  <c r="L20" i="3"/>
  <c r="M20" i="3"/>
  <c r="E20" i="2"/>
  <c r="S19" i="3"/>
  <c r="H19" i="3"/>
  <c r="R19" i="3" l="1"/>
  <c r="T19" i="3" s="1"/>
  <c r="K19" i="3"/>
  <c r="E19" i="3"/>
  <c r="M19" i="3" s="1"/>
  <c r="L19" i="3" l="1"/>
  <c r="E19" i="2"/>
  <c r="R18" i="3"/>
  <c r="T18" i="3" s="1"/>
  <c r="K18" i="3"/>
  <c r="H18" i="3"/>
  <c r="E18" i="3"/>
  <c r="S18" i="3"/>
  <c r="E17" i="3"/>
  <c r="M18" i="3" l="1"/>
  <c r="L18" i="3"/>
  <c r="E18" i="2"/>
  <c r="E17" i="2"/>
  <c r="R17" i="3"/>
  <c r="T17" i="3" s="1"/>
  <c r="S17" i="3"/>
  <c r="K17" i="3"/>
  <c r="L17" i="3" s="1"/>
  <c r="H17" i="3"/>
  <c r="S14" i="3"/>
  <c r="S15" i="3"/>
  <c r="S16" i="3"/>
  <c r="R14" i="3"/>
  <c r="T14" i="3" s="1"/>
  <c r="R15" i="3"/>
  <c r="T15" i="3" s="1"/>
  <c r="R16" i="3"/>
  <c r="T16" i="3" s="1"/>
  <c r="K14" i="3"/>
  <c r="K15" i="3"/>
  <c r="K16" i="3"/>
  <c r="H14" i="3"/>
  <c r="H15" i="3"/>
  <c r="H16" i="3"/>
  <c r="E14" i="3"/>
  <c r="E15" i="3"/>
  <c r="E16" i="3"/>
  <c r="E16" i="2"/>
  <c r="E15" i="2"/>
  <c r="E14" i="2"/>
  <c r="S13" i="3"/>
  <c r="E12" i="2"/>
  <c r="E13" i="2"/>
  <c r="R13" i="3"/>
  <c r="T13" i="3" s="1"/>
  <c r="K13" i="3"/>
  <c r="H13" i="3"/>
  <c r="E13" i="3"/>
  <c r="R12" i="3"/>
  <c r="T12" i="3" s="1"/>
  <c r="S12" i="3"/>
  <c r="S3" i="3"/>
  <c r="S4" i="3"/>
  <c r="S5" i="3"/>
  <c r="S6" i="3"/>
  <c r="S7" i="3"/>
  <c r="S8" i="3"/>
  <c r="S9" i="3"/>
  <c r="S10" i="3"/>
  <c r="S11" i="3"/>
  <c r="S2" i="3"/>
  <c r="R2" i="3"/>
  <c r="T2" i="3" s="1"/>
  <c r="R3" i="3"/>
  <c r="T3" i="3" s="1"/>
  <c r="R4" i="3"/>
  <c r="T4" i="3" s="1"/>
  <c r="R5" i="3"/>
  <c r="T5" i="3" s="1"/>
  <c r="R6" i="3"/>
  <c r="T6" i="3" s="1"/>
  <c r="R7" i="3"/>
  <c r="T7" i="3" s="1"/>
  <c r="R8" i="3"/>
  <c r="T8" i="3" s="1"/>
  <c r="R9" i="3"/>
  <c r="T9" i="3" s="1"/>
  <c r="R10" i="3"/>
  <c r="T10" i="3" s="1"/>
  <c r="R11" i="3"/>
  <c r="T11" i="3" s="1"/>
  <c r="K2" i="3"/>
  <c r="K3" i="3"/>
  <c r="K4" i="3"/>
  <c r="K5" i="3"/>
  <c r="K6" i="3"/>
  <c r="K7" i="3"/>
  <c r="K8" i="3"/>
  <c r="K9" i="3"/>
  <c r="K10" i="3"/>
  <c r="K11" i="3"/>
  <c r="H2" i="3"/>
  <c r="H3" i="3"/>
  <c r="H4" i="3"/>
  <c r="H5" i="3"/>
  <c r="H6" i="3"/>
  <c r="H7" i="3"/>
  <c r="H8" i="3"/>
  <c r="H9" i="3"/>
  <c r="H10" i="3"/>
  <c r="H11" i="3"/>
  <c r="E2" i="3"/>
  <c r="E3" i="3"/>
  <c r="E4" i="3"/>
  <c r="E5" i="3"/>
  <c r="E6" i="3"/>
  <c r="E7" i="3"/>
  <c r="E8" i="3"/>
  <c r="E9" i="3"/>
  <c r="E10" i="3"/>
  <c r="E11" i="3"/>
  <c r="K12" i="3"/>
  <c r="H12" i="3"/>
  <c r="E12" i="3"/>
  <c r="M10" i="3" l="1"/>
  <c r="L10" i="3"/>
  <c r="M17" i="3"/>
  <c r="M13" i="3"/>
  <c r="M16" i="3"/>
  <c r="M11" i="3"/>
  <c r="L12" i="3"/>
  <c r="L11" i="3"/>
  <c r="L3" i="3"/>
  <c r="L15" i="3"/>
  <c r="L9" i="3"/>
  <c r="L2" i="3"/>
  <c r="L14" i="3"/>
  <c r="M14" i="3"/>
  <c r="L4" i="3"/>
  <c r="L16" i="3"/>
  <c r="M6" i="3"/>
  <c r="M2" i="3"/>
  <c r="L8" i="3"/>
  <c r="M15" i="3"/>
  <c r="M3" i="3"/>
  <c r="L7" i="3"/>
  <c r="M7" i="3"/>
  <c r="L5" i="3"/>
  <c r="L6" i="3"/>
  <c r="L13" i="3"/>
  <c r="M12" i="3"/>
  <c r="M9" i="3"/>
  <c r="M5" i="3"/>
  <c r="M8" i="3"/>
  <c r="M4" i="3"/>
  <c r="G9" i="2" l="1"/>
  <c r="G8" i="2"/>
  <c r="G7" i="2"/>
  <c r="G6" i="2"/>
  <c r="G5" i="2"/>
  <c r="G4" i="2"/>
  <c r="G3" i="2"/>
  <c r="F9" i="2"/>
  <c r="F8" i="2"/>
  <c r="F7" i="2"/>
  <c r="F6" i="2"/>
  <c r="F5" i="2"/>
  <c r="F4" i="2"/>
  <c r="F3" i="2"/>
  <c r="C9" i="2"/>
  <c r="C8" i="2"/>
  <c r="C7" i="2"/>
  <c r="C6" i="2"/>
  <c r="C5" i="2"/>
  <c r="C4" i="2"/>
  <c r="C3" i="2"/>
  <c r="C11" i="2"/>
  <c r="G10" i="2"/>
  <c r="F10" i="2"/>
  <c r="D10" i="2" s="1"/>
  <c r="C10" i="2"/>
  <c r="E10" i="2" l="1"/>
  <c r="F11" i="2"/>
  <c r="D11" i="2" s="1"/>
  <c r="E11" i="2" s="1"/>
  <c r="G11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3" i="2"/>
  <c r="E3" i="2" s="1"/>
</calcChain>
</file>

<file path=xl/sharedStrings.xml><?xml version="1.0" encoding="utf-8"?>
<sst xmlns="http://schemas.openxmlformats.org/spreadsheetml/2006/main" count="133" uniqueCount="39">
  <si>
    <t>Total Transactions</t>
  </si>
  <si>
    <t>Total Revenue</t>
  </si>
  <si>
    <t>April</t>
  </si>
  <si>
    <t>EXH</t>
  </si>
  <si>
    <t>CC</t>
  </si>
  <si>
    <t>October</t>
  </si>
  <si>
    <t>November</t>
  </si>
  <si>
    <t>December</t>
  </si>
  <si>
    <t>January</t>
  </si>
  <si>
    <t>February</t>
  </si>
  <si>
    <t>March</t>
  </si>
  <si>
    <t>Month</t>
  </si>
  <si>
    <t>Concession Incidence</t>
  </si>
  <si>
    <t>CC Attendance</t>
  </si>
  <si>
    <t>% increment from EXH</t>
  </si>
  <si>
    <t>CC Pre Discount</t>
  </si>
  <si>
    <t>CC Post Discount</t>
  </si>
  <si>
    <t>Transaction Count With Concessions</t>
  </si>
  <si>
    <t>Transaction Count</t>
  </si>
  <si>
    <t>Con Incidence 2</t>
  </si>
  <si>
    <t>Con Incidence 
(CC Transactions/Total Transactions)</t>
  </si>
  <si>
    <t>Concession Spend</t>
  </si>
  <si>
    <t>Total Attendance</t>
  </si>
  <si>
    <t>EXH Attendance</t>
  </si>
  <si>
    <t>CC Revenue</t>
  </si>
  <si>
    <t>EXH Revenue</t>
  </si>
  <si>
    <t>EXH Concession</t>
  </si>
  <si>
    <t>CC Concession (Post Discount)</t>
  </si>
  <si>
    <t>CC Concession (Pre Discount)</t>
  </si>
  <si>
    <t>May</t>
  </si>
  <si>
    <t>June</t>
  </si>
  <si>
    <t>July</t>
  </si>
  <si>
    <t>EXH Transactions</t>
  </si>
  <si>
    <t>EXH Incidence</t>
  </si>
  <si>
    <t>CC Incidence</t>
  </si>
  <si>
    <t>August</t>
  </si>
  <si>
    <t>September</t>
  </si>
  <si>
    <t>CC Transactions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</si>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</sst>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_-&quot;$&quot;* #,##0.00_-;\-&quot;$&quot;* #,##0.00_-;_-&quot;$&quot;* &quot;-&quot;??_-;_-@_-"/>
    <numFmt numFmtId="166" formatCode="0.0%"/>
    <numFmt numFmtId="167" formatCode="&quot;$&quot;#,##0.00"/>
    <numFmt numFmtId="168" formatCode="&quot;$&quot;#,##0"/>
    <numFmt numFmtId="169" formatCode="#,##0;\-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9" fontId="0" fillId="0" borderId="1" xfId="1" applyFont="1" applyFill="1" applyBorder="1" applyAlignment="1">
      <alignment horizontal="center"/>
    </xf>
    <xf numFmtId="37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0" xfId="0" applyFont="1"/>
    <xf numFmtId="167" fontId="3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167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quotePrefix="1"/>
    <xf numFmtId="9" fontId="0" fillId="0" borderId="0" xfId="1" applyFont="1" applyFill="1" applyBorder="1"/>
    <xf numFmtId="167" fontId="2" fillId="0" borderId="0" xfId="0" applyNumberFormat="1" applyFont="1"/>
    <xf numFmtId="9" fontId="0" fillId="0" borderId="1" xfId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67" fontId="3" fillId="0" borderId="1" xfId="2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6" fillId="0" borderId="5" xfId="0" applyFont="1" applyBorder="1"/>
    <xf numFmtId="9" fontId="0" fillId="0" borderId="6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9" fontId="3" fillId="0" borderId="8" xfId="1" applyFont="1" applyBorder="1" applyAlignment="1">
      <alignment horizontal="center"/>
    </xf>
    <xf numFmtId="0" fontId="0" fillId="0" borderId="8" xfId="0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0" fontId="6" fillId="0" borderId="7" xfId="0" applyFont="1" applyBorder="1"/>
    <xf numFmtId="167" fontId="0" fillId="0" borderId="8" xfId="2" applyNumberFormat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horizontal="center"/>
    </xf>
    <xf numFmtId="168" fontId="3" fillId="0" borderId="8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169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Average Concession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51399183418077E-2"/>
          <c:y val="0.10754065110719091"/>
          <c:w val="0.9184209049009423"/>
          <c:h val="0.6854127232035330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TRENDED!$E$2</c:f>
              <c:strCache>
                <c:ptCount val="1"/>
                <c:pt idx="0">
                  <c:v>% increment from EXH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TRENDED!$E$42:$E$54</c:f>
              <c:numCache>
                <c:formatCode>0.0%</c:formatCode>
                <c:ptCount val="13"/>
                <c:pt idx="0">
                  <c:v>4.578917771501656E-2</c:v>
                </c:pt>
                <c:pt idx="1">
                  <c:v>9.3463419705725581E-2</c:v>
                </c:pt>
                <c:pt idx="2">
                  <c:v>7.9200138519543994E-2</c:v>
                </c:pt>
                <c:pt idx="3">
                  <c:v>8.1286684365275086E-2</c:v>
                </c:pt>
                <c:pt idx="4">
                  <c:v>8.5126040727167451E-2</c:v>
                </c:pt>
                <c:pt idx="5">
                  <c:v>6.1549769431101131E-2</c:v>
                </c:pt>
                <c:pt idx="6">
                  <c:v>0.12315936895202073</c:v>
                </c:pt>
                <c:pt idx="7">
                  <c:v>9.5846574687299402E-2</c:v>
                </c:pt>
                <c:pt idx="8">
                  <c:v>7.1517621770167628E-2</c:v>
                </c:pt>
                <c:pt idx="9">
                  <c:v>9.801041640370145E-2</c:v>
                </c:pt>
                <c:pt idx="10">
                  <c:v>9.3365446486579406E-2</c:v>
                </c:pt>
                <c:pt idx="11">
                  <c:v>0.10698894370201417</c:v>
                </c:pt>
                <c:pt idx="12">
                  <c:v>4.7349182573541926E-2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316479"/>
        <c:axId val="1182315039"/>
      </c:barChart>
      <c:lineChart>
        <c:grouping val="standard"/>
        <c:varyColors val="0"/>
        <c:ser>
          <c:idx val="0"/>
          <c:order val="0"/>
          <c:tx>
            <c:strRef>
              <c:f>TRENDED!$C$2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TRENDED!$C$42:$C$54</c:f>
              <c:numCache>
                <c:formatCode>"$"#,##0.00</c:formatCode>
                <c:ptCount val="13"/>
                <c:pt idx="0">
                  <c:v>18.679075573355036</c:v>
                </c:pt>
                <c:pt idx="1">
                  <c:v>19.383196270926419</c:v>
                </c:pt>
                <c:pt idx="2">
                  <c:v>19.131405626949149</c:v>
                </c:pt>
                <c:pt idx="3">
                  <c:v>20.564183151172276</c:v>
                </c:pt>
                <c:pt idx="4">
                  <c:v>20.848640538725096</c:v>
                </c:pt>
                <c:pt idx="5">
                  <c:v>20.827180839960665</c:v>
                </c:pt>
                <c:pt idx="6">
                  <c:v>20.694920578906643</c:v>
                </c:pt>
                <c:pt idx="7">
                  <c:v>19.496022186383055</c:v>
                </c:pt>
                <c:pt idx="8">
                  <c:v>18.903463309451279</c:v>
                </c:pt>
                <c:pt idx="9">
                  <c:v>18.828143732639575</c:v>
                </c:pt>
                <c:pt idx="10">
                  <c:v>19.938449443926771</c:v>
                </c:pt>
                <c:pt idx="11">
                  <c:v>20.603496675012021</c:v>
                </c:pt>
                <c:pt idx="12">
                  <c:v>19.091911819595552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CB2-8D24-7BFE0561DCC2}"/>
            </c:ext>
          </c:extLst>
        </c:ser>
        <c:ser>
          <c:idx val="1"/>
          <c:order val="1"/>
          <c:tx>
            <c:strRef>
              <c:f>TRENDED!$D$2</c:f>
              <c:strCache>
                <c:ptCount val="1"/>
                <c:pt idx="0">
                  <c:v>CC Pre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TRENDED!$D$42:$D$54</c:f>
              <c:numCache>
                <c:formatCode>"$"#,##0.00</c:formatCode>
                <c:ptCount val="13"/>
                <c:pt idx="0">
                  <c:v>19.534375084335615</c:v>
                </c:pt>
                <c:pt idx="1">
                  <c:v>21.194816079234471</c:v>
                </c:pt>
                <c:pt idx="2">
                  <c:v>20.646615602677105</c:v>
                </c:pt>
                <c:pt idx="3">
                  <c:v>22.235777416211324</c:v>
                </c:pt>
                <c:pt idx="4">
                  <c:v>22.623402762330684</c:v>
                </c:pt>
                <c:pt idx="5">
                  <c:v>22.109089018560091</c:v>
                </c:pt>
                <c:pt idx="6">
                  <c:v>23.243693937916973</c:v>
                </c:pt>
                <c:pt idx="7">
                  <c:v>21.364649132975465</c:v>
                </c:pt>
                <c:pt idx="8">
                  <c:v>20.255394048562856</c:v>
                </c:pt>
                <c:pt idx="9">
                  <c:v>20.673497939984319</c:v>
                </c:pt>
                <c:pt idx="10">
                  <c:v>21.800011678509083</c:v>
                </c:pt>
                <c:pt idx="11">
                  <c:v>22.807843020839517</c:v>
                </c:pt>
                <c:pt idx="12">
                  <c:v>19.995898238019546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  <c:min val="15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valAx>
        <c:axId val="11823150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16479"/>
        <c:crosses val="max"/>
        <c:crossBetween val="between"/>
      </c:valAx>
      <c:catAx>
        <c:axId val="118231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2315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Concession Incidence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TRENDED!$G$2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TRENDED!$G$42:$G$54</c:f>
              <c:numCache>
                <c:formatCode>0%</c:formatCode>
                <c:ptCount val="13"/>
                <c:pt idx="0">
                  <c:v>0.51053425222556392</c:v>
                </c:pt>
                <c:pt idx="1">
                  <c:v>0.47034911370059607</c:v>
                </c:pt>
                <c:pt idx="2">
                  <c:v>0.51900886092275433</c:v>
                </c:pt>
                <c:pt idx="3">
                  <c:v>0.49736741247547306</c:v>
                </c:pt>
                <c:pt idx="4">
                  <c:v>0.5153616682142883</c:v>
                </c:pt>
                <c:pt idx="5">
                  <c:v>0.49420404971313947</c:v>
                </c:pt>
                <c:pt idx="6">
                  <c:v>0.49142900363407821</c:v>
                </c:pt>
                <c:pt idx="7">
                  <c:v>0.4831377206795559</c:v>
                </c:pt>
                <c:pt idx="8">
                  <c:v>0.55221498045368123</c:v>
                </c:pt>
                <c:pt idx="9">
                  <c:v>0.56879110098259134</c:v>
                </c:pt>
                <c:pt idx="10">
                  <c:v>0.55227961443981033</c:v>
                </c:pt>
                <c:pt idx="11">
                  <c:v>0.48043085992312684</c:v>
                </c:pt>
                <c:pt idx="12">
                  <c:v>0.5388039911578546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935-A0C4-019321AD1AA8}"/>
            </c:ext>
          </c:extLst>
        </c:ser>
        <c:ser>
          <c:idx val="1"/>
          <c:order val="1"/>
          <c:tx>
            <c:strRef>
              <c:f>TRENDED!$H$2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TRENDED!$B$42:$B$54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TRENDED!$H$42:$H$54</c:f>
              <c:numCache>
                <c:formatCode>0%</c:formatCode>
                <c:ptCount val="13"/>
                <c:pt idx="0">
                  <c:v>0.55960069872688745</c:v>
                </c:pt>
                <c:pt idx="1">
                  <c:v>0.51539433639879018</c:v>
                </c:pt>
                <c:pt idx="2">
                  <c:v>0.5318300268578332</c:v>
                </c:pt>
                <c:pt idx="3">
                  <c:v>0.53124849775726712</c:v>
                </c:pt>
                <c:pt idx="4">
                  <c:v>0.46624618248213034</c:v>
                </c:pt>
                <c:pt idx="5">
                  <c:v>0.48643355465236265</c:v>
                </c:pt>
                <c:pt idx="6">
                  <c:v>0.50083982424158269</c:v>
                </c:pt>
                <c:pt idx="7">
                  <c:v>0.51393768674728246</c:v>
                </c:pt>
                <c:pt idx="8">
                  <c:v>0.50681311808622909</c:v>
                </c:pt>
                <c:pt idx="9">
                  <c:v>0.52068143426017999</c:v>
                </c:pt>
                <c:pt idx="10">
                  <c:v>0.46749634346435559</c:v>
                </c:pt>
                <c:pt idx="11">
                  <c:v>0.46030787730622263</c:v>
                </c:pt>
                <c:pt idx="12">
                  <c:v>0.50581268047021477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7-4935-A0C4-019321AD1A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419196</xdr:colOff>
      <xdr:row>0</xdr:row>
      <xdr:rowOff>106136</xdr:rowOff>
    </xdr:from>
    <xdr:to>
      <xdr:col>26</xdr:col>
      <xdr:colOff>560917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9BC30-FA25-C343-09F4-23F1DC4A9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438582</xdr:colOff>
      <xdr:row>24</xdr:row>
      <xdr:rowOff>149262</xdr:rowOff>
    </xdr:from>
    <xdr:to>
      <xdr:col>24</xdr:col>
      <xdr:colOff>76200</xdr:colOff>
      <xdr:row>60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61688-3D78-4AC2-A8FE-758B96706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EB9D-3F69-4988-B34B-0B0261217A10}">
  <dimension ref="B1:U55"/>
  <sheetViews>
    <sheetView showGridLines="0" zoomScale="90" zoomScaleNormal="90" zoomScaleSheetLayoutView="8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C56" sqref="C56"/>
    </sheetView>
  </sheetViews>
  <sheetFormatPr defaultColWidth="20.140625" defaultRowHeight="15" x14ac:dyDescent="0.25"/>
  <cols>
    <col min="1" max="1" width="5.140625" style="1" customWidth="1"/>
    <col min="2" max="2" width="10.85546875" style="12" bestFit="1" customWidth="1"/>
    <col min="3" max="3" width="11.5703125" style="12" bestFit="1" customWidth="1"/>
    <col min="4" max="4" width="12" style="12" customWidth="1"/>
    <col min="5" max="5" width="12" style="12" bestFit="1" customWidth="1"/>
    <col min="6" max="6" width="11.42578125" style="12" customWidth="1"/>
    <col min="7" max="7" width="14.28515625" style="12" bestFit="1" customWidth="1"/>
    <col min="8" max="8" width="11.42578125" style="12" customWidth="1"/>
    <col min="9" max="9" width="14.28515625" style="12" bestFit="1" customWidth="1"/>
    <col min="10" max="11" width="14.7109375" style="12" bestFit="1" customWidth="1"/>
    <col min="12" max="12" width="11.42578125" style="12" customWidth="1"/>
    <col min="13" max="13" width="11.7109375" style="12" bestFit="1" customWidth="1"/>
    <col min="14" max="14" width="16.28515625" style="1" hidden="1" customWidth="1"/>
    <col min="15" max="15" width="15.7109375" style="1" hidden="1" customWidth="1"/>
    <col min="16" max="16" width="20.28515625" style="1" hidden="1" customWidth="1"/>
    <col min="17" max="17" width="20.140625" style="1" hidden="1" customWidth="1"/>
    <col min="18" max="18" width="16" style="1" customWidth="1"/>
    <col min="19" max="19" width="9.5703125" style="1" customWidth="1"/>
    <col min="20" max="20" width="16.140625" style="1" customWidth="1"/>
    <col min="21" max="16384" width="20.140625" style="1"/>
  </cols>
  <sheetData>
    <row r="1" spans="2:21" s="11" customFormat="1" ht="60" x14ac:dyDescent="0.25">
      <c r="B1" s="31" t="s">
        <v>11</v>
      </c>
      <c r="C1" s="32" t="s">
        <v>37</v>
      </c>
      <c r="D1" s="33" t="s">
        <v>0</v>
      </c>
      <c r="E1" s="33" t="s">
        <v>32</v>
      </c>
      <c r="F1" s="32" t="s">
        <v>13</v>
      </c>
      <c r="G1" s="32" t="s">
        <v>22</v>
      </c>
      <c r="H1" s="32" t="s">
        <v>23</v>
      </c>
      <c r="I1" s="32" t="s">
        <v>24</v>
      </c>
      <c r="J1" s="32" t="s">
        <v>1</v>
      </c>
      <c r="K1" s="32" t="s">
        <v>25</v>
      </c>
      <c r="L1" s="34" t="s">
        <v>26</v>
      </c>
      <c r="M1" s="34" t="s">
        <v>33</v>
      </c>
      <c r="N1" s="32" t="s">
        <v>20</v>
      </c>
      <c r="O1" s="35" t="s">
        <v>17</v>
      </c>
      <c r="P1" s="35" t="s">
        <v>18</v>
      </c>
      <c r="Q1" s="35" t="s">
        <v>19</v>
      </c>
      <c r="R1" s="34" t="s">
        <v>27</v>
      </c>
      <c r="S1" s="34" t="s">
        <v>34</v>
      </c>
      <c r="T1" s="36" t="s">
        <v>28</v>
      </c>
    </row>
    <row r="2" spans="2:21" x14ac:dyDescent="0.25">
      <c r="B2" s="37" t="s">
        <v>5</v>
      </c>
      <c r="C2" s="7">
        <v>41023</v>
      </c>
      <c r="D2" s="7">
        <v>1647367</v>
      </c>
      <c r="E2" s="7">
        <f t="shared" ref="E2:E11" si="0">D2-C2</f>
        <v>1606344</v>
      </c>
      <c r="F2" s="7">
        <v>61108</v>
      </c>
      <c r="G2" s="7">
        <v>3520301</v>
      </c>
      <c r="H2" s="7">
        <f t="shared" ref="H2:H11" si="1">G2-F2</f>
        <v>3459193</v>
      </c>
      <c r="I2" s="51">
        <v>635681</v>
      </c>
      <c r="J2" s="51">
        <v>29210806.890000001</v>
      </c>
      <c r="K2" s="51">
        <f t="shared" ref="K2:K11" si="2">J2-I2</f>
        <v>28575125.890000001</v>
      </c>
      <c r="L2" s="9">
        <f t="shared" ref="L2:L11" si="3">K2/E2</f>
        <v>17.788920611027276</v>
      </c>
      <c r="M2" s="23">
        <f>E2/H2</f>
        <v>0.46436957984130983</v>
      </c>
      <c r="N2" s="2">
        <v>2.490216205617813E-2</v>
      </c>
      <c r="O2" s="3">
        <v>1647367</v>
      </c>
      <c r="P2" s="3">
        <v>2194604</v>
      </c>
      <c r="Q2" s="2">
        <v>0.75064430758350942</v>
      </c>
      <c r="R2" s="10">
        <f t="shared" ref="R2:R10" si="4">I2/C2</f>
        <v>15.495721912098091</v>
      </c>
      <c r="S2" s="2">
        <f>C2/F2</f>
        <v>0.67131963081756885</v>
      </c>
      <c r="T2" s="38">
        <f t="shared" ref="T2:T10" si="5">R2/0.8</f>
        <v>19.369652390122614</v>
      </c>
      <c r="U2" s="13"/>
    </row>
    <row r="3" spans="2:21" x14ac:dyDescent="0.25">
      <c r="B3" s="37" t="s">
        <v>6</v>
      </c>
      <c r="C3" s="7">
        <v>42599</v>
      </c>
      <c r="D3" s="7">
        <v>1442323</v>
      </c>
      <c r="E3" s="7">
        <f t="shared" si="0"/>
        <v>1399724</v>
      </c>
      <c r="F3" s="7">
        <v>63980</v>
      </c>
      <c r="G3" s="7">
        <v>3025143</v>
      </c>
      <c r="H3" s="7">
        <f t="shared" si="1"/>
        <v>2961163</v>
      </c>
      <c r="I3" s="51">
        <v>665093</v>
      </c>
      <c r="J3" s="51">
        <v>25291582.199999999</v>
      </c>
      <c r="K3" s="51">
        <f t="shared" si="2"/>
        <v>24626489.199999999</v>
      </c>
      <c r="L3" s="9">
        <f t="shared" si="3"/>
        <v>17.593817924105036</v>
      </c>
      <c r="M3" s="23">
        <f t="shared" ref="M3:M10" si="6">E3/H3</f>
        <v>0.47269400569978753</v>
      </c>
      <c r="N3" s="2">
        <v>2.9534993201938815E-2</v>
      </c>
      <c r="O3" s="3">
        <v>1442323</v>
      </c>
      <c r="P3" s="3">
        <v>1930474</v>
      </c>
      <c r="Q3" s="2">
        <v>0.74713412353649933</v>
      </c>
      <c r="R3" s="10">
        <f t="shared" si="4"/>
        <v>15.612878236578323</v>
      </c>
      <c r="S3" s="2">
        <f t="shared" ref="S3:S11" si="7">C3/F3</f>
        <v>0.66581744295092216</v>
      </c>
      <c r="T3" s="38">
        <f t="shared" si="5"/>
        <v>19.516097795722903</v>
      </c>
      <c r="U3" s="13"/>
    </row>
    <row r="4" spans="2:21" x14ac:dyDescent="0.25">
      <c r="B4" s="37" t="s">
        <v>7</v>
      </c>
      <c r="C4" s="7">
        <v>34941</v>
      </c>
      <c r="D4" s="7">
        <v>1351033</v>
      </c>
      <c r="E4" s="7">
        <f t="shared" si="0"/>
        <v>1316092</v>
      </c>
      <c r="F4" s="7">
        <v>54802</v>
      </c>
      <c r="G4" s="7">
        <v>3732471</v>
      </c>
      <c r="H4" s="7">
        <f t="shared" si="1"/>
        <v>3677669</v>
      </c>
      <c r="I4" s="51">
        <v>586217.85</v>
      </c>
      <c r="J4" s="51">
        <v>25684687.710000001</v>
      </c>
      <c r="K4" s="51">
        <f t="shared" si="2"/>
        <v>25098469.859999999</v>
      </c>
      <c r="L4" s="9">
        <f t="shared" si="3"/>
        <v>19.0704524151807</v>
      </c>
      <c r="M4" s="23">
        <f t="shared" si="6"/>
        <v>0.35786037296994372</v>
      </c>
      <c r="N4" s="2">
        <v>2.5862432671888844E-2</v>
      </c>
      <c r="O4" s="3">
        <v>1351033</v>
      </c>
      <c r="P4" s="3">
        <v>1929262</v>
      </c>
      <c r="Q4" s="2">
        <v>0.70028487577114984</v>
      </c>
      <c r="R4" s="10">
        <f t="shared" si="4"/>
        <v>16.777363269511461</v>
      </c>
      <c r="S4" s="2">
        <f t="shared" si="7"/>
        <v>0.63758621948104088</v>
      </c>
      <c r="T4" s="38">
        <f t="shared" si="5"/>
        <v>20.971704086889325</v>
      </c>
      <c r="U4" s="13"/>
    </row>
    <row r="5" spans="2:21" x14ac:dyDescent="0.25">
      <c r="B5" s="37" t="s">
        <v>8</v>
      </c>
      <c r="C5" s="7">
        <v>10651</v>
      </c>
      <c r="D5" s="7">
        <v>455802</v>
      </c>
      <c r="E5" s="7">
        <f t="shared" si="0"/>
        <v>445151</v>
      </c>
      <c r="F5" s="7">
        <v>17998</v>
      </c>
      <c r="G5" s="7">
        <v>906835</v>
      </c>
      <c r="H5" s="7">
        <f t="shared" si="1"/>
        <v>888837</v>
      </c>
      <c r="I5" s="51">
        <v>166531.78</v>
      </c>
      <c r="J5" s="51">
        <v>8543479.1600000001</v>
      </c>
      <c r="K5" s="51">
        <f t="shared" si="2"/>
        <v>8376947.3799999999</v>
      </c>
      <c r="L5" s="9">
        <f t="shared" si="3"/>
        <v>18.818215347151867</v>
      </c>
      <c r="M5" s="23">
        <f t="shared" si="6"/>
        <v>0.50082411060745669</v>
      </c>
      <c r="N5" s="2">
        <v>2.3367602599374291E-2</v>
      </c>
      <c r="O5" s="3">
        <v>455802</v>
      </c>
      <c r="P5" s="3">
        <v>615019</v>
      </c>
      <c r="Q5" s="2">
        <v>0.74111856706865964</v>
      </c>
      <c r="R5" s="10">
        <f t="shared" si="4"/>
        <v>15.6353187494132</v>
      </c>
      <c r="S5" s="2">
        <f t="shared" si="7"/>
        <v>0.5917879764418269</v>
      </c>
      <c r="T5" s="38">
        <f t="shared" si="5"/>
        <v>19.544148436766498</v>
      </c>
      <c r="U5" s="13"/>
    </row>
    <row r="6" spans="2:21" x14ac:dyDescent="0.25">
      <c r="B6" s="37" t="s">
        <v>9</v>
      </c>
      <c r="C6" s="7">
        <v>30179</v>
      </c>
      <c r="D6" s="7">
        <v>1024258</v>
      </c>
      <c r="E6" s="7">
        <f t="shared" si="0"/>
        <v>994079</v>
      </c>
      <c r="F6" s="7">
        <v>54379</v>
      </c>
      <c r="G6" s="7">
        <v>2038131</v>
      </c>
      <c r="H6" s="7">
        <f t="shared" si="1"/>
        <v>1983752</v>
      </c>
      <c r="I6" s="51">
        <v>487389.06</v>
      </c>
      <c r="J6" s="51">
        <v>19787728.859999999</v>
      </c>
      <c r="K6" s="51">
        <f t="shared" si="2"/>
        <v>19300339.800000001</v>
      </c>
      <c r="L6" s="9">
        <f t="shared" si="3"/>
        <v>19.415297778144392</v>
      </c>
      <c r="M6" s="23">
        <f t="shared" si="6"/>
        <v>0.50111052187975114</v>
      </c>
      <c r="N6" s="2">
        <v>2.9464256076105824E-2</v>
      </c>
      <c r="O6" s="3">
        <v>1024258</v>
      </c>
      <c r="P6" s="3">
        <v>1382855</v>
      </c>
      <c r="Q6" s="2">
        <v>0.74068358577001925</v>
      </c>
      <c r="R6" s="10">
        <f t="shared" si="4"/>
        <v>16.149940687232846</v>
      </c>
      <c r="S6" s="2">
        <f t="shared" si="7"/>
        <v>0.55497526618731496</v>
      </c>
      <c r="T6" s="38">
        <f t="shared" si="5"/>
        <v>20.187425859041056</v>
      </c>
      <c r="U6" s="13"/>
    </row>
    <row r="7" spans="2:21" x14ac:dyDescent="0.25">
      <c r="B7" s="37" t="s">
        <v>10</v>
      </c>
      <c r="C7" s="7">
        <v>40920</v>
      </c>
      <c r="D7" s="7">
        <v>1849576</v>
      </c>
      <c r="E7" s="7">
        <f t="shared" si="0"/>
        <v>1808656</v>
      </c>
      <c r="F7" s="7">
        <v>57577</v>
      </c>
      <c r="G7" s="7">
        <v>3730415</v>
      </c>
      <c r="H7" s="7">
        <f t="shared" si="1"/>
        <v>3672838</v>
      </c>
      <c r="I7" s="51">
        <v>672859.36</v>
      </c>
      <c r="J7" s="51">
        <v>34721884.439999998</v>
      </c>
      <c r="K7" s="51">
        <f t="shared" si="2"/>
        <v>34049025.079999998</v>
      </c>
      <c r="L7" s="9">
        <f t="shared" si="3"/>
        <v>18.825594850540952</v>
      </c>
      <c r="M7" s="23">
        <f t="shared" si="6"/>
        <v>0.49244099521950058</v>
      </c>
      <c r="N7" s="2">
        <v>2.2123989498133625E-2</v>
      </c>
      <c r="O7" s="3">
        <v>1849576</v>
      </c>
      <c r="P7" s="3">
        <v>2378461</v>
      </c>
      <c r="Q7" s="2">
        <v>0.7776356223625277</v>
      </c>
      <c r="R7" s="10">
        <f t="shared" si="4"/>
        <v>16.443288367546433</v>
      </c>
      <c r="S7" s="2">
        <f t="shared" si="7"/>
        <v>0.71070045330600762</v>
      </c>
      <c r="T7" s="38">
        <f t="shared" si="5"/>
        <v>20.554110459433041</v>
      </c>
      <c r="U7" s="13"/>
    </row>
    <row r="8" spans="2:21" x14ac:dyDescent="0.25">
      <c r="B8" s="37" t="s">
        <v>2</v>
      </c>
      <c r="C8" s="7">
        <v>43301</v>
      </c>
      <c r="D8" s="7">
        <v>1482533</v>
      </c>
      <c r="E8" s="7">
        <f t="shared" si="0"/>
        <v>1439232</v>
      </c>
      <c r="F8" s="7">
        <v>76154</v>
      </c>
      <c r="G8" s="7">
        <v>3090704</v>
      </c>
      <c r="H8" s="7">
        <f t="shared" si="1"/>
        <v>3014550</v>
      </c>
      <c r="I8" s="51">
        <v>703866.36</v>
      </c>
      <c r="J8" s="51">
        <v>28334875.870000001</v>
      </c>
      <c r="K8" s="51">
        <f t="shared" si="2"/>
        <v>27631009.510000002</v>
      </c>
      <c r="L8" s="9">
        <f t="shared" si="3"/>
        <v>19.198440216726699</v>
      </c>
      <c r="M8" s="23">
        <f t="shared" si="6"/>
        <v>0.47742847191123056</v>
      </c>
      <c r="N8" s="2">
        <v>2.9207444286231739E-2</v>
      </c>
      <c r="O8" s="3">
        <v>1482533</v>
      </c>
      <c r="P8" s="3">
        <v>1938934</v>
      </c>
      <c r="Q8" s="2">
        <v>0.7646124107370339</v>
      </c>
      <c r="R8" s="10">
        <f t="shared" si="4"/>
        <v>16.25519872520265</v>
      </c>
      <c r="S8" s="2">
        <f t="shared" si="7"/>
        <v>0.56859784121648238</v>
      </c>
      <c r="T8" s="38">
        <f t="shared" si="5"/>
        <v>20.318998406503312</v>
      </c>
      <c r="U8" s="13"/>
    </row>
    <row r="9" spans="2:21" x14ac:dyDescent="0.25">
      <c r="B9" s="37" t="s">
        <v>29</v>
      </c>
      <c r="C9" s="7">
        <v>56811</v>
      </c>
      <c r="D9" s="7">
        <v>1877454</v>
      </c>
      <c r="E9" s="7">
        <f t="shared" si="0"/>
        <v>1820643</v>
      </c>
      <c r="F9" s="7">
        <v>77698</v>
      </c>
      <c r="G9" s="7">
        <v>3945961</v>
      </c>
      <c r="H9" s="7">
        <f t="shared" si="1"/>
        <v>3868263</v>
      </c>
      <c r="I9" s="51">
        <v>951241.21</v>
      </c>
      <c r="J9" s="51">
        <v>35434504.170000002</v>
      </c>
      <c r="K9" s="51">
        <f t="shared" si="2"/>
        <v>34483262.960000001</v>
      </c>
      <c r="L9" s="9">
        <f t="shared" si="3"/>
        <v>18.94015628544421</v>
      </c>
      <c r="M9" s="23">
        <f t="shared" si="6"/>
        <v>0.47066163805304861</v>
      </c>
      <c r="N9" s="2">
        <v>3.0259596240440511E-2</v>
      </c>
      <c r="O9" s="3">
        <v>1877454</v>
      </c>
      <c r="P9" s="3">
        <v>2476744</v>
      </c>
      <c r="Q9" s="2">
        <v>0.75803312736399076</v>
      </c>
      <c r="R9" s="10">
        <f t="shared" si="4"/>
        <v>16.743961732763022</v>
      </c>
      <c r="S9" s="2">
        <f t="shared" si="7"/>
        <v>0.73117712167623361</v>
      </c>
      <c r="T9" s="38">
        <f t="shared" si="5"/>
        <v>20.929952165953775</v>
      </c>
      <c r="U9" s="13"/>
    </row>
    <row r="10" spans="2:21" x14ac:dyDescent="0.25">
      <c r="B10" s="37" t="s">
        <v>30</v>
      </c>
      <c r="C10" s="7">
        <v>54861</v>
      </c>
      <c r="D10" s="7">
        <v>1932914</v>
      </c>
      <c r="E10" s="7">
        <f t="shared" si="0"/>
        <v>1878053</v>
      </c>
      <c r="F10" s="7">
        <v>90597</v>
      </c>
      <c r="G10" s="7">
        <v>4092857</v>
      </c>
      <c r="H10" s="7">
        <f t="shared" si="1"/>
        <v>4002260</v>
      </c>
      <c r="I10" s="51">
        <v>941085.66</v>
      </c>
      <c r="J10" s="51">
        <v>38201982.399999999</v>
      </c>
      <c r="K10" s="51">
        <f t="shared" si="2"/>
        <v>37260896.740000002</v>
      </c>
      <c r="L10" s="9">
        <f t="shared" si="3"/>
        <v>19.840173168701842</v>
      </c>
      <c r="M10" s="23">
        <f t="shared" si="6"/>
        <v>0.46924812480948264</v>
      </c>
      <c r="N10" s="4"/>
      <c r="O10" s="4"/>
      <c r="P10" s="4"/>
      <c r="Q10" s="4"/>
      <c r="R10" s="10">
        <f t="shared" si="4"/>
        <v>17.154001203040412</v>
      </c>
      <c r="S10" s="2">
        <f t="shared" si="7"/>
        <v>0.60554985264412731</v>
      </c>
      <c r="T10" s="38">
        <f t="shared" si="5"/>
        <v>21.442501503800514</v>
      </c>
      <c r="U10" s="13"/>
    </row>
    <row r="11" spans="2:21" x14ac:dyDescent="0.25">
      <c r="B11" s="37" t="s">
        <v>31</v>
      </c>
      <c r="C11" s="7">
        <v>77762</v>
      </c>
      <c r="D11" s="7">
        <v>2562566</v>
      </c>
      <c r="E11" s="7">
        <f t="shared" si="0"/>
        <v>2484804</v>
      </c>
      <c r="F11" s="7">
        <v>108316</v>
      </c>
      <c r="G11" s="7">
        <v>5599624</v>
      </c>
      <c r="H11" s="7">
        <f t="shared" si="1"/>
        <v>5491308</v>
      </c>
      <c r="I11" s="51">
        <v>1337580.1599999999</v>
      </c>
      <c r="J11" s="51">
        <v>48802349.420000002</v>
      </c>
      <c r="K11" s="51">
        <f t="shared" si="2"/>
        <v>47464769.260000005</v>
      </c>
      <c r="L11" s="9">
        <f t="shared" si="3"/>
        <v>19.102017406604304</v>
      </c>
      <c r="M11" s="23">
        <f>E11/H11</f>
        <v>0.45249765629609556</v>
      </c>
      <c r="N11" s="4"/>
      <c r="O11" s="4"/>
      <c r="P11" s="4"/>
      <c r="Q11" s="4"/>
      <c r="R11" s="10">
        <f>I11/C11</f>
        <v>17.200948535274296</v>
      </c>
      <c r="S11" s="2">
        <f t="shared" si="7"/>
        <v>0.71791794379408402</v>
      </c>
      <c r="T11" s="38">
        <f>R11/0.8</f>
        <v>21.50118566909287</v>
      </c>
      <c r="U11" s="13"/>
    </row>
    <row r="12" spans="2:21" x14ac:dyDescent="0.25">
      <c r="B12" s="37" t="s">
        <v>35</v>
      </c>
      <c r="C12" s="7">
        <v>55290</v>
      </c>
      <c r="D12" s="7">
        <v>1531400</v>
      </c>
      <c r="E12" s="7">
        <f>D12-C12</f>
        <v>1476110</v>
      </c>
      <c r="F12" s="7">
        <v>76124</v>
      </c>
      <c r="G12" s="7">
        <v>3214476</v>
      </c>
      <c r="H12" s="7">
        <f>G12-F12</f>
        <v>3138352</v>
      </c>
      <c r="I12" s="51">
        <v>882808.51</v>
      </c>
      <c r="J12" s="51">
        <v>27858565.5</v>
      </c>
      <c r="K12" s="51">
        <f>J12-I12</f>
        <v>26975756.989999998</v>
      </c>
      <c r="L12" s="9">
        <f>K12/E12</f>
        <v>18.274896173049434</v>
      </c>
      <c r="M12" s="23">
        <f>E12/H12</f>
        <v>0.47034558264974741</v>
      </c>
      <c r="N12" s="4"/>
      <c r="O12" s="4"/>
      <c r="P12" s="4"/>
      <c r="Q12" s="4"/>
      <c r="R12" s="10">
        <f>I12/C12</f>
        <v>15.966874841743534</v>
      </c>
      <c r="S12" s="2">
        <f>C12/F12</f>
        <v>0.72631495980242766</v>
      </c>
      <c r="T12" s="38">
        <f>R12/0.8</f>
        <v>19.958593552179416</v>
      </c>
      <c r="U12" s="13"/>
    </row>
    <row r="13" spans="2:21" x14ac:dyDescent="0.25">
      <c r="B13" s="37" t="s">
        <v>36</v>
      </c>
      <c r="C13" s="7">
        <v>45900</v>
      </c>
      <c r="D13" s="7">
        <v>1126453</v>
      </c>
      <c r="E13" s="7">
        <f>D13-C13</f>
        <v>1080553</v>
      </c>
      <c r="F13" s="7">
        <v>65757</v>
      </c>
      <c r="G13" s="7">
        <v>2295215</v>
      </c>
      <c r="H13" s="7">
        <f>G13-F13</f>
        <v>2229458</v>
      </c>
      <c r="I13" s="51">
        <v>692178.17</v>
      </c>
      <c r="J13" s="51">
        <v>19384660.170000002</v>
      </c>
      <c r="K13" s="51">
        <f>J13-I13</f>
        <v>18692482</v>
      </c>
      <c r="L13" s="9">
        <f>K13/E13</f>
        <v>17.298995977059896</v>
      </c>
      <c r="M13" s="23">
        <f>E13/H13</f>
        <v>0.48467071368915676</v>
      </c>
      <c r="N13" s="4"/>
      <c r="O13" s="4"/>
      <c r="P13" s="4"/>
      <c r="Q13" s="4"/>
      <c r="R13" s="10">
        <f>I13/C13</f>
        <v>15.080134422657952</v>
      </c>
      <c r="S13" s="2">
        <f>C13/F13</f>
        <v>0.69802454491537025</v>
      </c>
      <c r="T13" s="38">
        <f>R13/0.8</f>
        <v>18.85016802832244</v>
      </c>
    </row>
    <row r="14" spans="2:21" x14ac:dyDescent="0.25">
      <c r="B14" s="37" t="s">
        <v>5</v>
      </c>
      <c r="C14" s="7">
        <v>59188</v>
      </c>
      <c r="D14" s="7">
        <v>1433378</v>
      </c>
      <c r="E14" s="7">
        <f t="shared" ref="E14:E16" si="8">D14-C14</f>
        <v>1374190</v>
      </c>
      <c r="F14" s="7">
        <v>98074</v>
      </c>
      <c r="G14" s="7">
        <v>2747834</v>
      </c>
      <c r="H14" s="7">
        <f t="shared" ref="H14:H16" si="9">G14-F14</f>
        <v>2649760</v>
      </c>
      <c r="I14" s="51">
        <v>955008.86</v>
      </c>
      <c r="J14" s="51">
        <v>25115043.440000001</v>
      </c>
      <c r="K14" s="51">
        <f t="shared" ref="K14:K20" si="10">J14-I14</f>
        <v>24160034.580000002</v>
      </c>
      <c r="L14" s="9">
        <f t="shared" ref="L14:L16" si="11">K14/E14</f>
        <v>17.581291218827094</v>
      </c>
      <c r="M14" s="23">
        <f t="shared" ref="M14:M16" si="12">E14/H14</f>
        <v>0.51860923253426727</v>
      </c>
      <c r="N14" s="4"/>
      <c r="O14" s="4"/>
      <c r="P14" s="4"/>
      <c r="Q14" s="4"/>
      <c r="R14" s="10">
        <f t="shared" ref="R14:R16" si="13">I14/C14</f>
        <v>16.13517706291816</v>
      </c>
      <c r="S14" s="2">
        <f t="shared" ref="S14:S16" si="14">C14/F14</f>
        <v>0.6035034769663723</v>
      </c>
      <c r="T14" s="38">
        <f t="shared" ref="T14:T16" si="15">R14/0.8</f>
        <v>20.1689713286477</v>
      </c>
    </row>
    <row r="15" spans="2:21" x14ac:dyDescent="0.25">
      <c r="B15" s="37" t="s">
        <v>6</v>
      </c>
      <c r="C15" s="7">
        <v>67580</v>
      </c>
      <c r="D15" s="7">
        <v>1504824</v>
      </c>
      <c r="E15" s="7">
        <f t="shared" si="8"/>
        <v>1437244</v>
      </c>
      <c r="F15" s="7">
        <v>116077</v>
      </c>
      <c r="G15" s="7">
        <v>2952656</v>
      </c>
      <c r="H15" s="7">
        <f t="shared" si="9"/>
        <v>2836579</v>
      </c>
      <c r="I15" s="51">
        <v>1103207.24</v>
      </c>
      <c r="J15" s="51">
        <v>27053945.350000001</v>
      </c>
      <c r="K15" s="51">
        <f t="shared" si="10"/>
        <v>25950738.110000003</v>
      </c>
      <c r="L15" s="9">
        <f t="shared" si="11"/>
        <v>18.055902901664577</v>
      </c>
      <c r="M15" s="23">
        <f t="shared" si="12"/>
        <v>0.50668216890839279</v>
      </c>
      <c r="N15" s="4"/>
      <c r="O15" s="4"/>
      <c r="P15" s="4"/>
      <c r="Q15" s="4"/>
      <c r="R15" s="10">
        <f t="shared" si="13"/>
        <v>16.324463450725066</v>
      </c>
      <c r="S15" s="2">
        <f t="shared" si="14"/>
        <v>0.58219974671984975</v>
      </c>
      <c r="T15" s="38">
        <f t="shared" si="15"/>
        <v>20.405579313406331</v>
      </c>
    </row>
    <row r="16" spans="2:21" x14ac:dyDescent="0.25">
      <c r="B16" s="37" t="s">
        <v>7</v>
      </c>
      <c r="C16" s="7">
        <v>66172</v>
      </c>
      <c r="D16" s="7">
        <v>1699119</v>
      </c>
      <c r="E16" s="7">
        <f t="shared" si="8"/>
        <v>1632947</v>
      </c>
      <c r="F16" s="7">
        <v>116768</v>
      </c>
      <c r="G16" s="7">
        <v>3535916</v>
      </c>
      <c r="H16" s="7">
        <f t="shared" si="9"/>
        <v>3419148</v>
      </c>
      <c r="I16" s="51">
        <v>1166957.8600000001</v>
      </c>
      <c r="J16" s="51">
        <v>33128232.210000001</v>
      </c>
      <c r="K16" s="51">
        <f t="shared" si="10"/>
        <v>31961274.350000001</v>
      </c>
      <c r="L16" s="9">
        <f t="shared" si="11"/>
        <v>19.572756709188969</v>
      </c>
      <c r="M16" s="23">
        <f t="shared" si="12"/>
        <v>0.47758886131866768</v>
      </c>
      <c r="N16" s="4"/>
      <c r="O16" s="4"/>
      <c r="P16" s="4"/>
      <c r="Q16" s="4"/>
      <c r="R16" s="10">
        <f t="shared" si="13"/>
        <v>17.635221241612768</v>
      </c>
      <c r="S16" s="2">
        <f t="shared" si="14"/>
        <v>0.56669635516579886</v>
      </c>
      <c r="T16" s="38">
        <f t="shared" si="15"/>
        <v>22.044026552015961</v>
      </c>
    </row>
    <row r="17" spans="2:20" x14ac:dyDescent="0.25">
      <c r="B17" s="37" t="s">
        <v>8</v>
      </c>
      <c r="C17" s="7">
        <v>64534</v>
      </c>
      <c r="D17" s="7">
        <v>1754081</v>
      </c>
      <c r="E17" s="7">
        <f t="shared" ref="E17:E25" si="16">D17-C17</f>
        <v>1689547</v>
      </c>
      <c r="F17" s="7">
        <v>108397</v>
      </c>
      <c r="G17" s="7">
        <v>3591350</v>
      </c>
      <c r="H17" s="7">
        <f t="shared" ref="H17:H24" si="17">G17-F17</f>
        <v>3482953</v>
      </c>
      <c r="I17" s="51">
        <v>1029774.79</v>
      </c>
      <c r="J17" s="51">
        <v>31851100.559999999</v>
      </c>
      <c r="K17" s="51">
        <f t="shared" si="10"/>
        <v>30821325.77</v>
      </c>
      <c r="L17" s="9">
        <f>K17/E17</f>
        <v>18.242360686030043</v>
      </c>
      <c r="M17" s="23">
        <f t="shared" ref="M17:M22" si="18">E17/H17</f>
        <v>0.48509038163879903</v>
      </c>
      <c r="N17" s="4"/>
      <c r="O17" s="4"/>
      <c r="P17" s="4"/>
      <c r="Q17" s="4"/>
      <c r="R17" s="10">
        <f t="shared" ref="R17" si="19">I17/C17</f>
        <v>15.957089131310628</v>
      </c>
      <c r="S17" s="2">
        <f t="shared" ref="S17:S22" si="20">C17/F17</f>
        <v>0.59534857975774236</v>
      </c>
      <c r="T17" s="38">
        <f t="shared" ref="T17:T22" si="21">R17/0.8</f>
        <v>19.946361414138284</v>
      </c>
    </row>
    <row r="18" spans="2:20" x14ac:dyDescent="0.25">
      <c r="B18" s="37" t="s">
        <v>9</v>
      </c>
      <c r="C18" s="21">
        <v>68394</v>
      </c>
      <c r="D18" s="7">
        <v>1432083</v>
      </c>
      <c r="E18" s="7">
        <f t="shared" si="16"/>
        <v>1363689</v>
      </c>
      <c r="F18" s="7">
        <v>116530</v>
      </c>
      <c r="G18" s="7">
        <v>2895195</v>
      </c>
      <c r="H18" s="7">
        <f t="shared" si="17"/>
        <v>2778665</v>
      </c>
      <c r="I18" s="52">
        <v>1132059.52</v>
      </c>
      <c r="J18" s="51">
        <v>26073577.34</v>
      </c>
      <c r="K18" s="51">
        <f t="shared" si="10"/>
        <v>24941517.82</v>
      </c>
      <c r="L18" s="9">
        <f t="shared" ref="L18:L22" si="22">K18/E18</f>
        <v>18.289740417353222</v>
      </c>
      <c r="M18" s="23">
        <f t="shared" si="18"/>
        <v>0.49077128765072436</v>
      </c>
      <c r="N18" s="4"/>
      <c r="O18" s="4"/>
      <c r="P18" s="4"/>
      <c r="Q18" s="4"/>
      <c r="R18" s="10">
        <f t="shared" ref="R18:R47" si="23">I18/C18</f>
        <v>16.552029710208497</v>
      </c>
      <c r="S18" s="20">
        <f t="shared" si="20"/>
        <v>0.58692182270659921</v>
      </c>
      <c r="T18" s="38">
        <f t="shared" si="21"/>
        <v>20.690037137760619</v>
      </c>
    </row>
    <row r="19" spans="2:20" x14ac:dyDescent="0.25">
      <c r="B19" s="37" t="s">
        <v>10</v>
      </c>
      <c r="C19" s="7">
        <v>81149</v>
      </c>
      <c r="D19" s="7">
        <v>1714962</v>
      </c>
      <c r="E19" s="7">
        <f t="shared" si="16"/>
        <v>1633813</v>
      </c>
      <c r="F19" s="21">
        <v>138164</v>
      </c>
      <c r="G19" s="7">
        <v>3301569</v>
      </c>
      <c r="H19" s="7">
        <f t="shared" si="17"/>
        <v>3163405</v>
      </c>
      <c r="I19" s="51">
        <v>1315535.79</v>
      </c>
      <c r="J19" s="53">
        <v>31453238.530000001</v>
      </c>
      <c r="K19" s="51">
        <f t="shared" si="10"/>
        <v>30137702.740000002</v>
      </c>
      <c r="L19" s="9">
        <f t="shared" si="22"/>
        <v>18.446237568191709</v>
      </c>
      <c r="M19" s="23">
        <f t="shared" si="18"/>
        <v>0.51647291447032551</v>
      </c>
      <c r="N19" s="4"/>
      <c r="O19" s="4"/>
      <c r="P19" s="4"/>
      <c r="Q19" s="4"/>
      <c r="R19" s="10">
        <f t="shared" si="23"/>
        <v>16.211361692688758</v>
      </c>
      <c r="S19" s="20">
        <f t="shared" si="20"/>
        <v>0.5873382357198691</v>
      </c>
      <c r="T19" s="38">
        <f t="shared" si="21"/>
        <v>20.264202115860947</v>
      </c>
    </row>
    <row r="20" spans="2:20" x14ac:dyDescent="0.25">
      <c r="B20" s="37" t="s">
        <v>2</v>
      </c>
      <c r="C20" s="7">
        <v>101832</v>
      </c>
      <c r="D20" s="7">
        <v>2205566</v>
      </c>
      <c r="E20" s="7">
        <f t="shared" si="16"/>
        <v>2103734</v>
      </c>
      <c r="F20" s="7">
        <v>177089</v>
      </c>
      <c r="G20" s="7">
        <v>4786518</v>
      </c>
      <c r="H20" s="7">
        <f t="shared" si="17"/>
        <v>4609429</v>
      </c>
      <c r="I20" s="51">
        <v>1796526.48</v>
      </c>
      <c r="J20" s="51">
        <v>45338619.130000003</v>
      </c>
      <c r="K20" s="51">
        <f t="shared" si="10"/>
        <v>43542092.650000006</v>
      </c>
      <c r="L20" s="9">
        <f t="shared" si="22"/>
        <v>20.697527657964365</v>
      </c>
      <c r="M20" s="23">
        <f t="shared" si="18"/>
        <v>0.4563979616564221</v>
      </c>
      <c r="N20" s="4"/>
      <c r="O20" s="4"/>
      <c r="P20" s="4"/>
      <c r="Q20" s="4"/>
      <c r="R20" s="10">
        <f>I20/C20</f>
        <v>17.642062220127269</v>
      </c>
      <c r="S20" s="20">
        <f t="shared" si="20"/>
        <v>0.575032893065069</v>
      </c>
      <c r="T20" s="38">
        <f>R20/0.8</f>
        <v>22.052577775159083</v>
      </c>
    </row>
    <row r="21" spans="2:20" x14ac:dyDescent="0.25">
      <c r="B21" s="37" t="s">
        <v>29</v>
      </c>
      <c r="C21" s="7">
        <v>98128</v>
      </c>
      <c r="D21" s="7">
        <v>1781570</v>
      </c>
      <c r="E21" s="7">
        <f t="shared" si="16"/>
        <v>1683442</v>
      </c>
      <c r="F21" s="7">
        <v>164343</v>
      </c>
      <c r="G21" s="7">
        <v>3617675</v>
      </c>
      <c r="H21" s="7">
        <f t="shared" si="17"/>
        <v>3453332</v>
      </c>
      <c r="I21" s="51">
        <v>1673766.3</v>
      </c>
      <c r="J21" s="53">
        <v>34406951.909999996</v>
      </c>
      <c r="K21" s="51">
        <f t="shared" ref="K21:K52" si="24">J21-I21</f>
        <v>32733185.609999996</v>
      </c>
      <c r="L21" s="9">
        <f t="shared" si="22"/>
        <v>19.4442015881747</v>
      </c>
      <c r="M21" s="23">
        <f t="shared" si="18"/>
        <v>0.48748339285073083</v>
      </c>
      <c r="N21" s="4"/>
      <c r="O21" s="4"/>
      <c r="P21" s="4"/>
      <c r="Q21" s="4"/>
      <c r="R21" s="10">
        <f t="shared" si="23"/>
        <v>17.056969468449374</v>
      </c>
      <c r="S21" s="20">
        <f t="shared" si="20"/>
        <v>0.59709266594865618</v>
      </c>
      <c r="T21" s="38">
        <f t="shared" si="21"/>
        <v>21.321211835561716</v>
      </c>
    </row>
    <row r="22" spans="2:20" x14ac:dyDescent="0.25">
      <c r="B22" s="37" t="s">
        <v>30</v>
      </c>
      <c r="C22" s="7">
        <v>114560</v>
      </c>
      <c r="D22" s="7">
        <v>2136087</v>
      </c>
      <c r="E22" s="7">
        <f t="shared" si="16"/>
        <v>2021527</v>
      </c>
      <c r="F22" s="7">
        <v>196473</v>
      </c>
      <c r="G22" s="7">
        <v>4429937</v>
      </c>
      <c r="H22" s="7">
        <f t="shared" si="17"/>
        <v>4233464</v>
      </c>
      <c r="I22" s="51">
        <v>1953923.65</v>
      </c>
      <c r="J22" s="51">
        <v>41229033.159999996</v>
      </c>
      <c r="K22" s="51">
        <f t="shared" si="24"/>
        <v>39275109.509999998</v>
      </c>
      <c r="L22" s="9">
        <f t="shared" si="22"/>
        <v>19.428436775764062</v>
      </c>
      <c r="M22" s="23">
        <f t="shared" si="18"/>
        <v>0.47751132405991881</v>
      </c>
      <c r="N22" s="4"/>
      <c r="O22" s="4"/>
      <c r="P22" s="4"/>
      <c r="Q22" s="4"/>
      <c r="R22" s="10">
        <f t="shared" si="23"/>
        <v>17.05589778282123</v>
      </c>
      <c r="S22" s="20">
        <f t="shared" si="20"/>
        <v>0.58308266275773257</v>
      </c>
      <c r="T22" s="38">
        <f t="shared" si="21"/>
        <v>21.319872228526535</v>
      </c>
    </row>
    <row r="23" spans="2:20" x14ac:dyDescent="0.25">
      <c r="B23" s="37" t="s">
        <v>31</v>
      </c>
      <c r="C23" s="7">
        <v>156201</v>
      </c>
      <c r="D23" s="7">
        <v>3165581</v>
      </c>
      <c r="E23" s="7">
        <f t="shared" si="16"/>
        <v>3009380</v>
      </c>
      <c r="F23" s="7">
        <v>280659</v>
      </c>
      <c r="G23" s="7">
        <v>6835318</v>
      </c>
      <c r="H23" s="7">
        <f t="shared" si="17"/>
        <v>6554659</v>
      </c>
      <c r="I23" s="51">
        <v>2619000.0499999998</v>
      </c>
      <c r="J23" s="51">
        <v>59842398.659999996</v>
      </c>
      <c r="K23" s="51">
        <f t="shared" si="24"/>
        <v>57223398.609999999</v>
      </c>
      <c r="L23" s="9">
        <f t="shared" ref="L23:L47" si="25">K23/E23</f>
        <v>19.015012597279174</v>
      </c>
      <c r="M23" s="23">
        <f t="shared" ref="M23:M30" si="26">E23/H23</f>
        <v>0.45912075670145464</v>
      </c>
      <c r="N23" s="4"/>
      <c r="O23" s="4"/>
      <c r="P23" s="4"/>
      <c r="Q23" s="4"/>
      <c r="R23" s="10">
        <f t="shared" si="23"/>
        <v>16.76685840679637</v>
      </c>
      <c r="S23" s="20">
        <f t="shared" ref="S23:S47" si="27">C23/F23</f>
        <v>0.55655083214862167</v>
      </c>
      <c r="T23" s="38">
        <f t="shared" ref="T23:T44" si="28">R23/0.8</f>
        <v>20.95857300849546</v>
      </c>
    </row>
    <row r="24" spans="2:20" x14ac:dyDescent="0.25">
      <c r="B24" s="37" t="s">
        <v>35</v>
      </c>
      <c r="C24" s="7">
        <v>125159</v>
      </c>
      <c r="D24" s="7">
        <v>2697300</v>
      </c>
      <c r="E24" s="7">
        <f t="shared" si="16"/>
        <v>2572141</v>
      </c>
      <c r="F24" s="7">
        <v>183274</v>
      </c>
      <c r="G24" s="7">
        <v>6129099</v>
      </c>
      <c r="H24" s="7">
        <f t="shared" si="17"/>
        <v>5945825</v>
      </c>
      <c r="I24" s="51">
        <v>2058436.5</v>
      </c>
      <c r="J24" s="51">
        <v>50269810.009999998</v>
      </c>
      <c r="K24" s="51">
        <f t="shared" si="24"/>
        <v>48211373.509999998</v>
      </c>
      <c r="L24" s="9">
        <f t="shared" si="25"/>
        <v>18.743674436976821</v>
      </c>
      <c r="M24" s="23">
        <f t="shared" si="26"/>
        <v>0.43259614939894803</v>
      </c>
      <c r="N24" s="4"/>
      <c r="O24" s="4"/>
      <c r="P24" s="4"/>
      <c r="Q24" s="4"/>
      <c r="R24" s="10">
        <f t="shared" si="23"/>
        <v>16.446571960466287</v>
      </c>
      <c r="S24" s="20">
        <f t="shared" si="27"/>
        <v>0.68290646791143317</v>
      </c>
      <c r="T24" s="38">
        <f t="shared" si="28"/>
        <v>20.558214950582858</v>
      </c>
    </row>
    <row r="25" spans="2:20" x14ac:dyDescent="0.25">
      <c r="B25" s="37" t="s">
        <v>36</v>
      </c>
      <c r="C25" s="7">
        <v>80019</v>
      </c>
      <c r="D25" s="7">
        <v>1399962</v>
      </c>
      <c r="E25" s="7">
        <f t="shared" si="16"/>
        <v>1319943</v>
      </c>
      <c r="F25" s="7">
        <v>129862</v>
      </c>
      <c r="G25" s="7">
        <v>2775075</v>
      </c>
      <c r="H25" s="7">
        <f t="shared" ref="H25:H52" si="29">G25-F25</f>
        <v>2645213</v>
      </c>
      <c r="I25" s="51">
        <v>1232261.98</v>
      </c>
      <c r="J25" s="51">
        <v>24855338.640000001</v>
      </c>
      <c r="K25" s="51">
        <f t="shared" si="24"/>
        <v>23623076.66</v>
      </c>
      <c r="L25" s="9">
        <f t="shared" si="25"/>
        <v>17.897043023827543</v>
      </c>
      <c r="M25" s="23">
        <f t="shared" si="26"/>
        <v>0.49899308675709669</v>
      </c>
      <c r="N25" s="4"/>
      <c r="O25" s="4"/>
      <c r="P25" s="4"/>
      <c r="Q25" s="4"/>
      <c r="R25" s="10">
        <f t="shared" si="23"/>
        <v>15.399617340881541</v>
      </c>
      <c r="S25" s="20">
        <f t="shared" si="27"/>
        <v>0.61618487317306059</v>
      </c>
      <c r="T25" s="38">
        <f t="shared" si="28"/>
        <v>19.249521676101924</v>
      </c>
    </row>
    <row r="26" spans="2:20" x14ac:dyDescent="0.25">
      <c r="B26" s="37" t="s">
        <v>5</v>
      </c>
      <c r="C26" s="7">
        <v>80910</v>
      </c>
      <c r="D26" s="7">
        <v>1497806</v>
      </c>
      <c r="E26" s="7">
        <f t="shared" ref="E26:E52" si="30">D26-C26</f>
        <v>1416896</v>
      </c>
      <c r="F26" s="7">
        <v>117735</v>
      </c>
      <c r="G26" s="7">
        <v>2832465</v>
      </c>
      <c r="H26" s="7">
        <f t="shared" si="29"/>
        <v>2714730</v>
      </c>
      <c r="I26" s="51">
        <v>1376004.44</v>
      </c>
      <c r="J26" s="54">
        <v>29278353.899999999</v>
      </c>
      <c r="K26" s="51">
        <f t="shared" si="24"/>
        <v>27902349.459999997</v>
      </c>
      <c r="L26" s="24">
        <f t="shared" si="25"/>
        <v>19.69258820689733</v>
      </c>
      <c r="M26" s="23">
        <f t="shared" si="26"/>
        <v>0.52192888427210071</v>
      </c>
      <c r="N26" s="4"/>
      <c r="O26" s="4"/>
      <c r="P26" s="4"/>
      <c r="Q26" s="4"/>
      <c r="R26" s="10">
        <f t="shared" si="23"/>
        <v>17.006605363984672</v>
      </c>
      <c r="S26" s="20">
        <f t="shared" si="27"/>
        <v>0.68722130207669763</v>
      </c>
      <c r="T26" s="38">
        <f t="shared" si="28"/>
        <v>21.258256704980838</v>
      </c>
    </row>
    <row r="27" spans="2:20" x14ac:dyDescent="0.25">
      <c r="B27" s="37" t="s">
        <v>6</v>
      </c>
      <c r="C27" s="7">
        <v>93079</v>
      </c>
      <c r="D27" s="7">
        <v>1428358</v>
      </c>
      <c r="E27" s="7">
        <f t="shared" si="30"/>
        <v>1335279</v>
      </c>
      <c r="F27" s="7">
        <v>159474</v>
      </c>
      <c r="G27" s="7">
        <v>2703112</v>
      </c>
      <c r="H27" s="7">
        <f t="shared" si="29"/>
        <v>2543638</v>
      </c>
      <c r="I27" s="51">
        <v>1607279.95</v>
      </c>
      <c r="J27" s="51">
        <v>27358232.030000001</v>
      </c>
      <c r="K27" s="51">
        <f t="shared" si="24"/>
        <v>25750952.080000002</v>
      </c>
      <c r="L27" s="24">
        <f t="shared" si="25"/>
        <v>19.28507231821964</v>
      </c>
      <c r="M27" s="23">
        <f t="shared" si="26"/>
        <v>0.52494851861782221</v>
      </c>
      <c r="N27" s="4"/>
      <c r="O27" s="4"/>
      <c r="P27" s="4"/>
      <c r="Q27" s="4"/>
      <c r="R27" s="10">
        <f t="shared" si="23"/>
        <v>17.267911666433889</v>
      </c>
      <c r="S27" s="20">
        <f t="shared" si="27"/>
        <v>0.58366254060222988</v>
      </c>
      <c r="T27" s="38">
        <f t="shared" si="28"/>
        <v>21.584889583042361</v>
      </c>
    </row>
    <row r="28" spans="2:20" x14ac:dyDescent="0.25">
      <c r="B28" s="37" t="s">
        <v>7</v>
      </c>
      <c r="C28" s="7">
        <v>114370</v>
      </c>
      <c r="D28" s="7">
        <v>1826189</v>
      </c>
      <c r="E28" s="7">
        <f t="shared" si="30"/>
        <v>1711819</v>
      </c>
      <c r="F28" s="7">
        <v>225047</v>
      </c>
      <c r="G28" s="7">
        <v>4084145</v>
      </c>
      <c r="H28" s="7">
        <f t="shared" si="29"/>
        <v>3859098</v>
      </c>
      <c r="I28" s="51">
        <v>1962283.5</v>
      </c>
      <c r="J28" s="51">
        <v>35411744.969999999</v>
      </c>
      <c r="K28" s="51">
        <f t="shared" si="24"/>
        <v>33449461.469999999</v>
      </c>
      <c r="L28" s="9">
        <f t="shared" si="25"/>
        <v>19.540302724762373</v>
      </c>
      <c r="M28" s="23">
        <f t="shared" si="26"/>
        <v>0.44358008011198474</v>
      </c>
      <c r="N28" s="4"/>
      <c r="O28" s="4"/>
      <c r="P28" s="4"/>
      <c r="Q28" s="4"/>
      <c r="R28" s="10">
        <f t="shared" si="23"/>
        <v>17.157327096266503</v>
      </c>
      <c r="S28" s="20">
        <f t="shared" si="27"/>
        <v>0.50820495274320476</v>
      </c>
      <c r="T28" s="38">
        <f t="shared" si="28"/>
        <v>21.446658870333128</v>
      </c>
    </row>
    <row r="29" spans="2:20" x14ac:dyDescent="0.25">
      <c r="B29" s="37" t="s">
        <v>8</v>
      </c>
      <c r="C29" s="7">
        <v>93954</v>
      </c>
      <c r="D29" s="7">
        <v>1538115</v>
      </c>
      <c r="E29" s="7">
        <f t="shared" si="30"/>
        <v>1444161</v>
      </c>
      <c r="F29" s="7">
        <v>161713</v>
      </c>
      <c r="G29" s="7">
        <v>3019157</v>
      </c>
      <c r="H29" s="7">
        <f t="shared" si="29"/>
        <v>2857444</v>
      </c>
      <c r="I29" s="51">
        <v>1506233.61</v>
      </c>
      <c r="J29" s="51">
        <v>27993609.16</v>
      </c>
      <c r="K29" s="51">
        <f t="shared" si="24"/>
        <v>26487375.550000001</v>
      </c>
      <c r="L29" s="9">
        <f t="shared" si="25"/>
        <v>18.341012913380158</v>
      </c>
      <c r="M29" s="23">
        <f t="shared" si="26"/>
        <v>0.50540308051531369</v>
      </c>
      <c r="N29" s="4"/>
      <c r="O29" s="4"/>
      <c r="P29" s="4"/>
      <c r="Q29" s="4"/>
      <c r="R29" s="10">
        <f t="shared" si="23"/>
        <v>16.031607063030847</v>
      </c>
      <c r="S29" s="20">
        <f t="shared" si="27"/>
        <v>0.58099225170518143</v>
      </c>
      <c r="T29" s="38">
        <f t="shared" si="28"/>
        <v>20.039508828788559</v>
      </c>
    </row>
    <row r="30" spans="2:20" x14ac:dyDescent="0.25">
      <c r="B30" s="37" t="s">
        <v>9</v>
      </c>
      <c r="C30" s="7">
        <v>80144</v>
      </c>
      <c r="D30" s="7">
        <v>1266591</v>
      </c>
      <c r="E30" s="7">
        <f t="shared" si="30"/>
        <v>1186447</v>
      </c>
      <c r="F30" s="7">
        <v>126050</v>
      </c>
      <c r="G30" s="7">
        <v>2500771</v>
      </c>
      <c r="H30" s="7">
        <f t="shared" si="29"/>
        <v>2374721</v>
      </c>
      <c r="I30" s="51">
        <v>1239393.25</v>
      </c>
      <c r="J30" s="51">
        <v>22601147.219999999</v>
      </c>
      <c r="K30" s="51">
        <f t="shared" si="24"/>
        <v>21361753.969999999</v>
      </c>
      <c r="L30" s="9">
        <f t="shared" si="25"/>
        <v>18.004810977650074</v>
      </c>
      <c r="M30" s="23">
        <f t="shared" si="26"/>
        <v>0.49961532323165542</v>
      </c>
      <c r="N30" s="4"/>
      <c r="O30" s="4"/>
      <c r="P30" s="4"/>
      <c r="Q30" s="4"/>
      <c r="R30" s="10">
        <f t="shared" si="23"/>
        <v>15.464579382112198</v>
      </c>
      <c r="S30" s="23">
        <f t="shared" si="27"/>
        <v>0.63581118603728681</v>
      </c>
      <c r="T30" s="38">
        <f t="shared" si="28"/>
        <v>19.330724227640246</v>
      </c>
    </row>
    <row r="31" spans="2:20" x14ac:dyDescent="0.25">
      <c r="B31" s="40" t="s">
        <v>10</v>
      </c>
      <c r="C31" s="41">
        <v>123574</v>
      </c>
      <c r="D31" s="41">
        <v>2065311</v>
      </c>
      <c r="E31" s="41">
        <f t="shared" si="30"/>
        <v>1941737</v>
      </c>
      <c r="F31" s="41">
        <v>254936</v>
      </c>
      <c r="G31" s="41">
        <v>4324952</v>
      </c>
      <c r="H31" s="41">
        <f t="shared" si="29"/>
        <v>4070016</v>
      </c>
      <c r="I31" s="55">
        <v>2127601.94</v>
      </c>
      <c r="J31" s="55">
        <v>40125386.100000001</v>
      </c>
      <c r="K31" s="55">
        <f t="shared" si="24"/>
        <v>37997784.160000004</v>
      </c>
      <c r="L31" s="42">
        <f t="shared" si="25"/>
        <v>19.56896539541658</v>
      </c>
      <c r="M31" s="43">
        <f>E31/H31</f>
        <v>0.47708338247318932</v>
      </c>
      <c r="N31" s="44"/>
      <c r="O31" s="44"/>
      <c r="P31" s="44"/>
      <c r="Q31" s="44"/>
      <c r="R31" s="42">
        <f t="shared" si="23"/>
        <v>17.217229676145468</v>
      </c>
      <c r="S31" s="43">
        <f t="shared" si="27"/>
        <v>0.4847255781843286</v>
      </c>
      <c r="T31" s="45">
        <f t="shared" si="28"/>
        <v>21.521537095181834</v>
      </c>
    </row>
    <row r="32" spans="2:20" x14ac:dyDescent="0.25">
      <c r="B32" s="40" t="s">
        <v>2</v>
      </c>
      <c r="C32" s="41">
        <v>88765</v>
      </c>
      <c r="D32" s="41">
        <v>1170610</v>
      </c>
      <c r="E32" s="41">
        <f t="shared" si="30"/>
        <v>1081845</v>
      </c>
      <c r="F32" s="41">
        <v>154957</v>
      </c>
      <c r="G32" s="41">
        <v>2244001</v>
      </c>
      <c r="H32" s="41">
        <f t="shared" si="29"/>
        <v>2089044</v>
      </c>
      <c r="I32" s="55">
        <v>1403273.53</v>
      </c>
      <c r="J32" s="55">
        <v>21418931.379999999</v>
      </c>
      <c r="K32" s="55">
        <f t="shared" si="24"/>
        <v>20015657.849999998</v>
      </c>
      <c r="L32" s="42">
        <f t="shared" si="25"/>
        <v>18.501409952442355</v>
      </c>
      <c r="M32" s="43">
        <f t="shared" ref="M32:M47" si="31">E32/H32</f>
        <v>0.51786606696651671</v>
      </c>
      <c r="N32" s="44"/>
      <c r="O32" s="44"/>
      <c r="P32" s="44"/>
      <c r="Q32" s="44"/>
      <c r="R32" s="42">
        <f t="shared" si="23"/>
        <v>15.808860812257084</v>
      </c>
      <c r="S32" s="43">
        <f t="shared" si="27"/>
        <v>0.57283633524138955</v>
      </c>
      <c r="T32" s="45">
        <f t="shared" si="28"/>
        <v>19.761076015321354</v>
      </c>
    </row>
    <row r="33" spans="2:20" x14ac:dyDescent="0.25">
      <c r="B33" s="40" t="s">
        <v>29</v>
      </c>
      <c r="C33" s="41">
        <v>107848</v>
      </c>
      <c r="D33" s="41">
        <v>1334852</v>
      </c>
      <c r="E33" s="41">
        <f t="shared" si="30"/>
        <v>1227004</v>
      </c>
      <c r="F33" s="41">
        <v>201619</v>
      </c>
      <c r="G33" s="41">
        <v>2582243</v>
      </c>
      <c r="H33" s="41">
        <f t="shared" si="29"/>
        <v>2380624</v>
      </c>
      <c r="I33" s="55">
        <v>1891330.96</v>
      </c>
      <c r="J33" s="55">
        <v>26425893.149999999</v>
      </c>
      <c r="K33" s="55">
        <f t="shared" si="24"/>
        <v>24534562.189999998</v>
      </c>
      <c r="L33" s="42">
        <f t="shared" si="25"/>
        <v>19.995503021995038</v>
      </c>
      <c r="M33" s="43">
        <f t="shared" si="31"/>
        <v>0.51541276572864925</v>
      </c>
      <c r="N33" s="44"/>
      <c r="O33" s="44"/>
      <c r="P33" s="44"/>
      <c r="Q33" s="44"/>
      <c r="R33" s="42">
        <f t="shared" si="23"/>
        <v>17.53700541502856</v>
      </c>
      <c r="S33" s="43">
        <f t="shared" si="27"/>
        <v>0.53490990432449326</v>
      </c>
      <c r="T33" s="45">
        <f t="shared" si="28"/>
        <v>21.9212567687857</v>
      </c>
    </row>
    <row r="34" spans="2:20" x14ac:dyDescent="0.25">
      <c r="B34" s="40" t="s">
        <v>30</v>
      </c>
      <c r="C34" s="41">
        <v>107074</v>
      </c>
      <c r="D34" s="41">
        <v>1814066</v>
      </c>
      <c r="E34" s="41">
        <f t="shared" si="30"/>
        <v>1706992</v>
      </c>
      <c r="F34" s="41">
        <v>214747</v>
      </c>
      <c r="G34" s="41">
        <v>3924243</v>
      </c>
      <c r="H34" s="41">
        <f t="shared" si="29"/>
        <v>3709496</v>
      </c>
      <c r="I34" s="55">
        <v>1926393.31</v>
      </c>
      <c r="J34" s="55">
        <v>38185033.740000002</v>
      </c>
      <c r="K34" s="55">
        <f t="shared" si="24"/>
        <v>36258640.43</v>
      </c>
      <c r="L34" s="42">
        <f t="shared" si="25"/>
        <v>21.241248014050445</v>
      </c>
      <c r="M34" s="43">
        <f t="shared" si="31"/>
        <v>0.46016817378964692</v>
      </c>
      <c r="N34" s="44"/>
      <c r="O34" s="44"/>
      <c r="P34" s="44"/>
      <c r="Q34" s="44"/>
      <c r="R34" s="42">
        <f t="shared" si="23"/>
        <v>17.991233259241273</v>
      </c>
      <c r="S34" s="43">
        <f t="shared" si="27"/>
        <v>0.49860533558093945</v>
      </c>
      <c r="T34" s="45">
        <f t="shared" si="28"/>
        <v>22.489041574051591</v>
      </c>
    </row>
    <row r="35" spans="2:20" x14ac:dyDescent="0.25">
      <c r="B35" s="40" t="s">
        <v>31</v>
      </c>
      <c r="C35" s="41">
        <v>159500</v>
      </c>
      <c r="D35" s="41">
        <v>2592990</v>
      </c>
      <c r="E35" s="41">
        <f t="shared" si="30"/>
        <v>2433490</v>
      </c>
      <c r="F35" s="41">
        <v>299754</v>
      </c>
      <c r="G35" s="41">
        <v>5553431</v>
      </c>
      <c r="H35" s="41">
        <f t="shared" si="29"/>
        <v>5253677</v>
      </c>
      <c r="I35" s="55">
        <v>2972628.12</v>
      </c>
      <c r="J35" s="55">
        <v>54601863.579999998</v>
      </c>
      <c r="K35" s="55">
        <f t="shared" si="24"/>
        <v>51629235.460000001</v>
      </c>
      <c r="L35" s="42">
        <f t="shared" si="25"/>
        <v>21.216128054769076</v>
      </c>
      <c r="M35" s="43">
        <f t="shared" si="31"/>
        <v>0.46319749006267419</v>
      </c>
      <c r="N35" s="44"/>
      <c r="O35" s="44"/>
      <c r="P35" s="44"/>
      <c r="Q35" s="44"/>
      <c r="R35" s="42">
        <f t="shared" si="23"/>
        <v>18.637166896551726</v>
      </c>
      <c r="S35" s="43">
        <f t="shared" si="27"/>
        <v>0.53210299111938453</v>
      </c>
      <c r="T35" s="45">
        <f t="shared" si="28"/>
        <v>23.296458620689656</v>
      </c>
    </row>
    <row r="36" spans="2:20" x14ac:dyDescent="0.25">
      <c r="B36" s="40" t="s">
        <v>35</v>
      </c>
      <c r="C36" s="41">
        <v>140034</v>
      </c>
      <c r="D36" s="41">
        <v>2473595</v>
      </c>
      <c r="E36" s="41">
        <f t="shared" si="30"/>
        <v>2333561</v>
      </c>
      <c r="F36" s="41">
        <v>271134</v>
      </c>
      <c r="G36" s="41">
        <v>5071772</v>
      </c>
      <c r="H36" s="41">
        <f t="shared" si="29"/>
        <v>4800638</v>
      </c>
      <c r="I36" s="55">
        <v>2493283.4</v>
      </c>
      <c r="J36" s="55">
        <v>50979415.939999998</v>
      </c>
      <c r="K36" s="55">
        <f t="shared" si="24"/>
        <v>48486132.539999999</v>
      </c>
      <c r="L36" s="42">
        <f t="shared" si="25"/>
        <v>20.777743774428867</v>
      </c>
      <c r="M36" s="43">
        <f t="shared" si="31"/>
        <v>0.48609393168158066</v>
      </c>
      <c r="N36" s="44"/>
      <c r="O36" s="44"/>
      <c r="P36" s="44"/>
      <c r="Q36" s="44"/>
      <c r="R36" s="42">
        <f t="shared" si="23"/>
        <v>17.804843109530541</v>
      </c>
      <c r="S36" s="43">
        <f t="shared" si="27"/>
        <v>0.51647524840115955</v>
      </c>
      <c r="T36" s="45">
        <f t="shared" si="28"/>
        <v>22.256053886913175</v>
      </c>
    </row>
    <row r="37" spans="2:20" x14ac:dyDescent="0.25">
      <c r="B37" s="40" t="s">
        <v>36</v>
      </c>
      <c r="C37" s="41">
        <v>102183</v>
      </c>
      <c r="D37" s="41">
        <v>1381926</v>
      </c>
      <c r="E37" s="41">
        <f t="shared" si="30"/>
        <v>1279743</v>
      </c>
      <c r="F37" s="41">
        <v>185458</v>
      </c>
      <c r="G37" s="41">
        <v>2651474</v>
      </c>
      <c r="H37" s="41">
        <f t="shared" si="29"/>
        <v>2466016</v>
      </c>
      <c r="I37" s="55">
        <v>1773908.63</v>
      </c>
      <c r="J37" s="55">
        <v>27877059.289999999</v>
      </c>
      <c r="K37" s="55">
        <f t="shared" si="24"/>
        <v>26103150.66</v>
      </c>
      <c r="L37" s="42">
        <f t="shared" si="25"/>
        <v>20.397181824788259</v>
      </c>
      <c r="M37" s="43">
        <f t="shared" si="31"/>
        <v>0.51895162075185242</v>
      </c>
      <c r="N37" s="44"/>
      <c r="O37" s="44"/>
      <c r="P37" s="44"/>
      <c r="Q37" s="44"/>
      <c r="R37" s="42">
        <f t="shared" si="23"/>
        <v>17.360114989773248</v>
      </c>
      <c r="S37" s="43">
        <f t="shared" si="27"/>
        <v>0.55097650141811083</v>
      </c>
      <c r="T37" s="45">
        <f t="shared" si="28"/>
        <v>21.700143737216557</v>
      </c>
    </row>
    <row r="38" spans="2:20" x14ac:dyDescent="0.25">
      <c r="B38" s="40" t="s">
        <v>5</v>
      </c>
      <c r="C38" s="41">
        <v>102681</v>
      </c>
      <c r="D38" s="41">
        <v>1287183</v>
      </c>
      <c r="E38" s="41">
        <f t="shared" si="30"/>
        <v>1184502</v>
      </c>
      <c r="F38" s="41">
        <v>195701</v>
      </c>
      <c r="G38" s="41">
        <v>2622100</v>
      </c>
      <c r="H38" s="41">
        <f t="shared" si="29"/>
        <v>2426399</v>
      </c>
      <c r="I38" s="55">
        <v>1721422.97</v>
      </c>
      <c r="J38" s="55">
        <v>25102857.039999999</v>
      </c>
      <c r="K38" s="55">
        <f t="shared" si="24"/>
        <v>23381434.07</v>
      </c>
      <c r="L38" s="42">
        <f t="shared" si="25"/>
        <v>19.739463563590437</v>
      </c>
      <c r="M38" s="43">
        <f t="shared" si="31"/>
        <v>0.48817280257698753</v>
      </c>
      <c r="N38" s="43"/>
      <c r="O38" s="43"/>
      <c r="P38" s="43"/>
      <c r="Q38" s="43"/>
      <c r="R38" s="42">
        <f t="shared" si="23"/>
        <v>16.764766315092373</v>
      </c>
      <c r="S38" s="43">
        <f t="shared" si="27"/>
        <v>0.52468306242686547</v>
      </c>
      <c r="T38" s="45">
        <f t="shared" si="28"/>
        <v>20.955957893865467</v>
      </c>
    </row>
    <row r="39" spans="2:20" x14ac:dyDescent="0.25">
      <c r="B39" s="40" t="s">
        <v>6</v>
      </c>
      <c r="C39" s="41">
        <v>123463</v>
      </c>
      <c r="D39" s="41">
        <v>1734842</v>
      </c>
      <c r="E39" s="41">
        <f t="shared" si="30"/>
        <v>1611379</v>
      </c>
      <c r="F39" s="41">
        <v>268538</v>
      </c>
      <c r="G39" s="41">
        <v>3556643</v>
      </c>
      <c r="H39" s="41">
        <f t="shared" si="29"/>
        <v>3288105</v>
      </c>
      <c r="I39" s="55">
        <v>2154285.12</v>
      </c>
      <c r="J39" s="55">
        <v>34953476.170000002</v>
      </c>
      <c r="K39" s="55">
        <f t="shared" si="24"/>
        <v>32799191.050000001</v>
      </c>
      <c r="L39" s="42">
        <f t="shared" si="25"/>
        <v>20.354734081801986</v>
      </c>
      <c r="M39" s="43">
        <f t="shared" si="31"/>
        <v>0.49006312146357855</v>
      </c>
      <c r="N39" s="43"/>
      <c r="O39" s="43"/>
      <c r="P39" s="43"/>
      <c r="Q39" s="43"/>
      <c r="R39" s="42">
        <f t="shared" si="23"/>
        <v>17.448831795760675</v>
      </c>
      <c r="S39" s="43">
        <f t="shared" si="27"/>
        <v>0.45975988500696363</v>
      </c>
      <c r="T39" s="45">
        <f t="shared" si="28"/>
        <v>21.811039744700842</v>
      </c>
    </row>
    <row r="40" spans="2:20" x14ac:dyDescent="0.25">
      <c r="B40" s="40" t="s">
        <v>7</v>
      </c>
      <c r="C40" s="41">
        <v>145578</v>
      </c>
      <c r="D40" s="41">
        <v>2289354</v>
      </c>
      <c r="E40" s="41">
        <f t="shared" si="30"/>
        <v>2143776</v>
      </c>
      <c r="F40" s="41">
        <v>309985</v>
      </c>
      <c r="G40" s="41">
        <v>4990160</v>
      </c>
      <c r="H40" s="41">
        <f t="shared" si="29"/>
        <v>4680175</v>
      </c>
      <c r="I40" s="55">
        <v>2703491.31</v>
      </c>
      <c r="J40" s="55">
        <v>47787378.460000001</v>
      </c>
      <c r="K40" s="55">
        <f t="shared" si="24"/>
        <v>45083887.149999999</v>
      </c>
      <c r="L40" s="42">
        <f t="shared" si="25"/>
        <v>21.03012961708686</v>
      </c>
      <c r="M40" s="43">
        <f t="shared" si="31"/>
        <v>0.45805466675925582</v>
      </c>
      <c r="N40" s="44"/>
      <c r="O40" s="44"/>
      <c r="P40" s="44"/>
      <c r="Q40" s="44"/>
      <c r="R40" s="42">
        <f t="shared" si="23"/>
        <v>18.570740839962081</v>
      </c>
      <c r="S40" s="43">
        <f t="shared" si="27"/>
        <v>0.46962917560527123</v>
      </c>
      <c r="T40" s="45">
        <f t="shared" si="28"/>
        <v>23.213426049952599</v>
      </c>
    </row>
    <row r="41" spans="2:20" x14ac:dyDescent="0.25">
      <c r="B41" s="40" t="s">
        <v>8</v>
      </c>
      <c r="C41" s="41">
        <v>111163</v>
      </c>
      <c r="D41" s="41">
        <v>1639797</v>
      </c>
      <c r="E41" s="41">
        <f t="shared" si="30"/>
        <v>1528634</v>
      </c>
      <c r="F41" s="41">
        <v>198647</v>
      </c>
      <c r="G41" s="41">
        <v>3192832</v>
      </c>
      <c r="H41" s="41">
        <f t="shared" si="29"/>
        <v>2994185</v>
      </c>
      <c r="I41" s="55">
        <v>1737199.79</v>
      </c>
      <c r="J41" s="55">
        <v>30290669.800000001</v>
      </c>
      <c r="K41" s="55">
        <f t="shared" si="24"/>
        <v>28553470.010000002</v>
      </c>
      <c r="L41" s="42">
        <f t="shared" si="25"/>
        <v>18.679075573355036</v>
      </c>
      <c r="M41" s="43">
        <f t="shared" si="31"/>
        <v>0.51053425222556392</v>
      </c>
      <c r="N41" s="44"/>
      <c r="O41" s="44"/>
      <c r="P41" s="44"/>
      <c r="Q41" s="44"/>
      <c r="R41" s="42">
        <f t="shared" si="23"/>
        <v>15.627500067468493</v>
      </c>
      <c r="S41" s="43">
        <f t="shared" si="27"/>
        <v>0.55960069872688745</v>
      </c>
      <c r="T41" s="45">
        <f>R41/0.8</f>
        <v>19.534375084335615</v>
      </c>
    </row>
    <row r="42" spans="2:20" x14ac:dyDescent="0.25">
      <c r="B42" s="40" t="s">
        <v>9</v>
      </c>
      <c r="C42" s="41">
        <v>108892</v>
      </c>
      <c r="D42" s="41">
        <v>1338259</v>
      </c>
      <c r="E42" s="41">
        <f t="shared" si="30"/>
        <v>1229367</v>
      </c>
      <c r="F42" s="41">
        <v>211279</v>
      </c>
      <c r="G42" s="41">
        <v>2825012</v>
      </c>
      <c r="H42" s="41">
        <f t="shared" si="29"/>
        <v>2613733</v>
      </c>
      <c r="I42" s="55">
        <v>1846356.73</v>
      </c>
      <c r="J42" s="55">
        <v>25675418.579999998</v>
      </c>
      <c r="K42" s="55">
        <f t="shared" si="24"/>
        <v>23829061.849999998</v>
      </c>
      <c r="L42" s="42">
        <f t="shared" si="25"/>
        <v>19.383196270926419</v>
      </c>
      <c r="M42" s="43">
        <f t="shared" si="31"/>
        <v>0.47034911370059607</v>
      </c>
      <c r="N42" s="44"/>
      <c r="O42" s="44"/>
      <c r="P42" s="44"/>
      <c r="Q42" s="44"/>
      <c r="R42" s="42">
        <f t="shared" si="23"/>
        <v>16.955852863387577</v>
      </c>
      <c r="S42" s="43">
        <f t="shared" si="27"/>
        <v>0.51539433639879018</v>
      </c>
      <c r="T42" s="45">
        <f t="shared" si="28"/>
        <v>21.194816079234471</v>
      </c>
    </row>
    <row r="43" spans="2:20" x14ac:dyDescent="0.25">
      <c r="B43" s="40" t="s">
        <v>10</v>
      </c>
      <c r="C43" s="41">
        <v>106533</v>
      </c>
      <c r="D43" s="41">
        <v>1241322</v>
      </c>
      <c r="E43" s="41">
        <f t="shared" si="30"/>
        <v>1134789</v>
      </c>
      <c r="F43" s="41">
        <v>200314</v>
      </c>
      <c r="G43" s="41">
        <v>2386768</v>
      </c>
      <c r="H43" s="41">
        <f t="shared" si="29"/>
        <v>2186454</v>
      </c>
      <c r="I43" s="55">
        <v>1759636.72</v>
      </c>
      <c r="J43" s="55">
        <v>23469745.379999999</v>
      </c>
      <c r="K43" s="55">
        <f t="shared" si="24"/>
        <v>21710108.66</v>
      </c>
      <c r="L43" s="42">
        <f t="shared" si="25"/>
        <v>19.131405626949149</v>
      </c>
      <c r="M43" s="43">
        <f t="shared" si="31"/>
        <v>0.51900886092275433</v>
      </c>
      <c r="N43" s="44"/>
      <c r="O43" s="44"/>
      <c r="P43" s="44"/>
      <c r="Q43" s="44"/>
      <c r="R43" s="42">
        <f t="shared" si="23"/>
        <v>16.517292482141684</v>
      </c>
      <c r="S43" s="43">
        <f t="shared" si="27"/>
        <v>0.5318300268578332</v>
      </c>
      <c r="T43" s="45">
        <f t="shared" si="28"/>
        <v>20.646615602677105</v>
      </c>
    </row>
    <row r="44" spans="2:20" x14ac:dyDescent="0.25">
      <c r="B44" s="40" t="s">
        <v>2</v>
      </c>
      <c r="C44" s="41">
        <v>143665</v>
      </c>
      <c r="D44" s="41">
        <v>1965679</v>
      </c>
      <c r="E44" s="41">
        <f t="shared" si="30"/>
        <v>1822014</v>
      </c>
      <c r="F44" s="41">
        <v>270429</v>
      </c>
      <c r="G44" s="41">
        <v>3933745</v>
      </c>
      <c r="H44" s="41">
        <f t="shared" si="29"/>
        <v>3663316</v>
      </c>
      <c r="I44" s="55">
        <v>2555602.37</v>
      </c>
      <c r="J44" s="55">
        <v>40023831.969999999</v>
      </c>
      <c r="K44" s="55">
        <f t="shared" si="24"/>
        <v>37468229.600000001</v>
      </c>
      <c r="L44" s="42">
        <f t="shared" si="25"/>
        <v>20.564183151172276</v>
      </c>
      <c r="M44" s="43">
        <f t="shared" si="31"/>
        <v>0.49736741247547306</v>
      </c>
      <c r="N44" s="44"/>
      <c r="O44" s="44"/>
      <c r="P44" s="44"/>
      <c r="Q44" s="44"/>
      <c r="R44" s="42">
        <f t="shared" si="23"/>
        <v>17.788621932969061</v>
      </c>
      <c r="S44" s="43">
        <f t="shared" si="27"/>
        <v>0.53124849775726712</v>
      </c>
      <c r="T44" s="45">
        <f t="shared" si="28"/>
        <v>22.235777416211324</v>
      </c>
    </row>
    <row r="45" spans="2:20" x14ac:dyDescent="0.25">
      <c r="B45" s="40" t="s">
        <v>29</v>
      </c>
      <c r="C45" s="41">
        <v>170834</v>
      </c>
      <c r="D45" s="41">
        <v>2003457</v>
      </c>
      <c r="E45" s="41">
        <f t="shared" si="30"/>
        <v>1832623</v>
      </c>
      <c r="F45" s="41">
        <v>366403</v>
      </c>
      <c r="G45" s="41">
        <v>3922397</v>
      </c>
      <c r="H45" s="41">
        <f t="shared" si="29"/>
        <v>3555994</v>
      </c>
      <c r="I45" s="55">
        <v>3091877.11</v>
      </c>
      <c r="J45" s="55">
        <v>41299575.280000001</v>
      </c>
      <c r="K45" s="55">
        <f t="shared" si="24"/>
        <v>38207698.170000002</v>
      </c>
      <c r="L45" s="42">
        <f t="shared" si="25"/>
        <v>20.848640538725096</v>
      </c>
      <c r="M45" s="43">
        <f t="shared" si="31"/>
        <v>0.5153616682142883</v>
      </c>
      <c r="N45" s="44"/>
      <c r="O45" s="44"/>
      <c r="P45" s="44"/>
      <c r="Q45" s="44"/>
      <c r="R45" s="42">
        <f t="shared" si="23"/>
        <v>18.098722209864547</v>
      </c>
      <c r="S45" s="43">
        <f t="shared" si="27"/>
        <v>0.46624618248213034</v>
      </c>
      <c r="T45" s="45">
        <f t="shared" ref="T45:T50" si="32">R45/0.8</f>
        <v>22.623402762330684</v>
      </c>
    </row>
    <row r="46" spans="2:20" x14ac:dyDescent="0.25">
      <c r="B46" s="37" t="s">
        <v>30</v>
      </c>
      <c r="C46" s="7">
        <v>161691</v>
      </c>
      <c r="D46" s="7">
        <v>1852794</v>
      </c>
      <c r="E46" s="7">
        <f t="shared" si="30"/>
        <v>1691103</v>
      </c>
      <c r="F46" s="7">
        <v>332401</v>
      </c>
      <c r="G46" s="7">
        <v>3754273</v>
      </c>
      <c r="H46" s="7">
        <f t="shared" si="29"/>
        <v>3421872</v>
      </c>
      <c r="I46" s="56">
        <v>2859872.57</v>
      </c>
      <c r="J46" s="57">
        <v>38080780.57</v>
      </c>
      <c r="K46" s="51">
        <f t="shared" si="24"/>
        <v>35220908</v>
      </c>
      <c r="L46" s="9">
        <f t="shared" si="25"/>
        <v>20.827180839960665</v>
      </c>
      <c r="M46" s="23">
        <f t="shared" si="31"/>
        <v>0.49420404971313947</v>
      </c>
      <c r="N46" s="4"/>
      <c r="O46" s="4"/>
      <c r="P46" s="4"/>
      <c r="Q46" s="4"/>
      <c r="R46" s="9">
        <f t="shared" si="23"/>
        <v>17.687271214848074</v>
      </c>
      <c r="S46" s="23">
        <f t="shared" si="27"/>
        <v>0.48643355465236265</v>
      </c>
      <c r="T46" s="58">
        <f t="shared" si="32"/>
        <v>22.109089018560091</v>
      </c>
    </row>
    <row r="47" spans="2:20" x14ac:dyDescent="0.25">
      <c r="B47" s="60" t="s">
        <v>31</v>
      </c>
      <c r="C47" s="7">
        <v>223636</v>
      </c>
      <c r="D47" s="7">
        <v>2575656</v>
      </c>
      <c r="E47" s="7">
        <f t="shared" si="30"/>
        <v>2352020</v>
      </c>
      <c r="F47" s="7">
        <v>446522</v>
      </c>
      <c r="G47" s="7">
        <v>5232605</v>
      </c>
      <c r="H47" s="7">
        <f t="shared" si="29"/>
        <v>4786083</v>
      </c>
      <c r="I47" s="56">
        <v>4158501.39</v>
      </c>
      <c r="J47" s="57">
        <v>52833368.490000002</v>
      </c>
      <c r="K47" s="51">
        <f t="shared" si="24"/>
        <v>48674867.100000001</v>
      </c>
      <c r="L47" s="9">
        <f t="shared" si="25"/>
        <v>20.694920578906643</v>
      </c>
      <c r="M47" s="23">
        <f t="shared" si="31"/>
        <v>0.49142900363407821</v>
      </c>
      <c r="N47" s="4"/>
      <c r="O47" s="4"/>
      <c r="P47" s="4"/>
      <c r="Q47" s="4"/>
      <c r="R47" s="9">
        <f t="shared" si="23"/>
        <v>18.594955150333579</v>
      </c>
      <c r="S47" s="23">
        <f t="shared" si="27"/>
        <v>0.50083982424158269</v>
      </c>
      <c r="T47" s="9">
        <f t="shared" si="32"/>
        <v>23.243693937916973</v>
      </c>
    </row>
    <row r="48" spans="2:20" x14ac:dyDescent="0.25">
      <c r="B48" s="60" t="s">
        <v>35</v>
      </c>
      <c r="C48" s="7">
        <v>168219</v>
      </c>
      <c r="D48" s="7">
        <v>2003579</v>
      </c>
      <c r="E48" s="7">
        <f t="shared" si="30"/>
        <v>1835360</v>
      </c>
      <c r="F48" s="7">
        <v>327314</v>
      </c>
      <c r="G48" s="7">
        <v>4126148</v>
      </c>
      <c r="H48" s="7">
        <f t="shared" si="29"/>
        <v>3798834</v>
      </c>
      <c r="I48" s="56">
        <v>2875151.93</v>
      </c>
      <c r="J48" s="57">
        <v>38657371.210000001</v>
      </c>
      <c r="K48" s="51">
        <f t="shared" si="24"/>
        <v>35782219.280000001</v>
      </c>
      <c r="L48" s="9">
        <f t="shared" ref="L48" si="33">K48/E48</f>
        <v>19.496022186383055</v>
      </c>
      <c r="M48" s="23">
        <f t="shared" ref="M48" si="34">E48/H48</f>
        <v>0.4831377206795559</v>
      </c>
      <c r="N48" s="4"/>
      <c r="O48" s="4"/>
      <c r="P48" s="4"/>
      <c r="Q48" s="4"/>
      <c r="R48" s="9">
        <f t="shared" ref="R48" si="35">I48/C48</f>
        <v>17.091719306380373</v>
      </c>
      <c r="S48" s="23">
        <f t="shared" ref="S48" si="36">C48/F48</f>
        <v>0.51393768674728246</v>
      </c>
      <c r="T48" s="9">
        <f t="shared" si="32"/>
        <v>21.364649132975465</v>
      </c>
    </row>
    <row r="49" spans="2:20" x14ac:dyDescent="0.25">
      <c r="B49" s="60" t="s">
        <v>36</v>
      </c>
      <c r="C49" s="7">
        <v>129658</v>
      </c>
      <c r="D49" s="7">
        <v>1498166</v>
      </c>
      <c r="E49" s="7">
        <f t="shared" si="30"/>
        <v>1368508</v>
      </c>
      <c r="F49" s="7">
        <v>255830</v>
      </c>
      <c r="G49" s="7">
        <v>2734046</v>
      </c>
      <c r="H49" s="7">
        <f t="shared" si="29"/>
        <v>2478216</v>
      </c>
      <c r="I49" s="56">
        <v>2084814.79</v>
      </c>
      <c r="J49" s="57">
        <v>27973259.02</v>
      </c>
      <c r="K49" s="51">
        <f t="shared" si="24"/>
        <v>25888444.23</v>
      </c>
      <c r="L49" s="9">
        <f t="shared" ref="L49" si="37">K49/E49</f>
        <v>18.917276501123851</v>
      </c>
      <c r="M49" s="23">
        <f>E49/H49</f>
        <v>0.55221498045368123</v>
      </c>
      <c r="N49" s="4"/>
      <c r="O49" s="4"/>
      <c r="P49" s="4"/>
      <c r="Q49" s="4"/>
      <c r="R49" s="9">
        <f t="shared" ref="R49" si="38">I49/C49</f>
        <v>16.079337873482547</v>
      </c>
      <c r="S49" s="23">
        <f>C49/F49</f>
        <v>0.50681311808622909</v>
      </c>
      <c r="T49" s="9">
        <f t="shared" si="32"/>
        <v>20.099172341853183</v>
      </c>
    </row>
    <row r="50" spans="2:20" x14ac:dyDescent="0.25">
      <c r="B50" s="60" t="s">
        <v>5</v>
      </c>
      <c r="C50" s="7">
        <v>119902</v>
      </c>
      <c r="D50" s="7">
        <v>1233066</v>
      </c>
      <c r="E50" s="7">
        <f t="shared" si="30"/>
        <v>1113164</v>
      </c>
      <c r="F50" s="7">
        <v>230279</v>
      </c>
      <c r="G50" s="7">
        <v>2187349</v>
      </c>
      <c r="H50" s="7">
        <f t="shared" si="29"/>
        <v>1957070</v>
      </c>
      <c r="I50" s="56">
        <v>1983035</v>
      </c>
      <c r="J50" s="57">
        <v>22941846.789999999</v>
      </c>
      <c r="K50" s="51">
        <f t="shared" si="24"/>
        <v>20958811.789999999</v>
      </c>
      <c r="L50" s="9">
        <f t="shared" ref="L50" si="39">K50/E50</f>
        <v>18.828143732639575</v>
      </c>
      <c r="M50" s="23">
        <f>E50/H50</f>
        <v>0.56879110098259134</v>
      </c>
      <c r="N50" s="4"/>
      <c r="O50" s="4"/>
      <c r="P50" s="4"/>
      <c r="Q50" s="4"/>
      <c r="R50" s="9">
        <f t="shared" ref="R50" si="40">I50/C50</f>
        <v>16.538798351987456</v>
      </c>
      <c r="S50" s="23">
        <f>C50/F50</f>
        <v>0.52068143426017999</v>
      </c>
      <c r="T50" s="9">
        <f t="shared" si="32"/>
        <v>20.673497939984319</v>
      </c>
    </row>
    <row r="51" spans="2:20" x14ac:dyDescent="0.25">
      <c r="B51" s="60" t="s">
        <v>6</v>
      </c>
      <c r="C51" s="7">
        <v>162692</v>
      </c>
      <c r="D51" s="7">
        <v>1654402</v>
      </c>
      <c r="E51" s="7">
        <f t="shared" si="30"/>
        <v>1491710</v>
      </c>
      <c r="F51" s="7">
        <v>348007</v>
      </c>
      <c r="G51" s="7">
        <v>3049012</v>
      </c>
      <c r="H51" s="7">
        <f t="shared" si="29"/>
        <v>2701005</v>
      </c>
      <c r="I51" s="56">
        <v>2837350</v>
      </c>
      <c r="J51" s="57">
        <v>32579734.420000002</v>
      </c>
      <c r="K51" s="51">
        <f t="shared" si="24"/>
        <v>29742384.420000002</v>
      </c>
      <c r="L51" s="9">
        <f t="shared" ref="L51" si="41">K51/E51</f>
        <v>19.938449443926771</v>
      </c>
      <c r="M51" s="23">
        <f>E51/H51</f>
        <v>0.55227961443981033</v>
      </c>
      <c r="N51" s="4"/>
      <c r="O51" s="4"/>
      <c r="P51" s="4"/>
      <c r="Q51" s="4"/>
      <c r="R51" s="9">
        <f t="shared" ref="R51" si="42">I51/C51</f>
        <v>17.440009342807269</v>
      </c>
      <c r="S51" s="23">
        <f>C51/F51</f>
        <v>0.46749634346435559</v>
      </c>
      <c r="T51" s="9">
        <f t="shared" ref="T51" si="43">R51/0.8</f>
        <v>21.800011678509083</v>
      </c>
    </row>
    <row r="52" spans="2:20" x14ac:dyDescent="0.25">
      <c r="B52" s="60" t="s">
        <v>7</v>
      </c>
      <c r="C52" s="7">
        <v>185273</v>
      </c>
      <c r="D52" s="7">
        <v>2364529</v>
      </c>
      <c r="E52" s="7">
        <f t="shared" si="30"/>
        <v>2179256</v>
      </c>
      <c r="F52" s="7">
        <v>402498</v>
      </c>
      <c r="G52" s="7">
        <v>4938543</v>
      </c>
      <c r="H52" s="7">
        <f t="shared" si="29"/>
        <v>4536045</v>
      </c>
      <c r="I52" s="56">
        <v>3380542</v>
      </c>
      <c r="J52" s="57">
        <v>48280835.75</v>
      </c>
      <c r="K52" s="51">
        <f t="shared" si="24"/>
        <v>44900293.75</v>
      </c>
      <c r="L52" s="9">
        <f t="shared" ref="L52" si="44">K52/E52</f>
        <v>20.603496675012021</v>
      </c>
      <c r="M52" s="23">
        <f>E52/H52</f>
        <v>0.48043085992312684</v>
      </c>
      <c r="N52" s="4"/>
      <c r="O52" s="4"/>
      <c r="P52" s="4"/>
      <c r="Q52" s="4"/>
      <c r="R52" s="9">
        <f t="shared" ref="R52" si="45">I52/C52</f>
        <v>18.246274416671614</v>
      </c>
      <c r="S52" s="23">
        <f>C52/F52</f>
        <v>0.46030787730622263</v>
      </c>
      <c r="T52" s="9">
        <f t="shared" ref="T52" si="46">R52/0.8</f>
        <v>22.807843020839517</v>
      </c>
    </row>
    <row r="53" spans="2:20" x14ac:dyDescent="0.25">
      <c r="B53" s="60" t="s">
        <v>8</v>
      </c>
      <c r="C53" s="7">
        <v>147845</v>
      </c>
      <c r="D53" s="61">
        <v>1774102</v>
      </c>
      <c r="E53" s="7">
        <f t="shared" ref="E53" si="47">D53-C53</f>
        <v>1626257</v>
      </c>
      <c r="F53" s="7">
        <v>292292</v>
      </c>
      <c r="G53" s="61">
        <v>3310564</v>
      </c>
      <c r="H53" s="7">
        <f t="shared" ref="H53" si="48">G53-F53</f>
        <v>3018272</v>
      </c>
      <c r="I53" s="56">
        <v>2365034.86</v>
      </c>
      <c r="J53" s="57">
        <v>33413390.100000001</v>
      </c>
      <c r="K53" s="51">
        <f t="shared" ref="K53" si="49">J53-I53</f>
        <v>31048355.240000002</v>
      </c>
      <c r="L53" s="9">
        <f t="shared" ref="L53" si="50">K53/E53</f>
        <v>19.091911819595552</v>
      </c>
      <c r="M53" s="23">
        <f>E53/H53</f>
        <v>0.5388039911578546</v>
      </c>
      <c r="N53" s="4"/>
      <c r="O53" s="4"/>
      <c r="P53" s="4"/>
      <c r="Q53" s="4"/>
      <c r="R53" s="9">
        <f t="shared" ref="R53" si="51">I53/C53</f>
        <v>15.996718590415638</v>
      </c>
      <c r="S53" s="23">
        <f>C53/F53</f>
        <v>0.50581268047021477</v>
      </c>
      <c r="T53" s="9">
        <f t="shared" ref="T53" si="52">R53/0.8</f>
        <v>19.995898238019546</v>
      </c>
    </row>
    <row r="54" spans="2:20" x14ac:dyDescent="0.25">
      <c r="R54" s="39"/>
    </row>
    <row r="55" spans="2:20" x14ac:dyDescent="0.25">
      <c r="R55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7CA6-0FCB-48A1-A5B1-AEC85CC9624A}">
  <dimension ref="B1:M54"/>
  <sheetViews>
    <sheetView showGridLines="0" tabSelected="1" topLeftCell="B22" zoomScale="90" zoomScaleNormal="90" workbookViewId="0">
      <selection activeCell="Z44" sqref="Z44"/>
    </sheetView>
  </sheetViews>
  <sheetFormatPr defaultRowHeight="15" x14ac:dyDescent="0.25"/>
  <cols>
    <col min="1" max="1" width="4.5703125" customWidth="1"/>
    <col min="2" max="2" width="10.85546875" bestFit="1" customWidth="1"/>
    <col min="3" max="3" width="14" bestFit="1" customWidth="1"/>
    <col min="4" max="4" width="15" style="1" bestFit="1" customWidth="1"/>
    <col min="5" max="5" width="21" style="1" bestFit="1" customWidth="1"/>
    <col min="6" max="6" width="15.85546875" style="1" bestFit="1" customWidth="1"/>
    <col min="8" max="8" width="12.28515625" customWidth="1"/>
    <col min="11" max="11" width="14" bestFit="1" customWidth="1"/>
    <col min="12" max="12" width="6.5703125" customWidth="1"/>
  </cols>
  <sheetData>
    <row r="1" spans="2:13" x14ac:dyDescent="0.25">
      <c r="B1" s="25"/>
      <c r="C1" s="62" t="s">
        <v>21</v>
      </c>
      <c r="D1" s="62"/>
      <c r="E1" s="62"/>
      <c r="F1" s="62"/>
      <c r="G1" s="62" t="s">
        <v>12</v>
      </c>
      <c r="H1" s="63"/>
    </row>
    <row r="2" spans="2:13" x14ac:dyDescent="0.25">
      <c r="B2" s="26" t="s">
        <v>11</v>
      </c>
      <c r="C2" s="4" t="s">
        <v>3</v>
      </c>
      <c r="D2" s="4" t="s">
        <v>15</v>
      </c>
      <c r="E2" s="4" t="s">
        <v>14</v>
      </c>
      <c r="F2" s="4" t="s">
        <v>16</v>
      </c>
      <c r="G2" s="4" t="s">
        <v>3</v>
      </c>
      <c r="H2" s="27" t="s">
        <v>4</v>
      </c>
      <c r="K2" s="1"/>
      <c r="L2" s="1"/>
    </row>
    <row r="3" spans="2:13" x14ac:dyDescent="0.25">
      <c r="B3" s="28" t="s">
        <v>5</v>
      </c>
      <c r="C3" s="10">
        <f>CONCESSION!L2</f>
        <v>17.788920611027276</v>
      </c>
      <c r="D3" s="10">
        <f>F3/0.8</f>
        <v>19.369652390122614</v>
      </c>
      <c r="E3" s="5">
        <f>(D3/C3)-1</f>
        <v>8.8860466222748125E-2</v>
      </c>
      <c r="F3" s="10">
        <f>CONCESSION!R2</f>
        <v>15.495721912098091</v>
      </c>
      <c r="G3" s="6">
        <f>CONCESSION!M2</f>
        <v>0.46436957984130983</v>
      </c>
      <c r="H3" s="29">
        <v>0.67131963081756885</v>
      </c>
      <c r="J3" s="8"/>
      <c r="K3" s="17"/>
      <c r="L3" s="17"/>
    </row>
    <row r="4" spans="2:13" x14ac:dyDescent="0.25">
      <c r="B4" s="28" t="s">
        <v>6</v>
      </c>
      <c r="C4" s="10">
        <f>CONCESSION!L3</f>
        <v>17.593817924105036</v>
      </c>
      <c r="D4" s="10">
        <f t="shared" ref="D4:D11" si="0">F4/0.8</f>
        <v>19.516097795722903</v>
      </c>
      <c r="E4" s="5">
        <f t="shared" ref="E4:E53" si="1">(D4/C4)-1</f>
        <v>0.1092588248844033</v>
      </c>
      <c r="F4" s="10">
        <f>CONCESSION!R3</f>
        <v>15.612878236578323</v>
      </c>
      <c r="G4" s="6">
        <f>CONCESSION!M3</f>
        <v>0.47269400569978753</v>
      </c>
      <c r="H4" s="29">
        <v>0.66581744295092216</v>
      </c>
      <c r="J4" s="8"/>
    </row>
    <row r="5" spans="2:13" x14ac:dyDescent="0.25">
      <c r="B5" s="28" t="s">
        <v>7</v>
      </c>
      <c r="C5" s="10">
        <f>CONCESSION!L4</f>
        <v>19.0704524151807</v>
      </c>
      <c r="D5" s="10">
        <f t="shared" si="0"/>
        <v>20.971704086889325</v>
      </c>
      <c r="E5" s="5">
        <f t="shared" si="1"/>
        <v>9.9696201763685766E-2</v>
      </c>
      <c r="F5" s="10">
        <f>CONCESSION!R4</f>
        <v>16.777363269511461</v>
      </c>
      <c r="G5" s="6">
        <f>CONCESSION!M4</f>
        <v>0.35786037296994372</v>
      </c>
      <c r="H5" s="29">
        <v>0.63758621948104088</v>
      </c>
      <c r="J5" s="19"/>
    </row>
    <row r="6" spans="2:13" x14ac:dyDescent="0.25">
      <c r="B6" s="28" t="s">
        <v>8</v>
      </c>
      <c r="C6" s="10">
        <f>CONCESSION!L5</f>
        <v>18.818215347151867</v>
      </c>
      <c r="D6" s="10">
        <f t="shared" si="0"/>
        <v>19.544148436766498</v>
      </c>
      <c r="E6" s="5">
        <f t="shared" si="1"/>
        <v>3.8576085788310399E-2</v>
      </c>
      <c r="F6" s="10">
        <f>CONCESSION!R5</f>
        <v>15.6353187494132</v>
      </c>
      <c r="G6" s="6">
        <f>CONCESSION!M5</f>
        <v>0.50082411060745669</v>
      </c>
      <c r="H6" s="29">
        <v>0.5917879764418269</v>
      </c>
      <c r="J6" s="8"/>
      <c r="K6" s="18"/>
      <c r="L6" s="18"/>
      <c r="M6" s="16"/>
    </row>
    <row r="7" spans="2:13" x14ac:dyDescent="0.25">
      <c r="B7" s="28" t="s">
        <v>9</v>
      </c>
      <c r="C7" s="10">
        <f>CONCESSION!L6</f>
        <v>19.415297778144392</v>
      </c>
      <c r="D7" s="10">
        <f t="shared" si="0"/>
        <v>20.187425859041056</v>
      </c>
      <c r="E7" s="5">
        <f t="shared" si="1"/>
        <v>3.9769056839593864E-2</v>
      </c>
      <c r="F7" s="10">
        <f>CONCESSION!R6</f>
        <v>16.149940687232846</v>
      </c>
      <c r="G7" s="6">
        <f>CONCESSION!M6</f>
        <v>0.50111052187975114</v>
      </c>
      <c r="H7" s="29">
        <v>0.55497526618731496</v>
      </c>
      <c r="J7" s="8"/>
      <c r="K7" s="18"/>
      <c r="L7" s="18"/>
      <c r="M7" s="16"/>
    </row>
    <row r="8" spans="2:13" x14ac:dyDescent="0.25">
      <c r="B8" s="28" t="s">
        <v>10</v>
      </c>
      <c r="C8" s="10">
        <f>CONCESSION!L7</f>
        <v>18.825594850540952</v>
      </c>
      <c r="D8" s="10">
        <f t="shared" si="0"/>
        <v>20.554110459433041</v>
      </c>
      <c r="E8" s="5">
        <f t="shared" si="1"/>
        <v>9.1817316935534743E-2</v>
      </c>
      <c r="F8" s="10">
        <f>CONCESSION!R7</f>
        <v>16.443288367546433</v>
      </c>
      <c r="G8" s="6">
        <f>CONCESSION!M7</f>
        <v>0.49244099521950058</v>
      </c>
      <c r="H8" s="29">
        <v>0.71070045330600762</v>
      </c>
      <c r="J8" s="8"/>
      <c r="K8" s="18"/>
      <c r="L8" s="18"/>
      <c r="M8" s="16"/>
    </row>
    <row r="9" spans="2:13" x14ac:dyDescent="0.25">
      <c r="B9" s="28" t="s">
        <v>2</v>
      </c>
      <c r="C9" s="10">
        <f>CONCESSION!L8</f>
        <v>19.198440216726699</v>
      </c>
      <c r="D9" s="10">
        <f t="shared" si="0"/>
        <v>20.318998406503312</v>
      </c>
      <c r="E9" s="5">
        <f t="shared" si="1"/>
        <v>5.8367147389417839E-2</v>
      </c>
      <c r="F9" s="10">
        <f>CONCESSION!R8</f>
        <v>16.25519872520265</v>
      </c>
      <c r="G9" s="6">
        <f>CONCESSION!M8</f>
        <v>0.47742847191123056</v>
      </c>
      <c r="H9" s="29">
        <v>0.56859784121648238</v>
      </c>
      <c r="J9" s="8"/>
      <c r="K9" s="18"/>
      <c r="L9" s="18"/>
      <c r="M9" s="16"/>
    </row>
    <row r="10" spans="2:13" x14ac:dyDescent="0.25">
      <c r="B10" s="28" t="s">
        <v>29</v>
      </c>
      <c r="C10" s="10">
        <f>CONCESSION!L9</f>
        <v>18.94015628544421</v>
      </c>
      <c r="D10" s="10">
        <f t="shared" si="0"/>
        <v>20.929952165953775</v>
      </c>
      <c r="E10" s="5">
        <f t="shared" si="1"/>
        <v>0.1050569937502972</v>
      </c>
      <c r="F10" s="10">
        <f>CONCESSION!R9</f>
        <v>16.743961732763022</v>
      </c>
      <c r="G10" s="6">
        <f>CONCESSION!M9</f>
        <v>0.47066163805304861</v>
      </c>
      <c r="H10" s="29">
        <v>0.73117712167623361</v>
      </c>
      <c r="J10" s="8"/>
      <c r="K10" s="18"/>
      <c r="L10" s="18"/>
      <c r="M10" s="16"/>
    </row>
    <row r="11" spans="2:13" x14ac:dyDescent="0.25">
      <c r="B11" s="28" t="s">
        <v>30</v>
      </c>
      <c r="C11" s="10">
        <f>CONCESSION!L10</f>
        <v>19.840173168701842</v>
      </c>
      <c r="D11" s="10">
        <f t="shared" si="0"/>
        <v>21.442501503800514</v>
      </c>
      <c r="E11" s="5">
        <f t="shared" si="1"/>
        <v>8.076181197986565E-2</v>
      </c>
      <c r="F11" s="10">
        <f>CONCESSION!R10</f>
        <v>17.154001203040412</v>
      </c>
      <c r="G11" s="6">
        <f>CONCESSION!M10</f>
        <v>0.46924812480948264</v>
      </c>
      <c r="H11" s="29">
        <v>0.60554985264412731</v>
      </c>
      <c r="J11" s="8" t="s">
        <v>38</v>
      </c>
      <c r="K11" s="18"/>
      <c r="L11" s="18"/>
      <c r="M11" s="16"/>
    </row>
    <row r="12" spans="2:13" x14ac:dyDescent="0.25">
      <c r="B12" s="28" t="s">
        <v>31</v>
      </c>
      <c r="C12" s="10">
        <v>19.102017406604304</v>
      </c>
      <c r="D12" s="10">
        <v>21.50118566909287</v>
      </c>
      <c r="E12" s="5">
        <f t="shared" si="1"/>
        <v>0.12559763774788935</v>
      </c>
      <c r="F12" s="10">
        <v>17.200948535274296</v>
      </c>
      <c r="G12" s="6">
        <v>0.45338546917237399</v>
      </c>
      <c r="H12" s="29">
        <v>0.71791794379408402</v>
      </c>
      <c r="J12" s="8"/>
      <c r="K12" s="18"/>
      <c r="L12" s="18"/>
      <c r="M12" s="16"/>
    </row>
    <row r="13" spans="2:13" x14ac:dyDescent="0.25">
      <c r="B13" s="28" t="s">
        <v>35</v>
      </c>
      <c r="C13" s="10">
        <v>18.274896173049434</v>
      </c>
      <c r="D13" s="10">
        <v>19.958593552179416</v>
      </c>
      <c r="E13" s="5">
        <f t="shared" si="1"/>
        <v>9.2131706970405736E-2</v>
      </c>
      <c r="F13" s="10">
        <v>15.966874841743534</v>
      </c>
      <c r="G13" s="6">
        <v>0.47057769627939777</v>
      </c>
      <c r="H13" s="29">
        <v>0.73</v>
      </c>
      <c r="I13" s="14"/>
      <c r="J13" s="15"/>
      <c r="K13" s="15"/>
      <c r="L13" s="15"/>
      <c r="M13" s="16"/>
    </row>
    <row r="14" spans="2:13" x14ac:dyDescent="0.25">
      <c r="B14" s="28" t="s">
        <v>36</v>
      </c>
      <c r="C14" s="10">
        <v>17.298995977059896</v>
      </c>
      <c r="D14" s="10">
        <v>18.85016802832244</v>
      </c>
      <c r="E14" s="5">
        <f t="shared" si="1"/>
        <v>8.9668328342265902E-2</v>
      </c>
      <c r="F14" s="10">
        <v>15.080134422657952</v>
      </c>
      <c r="G14" s="6">
        <v>0.48467071368915676</v>
      </c>
      <c r="H14" s="29">
        <v>0.69802454491537025</v>
      </c>
      <c r="I14" s="14"/>
      <c r="J14" s="15"/>
      <c r="K14" s="15"/>
      <c r="L14" s="15"/>
      <c r="M14" s="16"/>
    </row>
    <row r="15" spans="2:13" x14ac:dyDescent="0.25">
      <c r="B15" s="28" t="s">
        <v>5</v>
      </c>
      <c r="C15" s="10">
        <v>17.581291218827094</v>
      </c>
      <c r="D15" s="10">
        <v>20.1689713286477</v>
      </c>
      <c r="E15" s="5">
        <f t="shared" si="1"/>
        <v>0.14718373512006688</v>
      </c>
      <c r="F15" s="10">
        <v>16.13517706291816</v>
      </c>
      <c r="G15" s="6">
        <v>0.51860923253426727</v>
      </c>
      <c r="H15" s="29">
        <v>0.6035034769663723</v>
      </c>
      <c r="I15" s="14"/>
      <c r="J15" s="15"/>
      <c r="K15" s="15"/>
      <c r="L15" s="15"/>
      <c r="M15" s="16"/>
    </row>
    <row r="16" spans="2:13" x14ac:dyDescent="0.25">
      <c r="B16" s="28" t="s">
        <v>6</v>
      </c>
      <c r="C16" s="10">
        <v>18.055902901664577</v>
      </c>
      <c r="D16" s="10">
        <v>20.405579313406331</v>
      </c>
      <c r="E16" s="5">
        <f t="shared" si="1"/>
        <v>0.13013342088393354</v>
      </c>
      <c r="F16" s="10">
        <v>16.324463450725066</v>
      </c>
      <c r="G16" s="6">
        <v>0.50668216890839279</v>
      </c>
      <c r="H16" s="29">
        <v>0.58219974671984975</v>
      </c>
    </row>
    <row r="17" spans="2:12" x14ac:dyDescent="0.25">
      <c r="B17" s="28" t="s">
        <v>7</v>
      </c>
      <c r="C17" s="10">
        <v>19.572756709188969</v>
      </c>
      <c r="D17" s="10">
        <v>22.044026552015961</v>
      </c>
      <c r="E17" s="5">
        <f t="shared" si="1"/>
        <v>0.12626069385856042</v>
      </c>
      <c r="F17" s="10">
        <v>17.635221241612768</v>
      </c>
      <c r="G17" s="6">
        <v>0.47758886131866768</v>
      </c>
      <c r="H17" s="29">
        <v>0.56669635516579886</v>
      </c>
      <c r="L17" s="10"/>
    </row>
    <row r="18" spans="2:12" x14ac:dyDescent="0.25">
      <c r="B18" s="28" t="s">
        <v>8</v>
      </c>
      <c r="C18" s="10">
        <v>18.242360686030043</v>
      </c>
      <c r="D18" s="10">
        <v>19.946361414138284</v>
      </c>
      <c r="E18" s="5">
        <f t="shared" si="1"/>
        <v>9.3409003222546749E-2</v>
      </c>
      <c r="F18" s="10">
        <v>15.957089131310628</v>
      </c>
      <c r="G18" s="6">
        <v>0.48509038163879903</v>
      </c>
      <c r="H18" s="29">
        <v>0.59818507086380612</v>
      </c>
    </row>
    <row r="19" spans="2:12" x14ac:dyDescent="0.25">
      <c r="B19" s="28" t="s">
        <v>9</v>
      </c>
      <c r="C19" s="22">
        <v>18.289740417353201</v>
      </c>
      <c r="D19" s="10">
        <v>20.690037137760619</v>
      </c>
      <c r="E19" s="5">
        <f t="shared" si="1"/>
        <v>0.131237331183226</v>
      </c>
      <c r="F19" s="10">
        <v>16.552029710208497</v>
      </c>
      <c r="G19" s="6">
        <v>0.49077128765072436</v>
      </c>
      <c r="H19" s="29">
        <v>0.58692182270659921</v>
      </c>
    </row>
    <row r="20" spans="2:12" x14ac:dyDescent="0.25">
      <c r="B20" s="28" t="s">
        <v>10</v>
      </c>
      <c r="C20" s="22">
        <v>18.446237568191702</v>
      </c>
      <c r="D20" s="10">
        <v>20.264202115860947</v>
      </c>
      <c r="E20" s="5">
        <f t="shared" si="1"/>
        <v>9.8554761693197657E-2</v>
      </c>
      <c r="F20" s="10">
        <v>16.211361692688758</v>
      </c>
      <c r="G20" s="6">
        <v>0.51647291447032551</v>
      </c>
      <c r="H20" s="29">
        <v>0.5873382357198691</v>
      </c>
    </row>
    <row r="21" spans="2:12" x14ac:dyDescent="0.25">
      <c r="B21" s="28" t="s">
        <v>2</v>
      </c>
      <c r="C21" s="22">
        <v>20.697527657964365</v>
      </c>
      <c r="D21" s="10">
        <v>22.052577775159083</v>
      </c>
      <c r="E21" s="5">
        <f t="shared" si="1"/>
        <v>6.5469177748546104E-2</v>
      </c>
      <c r="F21" s="10">
        <v>17.642062220127269</v>
      </c>
      <c r="G21" s="6">
        <v>0.4563979616564221</v>
      </c>
      <c r="H21" s="29">
        <v>0.575032893065069</v>
      </c>
    </row>
    <row r="22" spans="2:12" x14ac:dyDescent="0.25">
      <c r="B22" s="28" t="s">
        <v>29</v>
      </c>
      <c r="C22" s="10">
        <v>19.4442015881747</v>
      </c>
      <c r="D22" s="10">
        <v>21.321211835561716</v>
      </c>
      <c r="E22" s="5">
        <f t="shared" si="1"/>
        <v>9.6533161255052402E-2</v>
      </c>
      <c r="F22" s="10">
        <v>17.056969468449374</v>
      </c>
      <c r="G22" s="6">
        <v>0.48748339285073083</v>
      </c>
      <c r="H22" s="29">
        <v>0.59709266594865618</v>
      </c>
    </row>
    <row r="23" spans="2:12" x14ac:dyDescent="0.25">
      <c r="B23" s="28" t="s">
        <v>30</v>
      </c>
      <c r="C23" s="10">
        <v>19.428436775764062</v>
      </c>
      <c r="D23" s="10">
        <v>21.319872228526535</v>
      </c>
      <c r="E23" s="5">
        <f t="shared" si="1"/>
        <v>9.7353970089963049E-2</v>
      </c>
      <c r="F23" s="10">
        <v>17.05589778282123</v>
      </c>
      <c r="G23" s="20">
        <v>0.47751132405991881</v>
      </c>
      <c r="H23" s="30">
        <v>0.58308266275773257</v>
      </c>
    </row>
    <row r="24" spans="2:12" x14ac:dyDescent="0.25">
      <c r="B24" s="28" t="s">
        <v>31</v>
      </c>
      <c r="C24" s="10">
        <v>19.015012597279174</v>
      </c>
      <c r="D24" s="10">
        <v>20.95857300849546</v>
      </c>
      <c r="E24" s="5">
        <f t="shared" si="1"/>
        <v>0.10221189185509072</v>
      </c>
      <c r="F24" s="10">
        <v>16.76685840679637</v>
      </c>
      <c r="G24" s="20">
        <v>0.46</v>
      </c>
      <c r="H24" s="30">
        <v>0.55655083214862167</v>
      </c>
    </row>
    <row r="25" spans="2:12" x14ac:dyDescent="0.25">
      <c r="B25" s="28" t="s">
        <v>35</v>
      </c>
      <c r="C25" s="22">
        <v>18.743674436976821</v>
      </c>
      <c r="D25" s="10">
        <v>20.558214950582858</v>
      </c>
      <c r="E25" s="5">
        <f t="shared" si="1"/>
        <v>9.6808153583076484E-2</v>
      </c>
      <c r="F25" s="10">
        <v>16.446571960466287</v>
      </c>
      <c r="G25" s="6">
        <v>0.43</v>
      </c>
      <c r="H25" s="29">
        <v>0.68</v>
      </c>
    </row>
    <row r="26" spans="2:12" x14ac:dyDescent="0.25">
      <c r="B26" s="28" t="s">
        <v>36</v>
      </c>
      <c r="C26" s="22">
        <v>17.897043023827543</v>
      </c>
      <c r="D26" s="10">
        <v>19.249521676101924</v>
      </c>
      <c r="E26" s="5">
        <f t="shared" si="1"/>
        <v>7.5569950324963386E-2</v>
      </c>
      <c r="F26" s="10">
        <v>15.399617340881541</v>
      </c>
      <c r="G26" s="20">
        <v>0.49899308675709669</v>
      </c>
      <c r="H26" s="30">
        <v>0.61618487317306059</v>
      </c>
    </row>
    <row r="27" spans="2:12" x14ac:dyDescent="0.25">
      <c r="B27" s="28" t="s">
        <v>5</v>
      </c>
      <c r="C27" s="22">
        <v>19.69258820689733</v>
      </c>
      <c r="D27" s="10">
        <v>21.258256704980838</v>
      </c>
      <c r="E27" s="5">
        <f t="shared" si="1"/>
        <v>7.9505470872291539E-2</v>
      </c>
      <c r="F27" s="10">
        <v>17.006605363984672</v>
      </c>
      <c r="G27" s="20">
        <v>0.52192888427210071</v>
      </c>
      <c r="H27" s="30">
        <v>0.68722130207669763</v>
      </c>
    </row>
    <row r="28" spans="2:12" x14ac:dyDescent="0.25">
      <c r="B28" s="28" t="s">
        <v>6</v>
      </c>
      <c r="C28" s="22">
        <v>19.28507231821964</v>
      </c>
      <c r="D28" s="10">
        <v>21.584889583042361</v>
      </c>
      <c r="E28" s="5">
        <f t="shared" si="1"/>
        <v>0.11925375372587843</v>
      </c>
      <c r="F28" s="10">
        <v>17.267911666433889</v>
      </c>
      <c r="G28" s="20">
        <v>0.52494851861782221</v>
      </c>
      <c r="H28" s="30">
        <v>0.58366254060222988</v>
      </c>
    </row>
    <row r="29" spans="2:12" x14ac:dyDescent="0.25">
      <c r="B29" s="28" t="s">
        <v>7</v>
      </c>
      <c r="C29" s="22">
        <v>19.540302724762373</v>
      </c>
      <c r="D29" s="10">
        <v>21.45</v>
      </c>
      <c r="E29" s="5">
        <f t="shared" si="1"/>
        <v>9.7731202128080064E-2</v>
      </c>
      <c r="F29" s="10">
        <v>17.16</v>
      </c>
      <c r="G29" s="20">
        <v>0.44</v>
      </c>
      <c r="H29" s="30">
        <v>0.51</v>
      </c>
    </row>
    <row r="30" spans="2:12" x14ac:dyDescent="0.25">
      <c r="B30" s="28" t="s">
        <v>8</v>
      </c>
      <c r="C30" s="22">
        <v>18.341012913380158</v>
      </c>
      <c r="D30" s="22">
        <v>20.039508828788559</v>
      </c>
      <c r="E30" s="5">
        <f t="shared" si="1"/>
        <v>9.2606440191169259E-2</v>
      </c>
      <c r="F30" s="10">
        <v>16.031607063030847</v>
      </c>
      <c r="G30" s="20">
        <v>0.51</v>
      </c>
      <c r="H30" s="30">
        <v>0.57999999999999996</v>
      </c>
    </row>
    <row r="31" spans="2:12" x14ac:dyDescent="0.25">
      <c r="B31" s="28" t="s">
        <v>9</v>
      </c>
      <c r="C31" s="22">
        <v>18.004810977650074</v>
      </c>
      <c r="D31" s="22">
        <v>19.330724227640246</v>
      </c>
      <c r="E31" s="5">
        <f t="shared" si="1"/>
        <v>7.3642164399063681E-2</v>
      </c>
      <c r="F31" s="22">
        <v>15.464579382112198</v>
      </c>
      <c r="G31" s="20">
        <v>0.49961532323165542</v>
      </c>
      <c r="H31" s="30">
        <v>0.63581118603728681</v>
      </c>
    </row>
    <row r="32" spans="2:12" x14ac:dyDescent="0.25">
      <c r="B32" s="46" t="s">
        <v>10</v>
      </c>
      <c r="C32" s="47">
        <v>19.56896539541658</v>
      </c>
      <c r="D32" s="47">
        <v>21.521537095181834</v>
      </c>
      <c r="E32" s="5">
        <f t="shared" si="1"/>
        <v>9.9778994970402657E-2</v>
      </c>
      <c r="F32" s="47">
        <v>17.217229676145468</v>
      </c>
      <c r="G32" s="48">
        <v>0.47708338247318932</v>
      </c>
      <c r="H32" s="49">
        <v>0.4847255781843286</v>
      </c>
    </row>
    <row r="33" spans="2:8" x14ac:dyDescent="0.25">
      <c r="B33" s="46" t="s">
        <v>2</v>
      </c>
      <c r="C33" s="47">
        <v>18.501409952442355</v>
      </c>
      <c r="D33" s="47">
        <v>19.761076015321354</v>
      </c>
      <c r="E33" s="5">
        <f t="shared" si="1"/>
        <v>6.8084868456888215E-2</v>
      </c>
      <c r="F33" s="47">
        <v>15.808860812257084</v>
      </c>
      <c r="G33" s="48">
        <v>0.51786606696651671</v>
      </c>
      <c r="H33" s="49">
        <v>0.57283633524138955</v>
      </c>
    </row>
    <row r="34" spans="2:8" x14ac:dyDescent="0.25">
      <c r="B34" s="46" t="s">
        <v>29</v>
      </c>
      <c r="C34" s="47">
        <v>19.995503021995038</v>
      </c>
      <c r="D34" s="47">
        <v>21.9212567687857</v>
      </c>
      <c r="E34" s="5">
        <f t="shared" si="1"/>
        <v>9.6309342389252928E-2</v>
      </c>
      <c r="F34" s="47">
        <v>17.53700541502856</v>
      </c>
      <c r="G34" s="48">
        <v>0.51541276572864925</v>
      </c>
      <c r="H34" s="49">
        <v>0.53490990432449326</v>
      </c>
    </row>
    <row r="35" spans="2:8" x14ac:dyDescent="0.25">
      <c r="B35" s="46" t="s">
        <v>30</v>
      </c>
      <c r="C35" s="47">
        <v>21.241248014050445</v>
      </c>
      <c r="D35" s="47">
        <v>22.489041574051591</v>
      </c>
      <c r="E35" s="5">
        <f t="shared" si="1"/>
        <v>5.8743891092263967E-2</v>
      </c>
      <c r="F35" s="47">
        <v>17.991233259241273</v>
      </c>
      <c r="G35" s="48">
        <v>0.46016817378964692</v>
      </c>
      <c r="H35" s="49">
        <v>0.49860533558093945</v>
      </c>
    </row>
    <row r="36" spans="2:8" x14ac:dyDescent="0.25">
      <c r="B36" s="46" t="s">
        <v>31</v>
      </c>
      <c r="C36" s="47">
        <v>21.216128054769076</v>
      </c>
      <c r="D36" s="47">
        <v>23.296458620689656</v>
      </c>
      <c r="E36" s="5">
        <f t="shared" si="1"/>
        <v>9.805420482711269E-2</v>
      </c>
      <c r="F36" s="47">
        <v>18.637166896551726</v>
      </c>
      <c r="G36" s="48">
        <v>0.46319749006267402</v>
      </c>
      <c r="H36" s="49">
        <v>0.53210299111938497</v>
      </c>
    </row>
    <row r="37" spans="2:8" x14ac:dyDescent="0.25">
      <c r="B37" s="46" t="s">
        <v>35</v>
      </c>
      <c r="C37" s="47">
        <v>20.777743774428867</v>
      </c>
      <c r="D37" s="47">
        <v>22.256053886913175</v>
      </c>
      <c r="E37" s="5">
        <f t="shared" si="1"/>
        <v>7.1148731476016192E-2</v>
      </c>
      <c r="F37" s="47">
        <v>17.804843109530541</v>
      </c>
      <c r="G37" s="48">
        <v>0.48609393168158066</v>
      </c>
      <c r="H37" s="49">
        <v>0.51647524840115955</v>
      </c>
    </row>
    <row r="38" spans="2:8" x14ac:dyDescent="0.25">
      <c r="B38" s="46" t="s">
        <v>36</v>
      </c>
      <c r="C38" s="47">
        <v>20.397181824788259</v>
      </c>
      <c r="D38" s="47">
        <v>21.700143737216557</v>
      </c>
      <c r="E38" s="5">
        <f t="shared" si="1"/>
        <v>6.387950667012432E-2</v>
      </c>
      <c r="F38" s="47">
        <v>17.360114989773248</v>
      </c>
      <c r="G38" s="48">
        <v>0.51895162075185242</v>
      </c>
      <c r="H38" s="49">
        <v>0.55097650141811083</v>
      </c>
    </row>
    <row r="39" spans="2:8" x14ac:dyDescent="0.25">
      <c r="B39" s="46" t="s">
        <v>5</v>
      </c>
      <c r="C39" s="47">
        <v>19.739463563590437</v>
      </c>
      <c r="D39" s="47">
        <v>20.955957893865467</v>
      </c>
      <c r="E39" s="5">
        <f t="shared" si="1"/>
        <v>6.1627527331536092E-2</v>
      </c>
      <c r="F39" s="47">
        <v>16.764766315092373</v>
      </c>
      <c r="G39" s="48">
        <v>0.48817280257698753</v>
      </c>
      <c r="H39" s="49">
        <v>0.52468306242686547</v>
      </c>
    </row>
    <row r="40" spans="2:8" x14ac:dyDescent="0.25">
      <c r="B40" s="46" t="s">
        <v>6</v>
      </c>
      <c r="C40" s="47">
        <v>20.354734081801986</v>
      </c>
      <c r="D40" s="47">
        <v>21.811039744700842</v>
      </c>
      <c r="E40" s="5">
        <f t="shared" si="1"/>
        <v>7.1546287809323816E-2</v>
      </c>
      <c r="F40" s="47">
        <v>17.448831795760675</v>
      </c>
      <c r="G40" s="48">
        <v>0.49006312146357855</v>
      </c>
      <c r="H40" s="49">
        <v>0.45975988500696363</v>
      </c>
    </row>
    <row r="41" spans="2:8" x14ac:dyDescent="0.25">
      <c r="B41" s="46" t="s">
        <v>7</v>
      </c>
      <c r="C41" s="47">
        <v>21.03012961708686</v>
      </c>
      <c r="D41" s="47">
        <v>23.213426049952599</v>
      </c>
      <c r="E41" s="50">
        <f t="shared" si="1"/>
        <v>0.10381754523718301</v>
      </c>
      <c r="F41" s="47">
        <v>18.570740839962081</v>
      </c>
      <c r="G41" s="48">
        <v>0.45805466675925582</v>
      </c>
      <c r="H41" s="49">
        <v>0.46962917560527123</v>
      </c>
    </row>
    <row r="42" spans="2:8" x14ac:dyDescent="0.25">
      <c r="B42" s="46" t="s">
        <v>8</v>
      </c>
      <c r="C42" s="47">
        <v>18.679075573355036</v>
      </c>
      <c r="D42" s="47">
        <v>19.534375084335615</v>
      </c>
      <c r="E42" s="50">
        <f t="shared" si="1"/>
        <v>4.578917771501656E-2</v>
      </c>
      <c r="F42" s="47">
        <v>15.627500067468493</v>
      </c>
      <c r="G42" s="48">
        <v>0.51053425222556392</v>
      </c>
      <c r="H42" s="49">
        <v>0.55960069872688745</v>
      </c>
    </row>
    <row r="43" spans="2:8" x14ac:dyDescent="0.25">
      <c r="B43" s="46" t="s">
        <v>9</v>
      </c>
      <c r="C43" s="47">
        <v>19.383196270926419</v>
      </c>
      <c r="D43" s="47">
        <v>21.194816079234471</v>
      </c>
      <c r="E43" s="50">
        <f t="shared" si="1"/>
        <v>9.3463419705725581E-2</v>
      </c>
      <c r="F43" s="47">
        <v>16.955852863387577</v>
      </c>
      <c r="G43" s="48">
        <v>0.47034911370059607</v>
      </c>
      <c r="H43" s="49">
        <v>0.51539433639879018</v>
      </c>
    </row>
    <row r="44" spans="2:8" x14ac:dyDescent="0.25">
      <c r="B44" s="46" t="s">
        <v>10</v>
      </c>
      <c r="C44" s="47">
        <v>19.131405626949149</v>
      </c>
      <c r="D44" s="47">
        <v>20.646615602677105</v>
      </c>
      <c r="E44" s="50">
        <f t="shared" si="1"/>
        <v>7.9200138519543994E-2</v>
      </c>
      <c r="F44" s="47">
        <v>16.517292482141684</v>
      </c>
      <c r="G44" s="48">
        <v>0.51900886092275433</v>
      </c>
      <c r="H44" s="49">
        <v>0.5318300268578332</v>
      </c>
    </row>
    <row r="45" spans="2:8" x14ac:dyDescent="0.25">
      <c r="B45" s="46" t="s">
        <v>2</v>
      </c>
      <c r="C45" s="47">
        <v>20.564183151172276</v>
      </c>
      <c r="D45" s="47">
        <v>22.235777416211324</v>
      </c>
      <c r="E45" s="50">
        <f t="shared" si="1"/>
        <v>8.1286684365275086E-2</v>
      </c>
      <c r="F45" s="47">
        <v>17.788621932969061</v>
      </c>
      <c r="G45" s="48">
        <v>0.49736741247547306</v>
      </c>
      <c r="H45" s="49">
        <v>0.53124849775726712</v>
      </c>
    </row>
    <row r="46" spans="2:8" x14ac:dyDescent="0.25">
      <c r="B46" s="46" t="s">
        <v>29</v>
      </c>
      <c r="C46" s="47">
        <v>20.848640538725096</v>
      </c>
      <c r="D46" s="47">
        <v>22.623402762330684</v>
      </c>
      <c r="E46" s="50">
        <f t="shared" si="1"/>
        <v>8.5126040727167451E-2</v>
      </c>
      <c r="F46" s="47">
        <v>18.098722209864547</v>
      </c>
      <c r="G46" s="48">
        <v>0.5153616682142883</v>
      </c>
      <c r="H46" s="49">
        <v>0.46624618248213034</v>
      </c>
    </row>
    <row r="47" spans="2:8" x14ac:dyDescent="0.25">
      <c r="B47" s="59" t="s">
        <v>30</v>
      </c>
      <c r="C47" s="22">
        <v>20.827180839960665</v>
      </c>
      <c r="D47" s="22">
        <v>22.109089018560091</v>
      </c>
      <c r="E47" s="5">
        <f t="shared" si="1"/>
        <v>6.1549769431101131E-2</v>
      </c>
      <c r="F47" s="22">
        <v>17.687271214848074</v>
      </c>
      <c r="G47" s="20">
        <v>0.49420404971313947</v>
      </c>
      <c r="H47" s="20">
        <v>0.48643355465236265</v>
      </c>
    </row>
    <row r="48" spans="2:8" x14ac:dyDescent="0.25">
      <c r="B48" s="59" t="s">
        <v>31</v>
      </c>
      <c r="C48" s="22">
        <v>20.694920578906643</v>
      </c>
      <c r="D48" s="22">
        <v>23.243693937916973</v>
      </c>
      <c r="E48" s="5">
        <f t="shared" si="1"/>
        <v>0.12315936895202073</v>
      </c>
      <c r="F48" s="22">
        <v>18.594955150333579</v>
      </c>
      <c r="G48" s="20">
        <v>0.49142900363407821</v>
      </c>
      <c r="H48" s="20">
        <v>0.50083982424158269</v>
      </c>
    </row>
    <row r="49" spans="2:8" x14ac:dyDescent="0.25">
      <c r="B49" s="59" t="s">
        <v>35</v>
      </c>
      <c r="C49" s="9">
        <v>19.496022186383055</v>
      </c>
      <c r="D49" s="9">
        <v>21.364649132975465</v>
      </c>
      <c r="E49" s="5">
        <f t="shared" si="1"/>
        <v>9.5846574687299402E-2</v>
      </c>
      <c r="F49" s="10">
        <v>17.091719306380373</v>
      </c>
      <c r="G49" s="23">
        <v>0.4831377206795559</v>
      </c>
      <c r="H49" s="23">
        <v>0.51393768674728246</v>
      </c>
    </row>
    <row r="50" spans="2:8" x14ac:dyDescent="0.25">
      <c r="B50" s="59" t="s">
        <v>36</v>
      </c>
      <c r="C50" s="9">
        <v>18.903463309451279</v>
      </c>
      <c r="D50" s="9">
        <v>20.255394048562856</v>
      </c>
      <c r="E50" s="5">
        <f t="shared" si="1"/>
        <v>7.1517621770167628E-2</v>
      </c>
      <c r="F50" s="10">
        <v>16.204315238850285</v>
      </c>
      <c r="G50" s="23">
        <v>0.55221498045368123</v>
      </c>
      <c r="H50" s="23">
        <v>0.50681311808622909</v>
      </c>
    </row>
    <row r="51" spans="2:8" x14ac:dyDescent="0.25">
      <c r="B51" s="59" t="s">
        <v>5</v>
      </c>
      <c r="C51" s="9">
        <v>18.828143732639575</v>
      </c>
      <c r="D51" s="9">
        <v>20.673497939984319</v>
      </c>
      <c r="E51" s="5">
        <f t="shared" si="1"/>
        <v>9.801041640370145E-2</v>
      </c>
      <c r="F51" s="10">
        <v>16.538798351987456</v>
      </c>
      <c r="G51" s="23">
        <v>0.56879110098259134</v>
      </c>
      <c r="H51" s="23">
        <v>0.52068143426017999</v>
      </c>
    </row>
    <row r="52" spans="2:8" x14ac:dyDescent="0.25">
      <c r="B52" s="59" t="s">
        <v>6</v>
      </c>
      <c r="C52" s="9">
        <v>19.938449443926771</v>
      </c>
      <c r="D52" s="9">
        <v>21.800011678509083</v>
      </c>
      <c r="E52" s="5">
        <f t="shared" si="1"/>
        <v>9.3365446486579406E-2</v>
      </c>
      <c r="F52" s="10">
        <v>17.440009342807269</v>
      </c>
      <c r="G52" s="23">
        <v>0.55227961443981033</v>
      </c>
      <c r="H52" s="23">
        <v>0.46749634346435559</v>
      </c>
    </row>
    <row r="53" spans="2:8" x14ac:dyDescent="0.25">
      <c r="B53" s="59" t="s">
        <v>7</v>
      </c>
      <c r="C53" s="9">
        <v>20.603496675012021</v>
      </c>
      <c r="D53" s="9">
        <v>22.807843020839517</v>
      </c>
      <c r="E53" s="5">
        <f t="shared" si="1"/>
        <v>0.10698894370201417</v>
      </c>
      <c r="F53" s="10">
        <v>18.246274416671614</v>
      </c>
      <c r="G53" s="23">
        <v>0.48043085992312684</v>
      </c>
      <c r="H53" s="23">
        <v>0.46030787730622263</v>
      </c>
    </row>
    <row r="54" spans="2:8" x14ac:dyDescent="0.25">
      <c r="B54" s="59" t="s">
        <v>8</v>
      </c>
      <c r="C54" s="9">
        <f>CONCESSION!L53</f>
        <v>19.091911819595552</v>
      </c>
      <c r="D54" s="9">
        <f>CONCESSION!T53</f>
        <v>19.995898238019546</v>
      </c>
      <c r="E54" s="5">
        <f t="shared" ref="E54" si="2">(D54/C54)-1</f>
        <v>4.7349182573541926E-2</v>
      </c>
      <c r="F54" s="10">
        <f>CONCESSION!R53</f>
        <v>15.996718590415638</v>
      </c>
      <c r="G54" s="23">
        <f>CONCESSION!M53</f>
        <v>0.5388039911578546</v>
      </c>
      <c r="H54" s="23">
        <f>CONCESSION!S53</f>
        <v>0.50581268047021477</v>
      </c>
    </row>
  </sheetData>
  <mergeCells count="2">
    <mergeCell ref="C1:F1"/>
    <mergeCell ref="G1:H1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050086-5D71-4A7D-B10D-1F4919A5BD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28D125-CC1D-409F-84AF-5920325DC9A9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customXml/itemProps3.xml><?xml version="1.0" encoding="utf-8"?>
<ds:datastoreItem xmlns:ds="http://schemas.openxmlformats.org/officeDocument/2006/customXml" ds:itemID="{338E3EFE-C653-4595-B3CB-F53D91AF8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CONCESSION</vt:lpstr>
      <vt:lpstr>TRENDED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Ranjan Mishra</cp:lastModifiedBy>
  <dcterms:created xsi:type="dcterms:W3CDTF">2022-05-11T18:47:31Z</dcterms:created>
  <dcterms:modified xsi:type="dcterms:W3CDTF">2026-02-03T14:26:11Z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