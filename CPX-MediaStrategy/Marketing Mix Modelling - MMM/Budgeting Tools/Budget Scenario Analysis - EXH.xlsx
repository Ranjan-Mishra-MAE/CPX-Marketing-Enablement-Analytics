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mc:AlternateContent xmlns:mc="http://schemas.openxmlformats.org/markup-compatibility/2006">
    <mc:Choice Requires="x15">
      <x15ac:absPath xmlns:x15ac="http://schemas.microsoft.com/office/spreadsheetml/2010/11/ac" url="https://cineplex.sharepoint.com/sites/AnalyticsDataScience/Shared Documents/Data Science &amp; Insights/Project Planning/Marketing Mix Modelling/"/>
    </mc:Choice>
  </mc:AlternateContent>
  <xr:revisionPtr revIDLastSave="850" documentId="11_F80978DED3853AF07890FD736A6FDB59229FE74F" xr6:coauthVersionLast="47" xr6:coauthVersionMax="47" xr10:uidLastSave="{BC570AAF-4795-44C1-9448-993AB1FB3033}"/>
  <bookViews>
    <workbookView xWindow="-110" yWindow="-110" windowWidth="19420" windowHeight="10300" firstSheet="1" activeTab="1" xr2:uid="{00000000-000D-0000-FFFF-FFFF00000000}"/>
  </bookViews>
  <sheets>
    <sheet name="Budget Scenarios" sheetId="1" r:id="rId1"/>
    <sheet name="Budget Cur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E6" i="1"/>
  <c r="C6" i="1"/>
  <c r="E5" i="1"/>
  <c r="E7" i="1"/>
  <c r="E8" i="1" s="1"/>
  <c r="D8" i="1"/>
  <c r="G8" i="1"/>
  <c r="C8" i="1"/>
  <c r="F8" i="1"/>
  <c r="D6" i="1"/>
  <c r="F9" i="1" a="1"/>
  <c r="F9" i="1" l="1"/>
  <c r="F3" i="1"/>
  <c r="G9" i="1" a="1"/>
  <c r="F5" i="1"/>
  <c r="G9" i="1" l="1"/>
  <c r="G3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<sst xmlns="http://schemas.openxmlformats.org/spreadsheetml/2006/main" count="23" uniqueCount="23">
  <si>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Business As Usual (2024)</t>
  </si>
  <si>
    <t>Business As Usual (2025)</t>
  </si>
  <si>
    <t>44M Attendance (BAU)</t>
  </si>
  <si>
    <t>46M Attendance (5% higher)</t>
  </si>
  <si>
    <t>48M Attendance (10% higher)</t>
  </si>
  <si>
    <t>Budget (ex-PR)</t>
  </si>
  <si>
    <t>Budget</t>
  </si>
  <si>
    <t>Media Attendance Contribution</t>
  </si>
  <si>
    <t>Media Profit Contribution</t>
  </si>
  <si>
    <t>Marginal Attendance ROI</t>
  </si>
  <si>
    <t>Marginal Revenue ROI</t>
  </si>
  <si>
    <t>Brand / Exhibition</t>
  </si>
  <si>
    <t>Film</t>
  </si>
  <si>
    <t>Performance</t>
  </si>
  <si>
    <t>Cineclub</t>
  </si>
  <si>
    <t>Prepaid</t>
  </si>
  <si>
    <t>PR</t>
  </si>
  <si>
    <t>Other (F&amp;B, G&amp;E)</t>
  </si>
  <si>
    <t>Note:</t>
  </si>
  <si>
    <t>Refer to 'Budget Curve' for more details</t>
  </si>
  <si>
    <t>Notes:</t>
  </si>
  <si>
    <t>Each point represents a $1M change in budget.</t>
  </si>
  <si>
    <t>Marginal attendance contribution is the number of additional attendance brought in with every extra dollar spent.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</si>
</sst>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"/>
    <numFmt numFmtId="165" formatCode="#.0,,\M"/>
    <numFmt numFmtId="166" formatCode="0.0"/>
    <numFmt numFmtId="167" formatCode="&quot;$&quot;#,##0,\K"/>
    <numFmt numFmtId="168" formatCode="&quot;$&quot;#,##0"/>
    <numFmt numFmtId="169" formatCode="&quot;$&quot;#0.0,,\M"/>
  </numFmts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3" xfId="0" applyFill="1" applyBorder="1"/>
    <xf numFmtId="0" fontId="0" fillId="0" borderId="5" xfId="0" applyBorder="1"/>
    <xf numFmtId="0" fontId="0" fillId="2" borderId="4" xfId="0" applyFill="1" applyBorder="1"/>
    <xf numFmtId="164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4" xfId="0" applyBorder="1"/>
    <xf numFmtId="0" fontId="0" fillId="0" borderId="8" xfId="0" applyBorder="1"/>
    <xf numFmtId="167" fontId="0" fillId="0" borderId="0" xfId="0" applyNumberFormat="1"/>
    <xf numFmtId="168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9" xfId="0" applyFill="1" applyBorder="1"/>
    <xf numFmtId="166" fontId="0" fillId="0" borderId="10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 wrapText="1"/>
    </xf>
    <xf numFmtId="0" fontId="0" fillId="3" borderId="0" xfId="0" applyFill="1"/>
    <xf numFmtId="169" fontId="0" fillId="0" borderId="6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20</xdr:row>
      <xdr:rowOff>66675</xdr:rowOff>
    </xdr:from>
    <xdr:to>
      <xdr:col>9</xdr:col>
      <xdr:colOff>514350</xdr:colOff>
      <xdr:row>39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CED064-16F5-A414-AD4F-892E0D69F837}"/>
            </a:ext>
            <a:ext uri="{147F2762-F138-4A5C-976F-8EAC2B608ADB}">
              <a16:predDERef xmlns:a16="http://schemas.microsoft.com/office/drawing/2014/main" pred="{8E9E622E-CCB4-AAB6-091B-8B15CBA20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352925"/>
          <a:ext cx="5305425" cy="34671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</xdr:row>
      <xdr:rowOff>66675</xdr:rowOff>
    </xdr:from>
    <xdr:to>
      <xdr:col>9</xdr:col>
      <xdr:colOff>542925</xdr:colOff>
      <xdr:row>18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E622E-CCB4-AAB6-091B-8B15CBA206D7}"/>
            </a:ext>
            <a:ext uri="{147F2762-F138-4A5C-976F-8EAC2B608ADB}">
              <a16:predDERef xmlns:a16="http://schemas.microsoft.com/office/drawing/2014/main" pred="{17228D0A-45D7-B8ED-0C29-231C406EB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247650"/>
          <a:ext cx="5353050" cy="377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workbookViewId="0">
      <selection activeCell="C5" sqref="C5"/>
    </sheetView>
  </sheetViews>
  <sheetFormatPr defaultColWidth="9.140625" defaultRowHeight="14.45"/>
  <cols>
    <col min="2" max="2" width="28.5703125" bestFit="1" customWidth="1"/>
    <col min="3" max="4" width="16.7109375" customWidth="1"/>
    <col min="5" max="7" width="16.140625" customWidth="1"/>
    <col min="9" max="9" width="11.7109375" bestFit="1" customWidth="1"/>
    <col min="10" max="10" width="13.42578125" bestFit="1" customWidth="1"/>
  </cols>
  <sheetData>
    <row r="2" spans="2:10" ht="33" customHeight="1">
      <c r="C2" s="14" t="s">
        <v>0</v>
      </c>
      <c r="D2" s="14" t="s">
        <v>1</v>
      </c>
      <c r="E2" s="14" t="s">
        <v>2</v>
      </c>
      <c r="F2" s="14" t="s">
        <v>3</v>
      </c>
      <c r="G2" s="14" t="s">
        <v>4</v>
      </c>
    </row>
    <row r="3" spans="2:10" ht="17.25" customHeight="1">
      <c r="B3" s="15" t="s">
        <v>5</v>
      </c>
      <c r="C3" s="6">
        <v>3400000</v>
      </c>
      <c r="D3" s="6">
        <v>4865400</v>
      </c>
      <c r="E3" s="6">
        <v>4865400</v>
      </c>
      <c r="F3" s="6">
        <f>F4-F14</f>
        <v>7227937.5</v>
      </c>
      <c r="G3" s="6">
        <f>G4-G14</f>
        <v>13600975</v>
      </c>
    </row>
    <row r="4" spans="2:10" ht="17.25" customHeight="1">
      <c r="B4" s="15" t="s">
        <v>6</v>
      </c>
      <c r="C4" s="6">
        <v>3600000</v>
      </c>
      <c r="D4" s="6">
        <v>5000000</v>
      </c>
      <c r="E4" s="6">
        <v>5000000</v>
      </c>
      <c r="F4" s="6">
        <v>7500000</v>
      </c>
      <c r="G4" s="6">
        <v>14000000</v>
      </c>
    </row>
    <row r="5" spans="2:10" ht="17.25" customHeight="1">
      <c r="B5" s="15" t="s">
        <v>7</v>
      </c>
      <c r="C5" s="6">
        <v>10000000</v>
      </c>
      <c r="D5" s="6">
        <v>12000000</v>
      </c>
      <c r="E5" s="6">
        <f>D5</f>
        <v>12000000</v>
      </c>
      <c r="F5" s="6">
        <f>E5+2000000</f>
        <v>14000000</v>
      </c>
      <c r="G5" s="6">
        <f>F5+2000000</f>
        <v>16000000</v>
      </c>
    </row>
    <row r="6" spans="2:10" ht="17.25" hidden="1" customHeight="1">
      <c r="B6" s="15" t="s">
        <v>8</v>
      </c>
      <c r="C6" s="6">
        <f>C5*23.6*0.65</f>
        <v>153400000</v>
      </c>
      <c r="D6" s="6">
        <f>C6</f>
        <v>153400000</v>
      </c>
      <c r="E6" s="6">
        <f>E5*23.6*0.65</f>
        <v>184080000</v>
      </c>
      <c r="F6" s="6">
        <f>F5*23.6*0.65</f>
        <v>214760000</v>
      </c>
      <c r="G6" s="6">
        <f>G5*23.6*0.65</f>
        <v>245440000</v>
      </c>
      <c r="I6" s="9"/>
    </row>
    <row r="7" spans="2:10" ht="17.25" customHeight="1">
      <c r="B7" s="4" t="s">
        <v>9</v>
      </c>
      <c r="C7" s="16">
        <v>1.4</v>
      </c>
      <c r="D7" s="16">
        <v>1</v>
      </c>
      <c r="E7" s="16">
        <f>D7</f>
        <v>1</v>
      </c>
      <c r="F7" s="17">
        <v>0.7</v>
      </c>
      <c r="G7" s="16">
        <v>0.4</v>
      </c>
    </row>
    <row r="8" spans="2:10" ht="17.25" customHeight="1">
      <c r="B8" s="2" t="s">
        <v>10</v>
      </c>
      <c r="C8" s="5">
        <f>C7*23.6</f>
        <v>33.04</v>
      </c>
      <c r="D8" s="5">
        <f>D7*23.6</f>
        <v>23.6</v>
      </c>
      <c r="E8" s="5">
        <f>E7*23.6</f>
        <v>23.6</v>
      </c>
      <c r="F8" s="5">
        <f>F7*23.6</f>
        <v>16.52</v>
      </c>
      <c r="G8" s="5">
        <f>G7*23.6</f>
        <v>9.4400000000000013</v>
      </c>
    </row>
    <row r="9" spans="2:10" ht="17.25" customHeight="1">
      <c r="B9" s="3" t="s">
        <v>11</v>
      </c>
      <c r="C9" s="19">
        <v>1492448</v>
      </c>
      <c r="D9" s="19">
        <v>1694000</v>
      </c>
      <c r="E9" s="20">
        <v>2560000</v>
      </c>
      <c r="F9" s="20" cm="1">
        <f t="array" ref="F9:F15">E9:E15*1.5</f>
        <v>3840000</v>
      </c>
      <c r="G9" s="20" cm="1">
        <f t="array" ref="G9:G15">E9:E15*2.2</f>
        <v>5632000</v>
      </c>
      <c r="H9" s="9"/>
      <c r="I9" s="10"/>
      <c r="J9" s="10"/>
    </row>
    <row r="10" spans="2:10" ht="17.25" customHeight="1">
      <c r="B10" s="1" t="s">
        <v>12</v>
      </c>
      <c r="C10" s="21">
        <v>946450</v>
      </c>
      <c r="D10" s="21">
        <v>711383</v>
      </c>
      <c r="E10" s="22">
        <v>1015663</v>
      </c>
      <c r="F10" s="20">
        <v>1523494.5</v>
      </c>
      <c r="G10" s="22">
        <v>2234458.6</v>
      </c>
      <c r="H10" s="9"/>
      <c r="I10" s="10"/>
      <c r="J10" s="10"/>
    </row>
    <row r="11" spans="2:10" ht="17.25" customHeight="1">
      <c r="B11" s="1" t="s">
        <v>13</v>
      </c>
      <c r="C11" s="21">
        <v>391402</v>
      </c>
      <c r="D11" s="21">
        <v>1390378</v>
      </c>
      <c r="E11" s="22">
        <v>589433</v>
      </c>
      <c r="F11" s="20">
        <v>884149.5</v>
      </c>
      <c r="G11" s="22">
        <v>1296752.6000000001</v>
      </c>
      <c r="H11" s="9"/>
      <c r="I11" s="10"/>
      <c r="J11" s="10"/>
    </row>
    <row r="12" spans="2:10" ht="17.25" customHeight="1">
      <c r="B12" s="1" t="s">
        <v>14</v>
      </c>
      <c r="C12" s="21">
        <v>191426</v>
      </c>
      <c r="D12" s="21">
        <v>394639</v>
      </c>
      <c r="E12" s="22">
        <v>167302</v>
      </c>
      <c r="F12" s="20">
        <v>250953</v>
      </c>
      <c r="G12" s="22">
        <v>368064.4</v>
      </c>
      <c r="H12" s="9"/>
      <c r="I12" s="10"/>
      <c r="J12" s="10"/>
    </row>
    <row r="13" spans="2:10" ht="17.25" customHeight="1">
      <c r="B13" s="7" t="s">
        <v>15</v>
      </c>
      <c r="C13" s="23">
        <v>125032</v>
      </c>
      <c r="D13" s="23">
        <v>246500</v>
      </c>
      <c r="E13" s="24">
        <v>104500</v>
      </c>
      <c r="F13" s="20">
        <v>156750</v>
      </c>
      <c r="G13" s="24">
        <v>229900.00000000003</v>
      </c>
      <c r="H13" s="9"/>
      <c r="I13" s="10"/>
      <c r="J13" s="10"/>
    </row>
    <row r="14" spans="2:10" ht="17.25" customHeight="1">
      <c r="B14" s="1" t="s">
        <v>16</v>
      </c>
      <c r="C14" s="21">
        <v>146051</v>
      </c>
      <c r="D14" s="21">
        <v>146051</v>
      </c>
      <c r="E14" s="22">
        <v>181375</v>
      </c>
      <c r="F14" s="20">
        <v>272062.5</v>
      </c>
      <c r="G14" s="22">
        <v>399025.00000000006</v>
      </c>
      <c r="H14" s="9"/>
      <c r="I14" s="10"/>
      <c r="J14" s="10"/>
    </row>
    <row r="15" spans="2:10" ht="17.25" customHeight="1">
      <c r="B15" s="8" t="s">
        <v>17</v>
      </c>
      <c r="C15" s="25">
        <v>274390</v>
      </c>
      <c r="D15" s="25">
        <v>428500</v>
      </c>
      <c r="E15" s="25">
        <v>428500</v>
      </c>
      <c r="F15" s="20">
        <v>642750</v>
      </c>
      <c r="G15" s="25">
        <v>942700.00000000012</v>
      </c>
      <c r="I15" s="10"/>
      <c r="J15" s="10"/>
    </row>
    <row r="16" spans="2:10">
      <c r="I16" s="10"/>
    </row>
    <row r="17" spans="5:7">
      <c r="E17" s="27" t="s">
        <v>18</v>
      </c>
      <c r="F17" s="26" t="s">
        <v>19</v>
      </c>
      <c r="G17" s="26"/>
    </row>
    <row r="18" spans="5:7">
      <c r="E18" s="27"/>
      <c r="F18" s="26"/>
      <c r="G18" s="26"/>
    </row>
  </sheetData>
  <sortState xmlns:xlrd2="http://schemas.microsoft.com/office/spreadsheetml/2017/richdata2" ref="B9:C13">
    <sortCondition descending="1" ref="C9:C13"/>
  </sortState>
  <mergeCells count="2">
    <mergeCell ref="F17:G18"/>
    <mergeCell ref="E17:E18"/>
  </mergeCells>
  <conditionalFormatting sqref="C9:D15 E15">
    <cfRule type="colorScale" priority="19">
      <colorScale>
        <cfvo type="min"/>
        <cfvo type="max"/>
        <color rgb="FFFCFCFF"/>
        <color rgb="FF63BE7B"/>
      </colorScale>
    </cfRule>
  </conditionalFormatting>
  <conditionalFormatting sqref="E9:E14">
    <cfRule type="colorScale" priority="21">
      <colorScale>
        <cfvo type="min"/>
        <cfvo type="max"/>
        <color rgb="FFFCFCFF"/>
        <color rgb="FF63BE7B"/>
      </colorScale>
    </cfRule>
  </conditionalFormatting>
  <conditionalFormatting sqref="F9:F15">
    <cfRule type="colorScale" priority="23">
      <colorScale>
        <cfvo type="min"/>
        <cfvo type="max"/>
        <color rgb="FFFCFCFF"/>
        <color rgb="FF63BE7B"/>
      </colorScale>
    </cfRule>
  </conditionalFormatting>
  <conditionalFormatting sqref="G9:G15">
    <cfRule type="colorScale" priority="2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ignoredErrors>
    <ignoredError sqref="D6:G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854-6ACC-4B38-8323-E08CD4778FCC}">
  <dimension ref="B2:L40"/>
  <sheetViews>
    <sheetView tabSelected="1" topLeftCell="A14" workbookViewId="0">
      <selection activeCell="L14" sqref="L14"/>
    </sheetView>
  </sheetViews>
  <sheetFormatPr defaultRowHeight="14.45"/>
  <cols>
    <col min="12" max="12" width="33" customWidth="1"/>
    <col min="13" max="13" width="9.140625" bestFit="1" customWidth="1"/>
  </cols>
  <sheetData>
    <row r="2" spans="2:12">
      <c r="B2" s="28"/>
      <c r="C2" s="28"/>
      <c r="D2" s="28"/>
      <c r="E2" s="28"/>
      <c r="F2" s="28"/>
      <c r="G2" s="28"/>
      <c r="H2" s="28"/>
      <c r="I2" s="28"/>
      <c r="J2" s="28"/>
      <c r="L2" s="12" t="s">
        <v>20</v>
      </c>
    </row>
    <row r="3" spans="2:12" ht="15">
      <c r="B3" s="28"/>
      <c r="C3" s="28"/>
      <c r="D3" s="28"/>
      <c r="E3" s="28"/>
      <c r="F3" s="28"/>
      <c r="G3" s="28"/>
      <c r="H3" s="28"/>
      <c r="I3" s="28"/>
      <c r="J3" s="28"/>
      <c r="L3" s="29" t="s">
        <v>21</v>
      </c>
    </row>
    <row r="4" spans="2:12" ht="15" customHeight="1">
      <c r="B4" s="28"/>
      <c r="C4" s="28"/>
      <c r="D4" s="28"/>
      <c r="E4" s="28"/>
      <c r="F4" s="28"/>
      <c r="G4" s="28"/>
      <c r="H4" s="28"/>
      <c r="I4" s="28"/>
      <c r="J4" s="28"/>
      <c r="L4" s="29"/>
    </row>
    <row r="5" spans="2:12" ht="63.75" customHeight="1">
      <c r="B5" s="28"/>
      <c r="C5" s="28"/>
      <c r="D5" s="28"/>
      <c r="E5" s="28"/>
      <c r="F5" s="28"/>
      <c r="G5" s="28"/>
      <c r="H5" s="28"/>
      <c r="I5" s="28"/>
      <c r="J5" s="28"/>
      <c r="L5" s="11" t="s">
        <v>22</v>
      </c>
    </row>
    <row r="6" spans="2:12">
      <c r="B6" s="28"/>
      <c r="C6" s="28"/>
      <c r="D6" s="28"/>
      <c r="E6" s="28"/>
      <c r="F6" s="28"/>
      <c r="G6" s="28"/>
      <c r="H6" s="28"/>
      <c r="I6" s="28"/>
      <c r="J6" s="28"/>
      <c r="L6" s="13"/>
    </row>
    <row r="7" spans="2:12" ht="15" customHeight="1">
      <c r="B7" s="28"/>
      <c r="C7" s="28"/>
      <c r="D7" s="28"/>
      <c r="E7" s="28"/>
      <c r="F7" s="28"/>
      <c r="G7" s="28"/>
      <c r="H7" s="28"/>
      <c r="I7" s="28"/>
      <c r="J7" s="28"/>
      <c r="L7" s="13"/>
    </row>
    <row r="8" spans="2:12">
      <c r="B8" s="28"/>
      <c r="C8" s="28"/>
      <c r="D8" s="28"/>
      <c r="E8" s="28"/>
      <c r="F8" s="28"/>
      <c r="G8" s="28"/>
      <c r="H8" s="28"/>
      <c r="I8" s="28"/>
      <c r="J8" s="28"/>
    </row>
    <row r="9" spans="2:12" ht="15" customHeight="1">
      <c r="B9" s="28"/>
      <c r="C9" s="28"/>
      <c r="D9" s="28"/>
      <c r="E9" s="28"/>
      <c r="F9" s="28"/>
      <c r="G9" s="28"/>
      <c r="H9" s="28"/>
      <c r="I9" s="28"/>
      <c r="J9" s="28"/>
    </row>
    <row r="10" spans="2:12">
      <c r="B10" s="28"/>
      <c r="C10" s="28"/>
      <c r="D10" s="28"/>
      <c r="E10" s="28"/>
      <c r="F10" s="28"/>
      <c r="G10" s="28"/>
      <c r="H10" s="28"/>
      <c r="I10" s="28"/>
      <c r="J10" s="28"/>
    </row>
    <row r="11" spans="2:12">
      <c r="B11" s="28"/>
      <c r="C11" s="28"/>
      <c r="D11" s="28"/>
      <c r="E11" s="28"/>
      <c r="F11" s="28"/>
      <c r="G11" s="28"/>
      <c r="H11" s="28"/>
      <c r="I11" s="28"/>
      <c r="J11" s="28"/>
    </row>
    <row r="12" spans="2:12">
      <c r="B12" s="28"/>
      <c r="C12" s="28"/>
      <c r="D12" s="28"/>
      <c r="E12" s="28"/>
      <c r="F12" s="28"/>
      <c r="G12" s="28"/>
      <c r="H12" s="28"/>
      <c r="I12" s="28"/>
      <c r="J12" s="28"/>
    </row>
    <row r="13" spans="2:12">
      <c r="B13" s="28"/>
      <c r="C13" s="28"/>
      <c r="D13" s="28"/>
      <c r="E13" s="28"/>
      <c r="F13" s="28"/>
      <c r="G13" s="28"/>
      <c r="H13" s="28"/>
      <c r="I13" s="28"/>
      <c r="J13" s="28"/>
    </row>
    <row r="14" spans="2:12">
      <c r="B14" s="28"/>
      <c r="C14" s="28"/>
      <c r="D14" s="28"/>
      <c r="E14" s="28"/>
      <c r="F14" s="28"/>
      <c r="G14" s="28"/>
      <c r="H14" s="28"/>
      <c r="I14" s="28"/>
      <c r="J14" s="28"/>
    </row>
    <row r="15" spans="2:12">
      <c r="B15" s="28"/>
      <c r="C15" s="28"/>
      <c r="D15" s="28"/>
      <c r="E15" s="28"/>
      <c r="F15" s="28"/>
      <c r="G15" s="28"/>
      <c r="H15" s="28"/>
      <c r="I15" s="28"/>
      <c r="J15" s="28"/>
    </row>
    <row r="16" spans="2:12">
      <c r="B16" s="28"/>
      <c r="C16" s="28"/>
      <c r="D16" s="28"/>
      <c r="E16" s="28"/>
      <c r="F16" s="28"/>
      <c r="G16" s="28"/>
      <c r="H16" s="28"/>
      <c r="I16" s="28"/>
      <c r="J16" s="28"/>
    </row>
    <row r="17" spans="2:10">
      <c r="B17" s="28"/>
      <c r="C17" s="28"/>
      <c r="D17" s="28"/>
      <c r="E17" s="28"/>
      <c r="F17" s="28"/>
      <c r="G17" s="28"/>
      <c r="H17" s="28"/>
      <c r="I17" s="28"/>
      <c r="J17" s="28"/>
    </row>
    <row r="18" spans="2:10">
      <c r="B18" s="28"/>
      <c r="C18" s="28"/>
      <c r="D18" s="28"/>
      <c r="E18" s="28"/>
      <c r="F18" s="28"/>
      <c r="G18" s="28"/>
      <c r="H18" s="28"/>
      <c r="I18" s="28"/>
      <c r="J18" s="28"/>
    </row>
    <row r="19" spans="2:10">
      <c r="B19" s="28"/>
      <c r="C19" s="28"/>
      <c r="D19" s="28"/>
      <c r="E19" s="28"/>
      <c r="F19" s="28"/>
      <c r="G19" s="28"/>
      <c r="H19" s="28"/>
      <c r="I19" s="28"/>
      <c r="J19" s="28"/>
    </row>
    <row r="21" spans="2:10">
      <c r="B21" s="18"/>
      <c r="C21" s="18"/>
      <c r="D21" s="18"/>
      <c r="E21" s="18"/>
      <c r="F21" s="18"/>
      <c r="G21" s="18"/>
      <c r="H21" s="18"/>
      <c r="I21" s="18"/>
      <c r="J21" s="18"/>
    </row>
    <row r="22" spans="2:10">
      <c r="B22" s="18"/>
      <c r="C22" s="18"/>
      <c r="D22" s="18"/>
      <c r="E22" s="18"/>
      <c r="F22" s="18"/>
      <c r="G22" s="18"/>
      <c r="H22" s="18"/>
      <c r="I22" s="18"/>
      <c r="J22" s="18"/>
    </row>
    <row r="23" spans="2:10">
      <c r="B23" s="18"/>
      <c r="C23" s="18"/>
      <c r="D23" s="18"/>
      <c r="E23" s="18"/>
      <c r="F23" s="18"/>
      <c r="G23" s="18"/>
      <c r="H23" s="18"/>
      <c r="I23" s="18"/>
      <c r="J23" s="18"/>
    </row>
    <row r="24" spans="2:10">
      <c r="B24" s="18"/>
      <c r="C24" s="18"/>
      <c r="D24" s="18"/>
      <c r="E24" s="18"/>
      <c r="F24" s="18"/>
      <c r="G24" s="18"/>
      <c r="H24" s="18"/>
      <c r="I24" s="18"/>
      <c r="J24" s="18"/>
    </row>
    <row r="25" spans="2:10">
      <c r="B25" s="18"/>
      <c r="C25" s="18"/>
      <c r="D25" s="18"/>
      <c r="E25" s="18"/>
      <c r="F25" s="18"/>
      <c r="G25" s="18"/>
      <c r="H25" s="18"/>
      <c r="I25" s="18"/>
      <c r="J25" s="18"/>
    </row>
    <row r="26" spans="2:10">
      <c r="B26" s="18"/>
      <c r="C26" s="18"/>
      <c r="D26" s="18"/>
      <c r="E26" s="18"/>
      <c r="F26" s="18"/>
      <c r="G26" s="18"/>
      <c r="H26" s="18"/>
      <c r="I26" s="18"/>
      <c r="J26" s="18"/>
    </row>
    <row r="27" spans="2:10">
      <c r="B27" s="18"/>
      <c r="C27" s="18"/>
      <c r="D27" s="18"/>
      <c r="E27" s="18"/>
      <c r="F27" s="18"/>
      <c r="G27" s="18"/>
      <c r="H27" s="18"/>
      <c r="I27" s="18"/>
      <c r="J27" s="18"/>
    </row>
    <row r="28" spans="2:10">
      <c r="B28" s="18"/>
      <c r="C28" s="18"/>
      <c r="D28" s="18"/>
      <c r="E28" s="18"/>
      <c r="F28" s="18"/>
      <c r="G28" s="18"/>
      <c r="H28" s="18"/>
      <c r="I28" s="18"/>
      <c r="J28" s="18"/>
    </row>
    <row r="29" spans="2:10">
      <c r="B29" s="18"/>
      <c r="C29" s="18"/>
      <c r="D29" s="18"/>
      <c r="E29" s="18"/>
      <c r="F29" s="18"/>
      <c r="G29" s="18"/>
      <c r="H29" s="18"/>
      <c r="I29" s="18"/>
      <c r="J29" s="18"/>
    </row>
    <row r="30" spans="2:10">
      <c r="B30" s="18"/>
      <c r="C30" s="18"/>
      <c r="D30" s="18"/>
      <c r="E30" s="18"/>
      <c r="F30" s="18"/>
      <c r="G30" s="18"/>
      <c r="H30" s="18"/>
      <c r="I30" s="18"/>
      <c r="J30" s="18"/>
    </row>
    <row r="31" spans="2:10">
      <c r="B31" s="18"/>
      <c r="C31" s="18"/>
      <c r="D31" s="18"/>
      <c r="E31" s="18"/>
      <c r="F31" s="18"/>
      <c r="G31" s="18"/>
      <c r="H31" s="18"/>
      <c r="I31" s="18"/>
      <c r="J31" s="18"/>
    </row>
    <row r="32" spans="2:10">
      <c r="B32" s="18"/>
      <c r="C32" s="18"/>
      <c r="D32" s="18"/>
      <c r="E32" s="18"/>
      <c r="F32" s="18"/>
      <c r="G32" s="18"/>
      <c r="H32" s="18"/>
      <c r="I32" s="18"/>
      <c r="J32" s="18"/>
    </row>
    <row r="33" spans="2:10">
      <c r="B33" s="18"/>
      <c r="C33" s="18"/>
      <c r="D33" s="18"/>
      <c r="E33" s="18"/>
      <c r="F33" s="18"/>
      <c r="G33" s="18"/>
      <c r="H33" s="18"/>
      <c r="I33" s="18"/>
      <c r="J33" s="18"/>
    </row>
    <row r="34" spans="2:10">
      <c r="B34" s="18"/>
      <c r="C34" s="18"/>
      <c r="D34" s="18"/>
      <c r="E34" s="18"/>
      <c r="F34" s="18"/>
      <c r="G34" s="18"/>
      <c r="H34" s="18"/>
      <c r="I34" s="18"/>
      <c r="J34" s="18"/>
    </row>
    <row r="35" spans="2:10">
      <c r="B35" s="18"/>
      <c r="C35" s="18"/>
      <c r="D35" s="18"/>
      <c r="E35" s="18"/>
      <c r="F35" s="18"/>
      <c r="G35" s="18"/>
      <c r="H35" s="18"/>
      <c r="I35" s="18"/>
      <c r="J35" s="18"/>
    </row>
    <row r="36" spans="2:10">
      <c r="B36" s="18"/>
      <c r="C36" s="18"/>
      <c r="D36" s="18"/>
      <c r="E36" s="18"/>
      <c r="F36" s="18"/>
      <c r="G36" s="18"/>
      <c r="H36" s="18"/>
      <c r="I36" s="18"/>
      <c r="J36" s="18"/>
    </row>
    <row r="37" spans="2:10">
      <c r="B37" s="18"/>
      <c r="C37" s="18"/>
      <c r="D37" s="18"/>
      <c r="E37" s="18"/>
      <c r="F37" s="18"/>
      <c r="G37" s="18"/>
      <c r="H37" s="18"/>
      <c r="I37" s="18"/>
      <c r="J37" s="18"/>
    </row>
    <row r="38" spans="2:10">
      <c r="B38" s="18"/>
      <c r="C38" s="18"/>
      <c r="D38" s="18"/>
      <c r="E38" s="18"/>
      <c r="F38" s="18"/>
      <c r="G38" s="18"/>
      <c r="H38" s="18"/>
      <c r="I38" s="18"/>
      <c r="J38" s="18"/>
    </row>
    <row r="39" spans="2:10">
      <c r="B39" s="18"/>
      <c r="C39" s="18"/>
      <c r="D39" s="18"/>
      <c r="E39" s="18"/>
      <c r="F39" s="18"/>
      <c r="G39" s="18"/>
      <c r="H39" s="18"/>
      <c r="I39" s="18"/>
      <c r="J39" s="18"/>
    </row>
    <row r="40" spans="2:10">
      <c r="B40" s="18"/>
      <c r="C40" s="18"/>
      <c r="D40" s="18"/>
      <c r="E40" s="18"/>
      <c r="F40" s="18"/>
      <c r="G40" s="18"/>
      <c r="H40" s="18"/>
      <c r="I40" s="18"/>
      <c r="J40" s="18"/>
    </row>
  </sheetData>
  <mergeCells count="2">
    <mergeCell ref="B2:J19"/>
    <mergeCell ref="L3:L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d1c98-09f0-4d10-953e-dd5e4d478daa" xsi:nil="true"/>
    <lcf76f155ced4ddcb4097134ff3c332f xmlns="6aa31b7e-7481-49ec-8bb1-408cc1f2dd8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93E89D5881D448099A1C25A60F885" ma:contentTypeVersion="19" ma:contentTypeDescription="Create a new document." ma:contentTypeScope="" ma:versionID="05f9ab1cd396484fdc3c50caed31a1dd">
  <xsd:schema xmlns:xsd="http://www.w3.org/2001/XMLSchema" xmlns:xs="http://www.w3.org/2001/XMLSchema" xmlns:p="http://schemas.microsoft.com/office/2006/metadata/properties" xmlns:ns2="6aa31b7e-7481-49ec-8bb1-408cc1f2dd86" xmlns:ns3="460d1c98-09f0-4d10-953e-dd5e4d478daa" targetNamespace="http://schemas.microsoft.com/office/2006/metadata/properties" ma:root="true" ma:fieldsID="7d64b81c6b198d54d61d58975c71448e" ns2:_="" ns3:_="">
    <xsd:import namespace="6aa31b7e-7481-49ec-8bb1-408cc1f2dd86"/>
    <xsd:import namespace="460d1c98-09f0-4d10-953e-dd5e4d478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31b7e-7481-49ec-8bb1-408cc1f2d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c98-09f0-4d10-953e-dd5e4d478d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242431-b9eb-46b4-8cbc-5028fbca96aa}" ma:internalName="TaxCatchAll" ma:showField="CatchAllData" ma:web="460d1c98-09f0-4d10-953e-dd5e4d478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4457D0-13D1-43DD-8A3B-2CDDE7BE9CFD}"/>
</file>

<file path=customXml/itemProps2.xml><?xml version="1.0" encoding="utf-8"?>
<ds:datastoreItem xmlns:ds="http://schemas.openxmlformats.org/officeDocument/2006/customXml" ds:itemID="{3E2B7E0A-1DA7-4311-9878-FB23FEC71112}"/>
</file>

<file path=customXml/itemProps3.xml><?xml version="1.0" encoding="utf-8"?>
<ds:datastoreItem xmlns:ds="http://schemas.openxmlformats.org/officeDocument/2006/customXml" ds:itemID="{C41D603F-1924-45B0-8F19-24CB797921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Sameeck Bhatia</cp:lastModifiedBy>
  <cp:revision/>
  <dcterms:created xsi:type="dcterms:W3CDTF">2025-07-16T15:55:14Z</dcterms:created>
  <dcterms:modified xsi:type="dcterms:W3CDTF">2025-09-25T14:26:48Z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0x010100B2693E89D5881D448099A1C25A60F885</vt:lpwstr>
  </property>
  <property fmtid="{D5CDD505-2E9C-101B-9397-08002B2CF9AE}" pid="3" name="MediaServiceImageTags">
    <vt:lpwstr/>
  </property>
</Properties>
</file>