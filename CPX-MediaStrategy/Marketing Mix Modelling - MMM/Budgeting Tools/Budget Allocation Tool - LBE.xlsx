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/>
  <mc:AlternateContent xmlns:mc="http://schemas.openxmlformats.org/markup-compatibility/2006">
    <mc:Choice Requires="x15">
      <x15ac:absPath xmlns:x15ac="http://schemas.microsoft.com/office/spreadsheetml/2010/11/ac" url="https://cineplex.sharepoint.com/sites/AnalyticsDataScience/Shared Documents/Data Science &amp; Insights/Project Planning/Marketing Mix Modelling/LBE/"/>
    </mc:Choice>
  </mc:AlternateContent>
  <xr:revisionPtr revIDLastSave="2131" documentId="11_617979CEC564329C7471F5391AA8E749229FE74F" xr6:coauthVersionLast="47" xr6:coauthVersionMax="47" xr10:uidLastSave="{7A96852F-B195-4D55-B805-A60D490A47EE}"/>
  <bookViews>
    <workbookView xWindow="-110" yWindow="-110" windowWidth="19420" windowHeight="10300" activeTab="1" xr2:uid="{00000000-000D-0000-FFFF-FFFF00000000}"/>
  </bookViews>
  <sheets>
    <sheet name="Rec Room" sheetId="3" r:id="rId1"/>
    <sheet name="Playdium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3" l="1"/>
  <c r="H9" i="3"/>
  <c r="H8" i="3"/>
  <c r="D9" i="5"/>
  <c r="E7" i="5" s="1"/>
  <c r="H7" i="5" s="1"/>
  <c r="I7" i="5" s="1"/>
  <c r="G9" i="5"/>
  <c r="G10" i="3"/>
  <c r="D10" i="3"/>
  <c r="F8" i="5" l="1"/>
  <c r="E8" i="5"/>
  <c r="H8" i="5" s="1"/>
  <c r="I8" i="5" s="1"/>
  <c r="F7" i="5"/>
  <c r="E9" i="3"/>
  <c r="I9" i="3" s="1"/>
  <c r="F9" i="3"/>
  <c r="E8" i="3"/>
  <c r="E7" i="3"/>
  <c r="F8" i="3"/>
  <c r="F7" i="3"/>
  <c r="I8" i="3"/>
  <c r="I7" i="3"/>
  <c r="F9" i="5" l="1"/>
  <c r="E9" i="5"/>
  <c r="F10" i="3"/>
  <c r="E10" i="3"/>
  <c r="I10" i="3"/>
  <c r="H10" i="3"/>
  <c r="I9" i="5" l="1"/>
  <c r="H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Sameeck Bhatia</author>
  </authors>
  <commentList>
    <comment ref="D6" authorId="0" shapeId="0" xr:uid="{DB923E3A-0BBD-4984-B027-0ACCC181EB2D}">
      <text>
        <r>
          <rPr>
            <sz val="11"/>
            <color theme="1"/>
            <rFont val="Aptos Narrow"/>
            <family val="2"/>
            <scheme val="minor"/>
          </rPr>
          <t>Sameeck Bhatia:
The percentage of attendance attributable to each channel when accounting for factors such as weather, holidays, baseline sales, etc.</t>
        </r>
      </text>
    </comment>
    <comment ref="E6" authorId="0" shapeId="0" xr:uid="{59BAA82D-0BB0-47C2-8877-3AA52C319082}">
      <text>
        <r>
          <rPr>
            <sz val="11"/>
            <color theme="1"/>
            <rFont val="Aptos Narrow"/>
            <family val="2"/>
            <scheme val="minor"/>
          </rPr>
          <t>Sameeck Bhatia:
The percentage of attendance attributable to each channel when including only factors that Cineplex can control.</t>
        </r>
      </text>
    </comment>
    <comment ref="F6" authorId="0" shapeId="0" xr:uid="{BE662F60-02C2-4835-AA77-B277EB4D8163}">
      <text>
        <r>
          <rPr>
            <sz val="11"/>
            <color theme="1"/>
            <rFont val="Aptos Narrow"/>
            <family val="2"/>
            <scheme val="minor"/>
          </rPr>
          <t>Sameeck Bhatia:
The percentage of the last 2 years' budget allocated to each channel.</t>
        </r>
      </text>
    </comment>
    <comment ref="G6" authorId="0" shapeId="0" xr:uid="{BF30ECC8-ED40-4E4D-9996-FFC184DE0F82}">
      <text>
        <r>
          <rPr>
            <sz val="11"/>
            <color theme="1"/>
            <rFont val="Aptos Narrow"/>
            <family val="2"/>
            <scheme val="minor"/>
          </rPr>
          <t>Sameeck Bhatia:
The amount of the last 2 years' budget allocated to each channel, divided by 2.</t>
        </r>
      </text>
    </comment>
    <comment ref="H6" authorId="0" shapeId="0" xr:uid="{71DDFD46-4175-4EB7-AA05-3957D9FB322C}">
      <text>
        <r>
          <rPr>
            <sz val="11"/>
            <color theme="1"/>
            <rFont val="Aptos Narrow"/>
            <family val="2"/>
            <scheme val="minor"/>
          </rPr>
          <t>Sameeck Bhatia:
The total amount recommended by the model to be allocated in next year's budget.</t>
        </r>
      </text>
    </comment>
    <comment ref="I6" authorId="0" shapeId="0" xr:uid="{024C011F-2BD1-4E03-98CF-7D09AE42D2DC}">
      <text>
        <r>
          <rPr>
            <sz val="11"/>
            <color theme="1"/>
            <rFont val="Aptos Narrow"/>
            <family val="2"/>
            <scheme val="minor"/>
          </rPr>
          <t>Sameeck Bhatia:
The weekly amount recommended by the model to be allocated in next year's budget.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Sameeck Bhatia</author>
  </authors>
  <commentList>
    <comment ref="D6" authorId="0" shapeId="0" xr:uid="{BE8A895B-764F-44D1-AE42-BECCB069E639}">
      <text>
        <r>
          <rPr>
            <sz val="11"/>
            <color theme="1"/>
            <rFont val="Aptos Narrow"/>
            <family val="2"/>
            <scheme val="minor"/>
          </rPr>
          <t>Sameeck Bhatia:
The percentage of attendance attributable to each channel when accounting for factors such as weather, holidays, baseline sales, etc.</t>
        </r>
      </text>
    </comment>
    <comment ref="E6" authorId="0" shapeId="0" xr:uid="{A7D237EE-2800-470C-9E45-C20932AABC3E}">
      <text>
        <r>
          <rPr>
            <sz val="11"/>
            <color theme="1"/>
            <rFont val="Aptos Narrow"/>
            <family val="2"/>
            <scheme val="minor"/>
          </rPr>
          <t>Sameeck Bhatia:
The percentage of attendance attributable to each channel when including only factors that Cineplex can control.</t>
        </r>
      </text>
    </comment>
    <comment ref="F6" authorId="0" shapeId="0" xr:uid="{90A8AE3F-D9B1-440B-A96D-4D580D65AFF5}">
      <text>
        <r>
          <rPr>
            <sz val="11"/>
            <color theme="1"/>
            <rFont val="Aptos Narrow"/>
            <family val="2"/>
            <scheme val="minor"/>
          </rPr>
          <t>Sameeck Bhatia:
The percentage of the last 2 years' budget allocated to each channel.</t>
        </r>
      </text>
    </comment>
    <comment ref="G6" authorId="0" shapeId="0" xr:uid="{76AB4405-5E1F-483F-AF99-E46A0C9C9EC8}">
      <text>
        <r>
          <rPr>
            <sz val="11"/>
            <color theme="1"/>
            <rFont val="Aptos Narrow"/>
            <family val="2"/>
            <scheme val="minor"/>
          </rPr>
          <t>Sameeck Bhatia:
The amount of the last 2 years' budget allocated to each channel, divided by 2.</t>
        </r>
      </text>
    </comment>
    <comment ref="H6" authorId="0" shapeId="0" xr:uid="{0AF65936-2C16-4A41-9802-0D310FDDDAA6}">
      <text>
        <r>
          <rPr>
            <sz val="11"/>
            <color theme="1"/>
            <rFont val="Aptos Narrow"/>
            <family val="2"/>
            <scheme val="minor"/>
          </rPr>
          <t>Sameeck Bhatia:
The total amount recommended by the model to be allocated in next year's budget.</t>
        </r>
      </text>
    </comment>
    <comment ref="I6" authorId="0" shapeId="0" xr:uid="{2F04A376-6D15-4F4D-8BDA-C87F16DB361B}">
      <text>
        <r>
          <rPr>
            <sz val="11"/>
            <color theme="1"/>
            <rFont val="Aptos Narrow"/>
            <family val="2"/>
            <scheme val="minor"/>
          </rPr>
          <t>Sameeck Bhatia:
The weekly amount recommended by the model to be allocated in next year's budget.</t>
        </r>
      </text>
    </comment>
  </commentList>
</comments>
</file>

<file path=xl/sharedStrings.xml><?xml version="1.0" encoding="utf-8"?>
<sst xmlns="http://schemas.openxmlformats.org/spreadsheetml/2006/main" count="27" uniqueCount="16">
  <si>
    <t>2026 LBE Budget Input</t>
  </si>
  <si>
    <t>2-Year Actual Past Budget</t>
  </si>
  <si>
    <t>Weeks</t>
  </si>
  <si>
    <t>Location Bucket</t>
  </si>
  <si>
    <t>Contribution to Transactions (all factors)</t>
  </si>
  <si>
    <t>Contribution to Transactions (internal factors only)</t>
  </si>
  <si>
    <t>Spend Proportion (trailing 2 years)</t>
  </si>
  <si>
    <t>Actual Yearly Spend (trailing 2-year avg.)</t>
  </si>
  <si>
    <t>Model-based 2026 Allocation</t>
  </si>
  <si>
    <t>Model-based 2026 Allocation / week</t>
  </si>
  <si>
    <t>HPL</t>
  </si>
  <si>
    <t>LPL</t>
  </si>
  <si>
    <t>NL - TRR</t>
  </si>
  <si>
    <t>Total</t>
  </si>
  <si>
    <t>NL - PDM</t>
  </si>
  <si>
    <t>PDM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</si>
</sst>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_(&quot;$&quot;* #,##0_);_(&quot;$&quot;* \(#,##0\);_(&quot;$&quot;* &quot;-&quot;??_);_(@_)"/>
    <numFmt numFmtId="167" formatCode="&quot;$&quot;#,##0.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7">
    <xf numFmtId="0" fontId="0" fillId="0" borderId="0" xfId="0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0" xfId="0" applyFill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2" borderId="1" xfId="0" applyFill="1" applyBorder="1" applyAlignment="1">
      <alignment horizontal="center" vertical="center" wrapText="1"/>
    </xf>
    <xf numFmtId="165" fontId="0" fillId="0" borderId="1" xfId="0" applyNumberFormat="1" applyBorder="1"/>
    <xf numFmtId="0" fontId="0" fillId="0" borderId="13" xfId="0" applyBorder="1"/>
    <xf numFmtId="0" fontId="0" fillId="2" borderId="16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165" fontId="0" fillId="3" borderId="8" xfId="0" applyNumberFormat="1" applyFill="1" applyBorder="1"/>
    <xf numFmtId="0" fontId="0" fillId="2" borderId="25" xfId="0" applyFill="1" applyBorder="1" applyAlignment="1">
      <alignment horizontal="center" vertical="center" wrapText="1"/>
    </xf>
    <xf numFmtId="165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0" fontId="0" fillId="0" borderId="1" xfId="0" applyBorder="1" applyAlignment="1">
      <alignment vertical="center"/>
    </xf>
    <xf numFmtId="164" fontId="0" fillId="0" borderId="25" xfId="0" applyNumberFormat="1" applyBorder="1" applyAlignment="1">
      <alignment vertical="center"/>
    </xf>
    <xf numFmtId="164" fontId="0" fillId="0" borderId="17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5" fontId="0" fillId="0" borderId="17" xfId="0" applyNumberFormat="1" applyBorder="1" applyAlignment="1">
      <alignment vertical="center"/>
    </xf>
    <xf numFmtId="165" fontId="0" fillId="0" borderId="18" xfId="0" applyNumberFormat="1" applyBorder="1" applyAlignment="1">
      <alignment vertical="center"/>
    </xf>
    <xf numFmtId="165" fontId="0" fillId="0" borderId="13" xfId="0" applyNumberFormat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164" fontId="0" fillId="4" borderId="27" xfId="0" applyNumberFormat="1" applyFill="1" applyBorder="1" applyAlignment="1">
      <alignment vertical="center"/>
    </xf>
    <xf numFmtId="164" fontId="0" fillId="4" borderId="19" xfId="0" applyNumberFormat="1" applyFill="1" applyBorder="1" applyAlignment="1">
      <alignment vertical="center"/>
    </xf>
    <xf numFmtId="164" fontId="0" fillId="4" borderId="23" xfId="0" applyNumberFormat="1" applyFill="1" applyBorder="1" applyAlignment="1">
      <alignment vertical="center"/>
    </xf>
    <xf numFmtId="165" fontId="0" fillId="4" borderId="19" xfId="0" applyNumberFormat="1" applyFill="1" applyBorder="1" applyAlignment="1">
      <alignment vertical="center"/>
    </xf>
    <xf numFmtId="165" fontId="0" fillId="4" borderId="20" xfId="0" applyNumberFormat="1" applyFill="1" applyBorder="1" applyAlignment="1">
      <alignment vertical="center"/>
    </xf>
    <xf numFmtId="165" fontId="0" fillId="4" borderId="15" xfId="0" applyNumberFormat="1" applyFill="1" applyBorder="1" applyAlignment="1">
      <alignment vertical="center"/>
    </xf>
    <xf numFmtId="0" fontId="0" fillId="4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1" fillId="4" borderId="12" xfId="0" applyFont="1" applyFill="1" applyBorder="1" applyAlignment="1">
      <alignment horizontal="left" vertical="center"/>
    </xf>
    <xf numFmtId="0" fontId="1" fillId="4" borderId="22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left" vertical="center"/>
    </xf>
    <xf numFmtId="165" fontId="0" fillId="0" borderId="3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2FDC-BDF3-4515-8112-F27AAF4EEB83}">
  <dimension ref="B2:U11"/>
  <sheetViews>
    <sheetView workbookViewId="0">
      <selection activeCell="H7" sqref="H7:H9"/>
    </sheetView>
  </sheetViews>
  <sheetFormatPr defaultRowHeight="14.45"/>
  <cols>
    <col min="3" max="3" width="14.7109375" customWidth="1"/>
    <col min="4" max="4" width="14.28515625" customWidth="1"/>
    <col min="5" max="5" width="19.28515625" customWidth="1"/>
    <col min="6" max="6" width="16.140625" customWidth="1"/>
    <col min="7" max="7" width="18.5703125" customWidth="1"/>
    <col min="8" max="8" width="15.28515625" customWidth="1"/>
    <col min="9" max="9" width="16.7109375" customWidth="1"/>
    <col min="12" max="12" width="13.85546875" bestFit="1" customWidth="1"/>
    <col min="14" max="14" width="12.140625" bestFit="1" customWidth="1"/>
    <col min="15" max="15" width="11.140625" bestFit="1" customWidth="1"/>
  </cols>
  <sheetData>
    <row r="2" spans="2:21">
      <c r="B2" s="1"/>
      <c r="C2" s="2"/>
      <c r="D2" s="2"/>
      <c r="E2" s="2"/>
      <c r="F2" s="2"/>
      <c r="G2" s="2"/>
      <c r="H2" s="2"/>
      <c r="I2" s="2"/>
      <c r="J2" s="3"/>
    </row>
    <row r="3" spans="2:21">
      <c r="B3" s="4"/>
      <c r="C3" s="41" t="s">
        <v>0</v>
      </c>
      <c r="D3" s="42"/>
      <c r="E3" s="45">
        <v>3743000</v>
      </c>
      <c r="F3" s="5"/>
      <c r="G3" s="38" t="s">
        <v>1</v>
      </c>
      <c r="H3" s="38"/>
      <c r="I3" s="11">
        <v>5600000</v>
      </c>
      <c r="J3" s="6"/>
    </row>
    <row r="4" spans="2:21">
      <c r="B4" s="4"/>
      <c r="C4" s="43"/>
      <c r="D4" s="44"/>
      <c r="E4" s="46"/>
      <c r="F4" s="5"/>
      <c r="G4" s="39" t="s">
        <v>2</v>
      </c>
      <c r="H4" s="40"/>
      <c r="I4" s="12">
        <v>52</v>
      </c>
      <c r="J4" s="6"/>
    </row>
    <row r="5" spans="2:21">
      <c r="B5" s="4"/>
      <c r="C5" s="5"/>
      <c r="D5" s="5"/>
      <c r="E5" s="5"/>
      <c r="F5" s="5"/>
      <c r="G5" s="5"/>
      <c r="H5" s="5"/>
      <c r="I5" s="5"/>
      <c r="J5" s="6"/>
    </row>
    <row r="6" spans="2:21" ht="43.5">
      <c r="B6" s="4"/>
      <c r="C6" s="10" t="s">
        <v>3</v>
      </c>
      <c r="D6" s="18" t="s">
        <v>4</v>
      </c>
      <c r="E6" s="14" t="s">
        <v>5</v>
      </c>
      <c r="F6" s="16" t="s">
        <v>6</v>
      </c>
      <c r="G6" s="14" t="s">
        <v>7</v>
      </c>
      <c r="H6" s="13" t="s">
        <v>8</v>
      </c>
      <c r="I6" s="15" t="s">
        <v>9</v>
      </c>
      <c r="J6" s="6"/>
    </row>
    <row r="7" spans="2:21" ht="24.95" customHeight="1">
      <c r="B7" s="4"/>
      <c r="C7" s="24" t="s">
        <v>10</v>
      </c>
      <c r="D7" s="25">
        <v>3.4000000000000002E-2</v>
      </c>
      <c r="E7" s="26">
        <f>D7/$D$10</f>
        <v>0.68</v>
      </c>
      <c r="F7" s="27">
        <f>G7/$G$10</f>
        <v>0.26640274292177724</v>
      </c>
      <c r="G7" s="28">
        <v>753680</v>
      </c>
      <c r="H7" s="29">
        <f>$E$3*E7</f>
        <v>2545240</v>
      </c>
      <c r="I7" s="30">
        <f t="shared" ref="I7:I9" si="0">H7/$I$4</f>
        <v>48946.923076923078</v>
      </c>
      <c r="J7" s="17"/>
      <c r="L7" s="20"/>
      <c r="N7" s="20"/>
      <c r="O7" s="21"/>
      <c r="U7" s="19"/>
    </row>
    <row r="8" spans="2:21" ht="24.95" customHeight="1">
      <c r="B8" s="4"/>
      <c r="C8" s="24" t="s">
        <v>11</v>
      </c>
      <c r="D8" s="25">
        <v>0.01</v>
      </c>
      <c r="E8" s="26">
        <f>D8/$D$10</f>
        <v>0.19999999999999998</v>
      </c>
      <c r="F8" s="27">
        <f>G8/$G$10</f>
        <v>0.41788201194726238</v>
      </c>
      <c r="G8" s="28">
        <v>1182230</v>
      </c>
      <c r="H8" s="29">
        <f>$E$3*E8</f>
        <v>748599.99999999988</v>
      </c>
      <c r="I8" s="30">
        <f t="shared" si="0"/>
        <v>14396.153846153844</v>
      </c>
      <c r="J8" s="17"/>
      <c r="L8" s="20"/>
      <c r="N8" s="20"/>
      <c r="O8" s="21"/>
      <c r="U8" s="19"/>
    </row>
    <row r="9" spans="2:21" ht="24.95" customHeight="1">
      <c r="B9" s="4"/>
      <c r="C9" s="24" t="s">
        <v>12</v>
      </c>
      <c r="D9" s="25">
        <v>6.0000000000000001E-3</v>
      </c>
      <c r="E9" s="26">
        <f>D9/$D$10</f>
        <v>0.12</v>
      </c>
      <c r="F9" s="27">
        <f>G9/$G$10</f>
        <v>0.31571524513096039</v>
      </c>
      <c r="G9" s="28">
        <v>893190</v>
      </c>
      <c r="H9" s="29">
        <f>$E$3*E9</f>
        <v>449160</v>
      </c>
      <c r="I9" s="30">
        <f t="shared" si="0"/>
        <v>8637.6923076923085</v>
      </c>
      <c r="J9" s="17"/>
      <c r="L9" s="20"/>
      <c r="N9" s="20"/>
      <c r="O9" s="21"/>
    </row>
    <row r="10" spans="2:21" ht="24.95" customHeight="1" thickBot="1">
      <c r="B10" s="4"/>
      <c r="C10" s="31" t="s">
        <v>13</v>
      </c>
      <c r="D10" s="32">
        <f>SUM(D7:D9)</f>
        <v>0.05</v>
      </c>
      <c r="E10" s="33">
        <f>SUM(E7:E9)</f>
        <v>1</v>
      </c>
      <c r="F10" s="34">
        <f>SUM(F7:F9)</f>
        <v>1</v>
      </c>
      <c r="G10" s="35">
        <f>SUM(G7:G9)</f>
        <v>2829100</v>
      </c>
      <c r="H10" s="36">
        <f>SUM(H7:H9)</f>
        <v>3743000</v>
      </c>
      <c r="I10" s="37">
        <f>SUM(I7:I9)</f>
        <v>71980.769230769234</v>
      </c>
      <c r="J10" s="6"/>
      <c r="T10" s="19"/>
      <c r="U10" s="19"/>
    </row>
    <row r="11" spans="2:21" ht="15" thickBot="1">
      <c r="B11" s="7"/>
      <c r="C11" s="8"/>
      <c r="D11" s="8"/>
      <c r="E11" s="8"/>
      <c r="F11" s="8"/>
      <c r="G11" s="8"/>
      <c r="H11" s="8"/>
      <c r="I11" s="8"/>
      <c r="J11" s="9"/>
      <c r="U11" s="19"/>
    </row>
  </sheetData>
  <sortState xmlns:xlrd2="http://schemas.microsoft.com/office/spreadsheetml/2017/richdata2" ref="C7:I9">
    <sortCondition ref="C7:C9"/>
  </sortState>
  <mergeCells count="4">
    <mergeCell ref="G3:H3"/>
    <mergeCell ref="G4:H4"/>
    <mergeCell ref="C3:D4"/>
    <mergeCell ref="E3:E4"/>
  </mergeCells>
  <conditionalFormatting sqref="E7:E9">
    <cfRule type="colorScale" priority="28">
      <colorScale>
        <cfvo type="min"/>
        <cfvo type="max"/>
        <color rgb="FFFCFCFF"/>
        <color rgb="FF63BE7B"/>
      </colorScale>
    </cfRule>
  </conditionalFormatting>
  <conditionalFormatting sqref="F7:F9">
    <cfRule type="colorScale" priority="2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1395-3542-47D9-B80D-D102F8C5840B}">
  <dimension ref="B1:U10"/>
  <sheetViews>
    <sheetView tabSelected="1" workbookViewId="0">
      <selection activeCell="D7" sqref="D7"/>
    </sheetView>
  </sheetViews>
  <sheetFormatPr defaultRowHeight="14.45"/>
  <cols>
    <col min="3" max="3" width="14.7109375" customWidth="1"/>
    <col min="4" max="4" width="14.28515625" customWidth="1"/>
    <col min="5" max="5" width="19.28515625" customWidth="1"/>
    <col min="6" max="6" width="16.140625" customWidth="1"/>
    <col min="7" max="7" width="18.5703125" customWidth="1"/>
    <col min="8" max="8" width="15.28515625" customWidth="1"/>
    <col min="9" max="9" width="16.7109375" customWidth="1"/>
    <col min="12" max="12" width="9.28515625" customWidth="1"/>
    <col min="13" max="14" width="10.85546875" bestFit="1" customWidth="1"/>
  </cols>
  <sheetData>
    <row r="1" spans="2:21" ht="15" thickBot="1"/>
    <row r="2" spans="2:21">
      <c r="B2" s="1"/>
      <c r="C2" s="2"/>
      <c r="D2" s="2"/>
      <c r="E2" s="2"/>
      <c r="F2" s="2"/>
      <c r="G2" s="2"/>
      <c r="H2" s="2"/>
      <c r="I2" s="2"/>
      <c r="J2" s="3"/>
    </row>
    <row r="3" spans="2:21">
      <c r="B3" s="4"/>
      <c r="C3" s="41" t="s">
        <v>0</v>
      </c>
      <c r="D3" s="42"/>
      <c r="E3" s="45">
        <v>636000</v>
      </c>
      <c r="F3" s="5"/>
      <c r="G3" s="38" t="s">
        <v>1</v>
      </c>
      <c r="H3" s="38"/>
      <c r="I3" s="11">
        <v>900000</v>
      </c>
      <c r="J3" s="6"/>
    </row>
    <row r="4" spans="2:21">
      <c r="B4" s="4"/>
      <c r="C4" s="43"/>
      <c r="D4" s="44"/>
      <c r="E4" s="46"/>
      <c r="F4" s="5"/>
      <c r="G4" s="39" t="s">
        <v>2</v>
      </c>
      <c r="H4" s="40"/>
      <c r="I4" s="12">
        <v>52</v>
      </c>
      <c r="J4" s="6"/>
    </row>
    <row r="5" spans="2:21" ht="15" thickBot="1">
      <c r="B5" s="4"/>
      <c r="C5" s="5"/>
      <c r="D5" s="5"/>
      <c r="E5" s="5"/>
      <c r="F5" s="5"/>
      <c r="G5" s="5"/>
      <c r="H5" s="5"/>
      <c r="I5" s="5"/>
      <c r="J5" s="6"/>
    </row>
    <row r="6" spans="2:21" ht="43.5">
      <c r="B6" s="4"/>
      <c r="C6" s="10" t="s">
        <v>3</v>
      </c>
      <c r="D6" s="18" t="s">
        <v>4</v>
      </c>
      <c r="E6" s="14" t="s">
        <v>5</v>
      </c>
      <c r="F6" s="16" t="s">
        <v>6</v>
      </c>
      <c r="G6" s="14" t="s">
        <v>7</v>
      </c>
      <c r="H6" s="13" t="s">
        <v>8</v>
      </c>
      <c r="I6" s="15" t="s">
        <v>9</v>
      </c>
      <c r="J6" s="6"/>
    </row>
    <row r="7" spans="2:21" ht="24.95" customHeight="1">
      <c r="B7" s="4"/>
      <c r="C7" s="24" t="s">
        <v>14</v>
      </c>
      <c r="D7" s="25">
        <v>5.0000000000000001E-3</v>
      </c>
      <c r="E7" s="26">
        <f>D7/$D$9</f>
        <v>0.19230769230769229</v>
      </c>
      <c r="F7" s="27">
        <f>G7/$G$9</f>
        <v>0.43889450982480427</v>
      </c>
      <c r="G7" s="28">
        <v>192878.77576015762</v>
      </c>
      <c r="H7" s="29">
        <f>$E$3*E7</f>
        <v>122307.6923076923</v>
      </c>
      <c r="I7" s="30">
        <f t="shared" ref="I7:I8" si="0">H7/$I$4</f>
        <v>2352.0710059171597</v>
      </c>
      <c r="J7" s="17"/>
      <c r="L7" s="22"/>
      <c r="M7" s="23"/>
      <c r="N7" s="23"/>
    </row>
    <row r="8" spans="2:21" ht="24.95" customHeight="1">
      <c r="B8" s="4"/>
      <c r="C8" s="24" t="s">
        <v>15</v>
      </c>
      <c r="D8" s="25">
        <v>2.1000000000000001E-2</v>
      </c>
      <c r="E8" s="26">
        <f>D8/$D$9</f>
        <v>0.80769230769230771</v>
      </c>
      <c r="F8" s="27">
        <f>G8/$G$9</f>
        <v>0.56110549017519573</v>
      </c>
      <c r="G8" s="28">
        <v>246586.22423984238</v>
      </c>
      <c r="H8" s="29">
        <f>$E$3*E8</f>
        <v>513692.30769230769</v>
      </c>
      <c r="I8" s="30">
        <f t="shared" si="0"/>
        <v>9878.6982248520708</v>
      </c>
      <c r="J8" s="17"/>
      <c r="L8" s="22"/>
      <c r="N8" s="23"/>
    </row>
    <row r="9" spans="2:21" ht="24.95" customHeight="1" thickBot="1">
      <c r="B9" s="4"/>
      <c r="C9" s="31" t="s">
        <v>13</v>
      </c>
      <c r="D9" s="32">
        <f>SUM(D7:D8)</f>
        <v>2.6000000000000002E-2</v>
      </c>
      <c r="E9" s="33">
        <f>SUM(E7:E8)</f>
        <v>1</v>
      </c>
      <c r="F9" s="34">
        <f>SUM(F7:F8)</f>
        <v>1</v>
      </c>
      <c r="G9" s="35">
        <f>SUM(G7:G8)</f>
        <v>439465</v>
      </c>
      <c r="H9" s="36">
        <f>SUM(H7:H8)</f>
        <v>636000</v>
      </c>
      <c r="I9" s="37">
        <f>SUM(I7:I8)</f>
        <v>12230.76923076923</v>
      </c>
      <c r="J9" s="6"/>
      <c r="T9" s="19"/>
      <c r="U9" s="19"/>
    </row>
    <row r="10" spans="2:21" ht="15" thickBot="1">
      <c r="B10" s="7"/>
      <c r="C10" s="8"/>
      <c r="D10" s="8"/>
      <c r="E10" s="8"/>
      <c r="F10" s="8"/>
      <c r="G10" s="8"/>
      <c r="H10" s="8"/>
      <c r="I10" s="8"/>
      <c r="J10" s="9"/>
      <c r="U10" s="19"/>
    </row>
  </sheetData>
  <mergeCells count="4">
    <mergeCell ref="C3:D4"/>
    <mergeCell ref="E3:E4"/>
    <mergeCell ref="G3:H3"/>
    <mergeCell ref="G4:H4"/>
  </mergeCells>
  <conditionalFormatting sqref="E7:E8">
    <cfRule type="colorScale" priority="30">
      <colorScale>
        <cfvo type="min"/>
        <cfvo type="max"/>
        <color rgb="FFFCFCFF"/>
        <color rgb="FF63BE7B"/>
      </colorScale>
    </cfRule>
  </conditionalFormatting>
  <conditionalFormatting sqref="F7:F8">
    <cfRule type="colorScale" priority="3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693E89D5881D448099A1C25A60F885" ma:contentTypeVersion="19" ma:contentTypeDescription="Create a new document." ma:contentTypeScope="" ma:versionID="05f9ab1cd396484fdc3c50caed31a1dd">
  <xsd:schema xmlns:xsd="http://www.w3.org/2001/XMLSchema" xmlns:xs="http://www.w3.org/2001/XMLSchema" xmlns:p="http://schemas.microsoft.com/office/2006/metadata/properties" xmlns:ns2="6aa31b7e-7481-49ec-8bb1-408cc1f2dd86" xmlns:ns3="460d1c98-09f0-4d10-953e-dd5e4d478daa" targetNamespace="http://schemas.microsoft.com/office/2006/metadata/properties" ma:root="true" ma:fieldsID="7d64b81c6b198d54d61d58975c71448e" ns2:_="" ns3:_="">
    <xsd:import namespace="6aa31b7e-7481-49ec-8bb1-408cc1f2dd86"/>
    <xsd:import namespace="460d1c98-09f0-4d10-953e-dd5e4d478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31b7e-7481-49ec-8bb1-408cc1f2dd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2bf20f3-1dad-4cf2-8a60-565a4b6c0a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d1c98-09f0-4d10-953e-dd5e4d478da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8242431-b9eb-46b4-8cbc-5028fbca96aa}" ma:internalName="TaxCatchAll" ma:showField="CatchAllData" ma:web="460d1c98-09f0-4d10-953e-dd5e4d478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0d1c98-09f0-4d10-953e-dd5e4d478daa" xsi:nil="true"/>
    <lcf76f155ced4ddcb4097134ff3c332f xmlns="6aa31b7e-7481-49ec-8bb1-408cc1f2dd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C28675-3FDC-4028-A34C-943C1C24D7A3}"/>
</file>

<file path=customXml/itemProps2.xml><?xml version="1.0" encoding="utf-8"?>
<ds:datastoreItem xmlns:ds="http://schemas.openxmlformats.org/officeDocument/2006/customXml" ds:itemID="{827E0EE1-6485-4F4D-806F-3B36F1976243}"/>
</file>

<file path=customXml/itemProps3.xml><?xml version="1.0" encoding="utf-8"?>
<ds:datastoreItem xmlns:ds="http://schemas.openxmlformats.org/officeDocument/2006/customXml" ds:itemID="{8D073B8F-B9FF-4212-8C38-0FBD2D4F7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Sameeck Bhatia</cp:lastModifiedBy>
  <cp:revision/>
  <dcterms:created xsi:type="dcterms:W3CDTF">2025-06-19T13:14:18Z</dcterms:created>
  <dcterms:modified xsi:type="dcterms:W3CDTF">2025-09-25T14:12:33Z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0x010100B2693E89D5881D448099A1C25A60F885</vt:lpwstr>
  </property>
  <property fmtid="{D5CDD505-2E9C-101B-9397-08002B2CF9AE}" pid="3" name="MediaServiceImageTags">
    <vt:lpwstr/>
  </property>
</Properties>
</file>