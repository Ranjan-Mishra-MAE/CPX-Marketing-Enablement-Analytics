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mc:AlternateContent xmlns:mc="http://schemas.openxmlformats.org/markup-compatibility/2006">
    <mc:Choice Requires="x15">
      <x15ac:absPath xmlns:x15ac="http://schemas.microsoft.com/office/spreadsheetml/2010/11/ac" url="https://cineplex.sharepoint.com/sites/AnalyticsDataScience/Shared Documents/Data Science &amp; Insights/Project Planning/Marketing Mix Modelling/LBE/"/>
    </mc:Choice>
  </mc:AlternateContent>
  <xr:revisionPtr revIDLastSave="1073" documentId="11_F80978DED3853AF07890FD736A6FDB59229FE74F" xr6:coauthVersionLast="47" xr6:coauthVersionMax="47" xr10:uidLastSave="{553A28D9-B9EA-4E22-9C8A-0DAEE1C06CCF}"/>
  <bookViews>
    <workbookView xWindow="-110" yWindow="-110" windowWidth="19420" windowHeight="10300" xr2:uid="{00000000-000D-0000-FFFF-FFFF00000000}"/>
  </bookViews>
  <sheets>
    <sheet name="Budget Scenarios" sheetId="1" r:id="rId1"/>
    <sheet name="Budget Cur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E12" i="1"/>
  <c r="E11" i="1"/>
  <c r="E10" i="1"/>
  <c r="E9" i="1"/>
  <c r="E8" i="1"/>
  <c r="E7" i="1"/>
  <c r="E5" i="1"/>
  <c r="F5" i="1" s="1"/>
  <c r="C3" i="1"/>
  <c r="D3" i="1"/>
  <c r="E3" i="1"/>
  <c r="D6" i="1"/>
  <c r="C6" i="1"/>
  <c r="E6" i="1" l="1"/>
  <c r="F6" i="1"/>
  <c r="F3" i="1"/>
</calcChain>
</file>

<file path=xl/sharedStrings.xml><?xml version="1.0" encoding="utf-8"?>
<sst xmlns="http://schemas.openxmlformats.org/spreadsheetml/2006/main" count="20" uniqueCount="20">
  <si>
    <t>Business As Usual (Last 12 months)</t>
  </si>
  <si>
    <t>$136M Revenue (BAU)</t>
  </si>
  <si>
    <t>$140M Revenue (3% higher)</t>
  </si>
  <si>
    <t>$145M Revenue (7% higher)</t>
  </si>
  <si>
    <t>Budget (ex-PR)</t>
  </si>
  <si>
    <t>Budget</t>
  </si>
  <si>
    <t>LBE Revenue Contribution</t>
  </si>
  <si>
    <t>LBE Profit Contribution</t>
  </si>
  <si>
    <t>Marginal Revenue ROI</t>
  </si>
  <si>
    <t>HPL</t>
  </si>
  <si>
    <t>LPL</t>
  </si>
  <si>
    <t>NL - TRR</t>
  </si>
  <si>
    <t>NL - PDM</t>
  </si>
  <si>
    <t>PDM</t>
  </si>
  <si>
    <t>PR</t>
  </si>
  <si>
    <t>Note:</t>
  </si>
  <si>
    <t>Refer to 'Budget Curve' for more details</t>
  </si>
  <si>
    <t>Notes:</t>
  </si>
  <si>
    <t>Each point represents a $500K change in budget.</t>
  </si>
  <si>
    <t>Marginal attendance contribution is the number of additional attendance brought in with every extra dollar spent.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</si>
</sst>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$&quot;#,##0,\K"/>
    <numFmt numFmtId="166" formatCode="&quot;$&quot;#,##0"/>
    <numFmt numFmtId="167" formatCode="&quot;$&quot;#0.0,,\M"/>
    <numFmt numFmtId="168" formatCode="&quot;$&quot;#.0,,\M"/>
  </numFmts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3" xfId="0" applyFill="1" applyBorder="1"/>
    <xf numFmtId="0" fontId="0" fillId="0" borderId="5" xfId="0" applyBorder="1"/>
    <xf numFmtId="0" fontId="0" fillId="0" borderId="4" xfId="0" applyBorder="1"/>
    <xf numFmtId="165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9" xfId="0" applyFill="1" applyBorder="1"/>
    <xf numFmtId="0" fontId="0" fillId="3" borderId="0" xfId="0" applyFill="1"/>
    <xf numFmtId="167" fontId="0" fillId="0" borderId="6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168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74630</xdr:colOff>
      <xdr:row>1</xdr:row>
      <xdr:rowOff>76200</xdr:rowOff>
    </xdr:from>
    <xdr:to>
      <xdr:col>9</xdr:col>
      <xdr:colOff>526079</xdr:colOff>
      <xdr:row>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FE8A4-F512-7BE9-639C-469FC64B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30" y="260350"/>
          <a:ext cx="5328249" cy="354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tabSelected="1" workbookViewId="0">
      <selection activeCell="F6" sqref="F6"/>
    </sheetView>
  </sheetViews>
  <sheetFormatPr defaultRowHeight="14.45"/>
  <cols>
    <col min="2" max="2" width="28.5703125" bestFit="1" customWidth="1"/>
    <col min="3" max="3" width="17.140625" customWidth="1"/>
    <col min="4" max="6" width="16.140625" customWidth="1"/>
    <col min="8" max="8" width="11.7109375" bestFit="1" customWidth="1"/>
    <col min="9" max="9" width="13.42578125" bestFit="1" customWidth="1"/>
  </cols>
  <sheetData>
    <row r="2" spans="2:9" ht="33" customHeight="1">
      <c r="C2" s="10" t="s">
        <v>0</v>
      </c>
      <c r="D2" s="10" t="s">
        <v>1</v>
      </c>
      <c r="E2" s="10" t="s">
        <v>2</v>
      </c>
      <c r="F2" s="10" t="s">
        <v>3</v>
      </c>
    </row>
    <row r="3" spans="2:9" ht="17.25" customHeight="1">
      <c r="B3" s="11" t="s">
        <v>4</v>
      </c>
      <c r="C3" s="17">
        <f>C4-C13</f>
        <v>3600000</v>
      </c>
      <c r="D3" s="17">
        <f>D4-D13</f>
        <v>3600000</v>
      </c>
      <c r="E3" s="17">
        <f>E4-E13</f>
        <v>6800000</v>
      </c>
      <c r="F3" s="17">
        <f>F4-F13</f>
        <v>16800000</v>
      </c>
    </row>
    <row r="4" spans="2:9" ht="17.25" customHeight="1">
      <c r="B4" s="11" t="s">
        <v>5</v>
      </c>
      <c r="C4" s="17">
        <v>3800000</v>
      </c>
      <c r="D4" s="17">
        <v>3800000</v>
      </c>
      <c r="E4" s="17">
        <v>7000000</v>
      </c>
      <c r="F4" s="17">
        <v>17000000</v>
      </c>
    </row>
    <row r="5" spans="2:9" ht="17.25" customHeight="1">
      <c r="B5" s="11" t="s">
        <v>6</v>
      </c>
      <c r="C5" s="17">
        <v>14000000</v>
      </c>
      <c r="D5" s="17">
        <v>14000000</v>
      </c>
      <c r="E5" s="17">
        <f>D5+4000000</f>
        <v>18000000</v>
      </c>
      <c r="F5" s="17">
        <f>E5+4000000</f>
        <v>22000000</v>
      </c>
    </row>
    <row r="6" spans="2:9" ht="17.25" customHeight="1">
      <c r="B6" s="11" t="s">
        <v>7</v>
      </c>
      <c r="C6" s="17">
        <f>C5*0.65</f>
        <v>9100000</v>
      </c>
      <c r="D6" s="17">
        <f>D5*0.65</f>
        <v>9100000</v>
      </c>
      <c r="E6" s="17">
        <f>E5*0.65</f>
        <v>11700000</v>
      </c>
      <c r="F6" s="17">
        <f>F5*0.65</f>
        <v>14300000</v>
      </c>
      <c r="H6" s="5"/>
    </row>
    <row r="7" spans="2:9" ht="17.25" customHeight="1" thickBot="1">
      <c r="B7" s="2" t="s">
        <v>8</v>
      </c>
      <c r="C7" s="18">
        <v>2</v>
      </c>
      <c r="D7" s="18">
        <v>2</v>
      </c>
      <c r="E7" s="19">
        <f>2/2.5</f>
        <v>0.8</v>
      </c>
      <c r="F7" s="19">
        <v>0.3</v>
      </c>
    </row>
    <row r="8" spans="2:9" ht="17.25" customHeight="1">
      <c r="B8" s="3" t="s">
        <v>9</v>
      </c>
      <c r="C8" s="13">
        <v>822196.36363636376</v>
      </c>
      <c r="D8" s="13">
        <v>2077090.9090909094</v>
      </c>
      <c r="E8" s="13">
        <f>E$3/D$3*D8</f>
        <v>3923393.9393939399</v>
      </c>
      <c r="F8" s="13">
        <f>F$3/E$3*E8</f>
        <v>9693090.9090909101</v>
      </c>
      <c r="G8" s="5"/>
      <c r="H8" s="6"/>
      <c r="I8" s="6"/>
    </row>
    <row r="9" spans="2:9" ht="17.25" customHeight="1">
      <c r="B9" s="1" t="s">
        <v>10</v>
      </c>
      <c r="C9" s="14">
        <v>1289705.4545454548</v>
      </c>
      <c r="D9" s="14">
        <v>610909.09090909094</v>
      </c>
      <c r="E9" s="13">
        <f>E$3/D$3*D9</f>
        <v>1153939.393939394</v>
      </c>
      <c r="F9" s="13">
        <f>F$3/E$3*E9</f>
        <v>2850909.0909090913</v>
      </c>
      <c r="G9" s="5"/>
      <c r="H9" s="6"/>
      <c r="I9" s="6"/>
    </row>
    <row r="10" spans="2:9" ht="17.25" customHeight="1">
      <c r="B10" s="1" t="s">
        <v>11</v>
      </c>
      <c r="C10" s="14">
        <v>974389.09090909106</v>
      </c>
      <c r="D10" s="14">
        <v>366545.45454545459</v>
      </c>
      <c r="E10" s="13">
        <f>E$3/D$3*D10</f>
        <v>692363.63636363647</v>
      </c>
      <c r="F10" s="13">
        <f>F$3/E$3*E10</f>
        <v>1710545.4545454548</v>
      </c>
      <c r="G10" s="5"/>
      <c r="H10" s="6"/>
      <c r="I10" s="6"/>
    </row>
    <row r="11" spans="2:9" ht="17.25" customHeight="1">
      <c r="B11" s="1" t="s">
        <v>12</v>
      </c>
      <c r="C11" s="14">
        <v>210413.45454545456</v>
      </c>
      <c r="D11" s="14">
        <v>94405.090909090926</v>
      </c>
      <c r="E11" s="13">
        <f>E$3/D$3*D11</f>
        <v>178320.72727272729</v>
      </c>
      <c r="F11" s="13">
        <f>F$3/E$3*E11</f>
        <v>440557.090909091</v>
      </c>
      <c r="G11" s="5"/>
      <c r="H11" s="6"/>
      <c r="I11" s="6"/>
    </row>
    <row r="12" spans="2:9" ht="17.25" customHeight="1">
      <c r="B12" s="4" t="s">
        <v>13</v>
      </c>
      <c r="C12" s="15">
        <v>269002.90909090912</v>
      </c>
      <c r="D12" s="15">
        <v>396504.00000000006</v>
      </c>
      <c r="E12" s="13">
        <f>E$3/D$3*D12</f>
        <v>748952.00000000012</v>
      </c>
      <c r="F12" s="13">
        <f>F$3/E$3*E12</f>
        <v>1850352.0000000005</v>
      </c>
      <c r="G12" s="5"/>
      <c r="H12" s="6"/>
      <c r="I12" s="6"/>
    </row>
    <row r="13" spans="2:9" ht="17.25" customHeight="1">
      <c r="B13" s="1" t="s">
        <v>14</v>
      </c>
      <c r="C13" s="14">
        <v>200000</v>
      </c>
      <c r="D13" s="14">
        <v>200000</v>
      </c>
      <c r="E13" s="14">
        <v>200000</v>
      </c>
      <c r="F13" s="14">
        <v>200000</v>
      </c>
      <c r="G13" s="5"/>
      <c r="H13" s="6"/>
      <c r="I13" s="6"/>
    </row>
    <row r="14" spans="2:9">
      <c r="H14" s="6"/>
    </row>
    <row r="15" spans="2:9">
      <c r="D15" s="21" t="s">
        <v>15</v>
      </c>
      <c r="E15" s="20" t="s">
        <v>16</v>
      </c>
      <c r="F15" s="20"/>
    </row>
    <row r="16" spans="2:9">
      <c r="D16" s="21"/>
      <c r="E16" s="20"/>
      <c r="F16" s="20"/>
    </row>
  </sheetData>
  <sortState xmlns:xlrd2="http://schemas.microsoft.com/office/spreadsheetml/2017/richdata2" ref="B8:C12">
    <sortCondition descending="1" ref="C8:C12"/>
  </sortState>
  <mergeCells count="2">
    <mergeCell ref="E15:F16"/>
    <mergeCell ref="D15:D16"/>
  </mergeCells>
  <conditionalFormatting sqref="C8:C13">
    <cfRule type="colorScale" priority="4">
      <colorScale>
        <cfvo type="num" val="0"/>
        <cfvo type="max"/>
        <color rgb="FFFCFCFF"/>
        <color rgb="FF63BE7B"/>
      </colorScale>
    </cfRule>
  </conditionalFormatting>
  <conditionalFormatting sqref="D8:D13">
    <cfRule type="colorScale" priority="3">
      <colorScale>
        <cfvo type="num" val="0"/>
        <cfvo type="max"/>
        <color rgb="FFFCFCFF"/>
        <color rgb="FF63BE7B"/>
      </colorScale>
    </cfRule>
  </conditionalFormatting>
  <conditionalFormatting sqref="E8:E13">
    <cfRule type="colorScale" priority="2">
      <colorScale>
        <cfvo type="num" val="0"/>
        <cfvo type="max"/>
        <color rgb="FFFCFCFF"/>
        <color rgb="FF63BE7B"/>
      </colorScale>
    </cfRule>
  </conditionalFormatting>
  <conditionalFormatting sqref="F8:F13">
    <cfRule type="colorScale" priority="1">
      <colorScale>
        <cfvo type="num" val="0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854-6ACC-4B38-8323-E08CD4778FCC}">
  <dimension ref="B2:L19"/>
  <sheetViews>
    <sheetView workbookViewId="0">
      <selection activeCell="L7" sqref="L7"/>
    </sheetView>
  </sheetViews>
  <sheetFormatPr defaultRowHeight="14.45"/>
  <cols>
    <col min="12" max="12" width="41.85546875" customWidth="1"/>
    <col min="13" max="13" width="9.140625" bestFit="1" customWidth="1"/>
  </cols>
  <sheetData>
    <row r="2" spans="2:12">
      <c r="B2" s="22"/>
      <c r="C2" s="22"/>
      <c r="D2" s="22"/>
      <c r="E2" s="22"/>
      <c r="F2" s="22"/>
      <c r="G2" s="22"/>
      <c r="H2" s="22"/>
      <c r="I2" s="22"/>
      <c r="J2" s="22"/>
      <c r="L2" s="8" t="s">
        <v>17</v>
      </c>
    </row>
    <row r="3" spans="2:12" s="16" customFormat="1">
      <c r="B3" s="22"/>
      <c r="C3" s="22"/>
      <c r="D3" s="22"/>
      <c r="E3" s="22"/>
      <c r="F3" s="22"/>
      <c r="G3" s="22"/>
      <c r="H3" s="22"/>
      <c r="I3" s="22"/>
      <c r="J3" s="22"/>
      <c r="L3" s="23" t="s">
        <v>18</v>
      </c>
    </row>
    <row r="4" spans="2:12" s="16" customFormat="1">
      <c r="B4" s="22"/>
      <c r="C4" s="22"/>
      <c r="D4" s="22"/>
      <c r="E4" s="22"/>
      <c r="F4" s="22"/>
      <c r="G4" s="22"/>
      <c r="H4" s="22"/>
      <c r="I4" s="22"/>
      <c r="J4" s="22"/>
      <c r="L4" s="23"/>
    </row>
    <row r="5" spans="2:12" s="16" customFormat="1" ht="43.5">
      <c r="B5" s="22"/>
      <c r="C5" s="22"/>
      <c r="D5" s="22"/>
      <c r="E5" s="22"/>
      <c r="F5" s="22"/>
      <c r="G5" s="22"/>
      <c r="H5" s="22"/>
      <c r="I5" s="22"/>
      <c r="J5" s="22"/>
      <c r="L5" s="7" t="s">
        <v>19</v>
      </c>
    </row>
    <row r="6" spans="2:12">
      <c r="B6" s="22"/>
      <c r="C6" s="22"/>
      <c r="D6" s="22"/>
      <c r="E6" s="22"/>
      <c r="F6" s="22"/>
      <c r="G6" s="22"/>
      <c r="H6" s="22"/>
      <c r="I6" s="22"/>
      <c r="J6" s="22"/>
      <c r="L6" s="9"/>
    </row>
    <row r="7" spans="2:12" ht="15" customHeight="1">
      <c r="B7" s="22"/>
      <c r="C7" s="22"/>
      <c r="D7" s="22"/>
      <c r="E7" s="22"/>
      <c r="F7" s="22"/>
      <c r="G7" s="22"/>
      <c r="H7" s="22"/>
      <c r="I7" s="22"/>
      <c r="J7" s="22"/>
      <c r="L7" s="9"/>
    </row>
    <row r="8" spans="2:12">
      <c r="B8" s="22"/>
      <c r="C8" s="22"/>
      <c r="D8" s="22"/>
      <c r="E8" s="22"/>
      <c r="F8" s="22"/>
      <c r="G8" s="22"/>
      <c r="H8" s="22"/>
      <c r="I8" s="22"/>
      <c r="J8" s="22"/>
    </row>
    <row r="9" spans="2:12" ht="15" customHeight="1">
      <c r="B9" s="22"/>
      <c r="C9" s="22"/>
      <c r="D9" s="22"/>
      <c r="E9" s="22"/>
      <c r="F9" s="22"/>
      <c r="G9" s="22"/>
      <c r="H9" s="22"/>
      <c r="I9" s="22"/>
      <c r="J9" s="22"/>
    </row>
    <row r="10" spans="2:12">
      <c r="B10" s="22"/>
      <c r="C10" s="22"/>
      <c r="D10" s="22"/>
      <c r="E10" s="22"/>
      <c r="F10" s="22"/>
      <c r="G10" s="22"/>
      <c r="H10" s="22"/>
      <c r="I10" s="22"/>
      <c r="J10" s="22"/>
    </row>
    <row r="11" spans="2:12">
      <c r="B11" s="22"/>
      <c r="C11" s="22"/>
      <c r="D11" s="22"/>
      <c r="E11" s="22"/>
      <c r="F11" s="22"/>
      <c r="G11" s="22"/>
      <c r="H11" s="22"/>
      <c r="I11" s="22"/>
      <c r="J11" s="22"/>
    </row>
    <row r="12" spans="2:12">
      <c r="B12" s="22"/>
      <c r="C12" s="22"/>
      <c r="D12" s="22"/>
      <c r="E12" s="22"/>
      <c r="F12" s="22"/>
      <c r="G12" s="22"/>
      <c r="H12" s="22"/>
      <c r="I12" s="22"/>
      <c r="J12" s="22"/>
    </row>
    <row r="13" spans="2:12">
      <c r="B13" s="22"/>
      <c r="C13" s="22"/>
      <c r="D13" s="22"/>
      <c r="E13" s="22"/>
      <c r="F13" s="22"/>
      <c r="G13" s="22"/>
      <c r="H13" s="22"/>
      <c r="I13" s="22"/>
      <c r="J13" s="22"/>
    </row>
    <row r="14" spans="2:12">
      <c r="B14" s="22"/>
      <c r="C14" s="22"/>
      <c r="D14" s="22"/>
      <c r="E14" s="22"/>
      <c r="F14" s="22"/>
      <c r="G14" s="22"/>
      <c r="H14" s="22"/>
      <c r="I14" s="22"/>
      <c r="J14" s="22"/>
    </row>
    <row r="15" spans="2:12">
      <c r="B15" s="22"/>
      <c r="C15" s="22"/>
      <c r="D15" s="22"/>
      <c r="E15" s="22"/>
      <c r="F15" s="22"/>
      <c r="G15" s="22"/>
      <c r="H15" s="22"/>
      <c r="I15" s="22"/>
      <c r="J15" s="22"/>
    </row>
    <row r="16" spans="2:12">
      <c r="B16" s="22"/>
      <c r="C16" s="22"/>
      <c r="D16" s="22"/>
      <c r="E16" s="22"/>
      <c r="F16" s="22"/>
      <c r="G16" s="22"/>
      <c r="H16" s="22"/>
      <c r="I16" s="22"/>
      <c r="J16" s="22"/>
    </row>
    <row r="17" spans="2:10">
      <c r="B17" s="22"/>
      <c r="C17" s="22"/>
      <c r="D17" s="22"/>
      <c r="E17" s="22"/>
      <c r="F17" s="22"/>
      <c r="G17" s="22"/>
      <c r="H17" s="22"/>
      <c r="I17" s="22"/>
      <c r="J17" s="22"/>
    </row>
    <row r="18" spans="2:10">
      <c r="B18" s="22"/>
      <c r="C18" s="22"/>
      <c r="D18" s="22"/>
      <c r="E18" s="22"/>
      <c r="F18" s="22"/>
      <c r="G18" s="22"/>
      <c r="H18" s="22"/>
      <c r="I18" s="22"/>
      <c r="J18" s="22"/>
    </row>
    <row r="19" spans="2:10">
      <c r="B19" s="12"/>
      <c r="C19" s="12"/>
      <c r="D19" s="12"/>
      <c r="E19" s="12"/>
      <c r="F19" s="12"/>
      <c r="G19" s="12"/>
      <c r="H19" s="12"/>
      <c r="I19" s="12"/>
      <c r="J19" s="12"/>
    </row>
  </sheetData>
  <mergeCells count="2">
    <mergeCell ref="B2:J18"/>
    <mergeCell ref="L3:L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93E89D5881D448099A1C25A60F885" ma:contentTypeVersion="19" ma:contentTypeDescription="Create a new document." ma:contentTypeScope="" ma:versionID="05f9ab1cd396484fdc3c50caed31a1dd">
  <xsd:schema xmlns:xsd="http://www.w3.org/2001/XMLSchema" xmlns:xs="http://www.w3.org/2001/XMLSchema" xmlns:p="http://schemas.microsoft.com/office/2006/metadata/properties" xmlns:ns2="6aa31b7e-7481-49ec-8bb1-408cc1f2dd86" xmlns:ns3="460d1c98-09f0-4d10-953e-dd5e4d478daa" targetNamespace="http://schemas.microsoft.com/office/2006/metadata/properties" ma:root="true" ma:fieldsID="7d64b81c6b198d54d61d58975c71448e" ns2:_="" ns3:_="">
    <xsd:import namespace="6aa31b7e-7481-49ec-8bb1-408cc1f2dd86"/>
    <xsd:import namespace="460d1c98-09f0-4d10-953e-dd5e4d478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31b7e-7481-49ec-8bb1-408cc1f2d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c98-09f0-4d10-953e-dd5e4d478d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242431-b9eb-46b4-8cbc-5028fbca96aa}" ma:internalName="TaxCatchAll" ma:showField="CatchAllData" ma:web="460d1c98-09f0-4d10-953e-dd5e4d478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d1c98-09f0-4d10-953e-dd5e4d478daa" xsi:nil="true"/>
    <lcf76f155ced4ddcb4097134ff3c332f xmlns="6aa31b7e-7481-49ec-8bb1-408cc1f2dd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863790-9CB5-4BD6-8B9C-E073680D137E}"/>
</file>

<file path=customXml/itemProps2.xml><?xml version="1.0" encoding="utf-8"?>
<ds:datastoreItem xmlns:ds="http://schemas.openxmlformats.org/officeDocument/2006/customXml" ds:itemID="{1D4457D0-13D1-43DD-8A3B-2CDDE7BE9CFD}"/>
</file>

<file path=customXml/itemProps3.xml><?xml version="1.0" encoding="utf-8"?>
<ds:datastoreItem xmlns:ds="http://schemas.openxmlformats.org/officeDocument/2006/customXml" ds:itemID="{3E2B7E0A-1DA7-4311-9878-FB23FEC711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Sameeck Bhatia</cp:lastModifiedBy>
  <cp:revision/>
  <dcterms:created xsi:type="dcterms:W3CDTF">2025-07-16T15:55:14Z</dcterms:created>
  <dcterms:modified xsi:type="dcterms:W3CDTF">2025-09-15T15:22:15Z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0x010100B2693E89D5881D448099A1C25A60F885</vt:lpwstr>
  </property>
  <property fmtid="{D5CDD505-2E9C-101B-9397-08002B2CF9AE}" pid="3" name="MediaServiceImageTags">
    <vt:lpwstr/>
  </property>
</Properties>
</file>