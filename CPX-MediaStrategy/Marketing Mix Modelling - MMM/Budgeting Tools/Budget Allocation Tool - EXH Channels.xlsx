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https://cineplex.sharepoint.com/sites/AnalyticsDataScience/Shared Documents/Data Science &amp; Insights/Project Planning/Marketing Mix Modelling/"/>
    </mc:Choice>
  </mc:AlternateContent>
  <xr:revisionPtr revIDLastSave="1419" documentId="11_617979CEC564329C7471F5391AA8E749229FE74F" xr6:coauthVersionLast="47" xr6:coauthVersionMax="47" xr10:uidLastSave="{F5A514F4-5586-4FA0-9E66-E83744DEE13A}"/>
  <bookViews>
    <workbookView xWindow="-110" yWindow="-110" windowWidth="19420" windowHeight="10420" activeTab="1" xr2:uid="{00000000-000D-0000-FFFF-FFFF00000000}"/>
  </bookViews>
  <sheets>
    <sheet name="Awareness Model" sheetId="2" r:id="rId1"/>
    <sheet name="Consideration Model" sheetId="3" r:id="rId2"/>
    <sheet name="Conversion Model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E19" i="4"/>
  <c r="H19" i="4"/>
  <c r="H17" i="3"/>
  <c r="E17" i="3"/>
  <c r="G13" i="4"/>
  <c r="F13" i="4"/>
  <c r="G9" i="3"/>
  <c r="G10" i="3"/>
  <c r="G14" i="3"/>
  <c r="G8" i="3"/>
  <c r="G11" i="3"/>
  <c r="G13" i="3"/>
  <c r="G12" i="3"/>
  <c r="G16" i="3"/>
  <c r="G15" i="3"/>
  <c r="G7" i="3"/>
  <c r="G17" i="3" s="1"/>
  <c r="F9" i="3"/>
  <c r="F10" i="3"/>
  <c r="F14" i="3"/>
  <c r="I8" i="3"/>
  <c r="F11" i="3"/>
  <c r="F13" i="3"/>
  <c r="F12" i="3"/>
  <c r="F16" i="3"/>
  <c r="F15" i="3"/>
  <c r="F7" i="3"/>
  <c r="H12" i="2"/>
  <c r="E12" i="2"/>
  <c r="I13" i="4" l="1"/>
  <c r="J13" i="4" s="1"/>
  <c r="I7" i="3"/>
  <c r="J7" i="3" s="1"/>
  <c r="I15" i="3"/>
  <c r="J15" i="3" s="1"/>
  <c r="I16" i="3"/>
  <c r="J16" i="3" s="1"/>
  <c r="I12" i="3"/>
  <c r="J12" i="3" s="1"/>
  <c r="I13" i="3"/>
  <c r="J13" i="3" s="1"/>
  <c r="I11" i="3"/>
  <c r="J11" i="3" s="1"/>
  <c r="I14" i="3"/>
  <c r="J14" i="3" s="1"/>
  <c r="I10" i="3"/>
  <c r="J10" i="3" s="1"/>
  <c r="I9" i="3"/>
  <c r="J9" i="3" s="1"/>
  <c r="G9" i="4"/>
  <c r="G16" i="4"/>
  <c r="G14" i="4"/>
  <c r="G17" i="4"/>
  <c r="G7" i="4"/>
  <c r="G11" i="4"/>
  <c r="G10" i="4"/>
  <c r="G12" i="4"/>
  <c r="G18" i="4"/>
  <c r="G8" i="4"/>
  <c r="G15" i="4"/>
  <c r="F9" i="4"/>
  <c r="F16" i="4"/>
  <c r="F14" i="4"/>
  <c r="I14" i="4" s="1"/>
  <c r="F17" i="4"/>
  <c r="F7" i="4"/>
  <c r="F11" i="4"/>
  <c r="F10" i="4"/>
  <c r="F12" i="4"/>
  <c r="F18" i="4"/>
  <c r="F8" i="4"/>
  <c r="F15" i="4"/>
  <c r="F17" i="3"/>
  <c r="G7" i="2"/>
  <c r="G9" i="2"/>
  <c r="G10" i="2"/>
  <c r="G11" i="2"/>
  <c r="G8" i="2"/>
  <c r="G12" i="2" s="1"/>
  <c r="F11" i="2"/>
  <c r="F10" i="2"/>
  <c r="F9" i="2"/>
  <c r="F7" i="2"/>
  <c r="F8" i="2"/>
  <c r="I8" i="2" s="1"/>
  <c r="I15" i="4" l="1"/>
  <c r="J15" i="4" s="1"/>
  <c r="I8" i="4"/>
  <c r="J8" i="4" s="1"/>
  <c r="I18" i="4"/>
  <c r="J18" i="4" s="1"/>
  <c r="I12" i="4"/>
  <c r="J12" i="4" s="1"/>
  <c r="I10" i="4"/>
  <c r="J10" i="4" s="1"/>
  <c r="I11" i="4"/>
  <c r="J11" i="4" s="1"/>
  <c r="I7" i="4"/>
  <c r="J7" i="4" s="1"/>
  <c r="I17" i="4"/>
  <c r="J17" i="4" s="1"/>
  <c r="I16" i="4"/>
  <c r="J16" i="4" s="1"/>
  <c r="I9" i="4"/>
  <c r="J9" i="4" s="1"/>
  <c r="I7" i="2"/>
  <c r="J7" i="2" s="1"/>
  <c r="I9" i="2"/>
  <c r="J9" i="2" s="1"/>
  <c r="I10" i="2"/>
  <c r="J10" i="2" s="1"/>
  <c r="I11" i="2"/>
  <c r="J11" i="2" s="1"/>
  <c r="I19" i="4"/>
  <c r="J14" i="4"/>
  <c r="F19" i="4"/>
  <c r="G19" i="4"/>
  <c r="J8" i="3"/>
  <c r="J17" i="3" s="1"/>
  <c r="I17" i="3"/>
  <c r="F12" i="2"/>
  <c r="J8" i="2"/>
  <c r="J12" i="2"/>
  <c r="I12" i="2"/>
  <c r="J19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Sameeck Bhatia</author>
  </authors>
  <commentList>
    <comment ref="E6" authorId="0" shapeId="0" xr:uid="{1180DC3F-1B12-431A-87A8-5AE32652A120}">
      <text>
        <r>
          <rPr>
            <sz val="11"/>
            <color theme="1"/>
            <rFont val="Aptos Narrow"/>
            <family val="2"/>
            <scheme val="minor"/>
          </rPr>
          <t>Sameeck Bhatia:
The percentage of attendance attributable to each channel when accounting for factors such as weather, holidays, baseline sales, etc.</t>
        </r>
      </text>
    </comment>
    <comment ref="F6" authorId="0" shapeId="0" xr:uid="{1E8BFCC0-6D37-4A0F-BEA1-CA8EB64F60BC}">
      <text>
        <r>
          <rPr>
            <sz val="11"/>
            <color theme="1"/>
            <rFont val="Aptos Narrow"/>
            <family val="2"/>
            <scheme val="minor"/>
          </rPr>
          <t>Sameeck Bhatia:
The percentage of attendance attributable to each channel when including only factors that Cineplex can control.</t>
        </r>
      </text>
    </comment>
    <comment ref="G6" authorId="0" shapeId="0" xr:uid="{2E514F45-954C-49CA-9A9F-DAB63894D21E}">
      <text>
        <r>
          <rPr>
            <sz val="11"/>
            <color theme="1"/>
            <rFont val="Aptos Narrow"/>
            <family val="2"/>
            <scheme val="minor"/>
          </rPr>
          <t>Sameeck Bhatia:
The percentage of the last 2 years' budget allocated to each channel.</t>
        </r>
      </text>
    </comment>
    <comment ref="H6" authorId="0" shapeId="0" xr:uid="{EBFDEAB3-2616-4BB4-AAD7-200C9AAAF2EF}">
      <text>
        <r>
          <rPr>
            <sz val="11"/>
            <color theme="1"/>
            <rFont val="Aptos Narrow"/>
            <family val="2"/>
            <scheme val="minor"/>
          </rPr>
          <t>Sameeck Bhatia:
The amount of the last 2 years' budget allocated to each channel, divided by 2.</t>
        </r>
      </text>
    </comment>
    <comment ref="I6" authorId="0" shapeId="0" xr:uid="{DBED4A4C-6830-459B-8FE7-33EE96E474EC}">
      <text>
        <r>
          <rPr>
            <sz val="11"/>
            <color theme="1"/>
            <rFont val="Aptos Narrow"/>
            <family val="2"/>
            <scheme val="minor"/>
          </rPr>
          <t>Sameeck Bhatia:
The total amount recommended by the model to be allocated in next year's budget.</t>
        </r>
      </text>
    </comment>
    <comment ref="J6" authorId="0" shapeId="0" xr:uid="{A23B3F41-ACD8-4AD3-8243-64B6D4D5C1B4}">
      <text>
        <r>
          <rPr>
            <sz val="11"/>
            <color theme="1"/>
            <rFont val="Aptos Narrow"/>
            <family val="2"/>
            <scheme val="minor"/>
          </rPr>
          <t>Sameeck Bhatia:
The weekly amount recommended by the model to be allocated in next year's budget.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Sameeck Bhatia</author>
  </authors>
  <commentList>
    <comment ref="E6" authorId="0" shapeId="0" xr:uid="{DB923E3A-0BBD-4984-B027-0ACCC181EB2D}">
      <text>
        <r>
          <rPr>
            <sz val="11"/>
            <color theme="1"/>
            <rFont val="Aptos Narrow"/>
            <family val="2"/>
            <scheme val="minor"/>
          </rPr>
          <t>Sameeck Bhatia:
The percentage of attendance attributable to each channel when accounting for factors such as weather, holidays, baseline sales, etc.</t>
        </r>
      </text>
    </comment>
    <comment ref="F6" authorId="0" shapeId="0" xr:uid="{59BAA82D-0BB0-47C2-8877-3AA52C319082}">
      <text>
        <r>
          <rPr>
            <sz val="11"/>
            <color theme="1"/>
            <rFont val="Aptos Narrow"/>
            <family val="2"/>
            <scheme val="minor"/>
          </rPr>
          <t>Sameeck Bhatia:
The percentage of attendance attributable to each channel when including only factors that Cineplex can control.</t>
        </r>
      </text>
    </comment>
    <comment ref="G6" authorId="0" shapeId="0" xr:uid="{BE662F60-02C2-4835-AA77-B277EB4D8163}">
      <text>
        <r>
          <rPr>
            <sz val="11"/>
            <color theme="1"/>
            <rFont val="Aptos Narrow"/>
            <family val="2"/>
            <scheme val="minor"/>
          </rPr>
          <t>Sameeck Bhatia:
The percentage of the last 2 years' budget allocated to each channel.</t>
        </r>
      </text>
    </comment>
    <comment ref="H6" authorId="0" shapeId="0" xr:uid="{BF30ECC8-ED40-4E4D-9996-FFC184DE0F82}">
      <text>
        <r>
          <rPr>
            <sz val="11"/>
            <color theme="1"/>
            <rFont val="Aptos Narrow"/>
            <family val="2"/>
            <scheme val="minor"/>
          </rPr>
          <t>Sameeck Bhatia:
The amount of the last 2 years' budget allocated to each channel, divided by 2.</t>
        </r>
      </text>
    </comment>
    <comment ref="I6" authorId="0" shapeId="0" xr:uid="{71DDFD46-4175-4EB7-AA05-3957D9FB322C}">
      <text>
        <r>
          <rPr>
            <sz val="11"/>
            <color theme="1"/>
            <rFont val="Aptos Narrow"/>
            <family val="2"/>
            <scheme val="minor"/>
          </rPr>
          <t>Sameeck Bhatia:
The total amount recommended by the model to be allocated in next year's budget.</t>
        </r>
      </text>
    </comment>
    <comment ref="J6" authorId="0" shapeId="0" xr:uid="{024C011F-2BD1-4E03-98CF-7D09AE42D2DC}">
      <text>
        <r>
          <rPr>
            <sz val="11"/>
            <color theme="1"/>
            <rFont val="Aptos Narrow"/>
            <family val="2"/>
            <scheme val="minor"/>
          </rPr>
          <t>Sameeck Bhatia:
The weekly amount recommended by the model to be allocated in next year's budget.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Sameeck Bhatia</author>
  </authors>
  <commentList>
    <comment ref="E6" authorId="0" shapeId="0" xr:uid="{52432632-0145-4676-B5AD-93034CE45816}">
      <text>
        <r>
          <rPr>
            <sz val="11"/>
            <color theme="1"/>
            <rFont val="Aptos Narrow"/>
            <family val="2"/>
            <scheme val="minor"/>
          </rPr>
          <t>Sameeck Bhatia:
The percentage of attendance attributable to each channel when accounting for factors such as weather, holidays, baseline sales, etc.</t>
        </r>
      </text>
    </comment>
    <comment ref="F6" authorId="0" shapeId="0" xr:uid="{76364535-6E2B-495F-903E-10C1744A2924}">
      <text>
        <r>
          <rPr>
            <sz val="11"/>
            <color theme="1"/>
            <rFont val="Aptos Narrow"/>
            <family val="2"/>
            <scheme val="minor"/>
          </rPr>
          <t>Sameeck Bhatia:
The percentage of attendance attributable to each channel when including only factors that Cineplex can control.</t>
        </r>
      </text>
    </comment>
    <comment ref="G6" authorId="0" shapeId="0" xr:uid="{144852CE-4EAF-4E68-85FB-A6168A6FBC4D}">
      <text>
        <r>
          <rPr>
            <sz val="11"/>
            <color theme="1"/>
            <rFont val="Aptos Narrow"/>
            <family val="2"/>
            <scheme val="minor"/>
          </rPr>
          <t>Sameeck Bhatia:
The percentage of the last 2 years' budget allocated to each channel.</t>
        </r>
      </text>
    </comment>
    <comment ref="H6" authorId="0" shapeId="0" xr:uid="{D06DD40C-8A04-4B32-B9A1-43801E088357}">
      <text>
        <r>
          <rPr>
            <sz val="11"/>
            <color theme="1"/>
            <rFont val="Aptos Narrow"/>
            <family val="2"/>
            <scheme val="minor"/>
          </rPr>
          <t>Sameeck Bhatia:
The amount of the last 2 years' budget allocated to each channel, divided by 2.</t>
        </r>
      </text>
    </comment>
    <comment ref="I6" authorId="0" shapeId="0" xr:uid="{71E0283E-4F58-4E8F-AA46-99040937083A}">
      <text>
        <r>
          <rPr>
            <sz val="11"/>
            <color theme="1"/>
            <rFont val="Aptos Narrow"/>
            <family val="2"/>
            <scheme val="minor"/>
          </rPr>
          <t>Sameeck Bhatia:
The total amount recommended by the model to be allocated in next year's budget.</t>
        </r>
      </text>
    </comment>
    <comment ref="J6" authorId="0" shapeId="0" xr:uid="{ED7ACDB6-DC9C-408A-AACE-B43D2D03EA3E}">
      <text>
        <r>
          <rPr>
            <sz val="11"/>
            <color theme="1"/>
            <rFont val="Aptos Narrow"/>
            <family val="2"/>
            <scheme val="minor"/>
          </rPr>
          <t>Sameeck Bhatia:
The weekly amount recommended by the model to be allocated in next year's budget.</t>
        </r>
      </text>
    </comment>
  </commentList>
</comments>
</file>

<file path=xl/sharedStrings.xml><?xml version="1.0" encoding="utf-8"?>
<sst xmlns="http://schemas.openxmlformats.org/spreadsheetml/2006/main" count="90" uniqueCount="29">
  <si>
    <t>2026 Awareness Budget Input</t>
  </si>
  <si>
    <t>2-Year Actual Past Budget</t>
  </si>
  <si>
    <t>Weeks</t>
  </si>
  <si>
    <t>Line of Business</t>
  </si>
  <si>
    <t>Channel</t>
  </si>
  <si>
    <t>Contribution to Attendance (all factors)</t>
  </si>
  <si>
    <t>Contribution to Attendance (internal factors only)</t>
  </si>
  <si>
    <t>Spend Proportion (trailing 2 years)</t>
  </si>
  <si>
    <t>Actual Yearly Spend (trailing 2-year avg.)</t>
  </si>
  <si>
    <t>Model-based 2026 Allocation</t>
  </si>
  <si>
    <t>Model-based 2026 Allocation / week</t>
  </si>
  <si>
    <t>PR</t>
  </si>
  <si>
    <t>Brand</t>
  </si>
  <si>
    <t>Programmatic</t>
  </si>
  <si>
    <t>Meta</t>
  </si>
  <si>
    <t>Cineclub</t>
  </si>
  <si>
    <t>F&amp;B</t>
  </si>
  <si>
    <t>Total</t>
  </si>
  <si>
    <t>2026 Consideration Budget Input</t>
  </si>
  <si>
    <t>Enhanced</t>
  </si>
  <si>
    <t>Exhibition</t>
  </si>
  <si>
    <t>SEM</t>
  </si>
  <si>
    <t>Film</t>
  </si>
  <si>
    <t>G&amp;E</t>
  </si>
  <si>
    <t>Social</t>
  </si>
  <si>
    <t>Prepaid</t>
  </si>
  <si>
    <t>2026 Conversion Budget Input</t>
  </si>
  <si>
    <t>Event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</si>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</sst>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0" xfId="0" applyFill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7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 wrapText="1"/>
    </xf>
    <xf numFmtId="165" fontId="0" fillId="0" borderId="0" xfId="0" applyNumberFormat="1"/>
    <xf numFmtId="165" fontId="0" fillId="0" borderId="1" xfId="0" applyNumberFormat="1" applyBorder="1"/>
    <xf numFmtId="0" fontId="0" fillId="0" borderId="13" xfId="0" applyBorder="1"/>
    <xf numFmtId="0" fontId="0" fillId="4" borderId="2" xfId="0" applyFill="1" applyBorder="1" applyAlignment="1">
      <alignment horizontal="left"/>
    </xf>
    <xf numFmtId="0" fontId="0" fillId="4" borderId="13" xfId="0" applyFill="1" applyBorder="1" applyAlignment="1">
      <alignment horizontal="left"/>
    </xf>
    <xf numFmtId="0" fontId="0" fillId="2" borderId="17" xfId="0" applyFill="1" applyBorder="1" applyAlignment="1">
      <alignment horizontal="center" vertical="center" wrapText="1"/>
    </xf>
    <xf numFmtId="165" fontId="0" fillId="4" borderId="20" xfId="0" applyNumberFormat="1" applyFill="1" applyBorder="1"/>
    <xf numFmtId="165" fontId="0" fillId="4" borderId="21" xfId="0" applyNumberFormat="1" applyFill="1" applyBorder="1"/>
    <xf numFmtId="164" fontId="0" fillId="4" borderId="20" xfId="0" applyNumberFormat="1" applyFill="1" applyBorder="1"/>
    <xf numFmtId="164" fontId="0" fillId="4" borderId="14" xfId="0" applyNumberFormat="1" applyFill="1" applyBorder="1"/>
    <xf numFmtId="0" fontId="0" fillId="2" borderId="2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164" fontId="0" fillId="4" borderId="23" xfId="0" applyNumberFormat="1" applyFill="1" applyBorder="1"/>
    <xf numFmtId="165" fontId="0" fillId="4" borderId="13" xfId="0" applyNumberFormat="1" applyFill="1" applyBorder="1"/>
    <xf numFmtId="165" fontId="0" fillId="4" borderId="23" xfId="0" applyNumberFormat="1" applyFill="1" applyBorder="1"/>
    <xf numFmtId="165" fontId="0" fillId="4" borderId="24" xfId="0" applyNumberFormat="1" applyFill="1" applyBorder="1"/>
    <xf numFmtId="165" fontId="0" fillId="4" borderId="16" xfId="0" applyNumberFormat="1" applyFill="1" applyBorder="1"/>
    <xf numFmtId="164" fontId="0" fillId="4" borderId="25" xfId="0" applyNumberFormat="1" applyFill="1" applyBorder="1"/>
    <xf numFmtId="0" fontId="0" fillId="2" borderId="2" xfId="0" applyFill="1" applyBorder="1" applyAlignment="1">
      <alignment horizontal="center" vertical="center" wrapText="1"/>
    </xf>
    <xf numFmtId="164" fontId="0" fillId="4" borderId="2" xfId="0" applyNumberFormat="1" applyFill="1" applyBorder="1"/>
    <xf numFmtId="0" fontId="0" fillId="2" borderId="26" xfId="0" applyFill="1" applyBorder="1" applyAlignment="1">
      <alignment horizontal="center" vertical="center" wrapText="1"/>
    </xf>
    <xf numFmtId="164" fontId="0" fillId="4" borderId="15" xfId="0" applyNumberFormat="1" applyFill="1" applyBorder="1"/>
    <xf numFmtId="0" fontId="0" fillId="0" borderId="10" xfId="0" applyBorder="1"/>
    <xf numFmtId="165" fontId="0" fillId="3" borderId="8" xfId="0" applyNumberFormat="1" applyFill="1" applyBorder="1"/>
    <xf numFmtId="0" fontId="0" fillId="3" borderId="0" xfId="0" applyFill="1" applyAlignment="1">
      <alignment wrapText="1"/>
    </xf>
    <xf numFmtId="165" fontId="0" fillId="4" borderId="11" xfId="0" applyNumberFormat="1" applyFill="1" applyBorder="1"/>
    <xf numFmtId="164" fontId="0" fillId="0" borderId="2" xfId="0" applyNumberFormat="1" applyBorder="1"/>
    <xf numFmtId="164" fontId="0" fillId="0" borderId="18" xfId="0" applyNumberFormat="1" applyBorder="1"/>
    <xf numFmtId="165" fontId="0" fillId="0" borderId="18" xfId="0" applyNumberFormat="1" applyBorder="1"/>
    <xf numFmtId="165" fontId="0" fillId="0" borderId="19" xfId="0" applyNumberFormat="1" applyBorder="1"/>
    <xf numFmtId="165" fontId="0" fillId="0" borderId="13" xfId="0" applyNumberFormat="1" applyBorder="1"/>
    <xf numFmtId="0" fontId="0" fillId="0" borderId="3" xfId="0" applyBorder="1"/>
    <xf numFmtId="164" fontId="0" fillId="0" borderId="12" xfId="0" applyNumberFormat="1" applyBorder="1"/>
    <xf numFmtId="165" fontId="0" fillId="0" borderId="27" xfId="0" applyNumberFormat="1" applyBorder="1"/>
    <xf numFmtId="0" fontId="0" fillId="4" borderId="1" xfId="0" applyFill="1" applyBorder="1" applyAlignment="1">
      <alignment horizontal="left"/>
    </xf>
    <xf numFmtId="0" fontId="1" fillId="4" borderId="1" xfId="0" applyFont="1" applyFill="1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0" fontId="0" fillId="4" borderId="2" xfId="0" applyFill="1" applyBorder="1" applyAlignment="1">
      <alignment horizontal="left"/>
    </xf>
    <xf numFmtId="0" fontId="0" fillId="4" borderId="13" xfId="0" applyFill="1" applyBorder="1" applyAlignment="1">
      <alignment horizontal="left"/>
    </xf>
    <xf numFmtId="0" fontId="0" fillId="4" borderId="14" xfId="0" applyFill="1" applyBorder="1" applyAlignment="1">
      <alignment horizontal="left"/>
    </xf>
    <xf numFmtId="0" fontId="0" fillId="4" borderId="16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7A0F-DBBB-431D-8199-B3DBC841C01B}">
  <dimension ref="B2:K13"/>
  <sheetViews>
    <sheetView workbookViewId="0">
      <selection activeCell="H6" sqref="H6"/>
    </sheetView>
  </sheetViews>
  <sheetFormatPr defaultRowHeight="14.5" x14ac:dyDescent="0.35"/>
  <cols>
    <col min="3" max="5" width="14.26953125" customWidth="1"/>
    <col min="6" max="6" width="18.453125" customWidth="1"/>
    <col min="7" max="7" width="16.1796875" customWidth="1"/>
    <col min="8" max="8" width="18.54296875" customWidth="1"/>
    <col min="9" max="9" width="15.1796875" customWidth="1"/>
    <col min="10" max="10" width="16.7265625" customWidth="1"/>
    <col min="11" max="11" width="9" customWidth="1"/>
  </cols>
  <sheetData>
    <row r="2" spans="2:11" x14ac:dyDescent="0.35">
      <c r="B2" s="2"/>
      <c r="C2" s="3"/>
      <c r="D2" s="3"/>
      <c r="E2" s="3"/>
      <c r="F2" s="3"/>
      <c r="G2" s="3"/>
      <c r="H2" s="3"/>
      <c r="I2" s="3"/>
      <c r="J2" s="3"/>
      <c r="K2" s="4"/>
    </row>
    <row r="3" spans="2:11" x14ac:dyDescent="0.35">
      <c r="B3" s="5"/>
      <c r="C3" s="50" t="s">
        <v>0</v>
      </c>
      <c r="D3" s="50"/>
      <c r="E3" s="51">
        <v>750000</v>
      </c>
      <c r="F3" s="6"/>
      <c r="G3" s="6"/>
      <c r="H3" s="49" t="s">
        <v>1</v>
      </c>
      <c r="I3" s="49"/>
      <c r="J3" s="16">
        <v>1507726</v>
      </c>
      <c r="K3" s="7"/>
    </row>
    <row r="4" spans="2:11" x14ac:dyDescent="0.35">
      <c r="B4" s="5"/>
      <c r="C4" s="50"/>
      <c r="D4" s="50"/>
      <c r="E4" s="51"/>
      <c r="F4" s="6"/>
      <c r="G4" s="6"/>
      <c r="H4" s="52" t="s">
        <v>2</v>
      </c>
      <c r="I4" s="53"/>
      <c r="J4" s="1">
        <v>52</v>
      </c>
      <c r="K4" s="7"/>
    </row>
    <row r="5" spans="2:11" s="13" customFormat="1" x14ac:dyDescent="0.35">
      <c r="B5" s="11"/>
      <c r="C5" s="39"/>
      <c r="D5" s="39"/>
      <c r="E5" s="39"/>
      <c r="F5" s="39"/>
      <c r="G5" s="39"/>
      <c r="H5" s="39"/>
      <c r="I5" s="39"/>
      <c r="J5" s="39"/>
      <c r="K5" s="12"/>
    </row>
    <row r="6" spans="2:11" ht="43.5" x14ac:dyDescent="0.35">
      <c r="B6" s="5"/>
      <c r="C6" s="14" t="s">
        <v>3</v>
      </c>
      <c r="D6" s="14" t="s">
        <v>4</v>
      </c>
      <c r="E6" s="33" t="s">
        <v>5</v>
      </c>
      <c r="F6" s="25" t="s">
        <v>6</v>
      </c>
      <c r="G6" s="35" t="s">
        <v>7</v>
      </c>
      <c r="H6" s="25" t="s">
        <v>8</v>
      </c>
      <c r="I6" s="20" t="s">
        <v>9</v>
      </c>
      <c r="J6" s="26" t="s">
        <v>10</v>
      </c>
      <c r="K6" s="7"/>
    </row>
    <row r="7" spans="2:11" x14ac:dyDescent="0.35">
      <c r="B7" s="5"/>
      <c r="C7" s="1" t="s">
        <v>11</v>
      </c>
      <c r="D7" s="1" t="s">
        <v>11</v>
      </c>
      <c r="E7" s="41">
        <v>3.1E-2</v>
      </c>
      <c r="F7" s="42">
        <f>E7/$E$12</f>
        <v>0.22463768115942026</v>
      </c>
      <c r="G7" s="41">
        <f>H7/$H$12</f>
        <v>0.24059411325399974</v>
      </c>
      <c r="H7" s="43">
        <v>181375</v>
      </c>
      <c r="I7" s="44">
        <f>F7*$E$3</f>
        <v>168478.26086956519</v>
      </c>
      <c r="J7" s="45">
        <f>I7/$J$4</f>
        <v>3239.9665551839457</v>
      </c>
      <c r="K7" s="38"/>
    </row>
    <row r="8" spans="2:11" x14ac:dyDescent="0.35">
      <c r="B8" s="5"/>
      <c r="C8" s="1" t="s">
        <v>12</v>
      </c>
      <c r="D8" s="1" t="s">
        <v>13</v>
      </c>
      <c r="E8" s="41">
        <v>3.3000000000000002E-2</v>
      </c>
      <c r="F8" s="42">
        <f>E8/$E$12</f>
        <v>0.23913043478260868</v>
      </c>
      <c r="G8" s="41">
        <f>H8/$H$12</f>
        <v>0.51150142665179221</v>
      </c>
      <c r="H8" s="43">
        <v>385602</v>
      </c>
      <c r="I8" s="44">
        <f>F8*$E$3</f>
        <v>179347.82608695651</v>
      </c>
      <c r="J8" s="45">
        <f>I8/$J$4</f>
        <v>3448.9966555183946</v>
      </c>
      <c r="K8" s="38"/>
    </row>
    <row r="9" spans="2:11" x14ac:dyDescent="0.35">
      <c r="B9" s="5"/>
      <c r="C9" s="1" t="s">
        <v>12</v>
      </c>
      <c r="D9" s="1" t="s">
        <v>14</v>
      </c>
      <c r="E9" s="41">
        <v>0.03</v>
      </c>
      <c r="F9" s="42">
        <f>E9/$E$12</f>
        <v>0.21739130434782605</v>
      </c>
      <c r="G9" s="41">
        <f>H9/$H$12</f>
        <v>0.12931129396190025</v>
      </c>
      <c r="H9" s="43">
        <v>97483</v>
      </c>
      <c r="I9" s="44">
        <f>F9*$E$3</f>
        <v>163043.47826086954</v>
      </c>
      <c r="J9" s="45">
        <f>I9/$J$4</f>
        <v>3135.451505016722</v>
      </c>
      <c r="K9" s="38"/>
    </row>
    <row r="10" spans="2:11" x14ac:dyDescent="0.35">
      <c r="B10" s="5"/>
      <c r="C10" s="1" t="s">
        <v>15</v>
      </c>
      <c r="D10" s="1" t="s">
        <v>13</v>
      </c>
      <c r="E10" s="41">
        <v>2.9000000000000001E-2</v>
      </c>
      <c r="F10" s="42">
        <f>E10/$E$12</f>
        <v>0.21014492753623187</v>
      </c>
      <c r="G10" s="41">
        <f>H10/$H$12</f>
        <v>1.7822867019604359E-2</v>
      </c>
      <c r="H10" s="43">
        <v>13436</v>
      </c>
      <c r="I10" s="44">
        <f>F10*$E$3</f>
        <v>157608.69565217392</v>
      </c>
      <c r="J10" s="45">
        <f>I10/$J$4</f>
        <v>3030.9364548494987</v>
      </c>
      <c r="K10" s="38"/>
    </row>
    <row r="11" spans="2:11" x14ac:dyDescent="0.35">
      <c r="B11" s="5"/>
      <c r="C11" s="1" t="s">
        <v>16</v>
      </c>
      <c r="D11" s="1" t="s">
        <v>14</v>
      </c>
      <c r="E11" s="41">
        <v>1.4999999999999999E-2</v>
      </c>
      <c r="F11" s="42">
        <f>E11/$E$12</f>
        <v>0.10869565217391303</v>
      </c>
      <c r="G11" s="41">
        <f>H11/$H$12</f>
        <v>0.10077029911270351</v>
      </c>
      <c r="H11" s="43">
        <v>75967</v>
      </c>
      <c r="I11" s="44">
        <f>F11*$E$3</f>
        <v>81521.739130434769</v>
      </c>
      <c r="J11" s="45">
        <f>I11/$J$4</f>
        <v>1567.725752508361</v>
      </c>
      <c r="K11" s="38"/>
    </row>
    <row r="12" spans="2:11" x14ac:dyDescent="0.35">
      <c r="B12" s="5"/>
      <c r="C12" s="18" t="s">
        <v>17</v>
      </c>
      <c r="D12" s="19"/>
      <c r="E12" s="34">
        <f t="shared" ref="E12:J12" si="0">SUM(E7:E11)</f>
        <v>0.13800000000000001</v>
      </c>
      <c r="F12" s="27">
        <f t="shared" si="0"/>
        <v>1</v>
      </c>
      <c r="G12" s="36">
        <f t="shared" si="0"/>
        <v>1</v>
      </c>
      <c r="H12" s="29">
        <f t="shared" si="0"/>
        <v>753863</v>
      </c>
      <c r="I12" s="30">
        <f t="shared" si="0"/>
        <v>750000</v>
      </c>
      <c r="J12" s="28">
        <f t="shared" si="0"/>
        <v>14423.076923076924</v>
      </c>
      <c r="K12" s="7"/>
    </row>
    <row r="13" spans="2:11" x14ac:dyDescent="0.35">
      <c r="B13" s="8"/>
      <c r="C13" s="9"/>
      <c r="D13" s="9"/>
      <c r="E13" s="9"/>
      <c r="F13" s="9"/>
      <c r="G13" s="9"/>
      <c r="H13" s="9"/>
      <c r="I13" s="9"/>
      <c r="J13" s="9"/>
      <c r="K13" s="10"/>
    </row>
  </sheetData>
  <sortState xmlns:xlrd2="http://schemas.microsoft.com/office/spreadsheetml/2017/richdata2" ref="C7:J11">
    <sortCondition ref="D7:D11"/>
    <sortCondition descending="1" ref="F7:F11"/>
  </sortState>
  <mergeCells count="4">
    <mergeCell ref="H3:I3"/>
    <mergeCell ref="C3:D4"/>
    <mergeCell ref="E3:E4"/>
    <mergeCell ref="H4:I4"/>
  </mergeCells>
  <conditionalFormatting sqref="F7:F11">
    <cfRule type="colorScale" priority="2">
      <colorScale>
        <cfvo type="min"/>
        <cfvo type="max"/>
        <color rgb="FFFCFCFF"/>
        <color rgb="FF63BE7B"/>
      </colorScale>
    </cfRule>
  </conditionalFormatting>
  <conditionalFormatting sqref="G7:G1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D2FDC-BDF3-4515-8112-F27AAF4EEB83}">
  <dimension ref="B2:K18"/>
  <sheetViews>
    <sheetView tabSelected="1" workbookViewId="0">
      <selection activeCell="E6" sqref="E6"/>
    </sheetView>
  </sheetViews>
  <sheetFormatPr defaultRowHeight="14.5" x14ac:dyDescent="0.35"/>
  <cols>
    <col min="3" max="5" width="14.26953125" customWidth="1"/>
    <col min="6" max="6" width="18.453125" customWidth="1"/>
    <col min="7" max="7" width="16.1796875" customWidth="1"/>
    <col min="8" max="8" width="18.54296875" customWidth="1"/>
    <col min="9" max="9" width="15.26953125" customWidth="1"/>
    <col min="10" max="10" width="16.7265625" customWidth="1"/>
  </cols>
  <sheetData>
    <row r="2" spans="2:11" x14ac:dyDescent="0.35">
      <c r="B2" s="2"/>
      <c r="C2" s="3"/>
      <c r="D2" s="3"/>
      <c r="E2" s="3"/>
      <c r="F2" s="3"/>
      <c r="G2" s="3"/>
      <c r="H2" s="3"/>
      <c r="I2" s="3"/>
      <c r="J2" s="3"/>
      <c r="K2" s="4"/>
    </row>
    <row r="3" spans="2:11" x14ac:dyDescent="0.35">
      <c r="B3" s="5"/>
      <c r="C3" s="50" t="s">
        <v>18</v>
      </c>
      <c r="D3" s="50"/>
      <c r="E3" s="51">
        <v>750000</v>
      </c>
      <c r="F3" s="6"/>
      <c r="G3" s="6"/>
      <c r="H3" s="49" t="s">
        <v>1</v>
      </c>
      <c r="I3" s="49"/>
      <c r="J3" s="16">
        <v>1489114</v>
      </c>
      <c r="K3" s="7"/>
    </row>
    <row r="4" spans="2:11" x14ac:dyDescent="0.35">
      <c r="B4" s="5"/>
      <c r="C4" s="50"/>
      <c r="D4" s="50"/>
      <c r="E4" s="51"/>
      <c r="F4" s="6"/>
      <c r="G4" s="6"/>
      <c r="H4" s="52" t="s">
        <v>2</v>
      </c>
      <c r="I4" s="53"/>
      <c r="J4" s="17">
        <v>52</v>
      </c>
      <c r="K4" s="7"/>
    </row>
    <row r="5" spans="2:11" x14ac:dyDescent="0.35">
      <c r="B5" s="5"/>
      <c r="C5" s="6"/>
      <c r="D5" s="6"/>
      <c r="E5" s="6"/>
      <c r="F5" s="6"/>
      <c r="G5" s="6"/>
      <c r="H5" s="6"/>
      <c r="I5" s="6"/>
      <c r="J5" s="6"/>
      <c r="K5" s="7"/>
    </row>
    <row r="6" spans="2:11" ht="43.5" x14ac:dyDescent="0.35">
      <c r="B6" s="5"/>
      <c r="C6" s="14" t="s">
        <v>3</v>
      </c>
      <c r="D6" s="14" t="s">
        <v>4</v>
      </c>
      <c r="E6" s="33" t="s">
        <v>5</v>
      </c>
      <c r="F6" s="25" t="s">
        <v>6</v>
      </c>
      <c r="G6" s="35" t="s">
        <v>7</v>
      </c>
      <c r="H6" s="25" t="s">
        <v>8</v>
      </c>
      <c r="I6" s="20" t="s">
        <v>9</v>
      </c>
      <c r="J6" s="26" t="s">
        <v>10</v>
      </c>
      <c r="K6" s="7"/>
    </row>
    <row r="7" spans="2:11" x14ac:dyDescent="0.35">
      <c r="B7" s="5"/>
      <c r="C7" s="1" t="s">
        <v>12</v>
      </c>
      <c r="D7" s="1" t="s">
        <v>13</v>
      </c>
      <c r="E7" s="41">
        <v>9.2999999999999999E-2</v>
      </c>
      <c r="F7" s="42">
        <f t="shared" ref="F7:F16" si="0">E7/$E$17</f>
        <v>0.33941605839416056</v>
      </c>
      <c r="G7" s="41">
        <f t="shared" ref="G7:G16" si="1">H7/$H$17</f>
        <v>7.8986512122972363E-2</v>
      </c>
      <c r="H7" s="43">
        <v>58810</v>
      </c>
      <c r="I7" s="44">
        <f t="shared" ref="I7:I16" si="2">F7*$E$3</f>
        <v>254562.04379562041</v>
      </c>
      <c r="J7" s="45">
        <f t="shared" ref="J7:J16" si="3">I7/$J$4</f>
        <v>4895.4239191465467</v>
      </c>
      <c r="K7" s="38"/>
    </row>
    <row r="8" spans="2:11" x14ac:dyDescent="0.35">
      <c r="B8" s="5"/>
      <c r="C8" s="1" t="s">
        <v>12</v>
      </c>
      <c r="D8" s="1" t="s">
        <v>14</v>
      </c>
      <c r="E8" s="41">
        <v>1.6E-2</v>
      </c>
      <c r="F8" s="42">
        <f>E8/$E$17</f>
        <v>5.8394160583941604E-2</v>
      </c>
      <c r="G8" s="41">
        <f t="shared" si="1"/>
        <v>0.28689859413141361</v>
      </c>
      <c r="H8" s="43">
        <v>213612.5</v>
      </c>
      <c r="I8" s="44">
        <f t="shared" si="2"/>
        <v>43795.620437956204</v>
      </c>
      <c r="J8" s="45">
        <f t="shared" si="3"/>
        <v>842.22346996069621</v>
      </c>
      <c r="K8" s="38"/>
    </row>
    <row r="9" spans="2:11" x14ac:dyDescent="0.35">
      <c r="B9" s="5"/>
      <c r="C9" s="1" t="s">
        <v>19</v>
      </c>
      <c r="D9" s="1" t="s">
        <v>13</v>
      </c>
      <c r="E9" s="41">
        <v>6.0000000000000001E-3</v>
      </c>
      <c r="F9" s="42">
        <f t="shared" si="0"/>
        <v>2.18978102189781E-2</v>
      </c>
      <c r="G9" s="41">
        <f t="shared" si="1"/>
        <v>1.9010620402050881E-2</v>
      </c>
      <c r="H9" s="43">
        <v>14154.5</v>
      </c>
      <c r="I9" s="44">
        <f t="shared" si="2"/>
        <v>16423.357664233576</v>
      </c>
      <c r="J9" s="45">
        <f t="shared" si="3"/>
        <v>315.83380123526109</v>
      </c>
      <c r="K9" s="38"/>
    </row>
    <row r="10" spans="2:11" x14ac:dyDescent="0.35">
      <c r="B10" s="5"/>
      <c r="C10" s="1" t="s">
        <v>20</v>
      </c>
      <c r="D10" s="1" t="s">
        <v>21</v>
      </c>
      <c r="E10" s="41">
        <v>8.9999999999999993E-3</v>
      </c>
      <c r="F10" s="42">
        <f t="shared" si="0"/>
        <v>3.2846715328467148E-2</v>
      </c>
      <c r="G10" s="41">
        <f t="shared" si="1"/>
        <v>7.3483243402960821E-2</v>
      </c>
      <c r="H10" s="43">
        <v>54712.5</v>
      </c>
      <c r="I10" s="44">
        <f t="shared" si="2"/>
        <v>24635.03649635036</v>
      </c>
      <c r="J10" s="45">
        <f t="shared" si="3"/>
        <v>473.75070185289155</v>
      </c>
      <c r="K10" s="38"/>
    </row>
    <row r="11" spans="2:11" x14ac:dyDescent="0.35">
      <c r="B11" s="5"/>
      <c r="C11" s="1" t="s">
        <v>22</v>
      </c>
      <c r="D11" s="1" t="s">
        <v>13</v>
      </c>
      <c r="E11" s="41">
        <v>1.6E-2</v>
      </c>
      <c r="F11" s="42">
        <f t="shared" si="0"/>
        <v>5.8394160583941604E-2</v>
      </c>
      <c r="G11" s="41">
        <f t="shared" si="1"/>
        <v>5.6808238450354744E-2</v>
      </c>
      <c r="H11" s="43">
        <v>42297</v>
      </c>
      <c r="I11" s="44">
        <f t="shared" si="2"/>
        <v>43795.620437956204</v>
      </c>
      <c r="J11" s="45">
        <f t="shared" si="3"/>
        <v>842.22346996069621</v>
      </c>
      <c r="K11" s="38"/>
    </row>
    <row r="12" spans="2:11" x14ac:dyDescent="0.35">
      <c r="B12" s="5"/>
      <c r="C12" s="1" t="s">
        <v>23</v>
      </c>
      <c r="D12" s="1" t="s">
        <v>24</v>
      </c>
      <c r="E12" s="41">
        <v>1.9E-2</v>
      </c>
      <c r="F12" s="42">
        <f t="shared" si="0"/>
        <v>6.9343065693430656E-2</v>
      </c>
      <c r="G12" s="41">
        <f t="shared" si="1"/>
        <v>0.10038781423865853</v>
      </c>
      <c r="H12" s="43">
        <v>74744.5</v>
      </c>
      <c r="I12" s="44">
        <f t="shared" si="2"/>
        <v>52007.299270072988</v>
      </c>
      <c r="J12" s="45">
        <f t="shared" si="3"/>
        <v>1000.1403705783267</v>
      </c>
      <c r="K12" s="38"/>
    </row>
    <row r="13" spans="2:11" x14ac:dyDescent="0.35">
      <c r="B13" s="5"/>
      <c r="C13" s="1" t="s">
        <v>23</v>
      </c>
      <c r="D13" s="1" t="s">
        <v>21</v>
      </c>
      <c r="E13" s="41">
        <v>1.7999999999999999E-2</v>
      </c>
      <c r="F13" s="42">
        <f t="shared" si="0"/>
        <v>6.5693430656934296E-2</v>
      </c>
      <c r="G13" s="41">
        <f t="shared" si="1"/>
        <v>4.0104357286039026E-3</v>
      </c>
      <c r="H13" s="43">
        <v>2986</v>
      </c>
      <c r="I13" s="44">
        <f t="shared" si="2"/>
        <v>49270.07299270072</v>
      </c>
      <c r="J13" s="45">
        <f t="shared" si="3"/>
        <v>947.5014037057831</v>
      </c>
      <c r="K13" s="38"/>
    </row>
    <row r="14" spans="2:11" x14ac:dyDescent="0.35">
      <c r="B14" s="5"/>
      <c r="C14" s="1" t="s">
        <v>23</v>
      </c>
      <c r="D14" s="1" t="s">
        <v>14</v>
      </c>
      <c r="E14" s="41">
        <v>1.2E-2</v>
      </c>
      <c r="F14" s="42">
        <f t="shared" si="0"/>
        <v>4.3795620437956199E-2</v>
      </c>
      <c r="G14" s="41">
        <f t="shared" si="1"/>
        <v>0.10527259479623803</v>
      </c>
      <c r="H14" s="43">
        <v>78381.5</v>
      </c>
      <c r="I14" s="44">
        <f t="shared" si="2"/>
        <v>32846.715328467151</v>
      </c>
      <c r="J14" s="45">
        <f t="shared" si="3"/>
        <v>631.66760247052218</v>
      </c>
      <c r="K14" s="38"/>
    </row>
    <row r="15" spans="2:11" x14ac:dyDescent="0.35">
      <c r="B15" s="5"/>
      <c r="C15" s="1" t="s">
        <v>11</v>
      </c>
      <c r="D15" s="1" t="s">
        <v>11</v>
      </c>
      <c r="E15" s="41">
        <v>0.06</v>
      </c>
      <c r="F15" s="42">
        <f t="shared" si="0"/>
        <v>0.218978102189781</v>
      </c>
      <c r="G15" s="41">
        <f t="shared" si="1"/>
        <v>0.24360106506213422</v>
      </c>
      <c r="H15" s="43">
        <v>181375</v>
      </c>
      <c r="I15" s="44">
        <f t="shared" si="2"/>
        <v>164233.57664233574</v>
      </c>
      <c r="J15" s="45">
        <f t="shared" si="3"/>
        <v>3158.3380123526103</v>
      </c>
      <c r="K15" s="38"/>
    </row>
    <row r="16" spans="2:11" x14ac:dyDescent="0.35">
      <c r="B16" s="5"/>
      <c r="C16" s="1" t="s">
        <v>25</v>
      </c>
      <c r="D16" s="1" t="s">
        <v>13</v>
      </c>
      <c r="E16" s="41">
        <v>2.5000000000000001E-2</v>
      </c>
      <c r="F16" s="42">
        <f t="shared" si="0"/>
        <v>9.1240875912408759E-2</v>
      </c>
      <c r="G16" s="41">
        <f t="shared" si="1"/>
        <v>3.1540881664612871E-2</v>
      </c>
      <c r="H16" s="43">
        <v>23484</v>
      </c>
      <c r="I16" s="44">
        <f t="shared" si="2"/>
        <v>68430.656934306564</v>
      </c>
      <c r="J16" s="45">
        <f t="shared" si="3"/>
        <v>1315.9741718135879</v>
      </c>
      <c r="K16" s="38"/>
    </row>
    <row r="17" spans="2:11" x14ac:dyDescent="0.35">
      <c r="B17" s="5"/>
      <c r="C17" s="54" t="s">
        <v>17</v>
      </c>
      <c r="D17" s="55"/>
      <c r="E17" s="24">
        <f t="shared" ref="E17:J17" si="4">SUM(E7:E16)</f>
        <v>0.27400000000000002</v>
      </c>
      <c r="F17" s="23">
        <f t="shared" si="4"/>
        <v>0.99999999999999978</v>
      </c>
      <c r="G17" s="32">
        <f t="shared" si="4"/>
        <v>1</v>
      </c>
      <c r="H17" s="21">
        <f t="shared" si="4"/>
        <v>744557.5</v>
      </c>
      <c r="I17" s="22">
        <f t="shared" si="4"/>
        <v>750000</v>
      </c>
      <c r="J17" s="31">
        <f t="shared" si="4"/>
        <v>14423.076923076922</v>
      </c>
      <c r="K17" s="7"/>
    </row>
    <row r="18" spans="2:11" x14ac:dyDescent="0.35">
      <c r="B18" s="8"/>
      <c r="C18" s="9"/>
      <c r="D18" s="9"/>
      <c r="E18" s="9"/>
      <c r="F18" s="9"/>
      <c r="G18" s="9"/>
      <c r="H18" s="9"/>
      <c r="I18" s="9"/>
      <c r="J18" s="9"/>
      <c r="K18" s="10"/>
    </row>
  </sheetData>
  <sortState xmlns:xlrd2="http://schemas.microsoft.com/office/spreadsheetml/2017/richdata2" ref="C7:J16">
    <sortCondition ref="D7:D16"/>
    <sortCondition descending="1" ref="F7:F16"/>
  </sortState>
  <mergeCells count="5">
    <mergeCell ref="H3:I3"/>
    <mergeCell ref="H4:I4"/>
    <mergeCell ref="C17:D17"/>
    <mergeCell ref="C3:D4"/>
    <mergeCell ref="E3:E4"/>
  </mergeCells>
  <conditionalFormatting sqref="F7:F16">
    <cfRule type="colorScale" priority="2">
      <colorScale>
        <cfvo type="min"/>
        <cfvo type="max"/>
        <color rgb="FFFCFCFF"/>
        <color rgb="FF63BE7B"/>
      </colorScale>
    </cfRule>
  </conditionalFormatting>
  <conditionalFormatting sqref="G7:G1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4ED3D-44B1-440D-8EB3-5D838821C484}">
  <dimension ref="B1:K21"/>
  <sheetViews>
    <sheetView workbookViewId="0">
      <selection activeCell="G14" sqref="G14"/>
    </sheetView>
  </sheetViews>
  <sheetFormatPr defaultRowHeight="14.5" x14ac:dyDescent="0.35"/>
  <cols>
    <col min="3" max="5" width="14.26953125" customWidth="1"/>
    <col min="6" max="6" width="18.453125" customWidth="1"/>
    <col min="7" max="7" width="16.26953125" customWidth="1"/>
    <col min="8" max="8" width="18.54296875" customWidth="1"/>
    <col min="9" max="9" width="14.81640625" customWidth="1"/>
    <col min="10" max="10" width="16.7265625" customWidth="1"/>
  </cols>
  <sheetData>
    <row r="1" spans="2:11" x14ac:dyDescent="0.35"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2:11" x14ac:dyDescent="0.35">
      <c r="B2" s="5"/>
      <c r="C2" s="6"/>
      <c r="D2" s="6"/>
      <c r="E2" s="6"/>
      <c r="F2" s="6"/>
      <c r="G2" s="6"/>
      <c r="H2" s="6"/>
      <c r="I2" s="6"/>
      <c r="J2" s="6"/>
      <c r="K2" s="7"/>
    </row>
    <row r="3" spans="2:11" x14ac:dyDescent="0.35">
      <c r="B3" s="5"/>
      <c r="C3" s="50" t="s">
        <v>26</v>
      </c>
      <c r="D3" s="50"/>
      <c r="E3" s="51">
        <v>1800000</v>
      </c>
      <c r="F3" s="6"/>
      <c r="G3" s="6"/>
      <c r="H3" s="49" t="s">
        <v>1</v>
      </c>
      <c r="I3" s="49"/>
      <c r="J3" s="16">
        <v>3664365</v>
      </c>
      <c r="K3" s="7"/>
    </row>
    <row r="4" spans="2:11" x14ac:dyDescent="0.35">
      <c r="B4" s="5"/>
      <c r="C4" s="50"/>
      <c r="D4" s="50"/>
      <c r="E4" s="51"/>
      <c r="F4" s="6"/>
      <c r="G4" s="6"/>
      <c r="H4" s="52" t="s">
        <v>2</v>
      </c>
      <c r="I4" s="53"/>
      <c r="J4" s="17">
        <v>52</v>
      </c>
      <c r="K4" s="7"/>
    </row>
    <row r="5" spans="2:11" x14ac:dyDescent="0.35">
      <c r="B5" s="5"/>
      <c r="C5" s="6"/>
      <c r="D5" s="6"/>
      <c r="E5" s="6"/>
      <c r="F5" s="6"/>
      <c r="G5" s="6"/>
      <c r="H5" s="6"/>
      <c r="I5" s="6"/>
      <c r="J5" s="6"/>
      <c r="K5" s="7"/>
    </row>
    <row r="6" spans="2:11" ht="43.5" x14ac:dyDescent="0.35">
      <c r="B6" s="5"/>
      <c r="C6" s="14" t="s">
        <v>3</v>
      </c>
      <c r="D6" s="14" t="s">
        <v>4</v>
      </c>
      <c r="E6" s="33" t="s">
        <v>5</v>
      </c>
      <c r="F6" s="25" t="s">
        <v>6</v>
      </c>
      <c r="G6" s="35" t="s">
        <v>7</v>
      </c>
      <c r="H6" s="25" t="s">
        <v>8</v>
      </c>
      <c r="I6" s="20" t="s">
        <v>9</v>
      </c>
      <c r="J6" s="26" t="s">
        <v>10</v>
      </c>
      <c r="K6" s="7"/>
    </row>
    <row r="7" spans="2:11" x14ac:dyDescent="0.35">
      <c r="B7" s="5"/>
      <c r="C7" s="1" t="s">
        <v>12</v>
      </c>
      <c r="D7" s="1" t="s">
        <v>13</v>
      </c>
      <c r="E7" s="41">
        <v>2.5999999999999999E-2</v>
      </c>
      <c r="F7" s="42">
        <f t="shared" ref="F7:F18" si="0">E7/$E$19</f>
        <v>4.7970479704797044E-2</v>
      </c>
      <c r="G7" s="41">
        <f t="shared" ref="G7:G18" si="1">H7/$H$19</f>
        <v>1.8735033218579483E-2</v>
      </c>
      <c r="H7" s="43">
        <v>34326</v>
      </c>
      <c r="I7" s="44">
        <f t="shared" ref="I7:I18" si="2">F7*$E$3</f>
        <v>86346.863468634678</v>
      </c>
      <c r="J7" s="45">
        <f t="shared" ref="J7:J18" si="3">I7/$J$4</f>
        <v>1660.5166051660515</v>
      </c>
      <c r="K7" s="38"/>
    </row>
    <row r="8" spans="2:11" x14ac:dyDescent="0.35">
      <c r="B8" s="5"/>
      <c r="C8" s="1" t="s">
        <v>12</v>
      </c>
      <c r="D8" s="1" t="s">
        <v>14</v>
      </c>
      <c r="E8" s="41">
        <v>1.2E-2</v>
      </c>
      <c r="F8" s="42">
        <f t="shared" si="0"/>
        <v>2.2140221402214021E-2</v>
      </c>
      <c r="G8" s="41">
        <f t="shared" si="1"/>
        <v>0.23559307001349483</v>
      </c>
      <c r="H8" s="43">
        <v>431649.5</v>
      </c>
      <c r="I8" s="44">
        <f t="shared" si="2"/>
        <v>39852.398523985234</v>
      </c>
      <c r="J8" s="45">
        <f t="shared" si="3"/>
        <v>766.39227930740833</v>
      </c>
      <c r="K8" s="38"/>
    </row>
    <row r="9" spans="2:11" x14ac:dyDescent="0.35">
      <c r="B9" s="5"/>
      <c r="C9" s="1" t="s">
        <v>15</v>
      </c>
      <c r="D9" s="1" t="s">
        <v>21</v>
      </c>
      <c r="E9" s="41">
        <v>4.2000000000000003E-2</v>
      </c>
      <c r="F9" s="42">
        <f t="shared" si="0"/>
        <v>7.7490774907749083E-2</v>
      </c>
      <c r="G9" s="41">
        <f t="shared" si="1"/>
        <v>1.8693006837473887E-2</v>
      </c>
      <c r="H9" s="43">
        <v>34249</v>
      </c>
      <c r="I9" s="44">
        <f t="shared" si="2"/>
        <v>139483.39483394835</v>
      </c>
      <c r="J9" s="45">
        <f t="shared" si="3"/>
        <v>2682.3729775759298</v>
      </c>
      <c r="K9" s="38"/>
    </row>
    <row r="10" spans="2:11" x14ac:dyDescent="0.35">
      <c r="B10" s="5"/>
      <c r="C10" s="1" t="s">
        <v>19</v>
      </c>
      <c r="D10" s="1" t="s">
        <v>13</v>
      </c>
      <c r="E10" s="41">
        <v>2.3E-2</v>
      </c>
      <c r="F10" s="42">
        <f t="shared" si="0"/>
        <v>4.2435424354243537E-2</v>
      </c>
      <c r="G10" s="41">
        <f t="shared" si="1"/>
        <v>2.3513487330001241E-2</v>
      </c>
      <c r="H10" s="43">
        <v>43081</v>
      </c>
      <c r="I10" s="44">
        <f t="shared" si="2"/>
        <v>76383.763837638369</v>
      </c>
      <c r="J10" s="45">
        <f t="shared" si="3"/>
        <v>1468.9185353391995</v>
      </c>
      <c r="K10" s="38"/>
    </row>
    <row r="11" spans="2:11" x14ac:dyDescent="0.35">
      <c r="B11" s="5"/>
      <c r="C11" s="1" t="s">
        <v>19</v>
      </c>
      <c r="D11" s="1" t="s">
        <v>21</v>
      </c>
      <c r="E11" s="41">
        <v>2.3E-2</v>
      </c>
      <c r="F11" s="42">
        <f t="shared" si="0"/>
        <v>4.2435424354243537E-2</v>
      </c>
      <c r="G11" s="41">
        <f t="shared" si="1"/>
        <v>4.0508792109956296E-2</v>
      </c>
      <c r="H11" s="43">
        <v>74219.5</v>
      </c>
      <c r="I11" s="44">
        <f t="shared" si="2"/>
        <v>76383.763837638369</v>
      </c>
      <c r="J11" s="45">
        <f t="shared" si="3"/>
        <v>1468.9185353391995</v>
      </c>
      <c r="K11" s="38"/>
    </row>
    <row r="12" spans="2:11" x14ac:dyDescent="0.35">
      <c r="B12" s="5"/>
      <c r="C12" s="1" t="s">
        <v>27</v>
      </c>
      <c r="D12" s="1" t="s">
        <v>14</v>
      </c>
      <c r="E12" s="41">
        <v>2.1999999999999999E-2</v>
      </c>
      <c r="F12" s="42">
        <f t="shared" si="0"/>
        <v>4.0590405904059032E-2</v>
      </c>
      <c r="G12" s="41">
        <f t="shared" si="1"/>
        <v>1.7640437019783784E-2</v>
      </c>
      <c r="H12" s="43">
        <v>32320.5</v>
      </c>
      <c r="I12" s="44">
        <f t="shared" si="2"/>
        <v>73062.730627306257</v>
      </c>
      <c r="J12" s="45">
        <f t="shared" si="3"/>
        <v>1405.0525120635818</v>
      </c>
      <c r="K12" s="38"/>
    </row>
    <row r="13" spans="2:11" x14ac:dyDescent="0.35">
      <c r="B13" s="5"/>
      <c r="C13" s="1" t="s">
        <v>20</v>
      </c>
      <c r="D13" s="1" t="s">
        <v>21</v>
      </c>
      <c r="E13" s="41">
        <v>0.26100000000000001</v>
      </c>
      <c r="F13" s="42">
        <f t="shared" si="0"/>
        <v>0.48154981549815495</v>
      </c>
      <c r="G13" s="41">
        <f t="shared" si="1"/>
        <v>0.11399628585034514</v>
      </c>
      <c r="H13" s="43">
        <v>208862</v>
      </c>
      <c r="I13" s="44">
        <f t="shared" si="2"/>
        <v>866789.6678966789</v>
      </c>
      <c r="J13" s="45">
        <f t="shared" si="3"/>
        <v>16669.032074936134</v>
      </c>
      <c r="K13" s="38"/>
    </row>
    <row r="14" spans="2:11" x14ac:dyDescent="0.35">
      <c r="B14" s="5"/>
      <c r="C14" s="1" t="s">
        <v>22</v>
      </c>
      <c r="D14" s="1" t="s">
        <v>14</v>
      </c>
      <c r="E14" s="41">
        <v>3.2000000000000001E-2</v>
      </c>
      <c r="F14" s="42">
        <f t="shared" si="0"/>
        <v>5.9040590405904057E-2</v>
      </c>
      <c r="G14" s="41">
        <f t="shared" si="1"/>
        <v>0.2226915168112347</v>
      </c>
      <c r="H14" s="43">
        <v>408011.5</v>
      </c>
      <c r="I14" s="44">
        <f t="shared" si="2"/>
        <v>106273.06273062731</v>
      </c>
      <c r="J14" s="45">
        <f t="shared" si="3"/>
        <v>2043.7127448197559</v>
      </c>
      <c r="K14" s="38"/>
    </row>
    <row r="15" spans="2:11" x14ac:dyDescent="0.35">
      <c r="B15" s="5"/>
      <c r="C15" s="1" t="s">
        <v>22</v>
      </c>
      <c r="D15" s="1" t="s">
        <v>24</v>
      </c>
      <c r="E15" s="41">
        <v>0.01</v>
      </c>
      <c r="F15" s="42">
        <f t="shared" si="0"/>
        <v>1.8450184501845018E-2</v>
      </c>
      <c r="G15" s="41">
        <f t="shared" si="1"/>
        <v>7.5744092086896364E-2</v>
      </c>
      <c r="H15" s="43">
        <v>138777</v>
      </c>
      <c r="I15" s="44">
        <f t="shared" si="2"/>
        <v>33210.33210332103</v>
      </c>
      <c r="J15" s="45">
        <f t="shared" si="3"/>
        <v>638.66023275617363</v>
      </c>
      <c r="K15" s="38"/>
    </row>
    <row r="16" spans="2:11" x14ac:dyDescent="0.35">
      <c r="B16" s="5"/>
      <c r="C16" s="46" t="s">
        <v>28</v>
      </c>
      <c r="D16" s="46" t="s">
        <v>13</v>
      </c>
      <c r="E16" s="47">
        <v>3.9E-2</v>
      </c>
      <c r="F16" s="42">
        <f t="shared" si="0"/>
        <v>7.1955719557195569E-2</v>
      </c>
      <c r="G16" s="41">
        <f t="shared" si="1"/>
        <v>7.8837397475415252E-2</v>
      </c>
      <c r="H16" s="48">
        <v>144444.5</v>
      </c>
      <c r="I16" s="44">
        <f t="shared" si="2"/>
        <v>129520.29520295202</v>
      </c>
      <c r="J16" s="45">
        <f t="shared" si="3"/>
        <v>2490.7749077490776</v>
      </c>
      <c r="K16" s="38"/>
    </row>
    <row r="17" spans="2:11" x14ac:dyDescent="0.35">
      <c r="B17" s="5"/>
      <c r="C17" s="1" t="s">
        <v>28</v>
      </c>
      <c r="D17" s="1" t="s">
        <v>24</v>
      </c>
      <c r="E17" s="41">
        <v>0.03</v>
      </c>
      <c r="F17" s="42">
        <f t="shared" si="0"/>
        <v>5.5350553505535048E-2</v>
      </c>
      <c r="G17" s="41">
        <f t="shared" si="1"/>
        <v>5.5052921856856507E-2</v>
      </c>
      <c r="H17" s="43">
        <v>100867</v>
      </c>
      <c r="I17" s="44">
        <f t="shared" si="2"/>
        <v>99630.996309963084</v>
      </c>
      <c r="J17" s="45">
        <f t="shared" si="3"/>
        <v>1915.9806982685209</v>
      </c>
      <c r="K17" s="38"/>
    </row>
    <row r="18" spans="2:11" x14ac:dyDescent="0.35">
      <c r="B18" s="5"/>
      <c r="C18" s="1" t="s">
        <v>11</v>
      </c>
      <c r="D18" s="1" t="s">
        <v>11</v>
      </c>
      <c r="E18" s="41">
        <v>2.1999999999999999E-2</v>
      </c>
      <c r="F18" s="42">
        <f t="shared" si="0"/>
        <v>4.0590405904059032E-2</v>
      </c>
      <c r="G18" s="41">
        <f t="shared" si="1"/>
        <v>9.8993959389962513E-2</v>
      </c>
      <c r="H18" s="43">
        <v>181375</v>
      </c>
      <c r="I18" s="44">
        <f t="shared" si="2"/>
        <v>73062.730627306257</v>
      </c>
      <c r="J18" s="45">
        <f t="shared" si="3"/>
        <v>1405.0525120635818</v>
      </c>
      <c r="K18" s="38"/>
    </row>
    <row r="19" spans="2:11" x14ac:dyDescent="0.35">
      <c r="B19" s="5"/>
      <c r="C19" s="54" t="s">
        <v>17</v>
      </c>
      <c r="D19" s="55"/>
      <c r="E19" s="24">
        <f t="shared" ref="E19:J19" si="4">SUM(E7:E18)</f>
        <v>0.54200000000000004</v>
      </c>
      <c r="F19" s="23">
        <f t="shared" si="4"/>
        <v>0.99999999999999989</v>
      </c>
      <c r="G19" s="32">
        <f t="shared" si="4"/>
        <v>1</v>
      </c>
      <c r="H19" s="21">
        <f t="shared" si="4"/>
        <v>1832182.5</v>
      </c>
      <c r="I19" s="40">
        <f t="shared" si="4"/>
        <v>1800000</v>
      </c>
      <c r="J19" s="31">
        <f t="shared" si="4"/>
        <v>34615.38461538461</v>
      </c>
      <c r="K19" s="7"/>
    </row>
    <row r="20" spans="2:11" x14ac:dyDescent="0.35">
      <c r="B20" s="8"/>
      <c r="C20" s="9"/>
      <c r="D20" s="9"/>
      <c r="E20" s="9"/>
      <c r="F20" s="9"/>
      <c r="G20" s="9"/>
      <c r="H20" s="9"/>
      <c r="I20" s="9"/>
      <c r="J20" s="9"/>
      <c r="K20" s="10"/>
    </row>
    <row r="21" spans="2:11" x14ac:dyDescent="0.35">
      <c r="J21" s="15"/>
    </row>
  </sheetData>
  <sortState xmlns:xlrd2="http://schemas.microsoft.com/office/spreadsheetml/2017/richdata2" ref="C7:J18">
    <sortCondition ref="D7:D18"/>
    <sortCondition descending="1" ref="F7:F18"/>
  </sortState>
  <mergeCells count="5">
    <mergeCell ref="H3:I3"/>
    <mergeCell ref="C19:D19"/>
    <mergeCell ref="H4:I4"/>
    <mergeCell ref="C3:D4"/>
    <mergeCell ref="E3:E4"/>
  </mergeCells>
  <conditionalFormatting sqref="F7:F18">
    <cfRule type="colorScale" priority="2">
      <colorScale>
        <cfvo type="min"/>
        <cfvo type="max"/>
        <color rgb="FFFCFCFF"/>
        <color rgb="FF63BE7B"/>
      </colorScale>
    </cfRule>
  </conditionalFormatting>
  <conditionalFormatting sqref="G7:G1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0d1c98-09f0-4d10-953e-dd5e4d478daa" xsi:nil="true"/>
    <lcf76f155ced4ddcb4097134ff3c332f xmlns="6aa31b7e-7481-49ec-8bb1-408cc1f2dd8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693E89D5881D448099A1C25A60F885" ma:contentTypeVersion="19" ma:contentTypeDescription="Create a new document." ma:contentTypeScope="" ma:versionID="05f9ab1cd396484fdc3c50caed31a1dd">
  <xsd:schema xmlns:xsd="http://www.w3.org/2001/XMLSchema" xmlns:xs="http://www.w3.org/2001/XMLSchema" xmlns:p="http://schemas.microsoft.com/office/2006/metadata/properties" xmlns:ns2="6aa31b7e-7481-49ec-8bb1-408cc1f2dd86" xmlns:ns3="460d1c98-09f0-4d10-953e-dd5e4d478daa" targetNamespace="http://schemas.microsoft.com/office/2006/metadata/properties" ma:root="true" ma:fieldsID="7d64b81c6b198d54d61d58975c71448e" ns2:_="" ns3:_="">
    <xsd:import namespace="6aa31b7e-7481-49ec-8bb1-408cc1f2dd86"/>
    <xsd:import namespace="460d1c98-09f0-4d10-953e-dd5e4d478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31b7e-7481-49ec-8bb1-408cc1f2dd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2bf20f3-1dad-4cf2-8a60-565a4b6c0a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d1c98-09f0-4d10-953e-dd5e4d478da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8242431-b9eb-46b4-8cbc-5028fbca96aa}" ma:internalName="TaxCatchAll" ma:showField="CatchAllData" ma:web="460d1c98-09f0-4d10-953e-dd5e4d478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073B8F-B9FF-4212-8C38-0FBD2D4F7787}">
  <ds:schemaRefs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60d1c98-09f0-4d10-953e-dd5e4d478daa"/>
    <ds:schemaRef ds:uri="http://schemas.microsoft.com/office/2006/documentManagement/types"/>
    <ds:schemaRef ds:uri="6aa31b7e-7481-49ec-8bb1-408cc1f2dd86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ABD988D-933B-4811-8D68-85E0B98E726F}"/>
</file>

<file path=customXml/itemProps3.xml><?xml version="1.0" encoding="utf-8"?>
<ds:datastoreItem xmlns:ds="http://schemas.openxmlformats.org/officeDocument/2006/customXml" ds:itemID="{D3C28675-3FDC-4028-A34C-943C1C24D7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Awareness Model</vt:lpstr>
      <vt:lpstr>Consideration Model</vt:lpstr>
      <vt:lpstr>Conversion 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Swati Mayo</cp:lastModifiedBy>
  <cp:revision/>
  <dcterms:created xsi:type="dcterms:W3CDTF">2025-06-19T13:14:18Z</dcterms:created>
  <dcterms:modified xsi:type="dcterms:W3CDTF">2025-07-25T02:54:05Z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0x010100B2693E89D5881D448099A1C25A60F885</vt:lpwstr>
  </property>
  <property fmtid="{D5CDD505-2E9C-101B-9397-08002B2CF9AE}" pid="3" name="MediaServiceImageTags">
    <vt:lpwstr/>
  </property>
</Properties>
</file>