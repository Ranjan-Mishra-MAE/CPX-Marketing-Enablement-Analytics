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1587" documentId="11_617979CEC564329C7471F5391AA8E749229FE74F" xr6:coauthVersionLast="47" xr6:coauthVersionMax="47" xr10:uidLastSave="{DF8327AB-2950-4408-8160-F4984E3FE5FB}"/>
  <bookViews>
    <workbookView xWindow="240" yWindow="105" windowWidth="14805" windowHeight="8010" firstSheet="1" activeTab="1" xr2:uid="{00000000-000D-0000-FFFF-FFFF00000000}"/>
  </bookViews>
  <sheets>
    <sheet name="Awareness Model" sheetId="2" r:id="rId1"/>
    <sheet name="Consideration Model" sheetId="3" r:id="rId2"/>
    <sheet name="Conversion Model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G11" i="2"/>
  <c r="F10" i="2"/>
  <c r="E10" i="2"/>
  <c r="H10" i="2" s="1"/>
  <c r="I10" i="2" s="1"/>
  <c r="D15" i="4"/>
  <c r="G15" i="4"/>
  <c r="G14" i="3"/>
  <c r="D14" i="3"/>
  <c r="F14" i="4"/>
  <c r="E14" i="4"/>
  <c r="F12" i="3"/>
  <c r="F13" i="3"/>
  <c r="F7" i="3"/>
  <c r="F8" i="3"/>
  <c r="F9" i="3"/>
  <c r="F10" i="3"/>
  <c r="F11" i="3"/>
  <c r="F14" i="3" s="1"/>
  <c r="E12" i="3"/>
  <c r="E13" i="3"/>
  <c r="E7" i="3"/>
  <c r="H7" i="3" s="1"/>
  <c r="E8" i="3"/>
  <c r="E9" i="3"/>
  <c r="E10" i="3"/>
  <c r="E11" i="3"/>
  <c r="H14" i="4" l="1"/>
  <c r="I14" i="4" s="1"/>
  <c r="H11" i="3"/>
  <c r="I11" i="3" s="1"/>
  <c r="H10" i="3"/>
  <c r="I10" i="3" s="1"/>
  <c r="H9" i="3"/>
  <c r="I9" i="3" s="1"/>
  <c r="H8" i="3"/>
  <c r="I8" i="3" s="1"/>
  <c r="H13" i="3"/>
  <c r="I13" i="3" s="1"/>
  <c r="H12" i="3"/>
  <c r="I12" i="3" s="1"/>
  <c r="F12" i="4"/>
  <c r="F11" i="4"/>
  <c r="F10" i="4"/>
  <c r="F7" i="4"/>
  <c r="F9" i="4"/>
  <c r="F13" i="4"/>
  <c r="F8" i="4"/>
  <c r="E12" i="4"/>
  <c r="E11" i="4"/>
  <c r="H11" i="4" s="1"/>
  <c r="E10" i="4"/>
  <c r="E7" i="4"/>
  <c r="E9" i="4"/>
  <c r="E13" i="4"/>
  <c r="E8" i="4"/>
  <c r="E14" i="3"/>
  <c r="F9" i="2"/>
  <c r="F7" i="2"/>
  <c r="F8" i="2"/>
  <c r="E8" i="2"/>
  <c r="E7" i="2"/>
  <c r="E9" i="2"/>
  <c r="H8" i="4" l="1"/>
  <c r="I8" i="4" s="1"/>
  <c r="H13" i="4"/>
  <c r="I13" i="4" s="1"/>
  <c r="H9" i="4"/>
  <c r="I9" i="4" s="1"/>
  <c r="H7" i="4"/>
  <c r="H10" i="4"/>
  <c r="I10" i="4" s="1"/>
  <c r="H12" i="4"/>
  <c r="I12" i="4" s="1"/>
  <c r="E11" i="2"/>
  <c r="F11" i="2"/>
  <c r="H9" i="2"/>
  <c r="I9" i="2" s="1"/>
  <c r="H7" i="2"/>
  <c r="H8" i="2"/>
  <c r="I8" i="2" s="1"/>
  <c r="I11" i="4"/>
  <c r="E15" i="4"/>
  <c r="F15" i="4"/>
  <c r="I7" i="3"/>
  <c r="I14" i="3" s="1"/>
  <c r="H14" i="3"/>
  <c r="H15" i="4" l="1"/>
  <c r="I7" i="4"/>
  <c r="I7" i="2"/>
  <c r="I11" i="2" s="1"/>
  <c r="H11" i="2"/>
  <c r="I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D6" authorId="0" shapeId="0" xr:uid="{1180DC3F-1B12-431A-87A8-5AE32652A120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E6" authorId="0" shapeId="0" xr:uid="{1E8BFCC0-6D37-4A0F-BEA1-CA8EB64F60BC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F6" authorId="0" shapeId="0" xr:uid="{2E514F45-954C-49CA-9A9F-DAB63894D21E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G6" authorId="0" shapeId="0" xr:uid="{EBFDEAB3-2616-4BB4-AAD7-200C9AAAF2EF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H6" authorId="0" shapeId="0" xr:uid="{DBED4A4C-6830-459B-8FE7-33EE96E474EC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I6" authorId="0" shapeId="0" xr:uid="{A23B3F41-ACD8-4AD3-8243-64B6D4D5C1B4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D6" authorId="0" shapeId="0" xr:uid="{DB923E3A-0BBD-4984-B027-0ACCC181EB2D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E6" authorId="0" shapeId="0" xr:uid="{59BAA82D-0BB0-47C2-8877-3AA52C319082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F6" authorId="0" shapeId="0" xr:uid="{BE662F60-02C2-4835-AA77-B277EB4D8163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G6" authorId="0" shapeId="0" xr:uid="{BF30ECC8-ED40-4E4D-9996-FFC184DE0F82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H6" authorId="0" shapeId="0" xr:uid="{71DDFD46-4175-4EB7-AA05-3957D9FB322C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I6" authorId="0" shapeId="0" xr:uid="{024C011F-2BD1-4E03-98CF-7D09AE42D2DC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D6" authorId="0" shapeId="0" xr:uid="{52432632-0145-4676-B5AD-93034CE45816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E6" authorId="0" shapeId="0" xr:uid="{76364535-6E2B-495F-903E-10C1744A2924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F6" authorId="0" shapeId="0" xr:uid="{144852CE-4EAF-4E68-85FB-A6168A6FBC4D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G6" authorId="0" shapeId="0" xr:uid="{D06DD40C-8A04-4B32-B9A1-43801E088357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H6" authorId="0" shapeId="0" xr:uid="{71E0283E-4F58-4E8F-AA46-99040937083A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I6" authorId="0" shapeId="0" xr:uid="{ED7ACDB6-DC9C-408A-AACE-B43D2D03EA3E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sharedStrings.xml><?xml version="1.0" encoding="utf-8"?>
<sst xmlns="http://schemas.openxmlformats.org/spreadsheetml/2006/main" count="52" uniqueCount="24">
  <si>
    <t>2026 Awareness Budget Input</t>
  </si>
  <si>
    <t>2-Year Actual Past Budget</t>
  </si>
  <si>
    <t>Weeks</t>
  </si>
  <si>
    <t>Line of Business</t>
  </si>
  <si>
    <t>Contribution to Attendance (all factors)</t>
  </si>
  <si>
    <t>Contribution to Attendance (internal factors only)</t>
  </si>
  <si>
    <t>Spend Proportion (trailing 2 years)</t>
  </si>
  <si>
    <t>Actual Yearly Spend (trailing 2-year avg.)</t>
  </si>
  <si>
    <t>Model-based 2026 Allocation</t>
  </si>
  <si>
    <t>Model-based 2026 Allocation / week</t>
  </si>
  <si>
    <t>Brand</t>
  </si>
  <si>
    <t>Cineclub</t>
  </si>
  <si>
    <t>F&amp;B</t>
  </si>
  <si>
    <t>PR</t>
  </si>
  <si>
    <t>Total</t>
  </si>
  <si>
    <t>2026 Consideration Budget Input</t>
  </si>
  <si>
    <t>Enhanced</t>
  </si>
  <si>
    <t>Exhibition</t>
  </si>
  <si>
    <t>Film</t>
  </si>
  <si>
    <t>G&amp;E</t>
  </si>
  <si>
    <t>Prepaid</t>
  </si>
  <si>
    <t>2026 Conversion Budget Input</t>
  </si>
  <si>
    <t>Event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</si>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</sst>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164" fontId="0" fillId="0" borderId="2" xfId="0" applyNumberFormat="1" applyBorder="1"/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/>
    <xf numFmtId="0" fontId="0" fillId="0" borderId="13" xfId="0" applyBorder="1"/>
    <xf numFmtId="0" fontId="0" fillId="4" borderId="1" xfId="0" applyFill="1" applyBorder="1" applyAlignment="1">
      <alignment horizontal="left"/>
    </xf>
    <xf numFmtId="0" fontId="0" fillId="2" borderId="17" xfId="0" applyFill="1" applyBorder="1" applyAlignment="1">
      <alignment horizontal="center" vertical="center" wrapText="1"/>
    </xf>
    <xf numFmtId="165" fontId="0" fillId="0" borderId="18" xfId="0" applyNumberFormat="1" applyBorder="1"/>
    <xf numFmtId="165" fontId="0" fillId="0" borderId="19" xfId="0" applyNumberFormat="1" applyBorder="1"/>
    <xf numFmtId="165" fontId="0" fillId="4" borderId="20" xfId="0" applyNumberFormat="1" applyFill="1" applyBorder="1"/>
    <xf numFmtId="165" fontId="0" fillId="4" borderId="21" xfId="0" applyNumberFormat="1" applyFill="1" applyBorder="1"/>
    <xf numFmtId="164" fontId="0" fillId="0" borderId="18" xfId="0" applyNumberFormat="1" applyBorder="1"/>
    <xf numFmtId="164" fontId="0" fillId="4" borderId="20" xfId="0" applyNumberFormat="1" applyFill="1" applyBorder="1"/>
    <xf numFmtId="0" fontId="0" fillId="2" borderId="2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164" fontId="0" fillId="4" borderId="23" xfId="0" applyNumberFormat="1" applyFill="1" applyBorder="1"/>
    <xf numFmtId="165" fontId="0" fillId="0" borderId="13" xfId="0" applyNumberFormat="1" applyBorder="1"/>
    <xf numFmtId="165" fontId="0" fillId="4" borderId="13" xfId="0" applyNumberFormat="1" applyFill="1" applyBorder="1"/>
    <xf numFmtId="165" fontId="0" fillId="4" borderId="23" xfId="0" applyNumberFormat="1" applyFill="1" applyBorder="1"/>
    <xf numFmtId="165" fontId="0" fillId="4" borderId="24" xfId="0" applyNumberFormat="1" applyFill="1" applyBorder="1"/>
    <xf numFmtId="165" fontId="0" fillId="4" borderId="16" xfId="0" applyNumberFormat="1" applyFill="1" applyBorder="1"/>
    <xf numFmtId="164" fontId="0" fillId="4" borderId="26" xfId="0" applyNumberFormat="1" applyFill="1" applyBorder="1"/>
    <xf numFmtId="0" fontId="0" fillId="2" borderId="27" xfId="0" applyFill="1" applyBorder="1" applyAlignment="1">
      <alignment horizontal="center" vertical="center" wrapText="1"/>
    </xf>
    <xf numFmtId="164" fontId="0" fillId="4" borderId="15" xfId="0" applyNumberFormat="1" applyFill="1" applyBorder="1"/>
    <xf numFmtId="0" fontId="0" fillId="0" borderId="10" xfId="0" applyBorder="1"/>
    <xf numFmtId="165" fontId="0" fillId="3" borderId="8" xfId="0" applyNumberFormat="1" applyFill="1" applyBorder="1"/>
    <xf numFmtId="0" fontId="0" fillId="3" borderId="0" xfId="0" applyFill="1" applyAlignment="1">
      <alignment wrapText="1"/>
    </xf>
    <xf numFmtId="0" fontId="0" fillId="2" borderId="28" xfId="0" applyFill="1" applyBorder="1" applyAlignment="1">
      <alignment horizontal="center" vertical="center" wrapText="1"/>
    </xf>
    <xf numFmtId="164" fontId="0" fillId="0" borderId="28" xfId="0" applyNumberFormat="1" applyBorder="1"/>
    <xf numFmtId="164" fontId="0" fillId="4" borderId="28" xfId="0" applyNumberFormat="1" applyFill="1" applyBorder="1"/>
    <xf numFmtId="165" fontId="0" fillId="0" borderId="30" xfId="0" applyNumberFormat="1" applyBorder="1"/>
    <xf numFmtId="164" fontId="0" fillId="4" borderId="31" xfId="0" applyNumberFormat="1" applyFill="1" applyBorder="1"/>
    <xf numFmtId="165" fontId="0" fillId="4" borderId="11" xfId="0" applyNumberFormat="1" applyFill="1" applyBorder="1"/>
    <xf numFmtId="0" fontId="1" fillId="4" borderId="12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7A0F-DBBB-431D-8199-B3DBC841C01B}">
  <dimension ref="B2:J12"/>
  <sheetViews>
    <sheetView workbookViewId="0">
      <selection activeCell="C7" sqref="C7:G10"/>
    </sheetView>
  </sheetViews>
  <sheetFormatPr defaultRowHeight="15"/>
  <cols>
    <col min="3" max="4" width="14.28515625" customWidth="1"/>
    <col min="5" max="5" width="18.42578125" customWidth="1"/>
    <col min="6" max="6" width="16.140625" customWidth="1"/>
    <col min="7" max="7" width="18.5703125" customWidth="1"/>
    <col min="8" max="8" width="15.140625" customWidth="1"/>
    <col min="9" max="9" width="16.7109375" customWidth="1"/>
    <col min="10" max="10" width="9" customWidth="1"/>
  </cols>
  <sheetData>
    <row r="2" spans="2:10">
      <c r="B2" s="2"/>
      <c r="C2" s="3"/>
      <c r="D2" s="3"/>
      <c r="E2" s="3"/>
      <c r="F2" s="3"/>
      <c r="G2" s="3"/>
      <c r="H2" s="3"/>
      <c r="I2" s="3"/>
      <c r="J2" s="4"/>
    </row>
    <row r="3" spans="2:10">
      <c r="B3" s="5"/>
      <c r="C3" s="47" t="s">
        <v>0</v>
      </c>
      <c r="D3" s="48"/>
      <c r="E3" s="51">
        <v>750000</v>
      </c>
      <c r="F3" s="6"/>
      <c r="G3" s="53" t="s">
        <v>1</v>
      </c>
      <c r="H3" s="53"/>
      <c r="I3" s="17">
        <v>1507726</v>
      </c>
      <c r="J3" s="7"/>
    </row>
    <row r="4" spans="2:10">
      <c r="B4" s="5"/>
      <c r="C4" s="49"/>
      <c r="D4" s="50"/>
      <c r="E4" s="52"/>
      <c r="F4" s="6"/>
      <c r="G4" s="54" t="s">
        <v>2</v>
      </c>
      <c r="H4" s="55"/>
      <c r="I4" s="1">
        <v>52</v>
      </c>
      <c r="J4" s="7"/>
    </row>
    <row r="5" spans="2:10" s="14" customFormat="1">
      <c r="B5" s="12"/>
      <c r="C5" s="40"/>
      <c r="D5" s="40"/>
      <c r="E5" s="40"/>
      <c r="F5" s="40"/>
      <c r="G5" s="40"/>
      <c r="H5" s="40"/>
      <c r="I5" s="40"/>
      <c r="J5" s="13"/>
    </row>
    <row r="6" spans="2:10" ht="43.5">
      <c r="B6" s="5"/>
      <c r="C6" s="15" t="s">
        <v>3</v>
      </c>
      <c r="D6" s="41" t="s">
        <v>4</v>
      </c>
      <c r="E6" s="27" t="s">
        <v>5</v>
      </c>
      <c r="F6" s="36" t="s">
        <v>6</v>
      </c>
      <c r="G6" s="27" t="s">
        <v>7</v>
      </c>
      <c r="H6" s="20" t="s">
        <v>8</v>
      </c>
      <c r="I6" s="28" t="s">
        <v>9</v>
      </c>
      <c r="J6" s="7"/>
    </row>
    <row r="7" spans="2:10">
      <c r="B7" s="5"/>
      <c r="C7" s="1" t="s">
        <v>10</v>
      </c>
      <c r="D7" s="42">
        <v>6.3E-2</v>
      </c>
      <c r="E7" s="25">
        <f>D7/$D$11</f>
        <v>0.46666666666666662</v>
      </c>
      <c r="F7" s="11">
        <f>G7/$G$11</f>
        <v>0.64081272061369243</v>
      </c>
      <c r="G7" s="21">
        <v>483085</v>
      </c>
      <c r="H7" s="22">
        <f>E7*$E$3</f>
        <v>349999.99999999994</v>
      </c>
      <c r="I7" s="30">
        <f>H7/$I$4</f>
        <v>6730.7692307692296</v>
      </c>
      <c r="J7" s="39"/>
    </row>
    <row r="8" spans="2:10">
      <c r="B8" s="5"/>
      <c r="C8" s="1" t="s">
        <v>11</v>
      </c>
      <c r="D8" s="42">
        <v>2.8000000000000001E-2</v>
      </c>
      <c r="E8" s="25">
        <f>D8/$D$11</f>
        <v>0.2074074074074074</v>
      </c>
      <c r="F8" s="11">
        <f>G8/$G$11</f>
        <v>1.7822867019604359E-2</v>
      </c>
      <c r="G8" s="21">
        <v>13436</v>
      </c>
      <c r="H8" s="22">
        <f>E8*$E$3</f>
        <v>155555.55555555556</v>
      </c>
      <c r="I8" s="30">
        <f>H8/$I$4</f>
        <v>2991.4529914529917</v>
      </c>
      <c r="J8" s="39"/>
    </row>
    <row r="9" spans="2:10">
      <c r="B9" s="5"/>
      <c r="C9" s="1" t="s">
        <v>12</v>
      </c>
      <c r="D9" s="42">
        <v>1.4E-2</v>
      </c>
      <c r="E9" s="25">
        <f>D9/$D$11</f>
        <v>0.1037037037037037</v>
      </c>
      <c r="F9" s="11">
        <f>G9/$G$11</f>
        <v>0.10077029911270351</v>
      </c>
      <c r="G9" s="21">
        <v>75967</v>
      </c>
      <c r="H9" s="22">
        <f>E9*$E$3</f>
        <v>77777.777777777781</v>
      </c>
      <c r="I9" s="30">
        <f>H9/$I$4</f>
        <v>1495.7264957264958</v>
      </c>
      <c r="J9" s="39"/>
    </row>
    <row r="10" spans="2:10">
      <c r="B10" s="5"/>
      <c r="C10" s="1" t="s">
        <v>13</v>
      </c>
      <c r="D10" s="42">
        <v>0.03</v>
      </c>
      <c r="E10" s="25">
        <f>D10/$D$11</f>
        <v>0.22222222222222221</v>
      </c>
      <c r="F10" s="11">
        <f>G10/$G$11</f>
        <v>0.24059411325399974</v>
      </c>
      <c r="G10" s="44">
        <v>181375</v>
      </c>
      <c r="H10" s="22">
        <f>E10*$E$3</f>
        <v>166666.66666666666</v>
      </c>
      <c r="I10" s="30">
        <f>H10/$I$4</f>
        <v>3205.1282051282051</v>
      </c>
      <c r="J10" s="39"/>
    </row>
    <row r="11" spans="2:10">
      <c r="B11" s="5"/>
      <c r="C11" s="19" t="s">
        <v>14</v>
      </c>
      <c r="D11" s="43">
        <f>SUM(D7:D10)</f>
        <v>0.13500000000000001</v>
      </c>
      <c r="E11" s="29">
        <f>SUM(E7:E10)</f>
        <v>1</v>
      </c>
      <c r="F11" s="37">
        <f>SUM(F7:F10)</f>
        <v>1</v>
      </c>
      <c r="G11" s="32">
        <f>SUM(G7:G10)</f>
        <v>753863</v>
      </c>
      <c r="H11" s="33">
        <f>SUM(H7:H10)</f>
        <v>749999.99999999988</v>
      </c>
      <c r="I11" s="31">
        <f>SUM(I7:I10)</f>
        <v>14423.076923076922</v>
      </c>
      <c r="J11" s="7"/>
    </row>
    <row r="12" spans="2:10">
      <c r="B12" s="8"/>
      <c r="C12" s="9"/>
      <c r="D12" s="9"/>
      <c r="E12" s="9"/>
      <c r="F12" s="9"/>
      <c r="G12" s="9"/>
      <c r="H12" s="9"/>
      <c r="I12" s="9"/>
      <c r="J12" s="10"/>
    </row>
  </sheetData>
  <sortState xmlns:xlrd2="http://schemas.microsoft.com/office/spreadsheetml/2017/richdata2" ref="C7:I10">
    <sortCondition ref="C7:C10"/>
  </sortState>
  <mergeCells count="4">
    <mergeCell ref="C3:D4"/>
    <mergeCell ref="E3:E4"/>
    <mergeCell ref="G3:H3"/>
    <mergeCell ref="G4:H4"/>
  </mergeCells>
  <conditionalFormatting sqref="E7:E10">
    <cfRule type="colorScale" priority="3">
      <colorScale>
        <cfvo type="min"/>
        <cfvo type="max"/>
        <color rgb="FFFCFCFF"/>
        <color rgb="FF63BE7B"/>
      </colorScale>
    </cfRule>
  </conditionalFormatting>
  <conditionalFormatting sqref="F7:F10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2FDC-BDF3-4515-8112-F27AAF4EEB83}">
  <dimension ref="B2:J15"/>
  <sheetViews>
    <sheetView tabSelected="1" workbookViewId="0">
      <selection activeCell="L5" sqref="L5"/>
    </sheetView>
  </sheetViews>
  <sheetFormatPr defaultRowHeight="15"/>
  <cols>
    <col min="3" max="3" width="14.7109375" customWidth="1"/>
    <col min="4" max="4" width="14.28515625" customWidth="1"/>
    <col min="5" max="5" width="18.42578125" customWidth="1"/>
    <col min="6" max="6" width="16.140625" customWidth="1"/>
    <col min="7" max="7" width="18.5703125" customWidth="1"/>
    <col min="8" max="8" width="15.28515625" customWidth="1"/>
    <col min="9" max="9" width="16.7109375" customWidth="1"/>
  </cols>
  <sheetData>
    <row r="2" spans="2:10">
      <c r="B2" s="2"/>
      <c r="C2" s="3"/>
      <c r="D2" s="3"/>
      <c r="E2" s="3"/>
      <c r="F2" s="3"/>
      <c r="G2" s="3"/>
      <c r="H2" s="3"/>
      <c r="I2" s="3"/>
      <c r="J2" s="4"/>
    </row>
    <row r="3" spans="2:10">
      <c r="B3" s="5"/>
      <c r="C3" s="47" t="s">
        <v>15</v>
      </c>
      <c r="D3" s="48"/>
      <c r="E3" s="51">
        <v>750000</v>
      </c>
      <c r="F3" s="6"/>
      <c r="G3" s="53" t="s">
        <v>1</v>
      </c>
      <c r="H3" s="53"/>
      <c r="I3" s="17">
        <v>1489114</v>
      </c>
      <c r="J3" s="7"/>
    </row>
    <row r="4" spans="2:10">
      <c r="B4" s="5"/>
      <c r="C4" s="49"/>
      <c r="D4" s="50"/>
      <c r="E4" s="52"/>
      <c r="F4" s="6"/>
      <c r="G4" s="54" t="s">
        <v>2</v>
      </c>
      <c r="H4" s="55"/>
      <c r="I4" s="18">
        <v>52</v>
      </c>
      <c r="J4" s="7"/>
    </row>
    <row r="5" spans="2:10">
      <c r="B5" s="5"/>
      <c r="C5" s="6"/>
      <c r="D5" s="6"/>
      <c r="E5" s="6"/>
      <c r="F5" s="6"/>
      <c r="G5" s="6"/>
      <c r="H5" s="6"/>
      <c r="I5" s="6"/>
      <c r="J5" s="7"/>
    </row>
    <row r="6" spans="2:10" ht="43.5">
      <c r="B6" s="5"/>
      <c r="C6" s="15" t="s">
        <v>3</v>
      </c>
      <c r="D6" s="41" t="s">
        <v>4</v>
      </c>
      <c r="E6" s="27" t="s">
        <v>5</v>
      </c>
      <c r="F6" s="36" t="s">
        <v>6</v>
      </c>
      <c r="G6" s="27" t="s">
        <v>7</v>
      </c>
      <c r="H6" s="20" t="s">
        <v>8</v>
      </c>
      <c r="I6" s="28" t="s">
        <v>9</v>
      </c>
      <c r="J6" s="7"/>
    </row>
    <row r="7" spans="2:10">
      <c r="B7" s="5"/>
      <c r="C7" s="1" t="s">
        <v>10</v>
      </c>
      <c r="D7" s="42">
        <v>5.8000000000000003E-2</v>
      </c>
      <c r="E7" s="25">
        <f>D7/$D$14</f>
        <v>0.3493975903614458</v>
      </c>
      <c r="F7" s="11">
        <f>G7/$G$14</f>
        <v>0.36588517183395203</v>
      </c>
      <c r="G7" s="21">
        <v>272422</v>
      </c>
      <c r="H7" s="22">
        <f>E7*$E$3</f>
        <v>262048.19277108434</v>
      </c>
      <c r="I7" s="30">
        <f>H7/$I$4</f>
        <v>5039.3883225208529</v>
      </c>
      <c r="J7" s="39"/>
    </row>
    <row r="8" spans="2:10">
      <c r="B8" s="5"/>
      <c r="C8" s="1" t="s">
        <v>16</v>
      </c>
      <c r="D8" s="42">
        <v>7.0000000000000001E-3</v>
      </c>
      <c r="E8" s="25">
        <f>D8/$D$14</f>
        <v>4.2168674698795178E-2</v>
      </c>
      <c r="F8" s="11">
        <f>G8/$G$14</f>
        <v>1.900998716013302E-2</v>
      </c>
      <c r="G8" s="21">
        <v>14154</v>
      </c>
      <c r="H8" s="22">
        <f>E8*$E$3</f>
        <v>31626.506024096383</v>
      </c>
      <c r="I8" s="30">
        <f>H8/$I$4</f>
        <v>608.20203892493043</v>
      </c>
      <c r="J8" s="39"/>
    </row>
    <row r="9" spans="2:10">
      <c r="B9" s="5"/>
      <c r="C9" s="1" t="s">
        <v>17</v>
      </c>
      <c r="D9" s="42">
        <v>1.0999999999999999E-2</v>
      </c>
      <c r="E9" s="25">
        <f>D9/$D$14</f>
        <v>6.6265060240963847E-2</v>
      </c>
      <c r="F9" s="11">
        <f>G9/$G$14</f>
        <v>7.3482719902868282E-2</v>
      </c>
      <c r="G9" s="21">
        <v>54712</v>
      </c>
      <c r="H9" s="22">
        <f>E9*$E$3</f>
        <v>49698.795180722882</v>
      </c>
      <c r="I9" s="30">
        <f>H9/$I$4</f>
        <v>955.74606116774771</v>
      </c>
      <c r="J9" s="39"/>
    </row>
    <row r="10" spans="2:10">
      <c r="B10" s="5"/>
      <c r="C10" s="1" t="s">
        <v>18</v>
      </c>
      <c r="D10" s="42">
        <v>1.4999999999999999E-2</v>
      </c>
      <c r="E10" s="25">
        <f>D10/$D$14</f>
        <v>9.0361445783132516E-2</v>
      </c>
      <c r="F10" s="11">
        <f>G10/$G$14</f>
        <v>5.6808352897565799E-2</v>
      </c>
      <c r="G10" s="21">
        <v>42297</v>
      </c>
      <c r="H10" s="22">
        <f>E10*$E$3</f>
        <v>67771.084337349384</v>
      </c>
      <c r="I10" s="30">
        <f>H10/$I$4</f>
        <v>1303.2900834105651</v>
      </c>
      <c r="J10" s="39"/>
    </row>
    <row r="11" spans="2:10">
      <c r="B11" s="5"/>
      <c r="C11" s="1" t="s">
        <v>19</v>
      </c>
      <c r="D11" s="42">
        <v>1.4999999999999999E-2</v>
      </c>
      <c r="E11" s="25">
        <f>D11/$D$14</f>
        <v>9.0361445783132516E-2</v>
      </c>
      <c r="F11" s="11">
        <f>G11/$G$14</f>
        <v>0.20967126717130746</v>
      </c>
      <c r="G11" s="21">
        <v>156112</v>
      </c>
      <c r="H11" s="22">
        <f>E11*$E$3</f>
        <v>67771.084337349384</v>
      </c>
      <c r="I11" s="30">
        <f>H11/$I$4</f>
        <v>1303.2900834105651</v>
      </c>
      <c r="J11" s="39"/>
    </row>
    <row r="12" spans="2:10">
      <c r="B12" s="5"/>
      <c r="C12" s="1" t="s">
        <v>13</v>
      </c>
      <c r="D12" s="42">
        <v>2.4E-2</v>
      </c>
      <c r="E12" s="25">
        <f>D12/$D$14</f>
        <v>0.14457831325301204</v>
      </c>
      <c r="F12" s="11">
        <f>G12/$G$14</f>
        <v>0.24360155582655973</v>
      </c>
      <c r="G12" s="21">
        <v>181375</v>
      </c>
      <c r="H12" s="22">
        <f>E12*$E$3</f>
        <v>108433.73493975903</v>
      </c>
      <c r="I12" s="30">
        <f>H12/$I$4</f>
        <v>2085.2641334569043</v>
      </c>
      <c r="J12" s="39"/>
    </row>
    <row r="13" spans="2:10">
      <c r="B13" s="5"/>
      <c r="C13" s="1" t="s">
        <v>20</v>
      </c>
      <c r="D13" s="42">
        <v>3.5999999999999997E-2</v>
      </c>
      <c r="E13" s="25">
        <f>D13/$D$14</f>
        <v>0.21686746987951805</v>
      </c>
      <c r="F13" s="11">
        <f>G13/$G$14</f>
        <v>3.1540945207613663E-2</v>
      </c>
      <c r="G13" s="21">
        <v>23484</v>
      </c>
      <c r="H13" s="22">
        <f>E13*$E$3</f>
        <v>162650.60240963852</v>
      </c>
      <c r="I13" s="30">
        <f>H13/$I$4</f>
        <v>3127.8962001853561</v>
      </c>
      <c r="J13" s="39"/>
    </row>
    <row r="14" spans="2:10">
      <c r="B14" s="5"/>
      <c r="C14" s="19" t="s">
        <v>14</v>
      </c>
      <c r="D14" s="45">
        <f>SUM(D7:D13)</f>
        <v>0.16600000000000001</v>
      </c>
      <c r="E14" s="26">
        <f>SUM(E7:E13)</f>
        <v>1</v>
      </c>
      <c r="F14" s="35">
        <f>SUM(F7:F13)</f>
        <v>1</v>
      </c>
      <c r="G14" s="23">
        <f>SUM(G7:G13)</f>
        <v>744556</v>
      </c>
      <c r="H14" s="24">
        <f>SUM(H7:H13)</f>
        <v>750000</v>
      </c>
      <c r="I14" s="34">
        <f>SUM(I7:I13)</f>
        <v>14423.07692307692</v>
      </c>
      <c r="J14" s="7"/>
    </row>
    <row r="15" spans="2:10">
      <c r="B15" s="8"/>
      <c r="C15" s="9"/>
      <c r="D15" s="9"/>
      <c r="E15" s="9"/>
      <c r="F15" s="9"/>
      <c r="G15" s="9"/>
      <c r="H15" s="9"/>
      <c r="I15" s="9"/>
      <c r="J15" s="10"/>
    </row>
  </sheetData>
  <sortState xmlns:xlrd2="http://schemas.microsoft.com/office/spreadsheetml/2017/richdata2" ref="C7:I13">
    <sortCondition ref="C7:C13"/>
  </sortState>
  <mergeCells count="4">
    <mergeCell ref="G3:H3"/>
    <mergeCell ref="G4:H4"/>
    <mergeCell ref="C3:D4"/>
    <mergeCell ref="E3:E4"/>
  </mergeCells>
  <conditionalFormatting sqref="E7:E13">
    <cfRule type="colorScale" priority="5">
      <colorScale>
        <cfvo type="min"/>
        <cfvo type="max"/>
        <color rgb="FFFCFCFF"/>
        <color rgb="FF63BE7B"/>
      </colorScale>
    </cfRule>
  </conditionalFormatting>
  <conditionalFormatting sqref="F7:F13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ED3D-44B1-440D-8EB3-5D838821C484}">
  <dimension ref="B1:J17"/>
  <sheetViews>
    <sheetView workbookViewId="0">
      <selection activeCell="C7" sqref="C7:G14"/>
    </sheetView>
  </sheetViews>
  <sheetFormatPr defaultRowHeight="15"/>
  <cols>
    <col min="3" max="4" width="14.28515625" customWidth="1"/>
    <col min="5" max="5" width="18.42578125" customWidth="1"/>
    <col min="6" max="6" width="16.28515625" customWidth="1"/>
    <col min="7" max="7" width="18.5703125" customWidth="1"/>
    <col min="8" max="8" width="14.85546875" customWidth="1"/>
    <col min="9" max="9" width="16.7109375" customWidth="1"/>
  </cols>
  <sheetData>
    <row r="1" spans="2:10">
      <c r="B1" s="38"/>
      <c r="C1" s="38"/>
      <c r="D1" s="38"/>
      <c r="E1" s="38"/>
      <c r="F1" s="38"/>
      <c r="G1" s="38"/>
      <c r="H1" s="38"/>
      <c r="I1" s="38"/>
      <c r="J1" s="38"/>
    </row>
    <row r="2" spans="2:10">
      <c r="B2" s="5"/>
      <c r="C2" s="6"/>
      <c r="D2" s="6"/>
      <c r="E2" s="6"/>
      <c r="F2" s="6"/>
      <c r="G2" s="6"/>
      <c r="H2" s="6"/>
      <c r="I2" s="6"/>
      <c r="J2" s="7"/>
    </row>
    <row r="3" spans="2:10">
      <c r="B3" s="5"/>
      <c r="C3" s="47" t="s">
        <v>21</v>
      </c>
      <c r="D3" s="48"/>
      <c r="E3" s="51">
        <v>1800000</v>
      </c>
      <c r="F3" s="6"/>
      <c r="G3" s="53" t="s">
        <v>1</v>
      </c>
      <c r="H3" s="53"/>
      <c r="I3" s="17">
        <v>3664365</v>
      </c>
      <c r="J3" s="7"/>
    </row>
    <row r="4" spans="2:10">
      <c r="B4" s="5"/>
      <c r="C4" s="49"/>
      <c r="D4" s="50"/>
      <c r="E4" s="52"/>
      <c r="F4" s="6"/>
      <c r="G4" s="54" t="s">
        <v>2</v>
      </c>
      <c r="H4" s="55"/>
      <c r="I4" s="18">
        <v>52</v>
      </c>
      <c r="J4" s="7"/>
    </row>
    <row r="5" spans="2:10">
      <c r="B5" s="5"/>
      <c r="C5" s="6"/>
      <c r="D5" s="6"/>
      <c r="E5" s="6"/>
      <c r="F5" s="6"/>
      <c r="G5" s="6"/>
      <c r="H5" s="6"/>
      <c r="I5" s="6"/>
      <c r="J5" s="7"/>
    </row>
    <row r="6" spans="2:10" ht="43.5">
      <c r="B6" s="5"/>
      <c r="C6" s="15" t="s">
        <v>3</v>
      </c>
      <c r="D6" s="41" t="s">
        <v>4</v>
      </c>
      <c r="E6" s="27" t="s">
        <v>5</v>
      </c>
      <c r="F6" s="36" t="s">
        <v>6</v>
      </c>
      <c r="G6" s="27" t="s">
        <v>7</v>
      </c>
      <c r="H6" s="20" t="s">
        <v>8</v>
      </c>
      <c r="I6" s="28" t="s">
        <v>9</v>
      </c>
      <c r="J6" s="7"/>
    </row>
    <row r="7" spans="2:10">
      <c r="B7" s="5"/>
      <c r="C7" s="1" t="s">
        <v>10</v>
      </c>
      <c r="D7" s="42">
        <v>1.4E-2</v>
      </c>
      <c r="E7" s="25">
        <f>D7/$D$15</f>
        <v>2.8397565922920892E-2</v>
      </c>
      <c r="F7" s="11">
        <f>G7/$G$15</f>
        <v>0.2543281773624862</v>
      </c>
      <c r="G7" s="21">
        <v>465975</v>
      </c>
      <c r="H7" s="22">
        <f>E7*$E$3</f>
        <v>51115.618661257606</v>
      </c>
      <c r="I7" s="30">
        <f>H7/$I$4</f>
        <v>982.99266656264626</v>
      </c>
      <c r="J7" s="39"/>
    </row>
    <row r="8" spans="2:10">
      <c r="B8" s="5"/>
      <c r="C8" s="1" t="s">
        <v>11</v>
      </c>
      <c r="D8" s="42">
        <v>4.1000000000000002E-2</v>
      </c>
      <c r="E8" s="25">
        <f>D8/$D$15</f>
        <v>8.3164300202839755E-2</v>
      </c>
      <c r="F8" s="11">
        <f>G8/$G$15</f>
        <v>1.869303234398367E-2</v>
      </c>
      <c r="G8" s="21">
        <v>34249</v>
      </c>
      <c r="H8" s="22">
        <f>E8*$E$3</f>
        <v>149695.74036511156</v>
      </c>
      <c r="I8" s="30">
        <f>H8/$I$4</f>
        <v>2878.7642377906068</v>
      </c>
      <c r="J8" s="39"/>
    </row>
    <row r="9" spans="2:10">
      <c r="B9" s="5"/>
      <c r="C9" s="1" t="s">
        <v>16</v>
      </c>
      <c r="D9" s="42">
        <v>4.4999999999999998E-2</v>
      </c>
      <c r="E9" s="25">
        <f>D9/$D$15</f>
        <v>9.1277890466531439E-2</v>
      </c>
      <c r="F9" s="11">
        <f>G9/$G$15</f>
        <v>6.4022093899071056E-2</v>
      </c>
      <c r="G9" s="21">
        <v>117300</v>
      </c>
      <c r="H9" s="22">
        <f>E9*$E$3</f>
        <v>164300.20283975659</v>
      </c>
      <c r="I9" s="30">
        <f>H9/$I$4</f>
        <v>3159.6192853799344</v>
      </c>
      <c r="J9" s="39"/>
    </row>
    <row r="10" spans="2:10">
      <c r="B10" s="5"/>
      <c r="C10" s="1" t="s">
        <v>22</v>
      </c>
      <c r="D10" s="42">
        <v>1.7999999999999999E-2</v>
      </c>
      <c r="E10" s="25">
        <f>D10/$D$15</f>
        <v>3.6511156186612576E-2</v>
      </c>
      <c r="F10" s="11">
        <f>G10/$G$15</f>
        <v>1.7640188191116592E-2</v>
      </c>
      <c r="G10" s="21">
        <v>32320</v>
      </c>
      <c r="H10" s="22">
        <f>E10*$E$3</f>
        <v>65720.081135902641</v>
      </c>
      <c r="I10" s="30">
        <f>H10/$I$4</f>
        <v>1263.8477141519738</v>
      </c>
      <c r="J10" s="39"/>
    </row>
    <row r="11" spans="2:10">
      <c r="B11" s="5"/>
      <c r="C11" s="1" t="s">
        <v>17</v>
      </c>
      <c r="D11" s="42">
        <v>0.28999999999999998</v>
      </c>
      <c r="E11" s="25">
        <f>D11/$D$15</f>
        <v>0.58823529411764708</v>
      </c>
      <c r="F11" s="11">
        <f>G11/$G$15</f>
        <v>0.11399644139767927</v>
      </c>
      <c r="G11" s="21">
        <v>208862</v>
      </c>
      <c r="H11" s="22">
        <f>E11*$E$3</f>
        <v>1058823.5294117648</v>
      </c>
      <c r="I11" s="30">
        <f>H11/$I$4</f>
        <v>20361.990950226245</v>
      </c>
      <c r="J11" s="39"/>
    </row>
    <row r="12" spans="2:10">
      <c r="B12" s="5"/>
      <c r="C12" s="1" t="s">
        <v>18</v>
      </c>
      <c r="D12" s="42">
        <v>2.5999999999999999E-2</v>
      </c>
      <c r="E12" s="25">
        <f>D12/$D$15</f>
        <v>5.2738336713995942E-2</v>
      </c>
      <c r="F12" s="11">
        <f>G12/$G$15</f>
        <v>0.29843574321300309</v>
      </c>
      <c r="G12" s="21">
        <v>546788</v>
      </c>
      <c r="H12" s="22">
        <f>E12*$E$3</f>
        <v>94929.006085192697</v>
      </c>
      <c r="I12" s="30">
        <f>H12/$I$4</f>
        <v>1825.5578093306287</v>
      </c>
      <c r="J12" s="39"/>
    </row>
    <row r="13" spans="2:10">
      <c r="B13" s="5"/>
      <c r="C13" s="1" t="s">
        <v>23</v>
      </c>
      <c r="D13" s="42">
        <v>3.9E-2</v>
      </c>
      <c r="E13" s="25">
        <f>D13/$D$15</f>
        <v>7.9107505070993914E-2</v>
      </c>
      <c r="F13" s="11">
        <f>G13/$G$15</f>
        <v>0.13389022912595924</v>
      </c>
      <c r="G13" s="21">
        <v>245311</v>
      </c>
      <c r="H13" s="22">
        <f>E13*$E$3</f>
        <v>142393.50912778903</v>
      </c>
      <c r="I13" s="30">
        <f>H13/$I$4</f>
        <v>2738.3367139959428</v>
      </c>
      <c r="J13" s="39"/>
    </row>
    <row r="14" spans="2:10">
      <c r="B14" s="5"/>
      <c r="C14" s="1" t="s">
        <v>13</v>
      </c>
      <c r="D14" s="42">
        <v>0.02</v>
      </c>
      <c r="E14" s="25">
        <f>D14/$D$15</f>
        <v>4.0567951318458417E-2</v>
      </c>
      <c r="F14" s="11">
        <f>G14/$G$15</f>
        <v>9.8994094466700863E-2</v>
      </c>
      <c r="G14" s="21">
        <v>181375</v>
      </c>
      <c r="H14" s="22">
        <f>E14*$E$3</f>
        <v>73022.312373225155</v>
      </c>
      <c r="I14" s="30">
        <f>H14/$I$4</f>
        <v>1404.2752379466376</v>
      </c>
      <c r="J14" s="39"/>
    </row>
    <row r="15" spans="2:10">
      <c r="B15" s="5"/>
      <c r="C15" s="19" t="s">
        <v>14</v>
      </c>
      <c r="D15" s="45">
        <f>SUM(D7:D14)</f>
        <v>0.49299999999999999</v>
      </c>
      <c r="E15" s="26">
        <f>SUM(E7:E14)</f>
        <v>1</v>
      </c>
      <c r="F15" s="35">
        <f>SUM(F7:F14)</f>
        <v>1</v>
      </c>
      <c r="G15" s="23">
        <f>SUM(G7:G14)</f>
        <v>1832180</v>
      </c>
      <c r="H15" s="46">
        <f>SUM(H7:H14)</f>
        <v>1800000.0000000002</v>
      </c>
      <c r="I15" s="34">
        <f>SUM(I7:I14)</f>
        <v>34615.384615384617</v>
      </c>
      <c r="J15" s="7"/>
    </row>
    <row r="16" spans="2:10">
      <c r="B16" s="8"/>
      <c r="C16" s="9"/>
      <c r="D16" s="9"/>
      <c r="E16" s="9"/>
      <c r="F16" s="9"/>
      <c r="G16" s="9"/>
      <c r="H16" s="9"/>
      <c r="I16" s="9"/>
      <c r="J16" s="10"/>
    </row>
    <row r="17" spans="9:9">
      <c r="I17" s="16"/>
    </row>
  </sheetData>
  <sortState xmlns:xlrd2="http://schemas.microsoft.com/office/spreadsheetml/2017/richdata2" ref="C7:I14">
    <sortCondition ref="C7:C14"/>
  </sortState>
  <mergeCells count="4">
    <mergeCell ref="C3:D4"/>
    <mergeCell ref="E3:E4"/>
    <mergeCell ref="G3:H3"/>
    <mergeCell ref="G4:H4"/>
  </mergeCells>
  <conditionalFormatting sqref="E7:E14">
    <cfRule type="colorScale" priority="7">
      <colorScale>
        <cfvo type="min"/>
        <cfvo type="max"/>
        <color rgb="FFFCFCFF"/>
        <color rgb="FF63BE7B"/>
      </colorScale>
    </cfRule>
  </conditionalFormatting>
  <conditionalFormatting sqref="F7:F14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9" ma:contentTypeDescription="Create a new document." ma:contentTypeScope="" ma:versionID="05f9ab1cd396484fdc3c50caed31a1dd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7d64b81c6b198d54d61d58975c71448e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28675-3FDC-4028-A34C-943C1C24D7A3}"/>
</file>

<file path=customXml/itemProps2.xml><?xml version="1.0" encoding="utf-8"?>
<ds:datastoreItem xmlns:ds="http://schemas.openxmlformats.org/officeDocument/2006/customXml" ds:itemID="{FB95B7AF-1BB3-43B1-B855-3FE2908D5F89}"/>
</file>

<file path=customXml/itemProps3.xml><?xml version="1.0" encoding="utf-8"?>
<ds:datastoreItem xmlns:ds="http://schemas.openxmlformats.org/officeDocument/2006/customXml" ds:itemID="{8D073B8F-B9FF-4212-8C38-0FBD2D4F7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Sameeck Bhatia</cp:lastModifiedBy>
  <cp:revision/>
  <dcterms:created xsi:type="dcterms:W3CDTF">2025-06-19T13:14:18Z</dcterms:created>
  <dcterms:modified xsi:type="dcterms:W3CDTF">2025-07-24T16:57:45Z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