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ineplex-my.sharepoint.com/personal/patrick_dixon_cineplex_com/Documents/Desktop/"/>
    </mc:Choice>
  </mc:AlternateContent>
  <xr:revisionPtr revIDLastSave="20" documentId="8_{3A680A42-DD6B-4CBD-A224-86298683E17E}" xr6:coauthVersionLast="47" xr6:coauthVersionMax="47" xr10:uidLastSave="{BCDFC9CB-75FD-4992-9D73-E26566380B7D}"/>
  <bookViews>
    <workbookView xWindow="28680" yWindow="-120" windowWidth="29040" windowHeight="15840" firstSheet="18" activeTab="21" xr2:uid="{00000000-000D-0000-FFFF-FFFF00000000}"/>
  </bookViews>
  <sheets>
    <sheet name="Week of Dec 27, 2024 - Jan 2" sheetId="88" r:id="rId1"/>
    <sheet name="Week of Jan 3-9" sheetId="89" r:id="rId2"/>
    <sheet name="Week of Jan 10-16" sheetId="90" r:id="rId3"/>
    <sheet name="Week of Jan 17-23" sheetId="91" r:id="rId4"/>
    <sheet name="Week of Jan 24-30" sheetId="92" r:id="rId5"/>
    <sheet name="Week of Jan 31-Feb 6" sheetId="93" r:id="rId6"/>
    <sheet name="Week of Feb 7-Feb 13" sheetId="94" r:id="rId7"/>
    <sheet name="Week of Feb 14-Feb 20" sheetId="95" r:id="rId8"/>
    <sheet name="Week of Feb 21-Feb 27" sheetId="96" r:id="rId9"/>
    <sheet name="Week of Feb 28-Mar 6" sheetId="97" r:id="rId10"/>
    <sheet name="Week of Mar 7-Mar 13" sheetId="98" r:id="rId11"/>
    <sheet name="Week of Mar 14-Mar 20" sheetId="99" r:id="rId12"/>
    <sheet name="Week of Mar 21-Mar 27" sheetId="101" r:id="rId13"/>
    <sheet name="Week of Mar 28-Apr 3" sheetId="102" r:id="rId14"/>
    <sheet name="Week of Apr 4-Apr 10" sheetId="103" r:id="rId15"/>
    <sheet name="Week of Apr 11-Apr 17" sheetId="104" r:id="rId16"/>
    <sheet name="Week of Apr 18-Apr 24" sheetId="105" r:id="rId17"/>
    <sheet name="Week of Apr 25-May 1" sheetId="106" r:id="rId18"/>
    <sheet name="Week of May 2-May 8" sheetId="107" r:id="rId19"/>
    <sheet name="Week of May 9-May 15" sheetId="108" r:id="rId20"/>
    <sheet name="Week of May 16-May 22" sheetId="109" r:id="rId21"/>
    <sheet name="YTD - All AJO Emails" sheetId="16" r:id="rId22"/>
    <sheet name="YTD - Weekly Metrics" sheetId="4" r:id="rId23"/>
    <sheet name="WOW Revenue" sheetId="78" r:id="rId24"/>
  </sheets>
  <definedNames>
    <definedName name="_xlnm._FilterDatabase" localSheetId="21" hidden="1">'YTD - All AJO Emails'!$A$1:$J$569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78" l="1"/>
  <c r="G23" i="4"/>
  <c r="F23" i="4"/>
  <c r="D23" i="4"/>
  <c r="E23" i="4"/>
  <c r="C23" i="4"/>
  <c r="B23" i="4"/>
  <c r="I570" i="16"/>
  <c r="H570" i="16"/>
  <c r="F570" i="16"/>
  <c r="G570" i="16"/>
  <c r="E570" i="16"/>
  <c r="D570" i="16"/>
  <c r="I79" i="109"/>
  <c r="H79" i="109"/>
  <c r="G79" i="109"/>
  <c r="F79" i="109"/>
  <c r="E79" i="109"/>
  <c r="D79" i="109"/>
  <c r="I45" i="109"/>
  <c r="H45" i="109"/>
  <c r="G45" i="109"/>
  <c r="F45" i="109"/>
  <c r="E45" i="109"/>
  <c r="D45" i="109"/>
  <c r="I37" i="109"/>
  <c r="H37" i="109"/>
  <c r="G37" i="109"/>
  <c r="F37" i="109"/>
  <c r="E37" i="109"/>
  <c r="D37" i="109"/>
  <c r="I63" i="108"/>
  <c r="H63" i="108"/>
  <c r="G63" i="108"/>
  <c r="F63" i="108"/>
  <c r="E63" i="108"/>
  <c r="D63" i="108"/>
  <c r="I37" i="108"/>
  <c r="H37" i="108"/>
  <c r="G37" i="108"/>
  <c r="F37" i="108"/>
  <c r="E37" i="108"/>
  <c r="D37" i="108"/>
  <c r="I29" i="108"/>
  <c r="H29" i="108"/>
  <c r="G29" i="108"/>
  <c r="F29" i="108"/>
  <c r="E29" i="108"/>
  <c r="D29" i="108"/>
  <c r="D63" i="107"/>
  <c r="E63" i="107"/>
  <c r="F63" i="107"/>
  <c r="G63" i="107"/>
  <c r="H63" i="107"/>
  <c r="I63" i="107"/>
  <c r="I70" i="107"/>
  <c r="H70" i="107"/>
  <c r="F70" i="107"/>
  <c r="G70" i="107"/>
  <c r="E70" i="107"/>
  <c r="D70" i="107"/>
  <c r="I43" i="107"/>
  <c r="H43" i="107"/>
  <c r="G43" i="107"/>
  <c r="F43" i="107"/>
  <c r="E43" i="107"/>
  <c r="D43" i="107"/>
  <c r="I31" i="107"/>
  <c r="H31" i="107"/>
  <c r="G31" i="107"/>
  <c r="F31" i="107"/>
  <c r="E31" i="107"/>
  <c r="D31" i="107"/>
  <c r="I65" i="106"/>
  <c r="H65" i="106"/>
  <c r="G65" i="106"/>
  <c r="F65" i="106"/>
  <c r="E65" i="106"/>
  <c r="D65" i="106"/>
  <c r="I60" i="106"/>
  <c r="H60" i="106"/>
  <c r="G60" i="106"/>
  <c r="F60" i="106"/>
  <c r="E60" i="106"/>
  <c r="D60" i="106"/>
  <c r="I44" i="106"/>
  <c r="H44" i="106"/>
  <c r="G44" i="106"/>
  <c r="F44" i="106"/>
  <c r="E44" i="106"/>
  <c r="D44" i="106"/>
  <c r="I32" i="106"/>
  <c r="H32" i="106"/>
  <c r="G32" i="106"/>
  <c r="F32" i="106"/>
  <c r="E32" i="106"/>
  <c r="D32" i="106"/>
  <c r="D37" i="105"/>
  <c r="E37" i="105"/>
  <c r="F37" i="105"/>
  <c r="G37" i="105"/>
  <c r="H37" i="105"/>
  <c r="I37" i="105"/>
  <c r="I82" i="105"/>
  <c r="H82" i="105"/>
  <c r="G82" i="105"/>
  <c r="F82" i="105"/>
  <c r="E82" i="105"/>
  <c r="D82" i="105"/>
  <c r="I75" i="105"/>
  <c r="H75" i="105"/>
  <c r="G75" i="105"/>
  <c r="F75" i="105"/>
  <c r="E75" i="105"/>
  <c r="D75" i="105"/>
  <c r="I49" i="105"/>
  <c r="H49" i="105"/>
  <c r="G49" i="105"/>
  <c r="F49" i="105"/>
  <c r="E49" i="105"/>
  <c r="D49" i="105"/>
  <c r="I80" i="104"/>
  <c r="H80" i="104"/>
  <c r="F80" i="104"/>
  <c r="G80" i="104"/>
  <c r="E80" i="104"/>
  <c r="D80" i="104"/>
  <c r="I52" i="104"/>
  <c r="H52" i="104"/>
  <c r="F52" i="104"/>
  <c r="G52" i="104"/>
  <c r="E52" i="104"/>
  <c r="D52" i="104"/>
  <c r="I73" i="104"/>
  <c r="H73" i="104"/>
  <c r="G73" i="104"/>
  <c r="F73" i="104"/>
  <c r="E73" i="104"/>
  <c r="D73" i="104"/>
  <c r="I36" i="104"/>
  <c r="H36" i="104"/>
  <c r="G36" i="104"/>
  <c r="F36" i="104"/>
  <c r="E36" i="104"/>
  <c r="D36" i="104"/>
  <c r="I90" i="103"/>
  <c r="H90" i="103"/>
  <c r="F90" i="103"/>
  <c r="G90" i="103"/>
  <c r="E90" i="103"/>
  <c r="D90" i="103"/>
  <c r="I83" i="103"/>
  <c r="H83" i="103"/>
  <c r="G83" i="103"/>
  <c r="F83" i="103"/>
  <c r="E83" i="103"/>
  <c r="D83" i="103"/>
  <c r="I49" i="103"/>
  <c r="H49" i="103"/>
  <c r="G49" i="103"/>
  <c r="F49" i="103"/>
  <c r="E49" i="103"/>
  <c r="D49" i="103"/>
  <c r="I41" i="103"/>
  <c r="H41" i="103"/>
  <c r="G41" i="103"/>
  <c r="F41" i="103"/>
  <c r="E41" i="103"/>
  <c r="D41" i="103"/>
  <c r="I54" i="102"/>
  <c r="H54" i="102"/>
  <c r="G54" i="102"/>
  <c r="F54" i="102"/>
  <c r="E54" i="102"/>
  <c r="D54" i="102"/>
  <c r="I47" i="102"/>
  <c r="H47" i="102"/>
  <c r="G47" i="102"/>
  <c r="F47" i="102"/>
  <c r="E47" i="102"/>
  <c r="D47" i="102"/>
  <c r="I31" i="102"/>
  <c r="H31" i="102"/>
  <c r="G31" i="102"/>
  <c r="F31" i="102"/>
  <c r="E31" i="102"/>
  <c r="D31" i="102"/>
  <c r="I23" i="102"/>
  <c r="H23" i="102"/>
  <c r="G23" i="102"/>
  <c r="F23" i="102"/>
  <c r="E23" i="102"/>
  <c r="D23" i="102"/>
  <c r="I64" i="101"/>
  <c r="H64" i="101"/>
  <c r="F64" i="101"/>
  <c r="G64" i="101"/>
  <c r="E64" i="101"/>
  <c r="D64" i="101"/>
  <c r="D28" i="101"/>
  <c r="E28" i="101"/>
  <c r="F28" i="101"/>
  <c r="G28" i="101"/>
  <c r="H28" i="101"/>
  <c r="I28" i="101"/>
  <c r="I57" i="101"/>
  <c r="H57" i="101"/>
  <c r="G57" i="101"/>
  <c r="F57" i="101"/>
  <c r="E57" i="101"/>
  <c r="D57" i="101"/>
  <c r="I36" i="101"/>
  <c r="H36" i="101"/>
  <c r="G36" i="101"/>
  <c r="F36" i="101"/>
  <c r="E36" i="101"/>
  <c r="D36" i="101"/>
  <c r="I60" i="99"/>
  <c r="H60" i="99"/>
  <c r="G60" i="99"/>
  <c r="F60" i="99"/>
  <c r="E60" i="99"/>
  <c r="D60" i="99"/>
  <c r="I55" i="99"/>
  <c r="H55" i="99"/>
  <c r="G55" i="99"/>
  <c r="F55" i="99"/>
  <c r="E55" i="99"/>
  <c r="D55" i="99"/>
  <c r="I34" i="99"/>
  <c r="H34" i="99"/>
  <c r="G34" i="99"/>
  <c r="F34" i="99"/>
  <c r="E34" i="99"/>
  <c r="D34" i="99"/>
  <c r="I26" i="99"/>
  <c r="H26" i="99"/>
  <c r="G26" i="99"/>
  <c r="F26" i="99"/>
  <c r="E26" i="99"/>
  <c r="D26" i="99"/>
  <c r="D97" i="98"/>
  <c r="E97" i="98"/>
  <c r="F97" i="98"/>
  <c r="G97" i="98"/>
  <c r="H97" i="98"/>
  <c r="I97" i="98"/>
  <c r="I102" i="98"/>
  <c r="H102" i="98"/>
  <c r="G102" i="98"/>
  <c r="F102" i="98"/>
  <c r="E102" i="98"/>
  <c r="D102" i="98"/>
  <c r="I55" i="98"/>
  <c r="H55" i="98"/>
  <c r="G55" i="98"/>
  <c r="F55" i="98"/>
  <c r="E55" i="98"/>
  <c r="D55" i="98"/>
  <c r="I47" i="98"/>
  <c r="H47" i="98"/>
  <c r="G47" i="98"/>
  <c r="F47" i="98"/>
  <c r="E47" i="98"/>
  <c r="D47" i="98"/>
  <c r="I66" i="97"/>
  <c r="H66" i="97"/>
  <c r="F66" i="97"/>
  <c r="G66" i="97"/>
  <c r="E66" i="97"/>
  <c r="D66" i="97"/>
  <c r="D33" i="97"/>
  <c r="E33" i="97"/>
  <c r="F33" i="97"/>
  <c r="G33" i="97"/>
  <c r="H33" i="97"/>
  <c r="I33" i="97"/>
  <c r="I74" i="97"/>
  <c r="H74" i="97"/>
  <c r="G74" i="97"/>
  <c r="F74" i="97"/>
  <c r="E74" i="97"/>
  <c r="D74" i="97"/>
  <c r="I41" i="97"/>
  <c r="H41" i="97"/>
  <c r="G41" i="97"/>
  <c r="F41" i="97"/>
  <c r="E41" i="97"/>
  <c r="D41" i="97"/>
  <c r="G19" i="78"/>
  <c r="E19" i="78"/>
  <c r="C19" i="78"/>
  <c r="I64" i="96"/>
  <c r="H64" i="96"/>
  <c r="G64" i="96"/>
  <c r="F64" i="96"/>
  <c r="E64" i="96"/>
  <c r="D64" i="96"/>
  <c r="I56" i="96"/>
  <c r="H56" i="96"/>
  <c r="G56" i="96"/>
  <c r="F56" i="96"/>
  <c r="E56" i="96"/>
  <c r="D56" i="96"/>
  <c r="I36" i="96"/>
  <c r="H36" i="96"/>
  <c r="G36" i="96"/>
  <c r="F36" i="96"/>
  <c r="E36" i="96"/>
  <c r="D36" i="96"/>
  <c r="I28" i="96"/>
  <c r="H28" i="96"/>
  <c r="G28" i="96"/>
  <c r="F28" i="96"/>
  <c r="E28" i="96"/>
  <c r="D28" i="96"/>
  <c r="I68" i="95"/>
  <c r="H68" i="95"/>
  <c r="F68" i="95"/>
  <c r="G68" i="95"/>
  <c r="E68" i="95"/>
  <c r="D68" i="95"/>
  <c r="I60" i="95"/>
  <c r="H60" i="95"/>
  <c r="G60" i="95"/>
  <c r="F60" i="95"/>
  <c r="E60" i="95"/>
  <c r="D60" i="95"/>
  <c r="I38" i="95"/>
  <c r="H38" i="95"/>
  <c r="G38" i="95"/>
  <c r="F38" i="95"/>
  <c r="E38" i="95"/>
  <c r="D38" i="95"/>
  <c r="I30" i="95"/>
  <c r="H30" i="95"/>
  <c r="G30" i="95"/>
  <c r="F30" i="95"/>
  <c r="E30" i="95"/>
  <c r="D30" i="95"/>
  <c r="I47" i="94"/>
  <c r="H47" i="94"/>
  <c r="G47" i="94"/>
  <c r="F47" i="94"/>
  <c r="E47" i="94"/>
  <c r="D47" i="94"/>
  <c r="I29" i="94"/>
  <c r="H29" i="94"/>
  <c r="G29" i="94"/>
  <c r="F29" i="94"/>
  <c r="E29" i="94"/>
  <c r="D29" i="94"/>
  <c r="I21" i="94"/>
  <c r="H21" i="94"/>
  <c r="G21" i="94"/>
  <c r="F21" i="94"/>
  <c r="E21" i="94"/>
  <c r="D21" i="94"/>
  <c r="D57" i="93"/>
  <c r="E57" i="93"/>
  <c r="F57" i="93"/>
  <c r="G57" i="93"/>
  <c r="H57" i="93"/>
  <c r="I57" i="93"/>
  <c r="D26" i="93"/>
  <c r="E26" i="93"/>
  <c r="F26" i="93"/>
  <c r="G26" i="93"/>
  <c r="H26" i="93"/>
  <c r="I26" i="93"/>
  <c r="I34" i="93"/>
  <c r="H34" i="93"/>
  <c r="G34" i="93"/>
  <c r="F34" i="93"/>
  <c r="E34" i="93"/>
  <c r="D34" i="93"/>
  <c r="I38" i="92"/>
  <c r="H38" i="92"/>
  <c r="G38" i="92"/>
  <c r="F38" i="92"/>
  <c r="E38" i="92"/>
  <c r="D38" i="92"/>
  <c r="I33" i="92"/>
  <c r="H33" i="92"/>
  <c r="G33" i="92"/>
  <c r="F33" i="92"/>
  <c r="E33" i="92"/>
  <c r="D33" i="92"/>
  <c r="I23" i="92"/>
  <c r="H23" i="92"/>
  <c r="G23" i="92"/>
  <c r="F23" i="92"/>
  <c r="E23" i="92"/>
  <c r="D23" i="92"/>
  <c r="I15" i="92"/>
  <c r="H15" i="92"/>
  <c r="G15" i="92"/>
  <c r="F15" i="92"/>
  <c r="E15" i="92"/>
  <c r="D15" i="92"/>
  <c r="I58" i="91"/>
  <c r="H58" i="91"/>
  <c r="G58" i="91"/>
  <c r="F58" i="91"/>
  <c r="E58" i="91"/>
  <c r="D58" i="91"/>
  <c r="I53" i="91"/>
  <c r="H53" i="91"/>
  <c r="G53" i="91"/>
  <c r="F53" i="91"/>
  <c r="E53" i="91"/>
  <c r="D53" i="91"/>
  <c r="I33" i="91"/>
  <c r="H33" i="91"/>
  <c r="G33" i="91"/>
  <c r="F33" i="91"/>
  <c r="E33" i="91"/>
  <c r="D33" i="91"/>
  <c r="I25" i="91"/>
  <c r="H25" i="91"/>
  <c r="G25" i="91"/>
  <c r="F25" i="91"/>
  <c r="E25" i="91"/>
  <c r="D25" i="91"/>
  <c r="D57" i="90"/>
  <c r="E57" i="90"/>
  <c r="F57" i="90"/>
  <c r="G57" i="90"/>
  <c r="H57" i="90"/>
  <c r="I57" i="90"/>
  <c r="I66" i="90"/>
  <c r="H66" i="90"/>
  <c r="G66" i="90"/>
  <c r="F66" i="90"/>
  <c r="E66" i="90"/>
  <c r="D66" i="90"/>
  <c r="I37" i="90"/>
  <c r="H37" i="90"/>
  <c r="G37" i="90"/>
  <c r="F37" i="90"/>
  <c r="E37" i="90"/>
  <c r="D37" i="90"/>
  <c r="I29" i="90"/>
  <c r="H29" i="90"/>
  <c r="G29" i="90"/>
  <c r="F29" i="90"/>
  <c r="E29" i="90"/>
  <c r="D29" i="90"/>
  <c r="I48" i="89" l="1"/>
  <c r="H48" i="89"/>
  <c r="G48" i="89"/>
  <c r="F48" i="89"/>
  <c r="E48" i="89"/>
  <c r="D48" i="89"/>
  <c r="I37" i="89"/>
  <c r="H37" i="89"/>
  <c r="G37" i="89"/>
  <c r="F37" i="89"/>
  <c r="E37" i="89"/>
  <c r="D37" i="89"/>
  <c r="I28" i="89"/>
  <c r="H28" i="89"/>
  <c r="G28" i="89"/>
  <c r="F28" i="89"/>
  <c r="E28" i="89"/>
  <c r="D28" i="89"/>
  <c r="I20" i="89"/>
  <c r="H20" i="89"/>
  <c r="G20" i="89"/>
  <c r="F20" i="89"/>
  <c r="E20" i="89"/>
  <c r="D20" i="89"/>
  <c r="I64" i="88"/>
  <c r="H64" i="88"/>
  <c r="F64" i="88"/>
  <c r="G64" i="88"/>
  <c r="E64" i="88"/>
  <c r="D64" i="88"/>
  <c r="I53" i="88"/>
  <c r="H53" i="88"/>
  <c r="G53" i="88"/>
  <c r="F53" i="88"/>
  <c r="E53" i="88"/>
  <c r="D53" i="88"/>
  <c r="I37" i="88"/>
  <c r="H37" i="88"/>
  <c r="G37" i="88"/>
  <c r="F37" i="88"/>
  <c r="E37" i="88"/>
  <c r="D37" i="88"/>
  <c r="I28" i="88"/>
  <c r="H28" i="88"/>
  <c r="G28" i="88"/>
  <c r="F28" i="88"/>
  <c r="E28" i="88"/>
  <c r="D28" i="88"/>
  <c r="G21" i="78"/>
  <c r="E21" i="78"/>
  <c r="C21" i="78"/>
  <c r="E17" i="78"/>
  <c r="C17" i="78"/>
  <c r="G15" i="78"/>
  <c r="E15" i="78"/>
  <c r="C15" i="78"/>
  <c r="G10" i="78"/>
  <c r="E10" i="78"/>
  <c r="C10" i="78"/>
  <c r="G5" i="78"/>
  <c r="E5" i="78"/>
  <c r="C5" i="78"/>
</calcChain>
</file>

<file path=xl/sharedStrings.xml><?xml version="1.0" encoding="utf-8"?>
<sst xmlns="http://schemas.openxmlformats.org/spreadsheetml/2006/main" count="4639" uniqueCount="451">
  <si>
    <t>Journey Name</t>
  </si>
  <si>
    <t>Sent</t>
  </si>
  <si>
    <t>Unique Opens</t>
  </si>
  <si>
    <t>Unique Open Rate</t>
  </si>
  <si>
    <t>Unique Clicks</t>
  </si>
  <si>
    <t>CTO</t>
  </si>
  <si>
    <t>CTR</t>
  </si>
  <si>
    <t>Email - English</t>
  </si>
  <si>
    <t>Email - French</t>
  </si>
  <si>
    <t>Send Date</t>
  </si>
  <si>
    <t>Version Language</t>
  </si>
  <si>
    <t>Attendance Workstream</t>
  </si>
  <si>
    <t>Weekly</t>
  </si>
  <si>
    <t>Total</t>
  </si>
  <si>
    <t>Sends</t>
  </si>
  <si>
    <t>Open Rate</t>
  </si>
  <si>
    <t>Version</t>
  </si>
  <si>
    <t>Email - RFM Offer - English</t>
  </si>
  <si>
    <t>Email - RFM Offer - French</t>
  </si>
  <si>
    <t xml:space="preserve"> </t>
  </si>
  <si>
    <t>Email - Week 4 MDP Offer - English</t>
  </si>
  <si>
    <t>Email - Week 4 MDP Offer - French</t>
  </si>
  <si>
    <t>LOB</t>
  </si>
  <si>
    <t>Film</t>
  </si>
  <si>
    <t>LBE</t>
  </si>
  <si>
    <t>BM&amp;P</t>
  </si>
  <si>
    <t>Total &amp; Click Metrics</t>
  </si>
  <si>
    <t>Email Channel Stats</t>
  </si>
  <si>
    <t>LW - Sends</t>
  </si>
  <si>
    <t>LW CTO</t>
  </si>
  <si>
    <t>WOW</t>
  </si>
  <si>
    <t>Email Channel Performance</t>
  </si>
  <si>
    <t>LW - Revenue</t>
  </si>
  <si>
    <t>LW Orders</t>
  </si>
  <si>
    <t>LW Tickets</t>
  </si>
  <si>
    <t>Revenue</t>
  </si>
  <si>
    <t>Orders</t>
  </si>
  <si>
    <t>Tickets</t>
  </si>
  <si>
    <t>TOP BAU Performance</t>
  </si>
  <si>
    <t>Friday What's On</t>
  </si>
  <si>
    <t>Tuesday Deals</t>
  </si>
  <si>
    <t>Theatrical Abandoned Cart</t>
  </si>
  <si>
    <t>LW OR</t>
  </si>
  <si>
    <t>[Production] Scene+ - Windsor Competitive Offer - Nov | Dec</t>
  </si>
  <si>
    <t>[Production] (36149) Sonic the Hedgehog: 3 - English</t>
  </si>
  <si>
    <t>Email - 2nd week EE offer - English</t>
  </si>
  <si>
    <t>[Production] (36149) Sonic the Hedgehog: 3 - French</t>
  </si>
  <si>
    <t>Email - 2nd week no offer - French</t>
  </si>
  <si>
    <t>[Production] (36234) Mufasa: The Lion King - English</t>
  </si>
  <si>
    <t>[Production] (36234) Mufasa: The Lion King - French</t>
  </si>
  <si>
    <t>[Production] Dedicated - L’amour ouf - Jan1</t>
  </si>
  <si>
    <t>[Production] (37214) Nosferatu - English</t>
  </si>
  <si>
    <t>[Production] (37214) Nosferatu - French</t>
  </si>
  <si>
    <t>[Production] (37816) A Complete Unknown - English</t>
  </si>
  <si>
    <t>Email - 2nd week no offer - English</t>
  </si>
  <si>
    <t>[Production] (37816) A Complete Unknown - French</t>
  </si>
  <si>
    <t>[Production] 24-0550-PDM-Playdium Newsletter_Jan2_2025</t>
  </si>
  <si>
    <t>[Production] 24-0632-EVCN-Fincher Classics Series_Jan2</t>
  </si>
  <si>
    <t>[Production] 25-0024-RECR-TRR eNewsletter_Jan2_2025</t>
  </si>
  <si>
    <t>[Production] 24-0091-STOR-Weekly Store Newsletter_Dec27</t>
  </si>
  <si>
    <t>[Production] 24-0194-MKTT-Weekly_Friday_Dec27</t>
  </si>
  <si>
    <t>[Production] 24-0316-CPGC-LBE 2024 Holiday Gift Bundle-TRR-Fifth_Dec27</t>
  </si>
  <si>
    <t>[Production] 24-0315-CPGC-CPX 2024 Holiday Gift Bundle-Sixth_Dec28</t>
  </si>
  <si>
    <t>[Production] 24-0316-CPGC-LBE 2024 Holiday Gift Bundle-PDM-Fifth_Dec28</t>
  </si>
  <si>
    <t>Email - English - Reminder  4</t>
  </si>
  <si>
    <t>[Production] 24-0031-STOR-Dedicated Email_Wicked_Dec31</t>
  </si>
  <si>
    <t>[Production] 24-0194-MKTT-Weekly_Tuesday_Dec31</t>
  </si>
  <si>
    <t>[Production] 25-0001-MKTT-Weekly_Friday_Jan3</t>
  </si>
  <si>
    <t>[Production] 25-0001-MKTT-Weekly_Tuesday_Jan7</t>
  </si>
  <si>
    <t>[Production] 25-0042-MKTT-Den of Thieves 2: Pantera Dedicated Email_Jan 8</t>
  </si>
  <si>
    <t>[Production] Dedicated - Young Werther - Jan 8</t>
  </si>
  <si>
    <t>[Production] 24-0458-EVCN-Aida Dedicated Email_Jan9</t>
  </si>
  <si>
    <t>[Production] 25-0007-MKTT-International Cinema Monthly Newsletter-January_Jan9</t>
  </si>
  <si>
    <t>Jan 3 - Jan 9</t>
  </si>
  <si>
    <t>YTD Revenue</t>
  </si>
  <si>
    <t>YTD Orders</t>
  </si>
  <si>
    <t>YTD Tickets</t>
  </si>
  <si>
    <t>[Production] 24-0700-RECR-TRR Superbowl Event-Initial_Jan 10</t>
  </si>
  <si>
    <t>[Production] 25-0001-MKTT-Weekly Film Marketing Emails_Friday_Jan10</t>
  </si>
  <si>
    <t>[Production] 25-0088-MKTB-$5 Tuesdays Jan-Feb-Initial Email_Jan12</t>
  </si>
  <si>
    <t>[Production] 25-0666-MKTB-National Popcorn Day 2025_Jan13</t>
  </si>
  <si>
    <t>[Production] Survey - Design Sprint UX Testing_Jan13</t>
  </si>
  <si>
    <t>[Production] 25-0001-MKTT-Weekly Film Marketing Emails_Tuesday_Jan14</t>
  </si>
  <si>
    <t>[Production] Dedicated - Girl From the North Country - Jan 14</t>
  </si>
  <si>
    <t>[Production] 25-0034-GREV-G&amp;E_SchoolGroups_MACBETH_Email-EN-FR_Jan15</t>
  </si>
  <si>
    <t>Email - English-French</t>
  </si>
  <si>
    <t>[Production] 25-0034-GREV-G&amp;E_SchoolGroups_MACBETH_Email-FR-EN_Jan15</t>
  </si>
  <si>
    <t>Email - French-English</t>
  </si>
  <si>
    <t>[Production] 25-0043-MKTT-Wolf Man Dedicated Email_Jan15</t>
  </si>
  <si>
    <t>[Production] The Last Showgirl - Trip Giveaway - Jan 15</t>
  </si>
  <si>
    <t>Email - English - Offer</t>
  </si>
  <si>
    <t>Email - French - Offer</t>
  </si>
  <si>
    <t>Email - Connect Email 3</t>
  </si>
  <si>
    <t>Email - RFM - Week 4 Sent Offer Email</t>
  </si>
  <si>
    <t>[Production] (37634) Den of Thieves 2: Pantera - English</t>
  </si>
  <si>
    <t>Email - 2nd week EE offer email</t>
  </si>
  <si>
    <t>[Production] (37634) Den of Thieves 2: Pantera - French</t>
  </si>
  <si>
    <t>Email - Connect Email 1</t>
  </si>
  <si>
    <t>Email - RFM - Week 4 Offer Email</t>
  </si>
  <si>
    <t>[Production] 25-0666-MKTB-National Popcorn Day 2025_Reminder_Jan16</t>
  </si>
  <si>
    <t>Email - 2nd week no offer email</t>
  </si>
  <si>
    <t>Brand</t>
  </si>
  <si>
    <t>Survey</t>
  </si>
  <si>
    <t>Jan 10 - Jan 16</t>
  </si>
  <si>
    <t>Weekly Date Range</t>
  </si>
  <si>
    <t>Jan 1 - Jan 2</t>
  </si>
  <si>
    <t>[production] 25-0001-MKTT-Weekly Film Marketing Emails_FridayWhatsOn_Jan17[41a7]</t>
  </si>
  <si>
    <t>[Production] 25-0041-MKTT-Captain America Brave New Worlds-Advance Ticketing Email_Jan17[e412]</t>
  </si>
  <si>
    <t>[Production] CineClub - Flight Risk - 4DX_Jan17[ec41]</t>
  </si>
  <si>
    <t>[Production] Dedicated - Better Man_Scene Offer - Jan 17[b8d3]</t>
  </si>
  <si>
    <t>Email - English - Control</t>
  </si>
  <si>
    <t>Email - French - Control</t>
  </si>
  <si>
    <t>[Production] 24-0732-MKTB-Belleville-Recliners-Jan18[93e6]</t>
  </si>
  <si>
    <t>[Production] 25-0004-EVCN-Family Monthly Newsletter 2025-January_Jan18[c800]</t>
  </si>
  <si>
    <t>[Production] 25-0088-MKTB-$5 Tuesdays Jan-Feb-Reminder Email_Jan 19[7839]</t>
  </si>
  <si>
    <t>[Production] 24-0674-FOOD-Concession Popcorn &amp; Fountain Pop Refill Program_Jan20[605a]</t>
  </si>
  <si>
    <t>[Production] 25-0001-MKTT-Weekly Film Marketing Emails_Tuesday_Jan21[66ca]</t>
  </si>
  <si>
    <t>[Production] Dedicated - The Colors Within - Jan 22[74b6]</t>
  </si>
  <si>
    <t>[Production] (37634) Den of Thieves 2: Pantera - English[8ce8]</t>
  </si>
  <si>
    <t>[Production] (37634) Den of Thieves 2: Pantera - French[4ecb]</t>
  </si>
  <si>
    <t>[Production] Survey - Global Cinema Federation_Jan23[e1c4]</t>
  </si>
  <si>
    <t>CineClub</t>
  </si>
  <si>
    <t>Jan 17 - Jan 23</t>
  </si>
  <si>
    <t>[Production] $5 Tuesdays - Belleville Recliners - Jan 26</t>
  </si>
  <si>
    <t>Email - RFM - Week 4 MDP Offer - English</t>
  </si>
  <si>
    <t>Email - RFM - Week 4 MDP Offer - French</t>
  </si>
  <si>
    <t>[Production] 24-0630-GREV-G&amp;E Email - School Groups Dog Man Email-FR-EN_Jan30</t>
  </si>
  <si>
    <t>[Production] 25-0001-MKTT-Weekly Film Marketing Emails_FridayWhatsOn_Jan24</t>
  </si>
  <si>
    <t>[Production] 25-0001-MKTT-Weekly Film Marketing Emails_Tuesday_Jan28</t>
  </si>
  <si>
    <t>[Production] 25-0093-MKTT-Dog Man-Clubhouse-Dedicated_Jan29</t>
  </si>
  <si>
    <t>[Production] 25-128-GREV-G&amp;E Email - School Groups Dog Man_EN_FR_Jan30</t>
  </si>
  <si>
    <t>[Production] Green and Gold - Scene+ Offer - Jan 30 v2</t>
  </si>
  <si>
    <t>[Production] International Cinema - Lunar New Year 2025_Jan29</t>
  </si>
  <si>
    <t>Jan 24 - Jan 30</t>
  </si>
  <si>
    <t>Jan 31 - Feb 6</t>
  </si>
  <si>
    <t>[production] 25-0001-MKTT-Weekly Film Marketing Emails_FridayWhatsOn_Jan17</t>
  </si>
  <si>
    <t>[Production] 25-0041-MKTT-Captain America Brave New Worlds-Advance Ticketing Email_Jan17</t>
  </si>
  <si>
    <t>[Production] CineClub - Flight Risk - 4DX_Jan17</t>
  </si>
  <si>
    <t>[Production] Dedicated - Better Man_Scene Offer - Jan 17</t>
  </si>
  <si>
    <t>[Production] 24-0732-MKTB-Belleville-Recliners-Jan18</t>
  </si>
  <si>
    <t>[Production] 25-0004-EVCN-Family Monthly Newsletter 2025-January_Jan18</t>
  </si>
  <si>
    <t>[Production] 25-0088-MKTB-$5 Tuesdays Jan-Feb-Reminder Email_Jan 19</t>
  </si>
  <si>
    <t>[Production] 24-0674-FOOD-Concession Popcorn &amp; Fountain Pop Refill Program_Jan20</t>
  </si>
  <si>
    <t>[Production] 25-0001-MKTT-Weekly Film Marketing Emails_Tuesday_Jan21</t>
  </si>
  <si>
    <t>[Production] Dedicated - The Colors Within - Jan 22</t>
  </si>
  <si>
    <t>[Production] Survey - Global Cinema Federation_Jan23</t>
  </si>
  <si>
    <t>[Production] 25-0001-MKTT-Weekly Film Marketing Emails_FridayWhatsOn_Jan31</t>
  </si>
  <si>
    <t xml:space="preserve">[Production] 25-0001-MKTT-Weekly Film Marketing Emails_FridayWhatsOn_Jan31 </t>
  </si>
  <si>
    <t xml:space="preserve">[Production] 25-0003-EVCN-Arts Culture Monthly Newsletter 2025_Feb1 </t>
  </si>
  <si>
    <t>[Production] 25-0003-EVCN-Arts Culture Monthly Newsletter 2025_Feb1</t>
  </si>
  <si>
    <t>[Production] 25-0024-RECR-TRR eNewsletter_Feb1_2025</t>
  </si>
  <si>
    <t xml:space="preserve">[Production] 24-0700-RECR-TRR Superbowl Event-Reminder_Feb2 </t>
  </si>
  <si>
    <t>[Production] 25-0025-PDM-Playdium Newsletter_Feb2</t>
  </si>
  <si>
    <t xml:space="preserve">[Production] 25-0001-MKTT-Weekly Film Marketing Emails_Tuesday_Feb4 </t>
  </si>
  <si>
    <t>[Production] 25-0001-MKTT-Weekly Film Marketing Emails_Tuesday_Feb4</t>
  </si>
  <si>
    <t xml:space="preserve">[Production] 25-0089-MKTT-Scene+ Member Pricing Promo_Feb5 </t>
  </si>
  <si>
    <t xml:space="preserve">[Production] 25-0089-MKTT-Scene+ Member Pricing Promo_Feb50 </t>
  </si>
  <si>
    <t xml:space="preserve">[Production] Dedicated - Love Hurts - Feb 5 </t>
  </si>
  <si>
    <t>[Production] Dedicated - Love Hurts - Feb 5</t>
  </si>
  <si>
    <t>[Production] 25-0007-MKTT-International Cinema Monthly Newsletter-February_Feb6</t>
  </si>
  <si>
    <t xml:space="preserve">[Production] 25-0065-CPGC B2B Employee Appreciation Campaign 2025-UGO-First Email-EN-FR_Feb6 </t>
  </si>
  <si>
    <t xml:space="preserve">[Production] 25-0065-CPGC B2B Employee Appreciation Campaign 2025-UGO-First Email-FR-EN_Feb6 </t>
  </si>
  <si>
    <t xml:space="preserve">[Production] 25-0067-CPGC-TRR Valentines Day_Feb6 </t>
  </si>
  <si>
    <t xml:space="preserve">[Production] Dedicated - Bring Them Down - Feb 6 </t>
  </si>
  <si>
    <t>[Production] Heart Eyes - Scene+ Offer - Feb6</t>
  </si>
  <si>
    <t>[Production] 25-0001-MKTT-Weekly Film Marketing Emails_FridayWhatsOn_Feb7</t>
  </si>
  <si>
    <t>[Production] 25-0088-MKTB-$5 Tuesdays Jan-Feb-Last Chance_Email_Feb9</t>
  </si>
  <si>
    <t>[Production] 25-0028-RECR-TRR St. Patrick's Day-Initial_Feb10</t>
  </si>
  <si>
    <t>[Production] 25-0001-MKTT-Weekly Film Marketing Emails_Tuesday_Feb11</t>
  </si>
  <si>
    <t>[Production] 25-0051-BMPT-Employee Appreciation Email (Prepaid Products)-EN-FR_Feb11</t>
  </si>
  <si>
    <t>[Production] 25-0051-BMPT-Employee Appreciation Email (Prepaid Products)-FR-EN_Feb12</t>
  </si>
  <si>
    <t>[Production] 25-0065-CPGC B2B Employee Appreciation Campaign 2025-CRM-First Email-EN-FR_Feb12</t>
  </si>
  <si>
    <t>[Production] Valentine's Newsletter - Feb 12</t>
  </si>
  <si>
    <t>[Production] 25-0041-MKTT-Captain America Brave New World-Scene Offer_Feb13</t>
  </si>
  <si>
    <t>[Production] 25-0067-CPGC-CPX Valentine's Day_Feb7_v2</t>
  </si>
  <si>
    <t>Feb 7 - Feb 13</t>
  </si>
  <si>
    <t>[Production] 25-0001-MKTT-Weekly Film Marketing Emails_FridayWhatsOn_Feb14</t>
  </si>
  <si>
    <t>[Production] 25-0066-RECR-2025 Q1 LBE Bounceback Gaming Offer-TRR-Initial_Feb14</t>
  </si>
  <si>
    <t>[Production] LBE $10 Coupon Reminder_Feb14</t>
  </si>
  <si>
    <t>Email - Fairview English</t>
  </si>
  <si>
    <t>Email - Royalmount English</t>
  </si>
  <si>
    <t>Email - Royalmount French</t>
  </si>
  <si>
    <t>[Production] Survey - Mobile Testing_Feb19</t>
  </si>
  <si>
    <t>[Production] 25-0004-EVCN-Family Monthly Newsletter 2025-February_Feb15</t>
  </si>
  <si>
    <t>[Production] 25-0066-RECR-2025 Q1 LBE Bounceback Gaming Offer-PDM-Initial_Feb15</t>
  </si>
  <si>
    <t>[Production] 25-0072-MKTT-Monsieur Aznavour Aprés-Midis Franco Dedicated Email_Feb15</t>
  </si>
  <si>
    <t>[Production] 25-0001-MKTT-Weekly Film Marketing Emails_Tuesday_Feb18</t>
  </si>
  <si>
    <t>[Production] 25-0071-MKTT-The Monkey Dedicated Email_Feb19</t>
  </si>
  <si>
    <t>[Production] Dedicated - Legends of the Condor - Feb 19</t>
  </si>
  <si>
    <t>[Production] Dedicated - NBA 30th Documentary - Feb 19</t>
  </si>
  <si>
    <t>[Production] (36118) Captain America: Brave New World - English</t>
  </si>
  <si>
    <t>[Production] (36118) Captain America: Brave New World - French</t>
  </si>
  <si>
    <t>[Production] (37112) Paddington in Peru - English</t>
  </si>
  <si>
    <t>[Production] (37112) Paddington in Peru - French</t>
  </si>
  <si>
    <t>[Production] (38158) Ne Zha 2 - English</t>
  </si>
  <si>
    <t>[Production] 25-0054-MKTT-One Cineplex March Break Guide Email_NB_Feb20</t>
  </si>
  <si>
    <t>[Production] 25-0054-MKTT-One Cineplex March Break Guide Email_QC_Feb20</t>
  </si>
  <si>
    <t>Email - 2nd Week Ticketing - English</t>
  </si>
  <si>
    <t>Email - 2nd Week Ticketing - French</t>
  </si>
  <si>
    <t>Feb 14 - Feb 20</t>
  </si>
  <si>
    <t>[Production] 25-0001-MKTT-Weekly Film Marketing Emails_FridayWhatsOn_Feb21</t>
  </si>
  <si>
    <t xml:space="preserve">[Production] VIP Survey_Feb21 </t>
  </si>
  <si>
    <t>[Production] 25-0054-MKTT-One Cineplex March Break Guide Email_NS_Feb24</t>
  </si>
  <si>
    <t>[Production] 25-0054-MKTT-One Cineplex March Break Guide Email_ON_Feb24</t>
  </si>
  <si>
    <t xml:space="preserve">[Production] 25-0054-MKTT-One Cineplex March Break Guide Email_ON_Feb24 </t>
  </si>
  <si>
    <t>[Production] 25-0001-MKTT-Weekly Film Marketing Emails_Tuesday_Feb25</t>
  </si>
  <si>
    <t xml:space="preserve">[Production] 25-0065-CPGC B2B Employee Appreciation Campaign 2025-CRM-Second Email-EN-FR_Feb25 </t>
  </si>
  <si>
    <t xml:space="preserve">[Production] 25-0065-CPGC B2B Employee Appreciation Campaign 2025-CRM-Second Email-FR-EN_Feb25 </t>
  </si>
  <si>
    <t xml:space="preserve">[Production] 25-0065-CPGC B2B Employee Appreciation Campaign 2025-UGO-Second Email-EN-FR_Feb25 </t>
  </si>
  <si>
    <t>[Production] 25-0065-CPGC B2B Employee Appreciation Campaign 2025-UGO-Second Email-FR-EN_Feb25</t>
  </si>
  <si>
    <t xml:space="preserve">[Production] 25-0160-GREV-G&amp;E Email - Grad/Prom Push-EN-FR_Feb26 </t>
  </si>
  <si>
    <t xml:space="preserve">[Production] 25-0160-GREV-G&amp;E Email - Grad/Prom Push-FR-EN_Feb26 </t>
  </si>
  <si>
    <t xml:space="preserve">[Production] Dedicated - MOBILE SUIT GUNDAM GQUUUUUX – BEGINNING - Feb 26 </t>
  </si>
  <si>
    <t xml:space="preserve">[Production] March Break Scene+ Offer - QC | NB_Feb27 </t>
  </si>
  <si>
    <t>[Production] March Break Scene+ Offer - QC | NB_Feb27</t>
  </si>
  <si>
    <t>Feb 21 - Feb 27</t>
  </si>
  <si>
    <t>Dedicated/Ad Hoc</t>
  </si>
  <si>
    <t>[Production] 25-0001-MKTT-Weekly Film Marketing Emails_FridayWhatsOn_Feb28</t>
  </si>
  <si>
    <t>[Production] 25-0062-MKTT-Minecraft Email-Advanced Ticketing_Feb28</t>
  </si>
  <si>
    <t>[Production] Dedicated - Elli et l'équipe des monstres - Feb 28</t>
  </si>
  <si>
    <t>[Production] 25-0003-EVCN-Arts Culture Monthly Newsletter 2025_Mar1</t>
  </si>
  <si>
    <t>[Production] 25-0024-RECR-TRR eNewsletter_Mar1_2025</t>
  </si>
  <si>
    <t>[Production] 25-0025-PDM-Playdium Newsletter_Mar2</t>
  </si>
  <si>
    <t>[Production] 25-0020-EVCN-Met Opera Owned Assets 2025-Fidelio_Mar3</t>
  </si>
  <si>
    <t>[Production] 25-0054-MKTT-One Cineplex March Break Guide Email_BC_Mar3</t>
  </si>
  <si>
    <t>[Production] 25-0054-MKTT-One Cineplex March Break Guide Email_PEI_Mar3</t>
  </si>
  <si>
    <t>[Production] 25-0001-MKTT-Weekly Film Marketing Emails_Tuesday_Mar4</t>
  </si>
  <si>
    <t>[Production] 25-0161-GREV-G&amp;E Email - School Groups - Minecraft-EN-FR_Mar5</t>
  </si>
  <si>
    <t>[Production] 25-0161-GREV-G&amp;E Email - School Groups - Minecraft-FR-EN_Mar5</t>
  </si>
  <si>
    <t>[Production] Dedicated - A Sloth Story - March 5</t>
  </si>
  <si>
    <t>[Production] Dedicated - Rule Breakers - Mar 5</t>
  </si>
  <si>
    <t>[Production] 25-0007-MKTT-International Cinema Monthly Newsletter-March_Mar6</t>
  </si>
  <si>
    <t>Feb 28 - Mar 6</t>
  </si>
  <si>
    <t>Email - RFM - Week 4 Offer - English</t>
  </si>
  <si>
    <t>Email - RFM - Week 4 Offer - French</t>
  </si>
  <si>
    <t>Mar 7 - Mar 13</t>
  </si>
  <si>
    <t>[Production] 25-0001-MKTT-Weekly Film Marketing Emails_FridayWhatsOn_Mar7</t>
  </si>
  <si>
    <t>[Production] 25-0190-MKTT-Night Of the Zoopocalypse Email - Scene Offer_Mar7</t>
  </si>
  <si>
    <t>[Production] March Break Scene+ Offer - ON | NS_Mar7</t>
  </si>
  <si>
    <t>[Production] 25-0073-MKTT-Miss Boots Aprés-Midis Franco Dedicated Email_Mar8</t>
  </si>
  <si>
    <t>[Production] 25-0028-RECR-TRR St. Patrick's Day-Reminder_Mar9</t>
  </si>
  <si>
    <t>[Production] 25-0044-MKTT-Snow White Dedicated Emails - Advance Ticketing_Mar10</t>
  </si>
  <si>
    <t>[Production] 25-0054-MKTT-One Cineplex March Break Guide Email_AB_Mar10</t>
  </si>
  <si>
    <t>[Production] 25-0001-MKTT-Weekly Film Marketing Emails_Tuesday_Mar11</t>
  </si>
  <si>
    <t>[Production] 25-0066-RECR-2025 Q1 LBE Bounceback Gaming Offer-TRR-Reminder_Mar11</t>
  </si>
  <si>
    <t>[Production] Survey - Tree Testing for Nav_V2</t>
  </si>
  <si>
    <t>Email - English - Track #1</t>
  </si>
  <si>
    <t>Email - English - Track #2</t>
  </si>
  <si>
    <t>Email - English - Track #3</t>
  </si>
  <si>
    <t>[Production] 25-0066-RECR-2025 Q1 LBE Bounceback Gaming Offer-PDM-Reminder_Mar12</t>
  </si>
  <si>
    <t>[Production] 25-0162-MKTT-Opus Dedicated Email_Mar12</t>
  </si>
  <si>
    <t>[Production] Dedicated - The Day the Earth Blew Up - Mar 12</t>
  </si>
  <si>
    <t>[Production] (36429) Mickey 17 - English</t>
  </si>
  <si>
    <t>[Production] (36429) Mickey 17 - French</t>
  </si>
  <si>
    <t>[Production] 25-0189-MKTT-Novocaine Email - Scene Offer_Mar13</t>
  </si>
  <si>
    <t>[Production] Black Bag - Scene+ Offer - March 13</t>
  </si>
  <si>
    <t>[Production] CineClub - The Alto Knights - March 13</t>
  </si>
  <si>
    <t>[Production] March Break Scene+ Offer - PEI</t>
  </si>
  <si>
    <t>[Production] 25-0001-MKTT-Weekly Film Marketing Emails_FridayWhatsOn_Mar14</t>
  </si>
  <si>
    <t>[Production] 25-0004-EVCN-Family Monthly Newsletter 2025-March-Mar15</t>
  </si>
  <si>
    <t>[Production] 25-0054-MKTT-One Cineplex March Break Guide Email_MB_Mar17</t>
  </si>
  <si>
    <t>[Production] 25-0054-MKTT-One Cineplex March Break Guide Email_NFLD_Mar17</t>
  </si>
  <si>
    <t>[Production] 25-0001-MKTT-Weekly Film Marketing Emails_Tuesday_Mar18</t>
  </si>
  <si>
    <t>[Production] 25-0062-MKTT-Minecraft Enhanced Experience Offer_Mar19</t>
  </si>
  <si>
    <t>[Production] Alto Knights - Scene+ Offer - March 20</t>
  </si>
  <si>
    <t>[Production] March Break Scene+ Offer - AB | BC</t>
  </si>
  <si>
    <t>Mar 14 - Mar 20</t>
  </si>
  <si>
    <t>[Production] 25-0001-MKTT-Weekly Film Marketing Emails_FridayWhatsOn_Mar21</t>
  </si>
  <si>
    <t>[Production] 25-0063-PLAY-2025 PDM Easter Event_Initial_Mar21&amp;Reminder_Apr11</t>
  </si>
  <si>
    <t>Email - Initial English_March21</t>
  </si>
  <si>
    <t>[Production] 25-0145-MKTB-Cineplex + Junxion Easter Events_CPX_Initial_Mar21</t>
  </si>
  <si>
    <t>[Production] 25-0145-MKTB-Cineplex + Junxion Easter Events-Junxion_Initial_Mar21</t>
  </si>
  <si>
    <t>[Production] 25-0199-EVCN-The Chosen - Dedicated Email_Mar24</t>
  </si>
  <si>
    <t>[Production] Survey - Tree Testing for Nav_Send #2</t>
  </si>
  <si>
    <t>[Production] 25-0001-MKTT-Weekly Film Marketing Emails_Tuesday_Mar25</t>
  </si>
  <si>
    <t>[Production] 25-0165-GREV-G&amp;E Email - Faith-Based Groups, The King of Kings_EN-FR_Mar26</t>
  </si>
  <si>
    <t>[Production] 25-0165-GREV-G&amp;E Email - Faith-Based Groups, The King of Kings_FR-EN_Mar26</t>
  </si>
  <si>
    <t>[Production] Dedicated - Oh Jazz! - Mar 26</t>
  </si>
  <si>
    <t>[Production] Dedicated - Oh Jazz! - Winnipeg - Mar 26</t>
  </si>
  <si>
    <t>[Production] (36231) Snow White - English</t>
  </si>
  <si>
    <t>[Production] (36231) Snow White - French</t>
  </si>
  <si>
    <t>[Production] 25-0185-MKTT-Death of a Unicorn Emails - Scene Points Offer + Dedicated_Mar27</t>
  </si>
  <si>
    <t>[Production] A Working Man Dedicated Email_SquadTest</t>
  </si>
  <si>
    <t>Email - English - New Template</t>
  </si>
  <si>
    <t>Email - English - Original</t>
  </si>
  <si>
    <t>Mar 21 - Mar 27</t>
  </si>
  <si>
    <t>[Production] 25-0001-MKTT-Weekly Film Marketing Emails_FridayWhatsOn_Mar28</t>
  </si>
  <si>
    <t>[Production] Survey - Tree Testing for Nav_Send #3</t>
  </si>
  <si>
    <t>[Production] 25-0001-MKTT-Weekly Film Marketing Emails_Tuesday_Apr1</t>
  </si>
  <si>
    <t>[Production] 25-0024-RECR-TRR eNewsletter_Apr1_2025</t>
  </si>
  <si>
    <t>[Production] 25-0025-PDM-Playdium Newsletter_Apr1</t>
  </si>
  <si>
    <t>[Production] 25-0006-MKTT-Ongoing Theatrical Updates-David Lynch_Apr2</t>
  </si>
  <si>
    <t>[Production] 25-0198-CPGC-B2B Admin Appreciation Email_EN-FR_Apr2</t>
  </si>
  <si>
    <t>[Production] 25-0207-MKTB-Pergola Reopening Email_Apr2</t>
  </si>
  <si>
    <t>25-0198-CPGC-B2B Admin Appreciation Email_FR-EN_Apr2</t>
  </si>
  <si>
    <t>[Production] (38057) Working Man - English</t>
  </si>
  <si>
    <t>Email - 2nd week No Offer - English</t>
  </si>
  <si>
    <t>[Production] (38057) Working Man - French</t>
  </si>
  <si>
    <t>Email - 2nd week No Offer - French</t>
  </si>
  <si>
    <t>[Production] Death of a Unicorn Dedicated Email_SquadTest</t>
  </si>
  <si>
    <t>Mar 28 - Apr 3</t>
  </si>
  <si>
    <t>YTD Email Channel Performance (em &amp; email)</t>
  </si>
  <si>
    <t>[Production] 25-0001-MKTT-Weekly Film Marketing Emails_FridayWhatsOn_Apr4</t>
  </si>
  <si>
    <t>[Production] 25-0029-FOOD-F&amp;B Personalization &amp; Tactics Calendar-Minecraft_Apr4</t>
  </si>
  <si>
    <t>[Production] 25-0218-GREV-G&amp;E Email Push - Fairview Birthday Parties (EXH &amp; PDM)_Apr4</t>
  </si>
  <si>
    <t>[Production] 25-0003-EVCN-Arts Culture Monthly Newsletter 2025_Apr5</t>
  </si>
  <si>
    <t>[Production] Dedicated - Une langue universelle  - April 5</t>
  </si>
  <si>
    <t>[Production] 25-0054-MKTT-One Cineplex March Break Guide Email_SK_Apr7</t>
  </si>
  <si>
    <t>[Production] 25-0187-EVCN-Andre Rieu The Dream Continues Scene_Dedicated_Apr7</t>
  </si>
  <si>
    <t>Email - English - No Offer</t>
  </si>
  <si>
    <t>Email - French - No Offer</t>
  </si>
  <si>
    <t>[Production] 25-0001-MKTT-Weekly Film Marketing Emails_Tuesday_Apr8</t>
  </si>
  <si>
    <t>[Production] 25-0217-MKTL-CineClub Quarterly Engagement Dashboard Email_Apr8</t>
  </si>
  <si>
    <t>[Production] 25-0183-MKTT-Drop Email - Dedicated_Apr9</t>
  </si>
  <si>
    <t>[Production] 25-0256-MKTT-The King of Kings Dedicated Email_Apr9</t>
  </si>
  <si>
    <t>[Production] - Pricing Workstream 3 - April 10-14</t>
  </si>
  <si>
    <t>Email - $3 - English</t>
  </si>
  <si>
    <t>Email - $3 - French</t>
  </si>
  <si>
    <t>Email - $5 - English</t>
  </si>
  <si>
    <t>Email - $5 - French</t>
  </si>
  <si>
    <t>Email - $8 - English</t>
  </si>
  <si>
    <t>Email - $8 - French</t>
  </si>
  <si>
    <t>[Production] (20866) Minecraft - English</t>
  </si>
  <si>
    <t>[Production] (20866) Minecraft - French</t>
  </si>
  <si>
    <t>[Production] 25-0007-MKTT-International Cinema Monthly Newsletter-April_Apr10</t>
  </si>
  <si>
    <t>[Production] Dedicated_Email_SquadTest - Warfare_v2</t>
  </si>
  <si>
    <t>Email - French - Original</t>
  </si>
  <si>
    <t>[Production] Minecraft JetPack Code Distribution</t>
  </si>
  <si>
    <t>Apr 4 - Apr 10</t>
  </si>
  <si>
    <t>[Production] 25-0001-MKTT-Weekly Film Marketing Emails_FridayWhatsOn_Apr11</t>
  </si>
  <si>
    <t>Email - English - Champions, Value Conscious Loyals</t>
  </si>
  <si>
    <t>Email - English - Fleeting, At risk, High value lapsed</t>
  </si>
  <si>
    <t>Email - English - High - Reg</t>
  </si>
  <si>
    <t>Email - English - Low - Reg</t>
  </si>
  <si>
    <t>[Production] 25-0063-PLAY-2025 PDM Easter Event_Initial_Mar10&amp;Reminder_Apr11</t>
  </si>
  <si>
    <t>Email - Reminder English_April11</t>
  </si>
  <si>
    <t>[Production] 25-0167-CPGC-CPX Easter and Spring Gift Pack 2025-Easter-Initial_Apr11</t>
  </si>
  <si>
    <t>[Production] 25-0178-MKTT-Marvel Studios' Thunderbolts* Emails - AT &amp; Dedicated-Advance Ticketing_Apr12</t>
  </si>
  <si>
    <t>[Production] 25-0145-MKTB-Cineplex + Junxion Easter Events_CPX_Reminder_Apr14</t>
  </si>
  <si>
    <t>[Production] 25-0145-MKTB-Cineplex + Junxion Easter Events-Junxion-Reminder_Apr14</t>
  </si>
  <si>
    <t>[Production] 25-0166-CPGC-TRR and PDM Spring Emails-PDM-Easter_Apr14</t>
  </si>
  <si>
    <t>[Production] 25-0001-MKTT-Weekly Film Marketing Emails_Tuesday_Apr15</t>
  </si>
  <si>
    <t>[Production] 25-0166-CPGC-TRR and PDM Spring Emails-TRR-Easter_Apr15</t>
  </si>
  <si>
    <t>[Production] CineClub Logo Test</t>
  </si>
  <si>
    <t>Email - English - CC</t>
  </si>
  <si>
    <t>Email - English - Non CC</t>
  </si>
  <si>
    <t>[Production] 25-0020-EVCN-Met Opera Owned Assets 2025-Le Nozze de Figaro_Apr16</t>
  </si>
  <si>
    <t>[Production] The Wedding Banquet - April 16</t>
  </si>
  <si>
    <t>[Production] Dedicated - Sneak Peek Showcase_April17</t>
  </si>
  <si>
    <t>Email - 4th Week MDP Offer - English</t>
  </si>
  <si>
    <t>Email - 4th Week MDP Offer - French</t>
  </si>
  <si>
    <t>Email - RFM VARIANTS - English</t>
  </si>
  <si>
    <t>Email - RFM VARIANTS - French</t>
  </si>
  <si>
    <t>Apr 11 - Apr 17</t>
  </si>
  <si>
    <t>[Production] 25-0001-MKTT-Weekly Film Marketing Emails_FridayWhatsOn_Apr18</t>
  </si>
  <si>
    <t>[Production] 25-0004-EVCN-Family Monthly Newsletter 2025-April-Apr19</t>
  </si>
  <si>
    <t>[Production] 25-0271-MKTB-$5 Tuesdays - April - Email-Initial_Apr20</t>
  </si>
  <si>
    <t>[Production] Sinners - 70mm IMAX Strip Giveaway</t>
  </si>
  <si>
    <t>[Production] 25-0001-MKTT-Weekly Film Marketing Emails_Tuesday_Apr22</t>
  </si>
  <si>
    <t>[Production] 25-0250-GREV-G&amp;E Email - LBE Day Camps Offer_EN-FR_Apr23</t>
  </si>
  <si>
    <t>[Production] 25-0250-GREV-G&amp;E Email - LBE Day Camps Offer_FR-EN_Apr23</t>
  </si>
  <si>
    <t>[Production] - Pricing Workstream 4 - April 24-28 - Correct Audience v2</t>
  </si>
  <si>
    <t>[Production] - Pricing Workstream 4 - April 24-28</t>
  </si>
  <si>
    <t>[Production] (37459) Sinners - English</t>
  </si>
  <si>
    <t>[Production] (37459) Sinners - French</t>
  </si>
  <si>
    <t>[Production] 25-0186-MKTT-Until Dawn - Dedicated Email_Apr24</t>
  </si>
  <si>
    <t>Apr 18 - Apr 24</t>
  </si>
  <si>
    <t xml:space="preserve">Email - Week 4 MDP Offer - English </t>
  </si>
  <si>
    <t>Total &amp; AVG Click Metrics</t>
  </si>
  <si>
    <t>[Production] 25-0001-MKTT-Weekly Film Marketing Emails_FridayWhatsOn_Apr25</t>
  </si>
  <si>
    <t>[Production] 25-0271-MKTB-$5 Tuesdays - April - Email-Reminder_Apr27</t>
  </si>
  <si>
    <t>[Production] 25-0188-MKTT-Mission: Impossible - The Final Reckoning Emails - AT + Scene Offer-Advance Ticketing_Apr28</t>
  </si>
  <si>
    <t>[Production] 25-0277-LBE-PDM_GamingSampler_April28</t>
  </si>
  <si>
    <t>[Production] 25-0277-TRR_GamingSampler_EN/FR_April28</t>
  </si>
  <si>
    <t>[Production] 25-0001-MKTT-Weekly Film Marketing Emails_Tuesday_Apr29</t>
  </si>
  <si>
    <t>[Production] 25-0020-EVCN-Met Opera Owned Assets 2025-Salome_Apr30</t>
  </si>
  <si>
    <t>[Production] Thunderbolts ScreenX - Scene Points Offer_Apr30</t>
  </si>
  <si>
    <t>[Production] 25-0025-PDM-Playdium Newsletter_May1</t>
  </si>
  <si>
    <t>[Production] 25-0179-MKTT-HTTYD_EnhancedExperience_Offer_May1</t>
  </si>
  <si>
    <t>[Production] 25-0280-GREV-G&amp;E Email, School Groups – Lilo &amp; Stitch_EN-FR_May1</t>
  </si>
  <si>
    <t>[Production] 25-0280-GREV-G&amp;E Email, School Groups – Lilo &amp; Stitch_FR-EN_May1</t>
  </si>
  <si>
    <t>[Production] (36119) Thunderbolts* - English</t>
  </si>
  <si>
    <t>[Production] (36119) Thunderbolts* - French</t>
  </si>
  <si>
    <t>[Production] 25-0001-MKTT-Weekly Film Marketing Emails_FridayWhatsOn_May2</t>
  </si>
  <si>
    <t>[Production] 25-0001-MKTT-Weekly Film Marketing Emails_Tuesday_ May6</t>
  </si>
  <si>
    <t>[Production] 25-0003-EVCN-Arts Culture Monthly Newsletter 2025_May3</t>
  </si>
  <si>
    <t>[Production] 25-0024-RECR-TRR eNewsletter_May2_2025</t>
  </si>
  <si>
    <t>[Production] 25-0166-CPGC-TRR and PDM Spring Emails-TRR-Mother's-Day_May6</t>
  </si>
  <si>
    <t>[Production] 25-0167-CPGC-CPX Easter and Spring Gift Pack 2025-Mothers-Day_May2</t>
  </si>
  <si>
    <t>[Production] 25-0175-MKTT-Disney's Lilo &amp; Stitch Emails-Advance Ticketing_May7</t>
  </si>
  <si>
    <t>[Production] 25-0192-MKTT-VIP Upgrade Offer-May-Initial_May5</t>
  </si>
  <si>
    <t>[Production] 25-0228-EVCN-Eurovision-Dedicated Email_May8</t>
  </si>
  <si>
    <t>[Production] Friendship Early Access Screening</t>
  </si>
  <si>
    <t>Email - Edmonton</t>
  </si>
  <si>
    <t>Email - Scotiabank Toronto</t>
  </si>
  <si>
    <t>Email - Scotiabank Vancouver</t>
  </si>
  <si>
    <t>[Production] 25-0007-MKTT-International Cinema Monthly Newsletter-May_May8_Copy</t>
  </si>
  <si>
    <t>[Production] 25-0001-MKTT-Weekly Film Marketing Emails_FridayWhatsOn_May9</t>
  </si>
  <si>
    <t>[Production] 25-0275-MKTL-CineClub Start of Summer May Mass Offer 2025_Initial_v2</t>
  </si>
  <si>
    <t>Email - English-CINECLUB SCENE+</t>
  </si>
  <si>
    <t>Email - English-NON CINECLUB SCENE+</t>
  </si>
  <si>
    <t>Email - French-CINECLUB SCENE+</t>
  </si>
  <si>
    <t>Email - French-NON CINECLUB SCENE+</t>
  </si>
  <si>
    <t>[Production]  25-0277-LBE-PDM_GamingSampler_FollowUp_May12</t>
  </si>
  <si>
    <t>[Production] 25-0192-MKTT-VIP Upgrade Offer-May-Reminder_May12</t>
  </si>
  <si>
    <t>[Production] 25-0277-TRR_GamingSampler_FollowUp_EN/FR_May12</t>
  </si>
  <si>
    <t>[Production] 25-0001-MKTT-Weekly Film Marketing Emails_Tuesday_ May13</t>
  </si>
  <si>
    <t>[Production] 25-0184-MKTT-Ballerina Emails - Advance Ticketing_May13</t>
  </si>
  <si>
    <t>[Production] 25-0020-EVCN-Met Opera Owned Assets 2025-Il Barbiere de Seviglia_May14</t>
  </si>
  <si>
    <t>[Production] 25-0166-CPGC-TRR and PDM Spring Emails-PDM-Birthday_May14</t>
  </si>
  <si>
    <t>[Production] Friendship - May 14 v2</t>
  </si>
  <si>
    <t>[Production] May Long Weekend RFM Offer</t>
  </si>
  <si>
    <t>Email - English - 250</t>
  </si>
  <si>
    <t>Email - English - 500</t>
  </si>
  <si>
    <t>Email - English - 750</t>
  </si>
  <si>
    <t>Email - French - 250</t>
  </si>
  <si>
    <t>Email - French - 500</t>
  </si>
  <si>
    <t>Email - French - 750</t>
  </si>
  <si>
    <t>[Production] Survey - Popcorn Party Bookings - May 15</t>
  </si>
  <si>
    <t>Apr 25 - May 1</t>
  </si>
  <si>
    <t>May 2 - May 8</t>
  </si>
  <si>
    <t>May 9 - May 15</t>
  </si>
  <si>
    <t>[Production] 25-0001-MKTT-Weekly Film Marketing Emails_FridayWhatsOn_May16</t>
  </si>
  <si>
    <t>[Production] 25-0167-CPGC-CPX Easter and Spring Gift Pack 2025-Spring Value_May16</t>
  </si>
  <si>
    <t>[Production] 25-0239-MKTT-Bergers - Après-Midi Francos Email_May16</t>
  </si>
  <si>
    <t>[Production] 25-0004-EVCN-Family Monthly Newsletter 2025-May-May17</t>
  </si>
  <si>
    <t>Email - English - 250 - Reminder</t>
  </si>
  <si>
    <t>Email - English - 500 - Reminder</t>
  </si>
  <si>
    <t>Email - English - 750 - Reminder</t>
  </si>
  <si>
    <t>Email - French - 250 - Reminder</t>
  </si>
  <si>
    <t>Email - French - 500 - Reminder</t>
  </si>
  <si>
    <t>Email - French - 750 - Reminder</t>
  </si>
  <si>
    <t>[Production] MDP Interest Abandon - Single Film</t>
  </si>
  <si>
    <t>Email - Film Specific MDP</t>
  </si>
  <si>
    <t>[Production] 25-0258-FOOD-Spring Uber/Skip Emails-UBER_May18</t>
  </si>
  <si>
    <t>[Production] Peppa Meets the Baby Cinema Experience - May 19</t>
  </si>
  <si>
    <t>[Production] Survey - Popcorn Party Bookings - May 19</t>
  </si>
  <si>
    <t>[Production] 25-0001-MKTT-Weekly Film Marketing Emails_Tuesday_May20</t>
  </si>
  <si>
    <t>[Production] CineClub Ticketing Naming Survey</t>
  </si>
  <si>
    <t>[Production] CineClub Blockbuster Concession Codes</t>
  </si>
  <si>
    <t>[Production] Dedicated - F1 Advanced - May 21</t>
  </si>
  <si>
    <t>[Production] Dedicated - Friendship (ROC) - May 21</t>
  </si>
  <si>
    <t>[Production] Survey - Popcorn Party Bookings - May 21</t>
  </si>
  <si>
    <t>[Production] 25-0020-EVCN-Met Opera Owned Assets 2025-Il Barbiere de Seviglia_May22_SecondSend</t>
  </si>
  <si>
    <t>[Production] 25-0176-MKTT-Jurassic World: Rebirth Email - Advanced Ticketing Offer_May22_V2</t>
  </si>
  <si>
    <t>May 16 - May 22</t>
  </si>
  <si>
    <t>LW = Last Week (May 9 - May 15)</t>
  </si>
  <si>
    <t>Week of May 16 - May 22*</t>
  </si>
  <si>
    <t>*Data is based on UTM tracking (em &amp; email) using last touch 14-day attribution for .com only and was pulled on May 28, 2025.
 Adobe revenue is only directional and not a true revenue source. Revenue is inclusive to OBF.</t>
  </si>
  <si>
    <t>Attendance Workstream**</t>
  </si>
  <si>
    <t>** There was no Attendance Workstream for this business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</si>
</sst>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%;\-0.00%;0.00%"/>
    <numFmt numFmtId="165" formatCode="yyyy\-mm\-dd;@"/>
    <numFmt numFmtId="166" formatCode="_(* #,##0_);_(* \(#,##0\);_(* &quot;-&quot;??_);_(@_)"/>
    <numFmt numFmtId="167" formatCode="_(&quot;$&quot;* #,##0_);_(&quot;$&quot;* \(#,##0\);_(&quot;$&quot;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CE8E3"/>
        <bgColor indexed="64"/>
      </patternFill>
    </fill>
    <fill>
      <patternFill patternType="solid">
        <fgColor rgb="FFE8A92B"/>
        <bgColor indexed="64"/>
      </patternFill>
    </fill>
    <fill>
      <patternFill patternType="solid">
        <fgColor rgb="FFFF45E3"/>
        <bgColor indexed="64"/>
      </patternFill>
    </fill>
    <fill>
      <patternFill patternType="solid">
        <fgColor rgb="FF1AF20B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78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9" xfId="0" applyBorder="1"/>
    <xf numFmtId="0" fontId="2" fillId="3" borderId="6" xfId="0" applyFont="1" applyFill="1" applyBorder="1"/>
    <xf numFmtId="0" fontId="0" fillId="3" borderId="0" xfId="0" applyFill="1"/>
    <xf numFmtId="0" fontId="0" fillId="3" borderId="7" xfId="0" applyFill="1" applyBorder="1"/>
    <xf numFmtId="16" fontId="0" fillId="0" borderId="6" xfId="0" applyNumberFormat="1" applyBorder="1"/>
    <xf numFmtId="10" fontId="0" fillId="0" borderId="7" xfId="0" applyNumberFormat="1" applyBorder="1"/>
    <xf numFmtId="0" fontId="2" fillId="3" borderId="1" xfId="0" applyFont="1" applyFill="1" applyBorder="1"/>
    <xf numFmtId="0" fontId="0" fillId="3" borderId="3" xfId="0" applyFill="1" applyBorder="1"/>
    <xf numFmtId="0" fontId="0" fillId="3" borderId="5" xfId="0" applyFill="1" applyBorder="1"/>
    <xf numFmtId="16" fontId="0" fillId="0" borderId="0" xfId="0" applyNumberFormat="1"/>
    <xf numFmtId="16" fontId="0" fillId="0" borderId="13" xfId="0" applyNumberFormat="1" applyBorder="1"/>
    <xf numFmtId="164" fontId="0" fillId="0" borderId="14" xfId="0" applyNumberFormat="1" applyBorder="1"/>
    <xf numFmtId="10" fontId="0" fillId="0" borderId="14" xfId="0" applyNumberFormat="1" applyBorder="1"/>
    <xf numFmtId="3" fontId="4" fillId="0" borderId="0" xfId="0" applyNumberFormat="1" applyFont="1"/>
    <xf numFmtId="164" fontId="4" fillId="0" borderId="12" xfId="0" applyNumberFormat="1" applyFont="1" applyBorder="1"/>
    <xf numFmtId="3" fontId="4" fillId="0" borderId="9" xfId="0" applyNumberFormat="1" applyFont="1" applyBorder="1"/>
    <xf numFmtId="164" fontId="4" fillId="0" borderId="9" xfId="0" applyNumberFormat="1" applyFont="1" applyBorder="1"/>
    <xf numFmtId="164" fontId="4" fillId="0" borderId="10" xfId="0" applyNumberFormat="1" applyFont="1" applyBorder="1"/>
    <xf numFmtId="16" fontId="4" fillId="0" borderId="8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15" xfId="0" applyFill="1" applyBorder="1"/>
    <xf numFmtId="3" fontId="0" fillId="6" borderId="15" xfId="0" applyNumberFormat="1" applyFill="1" applyBorder="1"/>
    <xf numFmtId="164" fontId="0" fillId="6" borderId="15" xfId="0" applyNumberFormat="1" applyFill="1" applyBorder="1"/>
    <xf numFmtId="10" fontId="0" fillId="6" borderId="15" xfId="0" applyNumberFormat="1" applyFill="1" applyBorder="1"/>
    <xf numFmtId="0" fontId="0" fillId="5" borderId="15" xfId="0" applyFill="1" applyBorder="1"/>
    <xf numFmtId="3" fontId="0" fillId="5" borderId="15" xfId="0" applyNumberFormat="1" applyFill="1" applyBorder="1"/>
    <xf numFmtId="164" fontId="0" fillId="5" borderId="15" xfId="0" applyNumberFormat="1" applyFill="1" applyBorder="1"/>
    <xf numFmtId="16" fontId="0" fillId="6" borderId="15" xfId="0" applyNumberFormat="1" applyFill="1" applyBorder="1" applyAlignment="1">
      <alignment horizontal="center"/>
    </xf>
    <xf numFmtId="16" fontId="0" fillId="5" borderId="15" xfId="0" applyNumberFormat="1" applyFill="1" applyBorder="1" applyAlignment="1">
      <alignment horizontal="center"/>
    </xf>
    <xf numFmtId="3" fontId="1" fillId="4" borderId="20" xfId="0" applyNumberFormat="1" applyFont="1" applyFill="1" applyBorder="1" applyAlignment="1">
      <alignment horizontal="center"/>
    </xf>
    <xf numFmtId="10" fontId="1" fillId="4" borderId="20" xfId="1" applyNumberFormat="1" applyFont="1" applyFill="1" applyBorder="1" applyAlignment="1">
      <alignment horizontal="center"/>
    </xf>
    <xf numFmtId="164" fontId="4" fillId="0" borderId="0" xfId="0" applyNumberFormat="1" applyFont="1"/>
    <xf numFmtId="0" fontId="1" fillId="4" borderId="19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0" fillId="9" borderId="16" xfId="0" applyFont="1" applyFill="1" applyBorder="1" applyAlignment="1">
      <alignment horizontal="center"/>
    </xf>
    <xf numFmtId="0" fontId="10" fillId="9" borderId="18" xfId="0" applyFont="1" applyFill="1" applyBorder="1" applyAlignment="1">
      <alignment horizontal="center"/>
    </xf>
    <xf numFmtId="0" fontId="10" fillId="10" borderId="16" xfId="0" applyFont="1" applyFill="1" applyBorder="1" applyAlignment="1">
      <alignment horizontal="center"/>
    </xf>
    <xf numFmtId="0" fontId="10" fillId="10" borderId="18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12" borderId="16" xfId="0" applyFont="1" applyFill="1" applyBorder="1" applyAlignment="1">
      <alignment horizontal="center"/>
    </xf>
    <xf numFmtId="0" fontId="10" fillId="12" borderId="18" xfId="0" applyFont="1" applyFill="1" applyBorder="1" applyAlignment="1">
      <alignment horizontal="center"/>
    </xf>
    <xf numFmtId="166" fontId="0" fillId="0" borderId="0" xfId="3" applyNumberFormat="1" applyFont="1" applyFill="1" applyBorder="1"/>
    <xf numFmtId="167" fontId="11" fillId="0" borderId="19" xfId="4" applyNumberFormat="1" applyFont="1" applyBorder="1" applyAlignment="1">
      <alignment horizontal="center" vertical="center"/>
    </xf>
    <xf numFmtId="9" fontId="11" fillId="0" borderId="21" xfId="1" applyFont="1" applyBorder="1" applyAlignment="1">
      <alignment horizontal="center" vertical="center"/>
    </xf>
    <xf numFmtId="166" fontId="11" fillId="0" borderId="19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10" fontId="11" fillId="0" borderId="19" xfId="1" applyNumberFormat="1" applyFont="1" applyBorder="1" applyAlignment="1">
      <alignment horizontal="center" vertical="center"/>
    </xf>
    <xf numFmtId="0" fontId="4" fillId="15" borderId="26" xfId="0" applyFont="1" applyFill="1" applyBorder="1" applyAlignment="1">
      <alignment horizontal="center" vertical="center"/>
    </xf>
    <xf numFmtId="0" fontId="4" fillId="16" borderId="26" xfId="0" applyFont="1" applyFill="1" applyBorder="1" applyAlignment="1">
      <alignment horizontal="center" vertical="center"/>
    </xf>
    <xf numFmtId="0" fontId="4" fillId="17" borderId="26" xfId="0" applyFont="1" applyFill="1" applyBorder="1" applyAlignment="1">
      <alignment horizontal="center" vertical="center"/>
    </xf>
    <xf numFmtId="0" fontId="5" fillId="11" borderId="26" xfId="0" applyFont="1" applyFill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3" fontId="5" fillId="4" borderId="28" xfId="0" applyNumberFormat="1" applyFont="1" applyFill="1" applyBorder="1"/>
    <xf numFmtId="164" fontId="5" fillId="4" borderId="28" xfId="0" applyNumberFormat="1" applyFont="1" applyFill="1" applyBorder="1"/>
    <xf numFmtId="0" fontId="5" fillId="4" borderId="26" xfId="0" applyFont="1" applyFill="1" applyBorder="1" applyAlignment="1">
      <alignment horizontal="center"/>
    </xf>
    <xf numFmtId="0" fontId="4" fillId="14" borderId="26" xfId="0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166" fontId="15" fillId="0" borderId="26" xfId="3" applyNumberFormat="1" applyFont="1" applyBorder="1" applyAlignment="1">
      <alignment horizontal="center" vertical="center"/>
    </xf>
    <xf numFmtId="10" fontId="15" fillId="0" borderId="26" xfId="1" applyNumberFormat="1" applyFont="1" applyBorder="1" applyAlignment="1">
      <alignment horizontal="center" vertical="center"/>
    </xf>
    <xf numFmtId="167" fontId="15" fillId="0" borderId="26" xfId="4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7" fontId="0" fillId="0" borderId="0" xfId="0" applyNumberFormat="1"/>
    <xf numFmtId="0" fontId="0" fillId="6" borderId="15" xfId="0" applyFill="1" applyBorder="1" applyAlignment="1">
      <alignment horizontal="center"/>
    </xf>
    <xf numFmtId="3" fontId="0" fillId="6" borderId="15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6" borderId="33" xfId="0" applyFill="1" applyBorder="1" applyAlignment="1">
      <alignment horizontal="center"/>
    </xf>
    <xf numFmtId="164" fontId="0" fillId="6" borderId="34" xfId="0" applyNumberFormat="1" applyFill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16" fontId="0" fillId="0" borderId="15" xfId="0" applyNumberFormat="1" applyBorder="1" applyAlignment="1">
      <alignment horizontal="center"/>
    </xf>
    <xf numFmtId="0" fontId="0" fillId="0" borderId="15" xfId="0" applyBorder="1"/>
    <xf numFmtId="3" fontId="0" fillId="0" borderId="15" xfId="0" applyNumberFormat="1" applyBorder="1"/>
    <xf numFmtId="164" fontId="0" fillId="0" borderId="15" xfId="0" applyNumberFormat="1" applyBorder="1"/>
    <xf numFmtId="0" fontId="0" fillId="0" borderId="15" xfId="0" applyBorder="1" applyAlignment="1">
      <alignment horizontal="center"/>
    </xf>
    <xf numFmtId="10" fontId="0" fillId="0" borderId="15" xfId="0" applyNumberFormat="1" applyBorder="1"/>
    <xf numFmtId="164" fontId="0" fillId="0" borderId="7" xfId="0" applyNumberFormat="1" applyBorder="1"/>
    <xf numFmtId="0" fontId="0" fillId="0" borderId="22" xfId="0" applyBorder="1" applyAlignment="1">
      <alignment horizontal="center"/>
    </xf>
    <xf numFmtId="3" fontId="0" fillId="6" borderId="36" xfId="0" applyNumberFormat="1" applyFill="1" applyBorder="1" applyAlignment="1">
      <alignment horizontal="center"/>
    </xf>
    <xf numFmtId="164" fontId="0" fillId="6" borderId="36" xfId="0" applyNumberFormat="1" applyFill="1" applyBorder="1" applyAlignment="1">
      <alignment horizontal="center"/>
    </xf>
    <xf numFmtId="164" fontId="0" fillId="6" borderId="37" xfId="0" applyNumberForma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3" fontId="0" fillId="5" borderId="15" xfId="0" applyNumberFormat="1" applyFill="1" applyBorder="1" applyAlignment="1">
      <alignment horizontal="center"/>
    </xf>
    <xf numFmtId="164" fontId="0" fillId="5" borderId="15" xfId="0" applyNumberFormat="1" applyFill="1" applyBorder="1" applyAlignment="1">
      <alignment horizontal="center"/>
    </xf>
    <xf numFmtId="165" fontId="1" fillId="4" borderId="38" xfId="0" applyNumberFormat="1" applyFont="1" applyFill="1" applyBorder="1" applyAlignment="1">
      <alignment horizontal="center" vertical="center"/>
    </xf>
    <xf numFmtId="3" fontId="1" fillId="4" borderId="39" xfId="0" applyNumberFormat="1" applyFont="1" applyFill="1" applyBorder="1" applyAlignment="1">
      <alignment horizontal="center" vertical="center"/>
    </xf>
    <xf numFmtId="10" fontId="1" fillId="4" borderId="39" xfId="0" applyNumberFormat="1" applyFont="1" applyFill="1" applyBorder="1" applyAlignment="1">
      <alignment horizontal="center" vertical="center"/>
    </xf>
    <xf numFmtId="10" fontId="1" fillId="4" borderId="40" xfId="0" applyNumberFormat="1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/>
    </xf>
    <xf numFmtId="3" fontId="0" fillId="6" borderId="17" xfId="0" applyNumberFormat="1" applyFill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164" fontId="0" fillId="5" borderId="34" xfId="0" applyNumberFormat="1" applyFill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0" fillId="5" borderId="3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0" fontId="11" fillId="14" borderId="24" xfId="0" applyFont="1" applyFill="1" applyBorder="1" applyAlignment="1">
      <alignment horizontal="center" vertical="center"/>
    </xf>
    <xf numFmtId="0" fontId="11" fillId="1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3" fillId="7" borderId="23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0" fontId="9" fillId="11" borderId="23" xfId="0" applyFont="1" applyFill="1" applyBorder="1" applyAlignment="1">
      <alignment horizontal="center"/>
    </xf>
    <xf numFmtId="0" fontId="9" fillId="11" borderId="24" xfId="0" applyFont="1" applyFill="1" applyBorder="1" applyAlignment="1">
      <alignment horizontal="center"/>
    </xf>
    <xf numFmtId="0" fontId="9" fillId="11" borderId="25" xfId="0" applyFont="1" applyFill="1" applyBorder="1" applyAlignment="1">
      <alignment horizontal="center"/>
    </xf>
    <xf numFmtId="0" fontId="9" fillId="13" borderId="23" xfId="0" applyFont="1" applyFill="1" applyBorder="1" applyAlignment="1">
      <alignment horizontal="center" vertical="center"/>
    </xf>
    <xf numFmtId="0" fontId="9" fillId="13" borderId="24" xfId="0" applyFont="1" applyFill="1" applyBorder="1" applyAlignment="1">
      <alignment horizontal="center" vertical="center"/>
    </xf>
    <xf numFmtId="0" fontId="9" fillId="13" borderId="25" xfId="0" applyFont="1" applyFill="1" applyBorder="1" applyAlignment="1">
      <alignment horizontal="center" vertical="center"/>
    </xf>
    <xf numFmtId="167" fontId="11" fillId="0" borderId="31" xfId="4" applyNumberFormat="1" applyFont="1" applyBorder="1" applyAlignment="1">
      <alignment horizontal="center" vertical="center"/>
    </xf>
    <xf numFmtId="167" fontId="11" fillId="0" borderId="32" xfId="4" applyNumberFormat="1" applyFont="1" applyBorder="1" applyAlignment="1">
      <alignment horizontal="center" vertical="center"/>
    </xf>
    <xf numFmtId="166" fontId="11" fillId="0" borderId="31" xfId="3" applyNumberFormat="1" applyFont="1" applyBorder="1" applyAlignment="1">
      <alignment horizontal="center" vertical="center"/>
    </xf>
    <xf numFmtId="166" fontId="11" fillId="0" borderId="32" xfId="3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1" fillId="15" borderId="23" xfId="0" applyFont="1" applyFill="1" applyBorder="1" applyAlignment="1">
      <alignment horizontal="center" vertical="center"/>
    </xf>
    <xf numFmtId="0" fontId="11" fillId="15" borderId="24" xfId="0" applyFont="1" applyFill="1" applyBorder="1" applyAlignment="1">
      <alignment horizontal="center" vertical="center"/>
    </xf>
    <xf numFmtId="0" fontId="11" fillId="15" borderId="25" xfId="0" applyFont="1" applyFill="1" applyBorder="1" applyAlignment="1">
      <alignment horizontal="center" vertical="center"/>
    </xf>
    <xf numFmtId="0" fontId="11" fillId="16" borderId="23" xfId="0" applyFont="1" applyFill="1" applyBorder="1" applyAlignment="1">
      <alignment horizontal="center" vertical="center"/>
    </xf>
    <xf numFmtId="0" fontId="11" fillId="16" borderId="24" xfId="0" applyFont="1" applyFill="1" applyBorder="1" applyAlignment="1">
      <alignment horizontal="center" vertical="center"/>
    </xf>
    <xf numFmtId="0" fontId="11" fillId="16" borderId="25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17" borderId="24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5" borderId="30" xfId="0" applyFont="1" applyFill="1" applyBorder="1" applyAlignment="1">
      <alignment horizontal="center"/>
    </xf>
    <xf numFmtId="0" fontId="10" fillId="12" borderId="29" xfId="0" applyFont="1" applyFill="1" applyBorder="1" applyAlignment="1">
      <alignment horizontal="center"/>
    </xf>
    <xf numFmtId="0" fontId="10" fillId="12" borderId="30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6" fontId="0" fillId="0" borderId="15" xfId="0" applyNumberFormat="1" applyFill="1" applyBorder="1" applyAlignment="1">
      <alignment horizontal="center"/>
    </xf>
    <xf numFmtId="0" fontId="0" fillId="0" borderId="15" xfId="0" applyFill="1" applyBorder="1"/>
    <xf numFmtId="3" fontId="0" fillId="0" borderId="15" xfId="0" applyNumberFormat="1" applyFill="1" applyBorder="1"/>
    <xf numFmtId="164" fontId="0" fillId="0" borderId="15" xfId="0" applyNumberFormat="1" applyFill="1" applyBorder="1"/>
    <xf numFmtId="0" fontId="0" fillId="0" borderId="22" xfId="0" applyFill="1" applyBorder="1" applyAlignment="1">
      <alignment horizontal="center"/>
    </xf>
    <xf numFmtId="10" fontId="0" fillId="0" borderId="15" xfId="0" applyNumberFormat="1" applyFill="1" applyBorder="1"/>
  </cellXfs>
  <cellStyles count="5">
    <cellStyle name="Comma" xfId="3" builtinId="3"/>
    <cellStyle name="Currency" xfId="4" builtinId="4"/>
    <cellStyle name="Normal" xfId="0" builtinId="0"/>
    <cellStyle name="Normal 2" xfId="2" xr:uid="{1EE97F5D-F517-4DD5-B02D-3198F1A5C7A2}"/>
    <cellStyle name="Percent" xfId="1" builtinId="5"/>
  </cellStyles>
  <dxfs count="273"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578E8BA9-CCB1-43B4-B639-C185A733DF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1A34DCB-8930-40FE-BEDA-C2982DC9F039}" name="Table132469810111213141516171819212022232345678910111213141516171819202122252426272829303132333435363738394041424344484950515254" displayName="Table132469810111213141516171819212022232345678910111213141516171819202122252426272829303132333435363738394041424344484950515254" ref="A1:I28" headerRowDxfId="272" dataDxfId="270" headerRowBorderDxfId="271" tableBorderDxfId="269">
  <sortState xmlns:xlrd2="http://schemas.microsoft.com/office/spreadsheetml/2017/richdata2" ref="A2:I28">
    <sortCondition ref="A1:A28"/>
  </sortState>
  <tableColumns count="9">
    <tableColumn id="3" xr3:uid="{338CA214-3C89-494E-AEE9-E92969A0EFF8}" name="Send Date" dataDxfId="268"/>
    <tableColumn id="2" xr3:uid="{3C868586-0459-447F-B818-2DC072B00582}" name="Journey Name" dataDxfId="267"/>
    <tableColumn id="4" xr3:uid="{9E74FC25-CB35-4E02-9FB6-D2181476D2AB}" name="Version" dataDxfId="266"/>
    <tableColumn id="5" xr3:uid="{84CAB2DC-DF74-4001-98CA-389512AD14B2}" name="Sent" dataDxfId="265"/>
    <tableColumn id="8" xr3:uid="{67A7CD70-0E4E-401F-BAF8-2AAE25A227D5}" name="Unique Opens" dataDxfId="264"/>
    <tableColumn id="9" xr3:uid="{18D8F239-7D3A-4A51-A4E1-2608D033FAE2}" name="Unique Open Rate" dataDxfId="263"/>
    <tableColumn id="10" xr3:uid="{64E07FF5-5720-49F8-9760-94A1112F54F4}" name="Unique Clicks" dataDxfId="262"/>
    <tableColumn id="11" xr3:uid="{5F3D7DED-CCAC-48E0-B057-521FA15592D6}" name="CTO" dataDxfId="261"/>
    <tableColumn id="12" xr3:uid="{02D77E24-C03A-4216-BE64-9D3FB6CBF46F}" name="CTR" dataDxfId="260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08625-5944-4BE8-B82A-E83BA69E0783}" name="Table1324698101112131415161718192120222323456789101112131415161718192021222524262728293031323334353637383940414243444849505152542" displayName="Table1324698101112131415161718192120222323456789101112131415161718192021222524262728293031323334353637383940414243444849505152542" ref="A1:I20" headerRowDxfId="259" dataDxfId="257" headerRowBorderDxfId="258" tableBorderDxfId="256">
  <sortState xmlns:xlrd2="http://schemas.microsoft.com/office/spreadsheetml/2017/richdata2" ref="A2:I20">
    <sortCondition ref="A1:A20"/>
  </sortState>
  <tableColumns count="9">
    <tableColumn id="3" xr3:uid="{A221C393-FBE2-4048-A5B7-AA3E252EF3DF}" name="Send Date" dataDxfId="255"/>
    <tableColumn id="2" xr3:uid="{8B400B80-F0E3-4678-9279-FBCF8691F1B0}" name="Journey Name" dataDxfId="254"/>
    <tableColumn id="4" xr3:uid="{40E90F92-6706-4EAF-ABBD-ABD3B82313CD}" name="Version" dataDxfId="253"/>
    <tableColumn id="5" xr3:uid="{10DAA0F4-3A01-4922-AA53-1ECF0BB78A1D}" name="Sent" dataDxfId="252"/>
    <tableColumn id="8" xr3:uid="{2BC1684D-E440-429D-B8C9-4AC06B64E69A}" name="Unique Opens" dataDxfId="251"/>
    <tableColumn id="9" xr3:uid="{9ECF8497-1FBC-48B2-A3EC-0134666A0923}" name="Unique Open Rate" dataDxfId="250"/>
    <tableColumn id="10" xr3:uid="{2395B2C4-FC0F-4BA2-B092-BD97D0B72BD3}" name="Unique Clicks" dataDxfId="249"/>
    <tableColumn id="11" xr3:uid="{B33E5820-8122-4393-BB34-8A36F0EB3627}" name="CTO" dataDxfId="248"/>
    <tableColumn id="12" xr3:uid="{0BED2812-BF24-4372-9F1D-67FFD58316FD}" name="CTR" dataDxfId="247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005503-1F8D-4853-A823-016BCD5B7A3E}" name="Table1324698101112131415161718192120222323456789101112131415161718192021222524262728293031323334353637383940414243444849505152544" displayName="Table1324698101112131415161718192120222323456789101112131415161718192021222524262728293031323334353637383940414243444849505152544" ref="A1:I29" headerRowDxfId="246" dataDxfId="244" headerRowBorderDxfId="245" tableBorderDxfId="243">
  <sortState xmlns:xlrd2="http://schemas.microsoft.com/office/spreadsheetml/2017/richdata2" ref="A2:I29">
    <sortCondition ref="A1:A29"/>
  </sortState>
  <tableColumns count="9">
    <tableColumn id="3" xr3:uid="{8AAEAF0E-906C-4800-83E6-8930631FF627}" name="Send Date" dataDxfId="242"/>
    <tableColumn id="2" xr3:uid="{68C2D94B-8166-43D4-BF5A-33B9C98318C0}" name="Journey Name" dataDxfId="241"/>
    <tableColumn id="4" xr3:uid="{DF5826D4-0B0A-4432-819A-3DDB2CB1BA8E}" name="Version" dataDxfId="240"/>
    <tableColumn id="5" xr3:uid="{F7B01B1A-6F3F-41AD-86B3-14E5F8917359}" name="Sent" dataDxfId="239"/>
    <tableColumn id="8" xr3:uid="{0BBB0932-4A42-4D4E-B399-E489D6AB6948}" name="Unique Opens" dataDxfId="238"/>
    <tableColumn id="9" xr3:uid="{67A098E9-148D-4A6C-BF4C-F189F74AD96D}" name="Unique Open Rate" dataDxfId="237"/>
    <tableColumn id="10" xr3:uid="{B7F5FA49-A40B-477F-9CB9-24A10F517121}" name="Unique Clicks" dataDxfId="236"/>
    <tableColumn id="11" xr3:uid="{0ABCF17F-846C-45C8-841D-1FB5B5B3B1B6}" name="CTO" dataDxfId="235"/>
    <tableColumn id="12" xr3:uid="{0A5C1270-8A70-40BF-9DD0-F28646FB3460}" name="CTR" dataDxfId="234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E74ED-AA52-4100-A898-7126BE456CAB}" name="Table13246981011121314151617181921202223234567891011121314151617181920212225242627282930313233343536373839404142434448495051525443" displayName="Table13246981011121314151617181921202223234567891011121314151617181920212225242627282930313233343536373839404142434448495051525443" ref="A1:I25" headerRowDxfId="233" dataDxfId="231" headerRowBorderDxfId="232" tableBorderDxfId="230">
  <sortState xmlns:xlrd2="http://schemas.microsoft.com/office/spreadsheetml/2017/richdata2" ref="A2:I25">
    <sortCondition ref="A1:A25"/>
  </sortState>
  <tableColumns count="9">
    <tableColumn id="3" xr3:uid="{F4C6EC3C-FAA2-49F9-9E37-D1B2D92D867E}" name="Send Date" dataDxfId="229"/>
    <tableColumn id="2" xr3:uid="{9B920F96-BB5C-497F-9ED9-FDF1F3E5CE04}" name="Journey Name" dataDxfId="228"/>
    <tableColumn id="4" xr3:uid="{E0C07BA4-C255-4854-81CA-9D63823CF6E4}" name="Version" dataDxfId="227"/>
    <tableColumn id="5" xr3:uid="{26F64C76-F211-4EF0-862F-F00D2DCE1D64}" name="Sent" dataDxfId="226"/>
    <tableColumn id="8" xr3:uid="{2091310C-D698-400A-AFC4-AE8987C8F9BC}" name="Unique Opens" dataDxfId="225"/>
    <tableColumn id="9" xr3:uid="{60089017-589E-4E8B-B7F7-7F866899C854}" name="Unique Open Rate" dataDxfId="224"/>
    <tableColumn id="10" xr3:uid="{C18FEF0B-A79B-4A96-BB00-050A2CBCB878}" name="Unique Clicks" dataDxfId="223"/>
    <tableColumn id="11" xr3:uid="{A2800482-B315-4AA8-9738-D1BCC224C81F}" name="CTO" dataDxfId="222"/>
    <tableColumn id="12" xr3:uid="{5D4E6028-CA8C-4551-A9E2-49585ABADCA6}" name="CTR" dataDxfId="221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24B2C-45EE-4A8A-AE18-0437CD7FB461}" name="Table132469810111213141516171819212022232345678910111213141516171819202122252426272829303132333435363738394041424344484950515254435" displayName="Table132469810111213141516171819212022232345678910111213141516171819202122252426272829303132333435363738394041424344484950515254435" ref="A1:I15" headerRowDxfId="220" dataDxfId="218" headerRowBorderDxfId="219" tableBorderDxfId="217">
  <sortState xmlns:xlrd2="http://schemas.microsoft.com/office/spreadsheetml/2017/richdata2" ref="A2:I15">
    <sortCondition ref="A1:A15"/>
  </sortState>
  <tableColumns count="9">
    <tableColumn id="3" xr3:uid="{BDD315D1-43FF-4296-9777-7B563F5CA412}" name="Send Date" dataDxfId="216"/>
    <tableColumn id="2" xr3:uid="{01DFCDEE-01B3-4ACA-B2AF-939FF096E267}" name="Journey Name" dataDxfId="215"/>
    <tableColumn id="4" xr3:uid="{E4D98D88-9879-4DF0-90B5-9D8E90E41C69}" name="Version" dataDxfId="214"/>
    <tableColumn id="5" xr3:uid="{2062A850-FC10-4F47-B119-15FD00C812A9}" name="Sent" dataDxfId="213"/>
    <tableColumn id="8" xr3:uid="{7BA537C9-6370-4009-B29C-8FC38F4986F0}" name="Unique Opens" dataDxfId="212"/>
    <tableColumn id="9" xr3:uid="{018793D2-53E6-41ED-961A-84698CA4CF49}" name="Unique Open Rate" dataDxfId="211"/>
    <tableColumn id="10" xr3:uid="{FA89C8BF-E28F-4FFA-AEA4-7A24599D7C04}" name="Unique Clicks" dataDxfId="210"/>
    <tableColumn id="11" xr3:uid="{0AA96EAB-F1D1-411D-90E9-2044DCD6BFDE}" name="CTO" dataDxfId="209"/>
    <tableColumn id="12" xr3:uid="{458C05F4-E7F0-41BC-A74E-0B0CA3B1DA14}" name="CTR" dataDxfId="208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7C306F-DDD1-4322-9DE0-A810941F574D}" name="Table132469810111213141516171819212022232345678910111213141516171819202122252426272829303132333435363738394041424344484950515254436" displayName="Table132469810111213141516171819212022232345678910111213141516171819202122252426272829303132333435363738394041424344484950515254436" ref="A1:I26" headerRowDxfId="207" dataDxfId="205" headerRowBorderDxfId="206" tableBorderDxfId="204">
  <sortState xmlns:xlrd2="http://schemas.microsoft.com/office/spreadsheetml/2017/richdata2" ref="A2:I26">
    <sortCondition ref="A1:A26"/>
  </sortState>
  <tableColumns count="9">
    <tableColumn id="3" xr3:uid="{39C51B66-F489-49F4-98FD-7E171245E410}" name="Send Date" dataDxfId="203"/>
    <tableColumn id="2" xr3:uid="{2E8FF319-874C-4CA5-A197-FF33D2AF64B2}" name="Journey Name" dataDxfId="202"/>
    <tableColumn id="4" xr3:uid="{BB62F77C-3812-412D-A4C9-3CD6189E70C6}" name="Version" dataDxfId="201"/>
    <tableColumn id="5" xr3:uid="{05EA5799-1919-45C8-BE1C-B66AD46125E6}" name="Sent" dataDxfId="200"/>
    <tableColumn id="8" xr3:uid="{FB9CB697-855E-4B87-B9DA-024A4C176629}" name="Unique Opens" dataDxfId="199"/>
    <tableColumn id="9" xr3:uid="{C7FC78F3-0355-4B36-8E57-2336BE826CC8}" name="Unique Open Rate" dataDxfId="198"/>
    <tableColumn id="10" xr3:uid="{CC3360A2-81FF-4DB1-AB08-E72EF156D994}" name="Unique Clicks" dataDxfId="197"/>
    <tableColumn id="11" xr3:uid="{81C6E11D-0C25-4014-8E15-7DF7A4674E4D}" name="CTO" dataDxfId="196"/>
    <tableColumn id="12" xr3:uid="{2A4CA9C2-01B9-4799-9FDC-2DD306C39FEA}" name="CTR" dataDxfId="195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86746E-A18E-4914-9370-0C1D1ED388B8}" name="Table1324698101112131415161718192120222323456789101112131415161718192021222524262728293031323334353637383940414243444849505152544367" displayName="Table1324698101112131415161718192120222323456789101112131415161718192021222524262728293031323334353637383940414243444849505152544367" ref="A1:I21" headerRowDxfId="194" dataDxfId="192" headerRowBorderDxfId="193" tableBorderDxfId="191">
  <sortState xmlns:xlrd2="http://schemas.microsoft.com/office/spreadsheetml/2017/richdata2" ref="A2:I21">
    <sortCondition ref="A1:A21"/>
  </sortState>
  <tableColumns count="9">
    <tableColumn id="3" xr3:uid="{C90E8E2C-A4B0-4F19-8458-EDFFA6650A1D}" name="Send Date" dataDxfId="190"/>
    <tableColumn id="2" xr3:uid="{1C48639D-79C0-4F4A-BEE1-56EDE4D68DB0}" name="Journey Name" dataDxfId="189"/>
    <tableColumn id="4" xr3:uid="{D5606EE6-E8BC-4C23-88B8-5074FC5CEC5B}" name="Version" dataDxfId="188"/>
    <tableColumn id="5" xr3:uid="{89F8EA57-8DC2-4C69-BC6B-3B1B3E13BAF4}" name="Sent" dataDxfId="187"/>
    <tableColumn id="8" xr3:uid="{820BAE22-6712-44E1-AA1C-850A6857926A}" name="Unique Opens" dataDxfId="186"/>
    <tableColumn id="9" xr3:uid="{3422B862-0754-4CD6-A4AC-44281BDA1A2B}" name="Unique Open Rate" dataDxfId="185"/>
    <tableColumn id="10" xr3:uid="{16E0C2EE-EEFA-466F-B649-D60DFFDD8117}" name="Unique Clicks" dataDxfId="184"/>
    <tableColumn id="11" xr3:uid="{1376FC6F-2FDB-4B09-B2FE-E550D6D4AB97}" name="CTO" dataDxfId="183"/>
    <tableColumn id="12" xr3:uid="{16CB47CC-6D26-41D9-AA3E-D7CCE371494F}" name="CTR" dataDxfId="182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240B74-F39A-4E9C-A293-84133F8A1C4C}" name="Table1324698101112131415161718192120222323456789101112131415161718192021222524262728293031323334353637383940414243444849505152544368" displayName="Table1324698101112131415161718192120222323456789101112131415161718192021222524262728293031323334353637383940414243444849505152544368" ref="A1:I30" headerRowDxfId="181" dataDxfId="179" headerRowBorderDxfId="180" tableBorderDxfId="178">
  <sortState xmlns:xlrd2="http://schemas.microsoft.com/office/spreadsheetml/2017/richdata2" ref="A2:I30">
    <sortCondition ref="A1:A30"/>
  </sortState>
  <tableColumns count="9">
    <tableColumn id="3" xr3:uid="{E33D7860-002F-4618-B9F4-F7833F164F4E}" name="Send Date" dataDxfId="177"/>
    <tableColumn id="2" xr3:uid="{8385732E-FF57-4C9C-B58C-6B5FED4DCB38}" name="Journey Name" dataDxfId="176"/>
    <tableColumn id="4" xr3:uid="{A6A969CE-AE8D-4E1C-97D7-91921741AD85}" name="Version" dataDxfId="175"/>
    <tableColumn id="5" xr3:uid="{CE55DDE0-D373-4D07-A9E7-5322CF33F450}" name="Sent" dataDxfId="174"/>
    <tableColumn id="8" xr3:uid="{844748CA-0DDC-4DA2-B9FF-3BFF4E3AB7ED}" name="Unique Opens" dataDxfId="173"/>
    <tableColumn id="9" xr3:uid="{BAF99134-ABC1-4E62-B10F-C48C79AE72AA}" name="Unique Open Rate" dataDxfId="172"/>
    <tableColumn id="10" xr3:uid="{AB38E598-CDEE-4A22-8088-43A86CFA63E2}" name="Unique Clicks" dataDxfId="171"/>
    <tableColumn id="11" xr3:uid="{7C9AC42F-83E5-4E92-B072-EB20BC7D9199}" name="CTO" dataDxfId="170"/>
    <tableColumn id="12" xr3:uid="{9F566A2E-9D29-4FE9-8B34-498C111E6D0D}" name="CTR" dataDxfId="169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4302FD-4B86-402F-9653-440C96580BF0}" name="Table13246981011121314151617181921202223234567891011121314151617181920212225242627282930313233343536373839404142434448495051525443689" displayName="Table13246981011121314151617181921202223234567891011121314151617181920212225242627282930313233343536373839404142434448495051525443689" ref="A1:I28" headerRowDxfId="168" dataDxfId="166" headerRowBorderDxfId="167" tableBorderDxfId="165">
  <sortState xmlns:xlrd2="http://schemas.microsoft.com/office/spreadsheetml/2017/richdata2" ref="A2:I28">
    <sortCondition ref="A1:A28"/>
  </sortState>
  <tableColumns count="9">
    <tableColumn id="3" xr3:uid="{09BB493C-0113-47C2-BCBE-37EED9499CF4}" name="Send Date" dataDxfId="164"/>
    <tableColumn id="2" xr3:uid="{C006C7A8-4EED-4F05-8E43-5DFECE5A9BCB}" name="Journey Name" dataDxfId="163"/>
    <tableColumn id="4" xr3:uid="{72472DDC-B290-4291-8648-0F749130CA7A}" name="Version" dataDxfId="162"/>
    <tableColumn id="5" xr3:uid="{89D78884-32E9-401F-9D0B-B8F9A005389B}" name="Sent" dataDxfId="161"/>
    <tableColumn id="8" xr3:uid="{C6497C41-8BEA-428B-B0D5-F9875DF85386}" name="Unique Opens" dataDxfId="160"/>
    <tableColumn id="9" xr3:uid="{36BED402-A86B-40E7-A56A-156BCFDE1EB1}" name="Unique Open Rate" dataDxfId="159"/>
    <tableColumn id="10" xr3:uid="{E17AAFF1-4A6A-40ED-B349-872AB164CF1F}" name="Unique Clicks" dataDxfId="158"/>
    <tableColumn id="11" xr3:uid="{CAB18F7C-2D53-4610-B9C0-B2C7D777D3EA}" name="CTO" dataDxfId="157"/>
    <tableColumn id="12" xr3:uid="{B9B30633-B276-4B58-849F-50EA27DE9B67}" name="CTR" dataDxfId="156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78670B-B792-4952-88D1-D7127C67FDAF}" name="Table1324698101112131415161718192120222323456789101112131415161718192021222524262728293031323334353637383940414243444849505152544368910" displayName="Table1324698101112131415161718192120222323456789101112131415161718192021222524262728293031323334353637383940414243444849505152544368910" ref="A1:I33" headerRowDxfId="155" dataDxfId="153" headerRowBorderDxfId="154" tableBorderDxfId="152">
  <sortState xmlns:xlrd2="http://schemas.microsoft.com/office/spreadsheetml/2017/richdata2" ref="A2:I33">
    <sortCondition ref="A1:A33"/>
  </sortState>
  <tableColumns count="9">
    <tableColumn id="3" xr3:uid="{09910C05-C523-4FA2-AC04-A99DA360E682}" name="Send Date" dataDxfId="151"/>
    <tableColumn id="2" xr3:uid="{A5567F9E-84FC-4B0A-916F-2C20CC4A1D4C}" name="Journey Name" dataDxfId="150"/>
    <tableColumn id="4" xr3:uid="{94097483-5AE5-48EE-9620-AB1103954520}" name="Version" dataDxfId="149"/>
    <tableColumn id="5" xr3:uid="{E35561B1-A9D3-4737-A1D2-1E3F099325DB}" name="Sent" dataDxfId="148"/>
    <tableColumn id="8" xr3:uid="{FDC27D6B-CF21-4CDB-B2D8-13F310FB5A38}" name="Unique Opens" dataDxfId="147"/>
    <tableColumn id="9" xr3:uid="{164B3DBB-BA5A-4273-B7CB-3E7D4169C7EF}" name="Unique Open Rate" dataDxfId="146"/>
    <tableColumn id="10" xr3:uid="{CCFA9D1E-EEEF-435E-B6A7-4ACB5CFDA02D}" name="Unique Clicks" dataDxfId="145"/>
    <tableColumn id="11" xr3:uid="{8FE55B0F-683E-4458-A8AF-08185AD6655D}" name="CTO" dataDxfId="144"/>
    <tableColumn id="12" xr3:uid="{74CAD8E0-56E7-4120-B47F-3F7B7087F6DF}" name="CTR" dataDxfId="143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320084-B9AB-4ECB-ABBB-F73514E1BCBF}" name="Table132469810111213141516171819212022232345678910111213141516171819202122252426272829303132333435363738394041424344484950515254436891011" displayName="Table132469810111213141516171819212022232345678910111213141516171819202122252426272829303132333435363738394041424344484950515254436891011" ref="A1:I47" headerRowDxfId="142" dataDxfId="140" headerRowBorderDxfId="141" tableBorderDxfId="139">
  <sortState xmlns:xlrd2="http://schemas.microsoft.com/office/spreadsheetml/2017/richdata2" ref="A2:I47">
    <sortCondition ref="A1:A47"/>
  </sortState>
  <tableColumns count="9">
    <tableColumn id="3" xr3:uid="{B86A0380-0D8B-4F38-80E8-AE6F66550A93}" name="Send Date" dataDxfId="138"/>
    <tableColumn id="2" xr3:uid="{584D14F4-6F1C-4BB7-A3A1-89A2EBA66A8C}" name="Journey Name" dataDxfId="137"/>
    <tableColumn id="4" xr3:uid="{111E06B2-B67A-4CDD-8862-749741645FB4}" name="Version" dataDxfId="136"/>
    <tableColumn id="5" xr3:uid="{FFD5C805-6E2C-4392-A6BC-C9C613FCA8FE}" name="Sent" dataDxfId="135"/>
    <tableColumn id="8" xr3:uid="{2409B664-9AD1-4F9D-A3A0-2F3C3AFF6DA0}" name="Unique Opens" dataDxfId="134"/>
    <tableColumn id="9" xr3:uid="{D5E737C7-8B26-4EF6-ACE0-743D5C6121B6}" name="Unique Open Rate" dataDxfId="133"/>
    <tableColumn id="10" xr3:uid="{75AC493A-19A5-49C8-AA73-1A4F321F992D}" name="Unique Clicks" dataDxfId="132"/>
    <tableColumn id="11" xr3:uid="{B141B2EB-D90A-4A70-8243-BFF9223E5845}" name="CTO" dataDxfId="131"/>
    <tableColumn id="12" xr3:uid="{164C53D0-A469-4569-A69B-1280D6B84422}" name="CTR" dataDxfId="130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D4A1D3-4FDE-4658-B02C-E4F1FEE0530F}" name="Table13246981011121314151617181921202223234567891011121314151617181920212225242627282930313233343536373839404142434448495051525443689101112" displayName="Table13246981011121314151617181921202223234567891011121314151617181920212225242627282930313233343536373839404142434448495051525443689101112" ref="A1:I26" headerRowDxfId="129" dataDxfId="127" headerRowBorderDxfId="128" tableBorderDxfId="126">
  <sortState xmlns:xlrd2="http://schemas.microsoft.com/office/spreadsheetml/2017/richdata2" ref="A2:I26">
    <sortCondition ref="A1:A26"/>
  </sortState>
  <tableColumns count="9">
    <tableColumn id="3" xr3:uid="{EB439622-950C-4D47-ACF1-20487F33B418}" name="Send Date" dataDxfId="125"/>
    <tableColumn id="2" xr3:uid="{B9F61600-7CD1-4B87-A58F-C06335D35EE0}" name="Journey Name" dataDxfId="124"/>
    <tableColumn id="4" xr3:uid="{43328986-17A5-4F87-A59D-E6808C5652D1}" name="Version" dataDxfId="123"/>
    <tableColumn id="5" xr3:uid="{E2BD5569-178C-4B29-8A2D-C86C77BDC1CE}" name="Sent" dataDxfId="122"/>
    <tableColumn id="8" xr3:uid="{181FBDCC-36CC-4033-BAA3-A0AA5E157FE8}" name="Unique Opens" dataDxfId="121"/>
    <tableColumn id="9" xr3:uid="{5908CBE9-ABE9-4F9F-AC7F-15D5A92F7A19}" name="Unique Open Rate" dataDxfId="120"/>
    <tableColumn id="10" xr3:uid="{711D255D-DEC2-47EA-A668-9FA6A1B1EC33}" name="Unique Clicks" dataDxfId="119"/>
    <tableColumn id="11" xr3:uid="{3CA5AD15-B075-4A48-A655-336E2AD0F7F4}" name="CTO" dataDxfId="118"/>
    <tableColumn id="12" xr3:uid="{CD21AD8F-F81E-4B40-8E19-421C5DBBF2F9}" name="CTR" dataDxfId="117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B0809C-40A2-4CC6-B3E9-4B4CAB675B12}" name="Table1324698101112131415161718192120222323456789101112131415161718192021222524262728293031323334353637383940414243444849505152544368910111214" displayName="Table1324698101112131415161718192120222323456789101112131415161718192021222524262728293031323334353637383940414243444849505152544368910111214" ref="A1:I28" headerRowDxfId="116" dataDxfId="114" headerRowBorderDxfId="115" tableBorderDxfId="113">
  <sortState xmlns:xlrd2="http://schemas.microsoft.com/office/spreadsheetml/2017/richdata2" ref="A2:I28">
    <sortCondition ref="A1:A28"/>
  </sortState>
  <tableColumns count="9">
    <tableColumn id="3" xr3:uid="{9BD2488B-7D1F-47E5-B137-2ED9ADAA8E02}" name="Send Date" dataDxfId="112"/>
    <tableColumn id="2" xr3:uid="{3B053220-E723-4B19-9E35-AB35A4015804}" name="Journey Name" dataDxfId="111"/>
    <tableColumn id="4" xr3:uid="{7A65C2B9-C66E-4770-8AD2-A4EC7D9927D5}" name="Version" dataDxfId="110"/>
    <tableColumn id="5" xr3:uid="{F7FBBEF6-BE7D-49A9-A15A-F15E34AF872A}" name="Sent" dataDxfId="109"/>
    <tableColumn id="8" xr3:uid="{A842A039-7349-4821-8E89-698AF4EDEC56}" name="Unique Opens" dataDxfId="108"/>
    <tableColumn id="9" xr3:uid="{C0DF1F12-9D4C-4F72-94D5-0C52515729D5}" name="Unique Open Rate" dataDxfId="107"/>
    <tableColumn id="10" xr3:uid="{33652776-CFE8-4AB8-B033-85924F3AA716}" name="Unique Clicks" dataDxfId="106"/>
    <tableColumn id="11" xr3:uid="{E9299D07-4270-4595-8A78-43E87436F01D}" name="CTO" dataDxfId="105"/>
    <tableColumn id="12" xr3:uid="{328C7452-0701-426E-A5ED-2F4D25EE2A87}" name="CTR" dataDxfId="104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106DE4-A980-4AF8-9A6F-568660E87D58}" name="Table132469810111213141516171819212022232345678910111213141516171819202122252426272829303132333435363738394041424344484950515254436891011121413" displayName="Table132469810111213141516171819212022232345678910111213141516171819202122252426272829303132333435363738394041424344484950515254436891011121413" ref="A1:I23" headerRowDxfId="103" dataDxfId="101" headerRowBorderDxfId="102" tableBorderDxfId="100">
  <sortState xmlns:xlrd2="http://schemas.microsoft.com/office/spreadsheetml/2017/richdata2" ref="A2:I23">
    <sortCondition ref="A1:A23"/>
  </sortState>
  <tableColumns count="9">
    <tableColumn id="3" xr3:uid="{2647F75F-766D-41B8-8C26-BD81FBC3CB90}" name="Send Date" dataDxfId="99"/>
    <tableColumn id="2" xr3:uid="{36D98C28-1FA7-4D0E-9614-A5C7F3C7DB98}" name="Journey Name" dataDxfId="98"/>
    <tableColumn id="4" xr3:uid="{2F46728E-FFBC-4724-ABAD-82177FA0B7F8}" name="Version" dataDxfId="97"/>
    <tableColumn id="5" xr3:uid="{9C90DD51-CB9E-4397-B2FD-5DFC9E1F7755}" name="Sent" dataDxfId="96"/>
    <tableColumn id="8" xr3:uid="{EB2A5951-A871-477F-81F1-D53F4E95D3B4}" name="Unique Opens" dataDxfId="95"/>
    <tableColumn id="9" xr3:uid="{9AD399EC-E2D9-4E72-9A17-8497A40B4795}" name="Unique Open Rate" dataDxfId="94"/>
    <tableColumn id="10" xr3:uid="{35AC68AE-A513-4DC7-944D-CC46E0004C52}" name="Unique Clicks" dataDxfId="93"/>
    <tableColumn id="11" xr3:uid="{3F5E67A8-CB1B-4C78-A9A0-1E3F4388F12B}" name="CTO" dataDxfId="92"/>
    <tableColumn id="12" xr3:uid="{FA046D90-F002-4863-8B87-8A13C3DF2655}" name="CTR" dataDxfId="91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D3026CC-7410-459D-8320-282B2783288B}" name="Table13246981011121314151617181921202223234567891011121314151617181920212225242627282930313233343536373839404142434448495051525443689101116" displayName="Table13246981011121314151617181921202223234567891011121314151617181920212225242627282930313233343536373839404142434448495051525443689101116" ref="A1:I41" headerRowDxfId="90" dataDxfId="88" headerRowBorderDxfId="89" tableBorderDxfId="87">
  <sortState xmlns:xlrd2="http://schemas.microsoft.com/office/spreadsheetml/2017/richdata2" ref="A2:I41">
    <sortCondition ref="A1:A41"/>
  </sortState>
  <tableColumns count="9">
    <tableColumn id="3" xr3:uid="{07DFC760-3D47-4CE7-99F4-E96D7E3DC7D6}" name="Send Date" dataDxfId="86"/>
    <tableColumn id="2" xr3:uid="{20A1A8F5-65FD-4DC7-8DB4-E2207FA037E0}" name="Journey Name" dataDxfId="85"/>
    <tableColumn id="4" xr3:uid="{D577E650-8F9D-4DD4-80DD-6AA07D1D9199}" name="Version" dataDxfId="84"/>
    <tableColumn id="5" xr3:uid="{A0F0A265-2E8F-4761-8565-75619B77528E}" name="Sent" dataDxfId="83"/>
    <tableColumn id="8" xr3:uid="{E0388708-C95A-47BD-A2AD-82B57DE6B327}" name="Unique Opens" dataDxfId="82"/>
    <tableColumn id="9" xr3:uid="{6ED7E40D-15D8-454E-8E6F-66EB16EAA6F2}" name="Unique Open Rate" dataDxfId="81"/>
    <tableColumn id="10" xr3:uid="{8AE09B37-9ADB-48E9-A318-05C2B1687A63}" name="Unique Clicks" dataDxfId="80"/>
    <tableColumn id="11" xr3:uid="{14F28988-CA78-46FF-91CE-C418C3B85DCD}" name="CTO" dataDxfId="79"/>
    <tableColumn id="12" xr3:uid="{F14B1311-E478-4B4F-91F0-D229B6662358}" name="CTR" dataDxfId="78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CC4BA09-FB3B-465C-9D10-1693264826F1}" name="Table1324698101112131415161718192120222323456789101112131415161718192021222524262728293031323334353637383940414243444849505152544368910111615" displayName="Table1324698101112131415161718192120222323456789101112131415161718192021222524262728293031323334353637383940414243444849505152544368910111615" ref="A1:I36" headerRowDxfId="77" dataDxfId="75" headerRowBorderDxfId="76" tableBorderDxfId="74">
  <sortState xmlns:xlrd2="http://schemas.microsoft.com/office/spreadsheetml/2017/richdata2" ref="A2:I36">
    <sortCondition ref="A1:A36"/>
  </sortState>
  <tableColumns count="9">
    <tableColumn id="3" xr3:uid="{DE93A8F8-E7F4-4B6E-9E72-9EC287652795}" name="Send Date" dataDxfId="73"/>
    <tableColumn id="2" xr3:uid="{72CFE1C1-A678-476A-A986-93A642F34B2C}" name="Journey Name" dataDxfId="72"/>
    <tableColumn id="4" xr3:uid="{35CAAE03-FC27-49BA-9D2F-F28708741965}" name="Version" dataDxfId="71"/>
    <tableColumn id="5" xr3:uid="{7A337B21-077E-497C-A959-D9E35B213450}" name="Sent" dataDxfId="70"/>
    <tableColumn id="8" xr3:uid="{023626FC-1451-425A-9195-3F6DE20B2D38}" name="Unique Opens" dataDxfId="69"/>
    <tableColumn id="9" xr3:uid="{DA52C4B8-3838-43B7-ADD7-E376A4732FB7}" name="Unique Open Rate" dataDxfId="68"/>
    <tableColumn id="10" xr3:uid="{1DEE8174-9409-4688-9628-A34250C0A8A7}" name="Unique Clicks" dataDxfId="67"/>
    <tableColumn id="11" xr3:uid="{EFAE1889-0C11-4426-80AA-300D205F56A9}" name="CTO" dataDxfId="66"/>
    <tableColumn id="12" xr3:uid="{D9CA792A-7396-4E3E-A1A4-B2B51511CF63}" name="CTR" dataDxfId="65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F8B778-93F2-41F1-BD3B-F2E378AAB85D}" name="Table132469810111213141516171819212022232345678910111213141516171819202122252426272829303132333435363738394041424344484950515254436891011161517" displayName="Table132469810111213141516171819212022232345678910111213141516171819202122252426272829303132333435363738394041424344484950515254436891011161517" ref="A1:I37" headerRowDxfId="64" dataDxfId="62" headerRowBorderDxfId="63" tableBorderDxfId="61">
  <sortState xmlns:xlrd2="http://schemas.microsoft.com/office/spreadsheetml/2017/richdata2" ref="A2:I37">
    <sortCondition ref="A1:A37"/>
  </sortState>
  <tableColumns count="9">
    <tableColumn id="3" xr3:uid="{31E0E0BB-C790-4F57-AAA2-5C2FE98EDDA9}" name="Send Date" dataDxfId="60"/>
    <tableColumn id="2" xr3:uid="{98FA473E-4AF6-4BBD-B79A-17A084FD53B2}" name="Journey Name" dataDxfId="59"/>
    <tableColumn id="4" xr3:uid="{2E3893A9-31A4-4993-890C-67CF28261F7A}" name="Version" dataDxfId="58"/>
    <tableColumn id="5" xr3:uid="{A0C41DD6-9FCD-4F0F-9245-F9C51974AB6B}" name="Sent" dataDxfId="57"/>
    <tableColumn id="8" xr3:uid="{F92ABD5B-BF2E-4C0A-B46B-CB8AD2B3E416}" name="Unique Opens" dataDxfId="56"/>
    <tableColumn id="9" xr3:uid="{A5E865EB-6B0F-4E0F-8B19-50D3F4F0C2EB}" name="Unique Open Rate" dataDxfId="55"/>
    <tableColumn id="10" xr3:uid="{C940BB3F-3397-4310-A65A-2AC342E775BB}" name="Unique Clicks" dataDxfId="54"/>
    <tableColumn id="11" xr3:uid="{3723B448-5A9B-46BE-9212-3925D20F794D}" name="CTO" dataDxfId="53"/>
    <tableColumn id="12" xr3:uid="{F9A24082-925C-4CD1-995A-74BB50D53DB5}" name="CTR" dataDxfId="52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4CD8079-679B-49C6-9DAC-A4F184941C03}" name="Table13246981011121314151617181921202223234567891011121314151617181920212225242627282930313233343536373839404142434448495051525443689101116151718" displayName="Table13246981011121314151617181921202223234567891011121314151617181920212225242627282930313233343536373839404142434448495051525443689101116151718" ref="A1:I32" headerRowDxfId="51" dataDxfId="49" headerRowBorderDxfId="50" tableBorderDxfId="48">
  <sortState xmlns:xlrd2="http://schemas.microsoft.com/office/spreadsheetml/2017/richdata2" ref="A2:I32">
    <sortCondition ref="A1:A32"/>
  </sortState>
  <tableColumns count="9">
    <tableColumn id="3" xr3:uid="{7E5F2AAC-49C1-439D-94D2-69E886D84904}" name="Send Date" dataDxfId="47"/>
    <tableColumn id="2" xr3:uid="{51BE9A72-A5F8-481C-8008-980294935CC8}" name="Journey Name" dataDxfId="46"/>
    <tableColumn id="4" xr3:uid="{8FB55F3A-26BE-4D9E-88D5-2C15B553B742}" name="Version" dataDxfId="45"/>
    <tableColumn id="5" xr3:uid="{59527499-BAF1-4295-86B0-BD8473BE3AC2}" name="Sent" dataDxfId="44"/>
    <tableColumn id="8" xr3:uid="{2E6C767A-DDC1-415D-9C94-F362C006D8A1}" name="Unique Opens" dataDxfId="43"/>
    <tableColumn id="9" xr3:uid="{B483C802-464F-4AAE-810A-6235D38E5718}" name="Unique Open Rate" dataDxfId="42"/>
    <tableColumn id="10" xr3:uid="{AF555B40-9E71-4F79-AA32-B52C4C094D3A}" name="Unique Clicks" dataDxfId="41"/>
    <tableColumn id="11" xr3:uid="{356BBE5E-34FF-4A93-8B0B-6B398F2D85FF}" name="CTO" dataDxfId="40"/>
    <tableColumn id="12" xr3:uid="{43218B6F-3B95-417A-B1D0-3593F8F51D1B}" name="CTR" dataDxfId="39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659257F-EAFE-4BE4-B9C2-0C38A529CD8A}" name="Table1324698101112131415161718192120222323456789101112131415161718192021222524262728293031323334353637383940414243444849505152544368910111615171819" displayName="Table1324698101112131415161718192120222323456789101112131415161718192021222524262728293031323334353637383940414243444849505152544368910111615171819" ref="A1:I31" headerRowDxfId="38" dataDxfId="36" headerRowBorderDxfId="37" tableBorderDxfId="35">
  <sortState xmlns:xlrd2="http://schemas.microsoft.com/office/spreadsheetml/2017/richdata2" ref="A2:I31">
    <sortCondition ref="A1:A31"/>
  </sortState>
  <tableColumns count="9">
    <tableColumn id="3" xr3:uid="{EEA2CB20-6F7F-40BD-B49A-4426459A4BD5}" name="Send Date" dataDxfId="34"/>
    <tableColumn id="2" xr3:uid="{4CB96ED2-6CEF-400C-9D7D-C4A03070D8A2}" name="Journey Name" dataDxfId="33"/>
    <tableColumn id="4" xr3:uid="{27186DA0-D5E9-4035-9965-FBAEBE4E01C0}" name="Version" dataDxfId="32"/>
    <tableColumn id="5" xr3:uid="{B1C49B01-342B-4BCE-AA17-BC71E86EEA95}" name="Sent" dataDxfId="31"/>
    <tableColumn id="8" xr3:uid="{A53B7FE0-1C08-484A-8494-116F00082F81}" name="Unique Opens" dataDxfId="30"/>
    <tableColumn id="9" xr3:uid="{F14CD589-6ECD-4B2F-B684-A6DA69C84B00}" name="Unique Open Rate" dataDxfId="29"/>
    <tableColumn id="10" xr3:uid="{B3361284-0889-4ED6-B254-ED8A857FEDAB}" name="Unique Clicks" dataDxfId="28"/>
    <tableColumn id="11" xr3:uid="{551D0FEB-A4A2-4114-88AC-1365D01AC46D}" name="CTO" dataDxfId="27"/>
    <tableColumn id="12" xr3:uid="{777217DA-7284-4FD6-B2E4-27D0BFC58518}" name="CTR" dataDxfId="26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5D3D82-B32B-4B0D-ACE5-5DF797BB52E3}" name="Table132469810111213141516171819212022232345678910111213141516171819202122252426272829303132333435363738394041424344484950515254436891011161517181920" displayName="Table132469810111213141516171819212022232345678910111213141516171819202122252426272829303132333435363738394041424344484950515254436891011161517181920" ref="A1:I29" headerRowDxfId="25" dataDxfId="23" headerRowBorderDxfId="24" tableBorderDxfId="22">
  <sortState xmlns:xlrd2="http://schemas.microsoft.com/office/spreadsheetml/2017/richdata2" ref="A2:I29">
    <sortCondition ref="A1:A29"/>
  </sortState>
  <tableColumns count="9">
    <tableColumn id="3" xr3:uid="{94DC1D98-2417-4020-A146-4DE651B09A30}" name="Send Date" dataDxfId="21"/>
    <tableColumn id="2" xr3:uid="{54EB8289-FD7B-4956-8A54-1E4A224EB73C}" name="Journey Name" dataDxfId="20"/>
    <tableColumn id="4" xr3:uid="{D82DB6D2-CFE1-4D40-9104-FDF62C9BADF0}" name="Version" dataDxfId="19"/>
    <tableColumn id="5" xr3:uid="{4C3284BB-4DAB-4E37-A16D-AFFCD401AA26}" name="Sent" dataDxfId="18"/>
    <tableColumn id="8" xr3:uid="{39D28736-B08F-49B9-887E-2BF4078FAA34}" name="Unique Opens" dataDxfId="17"/>
    <tableColumn id="9" xr3:uid="{56870A0A-C920-47FD-B15B-E0C5A723488D}" name="Unique Open Rate" dataDxfId="16"/>
    <tableColumn id="10" xr3:uid="{FBAB0C53-332F-4CF0-8EA7-6496D19820A7}" name="Unique Clicks" dataDxfId="15"/>
    <tableColumn id="11" xr3:uid="{BC997B2D-D436-4204-B67F-D5EFD55152F6}" name="CTO" dataDxfId="14"/>
    <tableColumn id="12" xr3:uid="{5A7443E6-A598-4EB0-ABB0-7B50050989AE}" name="CTR" dataDxfId="13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47AD897-9365-44C6-8E27-5C78E3845030}" name="Table13246981011121314151617181921202223234567891011121314151617181920212225242627282930313233343536373839404142434448495051525443689101116151718192021" displayName="Table13246981011121314151617181921202223234567891011121314151617181920212225242627282930313233343536373839404142434448495051525443689101116151718192021" ref="A1:I37" headerRowDxfId="12" dataDxfId="10" headerRowBorderDxfId="11" tableBorderDxfId="9">
  <sortState xmlns:xlrd2="http://schemas.microsoft.com/office/spreadsheetml/2017/richdata2" ref="A2:I37">
    <sortCondition ref="A1:A37"/>
  </sortState>
  <tableColumns count="9">
    <tableColumn id="3" xr3:uid="{A88728D9-9924-4C84-8B6D-217DD5F06C99}" name="Send Date" dataDxfId="8"/>
    <tableColumn id="2" xr3:uid="{67934E83-FC6B-4451-90B0-B9523F7AA8FE}" name="Journey Name" dataDxfId="7"/>
    <tableColumn id="4" xr3:uid="{8D586624-0CFE-47DD-8311-1FE0AD72CCB1}" name="Version" dataDxfId="6"/>
    <tableColumn id="5" xr3:uid="{2B2A6634-B72E-4758-A234-079CBC8300FB}" name="Sent" dataDxfId="5"/>
    <tableColumn id="8" xr3:uid="{43D4E2E7-A86B-470A-9B7B-9228F62B52A4}" name="Unique Opens" dataDxfId="4"/>
    <tableColumn id="9" xr3:uid="{D164FC16-E083-47D3-B9BB-6C56F26340A3}" name="Unique Open Rate" dataDxfId="3"/>
    <tableColumn id="10" xr3:uid="{CC0AB838-66AA-4435-98FF-40EA06FED295}" name="Unique Clicks" dataDxfId="2"/>
    <tableColumn id="11" xr3:uid="{8B4016B6-DF40-41A2-B248-20B5C9F6DE9F}" name="CTO" dataDxfId="1"/>
    <tableColumn id="12" xr3:uid="{7B66F3D6-462D-4DF6-AFE9-8CB77B3213C7}" name="CTR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FDF9-560C-465B-842E-DBA0D4A64C75}">
  <dimension ref="A1:I64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69.1796875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46018</v>
      </c>
      <c r="B2" t="s">
        <v>59</v>
      </c>
      <c r="C2" t="s">
        <v>7</v>
      </c>
      <c r="D2" s="1">
        <v>373066</v>
      </c>
      <c r="E2" s="1">
        <v>147595</v>
      </c>
      <c r="F2" s="2">
        <v>0.39562704722488801</v>
      </c>
      <c r="G2" s="1">
        <v>3640</v>
      </c>
      <c r="H2" s="2">
        <v>2.4662082048849902E-2</v>
      </c>
      <c r="I2" s="2">
        <v>9.7569866994043908E-3</v>
      </c>
    </row>
    <row r="3" spans="1:9" x14ac:dyDescent="0.35">
      <c r="A3" s="13">
        <v>46018</v>
      </c>
      <c r="B3" t="s">
        <v>60</v>
      </c>
      <c r="C3" t="s">
        <v>7</v>
      </c>
      <c r="D3" s="1">
        <v>4689876</v>
      </c>
      <c r="E3" s="1">
        <v>1192120</v>
      </c>
      <c r="F3" s="2">
        <v>0.25419008946078703</v>
      </c>
      <c r="G3" s="1">
        <v>25053</v>
      </c>
      <c r="H3" s="2">
        <v>2.1015501795121301E-2</v>
      </c>
      <c r="I3" s="2">
        <v>5.3419322813652199E-3</v>
      </c>
    </row>
    <row r="4" spans="1:9" x14ac:dyDescent="0.35">
      <c r="A4" s="13">
        <v>46018</v>
      </c>
      <c r="B4" t="s">
        <v>60</v>
      </c>
      <c r="C4" t="s">
        <v>8</v>
      </c>
      <c r="D4" s="1">
        <v>298743</v>
      </c>
      <c r="E4" s="1">
        <v>81484</v>
      </c>
      <c r="F4" s="2">
        <v>0.27275618173480198</v>
      </c>
      <c r="G4" s="1">
        <v>1717</v>
      </c>
      <c r="H4" s="2">
        <v>2.1071621422610601E-2</v>
      </c>
      <c r="I4" s="2">
        <v>5.7474150021925201E-3</v>
      </c>
    </row>
    <row r="5" spans="1:9" x14ac:dyDescent="0.35">
      <c r="A5" s="13">
        <v>46018</v>
      </c>
      <c r="B5" t="s">
        <v>61</v>
      </c>
      <c r="C5" t="s">
        <v>7</v>
      </c>
      <c r="D5" s="1">
        <v>263698</v>
      </c>
      <c r="E5" s="1">
        <v>99092</v>
      </c>
      <c r="F5" s="2">
        <v>0.37577835250931002</v>
      </c>
      <c r="G5" s="1">
        <v>1411</v>
      </c>
      <c r="H5" s="2">
        <v>1.42392927784281E-2</v>
      </c>
      <c r="I5" s="2">
        <v>5.3508179811754403E-3</v>
      </c>
    </row>
    <row r="6" spans="1:9" x14ac:dyDescent="0.35">
      <c r="A6" s="13">
        <v>46019</v>
      </c>
      <c r="B6" t="s">
        <v>62</v>
      </c>
      <c r="C6" t="s">
        <v>7</v>
      </c>
      <c r="D6" s="1">
        <v>6306002</v>
      </c>
      <c r="E6" s="1">
        <v>2256429</v>
      </c>
      <c r="F6" s="2">
        <v>0.35782243646608403</v>
      </c>
      <c r="G6" s="1">
        <v>30763</v>
      </c>
      <c r="H6" s="2">
        <v>1.36334890218128E-2</v>
      </c>
      <c r="I6" s="2">
        <v>4.8783682593186604E-3</v>
      </c>
    </row>
    <row r="7" spans="1:9" x14ac:dyDescent="0.35">
      <c r="A7" s="13">
        <v>46019</v>
      </c>
      <c r="B7" t="s">
        <v>62</v>
      </c>
      <c r="C7" t="s">
        <v>8</v>
      </c>
      <c r="D7" s="1">
        <v>406333</v>
      </c>
      <c r="E7" s="1">
        <v>143042</v>
      </c>
      <c r="F7" s="2">
        <v>0.35203146187978801</v>
      </c>
      <c r="G7" s="1">
        <v>2291</v>
      </c>
      <c r="H7" s="2">
        <v>1.6016274940227299E-2</v>
      </c>
      <c r="I7" s="2">
        <v>5.6382326810768503E-3</v>
      </c>
    </row>
    <row r="8" spans="1:9" x14ac:dyDescent="0.35">
      <c r="A8" s="13">
        <v>46019</v>
      </c>
      <c r="B8" t="s">
        <v>63</v>
      </c>
      <c r="C8" t="s">
        <v>7</v>
      </c>
      <c r="D8" s="1">
        <v>56778</v>
      </c>
      <c r="E8" s="1">
        <v>19535</v>
      </c>
      <c r="F8" s="2">
        <v>0.34405931875022</v>
      </c>
      <c r="G8" s="1">
        <v>257</v>
      </c>
      <c r="H8" s="2">
        <v>1.31558740721781E-2</v>
      </c>
      <c r="I8" s="2">
        <v>4.5264010708372998E-3</v>
      </c>
    </row>
    <row r="9" spans="1:9" x14ac:dyDescent="0.35">
      <c r="A9" s="13">
        <v>46019</v>
      </c>
      <c r="B9" t="s">
        <v>43</v>
      </c>
      <c r="C9" t="s">
        <v>64</v>
      </c>
      <c r="D9" s="1">
        <v>44237</v>
      </c>
      <c r="E9" s="1">
        <v>15892</v>
      </c>
      <c r="F9" s="2">
        <v>0.35924678436602803</v>
      </c>
      <c r="G9" s="1">
        <v>240</v>
      </c>
      <c r="H9" s="2">
        <v>1.5101938082053901E-2</v>
      </c>
      <c r="I9" s="2">
        <v>5.4253226936727197E-3</v>
      </c>
    </row>
    <row r="10" spans="1:9" x14ac:dyDescent="0.35">
      <c r="A10" s="13">
        <v>46022</v>
      </c>
      <c r="B10" t="s">
        <v>65</v>
      </c>
      <c r="C10" t="s">
        <v>7</v>
      </c>
      <c r="D10" s="1">
        <v>541078</v>
      </c>
      <c r="E10" s="1">
        <v>217353</v>
      </c>
      <c r="F10" s="2">
        <v>0.40170363607465098</v>
      </c>
      <c r="G10" s="1">
        <v>4122</v>
      </c>
      <c r="H10" s="2">
        <v>1.8964541552221499E-2</v>
      </c>
      <c r="I10" s="2">
        <v>7.6181252980161802E-3</v>
      </c>
    </row>
    <row r="11" spans="1:9" x14ac:dyDescent="0.35">
      <c r="A11" s="13">
        <v>46022</v>
      </c>
      <c r="B11" t="s">
        <v>65</v>
      </c>
      <c r="C11" t="s">
        <v>8</v>
      </c>
      <c r="D11" s="1">
        <v>25196</v>
      </c>
      <c r="E11" s="1">
        <v>9765</v>
      </c>
      <c r="F11" s="2">
        <v>0.38756151770122199</v>
      </c>
      <c r="G11" s="1">
        <v>289</v>
      </c>
      <c r="H11" s="2">
        <v>2.95954941116231E-2</v>
      </c>
      <c r="I11" s="2">
        <v>1.14700746150183E-2</v>
      </c>
    </row>
    <row r="12" spans="1:9" x14ac:dyDescent="0.35">
      <c r="A12" s="13">
        <v>46022</v>
      </c>
      <c r="B12" t="s">
        <v>66</v>
      </c>
      <c r="C12" t="s">
        <v>7</v>
      </c>
      <c r="D12" s="1">
        <v>1393247</v>
      </c>
      <c r="E12" s="1">
        <v>365756</v>
      </c>
      <c r="F12" s="2">
        <v>0.26252057244695298</v>
      </c>
      <c r="G12" s="1">
        <v>9624</v>
      </c>
      <c r="H12" s="2">
        <v>2.6312623716357401E-2</v>
      </c>
      <c r="I12" s="2">
        <v>6.9076050405994099E-3</v>
      </c>
    </row>
    <row r="13" spans="1:9" x14ac:dyDescent="0.35">
      <c r="A13" s="13">
        <v>46022</v>
      </c>
      <c r="B13" t="s">
        <v>66</v>
      </c>
      <c r="C13" t="s">
        <v>8</v>
      </c>
      <c r="D13" s="1">
        <v>91391</v>
      </c>
      <c r="E13" s="1">
        <v>28481</v>
      </c>
      <c r="F13" s="2">
        <v>0.31163900165224101</v>
      </c>
      <c r="G13" s="1">
        <v>891</v>
      </c>
      <c r="H13" s="2">
        <v>3.1284013904006203E-2</v>
      </c>
      <c r="I13" s="2">
        <v>9.7493188607193308E-3</v>
      </c>
    </row>
    <row r="14" spans="1:9" x14ac:dyDescent="0.35">
      <c r="A14" s="13">
        <v>45658</v>
      </c>
      <c r="B14" t="s">
        <v>50</v>
      </c>
      <c r="C14" t="s">
        <v>8</v>
      </c>
      <c r="D14" s="1">
        <v>16232</v>
      </c>
      <c r="E14" s="1">
        <v>8158</v>
      </c>
      <c r="F14" s="2">
        <v>0.50258748151798904</v>
      </c>
      <c r="G14" s="1">
        <v>166</v>
      </c>
      <c r="H14" s="2">
        <v>2.0348124540328499E-2</v>
      </c>
      <c r="I14" s="2">
        <v>1.02267126663381E-2</v>
      </c>
    </row>
    <row r="15" spans="1:9" x14ac:dyDescent="0.35">
      <c r="A15" s="13">
        <v>45659</v>
      </c>
      <c r="B15" t="s">
        <v>44</v>
      </c>
      <c r="C15" t="s">
        <v>17</v>
      </c>
      <c r="D15" s="1">
        <v>564205</v>
      </c>
      <c r="E15" s="1">
        <v>181571</v>
      </c>
      <c r="F15" s="3">
        <v>0.32179999999999997</v>
      </c>
      <c r="G15">
        <v>665</v>
      </c>
      <c r="H15" s="3">
        <v>3.7000000000000002E-3</v>
      </c>
      <c r="I15" s="3">
        <v>1.1999999999999999E-3</v>
      </c>
    </row>
    <row r="16" spans="1:9" x14ac:dyDescent="0.35">
      <c r="A16" s="13">
        <v>45659</v>
      </c>
      <c r="B16" t="s">
        <v>46</v>
      </c>
      <c r="C16" t="s">
        <v>18</v>
      </c>
      <c r="D16" s="1">
        <v>39847</v>
      </c>
      <c r="E16" s="1">
        <v>11679</v>
      </c>
      <c r="F16" s="3">
        <v>0.29310000000000003</v>
      </c>
      <c r="G16">
        <v>74</v>
      </c>
      <c r="H16" s="3">
        <v>6.3E-3</v>
      </c>
      <c r="I16" s="3">
        <v>1.9E-3</v>
      </c>
    </row>
    <row r="17" spans="1:9" x14ac:dyDescent="0.35">
      <c r="A17" s="13">
        <v>45659</v>
      </c>
      <c r="B17" t="s">
        <v>48</v>
      </c>
      <c r="C17" t="s">
        <v>17</v>
      </c>
      <c r="D17" s="1">
        <v>750841</v>
      </c>
      <c r="E17" s="1">
        <v>267233</v>
      </c>
      <c r="F17" s="3">
        <v>0.35589999999999999</v>
      </c>
      <c r="G17" s="1">
        <v>1012</v>
      </c>
      <c r="H17" s="3">
        <v>3.8E-3</v>
      </c>
      <c r="I17" s="3">
        <v>1.2999999999999999E-3</v>
      </c>
    </row>
    <row r="18" spans="1:9" x14ac:dyDescent="0.35">
      <c r="A18" s="13">
        <v>45659</v>
      </c>
      <c r="B18" t="s">
        <v>49</v>
      </c>
      <c r="C18" t="s">
        <v>18</v>
      </c>
      <c r="D18" s="1">
        <v>45838</v>
      </c>
      <c r="E18" s="1">
        <v>15276</v>
      </c>
      <c r="F18" s="3">
        <v>0.33329999999999999</v>
      </c>
      <c r="G18">
        <v>67</v>
      </c>
      <c r="H18" s="3">
        <v>4.4000000000000003E-3</v>
      </c>
      <c r="I18" s="3">
        <v>1.5E-3</v>
      </c>
    </row>
    <row r="19" spans="1:9" x14ac:dyDescent="0.35">
      <c r="A19" s="13">
        <v>45659</v>
      </c>
      <c r="B19" t="s">
        <v>51</v>
      </c>
      <c r="C19" t="s">
        <v>45</v>
      </c>
      <c r="D19" s="1">
        <v>683385</v>
      </c>
      <c r="E19" s="1">
        <v>229955</v>
      </c>
      <c r="F19" s="3">
        <v>0.33650000000000002</v>
      </c>
      <c r="G19">
        <v>787</v>
      </c>
      <c r="H19" s="3">
        <v>3.3999999999999998E-3</v>
      </c>
      <c r="I19" s="3">
        <v>1.1999999999999999E-3</v>
      </c>
    </row>
    <row r="20" spans="1:9" x14ac:dyDescent="0.35">
      <c r="A20" s="13">
        <v>45659</v>
      </c>
      <c r="B20" t="s">
        <v>52</v>
      </c>
      <c r="C20" t="s">
        <v>47</v>
      </c>
      <c r="D20" s="1">
        <v>36026</v>
      </c>
      <c r="E20" s="1">
        <v>11604</v>
      </c>
      <c r="F20" s="3">
        <v>0.3221</v>
      </c>
      <c r="G20">
        <v>74</v>
      </c>
      <c r="H20" s="3">
        <v>6.4000000000000003E-3</v>
      </c>
      <c r="I20" s="3">
        <v>2.0999999999999999E-3</v>
      </c>
    </row>
    <row r="21" spans="1:9" x14ac:dyDescent="0.35">
      <c r="A21" s="13">
        <v>45659</v>
      </c>
      <c r="B21" t="s">
        <v>53</v>
      </c>
      <c r="C21" t="s">
        <v>54</v>
      </c>
      <c r="D21" s="1">
        <v>626910</v>
      </c>
      <c r="E21" s="1">
        <v>255285</v>
      </c>
      <c r="F21" s="3">
        <v>0.40720000000000001</v>
      </c>
      <c r="G21" s="1">
        <v>1280</v>
      </c>
      <c r="H21" s="3">
        <v>5.0000000000000001E-3</v>
      </c>
      <c r="I21" s="3">
        <v>2E-3</v>
      </c>
    </row>
    <row r="22" spans="1:9" x14ac:dyDescent="0.35">
      <c r="A22" s="13">
        <v>45659</v>
      </c>
      <c r="B22" t="s">
        <v>55</v>
      </c>
      <c r="C22" t="s">
        <v>47</v>
      </c>
      <c r="D22" s="1">
        <v>36081</v>
      </c>
      <c r="E22" s="1">
        <v>14799</v>
      </c>
      <c r="F22" s="3">
        <v>0.41020000000000001</v>
      </c>
      <c r="G22">
        <v>103</v>
      </c>
      <c r="H22" s="3">
        <v>7.0000000000000001E-3</v>
      </c>
      <c r="I22" s="3">
        <v>2.8999999999999998E-3</v>
      </c>
    </row>
    <row r="23" spans="1:9" x14ac:dyDescent="0.35">
      <c r="A23" s="13">
        <v>45659</v>
      </c>
      <c r="B23" t="s">
        <v>56</v>
      </c>
      <c r="C23" t="s">
        <v>7</v>
      </c>
      <c r="D23" s="1">
        <v>57789</v>
      </c>
      <c r="E23" s="1">
        <v>19285</v>
      </c>
      <c r="F23" s="2">
        <v>0.33371402862136401</v>
      </c>
      <c r="G23" s="1">
        <v>400</v>
      </c>
      <c r="H23" s="2">
        <v>2.0741508944775701E-2</v>
      </c>
      <c r="I23" s="2">
        <v>6.9217325096471603E-3</v>
      </c>
    </row>
    <row r="24" spans="1:9" x14ac:dyDescent="0.35">
      <c r="A24" s="13">
        <v>45659</v>
      </c>
      <c r="B24" t="s">
        <v>57</v>
      </c>
      <c r="C24" t="s">
        <v>7</v>
      </c>
      <c r="D24" s="1">
        <v>218356</v>
      </c>
      <c r="E24" s="1">
        <v>75890</v>
      </c>
      <c r="F24" s="2">
        <v>0.34755170455586298</v>
      </c>
      <c r="G24" s="1">
        <v>1882</v>
      </c>
      <c r="H24" s="2">
        <v>2.47990512584003E-2</v>
      </c>
      <c r="I24" s="2">
        <v>8.6189525362252491E-3</v>
      </c>
    </row>
    <row r="25" spans="1:9" x14ac:dyDescent="0.35">
      <c r="A25" s="13">
        <v>45659</v>
      </c>
      <c r="B25" t="s">
        <v>57</v>
      </c>
      <c r="C25" t="s">
        <v>8</v>
      </c>
      <c r="D25" s="1">
        <v>12118</v>
      </c>
      <c r="E25" s="1">
        <v>4542</v>
      </c>
      <c r="F25" s="2">
        <v>0.374814325796336</v>
      </c>
      <c r="G25" s="1">
        <v>144</v>
      </c>
      <c r="H25" s="2">
        <v>3.1704095112285301E-2</v>
      </c>
      <c r="I25" s="2">
        <v>1.1883149034494099E-2</v>
      </c>
    </row>
    <row r="26" spans="1:9" x14ac:dyDescent="0.35">
      <c r="A26" s="13">
        <v>45659</v>
      </c>
      <c r="B26" t="s">
        <v>58</v>
      </c>
      <c r="C26" t="s">
        <v>7</v>
      </c>
      <c r="D26" s="1">
        <v>262648</v>
      </c>
      <c r="E26" s="1">
        <v>93723</v>
      </c>
      <c r="F26" s="2">
        <v>0.356838810879961</v>
      </c>
      <c r="G26" s="1">
        <v>1651</v>
      </c>
      <c r="H26" s="2">
        <v>1.7615739999786599E-2</v>
      </c>
      <c r="I26" s="2">
        <v>6.2859797142944202E-3</v>
      </c>
    </row>
    <row r="27" spans="1:9" x14ac:dyDescent="0.35">
      <c r="A27" s="13">
        <v>45659</v>
      </c>
      <c r="B27" t="s">
        <v>58</v>
      </c>
      <c r="C27" t="s">
        <v>8</v>
      </c>
      <c r="D27" s="1">
        <v>746</v>
      </c>
      <c r="E27" s="1">
        <v>348</v>
      </c>
      <c r="F27" s="2">
        <v>0.46648793565683599</v>
      </c>
      <c r="G27" s="1">
        <v>10</v>
      </c>
      <c r="H27" s="2">
        <v>2.8735632183908E-2</v>
      </c>
      <c r="I27" s="2">
        <v>1.34048257372654E-2</v>
      </c>
    </row>
    <row r="28" spans="1:9" ht="16" thickBot="1" x14ac:dyDescent="0.4">
      <c r="A28" s="23" t="s">
        <v>13</v>
      </c>
      <c r="D28" s="17">
        <f>SUM(D2:D27)</f>
        <v>17840667</v>
      </c>
      <c r="E28" s="17">
        <f>SUM(E2:E27)</f>
        <v>5765892</v>
      </c>
      <c r="F28" s="18">
        <f>AVERAGE(F2:F27)</f>
        <v>0.35527041104982016</v>
      </c>
      <c r="G28" s="17">
        <f>SUM(G2:G27)</f>
        <v>88613</v>
      </c>
      <c r="H28" s="18">
        <f>AVERAGE(H2:H27)</f>
        <v>1.6499880749422102E-2</v>
      </c>
      <c r="I28" s="18">
        <f>AVERAGE(I2:I27)</f>
        <v>5.9173827954484915E-3</v>
      </c>
    </row>
    <row r="29" spans="1:9" ht="15" thickBot="1" x14ac:dyDescent="0.4">
      <c r="A29" s="121" t="s">
        <v>19</v>
      </c>
      <c r="B29" s="121"/>
      <c r="C29" s="121"/>
      <c r="D29" s="121"/>
      <c r="E29" s="121"/>
      <c r="F29" s="121"/>
      <c r="G29" s="121"/>
      <c r="H29" s="121"/>
      <c r="I29" s="121"/>
    </row>
    <row r="30" spans="1:9" ht="15.5" x14ac:dyDescent="0.35">
      <c r="A30" s="24" t="s">
        <v>9</v>
      </c>
      <c r="B30" s="25" t="s">
        <v>0</v>
      </c>
      <c r="C30" s="25" t="s">
        <v>16</v>
      </c>
      <c r="D30" s="25" t="s">
        <v>1</v>
      </c>
      <c r="E30" s="25" t="s">
        <v>2</v>
      </c>
      <c r="F30" s="25" t="s">
        <v>3</v>
      </c>
      <c r="G30" s="25" t="s">
        <v>4</v>
      </c>
      <c r="H30" s="25" t="s">
        <v>5</v>
      </c>
      <c r="I30" s="26" t="s">
        <v>6</v>
      </c>
    </row>
    <row r="31" spans="1:9" x14ac:dyDescent="0.35">
      <c r="A31" s="5" t="s">
        <v>12</v>
      </c>
      <c r="B31" s="6"/>
      <c r="C31" s="6"/>
      <c r="D31" s="6"/>
      <c r="E31" s="6"/>
      <c r="F31" s="6"/>
      <c r="G31" s="6"/>
      <c r="H31" s="6"/>
      <c r="I31" s="7"/>
    </row>
    <row r="32" spans="1:9" x14ac:dyDescent="0.35">
      <c r="A32" s="14">
        <v>46018</v>
      </c>
      <c r="B32" t="s">
        <v>59</v>
      </c>
      <c r="C32" t="s">
        <v>7</v>
      </c>
      <c r="D32" s="1">
        <v>373066</v>
      </c>
      <c r="E32" s="1">
        <v>147595</v>
      </c>
      <c r="F32" s="2">
        <v>0.39562704722488801</v>
      </c>
      <c r="G32" s="1">
        <v>3640</v>
      </c>
      <c r="H32" s="2">
        <v>2.4662082048849902E-2</v>
      </c>
      <c r="I32" s="15">
        <v>9.7569866994043908E-3</v>
      </c>
    </row>
    <row r="33" spans="1:9" x14ac:dyDescent="0.35">
      <c r="A33" s="14">
        <v>46018</v>
      </c>
      <c r="B33" t="s">
        <v>60</v>
      </c>
      <c r="C33" t="s">
        <v>7</v>
      </c>
      <c r="D33" s="1">
        <v>4689876</v>
      </c>
      <c r="E33" s="1">
        <v>1192120</v>
      </c>
      <c r="F33" s="2">
        <v>0.25419008946078703</v>
      </c>
      <c r="G33" s="1">
        <v>25053</v>
      </c>
      <c r="H33" s="2">
        <v>2.1015501795121301E-2</v>
      </c>
      <c r="I33" s="15">
        <v>5.3419322813652199E-3</v>
      </c>
    </row>
    <row r="34" spans="1:9" x14ac:dyDescent="0.35">
      <c r="A34" s="14">
        <v>46018</v>
      </c>
      <c r="B34" t="s">
        <v>60</v>
      </c>
      <c r="C34" t="s">
        <v>8</v>
      </c>
      <c r="D34" s="1">
        <v>298743</v>
      </c>
      <c r="E34" s="1">
        <v>81484</v>
      </c>
      <c r="F34" s="2">
        <v>0.27275618173480198</v>
      </c>
      <c r="G34" s="1">
        <v>1717</v>
      </c>
      <c r="H34" s="2">
        <v>2.1071621422610601E-2</v>
      </c>
      <c r="I34" s="15">
        <v>5.7474150021925201E-3</v>
      </c>
    </row>
    <row r="35" spans="1:9" x14ac:dyDescent="0.35">
      <c r="A35" s="14">
        <v>46022</v>
      </c>
      <c r="B35" t="s">
        <v>66</v>
      </c>
      <c r="C35" t="s">
        <v>7</v>
      </c>
      <c r="D35" s="1">
        <v>1393247</v>
      </c>
      <c r="E35" s="1">
        <v>365756</v>
      </c>
      <c r="F35" s="2">
        <v>0.26252057244695298</v>
      </c>
      <c r="G35" s="1">
        <v>9624</v>
      </c>
      <c r="H35" s="2">
        <v>2.6312623716357401E-2</v>
      </c>
      <c r="I35" s="15">
        <v>6.9076050405994099E-3</v>
      </c>
    </row>
    <row r="36" spans="1:9" x14ac:dyDescent="0.35">
      <c r="A36" s="14">
        <v>46022</v>
      </c>
      <c r="B36" t="s">
        <v>66</v>
      </c>
      <c r="C36" t="s">
        <v>8</v>
      </c>
      <c r="D36" s="1">
        <v>91391</v>
      </c>
      <c r="E36" s="1">
        <v>28481</v>
      </c>
      <c r="F36" s="2">
        <v>0.31163900165224101</v>
      </c>
      <c r="G36" s="1">
        <v>891</v>
      </c>
      <c r="H36" s="2">
        <v>3.1284013904006203E-2</v>
      </c>
      <c r="I36" s="15">
        <v>9.7493188607193308E-3</v>
      </c>
    </row>
    <row r="37" spans="1:9" ht="16" thickBot="1" x14ac:dyDescent="0.4">
      <c r="A37" s="22" t="s">
        <v>13</v>
      </c>
      <c r="B37" s="4"/>
      <c r="C37" s="4"/>
      <c r="D37" s="19">
        <f>SUM(D32:D36)</f>
        <v>6846323</v>
      </c>
      <c r="E37" s="19">
        <f>SUM(E32:E36)</f>
        <v>1815436</v>
      </c>
      <c r="F37" s="20">
        <f>AVERAGE(F32:F36)</f>
        <v>0.2993465785039342</v>
      </c>
      <c r="G37" s="19">
        <f>SUM(G32:G36)</f>
        <v>40925</v>
      </c>
      <c r="H37" s="20">
        <f>AVERAGE(H32:H36)</f>
        <v>2.4869168577389082E-2</v>
      </c>
      <c r="I37" s="21">
        <f>AVERAGE(I32:I36)</f>
        <v>7.5006515768561736E-3</v>
      </c>
    </row>
    <row r="38" spans="1:9" ht="3" customHeight="1" thickBot="1" x14ac:dyDescent="0.4">
      <c r="A38" s="122"/>
      <c r="B38" s="123"/>
      <c r="C38" s="123"/>
      <c r="D38" s="123"/>
      <c r="E38" s="123"/>
      <c r="F38" s="123"/>
      <c r="G38" s="123"/>
      <c r="H38" s="123"/>
      <c r="I38" s="124"/>
    </row>
    <row r="39" spans="1:9" x14ac:dyDescent="0.35">
      <c r="A39" s="10" t="s">
        <v>216</v>
      </c>
      <c r="B39" s="11"/>
      <c r="C39" s="11"/>
      <c r="D39" s="11"/>
      <c r="E39" s="11"/>
      <c r="F39" s="11"/>
      <c r="G39" s="11"/>
      <c r="H39" s="11"/>
      <c r="I39" s="12"/>
    </row>
    <row r="40" spans="1:9" x14ac:dyDescent="0.35">
      <c r="A40" s="14">
        <v>46018</v>
      </c>
      <c r="B40" t="s">
        <v>61</v>
      </c>
      <c r="C40" t="s">
        <v>7</v>
      </c>
      <c r="D40" s="1">
        <v>263698</v>
      </c>
      <c r="E40" s="1">
        <v>99092</v>
      </c>
      <c r="F40" s="2">
        <v>0.37577835250931002</v>
      </c>
      <c r="G40" s="1">
        <v>1411</v>
      </c>
      <c r="H40" s="2">
        <v>1.42392927784281E-2</v>
      </c>
      <c r="I40" s="15">
        <v>5.3508179811754403E-3</v>
      </c>
    </row>
    <row r="41" spans="1:9" x14ac:dyDescent="0.35">
      <c r="A41" s="14">
        <v>46019</v>
      </c>
      <c r="B41" t="s">
        <v>62</v>
      </c>
      <c r="C41" t="s">
        <v>7</v>
      </c>
      <c r="D41" s="1">
        <v>6306002</v>
      </c>
      <c r="E41" s="1">
        <v>2256429</v>
      </c>
      <c r="F41" s="2">
        <v>0.35782243646608403</v>
      </c>
      <c r="G41" s="1">
        <v>30763</v>
      </c>
      <c r="H41" s="2">
        <v>1.36334890218128E-2</v>
      </c>
      <c r="I41" s="15">
        <v>4.8783682593186604E-3</v>
      </c>
    </row>
    <row r="42" spans="1:9" x14ac:dyDescent="0.35">
      <c r="A42" s="14">
        <v>46019</v>
      </c>
      <c r="B42" t="s">
        <v>62</v>
      </c>
      <c r="C42" t="s">
        <v>8</v>
      </c>
      <c r="D42" s="1">
        <v>406333</v>
      </c>
      <c r="E42" s="1">
        <v>143042</v>
      </c>
      <c r="F42" s="2">
        <v>0.35203146187978801</v>
      </c>
      <c r="G42" s="1">
        <v>2291</v>
      </c>
      <c r="H42" s="2">
        <v>1.6016274940227299E-2</v>
      </c>
      <c r="I42" s="15">
        <v>5.6382326810768503E-3</v>
      </c>
    </row>
    <row r="43" spans="1:9" x14ac:dyDescent="0.35">
      <c r="A43" s="14">
        <v>46019</v>
      </c>
      <c r="B43" t="s">
        <v>63</v>
      </c>
      <c r="C43" t="s">
        <v>7</v>
      </c>
      <c r="D43" s="1">
        <v>56778</v>
      </c>
      <c r="E43" s="1">
        <v>19535</v>
      </c>
      <c r="F43" s="2">
        <v>0.34405931875022</v>
      </c>
      <c r="G43" s="1">
        <v>257</v>
      </c>
      <c r="H43" s="2">
        <v>1.31558740721781E-2</v>
      </c>
      <c r="I43" s="15">
        <v>4.5264010708372998E-3</v>
      </c>
    </row>
    <row r="44" spans="1:9" x14ac:dyDescent="0.35">
      <c r="A44" s="14">
        <v>46019</v>
      </c>
      <c r="B44" t="s">
        <v>43</v>
      </c>
      <c r="C44" t="s">
        <v>64</v>
      </c>
      <c r="D44" s="1">
        <v>44237</v>
      </c>
      <c r="E44" s="1">
        <v>15892</v>
      </c>
      <c r="F44" s="2">
        <v>0.35924678436602803</v>
      </c>
      <c r="G44" s="1">
        <v>240</v>
      </c>
      <c r="H44" s="2">
        <v>1.5101938082053901E-2</v>
      </c>
      <c r="I44" s="15">
        <v>5.4253226936727197E-3</v>
      </c>
    </row>
    <row r="45" spans="1:9" x14ac:dyDescent="0.35">
      <c r="A45" s="14">
        <v>46022</v>
      </c>
      <c r="B45" t="s">
        <v>65</v>
      </c>
      <c r="C45" t="s">
        <v>7</v>
      </c>
      <c r="D45" s="1">
        <v>541078</v>
      </c>
      <c r="E45" s="1">
        <v>217353</v>
      </c>
      <c r="F45" s="2">
        <v>0.40170363607465098</v>
      </c>
      <c r="G45" s="1">
        <v>4122</v>
      </c>
      <c r="H45" s="2">
        <v>1.8964541552221499E-2</v>
      </c>
      <c r="I45" s="15">
        <v>7.6181252980161802E-3</v>
      </c>
    </row>
    <row r="46" spans="1:9" x14ac:dyDescent="0.35">
      <c r="A46" s="14">
        <v>46022</v>
      </c>
      <c r="B46" t="s">
        <v>65</v>
      </c>
      <c r="C46" t="s">
        <v>8</v>
      </c>
      <c r="D46" s="1">
        <v>25196</v>
      </c>
      <c r="E46" s="1">
        <v>9765</v>
      </c>
      <c r="F46" s="2">
        <v>0.38756151770122199</v>
      </c>
      <c r="G46" s="1">
        <v>289</v>
      </c>
      <c r="H46" s="2">
        <v>2.95954941116231E-2</v>
      </c>
      <c r="I46" s="15">
        <v>1.14700746150183E-2</v>
      </c>
    </row>
    <row r="47" spans="1:9" x14ac:dyDescent="0.35">
      <c r="A47" s="14">
        <v>45658</v>
      </c>
      <c r="B47" t="s">
        <v>50</v>
      </c>
      <c r="C47" t="s">
        <v>8</v>
      </c>
      <c r="D47" s="1">
        <v>16232</v>
      </c>
      <c r="E47" s="1">
        <v>8158</v>
      </c>
      <c r="F47" s="2">
        <v>0.50258748151798904</v>
      </c>
      <c r="G47" s="1">
        <v>166</v>
      </c>
      <c r="H47" s="2">
        <v>2.0348124540328499E-2</v>
      </c>
      <c r="I47" s="15">
        <v>1.02267126663381E-2</v>
      </c>
    </row>
    <row r="48" spans="1:9" x14ac:dyDescent="0.35">
      <c r="A48" s="14">
        <v>45659</v>
      </c>
      <c r="B48" t="s">
        <v>56</v>
      </c>
      <c r="C48" t="s">
        <v>7</v>
      </c>
      <c r="D48" s="1">
        <v>57789</v>
      </c>
      <c r="E48" s="1">
        <v>19285</v>
      </c>
      <c r="F48" s="2">
        <v>0.33371402862136401</v>
      </c>
      <c r="G48" s="1">
        <v>400</v>
      </c>
      <c r="H48" s="2">
        <v>2.0741508944775701E-2</v>
      </c>
      <c r="I48" s="15">
        <v>6.9217325096471603E-3</v>
      </c>
    </row>
    <row r="49" spans="1:9" x14ac:dyDescent="0.35">
      <c r="A49" s="14">
        <v>45659</v>
      </c>
      <c r="B49" t="s">
        <v>57</v>
      </c>
      <c r="C49" t="s">
        <v>7</v>
      </c>
      <c r="D49" s="1">
        <v>218356</v>
      </c>
      <c r="E49" s="1">
        <v>75890</v>
      </c>
      <c r="F49" s="2">
        <v>0.34755170455586298</v>
      </c>
      <c r="G49" s="1">
        <v>1882</v>
      </c>
      <c r="H49" s="2">
        <v>2.47990512584003E-2</v>
      </c>
      <c r="I49" s="15">
        <v>8.6189525362252491E-3</v>
      </c>
    </row>
    <row r="50" spans="1:9" x14ac:dyDescent="0.35">
      <c r="A50" s="14">
        <v>45659</v>
      </c>
      <c r="B50" t="s">
        <v>57</v>
      </c>
      <c r="C50" t="s">
        <v>8</v>
      </c>
      <c r="D50" s="1">
        <v>12118</v>
      </c>
      <c r="E50" s="1">
        <v>4542</v>
      </c>
      <c r="F50" s="2">
        <v>0.374814325796336</v>
      </c>
      <c r="G50" s="1">
        <v>144</v>
      </c>
      <c r="H50" s="2">
        <v>3.1704095112285301E-2</v>
      </c>
      <c r="I50" s="15">
        <v>1.1883149034494099E-2</v>
      </c>
    </row>
    <row r="51" spans="1:9" x14ac:dyDescent="0.35">
      <c r="A51" s="14">
        <v>45659</v>
      </c>
      <c r="B51" t="s">
        <v>58</v>
      </c>
      <c r="C51" t="s">
        <v>7</v>
      </c>
      <c r="D51" s="1">
        <v>262648</v>
      </c>
      <c r="E51" s="1">
        <v>93723</v>
      </c>
      <c r="F51" s="2">
        <v>0.356838810879961</v>
      </c>
      <c r="G51" s="1">
        <v>1651</v>
      </c>
      <c r="H51" s="2">
        <v>1.7615739999786599E-2</v>
      </c>
      <c r="I51" s="15">
        <v>6.2859797142944202E-3</v>
      </c>
    </row>
    <row r="52" spans="1:9" x14ac:dyDescent="0.35">
      <c r="A52" s="14">
        <v>45659</v>
      </c>
      <c r="B52" t="s">
        <v>58</v>
      </c>
      <c r="C52" t="s">
        <v>8</v>
      </c>
      <c r="D52" s="1">
        <v>746</v>
      </c>
      <c r="E52" s="1">
        <v>348</v>
      </c>
      <c r="F52" s="2">
        <v>0.46648793565683599</v>
      </c>
      <c r="G52" s="1">
        <v>10</v>
      </c>
      <c r="H52" s="2">
        <v>2.8735632183908E-2</v>
      </c>
      <c r="I52" s="15">
        <v>1.34048257372654E-2</v>
      </c>
    </row>
    <row r="53" spans="1:9" ht="16" thickBot="1" x14ac:dyDescent="0.4">
      <c r="A53" s="22" t="s">
        <v>13</v>
      </c>
      <c r="B53" s="4"/>
      <c r="C53" s="4"/>
      <c r="D53" s="19">
        <f>SUM(D40:D52)</f>
        <v>8211211</v>
      </c>
      <c r="E53" s="19">
        <f>SUM(E40:E52)</f>
        <v>2963054</v>
      </c>
      <c r="F53" s="20">
        <f>AVERAGE(F40:F52)</f>
        <v>0.38155367652120409</v>
      </c>
      <c r="G53" s="19">
        <f>SUM(G40:G52)</f>
        <v>43626</v>
      </c>
      <c r="H53" s="20">
        <f>AVERAGE(H40:H52)</f>
        <v>2.0357773584463782E-2</v>
      </c>
      <c r="I53" s="21">
        <f>AVERAGE(I40:I52)</f>
        <v>7.8652842151830677E-3</v>
      </c>
    </row>
    <row r="54" spans="1:9" ht="3" customHeight="1" thickBot="1" x14ac:dyDescent="0.4">
      <c r="A54" s="125"/>
      <c r="B54" s="121"/>
      <c r="C54" s="121"/>
      <c r="D54" s="121"/>
      <c r="E54" s="121"/>
      <c r="F54" s="121"/>
      <c r="G54" s="121"/>
      <c r="H54" s="121"/>
      <c r="I54" s="126"/>
    </row>
    <row r="55" spans="1:9" x14ac:dyDescent="0.35">
      <c r="A55" s="10" t="s">
        <v>11</v>
      </c>
      <c r="B55" s="11"/>
      <c r="C55" s="11"/>
      <c r="D55" s="11"/>
      <c r="E55" s="11"/>
      <c r="F55" s="11"/>
      <c r="G55" s="11"/>
      <c r="H55" s="11"/>
      <c r="I55" s="12"/>
    </row>
    <row r="56" spans="1:9" x14ac:dyDescent="0.35">
      <c r="A56" s="8">
        <v>45659</v>
      </c>
      <c r="B56" t="s">
        <v>44</v>
      </c>
      <c r="C56" t="s">
        <v>17</v>
      </c>
      <c r="D56" s="1">
        <v>564205</v>
      </c>
      <c r="E56" s="1">
        <v>181571</v>
      </c>
      <c r="F56" s="3">
        <v>0.32179999999999997</v>
      </c>
      <c r="G56">
        <v>665</v>
      </c>
      <c r="H56" s="3">
        <v>3.7000000000000002E-3</v>
      </c>
      <c r="I56" s="9">
        <v>1.1999999999999999E-3</v>
      </c>
    </row>
    <row r="57" spans="1:9" x14ac:dyDescent="0.35">
      <c r="A57" s="8">
        <v>45659</v>
      </c>
      <c r="B57" t="s">
        <v>46</v>
      </c>
      <c r="C57" t="s">
        <v>18</v>
      </c>
      <c r="D57" s="1">
        <v>39847</v>
      </c>
      <c r="E57" s="1">
        <v>11679</v>
      </c>
      <c r="F57" s="3">
        <v>0.29310000000000003</v>
      </c>
      <c r="G57">
        <v>74</v>
      </c>
      <c r="H57" s="3">
        <v>6.3E-3</v>
      </c>
      <c r="I57" s="9">
        <v>1.9E-3</v>
      </c>
    </row>
    <row r="58" spans="1:9" x14ac:dyDescent="0.35">
      <c r="A58" s="8">
        <v>45659</v>
      </c>
      <c r="B58" t="s">
        <v>48</v>
      </c>
      <c r="C58" t="s">
        <v>17</v>
      </c>
      <c r="D58" s="1">
        <v>750841</v>
      </c>
      <c r="E58" s="1">
        <v>267233</v>
      </c>
      <c r="F58" s="3">
        <v>0.35589999999999999</v>
      </c>
      <c r="G58" s="1">
        <v>1012</v>
      </c>
      <c r="H58" s="3">
        <v>3.8E-3</v>
      </c>
      <c r="I58" s="9">
        <v>1.2999999999999999E-3</v>
      </c>
    </row>
    <row r="59" spans="1:9" x14ac:dyDescent="0.35">
      <c r="A59" s="8">
        <v>45659</v>
      </c>
      <c r="B59" t="s">
        <v>49</v>
      </c>
      <c r="C59" t="s">
        <v>18</v>
      </c>
      <c r="D59" s="1">
        <v>45838</v>
      </c>
      <c r="E59" s="1">
        <v>15276</v>
      </c>
      <c r="F59" s="3">
        <v>0.33329999999999999</v>
      </c>
      <c r="G59">
        <v>67</v>
      </c>
      <c r="H59" s="3">
        <v>4.4000000000000003E-3</v>
      </c>
      <c r="I59" s="9">
        <v>1.5E-3</v>
      </c>
    </row>
    <row r="60" spans="1:9" x14ac:dyDescent="0.35">
      <c r="A60" s="8">
        <v>45659</v>
      </c>
      <c r="B60" t="s">
        <v>51</v>
      </c>
      <c r="C60" t="s">
        <v>45</v>
      </c>
      <c r="D60" s="1">
        <v>683385</v>
      </c>
      <c r="E60" s="1">
        <v>229955</v>
      </c>
      <c r="F60" s="3">
        <v>0.33650000000000002</v>
      </c>
      <c r="G60">
        <v>787</v>
      </c>
      <c r="H60" s="3">
        <v>3.3999999999999998E-3</v>
      </c>
      <c r="I60" s="9">
        <v>1.1999999999999999E-3</v>
      </c>
    </row>
    <row r="61" spans="1:9" x14ac:dyDescent="0.35">
      <c r="A61" s="8">
        <v>45659</v>
      </c>
      <c r="B61" t="s">
        <v>52</v>
      </c>
      <c r="C61" t="s">
        <v>47</v>
      </c>
      <c r="D61" s="1">
        <v>36026</v>
      </c>
      <c r="E61" s="1">
        <v>11604</v>
      </c>
      <c r="F61" s="3">
        <v>0.3221</v>
      </c>
      <c r="G61">
        <v>74</v>
      </c>
      <c r="H61" s="3">
        <v>6.4000000000000003E-3</v>
      </c>
      <c r="I61" s="9">
        <v>2.0999999999999999E-3</v>
      </c>
    </row>
    <row r="62" spans="1:9" x14ac:dyDescent="0.35">
      <c r="A62" s="8">
        <v>45659</v>
      </c>
      <c r="B62" t="s">
        <v>53</v>
      </c>
      <c r="C62" t="s">
        <v>54</v>
      </c>
      <c r="D62" s="1">
        <v>626910</v>
      </c>
      <c r="E62" s="1">
        <v>255285</v>
      </c>
      <c r="F62" s="3">
        <v>0.40720000000000001</v>
      </c>
      <c r="G62" s="1">
        <v>1280</v>
      </c>
      <c r="H62" s="3">
        <v>5.0000000000000001E-3</v>
      </c>
      <c r="I62" s="9">
        <v>2E-3</v>
      </c>
    </row>
    <row r="63" spans="1:9" x14ac:dyDescent="0.35">
      <c r="A63" s="8">
        <v>45659</v>
      </c>
      <c r="B63" t="s">
        <v>55</v>
      </c>
      <c r="C63" t="s">
        <v>47</v>
      </c>
      <c r="D63" s="1">
        <v>36081</v>
      </c>
      <c r="E63" s="1">
        <v>14799</v>
      </c>
      <c r="F63" s="3">
        <v>0.41020000000000001</v>
      </c>
      <c r="G63">
        <v>103</v>
      </c>
      <c r="H63" s="3">
        <v>7.0000000000000001E-3</v>
      </c>
      <c r="I63" s="9">
        <v>2.8999999999999998E-3</v>
      </c>
    </row>
    <row r="64" spans="1:9" ht="16" thickBot="1" x14ac:dyDescent="0.4">
      <c r="A64" s="22" t="s">
        <v>13</v>
      </c>
      <c r="B64" s="4"/>
      <c r="C64" s="4"/>
      <c r="D64" s="19">
        <f>SUM(D56:D63)</f>
        <v>2783133</v>
      </c>
      <c r="E64" s="19">
        <f>SUM(E56:E63)</f>
        <v>987402</v>
      </c>
      <c r="F64" s="20">
        <f>AVERAGE(F56:F63)</f>
        <v>0.34751250000000006</v>
      </c>
      <c r="G64" s="19">
        <f>SUM(G56:G63)</f>
        <v>4062</v>
      </c>
      <c r="H64" s="20">
        <f>AVERAGE(H56:H63)</f>
        <v>5.0000000000000001E-3</v>
      </c>
      <c r="I64" s="21">
        <f>AVERAGE(I56:I63)</f>
        <v>1.7624999999999997E-3</v>
      </c>
    </row>
  </sheetData>
  <mergeCells count="3">
    <mergeCell ref="A29:I29"/>
    <mergeCell ref="A38:I38"/>
    <mergeCell ref="A54:I54"/>
  </mergeCells>
  <pageMargins left="0.7" right="0.7" top="0.75" bottom="0.75" header="0.3" footer="0.3"/>
  <ignoredErrors>
    <ignoredError sqref="F53:G53 F64:G64 F37:G37 F28:G28" formula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7363-2084-4D98-9000-1475EF2937FE}">
  <dimension ref="A1:I48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74.08984375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5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45660</v>
      </c>
      <c r="B2" t="s">
        <v>67</v>
      </c>
      <c r="C2" t="s">
        <v>7</v>
      </c>
      <c r="D2" s="1">
        <v>4665943</v>
      </c>
      <c r="E2" s="1">
        <v>1239070</v>
      </c>
      <c r="F2" s="2">
        <v>0.26555618017622601</v>
      </c>
      <c r="G2" s="1">
        <v>27026</v>
      </c>
      <c r="H2" s="2">
        <v>2.18115199302703E-2</v>
      </c>
      <c r="I2" s="2">
        <v>5.7921839165202002E-3</v>
      </c>
    </row>
    <row r="3" spans="1:9" x14ac:dyDescent="0.35">
      <c r="A3" s="13">
        <v>45660</v>
      </c>
      <c r="B3" t="s">
        <v>67</v>
      </c>
      <c r="C3" t="s">
        <v>8</v>
      </c>
      <c r="D3" s="1">
        <v>299126</v>
      </c>
      <c r="E3" s="1">
        <v>84480</v>
      </c>
      <c r="F3" s="2">
        <v>0.28242279173325002</v>
      </c>
      <c r="G3" s="1">
        <v>1968</v>
      </c>
      <c r="H3" s="2">
        <v>2.3295454545454501E-2</v>
      </c>
      <c r="I3" s="2">
        <v>6.5791673074222902E-3</v>
      </c>
    </row>
    <row r="4" spans="1:9" x14ac:dyDescent="0.35">
      <c r="A4" s="13">
        <v>45664</v>
      </c>
      <c r="B4" t="s">
        <v>68</v>
      </c>
      <c r="C4" t="s">
        <v>7</v>
      </c>
      <c r="D4" s="1">
        <v>1404175</v>
      </c>
      <c r="E4" s="1">
        <v>389075</v>
      </c>
      <c r="F4" s="2">
        <v>0.27708440899460501</v>
      </c>
      <c r="G4" s="1">
        <v>9979</v>
      </c>
      <c r="H4" s="2">
        <v>2.5648011308873599E-2</v>
      </c>
      <c r="I4" s="2">
        <v>7.1066640554062E-3</v>
      </c>
    </row>
    <row r="5" spans="1:9" x14ac:dyDescent="0.35">
      <c r="A5" s="13">
        <v>45664</v>
      </c>
      <c r="B5" t="s">
        <v>68</v>
      </c>
      <c r="C5" t="s">
        <v>8</v>
      </c>
      <c r="D5" s="1">
        <v>90045</v>
      </c>
      <c r="E5" s="1">
        <v>29405</v>
      </c>
      <c r="F5" s="2">
        <v>0.32655894275084701</v>
      </c>
      <c r="G5" s="1">
        <v>890</v>
      </c>
      <c r="H5" s="2">
        <v>3.0266961401122301E-2</v>
      </c>
      <c r="I5" s="2">
        <v>9.8839469154311695E-3</v>
      </c>
    </row>
    <row r="6" spans="1:9" x14ac:dyDescent="0.35">
      <c r="A6" s="13">
        <v>45665</v>
      </c>
      <c r="B6" t="s">
        <v>69</v>
      </c>
      <c r="C6" t="s">
        <v>7</v>
      </c>
      <c r="D6" s="1">
        <v>494630</v>
      </c>
      <c r="E6" s="1">
        <v>197047</v>
      </c>
      <c r="F6" s="2">
        <v>0.39837252087418901</v>
      </c>
      <c r="G6" s="1">
        <v>2090</v>
      </c>
      <c r="H6" s="2">
        <v>1.06066065456465E-2</v>
      </c>
      <c r="I6" s="2">
        <v>4.2253805875098601E-3</v>
      </c>
    </row>
    <row r="7" spans="1:9" x14ac:dyDescent="0.35">
      <c r="A7" s="13">
        <v>45665</v>
      </c>
      <c r="B7" t="s">
        <v>69</v>
      </c>
      <c r="C7" t="s">
        <v>8</v>
      </c>
      <c r="D7" s="1">
        <v>30499</v>
      </c>
      <c r="E7" s="1">
        <v>12033</v>
      </c>
      <c r="F7" s="2">
        <v>0.39453752582051899</v>
      </c>
      <c r="G7" s="1">
        <v>161</v>
      </c>
      <c r="H7" s="2">
        <v>1.3379872018615501E-2</v>
      </c>
      <c r="I7" s="2">
        <v>5.2788616020197398E-3</v>
      </c>
    </row>
    <row r="8" spans="1:9" x14ac:dyDescent="0.35">
      <c r="A8" s="13">
        <v>45665</v>
      </c>
      <c r="B8" t="s">
        <v>70</v>
      </c>
      <c r="C8" t="s">
        <v>7</v>
      </c>
      <c r="D8" s="1">
        <v>255343</v>
      </c>
      <c r="E8" s="1">
        <v>111119</v>
      </c>
      <c r="F8" s="2">
        <v>0.435175430695183</v>
      </c>
      <c r="G8" s="1">
        <v>897</v>
      </c>
      <c r="H8" s="2">
        <v>8.0724268576930994E-3</v>
      </c>
      <c r="I8" s="2">
        <v>3.5129218345519601E-3</v>
      </c>
    </row>
    <row r="9" spans="1:9" x14ac:dyDescent="0.35">
      <c r="A9" s="13">
        <v>45666</v>
      </c>
      <c r="B9" t="s">
        <v>44</v>
      </c>
      <c r="C9" t="s">
        <v>20</v>
      </c>
      <c r="D9" s="1">
        <v>552758</v>
      </c>
      <c r="E9" s="1">
        <v>189020</v>
      </c>
      <c r="F9" s="3">
        <v>0.34200000000000003</v>
      </c>
      <c r="G9">
        <v>582</v>
      </c>
      <c r="H9" s="3">
        <v>3.0999999999999999E-3</v>
      </c>
      <c r="I9" s="3">
        <v>1.1000000000000001E-3</v>
      </c>
    </row>
    <row r="10" spans="1:9" x14ac:dyDescent="0.35">
      <c r="A10" s="13">
        <v>45666</v>
      </c>
      <c r="B10" t="s">
        <v>46</v>
      </c>
      <c r="C10" t="s">
        <v>21</v>
      </c>
      <c r="D10" s="1">
        <v>38832</v>
      </c>
      <c r="E10" s="1">
        <v>12505</v>
      </c>
      <c r="F10" s="3">
        <v>0.32200000000000001</v>
      </c>
      <c r="G10">
        <v>46</v>
      </c>
      <c r="H10" s="3">
        <v>3.7000000000000002E-3</v>
      </c>
      <c r="I10" s="3">
        <v>1.1999999999999999E-3</v>
      </c>
    </row>
    <row r="11" spans="1:9" x14ac:dyDescent="0.35">
      <c r="A11" s="13">
        <v>45666</v>
      </c>
      <c r="B11" t="s">
        <v>48</v>
      </c>
      <c r="C11" t="s">
        <v>20</v>
      </c>
      <c r="D11" s="1">
        <v>739478</v>
      </c>
      <c r="E11" s="1">
        <v>277070</v>
      </c>
      <c r="F11" s="3">
        <v>0.37469999999999998</v>
      </c>
      <c r="G11">
        <v>858</v>
      </c>
      <c r="H11" s="3">
        <v>3.0999999999999999E-3</v>
      </c>
      <c r="I11" s="3">
        <v>1.1999999999999999E-3</v>
      </c>
    </row>
    <row r="12" spans="1:9" x14ac:dyDescent="0.35">
      <c r="A12" s="13">
        <v>45666</v>
      </c>
      <c r="B12" t="s">
        <v>49</v>
      </c>
      <c r="C12" t="s">
        <v>21</v>
      </c>
      <c r="D12" s="1">
        <v>44894</v>
      </c>
      <c r="E12" s="1">
        <v>16380</v>
      </c>
      <c r="F12" s="3">
        <v>0.3649</v>
      </c>
      <c r="G12">
        <v>60</v>
      </c>
      <c r="H12" s="3">
        <v>3.7000000000000002E-3</v>
      </c>
      <c r="I12" s="3">
        <v>1.2999999999999999E-3</v>
      </c>
    </row>
    <row r="13" spans="1:9" x14ac:dyDescent="0.35">
      <c r="A13" s="13">
        <v>45666</v>
      </c>
      <c r="B13" t="s">
        <v>51</v>
      </c>
      <c r="C13" t="s">
        <v>17</v>
      </c>
      <c r="D13" s="1">
        <v>665632</v>
      </c>
      <c r="E13" s="1">
        <v>233333</v>
      </c>
      <c r="F13" s="3">
        <v>0.35049999999999998</v>
      </c>
      <c r="G13">
        <v>799</v>
      </c>
      <c r="H13" s="3">
        <v>3.3999999999999998E-3</v>
      </c>
      <c r="I13" s="3">
        <v>1.1999999999999999E-3</v>
      </c>
    </row>
    <row r="14" spans="1:9" x14ac:dyDescent="0.35">
      <c r="A14" s="13">
        <v>45666</v>
      </c>
      <c r="B14" t="s">
        <v>52</v>
      </c>
      <c r="C14" t="s">
        <v>18</v>
      </c>
      <c r="D14" s="1">
        <v>34968</v>
      </c>
      <c r="E14" s="1">
        <v>12204</v>
      </c>
      <c r="F14" s="3">
        <v>0.34899999999999998</v>
      </c>
      <c r="G14">
        <v>57</v>
      </c>
      <c r="H14" s="3">
        <v>4.7000000000000002E-3</v>
      </c>
      <c r="I14" s="3">
        <v>1.6000000000000001E-3</v>
      </c>
    </row>
    <row r="15" spans="1:9" x14ac:dyDescent="0.35">
      <c r="A15" s="13">
        <v>45666</v>
      </c>
      <c r="B15" t="s">
        <v>53</v>
      </c>
      <c r="C15" t="s">
        <v>17</v>
      </c>
      <c r="D15" s="1">
        <v>613383</v>
      </c>
      <c r="E15" s="1">
        <v>256841</v>
      </c>
      <c r="F15" s="3">
        <v>0.41870000000000002</v>
      </c>
      <c r="G15">
        <v>934</v>
      </c>
      <c r="H15" s="3">
        <v>3.5999999999999999E-3</v>
      </c>
      <c r="I15" s="3">
        <v>1.5E-3</v>
      </c>
    </row>
    <row r="16" spans="1:9" x14ac:dyDescent="0.35">
      <c r="A16" s="13">
        <v>45666</v>
      </c>
      <c r="B16" t="s">
        <v>55</v>
      </c>
      <c r="C16" t="s">
        <v>18</v>
      </c>
      <c r="D16" s="1">
        <v>35327</v>
      </c>
      <c r="E16" s="1">
        <v>15281</v>
      </c>
      <c r="F16" s="3">
        <v>0.43259999999999998</v>
      </c>
      <c r="G16">
        <v>74</v>
      </c>
      <c r="H16" s="3">
        <v>4.7999999999999996E-3</v>
      </c>
      <c r="I16" s="3">
        <v>2.0999999999999999E-3</v>
      </c>
    </row>
    <row r="17" spans="1:9" x14ac:dyDescent="0.35">
      <c r="A17" s="13">
        <v>45666</v>
      </c>
      <c r="B17" t="s">
        <v>71</v>
      </c>
      <c r="C17" t="s">
        <v>7</v>
      </c>
      <c r="D17" s="1">
        <v>220973</v>
      </c>
      <c r="E17" s="1">
        <v>99575</v>
      </c>
      <c r="F17" s="2">
        <v>0.45062066406302997</v>
      </c>
      <c r="G17" s="1">
        <v>1964</v>
      </c>
      <c r="H17" s="2">
        <v>1.9723826261611899E-2</v>
      </c>
      <c r="I17" s="2">
        <v>8.8879636878713697E-3</v>
      </c>
    </row>
    <row r="18" spans="1:9" x14ac:dyDescent="0.35">
      <c r="A18" s="13">
        <v>45666</v>
      </c>
      <c r="B18" t="s">
        <v>71</v>
      </c>
      <c r="C18" t="s">
        <v>8</v>
      </c>
      <c r="D18" s="1">
        <v>13371</v>
      </c>
      <c r="E18" s="1">
        <v>6366</v>
      </c>
      <c r="F18" s="2">
        <v>0.476105003365492</v>
      </c>
      <c r="G18" s="1">
        <v>256</v>
      </c>
      <c r="H18" s="2">
        <v>4.0213634935595301E-2</v>
      </c>
      <c r="I18" s="2">
        <v>1.9145912796350299E-2</v>
      </c>
    </row>
    <row r="19" spans="1:9" x14ac:dyDescent="0.35">
      <c r="A19" s="13">
        <v>45666</v>
      </c>
      <c r="B19" t="s">
        <v>72</v>
      </c>
      <c r="C19" t="s">
        <v>7</v>
      </c>
      <c r="D19" s="1">
        <v>1315014</v>
      </c>
      <c r="E19" s="1">
        <v>445010</v>
      </c>
      <c r="F19" s="2">
        <v>0.33840704357520102</v>
      </c>
      <c r="G19" s="1">
        <v>3380</v>
      </c>
      <c r="H19" s="2">
        <v>7.59533493629357E-3</v>
      </c>
      <c r="I19" s="2">
        <v>2.5703148407545499E-3</v>
      </c>
    </row>
    <row r="20" spans="1:9" ht="16" thickBot="1" x14ac:dyDescent="0.4">
      <c r="A20" s="23" t="s">
        <v>13</v>
      </c>
      <c r="D20" s="17">
        <f>SUM(D2:D19)</f>
        <v>11514391</v>
      </c>
      <c r="E20" s="17">
        <f>SUM(E2:E19)</f>
        <v>3625814</v>
      </c>
      <c r="F20" s="18">
        <f>AVERAGE(F2:F19)</f>
        <v>0.36662447289158573</v>
      </c>
      <c r="G20" s="17">
        <f>SUM(G2:G19)</f>
        <v>52021</v>
      </c>
      <c r="H20" s="18">
        <f>AVERAGE(H2:H19)</f>
        <v>1.2817424930065366E-2</v>
      </c>
      <c r="I20" s="18">
        <f>AVERAGE(I2:I19)</f>
        <v>4.676850974657646E-3</v>
      </c>
    </row>
    <row r="21" spans="1:9" ht="15" thickBot="1" x14ac:dyDescent="0.4">
      <c r="A21" s="121" t="s">
        <v>19</v>
      </c>
      <c r="B21" s="121"/>
      <c r="C21" s="121"/>
      <c r="D21" s="121"/>
      <c r="E21" s="121"/>
      <c r="F21" s="121"/>
      <c r="G21" s="121"/>
      <c r="H21" s="121"/>
      <c r="I21" s="121"/>
    </row>
    <row r="22" spans="1:9" ht="15.5" x14ac:dyDescent="0.35">
      <c r="A22" s="24" t="s">
        <v>9</v>
      </c>
      <c r="B22" s="25" t="s">
        <v>0</v>
      </c>
      <c r="C22" s="25" t="s">
        <v>16</v>
      </c>
      <c r="D22" s="25" t="s">
        <v>1</v>
      </c>
      <c r="E22" s="25" t="s">
        <v>2</v>
      </c>
      <c r="F22" s="25" t="s">
        <v>3</v>
      </c>
      <c r="G22" s="25" t="s">
        <v>4</v>
      </c>
      <c r="H22" s="25" t="s">
        <v>5</v>
      </c>
      <c r="I22" s="26" t="s">
        <v>6</v>
      </c>
    </row>
    <row r="23" spans="1:9" x14ac:dyDescent="0.35">
      <c r="A23" s="5" t="s">
        <v>12</v>
      </c>
      <c r="B23" s="6"/>
      <c r="C23" s="6"/>
      <c r="D23" s="6"/>
      <c r="E23" s="6"/>
      <c r="F23" s="6"/>
      <c r="G23" s="6"/>
      <c r="H23" s="6"/>
      <c r="I23" s="7"/>
    </row>
    <row r="24" spans="1:9" x14ac:dyDescent="0.35">
      <c r="A24" s="14">
        <v>45660</v>
      </c>
      <c r="B24" t="s">
        <v>67</v>
      </c>
      <c r="C24" t="s">
        <v>7</v>
      </c>
      <c r="D24" s="1">
        <v>4665943</v>
      </c>
      <c r="E24" s="1">
        <v>1239070</v>
      </c>
      <c r="F24" s="2">
        <v>0.26555618017622601</v>
      </c>
      <c r="G24" s="1">
        <v>27026</v>
      </c>
      <c r="H24" s="2">
        <v>2.18115199302703E-2</v>
      </c>
      <c r="I24" s="15">
        <v>5.7921839165202002E-3</v>
      </c>
    </row>
    <row r="25" spans="1:9" x14ac:dyDescent="0.35">
      <c r="A25" s="14">
        <v>45660</v>
      </c>
      <c r="B25" t="s">
        <v>67</v>
      </c>
      <c r="C25" t="s">
        <v>8</v>
      </c>
      <c r="D25" s="1">
        <v>299126</v>
      </c>
      <c r="E25" s="1">
        <v>84480</v>
      </c>
      <c r="F25" s="2">
        <v>0.28242279173325002</v>
      </c>
      <c r="G25" s="1">
        <v>1968</v>
      </c>
      <c r="H25" s="2">
        <v>2.3295454545454501E-2</v>
      </c>
      <c r="I25" s="15">
        <v>6.5791673074222902E-3</v>
      </c>
    </row>
    <row r="26" spans="1:9" x14ac:dyDescent="0.35">
      <c r="A26" s="14">
        <v>45664</v>
      </c>
      <c r="B26" t="s">
        <v>68</v>
      </c>
      <c r="C26" t="s">
        <v>7</v>
      </c>
      <c r="D26" s="1">
        <v>1404175</v>
      </c>
      <c r="E26" s="1">
        <v>389075</v>
      </c>
      <c r="F26" s="2">
        <v>0.27708440899460501</v>
      </c>
      <c r="G26" s="1">
        <v>9979</v>
      </c>
      <c r="H26" s="2">
        <v>2.5648011308873599E-2</v>
      </c>
      <c r="I26" s="15">
        <v>7.1066640554062E-3</v>
      </c>
    </row>
    <row r="27" spans="1:9" x14ac:dyDescent="0.35">
      <c r="A27" s="14">
        <v>45664</v>
      </c>
      <c r="B27" t="s">
        <v>68</v>
      </c>
      <c r="C27" t="s">
        <v>8</v>
      </c>
      <c r="D27" s="1">
        <v>90045</v>
      </c>
      <c r="E27" s="1">
        <v>29405</v>
      </c>
      <c r="F27" s="2">
        <v>0.32655894275084701</v>
      </c>
      <c r="G27" s="1">
        <v>890</v>
      </c>
      <c r="H27" s="2">
        <v>3.0266961401122301E-2</v>
      </c>
      <c r="I27" s="15">
        <v>9.8839469154311695E-3</v>
      </c>
    </row>
    <row r="28" spans="1:9" ht="16" thickBot="1" x14ac:dyDescent="0.4">
      <c r="A28" s="22" t="s">
        <v>13</v>
      </c>
      <c r="B28" s="4"/>
      <c r="C28" s="4"/>
      <c r="D28" s="19">
        <f>SUM(D24:D27)</f>
        <v>6459289</v>
      </c>
      <c r="E28" s="19">
        <f>SUM(E24:E27)</f>
        <v>1742030</v>
      </c>
      <c r="F28" s="20">
        <f>AVERAGE(F24:F27)</f>
        <v>0.28790558091373203</v>
      </c>
      <c r="G28" s="19">
        <f>SUM(G24:G27)</f>
        <v>39863</v>
      </c>
      <c r="H28" s="20">
        <f>AVERAGE(H24:H27)</f>
        <v>2.5255486796430176E-2</v>
      </c>
      <c r="I28" s="21">
        <f>AVERAGE(I24:I27)</f>
        <v>7.3404905486949652E-3</v>
      </c>
    </row>
    <row r="29" spans="1:9" ht="3" customHeight="1" thickBot="1" x14ac:dyDescent="0.4">
      <c r="A29" s="122"/>
      <c r="B29" s="123"/>
      <c r="C29" s="123"/>
      <c r="D29" s="123"/>
      <c r="E29" s="123"/>
      <c r="F29" s="123"/>
      <c r="G29" s="123"/>
      <c r="H29" s="123"/>
      <c r="I29" s="124"/>
    </row>
    <row r="30" spans="1:9" x14ac:dyDescent="0.35">
      <c r="A30" s="10" t="s">
        <v>216</v>
      </c>
      <c r="B30" s="11"/>
      <c r="C30" s="11"/>
      <c r="D30" s="11"/>
      <c r="E30" s="11"/>
      <c r="F30" s="11"/>
      <c r="G30" s="11"/>
      <c r="H30" s="11"/>
      <c r="I30" s="12"/>
    </row>
    <row r="31" spans="1:9" x14ac:dyDescent="0.35">
      <c r="A31" s="14">
        <v>45665</v>
      </c>
      <c r="B31" t="s">
        <v>69</v>
      </c>
      <c r="C31" t="s">
        <v>7</v>
      </c>
      <c r="D31" s="1">
        <v>494630</v>
      </c>
      <c r="E31" s="1">
        <v>197047</v>
      </c>
      <c r="F31" s="2">
        <v>0.39837252087418901</v>
      </c>
      <c r="G31" s="1">
        <v>2090</v>
      </c>
      <c r="H31" s="2">
        <v>1.06066065456465E-2</v>
      </c>
      <c r="I31" s="15">
        <v>4.2253805875098601E-3</v>
      </c>
    </row>
    <row r="32" spans="1:9" x14ac:dyDescent="0.35">
      <c r="A32" s="14">
        <v>45665</v>
      </c>
      <c r="B32" t="s">
        <v>69</v>
      </c>
      <c r="C32" t="s">
        <v>8</v>
      </c>
      <c r="D32" s="1">
        <v>30499</v>
      </c>
      <c r="E32" s="1">
        <v>12033</v>
      </c>
      <c r="F32" s="2">
        <v>0.39453752582051899</v>
      </c>
      <c r="G32" s="1">
        <v>161</v>
      </c>
      <c r="H32" s="2">
        <v>1.3379872018615501E-2</v>
      </c>
      <c r="I32" s="15">
        <v>5.2788616020197398E-3</v>
      </c>
    </row>
    <row r="33" spans="1:9" x14ac:dyDescent="0.35">
      <c r="A33" s="14">
        <v>45665</v>
      </c>
      <c r="B33" t="s">
        <v>70</v>
      </c>
      <c r="C33" t="s">
        <v>7</v>
      </c>
      <c r="D33" s="1">
        <v>255343</v>
      </c>
      <c r="E33" s="1">
        <v>111119</v>
      </c>
      <c r="F33" s="2">
        <v>0.435175430695183</v>
      </c>
      <c r="G33" s="1">
        <v>897</v>
      </c>
      <c r="H33" s="2">
        <v>8.0724268576930994E-3</v>
      </c>
      <c r="I33" s="15">
        <v>3.5129218345519601E-3</v>
      </c>
    </row>
    <row r="34" spans="1:9" x14ac:dyDescent="0.35">
      <c r="A34" s="14">
        <v>45666</v>
      </c>
      <c r="B34" t="s">
        <v>71</v>
      </c>
      <c r="C34" t="s">
        <v>7</v>
      </c>
      <c r="D34" s="1">
        <v>220973</v>
      </c>
      <c r="E34" s="1">
        <v>99575</v>
      </c>
      <c r="F34" s="2">
        <v>0.45062066406302997</v>
      </c>
      <c r="G34" s="1">
        <v>1964</v>
      </c>
      <c r="H34" s="2">
        <v>1.9723826261611899E-2</v>
      </c>
      <c r="I34" s="15">
        <v>8.8879636878713697E-3</v>
      </c>
    </row>
    <row r="35" spans="1:9" x14ac:dyDescent="0.35">
      <c r="A35" s="14">
        <v>45666</v>
      </c>
      <c r="B35" t="s">
        <v>71</v>
      </c>
      <c r="C35" t="s">
        <v>8</v>
      </c>
      <c r="D35" s="1">
        <v>13371</v>
      </c>
      <c r="E35" s="1">
        <v>6366</v>
      </c>
      <c r="F35" s="2">
        <v>0.476105003365492</v>
      </c>
      <c r="G35" s="1">
        <v>256</v>
      </c>
      <c r="H35" s="2">
        <v>4.0213634935595301E-2</v>
      </c>
      <c r="I35" s="15">
        <v>1.9145912796350299E-2</v>
      </c>
    </row>
    <row r="36" spans="1:9" x14ac:dyDescent="0.35">
      <c r="A36" s="14">
        <v>45666</v>
      </c>
      <c r="B36" t="s">
        <v>72</v>
      </c>
      <c r="C36" t="s">
        <v>7</v>
      </c>
      <c r="D36" s="1">
        <v>1315014</v>
      </c>
      <c r="E36" s="1">
        <v>445010</v>
      </c>
      <c r="F36" s="2">
        <v>0.33840704357520102</v>
      </c>
      <c r="G36" s="1">
        <v>3380</v>
      </c>
      <c r="H36" s="2">
        <v>7.59533493629357E-3</v>
      </c>
      <c r="I36" s="15">
        <v>2.5703148407545499E-3</v>
      </c>
    </row>
    <row r="37" spans="1:9" ht="16" thickBot="1" x14ac:dyDescent="0.4">
      <c r="A37" s="22" t="s">
        <v>13</v>
      </c>
      <c r="B37" s="4"/>
      <c r="C37" s="4"/>
      <c r="D37" s="19">
        <f>SUM(D31:D36)</f>
        <v>2329830</v>
      </c>
      <c r="E37" s="19">
        <f>SUM(E31:E36)</f>
        <v>871150</v>
      </c>
      <c r="F37" s="20">
        <f>AVERAGE(F31:F36)</f>
        <v>0.41553636473226896</v>
      </c>
      <c r="G37" s="19">
        <f>SUM(G31:G36)</f>
        <v>8748</v>
      </c>
      <c r="H37" s="20">
        <f>AVERAGE(H31:H36)</f>
        <v>1.6598616925909311E-2</v>
      </c>
      <c r="I37" s="21">
        <f>AVERAGE(I31:I36)</f>
        <v>7.2702258915096308E-3</v>
      </c>
    </row>
    <row r="38" spans="1:9" ht="3" customHeight="1" thickBot="1" x14ac:dyDescent="0.4">
      <c r="A38" s="125"/>
      <c r="B38" s="121"/>
      <c r="C38" s="121"/>
      <c r="D38" s="121"/>
      <c r="E38" s="121"/>
      <c r="F38" s="121"/>
      <c r="G38" s="121"/>
      <c r="H38" s="121"/>
      <c r="I38" s="126"/>
    </row>
    <row r="39" spans="1:9" x14ac:dyDescent="0.35">
      <c r="A39" s="10" t="s">
        <v>11</v>
      </c>
      <c r="B39" s="11"/>
      <c r="C39" s="11"/>
      <c r="D39" s="11"/>
      <c r="E39" s="11"/>
      <c r="F39" s="11"/>
      <c r="G39" s="11"/>
      <c r="H39" s="11"/>
      <c r="I39" s="12"/>
    </row>
    <row r="40" spans="1:9" x14ac:dyDescent="0.35">
      <c r="A40" s="14">
        <v>45666</v>
      </c>
      <c r="B40" t="s">
        <v>44</v>
      </c>
      <c r="C40" t="s">
        <v>20</v>
      </c>
      <c r="D40" s="1">
        <v>552758</v>
      </c>
      <c r="E40" s="1">
        <v>189020</v>
      </c>
      <c r="F40" s="3">
        <v>0.34200000000000003</v>
      </c>
      <c r="G40">
        <v>582</v>
      </c>
      <c r="H40" s="3">
        <v>3.0999999999999999E-3</v>
      </c>
      <c r="I40" s="16">
        <v>1.1000000000000001E-3</v>
      </c>
    </row>
    <row r="41" spans="1:9" x14ac:dyDescent="0.35">
      <c r="A41" s="14">
        <v>45666</v>
      </c>
      <c r="B41" t="s">
        <v>46</v>
      </c>
      <c r="C41" t="s">
        <v>21</v>
      </c>
      <c r="D41" s="1">
        <v>38832</v>
      </c>
      <c r="E41" s="1">
        <v>12505</v>
      </c>
      <c r="F41" s="3">
        <v>0.32200000000000001</v>
      </c>
      <c r="G41">
        <v>46</v>
      </c>
      <c r="H41" s="3">
        <v>3.7000000000000002E-3</v>
      </c>
      <c r="I41" s="16">
        <v>1.1999999999999999E-3</v>
      </c>
    </row>
    <row r="42" spans="1:9" x14ac:dyDescent="0.35">
      <c r="A42" s="14">
        <v>45666</v>
      </c>
      <c r="B42" t="s">
        <v>48</v>
      </c>
      <c r="C42" t="s">
        <v>20</v>
      </c>
      <c r="D42" s="1">
        <v>739478</v>
      </c>
      <c r="E42" s="1">
        <v>277070</v>
      </c>
      <c r="F42" s="3">
        <v>0.37469999999999998</v>
      </c>
      <c r="G42">
        <v>858</v>
      </c>
      <c r="H42" s="3">
        <v>3.0999999999999999E-3</v>
      </c>
      <c r="I42" s="16">
        <v>1.1999999999999999E-3</v>
      </c>
    </row>
    <row r="43" spans="1:9" x14ac:dyDescent="0.35">
      <c r="A43" s="14">
        <v>45666</v>
      </c>
      <c r="B43" t="s">
        <v>49</v>
      </c>
      <c r="C43" t="s">
        <v>21</v>
      </c>
      <c r="D43" s="1">
        <v>44894</v>
      </c>
      <c r="E43" s="1">
        <v>16380</v>
      </c>
      <c r="F43" s="3">
        <v>0.3649</v>
      </c>
      <c r="G43">
        <v>60</v>
      </c>
      <c r="H43" s="3">
        <v>3.7000000000000002E-3</v>
      </c>
      <c r="I43" s="16">
        <v>1.2999999999999999E-3</v>
      </c>
    </row>
    <row r="44" spans="1:9" x14ac:dyDescent="0.35">
      <c r="A44" s="14">
        <v>45666</v>
      </c>
      <c r="B44" t="s">
        <v>51</v>
      </c>
      <c r="C44" t="s">
        <v>17</v>
      </c>
      <c r="D44" s="1">
        <v>665632</v>
      </c>
      <c r="E44" s="1">
        <v>233333</v>
      </c>
      <c r="F44" s="3">
        <v>0.35049999999999998</v>
      </c>
      <c r="G44">
        <v>799</v>
      </c>
      <c r="H44" s="3">
        <v>3.3999999999999998E-3</v>
      </c>
      <c r="I44" s="16">
        <v>1.1999999999999999E-3</v>
      </c>
    </row>
    <row r="45" spans="1:9" x14ac:dyDescent="0.35">
      <c r="A45" s="14">
        <v>45666</v>
      </c>
      <c r="B45" t="s">
        <v>52</v>
      </c>
      <c r="C45" t="s">
        <v>18</v>
      </c>
      <c r="D45" s="1">
        <v>34968</v>
      </c>
      <c r="E45" s="1">
        <v>12204</v>
      </c>
      <c r="F45" s="3">
        <v>0.34899999999999998</v>
      </c>
      <c r="G45">
        <v>57</v>
      </c>
      <c r="H45" s="3">
        <v>4.7000000000000002E-3</v>
      </c>
      <c r="I45" s="16">
        <v>1.6000000000000001E-3</v>
      </c>
    </row>
    <row r="46" spans="1:9" x14ac:dyDescent="0.35">
      <c r="A46" s="14">
        <v>45666</v>
      </c>
      <c r="B46" t="s">
        <v>53</v>
      </c>
      <c r="C46" t="s">
        <v>17</v>
      </c>
      <c r="D46" s="1">
        <v>613383</v>
      </c>
      <c r="E46" s="1">
        <v>256841</v>
      </c>
      <c r="F46" s="3">
        <v>0.41870000000000002</v>
      </c>
      <c r="G46">
        <v>934</v>
      </c>
      <c r="H46" s="3">
        <v>3.5999999999999999E-3</v>
      </c>
      <c r="I46" s="16">
        <v>1.5E-3</v>
      </c>
    </row>
    <row r="47" spans="1:9" x14ac:dyDescent="0.35">
      <c r="A47" s="14">
        <v>45666</v>
      </c>
      <c r="B47" t="s">
        <v>55</v>
      </c>
      <c r="C47" t="s">
        <v>18</v>
      </c>
      <c r="D47" s="1">
        <v>35327</v>
      </c>
      <c r="E47" s="1">
        <v>15281</v>
      </c>
      <c r="F47" s="3">
        <v>0.43259999999999998</v>
      </c>
      <c r="G47">
        <v>74</v>
      </c>
      <c r="H47" s="3">
        <v>4.7999999999999996E-3</v>
      </c>
      <c r="I47" s="16">
        <v>2.0999999999999999E-3</v>
      </c>
    </row>
    <row r="48" spans="1:9" ht="16" thickBot="1" x14ac:dyDescent="0.4">
      <c r="A48" s="22" t="s">
        <v>13</v>
      </c>
      <c r="B48" s="4"/>
      <c r="C48" s="4"/>
      <c r="D48" s="19">
        <f>SUM(D40:D47)</f>
        <v>2725272</v>
      </c>
      <c r="E48" s="19">
        <f>SUM(E40:E47)</f>
        <v>1012634</v>
      </c>
      <c r="F48" s="20">
        <f>AVERAGE(F40:F47)</f>
        <v>0.36929999999999996</v>
      </c>
      <c r="G48" s="19">
        <f>SUM(G40:G47)</f>
        <v>3410</v>
      </c>
      <c r="H48" s="20">
        <f>AVERAGE(H40:H47)</f>
        <v>3.7624999999999998E-3</v>
      </c>
      <c r="I48" s="21">
        <f>AVERAGE(I40:I47)</f>
        <v>1.3999999999999998E-3</v>
      </c>
    </row>
  </sheetData>
  <mergeCells count="3">
    <mergeCell ref="A21:I21"/>
    <mergeCell ref="A29:I29"/>
    <mergeCell ref="A38:I38"/>
  </mergeCells>
  <pageMargins left="0.7" right="0.7" top="0.75" bottom="0.75" header="0.3" footer="0.3"/>
  <pageSetup orientation="portrait" r:id="rId1"/>
  <ignoredErrors>
    <ignoredError sqref="F20:G20 F28:G28 F48:G48 F37:G37" 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E989-7CF5-4FBB-8F02-DE28CF33E7B2}">
  <dimension ref="A1:I66"/>
  <sheetViews>
    <sheetView topLeftCell="A30" workbookViewId="0">
      <selection activeCell="A2" sqref="A2"/>
    </sheetView>
  </sheetViews>
  <sheetFormatPr defaultRowHeight="14.5" x14ac:dyDescent="0.35"/>
  <cols>
    <col min="1" max="1" width="11.90625" customWidth="1"/>
    <col min="2" max="2" width="69.1796875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45667</v>
      </c>
      <c r="B2" t="s">
        <v>77</v>
      </c>
      <c r="C2" t="s">
        <v>7</v>
      </c>
      <c r="D2" s="1">
        <v>279094</v>
      </c>
      <c r="E2" s="1">
        <v>108599</v>
      </c>
      <c r="F2" s="2">
        <v>0.38911262872007302</v>
      </c>
      <c r="G2" s="1">
        <v>1288</v>
      </c>
      <c r="H2" s="2">
        <v>1.1860146041860401E-2</v>
      </c>
      <c r="I2" s="2">
        <v>4.61493260335228E-3</v>
      </c>
    </row>
    <row r="3" spans="1:9" x14ac:dyDescent="0.35">
      <c r="A3" s="13">
        <v>45667</v>
      </c>
      <c r="B3" t="s">
        <v>77</v>
      </c>
      <c r="C3" t="s">
        <v>8</v>
      </c>
      <c r="D3" s="1">
        <v>827</v>
      </c>
      <c r="E3" s="1">
        <v>401</v>
      </c>
      <c r="F3" s="2">
        <v>0.48488512696493402</v>
      </c>
      <c r="G3" s="1">
        <v>20</v>
      </c>
      <c r="H3" s="2">
        <v>4.9875311720698298E-2</v>
      </c>
      <c r="I3" s="2">
        <v>2.4183796856106402E-2</v>
      </c>
    </row>
    <row r="4" spans="1:9" x14ac:dyDescent="0.35">
      <c r="A4" s="13">
        <v>45667</v>
      </c>
      <c r="B4" t="s">
        <v>78</v>
      </c>
      <c r="C4" t="s">
        <v>7</v>
      </c>
      <c r="D4" s="1">
        <v>5243648</v>
      </c>
      <c r="E4" s="1">
        <v>1504180</v>
      </c>
      <c r="F4" s="2">
        <v>0.28685754650197698</v>
      </c>
      <c r="G4" s="1">
        <v>24988</v>
      </c>
      <c r="H4" s="2">
        <v>1.66123735191267E-2</v>
      </c>
      <c r="I4" s="2">
        <v>4.7653847092711003E-3</v>
      </c>
    </row>
    <row r="5" spans="1:9" x14ac:dyDescent="0.35">
      <c r="A5" s="13">
        <v>45667</v>
      </c>
      <c r="B5" t="s">
        <v>78</v>
      </c>
      <c r="C5" t="s">
        <v>8</v>
      </c>
      <c r="D5" s="1">
        <v>337539</v>
      </c>
      <c r="E5" s="1">
        <v>96525</v>
      </c>
      <c r="F5" s="2">
        <v>0.28596695492965302</v>
      </c>
      <c r="G5" s="1">
        <v>1895</v>
      </c>
      <c r="H5" s="2">
        <v>1.9632219632219599E-2</v>
      </c>
      <c r="I5" s="2">
        <v>5.6141660667359903E-3</v>
      </c>
    </row>
    <row r="6" spans="1:9" x14ac:dyDescent="0.35">
      <c r="A6" s="13">
        <v>45669</v>
      </c>
      <c r="B6" t="s">
        <v>79</v>
      </c>
      <c r="C6" t="s">
        <v>7</v>
      </c>
      <c r="D6" s="1">
        <v>6720624</v>
      </c>
      <c r="E6" s="1">
        <v>2571311</v>
      </c>
      <c r="F6" s="2">
        <v>0.38260003832977402</v>
      </c>
      <c r="G6" s="1">
        <v>120459</v>
      </c>
      <c r="H6" s="2">
        <v>4.6847308629722299E-2</v>
      </c>
      <c r="I6" s="2">
        <v>1.7923782077378499E-2</v>
      </c>
    </row>
    <row r="7" spans="1:9" x14ac:dyDescent="0.35">
      <c r="A7" s="13">
        <v>45669</v>
      </c>
      <c r="B7" t="s">
        <v>79</v>
      </c>
      <c r="C7" t="s">
        <v>8</v>
      </c>
      <c r="D7" s="1">
        <v>432113</v>
      </c>
      <c r="E7" s="1">
        <v>165909</v>
      </c>
      <c r="F7" s="2">
        <v>0.383948180221377</v>
      </c>
      <c r="G7" s="1">
        <v>9993</v>
      </c>
      <c r="H7" s="2">
        <v>6.0231813825651397E-2</v>
      </c>
      <c r="I7" s="2">
        <v>2.31258953097917E-2</v>
      </c>
    </row>
    <row r="8" spans="1:9" x14ac:dyDescent="0.35">
      <c r="A8" s="13">
        <v>45670</v>
      </c>
      <c r="B8" t="s">
        <v>80</v>
      </c>
      <c r="C8" t="s">
        <v>7</v>
      </c>
      <c r="D8" s="1">
        <v>3338620</v>
      </c>
      <c r="E8" s="1">
        <v>1337346</v>
      </c>
      <c r="F8" s="2">
        <v>0.40056849836159902</v>
      </c>
      <c r="G8" s="1">
        <v>21166</v>
      </c>
      <c r="H8" s="2">
        <v>1.5826869037631201E-2</v>
      </c>
      <c r="I8" s="2">
        <v>6.3397451641696301E-3</v>
      </c>
    </row>
    <row r="9" spans="1:9" x14ac:dyDescent="0.35">
      <c r="A9" s="13">
        <v>45670</v>
      </c>
      <c r="B9" t="s">
        <v>80</v>
      </c>
      <c r="C9" t="s">
        <v>8</v>
      </c>
      <c r="D9" s="1">
        <v>170855</v>
      </c>
      <c r="E9" s="1">
        <v>72238</v>
      </c>
      <c r="F9" s="2">
        <v>0.42280296157560499</v>
      </c>
      <c r="G9" s="1">
        <v>1936</v>
      </c>
      <c r="H9" s="2">
        <v>2.6800299011600501E-2</v>
      </c>
      <c r="I9" s="2">
        <v>1.13312457932165E-2</v>
      </c>
    </row>
    <row r="10" spans="1:9" x14ac:dyDescent="0.35">
      <c r="A10" s="13">
        <v>45670</v>
      </c>
      <c r="B10" t="s">
        <v>81</v>
      </c>
      <c r="C10" t="s">
        <v>7</v>
      </c>
      <c r="D10" s="1">
        <v>2900</v>
      </c>
      <c r="E10" s="1">
        <v>1320</v>
      </c>
      <c r="F10" s="2">
        <v>0.45517241379310303</v>
      </c>
      <c r="G10" s="1">
        <v>216</v>
      </c>
      <c r="H10" s="2">
        <v>0.163636363636364</v>
      </c>
      <c r="I10" s="2">
        <v>7.4482758620689593E-2</v>
      </c>
    </row>
    <row r="11" spans="1:9" x14ac:dyDescent="0.35">
      <c r="A11" s="13">
        <v>45671</v>
      </c>
      <c r="B11" t="s">
        <v>82</v>
      </c>
      <c r="C11" t="s">
        <v>7</v>
      </c>
      <c r="D11" s="1">
        <v>1478481</v>
      </c>
      <c r="E11" s="1">
        <v>479256</v>
      </c>
      <c r="F11" s="2">
        <v>0.32415431784378701</v>
      </c>
      <c r="G11" s="1">
        <v>10042</v>
      </c>
      <c r="H11" s="2">
        <v>2.09533109653296E-2</v>
      </c>
      <c r="I11" s="2">
        <v>6.7921062225351596E-3</v>
      </c>
    </row>
    <row r="12" spans="1:9" x14ac:dyDescent="0.35">
      <c r="A12" s="13">
        <v>45671</v>
      </c>
      <c r="B12" t="s">
        <v>82</v>
      </c>
      <c r="C12" t="s">
        <v>8</v>
      </c>
      <c r="D12" s="1">
        <v>94699</v>
      </c>
      <c r="E12" s="1">
        <v>30685</v>
      </c>
      <c r="F12" s="2">
        <v>0.32402665286856203</v>
      </c>
      <c r="G12" s="1">
        <v>806</v>
      </c>
      <c r="H12" s="2">
        <v>2.6266905654228401E-2</v>
      </c>
      <c r="I12" s="2">
        <v>8.5111775203539596E-3</v>
      </c>
    </row>
    <row r="13" spans="1:9" x14ac:dyDescent="0.35">
      <c r="A13" s="13">
        <v>45671</v>
      </c>
      <c r="B13" t="s">
        <v>83</v>
      </c>
      <c r="C13" t="s">
        <v>7</v>
      </c>
      <c r="D13" s="1">
        <v>55524</v>
      </c>
      <c r="E13" s="1">
        <v>29651</v>
      </c>
      <c r="F13" s="2">
        <v>0.53402132411209602</v>
      </c>
      <c r="G13" s="1">
        <v>1111</v>
      </c>
      <c r="H13" s="2">
        <v>3.7469225321237101E-2</v>
      </c>
      <c r="I13" s="2">
        <v>2.0009365319501499E-2</v>
      </c>
    </row>
    <row r="14" spans="1:9" x14ac:dyDescent="0.35">
      <c r="A14" s="13">
        <v>45671</v>
      </c>
      <c r="B14" t="s">
        <v>83</v>
      </c>
      <c r="C14" t="s">
        <v>8</v>
      </c>
      <c r="D14" s="1">
        <v>2367</v>
      </c>
      <c r="E14" s="1">
        <v>1305</v>
      </c>
      <c r="F14" s="2">
        <v>0.55133079847908795</v>
      </c>
      <c r="G14" s="1">
        <v>58</v>
      </c>
      <c r="H14" s="2">
        <v>4.4444444444444398E-2</v>
      </c>
      <c r="I14" s="2">
        <v>2.4503591043514999E-2</v>
      </c>
    </row>
    <row r="15" spans="1:9" x14ac:dyDescent="0.35">
      <c r="A15" s="13">
        <v>45672</v>
      </c>
      <c r="B15" t="s">
        <v>84</v>
      </c>
      <c r="C15" t="s">
        <v>85</v>
      </c>
      <c r="D15" s="1">
        <v>13209</v>
      </c>
      <c r="E15" s="1">
        <v>3438</v>
      </c>
      <c r="F15" s="2">
        <v>0.260277083806496</v>
      </c>
      <c r="G15" s="1">
        <v>589</v>
      </c>
      <c r="H15" s="2">
        <v>0.171320535194881</v>
      </c>
      <c r="I15" s="2">
        <v>4.4590809296691701E-2</v>
      </c>
    </row>
    <row r="16" spans="1:9" x14ac:dyDescent="0.35">
      <c r="A16" s="13">
        <v>45672</v>
      </c>
      <c r="B16" t="s">
        <v>86</v>
      </c>
      <c r="C16" t="s">
        <v>87</v>
      </c>
      <c r="D16" s="1">
        <v>3350</v>
      </c>
      <c r="E16" s="1">
        <v>436</v>
      </c>
      <c r="F16" s="2">
        <v>0.13014925373134301</v>
      </c>
      <c r="G16" s="1">
        <v>88</v>
      </c>
      <c r="H16" s="2">
        <v>0.201834862385321</v>
      </c>
      <c r="I16" s="2">
        <v>2.6268656716417899E-2</v>
      </c>
    </row>
    <row r="17" spans="1:9" x14ac:dyDescent="0.35">
      <c r="A17" s="13">
        <v>45672</v>
      </c>
      <c r="B17" t="s">
        <v>88</v>
      </c>
      <c r="C17" t="s">
        <v>7</v>
      </c>
      <c r="D17" s="1">
        <v>381611</v>
      </c>
      <c r="E17" s="1">
        <v>135920</v>
      </c>
      <c r="F17" s="2">
        <v>0.35617421929661403</v>
      </c>
      <c r="G17" s="1">
        <v>1256</v>
      </c>
      <c r="H17" s="2">
        <v>9.2407298410829893E-3</v>
      </c>
      <c r="I17" s="2">
        <v>3.2913097368786502E-3</v>
      </c>
    </row>
    <row r="18" spans="1:9" x14ac:dyDescent="0.35">
      <c r="A18" s="13">
        <v>45672</v>
      </c>
      <c r="B18" t="s">
        <v>88</v>
      </c>
      <c r="C18" t="s">
        <v>8</v>
      </c>
      <c r="D18" s="1">
        <v>17287</v>
      </c>
      <c r="E18" s="1">
        <v>6519</v>
      </c>
      <c r="F18" s="2">
        <v>0.37710418233354498</v>
      </c>
      <c r="G18" s="1">
        <v>95</v>
      </c>
      <c r="H18" s="2">
        <v>1.45727872373063E-2</v>
      </c>
      <c r="I18" s="2">
        <v>5.4954590154451298E-3</v>
      </c>
    </row>
    <row r="19" spans="1:9" x14ac:dyDescent="0.35">
      <c r="A19" s="13">
        <v>45672</v>
      </c>
      <c r="B19" t="s">
        <v>89</v>
      </c>
      <c r="C19" t="s">
        <v>90</v>
      </c>
      <c r="D19" s="1">
        <v>152366</v>
      </c>
      <c r="E19" s="1">
        <v>68865</v>
      </c>
      <c r="F19" s="2">
        <v>0.45197091214575402</v>
      </c>
      <c r="G19" s="1">
        <v>944</v>
      </c>
      <c r="H19" s="2">
        <v>1.37079793799463E-2</v>
      </c>
      <c r="I19" s="2">
        <v>6.1956079440295096E-3</v>
      </c>
    </row>
    <row r="20" spans="1:9" x14ac:dyDescent="0.35">
      <c r="A20" s="13">
        <v>45672</v>
      </c>
      <c r="B20" t="s">
        <v>89</v>
      </c>
      <c r="C20" t="s">
        <v>91</v>
      </c>
      <c r="D20" s="1">
        <v>696</v>
      </c>
      <c r="E20" s="1">
        <v>308</v>
      </c>
      <c r="F20" s="2">
        <v>0.44252873563218398</v>
      </c>
      <c r="G20" s="1">
        <v>7</v>
      </c>
      <c r="H20" s="2">
        <v>2.27272727272727E-2</v>
      </c>
      <c r="I20" s="2">
        <v>1.00574712643678E-2</v>
      </c>
    </row>
    <row r="21" spans="1:9" x14ac:dyDescent="0.35">
      <c r="A21" s="13">
        <v>45673</v>
      </c>
      <c r="B21" t="s">
        <v>51</v>
      </c>
      <c r="C21" t="s">
        <v>92</v>
      </c>
      <c r="D21" s="1">
        <v>654297</v>
      </c>
      <c r="E21" s="1">
        <v>228368</v>
      </c>
      <c r="F21" s="3">
        <v>0.34899999999999998</v>
      </c>
      <c r="G21">
        <v>684</v>
      </c>
      <c r="H21" s="3">
        <v>3.0000000000000001E-3</v>
      </c>
      <c r="I21" s="3">
        <v>1E-3</v>
      </c>
    </row>
    <row r="22" spans="1:9" x14ac:dyDescent="0.35">
      <c r="A22" s="13">
        <v>45673</v>
      </c>
      <c r="B22" t="s">
        <v>52</v>
      </c>
      <c r="C22" t="s">
        <v>93</v>
      </c>
      <c r="D22" s="1">
        <v>34510</v>
      </c>
      <c r="E22" s="1">
        <v>12016</v>
      </c>
      <c r="F22" s="3">
        <v>0.34820000000000001</v>
      </c>
      <c r="G22">
        <v>39</v>
      </c>
      <c r="H22" s="3">
        <v>3.2000000000000002E-3</v>
      </c>
      <c r="I22" s="3">
        <v>1.1000000000000001E-3</v>
      </c>
    </row>
    <row r="23" spans="1:9" x14ac:dyDescent="0.35">
      <c r="A23" s="13">
        <v>45673</v>
      </c>
      <c r="B23" t="s">
        <v>94</v>
      </c>
      <c r="C23" t="s">
        <v>95</v>
      </c>
      <c r="D23" s="1">
        <v>611676</v>
      </c>
      <c r="E23" s="1">
        <v>237928</v>
      </c>
      <c r="F23" s="3">
        <v>0.38900000000000001</v>
      </c>
      <c r="G23">
        <v>887</v>
      </c>
      <c r="H23" s="3">
        <v>3.7000000000000002E-3</v>
      </c>
      <c r="I23" s="3">
        <v>1.5E-3</v>
      </c>
    </row>
    <row r="24" spans="1:9" x14ac:dyDescent="0.35">
      <c r="A24" s="13">
        <v>45673</v>
      </c>
      <c r="B24" t="s">
        <v>96</v>
      </c>
      <c r="C24" t="s">
        <v>97</v>
      </c>
      <c r="D24" s="1">
        <v>38068</v>
      </c>
      <c r="E24" s="1">
        <v>15333</v>
      </c>
      <c r="F24" s="3">
        <v>0.40279999999999999</v>
      </c>
      <c r="G24">
        <v>64</v>
      </c>
      <c r="H24" s="3">
        <v>4.1999999999999997E-3</v>
      </c>
      <c r="I24" s="3">
        <v>1.6999999999999999E-3</v>
      </c>
    </row>
    <row r="25" spans="1:9" x14ac:dyDescent="0.35">
      <c r="A25" s="13">
        <v>45673</v>
      </c>
      <c r="B25" t="s">
        <v>53</v>
      </c>
      <c r="C25" t="s">
        <v>98</v>
      </c>
      <c r="D25" s="1">
        <v>600988</v>
      </c>
      <c r="E25" s="1">
        <v>251180</v>
      </c>
      <c r="F25" s="3">
        <v>0.41789999999999999</v>
      </c>
      <c r="G25">
        <v>864</v>
      </c>
      <c r="H25" s="3">
        <v>3.3999999999999998E-3</v>
      </c>
      <c r="I25" s="3">
        <v>1.4E-3</v>
      </c>
    </row>
    <row r="26" spans="1:9" x14ac:dyDescent="0.35">
      <c r="A26" s="13">
        <v>45673</v>
      </c>
      <c r="B26" t="s">
        <v>55</v>
      </c>
      <c r="C26" t="s">
        <v>92</v>
      </c>
      <c r="D26" s="1">
        <v>34737</v>
      </c>
      <c r="E26" s="1">
        <v>15017</v>
      </c>
      <c r="F26" s="3">
        <v>0.43230000000000002</v>
      </c>
      <c r="G26">
        <v>73</v>
      </c>
      <c r="H26" s="3">
        <v>4.8999999999999998E-3</v>
      </c>
      <c r="I26" s="3">
        <v>2.0999999999999999E-3</v>
      </c>
    </row>
    <row r="27" spans="1:9" x14ac:dyDescent="0.35">
      <c r="A27" s="13">
        <v>45673</v>
      </c>
      <c r="B27" t="s">
        <v>99</v>
      </c>
      <c r="C27" t="s">
        <v>7</v>
      </c>
      <c r="D27" s="1">
        <v>3345798</v>
      </c>
      <c r="E27" s="1">
        <v>1290522</v>
      </c>
      <c r="F27" s="2">
        <v>0.38571426009579801</v>
      </c>
      <c r="G27" s="1">
        <v>18849</v>
      </c>
      <c r="H27" s="2">
        <v>1.46057176863316E-2</v>
      </c>
      <c r="I27" s="2">
        <v>5.6336335905514904E-3</v>
      </c>
    </row>
    <row r="28" spans="1:9" x14ac:dyDescent="0.35">
      <c r="A28" s="13">
        <v>45673</v>
      </c>
      <c r="B28" t="s">
        <v>99</v>
      </c>
      <c r="C28" t="s">
        <v>8</v>
      </c>
      <c r="D28" s="1">
        <v>171221</v>
      </c>
      <c r="E28" s="1">
        <v>70439</v>
      </c>
      <c r="F28" s="2">
        <v>0.411392294169524</v>
      </c>
      <c r="G28" s="1">
        <v>1759</v>
      </c>
      <c r="H28" s="2">
        <v>2.4971961555388399E-2</v>
      </c>
      <c r="I28" s="2">
        <v>1.02732725541844E-2</v>
      </c>
    </row>
    <row r="29" spans="1:9" ht="16" thickBot="1" x14ac:dyDescent="0.4">
      <c r="A29" s="23" t="s">
        <v>13</v>
      </c>
      <c r="D29" s="17">
        <f>SUM(D2:D28)</f>
        <v>24217105</v>
      </c>
      <c r="E29" s="17">
        <f>SUM(E2:E28)</f>
        <v>8735015</v>
      </c>
      <c r="F29" s="18">
        <f>AVERAGE(F2:F28)</f>
        <v>0.38444290310788459</v>
      </c>
      <c r="G29" s="17">
        <f>SUM(G2:G28)</f>
        <v>220176</v>
      </c>
      <c r="H29" s="18">
        <f>AVERAGE(H2:H28)</f>
        <v>3.8364386572134972E-2</v>
      </c>
      <c r="I29" s="18">
        <f>AVERAGE(I2:I28)</f>
        <v>1.306682101574755E-2</v>
      </c>
    </row>
    <row r="30" spans="1:9" ht="15" thickBot="1" x14ac:dyDescent="0.4">
      <c r="A30" s="121" t="s">
        <v>19</v>
      </c>
      <c r="B30" s="121"/>
      <c r="C30" s="121"/>
      <c r="D30" s="121"/>
      <c r="E30" s="121"/>
      <c r="F30" s="121"/>
      <c r="G30" s="121"/>
      <c r="H30" s="121"/>
      <c r="I30" s="121"/>
    </row>
    <row r="31" spans="1:9" ht="15.5" x14ac:dyDescent="0.35">
      <c r="A31" s="24" t="s">
        <v>9</v>
      </c>
      <c r="B31" s="25" t="s">
        <v>0</v>
      </c>
      <c r="C31" s="25" t="s">
        <v>16</v>
      </c>
      <c r="D31" s="25" t="s">
        <v>1</v>
      </c>
      <c r="E31" s="25" t="s">
        <v>2</v>
      </c>
      <c r="F31" s="25" t="s">
        <v>3</v>
      </c>
      <c r="G31" s="25" t="s">
        <v>4</v>
      </c>
      <c r="H31" s="25" t="s">
        <v>5</v>
      </c>
      <c r="I31" s="26" t="s">
        <v>6</v>
      </c>
    </row>
    <row r="32" spans="1:9" x14ac:dyDescent="0.35">
      <c r="A32" s="5" t="s">
        <v>12</v>
      </c>
      <c r="B32" s="6"/>
      <c r="C32" s="6"/>
      <c r="D32" s="6"/>
      <c r="E32" s="6"/>
      <c r="F32" s="6"/>
      <c r="G32" s="6"/>
      <c r="H32" s="6"/>
      <c r="I32" s="7"/>
    </row>
    <row r="33" spans="1:9" x14ac:dyDescent="0.35">
      <c r="A33" s="8">
        <v>45667</v>
      </c>
      <c r="B33" t="s">
        <v>78</v>
      </c>
      <c r="C33" t="s">
        <v>7</v>
      </c>
      <c r="D33" s="1">
        <v>5243648</v>
      </c>
      <c r="E33" s="1">
        <v>1504180</v>
      </c>
      <c r="F33" s="2">
        <v>0.28685754650197698</v>
      </c>
      <c r="G33" s="1">
        <v>24988</v>
      </c>
      <c r="H33" s="2">
        <v>1.66123735191267E-2</v>
      </c>
      <c r="I33" s="102">
        <v>4.7653847092711003E-3</v>
      </c>
    </row>
    <row r="34" spans="1:9" x14ac:dyDescent="0.35">
      <c r="A34" s="8">
        <v>45667</v>
      </c>
      <c r="B34" t="s">
        <v>78</v>
      </c>
      <c r="C34" t="s">
        <v>8</v>
      </c>
      <c r="D34" s="1">
        <v>337539</v>
      </c>
      <c r="E34" s="1">
        <v>96525</v>
      </c>
      <c r="F34" s="2">
        <v>0.28596695492965302</v>
      </c>
      <c r="G34" s="1">
        <v>1895</v>
      </c>
      <c r="H34" s="2">
        <v>1.9632219632219599E-2</v>
      </c>
      <c r="I34" s="102">
        <v>5.6141660667359903E-3</v>
      </c>
    </row>
    <row r="35" spans="1:9" x14ac:dyDescent="0.35">
      <c r="A35" s="8">
        <v>45671</v>
      </c>
      <c r="B35" t="s">
        <v>82</v>
      </c>
      <c r="C35" t="s">
        <v>7</v>
      </c>
      <c r="D35" s="1">
        <v>1478481</v>
      </c>
      <c r="E35" s="1">
        <v>479256</v>
      </c>
      <c r="F35" s="2">
        <v>0.32415431784378701</v>
      </c>
      <c r="G35" s="1">
        <v>10042</v>
      </c>
      <c r="H35" s="2">
        <v>2.09533109653296E-2</v>
      </c>
      <c r="I35" s="102">
        <v>6.7921062225351596E-3</v>
      </c>
    </row>
    <row r="36" spans="1:9" x14ac:dyDescent="0.35">
      <c r="A36" s="8">
        <v>45671</v>
      </c>
      <c r="B36" t="s">
        <v>82</v>
      </c>
      <c r="C36" t="s">
        <v>8</v>
      </c>
      <c r="D36" s="1">
        <v>94699</v>
      </c>
      <c r="E36" s="1">
        <v>30685</v>
      </c>
      <c r="F36" s="2">
        <v>0.32402665286856203</v>
      </c>
      <c r="G36" s="1">
        <v>806</v>
      </c>
      <c r="H36" s="2">
        <v>2.6266905654228401E-2</v>
      </c>
      <c r="I36" s="102">
        <v>8.5111775203539596E-3</v>
      </c>
    </row>
    <row r="37" spans="1:9" ht="16" thickBot="1" x14ac:dyDescent="0.4">
      <c r="A37" s="22" t="s">
        <v>13</v>
      </c>
      <c r="B37" s="4"/>
      <c r="C37" s="4"/>
      <c r="D37" s="19">
        <f>SUM(D33:D36)</f>
        <v>7154367</v>
      </c>
      <c r="E37" s="19">
        <f>SUM(E33:E36)</f>
        <v>2110646</v>
      </c>
      <c r="F37" s="20">
        <f>AVERAGE(F33:F36)</f>
        <v>0.30525136803599473</v>
      </c>
      <c r="G37" s="19">
        <f>SUM(G33:G36)</f>
        <v>37731</v>
      </c>
      <c r="H37" s="20">
        <f>AVERAGE(H33:H36)</f>
        <v>2.0866202442726075E-2</v>
      </c>
      <c r="I37" s="21">
        <f>AVERAGE(I33:I36)</f>
        <v>6.4207086297240522E-3</v>
      </c>
    </row>
    <row r="38" spans="1:9" ht="2" customHeight="1" thickBot="1" x14ac:dyDescent="0.4">
      <c r="A38" s="121"/>
      <c r="B38" s="121"/>
      <c r="C38" s="121"/>
      <c r="D38" s="121"/>
      <c r="E38" s="121"/>
      <c r="F38" s="121"/>
      <c r="G38" s="121"/>
      <c r="H38" s="121"/>
      <c r="I38" s="121"/>
    </row>
    <row r="39" spans="1:9" x14ac:dyDescent="0.35">
      <c r="A39" s="10" t="s">
        <v>216</v>
      </c>
      <c r="B39" s="11"/>
      <c r="C39" s="11"/>
      <c r="D39" s="11"/>
      <c r="E39" s="11"/>
      <c r="F39" s="11"/>
      <c r="G39" s="11"/>
      <c r="H39" s="11"/>
      <c r="I39" s="12"/>
    </row>
    <row r="40" spans="1:9" x14ac:dyDescent="0.35">
      <c r="A40" s="8">
        <v>45667</v>
      </c>
      <c r="B40" t="s">
        <v>77</v>
      </c>
      <c r="C40" t="s">
        <v>7</v>
      </c>
      <c r="D40" s="1">
        <v>279094</v>
      </c>
      <c r="E40" s="1">
        <v>108599</v>
      </c>
      <c r="F40" s="2">
        <v>0.38911262872007302</v>
      </c>
      <c r="G40" s="1">
        <v>1288</v>
      </c>
      <c r="H40" s="2">
        <v>1.1860146041860401E-2</v>
      </c>
      <c r="I40" s="102">
        <v>4.61493260335228E-3</v>
      </c>
    </row>
    <row r="41" spans="1:9" x14ac:dyDescent="0.35">
      <c r="A41" s="8">
        <v>45667</v>
      </c>
      <c r="B41" t="s">
        <v>77</v>
      </c>
      <c r="C41" t="s">
        <v>8</v>
      </c>
      <c r="D41" s="1">
        <v>827</v>
      </c>
      <c r="E41" s="1">
        <v>401</v>
      </c>
      <c r="F41" s="2">
        <v>0.48488512696493402</v>
      </c>
      <c r="G41" s="1">
        <v>20</v>
      </c>
      <c r="H41" s="2">
        <v>4.9875311720698298E-2</v>
      </c>
      <c r="I41" s="102">
        <v>2.4183796856106402E-2</v>
      </c>
    </row>
    <row r="42" spans="1:9" x14ac:dyDescent="0.35">
      <c r="A42" s="8">
        <v>45669</v>
      </c>
      <c r="B42" t="s">
        <v>79</v>
      </c>
      <c r="C42" t="s">
        <v>7</v>
      </c>
      <c r="D42" s="1">
        <v>6720624</v>
      </c>
      <c r="E42" s="1">
        <v>2571311</v>
      </c>
      <c r="F42" s="2">
        <v>0.38260003832977402</v>
      </c>
      <c r="G42" s="1">
        <v>120459</v>
      </c>
      <c r="H42" s="2">
        <v>4.6847308629722299E-2</v>
      </c>
      <c r="I42" s="102">
        <v>1.7923782077378499E-2</v>
      </c>
    </row>
    <row r="43" spans="1:9" x14ac:dyDescent="0.35">
      <c r="A43" s="8">
        <v>45669</v>
      </c>
      <c r="B43" t="s">
        <v>79</v>
      </c>
      <c r="C43" t="s">
        <v>8</v>
      </c>
      <c r="D43" s="1">
        <v>432113</v>
      </c>
      <c r="E43" s="1">
        <v>165909</v>
      </c>
      <c r="F43" s="2">
        <v>0.383948180221377</v>
      </c>
      <c r="G43" s="1">
        <v>9993</v>
      </c>
      <c r="H43" s="2">
        <v>6.0231813825651397E-2</v>
      </c>
      <c r="I43" s="102">
        <v>2.31258953097917E-2</v>
      </c>
    </row>
    <row r="44" spans="1:9" x14ac:dyDescent="0.35">
      <c r="A44" s="8">
        <v>45670</v>
      </c>
      <c r="B44" t="s">
        <v>80</v>
      </c>
      <c r="C44" t="s">
        <v>7</v>
      </c>
      <c r="D44" s="1">
        <v>3338620</v>
      </c>
      <c r="E44" s="1">
        <v>1337346</v>
      </c>
      <c r="F44" s="2">
        <v>0.40056849836159902</v>
      </c>
      <c r="G44" s="1">
        <v>21166</v>
      </c>
      <c r="H44" s="2">
        <v>1.5826869037631201E-2</v>
      </c>
      <c r="I44" s="102">
        <v>6.3397451641696301E-3</v>
      </c>
    </row>
    <row r="45" spans="1:9" x14ac:dyDescent="0.35">
      <c r="A45" s="8">
        <v>45670</v>
      </c>
      <c r="B45" t="s">
        <v>80</v>
      </c>
      <c r="C45" t="s">
        <v>8</v>
      </c>
      <c r="D45" s="1">
        <v>170855</v>
      </c>
      <c r="E45" s="1">
        <v>72238</v>
      </c>
      <c r="F45" s="2">
        <v>0.42280296157560499</v>
      </c>
      <c r="G45" s="1">
        <v>1936</v>
      </c>
      <c r="H45" s="2">
        <v>2.6800299011600501E-2</v>
      </c>
      <c r="I45" s="102">
        <v>1.13312457932165E-2</v>
      </c>
    </row>
    <row r="46" spans="1:9" x14ac:dyDescent="0.35">
      <c r="A46" s="8">
        <v>45670</v>
      </c>
      <c r="B46" t="s">
        <v>81</v>
      </c>
      <c r="C46" t="s">
        <v>7</v>
      </c>
      <c r="D46" s="1">
        <v>2900</v>
      </c>
      <c r="E46" s="1">
        <v>1320</v>
      </c>
      <c r="F46" s="2">
        <v>0.45517241379310303</v>
      </c>
      <c r="G46" s="1">
        <v>216</v>
      </c>
      <c r="H46" s="2">
        <v>0.163636363636364</v>
      </c>
      <c r="I46" s="102">
        <v>7.4482758620689593E-2</v>
      </c>
    </row>
    <row r="47" spans="1:9" x14ac:dyDescent="0.35">
      <c r="A47" s="8">
        <v>45671</v>
      </c>
      <c r="B47" t="s">
        <v>83</v>
      </c>
      <c r="C47" t="s">
        <v>7</v>
      </c>
      <c r="D47" s="1">
        <v>55524</v>
      </c>
      <c r="E47" s="1">
        <v>29651</v>
      </c>
      <c r="F47" s="2">
        <v>0.53402132411209602</v>
      </c>
      <c r="G47" s="1">
        <v>1111</v>
      </c>
      <c r="H47" s="2">
        <v>3.7469225321237101E-2</v>
      </c>
      <c r="I47" s="102">
        <v>2.0009365319501499E-2</v>
      </c>
    </row>
    <row r="48" spans="1:9" x14ac:dyDescent="0.35">
      <c r="A48" s="8">
        <v>45671</v>
      </c>
      <c r="B48" t="s">
        <v>83</v>
      </c>
      <c r="C48" t="s">
        <v>8</v>
      </c>
      <c r="D48" s="1">
        <v>2367</v>
      </c>
      <c r="E48" s="1">
        <v>1305</v>
      </c>
      <c r="F48" s="2">
        <v>0.55133079847908795</v>
      </c>
      <c r="G48" s="1">
        <v>58</v>
      </c>
      <c r="H48" s="2">
        <v>4.4444444444444398E-2</v>
      </c>
      <c r="I48" s="102">
        <v>2.4503591043514999E-2</v>
      </c>
    </row>
    <row r="49" spans="1:9" x14ac:dyDescent="0.35">
      <c r="A49" s="8">
        <v>45672</v>
      </c>
      <c r="B49" t="s">
        <v>84</v>
      </c>
      <c r="C49" t="s">
        <v>85</v>
      </c>
      <c r="D49" s="1">
        <v>13209</v>
      </c>
      <c r="E49" s="1">
        <v>3438</v>
      </c>
      <c r="F49" s="2">
        <v>0.260277083806496</v>
      </c>
      <c r="G49" s="1">
        <v>589</v>
      </c>
      <c r="H49" s="2">
        <v>0.171320535194881</v>
      </c>
      <c r="I49" s="102">
        <v>4.4590809296691701E-2</v>
      </c>
    </row>
    <row r="50" spans="1:9" x14ac:dyDescent="0.35">
      <c r="A50" s="8">
        <v>45672</v>
      </c>
      <c r="B50" t="s">
        <v>86</v>
      </c>
      <c r="C50" t="s">
        <v>87</v>
      </c>
      <c r="D50" s="1">
        <v>3350</v>
      </c>
      <c r="E50" s="1">
        <v>436</v>
      </c>
      <c r="F50" s="2">
        <v>0.13014925373134301</v>
      </c>
      <c r="G50" s="1">
        <v>88</v>
      </c>
      <c r="H50" s="2">
        <v>0.201834862385321</v>
      </c>
      <c r="I50" s="102">
        <v>2.6268656716417899E-2</v>
      </c>
    </row>
    <row r="51" spans="1:9" x14ac:dyDescent="0.35">
      <c r="A51" s="8">
        <v>45672</v>
      </c>
      <c r="B51" t="s">
        <v>88</v>
      </c>
      <c r="C51" t="s">
        <v>7</v>
      </c>
      <c r="D51" s="1">
        <v>381611</v>
      </c>
      <c r="E51" s="1">
        <v>135920</v>
      </c>
      <c r="F51" s="2">
        <v>0.35617421929661403</v>
      </c>
      <c r="G51" s="1">
        <v>1256</v>
      </c>
      <c r="H51" s="2">
        <v>9.2407298410829893E-3</v>
      </c>
      <c r="I51" s="102">
        <v>3.2913097368786502E-3</v>
      </c>
    </row>
    <row r="52" spans="1:9" x14ac:dyDescent="0.35">
      <c r="A52" s="8">
        <v>45672</v>
      </c>
      <c r="B52" t="s">
        <v>88</v>
      </c>
      <c r="C52" t="s">
        <v>8</v>
      </c>
      <c r="D52" s="1">
        <v>17287</v>
      </c>
      <c r="E52" s="1">
        <v>6519</v>
      </c>
      <c r="F52" s="2">
        <v>0.37710418233354498</v>
      </c>
      <c r="G52" s="1">
        <v>95</v>
      </c>
      <c r="H52" s="2">
        <v>1.45727872373063E-2</v>
      </c>
      <c r="I52" s="102">
        <v>5.4954590154451298E-3</v>
      </c>
    </row>
    <row r="53" spans="1:9" x14ac:dyDescent="0.35">
      <c r="A53" s="8">
        <v>45672</v>
      </c>
      <c r="B53" t="s">
        <v>89</v>
      </c>
      <c r="C53" t="s">
        <v>90</v>
      </c>
      <c r="D53" s="1">
        <v>152366</v>
      </c>
      <c r="E53" s="1">
        <v>68865</v>
      </c>
      <c r="F53" s="2">
        <v>0.45197091214575402</v>
      </c>
      <c r="G53" s="1">
        <v>944</v>
      </c>
      <c r="H53" s="2">
        <v>1.37079793799463E-2</v>
      </c>
      <c r="I53" s="102">
        <v>6.1956079440295096E-3</v>
      </c>
    </row>
    <row r="54" spans="1:9" x14ac:dyDescent="0.35">
      <c r="A54" s="8">
        <v>45672</v>
      </c>
      <c r="B54" t="s">
        <v>89</v>
      </c>
      <c r="C54" t="s">
        <v>91</v>
      </c>
      <c r="D54" s="1">
        <v>696</v>
      </c>
      <c r="E54" s="1">
        <v>308</v>
      </c>
      <c r="F54" s="2">
        <v>0.44252873563218398</v>
      </c>
      <c r="G54" s="1">
        <v>7</v>
      </c>
      <c r="H54" s="2">
        <v>2.27272727272727E-2</v>
      </c>
      <c r="I54" s="102">
        <v>1.00574712643678E-2</v>
      </c>
    </row>
    <row r="55" spans="1:9" x14ac:dyDescent="0.35">
      <c r="A55" s="8">
        <v>45673</v>
      </c>
      <c r="B55" t="s">
        <v>99</v>
      </c>
      <c r="C55" t="s">
        <v>7</v>
      </c>
      <c r="D55" s="1">
        <v>3345798</v>
      </c>
      <c r="E55" s="1">
        <v>1290522</v>
      </c>
      <c r="F55" s="2">
        <v>0.38571426009579801</v>
      </c>
      <c r="G55" s="1">
        <v>18849</v>
      </c>
      <c r="H55" s="2">
        <v>1.46057176863316E-2</v>
      </c>
      <c r="I55" s="102">
        <v>5.6336335905514904E-3</v>
      </c>
    </row>
    <row r="56" spans="1:9" x14ac:dyDescent="0.35">
      <c r="A56" s="8">
        <v>45673</v>
      </c>
      <c r="B56" t="s">
        <v>99</v>
      </c>
      <c r="C56" t="s">
        <v>8</v>
      </c>
      <c r="D56" s="1">
        <v>171221</v>
      </c>
      <c r="E56" s="1">
        <v>70439</v>
      </c>
      <c r="F56" s="2">
        <v>0.411392294169524</v>
      </c>
      <c r="G56" s="1">
        <v>1759</v>
      </c>
      <c r="H56" s="2">
        <v>2.4971961555388399E-2</v>
      </c>
      <c r="I56" s="102">
        <v>1.02732725541844E-2</v>
      </c>
    </row>
    <row r="57" spans="1:9" ht="16" thickBot="1" x14ac:dyDescent="0.4">
      <c r="A57" s="22" t="s">
        <v>13</v>
      </c>
      <c r="B57" s="4"/>
      <c r="C57" s="4"/>
      <c r="D57" s="19">
        <f>SUM(D40:D56)</f>
        <v>15088462</v>
      </c>
      <c r="E57" s="19">
        <f>SUM(E40:E56)</f>
        <v>5864527</v>
      </c>
      <c r="F57" s="20">
        <f>AVERAGE(F40:F56)</f>
        <v>0.40116193598640626</v>
      </c>
      <c r="G57" s="19">
        <f>SUM(G40:G56)</f>
        <v>179834</v>
      </c>
      <c r="H57" s="20">
        <f>AVERAGE(H40:H56)</f>
        <v>5.4704331039808221E-2</v>
      </c>
      <c r="I57" s="21">
        <f>AVERAGE(I40:I56)</f>
        <v>1.8724784288605158E-2</v>
      </c>
    </row>
    <row r="58" spans="1:9" ht="3" customHeight="1" thickBot="1" x14ac:dyDescent="0.4">
      <c r="A58" s="121"/>
      <c r="B58" s="121"/>
      <c r="C58" s="121"/>
      <c r="D58" s="121"/>
      <c r="E58" s="121"/>
      <c r="F58" s="121"/>
      <c r="G58" s="121"/>
      <c r="H58" s="121"/>
      <c r="I58" s="121"/>
    </row>
    <row r="59" spans="1:9" x14ac:dyDescent="0.35">
      <c r="A59" s="10" t="s">
        <v>11</v>
      </c>
      <c r="B59" s="11"/>
      <c r="C59" s="11"/>
      <c r="D59" s="11"/>
      <c r="E59" s="11"/>
      <c r="F59" s="11"/>
      <c r="G59" s="11"/>
      <c r="H59" s="11"/>
      <c r="I59" s="12"/>
    </row>
    <row r="60" spans="1:9" x14ac:dyDescent="0.35">
      <c r="A60" s="8">
        <v>45673</v>
      </c>
      <c r="B60" t="s">
        <v>51</v>
      </c>
      <c r="C60" t="s">
        <v>92</v>
      </c>
      <c r="D60" s="1">
        <v>654297</v>
      </c>
      <c r="E60" s="1">
        <v>228368</v>
      </c>
      <c r="F60" s="3">
        <v>0.34899999999999998</v>
      </c>
      <c r="G60">
        <v>684</v>
      </c>
      <c r="H60" s="3">
        <v>3.0000000000000001E-3</v>
      </c>
      <c r="I60" s="9">
        <v>1E-3</v>
      </c>
    </row>
    <row r="61" spans="1:9" x14ac:dyDescent="0.35">
      <c r="A61" s="8">
        <v>45673</v>
      </c>
      <c r="B61" t="s">
        <v>52</v>
      </c>
      <c r="C61" t="s">
        <v>93</v>
      </c>
      <c r="D61" s="1">
        <v>34510</v>
      </c>
      <c r="E61" s="1">
        <v>12016</v>
      </c>
      <c r="F61" s="3">
        <v>0.34820000000000001</v>
      </c>
      <c r="G61">
        <v>39</v>
      </c>
      <c r="H61" s="3">
        <v>3.2000000000000002E-3</v>
      </c>
      <c r="I61" s="9">
        <v>1.1000000000000001E-3</v>
      </c>
    </row>
    <row r="62" spans="1:9" x14ac:dyDescent="0.35">
      <c r="A62" s="8">
        <v>45673</v>
      </c>
      <c r="B62" t="s">
        <v>94</v>
      </c>
      <c r="C62" t="s">
        <v>95</v>
      </c>
      <c r="D62" s="1">
        <v>611676</v>
      </c>
      <c r="E62" s="1">
        <v>237928</v>
      </c>
      <c r="F62" s="3">
        <v>0.38900000000000001</v>
      </c>
      <c r="G62">
        <v>887</v>
      </c>
      <c r="H62" s="3">
        <v>3.7000000000000002E-3</v>
      </c>
      <c r="I62" s="9">
        <v>1.5E-3</v>
      </c>
    </row>
    <row r="63" spans="1:9" x14ac:dyDescent="0.35">
      <c r="A63" s="8">
        <v>45673</v>
      </c>
      <c r="B63" t="s">
        <v>96</v>
      </c>
      <c r="C63" t="s">
        <v>97</v>
      </c>
      <c r="D63" s="1">
        <v>38068</v>
      </c>
      <c r="E63" s="1">
        <v>15333</v>
      </c>
      <c r="F63" s="3">
        <v>0.40279999999999999</v>
      </c>
      <c r="G63">
        <v>64</v>
      </c>
      <c r="H63" s="3">
        <v>4.1999999999999997E-3</v>
      </c>
      <c r="I63" s="9">
        <v>1.6999999999999999E-3</v>
      </c>
    </row>
    <row r="64" spans="1:9" x14ac:dyDescent="0.35">
      <c r="A64" s="8">
        <v>45673</v>
      </c>
      <c r="B64" t="s">
        <v>53</v>
      </c>
      <c r="C64" t="s">
        <v>98</v>
      </c>
      <c r="D64" s="1">
        <v>600988</v>
      </c>
      <c r="E64" s="1">
        <v>251180</v>
      </c>
      <c r="F64" s="3">
        <v>0.41789999999999999</v>
      </c>
      <c r="G64">
        <v>864</v>
      </c>
      <c r="H64" s="3">
        <v>3.3999999999999998E-3</v>
      </c>
      <c r="I64" s="9">
        <v>1.4E-3</v>
      </c>
    </row>
    <row r="65" spans="1:9" x14ac:dyDescent="0.35">
      <c r="A65" s="8">
        <v>45673</v>
      </c>
      <c r="B65" t="s">
        <v>55</v>
      </c>
      <c r="C65" t="s">
        <v>92</v>
      </c>
      <c r="D65" s="1">
        <v>34737</v>
      </c>
      <c r="E65" s="1">
        <v>15017</v>
      </c>
      <c r="F65" s="3">
        <v>0.43230000000000002</v>
      </c>
      <c r="G65">
        <v>73</v>
      </c>
      <c r="H65" s="3">
        <v>4.8999999999999998E-3</v>
      </c>
      <c r="I65" s="9">
        <v>2.0999999999999999E-3</v>
      </c>
    </row>
    <row r="66" spans="1:9" ht="16" thickBot="1" x14ac:dyDescent="0.4">
      <c r="A66" s="22" t="s">
        <v>13</v>
      </c>
      <c r="B66" s="4"/>
      <c r="C66" s="4"/>
      <c r="D66" s="19">
        <f>SUM(D60:D65)</f>
        <v>1974276</v>
      </c>
      <c r="E66" s="19">
        <f>SUM(E60:E65)</f>
        <v>759842</v>
      </c>
      <c r="F66" s="20">
        <f>AVERAGE(F60:F65)</f>
        <v>0.38986666666666664</v>
      </c>
      <c r="G66" s="19">
        <f>SUM(G60:G65)</f>
        <v>2611</v>
      </c>
      <c r="H66" s="20">
        <f>AVERAGE(H60:H65)</f>
        <v>3.7333333333333337E-3</v>
      </c>
      <c r="I66" s="21">
        <f>AVERAGE(I60:I65)</f>
        <v>1.4666666666666667E-3</v>
      </c>
    </row>
  </sheetData>
  <mergeCells count="3">
    <mergeCell ref="A30:I30"/>
    <mergeCell ref="A38:I38"/>
    <mergeCell ref="A58:I58"/>
  </mergeCells>
  <pageMargins left="0.7" right="0.7" top="0.75" bottom="0.75" header="0.3" footer="0.3"/>
  <ignoredErrors>
    <ignoredError sqref="F29:G29 F37:G37 F57:G57 F66:G66" formula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DCD4-797D-4314-B7DA-02C95C5931A8}">
  <dimension ref="A1:I58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88.72656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45674</v>
      </c>
      <c r="B2" t="s">
        <v>106</v>
      </c>
      <c r="C2" t="s">
        <v>7</v>
      </c>
      <c r="D2" s="1">
        <v>4693984</v>
      </c>
      <c r="E2" s="1">
        <v>1223203</v>
      </c>
      <c r="F2" s="2">
        <v>0.26058951202219699</v>
      </c>
      <c r="G2" s="1">
        <v>29380</v>
      </c>
      <c r="H2" s="2">
        <v>2.4018907736491801E-2</v>
      </c>
      <c r="I2" s="2">
        <v>6.2590754463585701E-3</v>
      </c>
    </row>
    <row r="3" spans="1:9" x14ac:dyDescent="0.35">
      <c r="A3" s="13">
        <v>45674</v>
      </c>
      <c r="B3" t="s">
        <v>106</v>
      </c>
      <c r="C3" t="s">
        <v>8</v>
      </c>
      <c r="D3" s="1">
        <v>310931</v>
      </c>
      <c r="E3" s="1">
        <v>87836</v>
      </c>
      <c r="F3" s="2">
        <v>0.282493543583625</v>
      </c>
      <c r="G3" s="1">
        <v>2333</v>
      </c>
      <c r="H3" s="2">
        <v>2.65608634272963E-2</v>
      </c>
      <c r="I3" s="2">
        <v>7.5032724302176402E-3</v>
      </c>
    </row>
    <row r="4" spans="1:9" x14ac:dyDescent="0.35">
      <c r="A4" s="13">
        <v>45674</v>
      </c>
      <c r="B4" t="s">
        <v>107</v>
      </c>
      <c r="C4" t="s">
        <v>7</v>
      </c>
      <c r="D4" s="1">
        <v>1888566</v>
      </c>
      <c r="E4" s="1">
        <v>705386</v>
      </c>
      <c r="F4" s="2">
        <v>0.37350349418553502</v>
      </c>
      <c r="G4" s="1">
        <v>6144</v>
      </c>
      <c r="H4" s="2">
        <v>8.71012466932998E-3</v>
      </c>
      <c r="I4" s="2">
        <v>3.2532619987863799E-3</v>
      </c>
    </row>
    <row r="5" spans="1:9" x14ac:dyDescent="0.35">
      <c r="A5" s="13">
        <v>45674</v>
      </c>
      <c r="B5" t="s">
        <v>107</v>
      </c>
      <c r="C5" t="s">
        <v>8</v>
      </c>
      <c r="D5" s="1">
        <v>108263</v>
      </c>
      <c r="E5" s="1">
        <v>42617</v>
      </c>
      <c r="F5" s="2">
        <v>0.39364325762264102</v>
      </c>
      <c r="G5" s="1">
        <v>588</v>
      </c>
      <c r="H5" s="2">
        <v>1.37973109322571E-2</v>
      </c>
      <c r="I5" s="2">
        <v>5.4312184218061601E-3</v>
      </c>
    </row>
    <row r="6" spans="1:9" x14ac:dyDescent="0.35">
      <c r="A6" s="13">
        <v>45674</v>
      </c>
      <c r="B6" t="s">
        <v>108</v>
      </c>
      <c r="C6" t="s">
        <v>7</v>
      </c>
      <c r="D6" s="1">
        <v>12611</v>
      </c>
      <c r="E6" s="1">
        <v>6227</v>
      </c>
      <c r="F6" s="2">
        <v>0.49377527555308898</v>
      </c>
      <c r="G6" s="1">
        <v>843</v>
      </c>
      <c r="H6" s="2">
        <v>0.13537819174562399</v>
      </c>
      <c r="I6" s="2">
        <v>6.6846403933074297E-2</v>
      </c>
    </row>
    <row r="7" spans="1:9" x14ac:dyDescent="0.35">
      <c r="A7" s="13">
        <v>45674</v>
      </c>
      <c r="B7" t="s">
        <v>109</v>
      </c>
      <c r="C7" t="s">
        <v>110</v>
      </c>
      <c r="D7" s="1">
        <v>15901</v>
      </c>
      <c r="E7" s="1">
        <v>7020</v>
      </c>
      <c r="F7" s="2">
        <v>0.44148166781963399</v>
      </c>
      <c r="G7" s="1">
        <v>56</v>
      </c>
      <c r="H7" s="2">
        <v>7.9772079772079795E-3</v>
      </c>
      <c r="I7" s="2">
        <v>3.5217910823218701E-3</v>
      </c>
    </row>
    <row r="8" spans="1:9" x14ac:dyDescent="0.35">
      <c r="A8" s="13">
        <v>45674</v>
      </c>
      <c r="B8" t="s">
        <v>109</v>
      </c>
      <c r="C8" t="s">
        <v>90</v>
      </c>
      <c r="D8" s="1">
        <v>302241</v>
      </c>
      <c r="E8" s="1">
        <v>133114</v>
      </c>
      <c r="F8" s="2">
        <v>0.440423370753802</v>
      </c>
      <c r="G8" s="1">
        <v>853</v>
      </c>
      <c r="H8" s="2">
        <v>6.4080412278197602E-3</v>
      </c>
      <c r="I8" s="2">
        <v>2.82225111748572E-3</v>
      </c>
    </row>
    <row r="9" spans="1:9" x14ac:dyDescent="0.35">
      <c r="A9" s="13">
        <v>45674</v>
      </c>
      <c r="B9" t="s">
        <v>109</v>
      </c>
      <c r="C9" t="s">
        <v>111</v>
      </c>
      <c r="D9" s="1">
        <v>909</v>
      </c>
      <c r="E9" s="1">
        <v>391</v>
      </c>
      <c r="F9" s="2">
        <v>0.43014301430142998</v>
      </c>
      <c r="G9" s="1">
        <v>3</v>
      </c>
      <c r="H9" s="2">
        <v>7.6726342710997401E-3</v>
      </c>
      <c r="I9" s="2">
        <v>3.3003300330032999E-3</v>
      </c>
    </row>
    <row r="10" spans="1:9" x14ac:dyDescent="0.35">
      <c r="A10" s="13">
        <v>45674</v>
      </c>
      <c r="B10" t="s">
        <v>109</v>
      </c>
      <c r="C10" t="s">
        <v>91</v>
      </c>
      <c r="D10" s="1">
        <v>17039</v>
      </c>
      <c r="E10" s="1">
        <v>7725</v>
      </c>
      <c r="F10" s="2">
        <v>0.45337167674159301</v>
      </c>
      <c r="G10" s="1">
        <v>65</v>
      </c>
      <c r="H10" s="2">
        <v>8.4142394822006496E-3</v>
      </c>
      <c r="I10" s="2">
        <v>3.81477786255062E-3</v>
      </c>
    </row>
    <row r="11" spans="1:9" x14ac:dyDescent="0.35">
      <c r="A11" s="13">
        <v>45675</v>
      </c>
      <c r="B11" t="s">
        <v>112</v>
      </c>
      <c r="C11" t="s">
        <v>7</v>
      </c>
      <c r="D11" s="1">
        <v>40966</v>
      </c>
      <c r="E11" s="1">
        <v>15229</v>
      </c>
      <c r="F11" s="2">
        <v>0.37174730264121503</v>
      </c>
      <c r="G11" s="1">
        <v>763</v>
      </c>
      <c r="H11" s="2">
        <v>5.0101779499638899E-2</v>
      </c>
      <c r="I11" s="2">
        <v>1.8625201386515602E-2</v>
      </c>
    </row>
    <row r="12" spans="1:9" x14ac:dyDescent="0.35">
      <c r="A12" s="13">
        <v>45675</v>
      </c>
      <c r="B12" t="s">
        <v>113</v>
      </c>
      <c r="C12" t="s">
        <v>7</v>
      </c>
      <c r="D12" s="1">
        <v>1394778</v>
      </c>
      <c r="E12" s="1">
        <v>516690</v>
      </c>
      <c r="F12" s="2">
        <v>0.37044604947884202</v>
      </c>
      <c r="G12" s="1">
        <v>7908</v>
      </c>
      <c r="H12" s="2">
        <v>1.53051152528595E-2</v>
      </c>
      <c r="I12" s="2">
        <v>5.6697194822401802E-3</v>
      </c>
    </row>
    <row r="13" spans="1:9" x14ac:dyDescent="0.35">
      <c r="A13" s="13">
        <v>45675</v>
      </c>
      <c r="B13" t="s">
        <v>113</v>
      </c>
      <c r="C13" t="s">
        <v>8</v>
      </c>
      <c r="D13" s="1">
        <v>102985</v>
      </c>
      <c r="E13" s="1">
        <v>32646</v>
      </c>
      <c r="F13" s="2">
        <v>0.31699762101276902</v>
      </c>
      <c r="G13" s="1">
        <v>805</v>
      </c>
      <c r="H13" s="2">
        <v>2.4658457391410898E-2</v>
      </c>
      <c r="I13" s="2">
        <v>7.8166723309219793E-3</v>
      </c>
    </row>
    <row r="14" spans="1:9" x14ac:dyDescent="0.35">
      <c r="A14" s="13">
        <v>45676</v>
      </c>
      <c r="B14" t="s">
        <v>114</v>
      </c>
      <c r="C14" t="s">
        <v>7</v>
      </c>
      <c r="D14" s="1">
        <v>6693078</v>
      </c>
      <c r="E14" s="1">
        <v>2494912</v>
      </c>
      <c r="F14" s="2">
        <v>0.37276003656314799</v>
      </c>
      <c r="G14" s="1">
        <v>75311</v>
      </c>
      <c r="H14" s="2">
        <v>3.01858342097838E-2</v>
      </c>
      <c r="I14" s="2">
        <v>1.12520726637281E-2</v>
      </c>
    </row>
    <row r="15" spans="1:9" x14ac:dyDescent="0.35">
      <c r="A15" s="13">
        <v>45676</v>
      </c>
      <c r="B15" t="s">
        <v>114</v>
      </c>
      <c r="C15" t="s">
        <v>8</v>
      </c>
      <c r="D15" s="1">
        <v>431034</v>
      </c>
      <c r="E15" s="1">
        <v>156979</v>
      </c>
      <c r="F15" s="2">
        <v>0.36419168789468997</v>
      </c>
      <c r="G15" s="1">
        <v>6425</v>
      </c>
      <c r="H15" s="2">
        <v>4.0929041464144902E-2</v>
      </c>
      <c r="I15" s="2">
        <v>1.49060166947387E-2</v>
      </c>
    </row>
    <row r="16" spans="1:9" x14ac:dyDescent="0.35">
      <c r="A16" s="13">
        <v>45677</v>
      </c>
      <c r="B16" t="s">
        <v>115</v>
      </c>
      <c r="C16" t="s">
        <v>7</v>
      </c>
      <c r="D16" s="1">
        <v>800294</v>
      </c>
      <c r="E16" s="1">
        <v>334333</v>
      </c>
      <c r="F16" s="2">
        <v>0.41776272219959198</v>
      </c>
      <c r="G16" s="1">
        <v>4935</v>
      </c>
      <c r="H16" s="2">
        <v>1.47607325630434E-2</v>
      </c>
      <c r="I16" s="2">
        <v>6.1664838171971801E-3</v>
      </c>
    </row>
    <row r="17" spans="1:9" x14ac:dyDescent="0.35">
      <c r="A17" s="13">
        <v>45677</v>
      </c>
      <c r="B17" t="s">
        <v>115</v>
      </c>
      <c r="C17" t="s">
        <v>8</v>
      </c>
      <c r="D17" s="1">
        <v>48547</v>
      </c>
      <c r="E17" s="1">
        <v>21104</v>
      </c>
      <c r="F17" s="2">
        <v>0.43471275259027298</v>
      </c>
      <c r="G17" s="1">
        <v>396</v>
      </c>
      <c r="H17" s="2">
        <v>1.87642153146323E-2</v>
      </c>
      <c r="I17" s="2">
        <v>8.1570436896203705E-3</v>
      </c>
    </row>
    <row r="18" spans="1:9" x14ac:dyDescent="0.35">
      <c r="A18" s="13">
        <v>45678</v>
      </c>
      <c r="B18" t="s">
        <v>116</v>
      </c>
      <c r="C18" t="s">
        <v>7</v>
      </c>
      <c r="D18" s="1">
        <v>1499658</v>
      </c>
      <c r="E18" s="1">
        <v>483034</v>
      </c>
      <c r="F18" s="2">
        <v>0.32209610457851101</v>
      </c>
      <c r="G18" s="1">
        <v>12225</v>
      </c>
      <c r="H18" s="2">
        <v>2.53087774359569E-2</v>
      </c>
      <c r="I18" s="2">
        <v>8.1518586237662206E-3</v>
      </c>
    </row>
    <row r="19" spans="1:9" x14ac:dyDescent="0.35">
      <c r="A19" s="13">
        <v>45678</v>
      </c>
      <c r="B19" t="s">
        <v>116</v>
      </c>
      <c r="C19" t="s">
        <v>8</v>
      </c>
      <c r="D19" s="1">
        <v>95396</v>
      </c>
      <c r="E19" s="1">
        <v>30866</v>
      </c>
      <c r="F19" s="2">
        <v>0.32355654325128902</v>
      </c>
      <c r="G19" s="1">
        <v>909</v>
      </c>
      <c r="H19" s="2">
        <v>2.9449880127000599E-2</v>
      </c>
      <c r="I19" s="2">
        <v>9.5287014130571498E-3</v>
      </c>
    </row>
    <row r="20" spans="1:9" x14ac:dyDescent="0.35">
      <c r="A20" s="13">
        <v>45679</v>
      </c>
      <c r="B20" t="s">
        <v>117</v>
      </c>
      <c r="C20" t="s">
        <v>7</v>
      </c>
      <c r="D20" s="1">
        <v>216166</v>
      </c>
      <c r="E20" s="1">
        <v>73254</v>
      </c>
      <c r="F20" s="2">
        <v>0.33887845452106302</v>
      </c>
      <c r="G20" s="1">
        <v>555</v>
      </c>
      <c r="H20" s="2">
        <v>7.5763780817429804E-3</v>
      </c>
      <c r="I20" s="2">
        <v>2.56747129520831E-3</v>
      </c>
    </row>
    <row r="21" spans="1:9" x14ac:dyDescent="0.35">
      <c r="A21" s="13">
        <v>45680</v>
      </c>
      <c r="B21" t="s">
        <v>118</v>
      </c>
      <c r="C21" t="s">
        <v>17</v>
      </c>
      <c r="D21" s="1">
        <v>560534</v>
      </c>
      <c r="E21" s="1">
        <v>221017</v>
      </c>
      <c r="F21" s="3">
        <v>0.39429999999999998</v>
      </c>
      <c r="G21">
        <v>650</v>
      </c>
      <c r="H21" s="3">
        <v>2.8999999999999998E-3</v>
      </c>
      <c r="I21" s="3">
        <v>1.1999999999999999E-3</v>
      </c>
    </row>
    <row r="22" spans="1:9" x14ac:dyDescent="0.35">
      <c r="A22" s="13">
        <v>45680</v>
      </c>
      <c r="B22" t="s">
        <v>119</v>
      </c>
      <c r="C22" t="s">
        <v>18</v>
      </c>
      <c r="D22" s="1">
        <v>34936</v>
      </c>
      <c r="E22" s="1">
        <v>14206</v>
      </c>
      <c r="F22" s="3">
        <v>0.40660000000000002</v>
      </c>
      <c r="G22">
        <v>52</v>
      </c>
      <c r="H22" s="3">
        <v>3.7000000000000002E-3</v>
      </c>
      <c r="I22" s="3">
        <v>1.5E-3</v>
      </c>
    </row>
    <row r="23" spans="1:9" x14ac:dyDescent="0.35">
      <c r="A23" s="13">
        <v>45680</v>
      </c>
      <c r="B23" t="s">
        <v>120</v>
      </c>
      <c r="C23" t="s">
        <v>7</v>
      </c>
      <c r="D23" s="1">
        <v>240618</v>
      </c>
      <c r="E23" s="1">
        <v>94883</v>
      </c>
      <c r="F23" s="2">
        <v>0.39433043246972399</v>
      </c>
      <c r="G23" s="1">
        <v>8635</v>
      </c>
      <c r="H23" s="2">
        <v>9.1006818924359495E-2</v>
      </c>
      <c r="I23" s="2">
        <v>3.5886758264136502E-2</v>
      </c>
    </row>
    <row r="24" spans="1:9" x14ac:dyDescent="0.35">
      <c r="A24" s="13">
        <v>45680</v>
      </c>
      <c r="B24" t="s">
        <v>120</v>
      </c>
      <c r="C24" t="s">
        <v>8</v>
      </c>
      <c r="D24" s="1">
        <v>67080</v>
      </c>
      <c r="E24" s="1">
        <v>27195</v>
      </c>
      <c r="F24" s="2">
        <v>0.40541144901609999</v>
      </c>
      <c r="G24" s="1">
        <v>3185</v>
      </c>
      <c r="H24" s="2">
        <v>0.117117117117117</v>
      </c>
      <c r="I24" s="2">
        <v>4.7480620155038802E-2</v>
      </c>
    </row>
    <row r="25" spans="1:9" ht="16" thickBot="1" x14ac:dyDescent="0.4">
      <c r="A25" s="23" t="s">
        <v>13</v>
      </c>
      <c r="D25" s="17">
        <f>SUM(D2:D24)</f>
        <v>19576515</v>
      </c>
      <c r="E25" s="17">
        <f>SUM(E2:E24)</f>
        <v>6729867</v>
      </c>
      <c r="F25" s="18">
        <f>AVERAGE(F2:F24)</f>
        <v>0.38274852038264184</v>
      </c>
      <c r="G25" s="17">
        <f>SUM(G2:G24)</f>
        <v>163019</v>
      </c>
      <c r="H25" s="18">
        <f>AVERAGE(H2:H24)</f>
        <v>3.0900072558739909E-2</v>
      </c>
      <c r="I25" s="18">
        <f>AVERAGE(I2:I24)</f>
        <v>1.2246130527903201E-2</v>
      </c>
    </row>
    <row r="26" spans="1:9" ht="15" thickBot="1" x14ac:dyDescent="0.4">
      <c r="A26" s="121" t="s">
        <v>19</v>
      </c>
      <c r="B26" s="121"/>
      <c r="C26" s="121"/>
      <c r="D26" s="121"/>
      <c r="E26" s="121"/>
      <c r="F26" s="121"/>
      <c r="G26" s="121"/>
      <c r="H26" s="121"/>
      <c r="I26" s="121"/>
    </row>
    <row r="27" spans="1:9" ht="15.5" x14ac:dyDescent="0.35">
      <c r="A27" s="24" t="s">
        <v>9</v>
      </c>
      <c r="B27" s="25" t="s">
        <v>0</v>
      </c>
      <c r="C27" s="25" t="s">
        <v>16</v>
      </c>
      <c r="D27" s="25" t="s">
        <v>1</v>
      </c>
      <c r="E27" s="25" t="s">
        <v>2</v>
      </c>
      <c r="F27" s="25" t="s">
        <v>3</v>
      </c>
      <c r="G27" s="25" t="s">
        <v>4</v>
      </c>
      <c r="H27" s="25" t="s">
        <v>5</v>
      </c>
      <c r="I27" s="26" t="s">
        <v>6</v>
      </c>
    </row>
    <row r="28" spans="1:9" x14ac:dyDescent="0.35">
      <c r="A28" s="5" t="s">
        <v>12</v>
      </c>
      <c r="B28" s="6"/>
      <c r="C28" s="6"/>
      <c r="D28" s="6"/>
      <c r="E28" s="6"/>
      <c r="F28" s="6"/>
      <c r="G28" s="6"/>
      <c r="H28" s="6"/>
      <c r="I28" s="7"/>
    </row>
    <row r="29" spans="1:9" x14ac:dyDescent="0.35">
      <c r="A29" s="8">
        <v>45674</v>
      </c>
      <c r="B29" t="s">
        <v>106</v>
      </c>
      <c r="C29" t="s">
        <v>7</v>
      </c>
      <c r="D29" s="1">
        <v>4693984</v>
      </c>
      <c r="E29" s="1">
        <v>1223203</v>
      </c>
      <c r="F29" s="2">
        <v>0.26058951202219699</v>
      </c>
      <c r="G29" s="1">
        <v>29380</v>
      </c>
      <c r="H29" s="2">
        <v>2.4018907736491801E-2</v>
      </c>
      <c r="I29" s="102">
        <v>6.2590754463585701E-3</v>
      </c>
    </row>
    <row r="30" spans="1:9" x14ac:dyDescent="0.35">
      <c r="A30" s="8">
        <v>45674</v>
      </c>
      <c r="B30" t="s">
        <v>106</v>
      </c>
      <c r="C30" t="s">
        <v>8</v>
      </c>
      <c r="D30" s="1">
        <v>310931</v>
      </c>
      <c r="E30" s="1">
        <v>87836</v>
      </c>
      <c r="F30" s="2">
        <v>0.282493543583625</v>
      </c>
      <c r="G30" s="1">
        <v>2333</v>
      </c>
      <c r="H30" s="2">
        <v>2.65608634272963E-2</v>
      </c>
      <c r="I30" s="102">
        <v>7.5032724302176402E-3</v>
      </c>
    </row>
    <row r="31" spans="1:9" x14ac:dyDescent="0.35">
      <c r="A31" s="8">
        <v>45678</v>
      </c>
      <c r="B31" t="s">
        <v>116</v>
      </c>
      <c r="C31" t="s">
        <v>7</v>
      </c>
      <c r="D31" s="1">
        <v>1499658</v>
      </c>
      <c r="E31" s="1">
        <v>483034</v>
      </c>
      <c r="F31" s="2">
        <v>0.32209610457851101</v>
      </c>
      <c r="G31" s="1">
        <v>12225</v>
      </c>
      <c r="H31" s="2">
        <v>2.53087774359569E-2</v>
      </c>
      <c r="I31" s="102">
        <v>8.1518586237662206E-3</v>
      </c>
    </row>
    <row r="32" spans="1:9" x14ac:dyDescent="0.35">
      <c r="A32" s="8">
        <v>45678</v>
      </c>
      <c r="B32" t="s">
        <v>116</v>
      </c>
      <c r="C32" t="s">
        <v>8</v>
      </c>
      <c r="D32" s="1">
        <v>95396</v>
      </c>
      <c r="E32" s="1">
        <v>30866</v>
      </c>
      <c r="F32" s="2">
        <v>0.32355654325128902</v>
      </c>
      <c r="G32" s="1">
        <v>909</v>
      </c>
      <c r="H32" s="2">
        <v>2.9449880127000599E-2</v>
      </c>
      <c r="I32" s="102">
        <v>9.5287014130571498E-3</v>
      </c>
    </row>
    <row r="33" spans="1:9" ht="16" thickBot="1" x14ac:dyDescent="0.4">
      <c r="A33" s="22" t="s">
        <v>13</v>
      </c>
      <c r="B33" s="4"/>
      <c r="C33" s="4"/>
      <c r="D33" s="19">
        <f>SUM(D29:D32)</f>
        <v>6599969</v>
      </c>
      <c r="E33" s="19">
        <f>SUM(E29:E32)</f>
        <v>1824939</v>
      </c>
      <c r="F33" s="20">
        <f>AVERAGE(F29:F32)</f>
        <v>0.29718392585890552</v>
      </c>
      <c r="G33" s="19">
        <f>SUM(G29:G32)</f>
        <v>44847</v>
      </c>
      <c r="H33" s="20">
        <f>AVERAGE(H29:H32)</f>
        <v>2.6334607181686401E-2</v>
      </c>
      <c r="I33" s="21">
        <f>AVERAGE(I29:I32)</f>
        <v>7.8607269783498961E-3</v>
      </c>
    </row>
    <row r="34" spans="1:9" ht="3" customHeight="1" thickBot="1" x14ac:dyDescent="0.4">
      <c r="A34" s="121"/>
      <c r="B34" s="121"/>
      <c r="C34" s="121"/>
      <c r="D34" s="121"/>
      <c r="E34" s="121"/>
      <c r="F34" s="121"/>
      <c r="G34" s="121"/>
      <c r="H34" s="121"/>
      <c r="I34" s="121"/>
    </row>
    <row r="35" spans="1:9" x14ac:dyDescent="0.35">
      <c r="A35" s="10" t="s">
        <v>216</v>
      </c>
      <c r="B35" s="11"/>
      <c r="C35" s="11"/>
      <c r="D35" s="11"/>
      <c r="E35" s="11"/>
      <c r="F35" s="11"/>
      <c r="G35" s="11"/>
      <c r="H35" s="11"/>
      <c r="I35" s="12"/>
    </row>
    <row r="36" spans="1:9" x14ac:dyDescent="0.35">
      <c r="A36" s="8">
        <v>45674</v>
      </c>
      <c r="B36" t="s">
        <v>107</v>
      </c>
      <c r="C36" t="s">
        <v>7</v>
      </c>
      <c r="D36" s="1">
        <v>1888566</v>
      </c>
      <c r="E36" s="1">
        <v>705386</v>
      </c>
      <c r="F36" s="2">
        <v>0.37350349418553502</v>
      </c>
      <c r="G36" s="1">
        <v>6144</v>
      </c>
      <c r="H36" s="2">
        <v>8.71012466932998E-3</v>
      </c>
      <c r="I36" s="102">
        <v>3.2532619987863799E-3</v>
      </c>
    </row>
    <row r="37" spans="1:9" x14ac:dyDescent="0.35">
      <c r="A37" s="8">
        <v>45674</v>
      </c>
      <c r="B37" t="s">
        <v>107</v>
      </c>
      <c r="C37" t="s">
        <v>8</v>
      </c>
      <c r="D37" s="1">
        <v>108263</v>
      </c>
      <c r="E37" s="1">
        <v>42617</v>
      </c>
      <c r="F37" s="2">
        <v>0.39364325762264102</v>
      </c>
      <c r="G37" s="1">
        <v>588</v>
      </c>
      <c r="H37" s="2">
        <v>1.37973109322571E-2</v>
      </c>
      <c r="I37" s="102">
        <v>5.4312184218061601E-3</v>
      </c>
    </row>
    <row r="38" spans="1:9" x14ac:dyDescent="0.35">
      <c r="A38" s="8">
        <v>45674</v>
      </c>
      <c r="B38" t="s">
        <v>108</v>
      </c>
      <c r="C38" t="s">
        <v>7</v>
      </c>
      <c r="D38" s="1">
        <v>12611</v>
      </c>
      <c r="E38" s="1">
        <v>6227</v>
      </c>
      <c r="F38" s="2">
        <v>0.49377527555308898</v>
      </c>
      <c r="G38" s="1">
        <v>843</v>
      </c>
      <c r="H38" s="2">
        <v>0.13537819174562399</v>
      </c>
      <c r="I38" s="102">
        <v>6.6846403933074297E-2</v>
      </c>
    </row>
    <row r="39" spans="1:9" x14ac:dyDescent="0.35">
      <c r="A39" s="8">
        <v>45674</v>
      </c>
      <c r="B39" t="s">
        <v>109</v>
      </c>
      <c r="C39" t="s">
        <v>110</v>
      </c>
      <c r="D39" s="1">
        <v>15901</v>
      </c>
      <c r="E39" s="1">
        <v>7020</v>
      </c>
      <c r="F39" s="2">
        <v>0.44148166781963399</v>
      </c>
      <c r="G39" s="1">
        <v>56</v>
      </c>
      <c r="H39" s="2">
        <v>7.9772079772079795E-3</v>
      </c>
      <c r="I39" s="102">
        <v>3.5217910823218701E-3</v>
      </c>
    </row>
    <row r="40" spans="1:9" x14ac:dyDescent="0.35">
      <c r="A40" s="8">
        <v>45674</v>
      </c>
      <c r="B40" t="s">
        <v>109</v>
      </c>
      <c r="C40" t="s">
        <v>90</v>
      </c>
      <c r="D40" s="1">
        <v>302241</v>
      </c>
      <c r="E40" s="1">
        <v>133114</v>
      </c>
      <c r="F40" s="2">
        <v>0.440423370753802</v>
      </c>
      <c r="G40" s="1">
        <v>853</v>
      </c>
      <c r="H40" s="2">
        <v>6.4080412278197602E-3</v>
      </c>
      <c r="I40" s="102">
        <v>2.82225111748572E-3</v>
      </c>
    </row>
    <row r="41" spans="1:9" x14ac:dyDescent="0.35">
      <c r="A41" s="8">
        <v>45674</v>
      </c>
      <c r="B41" t="s">
        <v>109</v>
      </c>
      <c r="C41" t="s">
        <v>111</v>
      </c>
      <c r="D41" s="1">
        <v>909</v>
      </c>
      <c r="E41" s="1">
        <v>391</v>
      </c>
      <c r="F41" s="2">
        <v>0.43014301430142998</v>
      </c>
      <c r="G41" s="1">
        <v>3</v>
      </c>
      <c r="H41" s="2">
        <v>7.6726342710997401E-3</v>
      </c>
      <c r="I41" s="102">
        <v>3.3003300330032999E-3</v>
      </c>
    </row>
    <row r="42" spans="1:9" x14ac:dyDescent="0.35">
      <c r="A42" s="8">
        <v>45674</v>
      </c>
      <c r="B42" t="s">
        <v>109</v>
      </c>
      <c r="C42" t="s">
        <v>91</v>
      </c>
      <c r="D42" s="1">
        <v>17039</v>
      </c>
      <c r="E42" s="1">
        <v>7725</v>
      </c>
      <c r="F42" s="2">
        <v>0.45337167674159301</v>
      </c>
      <c r="G42" s="1">
        <v>65</v>
      </c>
      <c r="H42" s="2">
        <v>8.4142394822006496E-3</v>
      </c>
      <c r="I42" s="102">
        <v>3.81477786255062E-3</v>
      </c>
    </row>
    <row r="43" spans="1:9" x14ac:dyDescent="0.35">
      <c r="A43" s="8">
        <v>45675</v>
      </c>
      <c r="B43" t="s">
        <v>112</v>
      </c>
      <c r="C43" t="s">
        <v>7</v>
      </c>
      <c r="D43" s="1">
        <v>40966</v>
      </c>
      <c r="E43" s="1">
        <v>15229</v>
      </c>
      <c r="F43" s="2">
        <v>0.37174730264121503</v>
      </c>
      <c r="G43" s="1">
        <v>763</v>
      </c>
      <c r="H43" s="2">
        <v>5.0101779499638899E-2</v>
      </c>
      <c r="I43" s="102">
        <v>1.8625201386515602E-2</v>
      </c>
    </row>
    <row r="44" spans="1:9" x14ac:dyDescent="0.35">
      <c r="A44" s="8">
        <v>45675</v>
      </c>
      <c r="B44" t="s">
        <v>113</v>
      </c>
      <c r="C44" t="s">
        <v>7</v>
      </c>
      <c r="D44" s="1">
        <v>1394778</v>
      </c>
      <c r="E44" s="1">
        <v>516690</v>
      </c>
      <c r="F44" s="2">
        <v>0.37044604947884202</v>
      </c>
      <c r="G44" s="1">
        <v>7908</v>
      </c>
      <c r="H44" s="2">
        <v>1.53051152528595E-2</v>
      </c>
      <c r="I44" s="102">
        <v>5.6697194822401802E-3</v>
      </c>
    </row>
    <row r="45" spans="1:9" x14ac:dyDescent="0.35">
      <c r="A45" s="8">
        <v>45675</v>
      </c>
      <c r="B45" t="s">
        <v>113</v>
      </c>
      <c r="C45" t="s">
        <v>8</v>
      </c>
      <c r="D45" s="1">
        <v>102985</v>
      </c>
      <c r="E45" s="1">
        <v>32646</v>
      </c>
      <c r="F45" s="2">
        <v>0.31699762101276902</v>
      </c>
      <c r="G45" s="1">
        <v>805</v>
      </c>
      <c r="H45" s="2">
        <v>2.4658457391410898E-2</v>
      </c>
      <c r="I45" s="102">
        <v>7.8166723309219793E-3</v>
      </c>
    </row>
    <row r="46" spans="1:9" x14ac:dyDescent="0.35">
      <c r="A46" s="8">
        <v>45676</v>
      </c>
      <c r="B46" t="s">
        <v>114</v>
      </c>
      <c r="C46" t="s">
        <v>7</v>
      </c>
      <c r="D46" s="1">
        <v>6693078</v>
      </c>
      <c r="E46" s="1">
        <v>2494912</v>
      </c>
      <c r="F46" s="2">
        <v>0.37276003656314799</v>
      </c>
      <c r="G46" s="1">
        <v>75311</v>
      </c>
      <c r="H46" s="2">
        <v>3.01858342097838E-2</v>
      </c>
      <c r="I46" s="102">
        <v>1.12520726637281E-2</v>
      </c>
    </row>
    <row r="47" spans="1:9" x14ac:dyDescent="0.35">
      <c r="A47" s="8">
        <v>45676</v>
      </c>
      <c r="B47" t="s">
        <v>114</v>
      </c>
      <c r="C47" t="s">
        <v>8</v>
      </c>
      <c r="D47" s="1">
        <v>431034</v>
      </c>
      <c r="E47" s="1">
        <v>156979</v>
      </c>
      <c r="F47" s="2">
        <v>0.36419168789468997</v>
      </c>
      <c r="G47" s="1">
        <v>6425</v>
      </c>
      <c r="H47" s="2">
        <v>4.0929041464144902E-2</v>
      </c>
      <c r="I47" s="102">
        <v>1.49060166947387E-2</v>
      </c>
    </row>
    <row r="48" spans="1:9" x14ac:dyDescent="0.35">
      <c r="A48" s="8">
        <v>45677</v>
      </c>
      <c r="B48" t="s">
        <v>115</v>
      </c>
      <c r="C48" t="s">
        <v>7</v>
      </c>
      <c r="D48" s="1">
        <v>800294</v>
      </c>
      <c r="E48" s="1">
        <v>334333</v>
      </c>
      <c r="F48" s="2">
        <v>0.41776272219959198</v>
      </c>
      <c r="G48" s="1">
        <v>4935</v>
      </c>
      <c r="H48" s="2">
        <v>1.47607325630434E-2</v>
      </c>
      <c r="I48" s="102">
        <v>6.1664838171971801E-3</v>
      </c>
    </row>
    <row r="49" spans="1:9" x14ac:dyDescent="0.35">
      <c r="A49" s="8">
        <v>45677</v>
      </c>
      <c r="B49" t="s">
        <v>115</v>
      </c>
      <c r="C49" t="s">
        <v>8</v>
      </c>
      <c r="D49" s="1">
        <v>48547</v>
      </c>
      <c r="E49" s="1">
        <v>21104</v>
      </c>
      <c r="F49" s="2">
        <v>0.43471275259027298</v>
      </c>
      <c r="G49" s="1">
        <v>396</v>
      </c>
      <c r="H49" s="2">
        <v>1.87642153146323E-2</v>
      </c>
      <c r="I49" s="102">
        <v>8.1570436896203705E-3</v>
      </c>
    </row>
    <row r="50" spans="1:9" x14ac:dyDescent="0.35">
      <c r="A50" s="8">
        <v>45679</v>
      </c>
      <c r="B50" t="s">
        <v>117</v>
      </c>
      <c r="C50" t="s">
        <v>7</v>
      </c>
      <c r="D50" s="1">
        <v>216166</v>
      </c>
      <c r="E50" s="1">
        <v>73254</v>
      </c>
      <c r="F50" s="2">
        <v>0.33887845452106302</v>
      </c>
      <c r="G50" s="1">
        <v>555</v>
      </c>
      <c r="H50" s="2">
        <v>7.5763780817429804E-3</v>
      </c>
      <c r="I50" s="102">
        <v>2.56747129520831E-3</v>
      </c>
    </row>
    <row r="51" spans="1:9" x14ac:dyDescent="0.35">
      <c r="A51" s="8">
        <v>45680</v>
      </c>
      <c r="B51" t="s">
        <v>120</v>
      </c>
      <c r="C51" t="s">
        <v>7</v>
      </c>
      <c r="D51" s="1">
        <v>240618</v>
      </c>
      <c r="E51" s="1">
        <v>94883</v>
      </c>
      <c r="F51" s="2">
        <v>0.39433043246972399</v>
      </c>
      <c r="G51" s="1">
        <v>8635</v>
      </c>
      <c r="H51" s="2">
        <v>9.1006818924359495E-2</v>
      </c>
      <c r="I51" s="102">
        <v>3.5886758264136502E-2</v>
      </c>
    </row>
    <row r="52" spans="1:9" x14ac:dyDescent="0.35">
      <c r="A52" s="8">
        <v>45680</v>
      </c>
      <c r="B52" t="s">
        <v>120</v>
      </c>
      <c r="C52" t="s">
        <v>8</v>
      </c>
      <c r="D52" s="1">
        <v>67080</v>
      </c>
      <c r="E52" s="1">
        <v>27195</v>
      </c>
      <c r="F52" s="2">
        <v>0.40541144901609999</v>
      </c>
      <c r="G52" s="1">
        <v>3185</v>
      </c>
      <c r="H52" s="2">
        <v>0.117117117117117</v>
      </c>
      <c r="I52" s="102">
        <v>4.7480620155038802E-2</v>
      </c>
    </row>
    <row r="53" spans="1:9" ht="16" thickBot="1" x14ac:dyDescent="0.4">
      <c r="A53" s="22" t="s">
        <v>13</v>
      </c>
      <c r="B53" s="4"/>
      <c r="C53" s="4"/>
      <c r="D53" s="19">
        <f>SUM(D36:D52)</f>
        <v>12381076</v>
      </c>
      <c r="E53" s="19">
        <f>SUM(E36:E52)</f>
        <v>4669705</v>
      </c>
      <c r="F53" s="20">
        <f>AVERAGE(F36:F52)</f>
        <v>0.4007988391391259</v>
      </c>
      <c r="G53" s="19">
        <f>SUM(G36:G52)</f>
        <v>117470</v>
      </c>
      <c r="H53" s="20">
        <f>AVERAGE(H36:H52)</f>
        <v>3.5221367066133671E-2</v>
      </c>
      <c r="I53" s="21">
        <f>AVERAGE(I36:I52)</f>
        <v>1.4559887895786709E-2</v>
      </c>
    </row>
    <row r="54" spans="1:9" ht="3" customHeight="1" thickBot="1" x14ac:dyDescent="0.4">
      <c r="A54" s="121"/>
      <c r="B54" s="121"/>
      <c r="C54" s="121"/>
      <c r="D54" s="121"/>
      <c r="E54" s="121"/>
      <c r="F54" s="121"/>
      <c r="G54" s="121"/>
      <c r="H54" s="121"/>
      <c r="I54" s="121"/>
    </row>
    <row r="55" spans="1:9" x14ac:dyDescent="0.35">
      <c r="A55" s="10" t="s">
        <v>11</v>
      </c>
      <c r="B55" s="11"/>
      <c r="C55" s="11"/>
      <c r="D55" s="11"/>
      <c r="E55" s="11"/>
      <c r="F55" s="11"/>
      <c r="G55" s="11"/>
      <c r="H55" s="11"/>
      <c r="I55" s="12"/>
    </row>
    <row r="56" spans="1:9" x14ac:dyDescent="0.35">
      <c r="A56" s="8">
        <v>45680</v>
      </c>
      <c r="B56" t="s">
        <v>118</v>
      </c>
      <c r="C56" t="s">
        <v>17</v>
      </c>
      <c r="D56" s="1">
        <v>560534</v>
      </c>
      <c r="E56" s="1">
        <v>221017</v>
      </c>
      <c r="F56" s="3">
        <v>0.39429999999999998</v>
      </c>
      <c r="G56">
        <v>650</v>
      </c>
      <c r="H56" s="3">
        <v>2.8999999999999998E-3</v>
      </c>
      <c r="I56" s="9">
        <v>1.1999999999999999E-3</v>
      </c>
    </row>
    <row r="57" spans="1:9" x14ac:dyDescent="0.35">
      <c r="A57" s="8">
        <v>45680</v>
      </c>
      <c r="B57" t="s">
        <v>119</v>
      </c>
      <c r="C57" t="s">
        <v>18</v>
      </c>
      <c r="D57" s="1">
        <v>34936</v>
      </c>
      <c r="E57" s="1">
        <v>14206</v>
      </c>
      <c r="F57" s="3">
        <v>0.40660000000000002</v>
      </c>
      <c r="G57">
        <v>52</v>
      </c>
      <c r="H57" s="3">
        <v>3.7000000000000002E-3</v>
      </c>
      <c r="I57" s="9">
        <v>1.5E-3</v>
      </c>
    </row>
    <row r="58" spans="1:9" ht="16" thickBot="1" x14ac:dyDescent="0.4">
      <c r="A58" s="22" t="s">
        <v>13</v>
      </c>
      <c r="B58" s="4"/>
      <c r="C58" s="4"/>
      <c r="D58" s="19">
        <f>SUM(D56:D57)</f>
        <v>595470</v>
      </c>
      <c r="E58" s="19">
        <f>SUM(E56:E57)</f>
        <v>235223</v>
      </c>
      <c r="F58" s="20">
        <f>AVERAGE(F56:F57)</f>
        <v>0.40044999999999997</v>
      </c>
      <c r="G58" s="19">
        <f>SUM(G56:G57)</f>
        <v>702</v>
      </c>
      <c r="H58" s="20">
        <f>AVERAGE(H56:H57)</f>
        <v>3.3E-3</v>
      </c>
      <c r="I58" s="21">
        <f>AVERAGE(I56:I57)</f>
        <v>1.3500000000000001E-3</v>
      </c>
    </row>
  </sheetData>
  <mergeCells count="3">
    <mergeCell ref="A26:I26"/>
    <mergeCell ref="A34:I34"/>
    <mergeCell ref="A54:I54"/>
  </mergeCells>
  <pageMargins left="0.7" right="0.7" top="0.75" bottom="0.75" header="0.3" footer="0.3"/>
  <ignoredErrors>
    <ignoredError sqref="F25:G25 F33:G33 F58:G58 F53:G53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7B41-76D7-49B0-805E-E57568C02A56}">
  <dimension ref="A1:I38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88.72656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45681</v>
      </c>
      <c r="B2" t="s">
        <v>127</v>
      </c>
      <c r="C2" t="s">
        <v>7</v>
      </c>
      <c r="D2" s="1">
        <v>4934395</v>
      </c>
      <c r="E2" s="1">
        <v>1522488</v>
      </c>
      <c r="F2" s="2">
        <v>0.30854603249233198</v>
      </c>
      <c r="G2" s="1">
        <v>18886</v>
      </c>
      <c r="H2" s="2">
        <v>1.2404695472148199E-2</v>
      </c>
      <c r="I2" s="2">
        <v>3.8274195722069301E-3</v>
      </c>
    </row>
    <row r="3" spans="1:9" x14ac:dyDescent="0.35">
      <c r="A3" s="13">
        <v>45681</v>
      </c>
      <c r="B3" t="s">
        <v>127</v>
      </c>
      <c r="C3" t="s">
        <v>8</v>
      </c>
      <c r="D3" s="1">
        <v>316834</v>
      </c>
      <c r="E3" s="1">
        <v>100067</v>
      </c>
      <c r="F3" s="2">
        <v>0.31583415921271102</v>
      </c>
      <c r="G3" s="1">
        <v>1452</v>
      </c>
      <c r="H3" s="2">
        <v>1.45102781136638E-2</v>
      </c>
      <c r="I3" s="2">
        <v>4.5828414879716204E-3</v>
      </c>
    </row>
    <row r="4" spans="1:9" x14ac:dyDescent="0.35">
      <c r="A4" s="13">
        <v>45683</v>
      </c>
      <c r="B4" t="s">
        <v>123</v>
      </c>
      <c r="C4" t="s">
        <v>7</v>
      </c>
      <c r="D4" s="1">
        <v>39017</v>
      </c>
      <c r="E4" s="1">
        <v>13415</v>
      </c>
      <c r="F4" s="2">
        <v>0.34382448676218103</v>
      </c>
      <c r="G4" s="1">
        <v>484</v>
      </c>
      <c r="H4" s="2">
        <v>3.6079016026835602E-2</v>
      </c>
      <c r="I4" s="2">
        <v>1.2404849168311201E-2</v>
      </c>
    </row>
    <row r="5" spans="1:9" x14ac:dyDescent="0.35">
      <c r="A5" s="13">
        <v>45685</v>
      </c>
      <c r="B5" t="s">
        <v>128</v>
      </c>
      <c r="C5" t="s">
        <v>7</v>
      </c>
      <c r="D5" s="1">
        <v>1417902</v>
      </c>
      <c r="E5" s="1">
        <v>464643</v>
      </c>
      <c r="F5" s="2">
        <v>0.32769754186114403</v>
      </c>
      <c r="G5" s="1">
        <v>10894</v>
      </c>
      <c r="H5" s="2">
        <v>2.3445957433986999E-2</v>
      </c>
      <c r="I5" s="2">
        <v>7.6831826176985401E-3</v>
      </c>
    </row>
    <row r="6" spans="1:9" x14ac:dyDescent="0.35">
      <c r="A6" s="13">
        <v>45685</v>
      </c>
      <c r="B6" t="s">
        <v>128</v>
      </c>
      <c r="C6" t="s">
        <v>8</v>
      </c>
      <c r="D6" s="1">
        <v>90189</v>
      </c>
      <c r="E6" s="1">
        <v>28347</v>
      </c>
      <c r="F6" s="2">
        <v>0.314306622758873</v>
      </c>
      <c r="G6" s="1">
        <v>961</v>
      </c>
      <c r="H6" s="2">
        <v>3.3901294669629899E-2</v>
      </c>
      <c r="I6" s="2">
        <v>1.0655401434764801E-2</v>
      </c>
    </row>
    <row r="7" spans="1:9" x14ac:dyDescent="0.35">
      <c r="A7" s="13">
        <v>45686</v>
      </c>
      <c r="B7" t="s">
        <v>129</v>
      </c>
      <c r="C7" t="s">
        <v>7</v>
      </c>
      <c r="D7" s="1">
        <v>104634</v>
      </c>
      <c r="E7" s="1">
        <v>38708</v>
      </c>
      <c r="F7" s="2">
        <v>0.36993711413116198</v>
      </c>
      <c r="G7" s="1">
        <v>421</v>
      </c>
      <c r="H7" s="2">
        <v>1.08763046398677E-2</v>
      </c>
      <c r="I7" s="2">
        <v>4.0235487508840304E-3</v>
      </c>
    </row>
    <row r="8" spans="1:9" x14ac:dyDescent="0.35">
      <c r="A8" s="13">
        <v>45686</v>
      </c>
      <c r="B8" t="s">
        <v>132</v>
      </c>
      <c r="C8" t="s">
        <v>7</v>
      </c>
      <c r="D8" s="1">
        <v>573303</v>
      </c>
      <c r="E8" s="1">
        <v>201613</v>
      </c>
      <c r="F8" s="2">
        <v>0.35166918714885498</v>
      </c>
      <c r="G8" s="1">
        <v>3137</v>
      </c>
      <c r="H8" s="2">
        <v>1.5559512531434E-2</v>
      </c>
      <c r="I8" s="2">
        <v>5.47180112436181E-3</v>
      </c>
    </row>
    <row r="9" spans="1:9" x14ac:dyDescent="0.35">
      <c r="A9" s="13">
        <v>45687</v>
      </c>
      <c r="B9" t="s">
        <v>94</v>
      </c>
      <c r="C9" t="s">
        <v>20</v>
      </c>
      <c r="D9" s="1">
        <v>553429</v>
      </c>
      <c r="E9" s="1">
        <v>218466</v>
      </c>
      <c r="F9" s="3">
        <v>0.3947</v>
      </c>
      <c r="G9">
        <v>593</v>
      </c>
      <c r="H9" s="3">
        <v>2.7000000000000001E-3</v>
      </c>
      <c r="I9" s="3">
        <v>1.1000000000000001E-3</v>
      </c>
    </row>
    <row r="10" spans="1:9" x14ac:dyDescent="0.35">
      <c r="A10" s="13">
        <v>45687</v>
      </c>
      <c r="B10" t="s">
        <v>96</v>
      </c>
      <c r="C10" t="s">
        <v>21</v>
      </c>
      <c r="D10" s="1">
        <v>34506</v>
      </c>
      <c r="E10" s="1">
        <v>14531</v>
      </c>
      <c r="F10" s="3">
        <v>0.42109999999999997</v>
      </c>
      <c r="G10">
        <v>46</v>
      </c>
      <c r="H10" s="3">
        <v>3.2000000000000002E-3</v>
      </c>
      <c r="I10" s="3">
        <v>1.2999999999999999E-3</v>
      </c>
    </row>
    <row r="11" spans="1:9" x14ac:dyDescent="0.35">
      <c r="A11" s="13">
        <v>45687</v>
      </c>
      <c r="B11" t="s">
        <v>126</v>
      </c>
      <c r="C11" t="s">
        <v>87</v>
      </c>
      <c r="D11" s="1">
        <v>3463</v>
      </c>
      <c r="E11" s="1">
        <v>239</v>
      </c>
      <c r="F11" s="2">
        <v>6.9015304649148096E-2</v>
      </c>
      <c r="G11" s="1">
        <v>46</v>
      </c>
      <c r="H11" s="2">
        <v>0.19246861924686201</v>
      </c>
      <c r="I11" s="2">
        <v>1.32832803927231E-2</v>
      </c>
    </row>
    <row r="12" spans="1:9" x14ac:dyDescent="0.35">
      <c r="A12" s="13">
        <v>45687</v>
      </c>
      <c r="B12" t="s">
        <v>130</v>
      </c>
      <c r="C12" t="s">
        <v>85</v>
      </c>
      <c r="D12" s="1">
        <v>15084</v>
      </c>
      <c r="E12" s="1">
        <v>3091</v>
      </c>
      <c r="F12" s="2">
        <v>0.20491911959692399</v>
      </c>
      <c r="G12" s="1">
        <v>146</v>
      </c>
      <c r="H12" s="2">
        <v>4.7233904885150398E-2</v>
      </c>
      <c r="I12" s="2">
        <v>9.6791302041898692E-3</v>
      </c>
    </row>
    <row r="13" spans="1:9" x14ac:dyDescent="0.35">
      <c r="A13" s="13">
        <v>45687</v>
      </c>
      <c r="B13" t="s">
        <v>131</v>
      </c>
      <c r="C13" t="s">
        <v>110</v>
      </c>
      <c r="D13" s="1">
        <v>3032</v>
      </c>
      <c r="E13" s="1">
        <v>1338</v>
      </c>
      <c r="F13" s="2">
        <v>0.441292875989446</v>
      </c>
      <c r="G13" s="1">
        <v>27</v>
      </c>
      <c r="H13" s="2">
        <v>2.0179372197309399E-2</v>
      </c>
      <c r="I13" s="2">
        <v>8.9050131926121396E-3</v>
      </c>
    </row>
    <row r="14" spans="1:9" x14ac:dyDescent="0.35">
      <c r="A14" s="13">
        <v>45687</v>
      </c>
      <c r="B14" t="s">
        <v>131</v>
      </c>
      <c r="C14" t="s">
        <v>90</v>
      </c>
      <c r="D14" s="1">
        <v>57884</v>
      </c>
      <c r="E14" s="1">
        <v>25836</v>
      </c>
      <c r="F14" s="2">
        <v>0.446340957777624</v>
      </c>
      <c r="G14" s="1">
        <v>504</v>
      </c>
      <c r="H14" s="2">
        <v>1.9507663725034801E-2</v>
      </c>
      <c r="I14" s="2">
        <v>8.7070693110358702E-3</v>
      </c>
    </row>
    <row r="15" spans="1:9" ht="16" thickBot="1" x14ac:dyDescent="0.4">
      <c r="A15" s="23" t="s">
        <v>13</v>
      </c>
      <c r="D15" s="17">
        <f>SUM(D2:D14)</f>
        <v>8143672</v>
      </c>
      <c r="E15" s="17">
        <f>SUM(E2:E14)</f>
        <v>2632782</v>
      </c>
      <c r="F15" s="18">
        <f>AVERAGE(F2:F14)</f>
        <v>0.33147564633695381</v>
      </c>
      <c r="G15" s="17">
        <f>SUM(G2:G14)</f>
        <v>37597</v>
      </c>
      <c r="H15" s="18">
        <f>AVERAGE(H2:H14)</f>
        <v>3.3235893764763297E-2</v>
      </c>
      <c r="I15" s="18">
        <f>AVERAGE(I2:I14)</f>
        <v>7.0479644043661476E-3</v>
      </c>
    </row>
    <row r="16" spans="1:9" ht="15" thickBot="1" x14ac:dyDescent="0.4">
      <c r="A16" s="123" t="s">
        <v>19</v>
      </c>
      <c r="B16" s="123"/>
      <c r="C16" s="123"/>
      <c r="D16" s="123"/>
      <c r="E16" s="123"/>
      <c r="F16" s="123"/>
      <c r="G16" s="123"/>
      <c r="H16" s="123"/>
      <c r="I16" s="123"/>
    </row>
    <row r="17" spans="1:9" ht="15.5" x14ac:dyDescent="0.35">
      <c r="A17" s="24" t="s">
        <v>9</v>
      </c>
      <c r="B17" s="25" t="s">
        <v>0</v>
      </c>
      <c r="C17" s="25" t="s">
        <v>16</v>
      </c>
      <c r="D17" s="25" t="s">
        <v>1</v>
      </c>
      <c r="E17" s="25" t="s">
        <v>2</v>
      </c>
      <c r="F17" s="25" t="s">
        <v>3</v>
      </c>
      <c r="G17" s="25" t="s">
        <v>4</v>
      </c>
      <c r="H17" s="25" t="s">
        <v>5</v>
      </c>
      <c r="I17" s="26" t="s">
        <v>6</v>
      </c>
    </row>
    <row r="18" spans="1:9" x14ac:dyDescent="0.35">
      <c r="A18" s="5" t="s">
        <v>12</v>
      </c>
      <c r="B18" s="6"/>
      <c r="C18" s="6"/>
      <c r="D18" s="6"/>
      <c r="E18" s="6"/>
      <c r="F18" s="6"/>
      <c r="G18" s="6"/>
      <c r="H18" s="6"/>
      <c r="I18" s="7"/>
    </row>
    <row r="19" spans="1:9" x14ac:dyDescent="0.35">
      <c r="A19" s="8">
        <v>45681</v>
      </c>
      <c r="B19" t="s">
        <v>127</v>
      </c>
      <c r="C19" t="s">
        <v>7</v>
      </c>
      <c r="D19" s="1">
        <v>4934395</v>
      </c>
      <c r="E19" s="1">
        <v>1522488</v>
      </c>
      <c r="F19" s="2">
        <v>0.30854603249233198</v>
      </c>
      <c r="G19" s="1">
        <v>18886</v>
      </c>
      <c r="H19" s="2">
        <v>1.2404695472148199E-2</v>
      </c>
      <c r="I19" s="102">
        <v>3.8274195722069301E-3</v>
      </c>
    </row>
    <row r="20" spans="1:9" x14ac:dyDescent="0.35">
      <c r="A20" s="8">
        <v>45681</v>
      </c>
      <c r="B20" t="s">
        <v>127</v>
      </c>
      <c r="C20" t="s">
        <v>8</v>
      </c>
      <c r="D20" s="1">
        <v>316834</v>
      </c>
      <c r="E20" s="1">
        <v>100067</v>
      </c>
      <c r="F20" s="2">
        <v>0.31583415921271102</v>
      </c>
      <c r="G20" s="1">
        <v>1452</v>
      </c>
      <c r="H20" s="2">
        <v>1.45102781136638E-2</v>
      </c>
      <c r="I20" s="102">
        <v>4.5828414879716204E-3</v>
      </c>
    </row>
    <row r="21" spans="1:9" x14ac:dyDescent="0.35">
      <c r="A21" s="8">
        <v>45685</v>
      </c>
      <c r="B21" t="s">
        <v>128</v>
      </c>
      <c r="C21" t="s">
        <v>7</v>
      </c>
      <c r="D21" s="1">
        <v>1417902</v>
      </c>
      <c r="E21" s="1">
        <v>464643</v>
      </c>
      <c r="F21" s="2">
        <v>0.32769754186114403</v>
      </c>
      <c r="G21" s="1">
        <v>10894</v>
      </c>
      <c r="H21" s="2">
        <v>2.3445957433986999E-2</v>
      </c>
      <c r="I21" s="102">
        <v>7.6831826176985401E-3</v>
      </c>
    </row>
    <row r="22" spans="1:9" x14ac:dyDescent="0.35">
      <c r="A22" s="8">
        <v>45685</v>
      </c>
      <c r="B22" t="s">
        <v>128</v>
      </c>
      <c r="C22" t="s">
        <v>8</v>
      </c>
      <c r="D22" s="1">
        <v>90189</v>
      </c>
      <c r="E22" s="1">
        <v>28347</v>
      </c>
      <c r="F22" s="2">
        <v>0.314306622758873</v>
      </c>
      <c r="G22" s="1">
        <v>961</v>
      </c>
      <c r="H22" s="2">
        <v>3.3901294669629899E-2</v>
      </c>
      <c r="I22" s="102">
        <v>1.0655401434764801E-2</v>
      </c>
    </row>
    <row r="23" spans="1:9" ht="16" thickBot="1" x14ac:dyDescent="0.4">
      <c r="A23" s="22" t="s">
        <v>13</v>
      </c>
      <c r="B23" s="4"/>
      <c r="C23" s="4"/>
      <c r="D23" s="19">
        <f>SUM(D19:D22)</f>
        <v>6759320</v>
      </c>
      <c r="E23" s="19">
        <f>SUM(E19:E22)</f>
        <v>2115545</v>
      </c>
      <c r="F23" s="20">
        <f>AVERAGE(F19:F22)</f>
        <v>0.31659608908126502</v>
      </c>
      <c r="G23" s="19">
        <f>SUM(G19:G22)</f>
        <v>32193</v>
      </c>
      <c r="H23" s="20">
        <f>AVERAGE(H19:H22)</f>
        <v>2.1065556422357225E-2</v>
      </c>
      <c r="I23" s="21">
        <f>AVERAGE(I19:I22)</f>
        <v>6.6872112781604723E-3</v>
      </c>
    </row>
    <row r="24" spans="1:9" ht="2" customHeight="1" thickBot="1" x14ac:dyDescent="0.4">
      <c r="A24" s="121"/>
      <c r="B24" s="121"/>
      <c r="C24" s="121"/>
      <c r="D24" s="121"/>
      <c r="E24" s="121"/>
      <c r="F24" s="121"/>
      <c r="G24" s="121"/>
      <c r="H24" s="121"/>
      <c r="I24" s="121"/>
    </row>
    <row r="25" spans="1:9" x14ac:dyDescent="0.35">
      <c r="A25" s="10" t="s">
        <v>216</v>
      </c>
      <c r="B25" s="11"/>
      <c r="C25" s="11"/>
      <c r="D25" s="11"/>
      <c r="E25" s="11"/>
      <c r="F25" s="11"/>
      <c r="G25" s="11"/>
      <c r="H25" s="11"/>
      <c r="I25" s="12"/>
    </row>
    <row r="26" spans="1:9" x14ac:dyDescent="0.35">
      <c r="A26" s="8">
        <v>45683</v>
      </c>
      <c r="B26" t="s">
        <v>123</v>
      </c>
      <c r="C26" t="s">
        <v>7</v>
      </c>
      <c r="D26" s="1">
        <v>39017</v>
      </c>
      <c r="E26" s="1">
        <v>13415</v>
      </c>
      <c r="F26" s="2">
        <v>0.34382448676218103</v>
      </c>
      <c r="G26" s="1">
        <v>484</v>
      </c>
      <c r="H26" s="2">
        <v>3.6079016026835602E-2</v>
      </c>
      <c r="I26" s="102">
        <v>1.2404849168311201E-2</v>
      </c>
    </row>
    <row r="27" spans="1:9" x14ac:dyDescent="0.35">
      <c r="A27" s="8">
        <v>45686</v>
      </c>
      <c r="B27" t="s">
        <v>129</v>
      </c>
      <c r="C27" t="s">
        <v>7</v>
      </c>
      <c r="D27" s="1">
        <v>104634</v>
      </c>
      <c r="E27" s="1">
        <v>38708</v>
      </c>
      <c r="F27" s="2">
        <v>0.36993711413116198</v>
      </c>
      <c r="G27" s="1">
        <v>421</v>
      </c>
      <c r="H27" s="2">
        <v>1.08763046398677E-2</v>
      </c>
      <c r="I27" s="102">
        <v>4.0235487508840304E-3</v>
      </c>
    </row>
    <row r="28" spans="1:9" x14ac:dyDescent="0.35">
      <c r="A28" s="8">
        <v>45686</v>
      </c>
      <c r="B28" t="s">
        <v>132</v>
      </c>
      <c r="C28" t="s">
        <v>7</v>
      </c>
      <c r="D28" s="1">
        <v>573303</v>
      </c>
      <c r="E28" s="1">
        <v>201613</v>
      </c>
      <c r="F28" s="2">
        <v>0.35166918714885498</v>
      </c>
      <c r="G28" s="1">
        <v>3137</v>
      </c>
      <c r="H28" s="2">
        <v>1.5559512531434E-2</v>
      </c>
      <c r="I28" s="102">
        <v>5.47180112436181E-3</v>
      </c>
    </row>
    <row r="29" spans="1:9" x14ac:dyDescent="0.35">
      <c r="A29" s="8">
        <v>45687</v>
      </c>
      <c r="B29" t="s">
        <v>126</v>
      </c>
      <c r="C29" t="s">
        <v>87</v>
      </c>
      <c r="D29" s="1">
        <v>3463</v>
      </c>
      <c r="E29" s="1">
        <v>239</v>
      </c>
      <c r="F29" s="2">
        <v>6.9015304649148096E-2</v>
      </c>
      <c r="G29" s="1">
        <v>46</v>
      </c>
      <c r="H29" s="2">
        <v>0.19246861924686201</v>
      </c>
      <c r="I29" s="102">
        <v>1.32832803927231E-2</v>
      </c>
    </row>
    <row r="30" spans="1:9" x14ac:dyDescent="0.35">
      <c r="A30" s="8">
        <v>45687</v>
      </c>
      <c r="B30" t="s">
        <v>130</v>
      </c>
      <c r="C30" t="s">
        <v>85</v>
      </c>
      <c r="D30" s="1">
        <v>15084</v>
      </c>
      <c r="E30" s="1">
        <v>3091</v>
      </c>
      <c r="F30" s="2">
        <v>0.20491911959692399</v>
      </c>
      <c r="G30" s="1">
        <v>146</v>
      </c>
      <c r="H30" s="2">
        <v>4.7233904885150398E-2</v>
      </c>
      <c r="I30" s="102">
        <v>9.6791302041898692E-3</v>
      </c>
    </row>
    <row r="31" spans="1:9" x14ac:dyDescent="0.35">
      <c r="A31" s="8">
        <v>45687</v>
      </c>
      <c r="B31" t="s">
        <v>131</v>
      </c>
      <c r="C31" t="s">
        <v>110</v>
      </c>
      <c r="D31" s="1">
        <v>3032</v>
      </c>
      <c r="E31" s="1">
        <v>1338</v>
      </c>
      <c r="F31" s="2">
        <v>0.441292875989446</v>
      </c>
      <c r="G31" s="1">
        <v>27</v>
      </c>
      <c r="H31" s="2">
        <v>2.0179372197309399E-2</v>
      </c>
      <c r="I31" s="102">
        <v>8.9050131926121396E-3</v>
      </c>
    </row>
    <row r="32" spans="1:9" x14ac:dyDescent="0.35">
      <c r="A32" s="8">
        <v>45687</v>
      </c>
      <c r="B32" t="s">
        <v>131</v>
      </c>
      <c r="C32" t="s">
        <v>90</v>
      </c>
      <c r="D32" s="1">
        <v>57884</v>
      </c>
      <c r="E32" s="1">
        <v>25836</v>
      </c>
      <c r="F32" s="2">
        <v>0.446340957777624</v>
      </c>
      <c r="G32" s="1">
        <v>504</v>
      </c>
      <c r="H32" s="2">
        <v>1.9507663725034801E-2</v>
      </c>
      <c r="I32" s="102">
        <v>8.7070693110358702E-3</v>
      </c>
    </row>
    <row r="33" spans="1:9" ht="16" thickBot="1" x14ac:dyDescent="0.4">
      <c r="A33" s="22" t="s">
        <v>13</v>
      </c>
      <c r="B33" s="4"/>
      <c r="C33" s="4"/>
      <c r="D33" s="19">
        <f>SUM(D26:D32)</f>
        <v>796417</v>
      </c>
      <c r="E33" s="19">
        <f>SUM(E26:E32)</f>
        <v>284240</v>
      </c>
      <c r="F33" s="20">
        <f>AVERAGE(F26:F32)</f>
        <v>0.31814272086504858</v>
      </c>
      <c r="G33" s="19">
        <f>SUM(G26:G32)</f>
        <v>4765</v>
      </c>
      <c r="H33" s="20">
        <f>AVERAGE(H26:H32)</f>
        <v>4.8843484750356277E-2</v>
      </c>
      <c r="I33" s="21">
        <f>AVERAGE(I26:I32)</f>
        <v>8.9249560205882875E-3</v>
      </c>
    </row>
    <row r="34" spans="1:9" ht="2" customHeight="1" thickBot="1" x14ac:dyDescent="0.4">
      <c r="A34" s="121"/>
      <c r="B34" s="121"/>
      <c r="C34" s="121"/>
      <c r="D34" s="121"/>
      <c r="E34" s="121"/>
      <c r="F34" s="121"/>
      <c r="G34" s="121"/>
      <c r="H34" s="121"/>
      <c r="I34" s="121"/>
    </row>
    <row r="35" spans="1:9" x14ac:dyDescent="0.35">
      <c r="A35" s="10" t="s">
        <v>11</v>
      </c>
      <c r="B35" s="11"/>
      <c r="C35" s="11"/>
      <c r="D35" s="11"/>
      <c r="E35" s="11"/>
      <c r="F35" s="11"/>
      <c r="G35" s="11"/>
      <c r="H35" s="11"/>
      <c r="I35" s="12"/>
    </row>
    <row r="36" spans="1:9" x14ac:dyDescent="0.35">
      <c r="A36" s="8">
        <v>45687</v>
      </c>
      <c r="B36" t="s">
        <v>94</v>
      </c>
      <c r="C36" t="s">
        <v>20</v>
      </c>
      <c r="D36" s="1">
        <v>553429</v>
      </c>
      <c r="E36" s="1">
        <v>218466</v>
      </c>
      <c r="F36" s="3">
        <v>0.3947</v>
      </c>
      <c r="G36">
        <v>593</v>
      </c>
      <c r="H36" s="3">
        <v>2.7000000000000001E-3</v>
      </c>
      <c r="I36" s="9">
        <v>1.1000000000000001E-3</v>
      </c>
    </row>
    <row r="37" spans="1:9" x14ac:dyDescent="0.35">
      <c r="A37" s="8">
        <v>45687</v>
      </c>
      <c r="B37" t="s">
        <v>96</v>
      </c>
      <c r="C37" t="s">
        <v>21</v>
      </c>
      <c r="D37" s="1">
        <v>34506</v>
      </c>
      <c r="E37" s="1">
        <v>14531</v>
      </c>
      <c r="F37" s="3">
        <v>0.42109999999999997</v>
      </c>
      <c r="G37">
        <v>46</v>
      </c>
      <c r="H37" s="3">
        <v>3.2000000000000002E-3</v>
      </c>
      <c r="I37" s="9">
        <v>1.2999999999999999E-3</v>
      </c>
    </row>
    <row r="38" spans="1:9" ht="16" thickBot="1" x14ac:dyDescent="0.4">
      <c r="A38" s="22" t="s">
        <v>13</v>
      </c>
      <c r="B38" s="4"/>
      <c r="C38" s="4"/>
      <c r="D38" s="19">
        <f>SUM(D36:D37)</f>
        <v>587935</v>
      </c>
      <c r="E38" s="19">
        <f>SUM(E36:E37)</f>
        <v>232997</v>
      </c>
      <c r="F38" s="20">
        <f>AVERAGE(F36:F37)</f>
        <v>0.40789999999999998</v>
      </c>
      <c r="G38" s="19">
        <f>SUM(G36:G37)</f>
        <v>639</v>
      </c>
      <c r="H38" s="20">
        <f>AVERAGE(H36:H37)</f>
        <v>2.9500000000000004E-3</v>
      </c>
      <c r="I38" s="21">
        <f>AVERAGE(I36:I37)</f>
        <v>1.2000000000000001E-3</v>
      </c>
    </row>
  </sheetData>
  <mergeCells count="3">
    <mergeCell ref="A16:I16"/>
    <mergeCell ref="A24:I24"/>
    <mergeCell ref="A34:I34"/>
  </mergeCells>
  <pageMargins left="0.7" right="0.7" top="0.75" bottom="0.75" header="0.3" footer="0.3"/>
  <ignoredErrors>
    <ignoredError sqref="F15:G15 F33:G33 F38:G38 F23:G23" formula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098B-1323-4B4A-8779-C4464B1728B7}">
  <dimension ref="A1:I57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45688</v>
      </c>
      <c r="B2" t="s">
        <v>146</v>
      </c>
      <c r="C2" t="s">
        <v>7</v>
      </c>
      <c r="D2" s="1">
        <v>4920292</v>
      </c>
      <c r="E2" s="1">
        <v>1506533</v>
      </c>
      <c r="F2" s="2">
        <v>0.306187722192098</v>
      </c>
      <c r="G2" s="1">
        <v>17022</v>
      </c>
      <c r="H2" s="2">
        <v>1.1298790003272399E-2</v>
      </c>
      <c r="I2" s="2">
        <v>3.4595507746288199E-3</v>
      </c>
    </row>
    <row r="3" spans="1:9" x14ac:dyDescent="0.35">
      <c r="A3" s="13">
        <v>45688</v>
      </c>
      <c r="B3" t="s">
        <v>147</v>
      </c>
      <c r="C3" t="s">
        <v>8</v>
      </c>
      <c r="D3" s="1">
        <v>316184</v>
      </c>
      <c r="E3" s="1">
        <v>101501</v>
      </c>
      <c r="F3" s="2">
        <v>0.32101877387850097</v>
      </c>
      <c r="G3" s="1">
        <v>1254</v>
      </c>
      <c r="H3" s="2">
        <v>1.23545580831716E-2</v>
      </c>
      <c r="I3" s="2">
        <v>3.9660450876704703E-3</v>
      </c>
    </row>
    <row r="4" spans="1:9" x14ac:dyDescent="0.35">
      <c r="A4" s="13">
        <v>45689</v>
      </c>
      <c r="B4" t="s">
        <v>148</v>
      </c>
      <c r="C4" t="s">
        <v>7</v>
      </c>
      <c r="D4" s="1">
        <v>71910</v>
      </c>
      <c r="E4" s="1">
        <v>30629</v>
      </c>
      <c r="F4" s="2">
        <v>0.42593519677374497</v>
      </c>
      <c r="G4" s="1">
        <v>1946</v>
      </c>
      <c r="H4" s="2">
        <v>6.3534558751509998E-2</v>
      </c>
      <c r="I4" s="2">
        <v>2.7061604783757499E-2</v>
      </c>
    </row>
    <row r="5" spans="1:9" x14ac:dyDescent="0.35">
      <c r="A5" s="13">
        <v>45689</v>
      </c>
      <c r="B5" t="s">
        <v>149</v>
      </c>
      <c r="C5" t="s">
        <v>8</v>
      </c>
      <c r="D5" s="1">
        <v>7881</v>
      </c>
      <c r="E5" s="1">
        <v>3858</v>
      </c>
      <c r="F5" s="2">
        <v>0.48953178530643299</v>
      </c>
      <c r="G5" s="1">
        <v>251</v>
      </c>
      <c r="H5" s="2">
        <v>6.5059616381544796E-2</v>
      </c>
      <c r="I5" s="2">
        <v>3.1848750158609301E-2</v>
      </c>
    </row>
    <row r="6" spans="1:9" x14ac:dyDescent="0.35">
      <c r="A6" s="13">
        <v>45689</v>
      </c>
      <c r="B6" t="s">
        <v>150</v>
      </c>
      <c r="C6" t="s">
        <v>7</v>
      </c>
      <c r="D6" s="1">
        <v>306558</v>
      </c>
      <c r="E6" s="1">
        <v>121310</v>
      </c>
      <c r="F6" s="2">
        <v>0.39571630817006898</v>
      </c>
      <c r="G6" s="1">
        <v>1616</v>
      </c>
      <c r="H6" s="2">
        <v>1.33212430961998E-2</v>
      </c>
      <c r="I6" s="2">
        <v>5.2714331382642098E-3</v>
      </c>
    </row>
    <row r="7" spans="1:9" x14ac:dyDescent="0.35">
      <c r="A7" s="13">
        <v>45689</v>
      </c>
      <c r="B7" t="s">
        <v>150</v>
      </c>
      <c r="C7" t="s">
        <v>8</v>
      </c>
      <c r="D7" s="1">
        <v>941</v>
      </c>
      <c r="E7" s="1">
        <v>460</v>
      </c>
      <c r="F7" s="2">
        <v>0.48884165781083999</v>
      </c>
      <c r="G7" s="1">
        <v>14</v>
      </c>
      <c r="H7" s="2">
        <v>3.0434782608695699E-2</v>
      </c>
      <c r="I7" s="2">
        <v>1.4877789585547301E-2</v>
      </c>
    </row>
    <row r="8" spans="1:9" x14ac:dyDescent="0.35">
      <c r="A8" s="13">
        <v>45690</v>
      </c>
      <c r="B8" t="s">
        <v>151</v>
      </c>
      <c r="C8" t="s">
        <v>7</v>
      </c>
      <c r="D8" s="1">
        <v>306535</v>
      </c>
      <c r="E8" s="1">
        <v>117747</v>
      </c>
      <c r="F8" s="2">
        <v>0.38412253086923198</v>
      </c>
      <c r="G8" s="1">
        <v>1585</v>
      </c>
      <c r="H8" s="2">
        <v>1.34610648254308E-2</v>
      </c>
      <c r="I8" s="2">
        <v>5.1706982889392697E-3</v>
      </c>
    </row>
    <row r="9" spans="1:9" x14ac:dyDescent="0.35">
      <c r="A9" s="13">
        <v>45690</v>
      </c>
      <c r="B9" t="s">
        <v>151</v>
      </c>
      <c r="C9" t="s">
        <v>8</v>
      </c>
      <c r="D9" s="1">
        <v>940</v>
      </c>
      <c r="E9" s="1">
        <v>450</v>
      </c>
      <c r="F9" s="2">
        <v>0.47872340425531901</v>
      </c>
      <c r="G9" s="1">
        <v>24</v>
      </c>
      <c r="H9" s="2">
        <v>5.3333333333333302E-2</v>
      </c>
      <c r="I9" s="2">
        <v>2.5531914893616999E-2</v>
      </c>
    </row>
    <row r="10" spans="1:9" x14ac:dyDescent="0.35">
      <c r="A10" s="13">
        <v>45690</v>
      </c>
      <c r="B10" t="s">
        <v>152</v>
      </c>
      <c r="C10" t="s">
        <v>7</v>
      </c>
      <c r="D10" s="1">
        <v>81500</v>
      </c>
      <c r="E10" s="1">
        <v>31119</v>
      </c>
      <c r="F10" s="2">
        <v>0.38182822085889601</v>
      </c>
      <c r="G10" s="1">
        <v>539</v>
      </c>
      <c r="H10" s="2">
        <v>1.7320607988688601E-2</v>
      </c>
      <c r="I10" s="2">
        <v>6.6134969325153401E-3</v>
      </c>
    </row>
    <row r="11" spans="1:9" x14ac:dyDescent="0.35">
      <c r="A11" s="13">
        <v>45692</v>
      </c>
      <c r="B11" t="s">
        <v>153</v>
      </c>
      <c r="C11" t="s">
        <v>7</v>
      </c>
      <c r="D11" s="1">
        <v>1418857</v>
      </c>
      <c r="E11" s="1">
        <v>462968</v>
      </c>
      <c r="F11" s="2">
        <v>0.326296448479304</v>
      </c>
      <c r="G11" s="1">
        <v>13593</v>
      </c>
      <c r="H11" s="2">
        <v>2.9360560557101099E-2</v>
      </c>
      <c r="I11" s="2">
        <v>9.5802466351436397E-3</v>
      </c>
    </row>
    <row r="12" spans="1:9" x14ac:dyDescent="0.35">
      <c r="A12" s="13">
        <v>45692</v>
      </c>
      <c r="B12" t="s">
        <v>154</v>
      </c>
      <c r="C12" t="s">
        <v>8</v>
      </c>
      <c r="D12" s="1">
        <v>90425</v>
      </c>
      <c r="E12" s="1">
        <v>29166</v>
      </c>
      <c r="F12" s="2">
        <v>0.32254354437379001</v>
      </c>
      <c r="G12" s="1">
        <v>893</v>
      </c>
      <c r="H12" s="2">
        <v>3.0617842693547299E-2</v>
      </c>
      <c r="I12" s="2">
        <v>9.8755875034559001E-3</v>
      </c>
    </row>
    <row r="13" spans="1:9" x14ac:dyDescent="0.35">
      <c r="A13" s="13">
        <v>45693</v>
      </c>
      <c r="B13" t="s">
        <v>155</v>
      </c>
      <c r="C13" t="s">
        <v>7</v>
      </c>
      <c r="D13" s="1">
        <v>3404977</v>
      </c>
      <c r="E13" s="1">
        <v>1362040</v>
      </c>
      <c r="F13" s="2">
        <v>0.40001444943681003</v>
      </c>
      <c r="G13" s="1">
        <v>25596</v>
      </c>
      <c r="H13" s="2">
        <v>1.8792399635840399E-2</v>
      </c>
      <c r="I13" s="2">
        <v>7.51723139392718E-3</v>
      </c>
    </row>
    <row r="14" spans="1:9" x14ac:dyDescent="0.35">
      <c r="A14" s="13">
        <v>45693</v>
      </c>
      <c r="B14" t="s">
        <v>156</v>
      </c>
      <c r="C14" t="s">
        <v>8</v>
      </c>
      <c r="D14" s="1">
        <v>172551</v>
      </c>
      <c r="E14" s="1">
        <v>72949</v>
      </c>
      <c r="F14" s="2">
        <v>0.42276776141546601</v>
      </c>
      <c r="G14" s="1">
        <v>1477</v>
      </c>
      <c r="H14" s="2">
        <v>2.0247021892006702E-2</v>
      </c>
      <c r="I14" s="2">
        <v>8.5597881206136203E-3</v>
      </c>
    </row>
    <row r="15" spans="1:9" x14ac:dyDescent="0.35">
      <c r="A15" s="13">
        <v>45693</v>
      </c>
      <c r="B15" t="s">
        <v>157</v>
      </c>
      <c r="C15" t="s">
        <v>7</v>
      </c>
      <c r="D15" s="1">
        <v>523557</v>
      </c>
      <c r="E15" s="1">
        <v>194602</v>
      </c>
      <c r="F15" s="2">
        <v>0.37169209847256401</v>
      </c>
      <c r="G15" s="1">
        <v>1152</v>
      </c>
      <c r="H15" s="2">
        <v>5.9197747196842801E-3</v>
      </c>
      <c r="I15" s="2">
        <v>2.20033348804428E-3</v>
      </c>
    </row>
    <row r="16" spans="1:9" x14ac:dyDescent="0.35">
      <c r="A16" s="13">
        <v>45693</v>
      </c>
      <c r="B16" t="s">
        <v>158</v>
      </c>
      <c r="C16" t="s">
        <v>8</v>
      </c>
      <c r="D16" s="1">
        <v>28035</v>
      </c>
      <c r="E16" s="1">
        <v>10239</v>
      </c>
      <c r="F16" s="2">
        <v>0.36522204387372897</v>
      </c>
      <c r="G16" s="1">
        <v>81</v>
      </c>
      <c r="H16" s="2">
        <v>7.9109288016407792E-3</v>
      </c>
      <c r="I16" s="2">
        <v>2.8892455858748E-3</v>
      </c>
    </row>
    <row r="17" spans="1:9" x14ac:dyDescent="0.35">
      <c r="A17" s="13">
        <v>45694</v>
      </c>
      <c r="B17" t="s">
        <v>159</v>
      </c>
      <c r="C17" t="s">
        <v>7</v>
      </c>
      <c r="D17" s="1">
        <v>557268</v>
      </c>
      <c r="E17" s="1">
        <v>143884</v>
      </c>
      <c r="F17" s="2">
        <v>0.25819533868802802</v>
      </c>
      <c r="G17" s="1">
        <v>1653</v>
      </c>
      <c r="H17" s="2">
        <v>1.1488421228211599E-2</v>
      </c>
      <c r="I17" s="2">
        <v>2.96625681000883E-3</v>
      </c>
    </row>
    <row r="18" spans="1:9" x14ac:dyDescent="0.35">
      <c r="A18" s="13">
        <v>45694</v>
      </c>
      <c r="B18" t="s">
        <v>160</v>
      </c>
      <c r="C18" t="s">
        <v>85</v>
      </c>
      <c r="D18" s="1">
        <v>66</v>
      </c>
      <c r="E18" s="1">
        <v>24</v>
      </c>
      <c r="F18" s="2">
        <v>0.36363636363636398</v>
      </c>
      <c r="G18" s="1">
        <v>3</v>
      </c>
      <c r="H18" s="2">
        <v>0.125</v>
      </c>
      <c r="I18" s="2">
        <v>4.5454545454545497E-2</v>
      </c>
    </row>
    <row r="19" spans="1:9" x14ac:dyDescent="0.35">
      <c r="A19" s="13">
        <v>45694</v>
      </c>
      <c r="B19" t="s">
        <v>161</v>
      </c>
      <c r="C19" t="s">
        <v>87</v>
      </c>
      <c r="D19" s="1">
        <v>3</v>
      </c>
      <c r="E19" s="1">
        <v>1</v>
      </c>
      <c r="F19" s="2">
        <v>0.33333333333333298</v>
      </c>
      <c r="G19" s="1">
        <v>0</v>
      </c>
      <c r="H19" s="2">
        <v>0</v>
      </c>
      <c r="I19" s="2">
        <v>0</v>
      </c>
    </row>
    <row r="20" spans="1:9" x14ac:dyDescent="0.35">
      <c r="A20" s="13">
        <v>45694</v>
      </c>
      <c r="B20" t="s">
        <v>162</v>
      </c>
      <c r="C20" t="s">
        <v>7</v>
      </c>
      <c r="D20" s="1">
        <v>305371</v>
      </c>
      <c r="E20" s="1">
        <v>111686</v>
      </c>
      <c r="F20" s="2">
        <v>0.36573872437133798</v>
      </c>
      <c r="G20" s="1">
        <v>754</v>
      </c>
      <c r="H20" s="2">
        <v>6.75106996400623E-3</v>
      </c>
      <c r="I20" s="2">
        <v>2.4691277167773001E-3</v>
      </c>
    </row>
    <row r="21" spans="1:9" x14ac:dyDescent="0.35">
      <c r="A21" s="13">
        <v>45694</v>
      </c>
      <c r="B21" t="s">
        <v>163</v>
      </c>
      <c r="C21" t="s">
        <v>7</v>
      </c>
      <c r="D21" s="1">
        <v>88603</v>
      </c>
      <c r="E21" s="1">
        <v>36559</v>
      </c>
      <c r="F21" s="2">
        <v>0.41261582564924398</v>
      </c>
      <c r="G21" s="1">
        <v>464</v>
      </c>
      <c r="H21" s="2">
        <v>1.2691813233403499E-2</v>
      </c>
      <c r="I21" s="2">
        <v>5.2368429962868102E-3</v>
      </c>
    </row>
    <row r="22" spans="1:9" x14ac:dyDescent="0.35">
      <c r="A22" s="13">
        <v>45694</v>
      </c>
      <c r="B22" t="s">
        <v>164</v>
      </c>
      <c r="C22" t="s">
        <v>110</v>
      </c>
      <c r="D22" s="1">
        <v>13950</v>
      </c>
      <c r="E22" s="1">
        <v>4926</v>
      </c>
      <c r="F22" s="2">
        <v>0.353118279569892</v>
      </c>
      <c r="G22" s="1">
        <v>19</v>
      </c>
      <c r="H22" s="2">
        <v>3.8570848558668299E-3</v>
      </c>
      <c r="I22" s="2">
        <v>1.3620071684587801E-3</v>
      </c>
    </row>
    <row r="23" spans="1:9" x14ac:dyDescent="0.35">
      <c r="A23" s="13">
        <v>45694</v>
      </c>
      <c r="B23" t="s">
        <v>164</v>
      </c>
      <c r="C23" t="s">
        <v>90</v>
      </c>
      <c r="D23" s="1">
        <v>263977</v>
      </c>
      <c r="E23" s="1">
        <v>94009</v>
      </c>
      <c r="F23" s="2">
        <v>0.35612572307435902</v>
      </c>
      <c r="G23" s="1">
        <v>602</v>
      </c>
      <c r="H23" s="2">
        <v>6.4036422044697902E-3</v>
      </c>
      <c r="I23" s="2">
        <v>2.2805017103762798E-3</v>
      </c>
    </row>
    <row r="24" spans="1:9" x14ac:dyDescent="0.35">
      <c r="A24" s="13">
        <v>45694</v>
      </c>
      <c r="B24" t="s">
        <v>164</v>
      </c>
      <c r="C24" t="s">
        <v>111</v>
      </c>
      <c r="D24" s="1">
        <v>737</v>
      </c>
      <c r="E24" s="1">
        <v>263</v>
      </c>
      <c r="F24" s="2">
        <v>0.35685210312075999</v>
      </c>
      <c r="G24" s="1">
        <v>2</v>
      </c>
      <c r="H24" s="2">
        <v>7.6045627376425898E-3</v>
      </c>
      <c r="I24" s="2">
        <v>2.7137042062415199E-3</v>
      </c>
    </row>
    <row r="25" spans="1:9" x14ac:dyDescent="0.35">
      <c r="A25" s="13">
        <v>45694</v>
      </c>
      <c r="B25" t="s">
        <v>164</v>
      </c>
      <c r="C25" t="s">
        <v>91</v>
      </c>
      <c r="D25" s="1">
        <v>14676</v>
      </c>
      <c r="E25" s="1">
        <v>5144</v>
      </c>
      <c r="F25" s="2">
        <v>0.35050422458435498</v>
      </c>
      <c r="G25" s="1">
        <v>49</v>
      </c>
      <c r="H25" s="2">
        <v>9.5256609642301697E-3</v>
      </c>
      <c r="I25" s="2">
        <v>3.33878440992096E-3</v>
      </c>
    </row>
    <row r="26" spans="1:9" ht="16" thickBot="1" x14ac:dyDescent="0.4">
      <c r="A26" s="23" t="s">
        <v>13</v>
      </c>
      <c r="D26" s="17">
        <f>SUM(D2:D25)</f>
        <v>12895794</v>
      </c>
      <c r="E26" s="17">
        <f>SUM(E2:E25)</f>
        <v>4442067</v>
      </c>
      <c r="F26" s="18">
        <f>AVERAGE(F2:F25)</f>
        <v>0.37627341092476957</v>
      </c>
      <c r="G26" s="17">
        <f>SUM(G2:G25)</f>
        <v>70589</v>
      </c>
      <c r="H26" s="18">
        <f>AVERAGE(H2:H25)</f>
        <v>2.4012055773312422E-2</v>
      </c>
      <c r="I26" s="18">
        <f>AVERAGE(I2:I25)</f>
        <v>9.5935619518010256E-3</v>
      </c>
    </row>
    <row r="27" spans="1:9" ht="15" thickBot="1" x14ac:dyDescent="0.4">
      <c r="A27" s="123" t="s">
        <v>19</v>
      </c>
      <c r="B27" s="123"/>
      <c r="C27" s="123"/>
      <c r="D27" s="123"/>
      <c r="E27" s="123"/>
      <c r="F27" s="123"/>
      <c r="G27" s="123"/>
      <c r="H27" s="123"/>
      <c r="I27" s="123"/>
    </row>
    <row r="28" spans="1:9" ht="15.5" x14ac:dyDescent="0.35">
      <c r="A28" s="24" t="s">
        <v>9</v>
      </c>
      <c r="B28" s="25" t="s">
        <v>0</v>
      </c>
      <c r="C28" s="25" t="s">
        <v>16</v>
      </c>
      <c r="D28" s="25" t="s">
        <v>1</v>
      </c>
      <c r="E28" s="25" t="s">
        <v>2</v>
      </c>
      <c r="F28" s="25" t="s">
        <v>3</v>
      </c>
      <c r="G28" s="25" t="s">
        <v>4</v>
      </c>
      <c r="H28" s="25" t="s">
        <v>5</v>
      </c>
      <c r="I28" s="26" t="s">
        <v>6</v>
      </c>
    </row>
    <row r="29" spans="1:9" x14ac:dyDescent="0.35">
      <c r="A29" s="5" t="s">
        <v>12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8">
        <v>45688</v>
      </c>
      <c r="B30" t="s">
        <v>146</v>
      </c>
      <c r="C30" t="s">
        <v>7</v>
      </c>
      <c r="D30" s="1">
        <v>4920292</v>
      </c>
      <c r="E30" s="1">
        <v>1506533</v>
      </c>
      <c r="F30" s="2">
        <v>0.306187722192098</v>
      </c>
      <c r="G30" s="1">
        <v>17022</v>
      </c>
      <c r="H30" s="2">
        <v>1.1298790003272399E-2</v>
      </c>
      <c r="I30" s="102">
        <v>3.4595507746288199E-3</v>
      </c>
    </row>
    <row r="31" spans="1:9" x14ac:dyDescent="0.35">
      <c r="A31" s="8">
        <v>45688</v>
      </c>
      <c r="B31" t="s">
        <v>147</v>
      </c>
      <c r="C31" t="s">
        <v>8</v>
      </c>
      <c r="D31" s="1">
        <v>316184</v>
      </c>
      <c r="E31" s="1">
        <v>101501</v>
      </c>
      <c r="F31" s="2">
        <v>0.32101877387850097</v>
      </c>
      <c r="G31" s="1">
        <v>1254</v>
      </c>
      <c r="H31" s="2">
        <v>1.23545580831716E-2</v>
      </c>
      <c r="I31" s="102">
        <v>3.9660450876704703E-3</v>
      </c>
    </row>
    <row r="32" spans="1:9" x14ac:dyDescent="0.35">
      <c r="A32" s="8">
        <v>45692</v>
      </c>
      <c r="B32" t="s">
        <v>153</v>
      </c>
      <c r="C32" t="s">
        <v>7</v>
      </c>
      <c r="D32" s="1">
        <v>1418857</v>
      </c>
      <c r="E32" s="1">
        <v>462968</v>
      </c>
      <c r="F32" s="2">
        <v>0.326296448479304</v>
      </c>
      <c r="G32" s="1">
        <v>13593</v>
      </c>
      <c r="H32" s="2">
        <v>2.9360560557101099E-2</v>
      </c>
      <c r="I32" s="102">
        <v>9.5802466351436397E-3</v>
      </c>
    </row>
    <row r="33" spans="1:9" x14ac:dyDescent="0.35">
      <c r="A33" s="8">
        <v>45692</v>
      </c>
      <c r="B33" t="s">
        <v>154</v>
      </c>
      <c r="C33" t="s">
        <v>8</v>
      </c>
      <c r="D33" s="1">
        <v>90425</v>
      </c>
      <c r="E33" s="1">
        <v>29166</v>
      </c>
      <c r="F33" s="2">
        <v>0.32254354437379001</v>
      </c>
      <c r="G33" s="1">
        <v>893</v>
      </c>
      <c r="H33" s="2">
        <v>3.0617842693547299E-2</v>
      </c>
      <c r="I33" s="102">
        <v>9.8755875034559001E-3</v>
      </c>
    </row>
    <row r="34" spans="1:9" ht="16" thickBot="1" x14ac:dyDescent="0.4">
      <c r="A34" s="22" t="s">
        <v>13</v>
      </c>
      <c r="B34" s="4"/>
      <c r="C34" s="4"/>
      <c r="D34" s="19">
        <f>SUM(D30:D33)</f>
        <v>6745758</v>
      </c>
      <c r="E34" s="19">
        <f>SUM(E30:E33)</f>
        <v>2100168</v>
      </c>
      <c r="F34" s="20">
        <f>AVERAGE(F30:F33)</f>
        <v>0.31901162223092328</v>
      </c>
      <c r="G34" s="19">
        <f>SUM(G30:G33)</f>
        <v>32762</v>
      </c>
      <c r="H34" s="20">
        <f>AVERAGE(H30:H33)</f>
        <v>2.09079378342731E-2</v>
      </c>
      <c r="I34" s="21">
        <f>AVERAGE(I30:I33)</f>
        <v>6.7203575002247077E-3</v>
      </c>
    </row>
    <row r="35" spans="1:9" ht="2" customHeight="1" thickBot="1" x14ac:dyDescent="0.4">
      <c r="A35" s="121"/>
      <c r="B35" s="121"/>
      <c r="C35" s="121"/>
      <c r="D35" s="121"/>
      <c r="E35" s="121"/>
      <c r="F35" s="121"/>
      <c r="G35" s="121"/>
      <c r="H35" s="121"/>
      <c r="I35" s="121"/>
    </row>
    <row r="36" spans="1:9" x14ac:dyDescent="0.35">
      <c r="A36" s="10" t="s">
        <v>216</v>
      </c>
      <c r="B36" s="11"/>
      <c r="C36" s="11"/>
      <c r="D36" s="11"/>
      <c r="E36" s="11"/>
      <c r="F36" s="11"/>
      <c r="G36" s="11"/>
      <c r="H36" s="11"/>
      <c r="I36" s="12"/>
    </row>
    <row r="37" spans="1:9" x14ac:dyDescent="0.35">
      <c r="A37" s="8">
        <v>45689</v>
      </c>
      <c r="B37" t="s">
        <v>148</v>
      </c>
      <c r="C37" t="s">
        <v>7</v>
      </c>
      <c r="D37" s="1">
        <v>71910</v>
      </c>
      <c r="E37" s="1">
        <v>30629</v>
      </c>
      <c r="F37" s="2">
        <v>0.42593519677374497</v>
      </c>
      <c r="G37" s="1">
        <v>1946</v>
      </c>
      <c r="H37" s="2">
        <v>6.3534558751509998E-2</v>
      </c>
      <c r="I37" s="102">
        <v>2.7061604783757499E-2</v>
      </c>
    </row>
    <row r="38" spans="1:9" x14ac:dyDescent="0.35">
      <c r="A38" s="8">
        <v>45689</v>
      </c>
      <c r="B38" t="s">
        <v>149</v>
      </c>
      <c r="C38" t="s">
        <v>8</v>
      </c>
      <c r="D38" s="1">
        <v>7881</v>
      </c>
      <c r="E38" s="1">
        <v>3858</v>
      </c>
      <c r="F38" s="2">
        <v>0.48953178530643299</v>
      </c>
      <c r="G38" s="1">
        <v>251</v>
      </c>
      <c r="H38" s="2">
        <v>6.5059616381544796E-2</v>
      </c>
      <c r="I38" s="102">
        <v>3.1848750158609301E-2</v>
      </c>
    </row>
    <row r="39" spans="1:9" x14ac:dyDescent="0.35">
      <c r="A39" s="8">
        <v>45689</v>
      </c>
      <c r="B39" t="s">
        <v>150</v>
      </c>
      <c r="C39" t="s">
        <v>7</v>
      </c>
      <c r="D39" s="1">
        <v>306558</v>
      </c>
      <c r="E39" s="1">
        <v>121310</v>
      </c>
      <c r="F39" s="2">
        <v>0.39571630817006898</v>
      </c>
      <c r="G39" s="1">
        <v>1616</v>
      </c>
      <c r="H39" s="2">
        <v>1.33212430961998E-2</v>
      </c>
      <c r="I39" s="102">
        <v>5.2714331382642098E-3</v>
      </c>
    </row>
    <row r="40" spans="1:9" x14ac:dyDescent="0.35">
      <c r="A40" s="8">
        <v>45689</v>
      </c>
      <c r="B40" t="s">
        <v>150</v>
      </c>
      <c r="C40" t="s">
        <v>8</v>
      </c>
      <c r="D40" s="1">
        <v>941</v>
      </c>
      <c r="E40" s="1">
        <v>460</v>
      </c>
      <c r="F40" s="2">
        <v>0.48884165781083999</v>
      </c>
      <c r="G40" s="1">
        <v>14</v>
      </c>
      <c r="H40" s="2">
        <v>3.0434782608695699E-2</v>
      </c>
      <c r="I40" s="102">
        <v>1.4877789585547301E-2</v>
      </c>
    </row>
    <row r="41" spans="1:9" x14ac:dyDescent="0.35">
      <c r="A41" s="8">
        <v>45690</v>
      </c>
      <c r="B41" t="s">
        <v>151</v>
      </c>
      <c r="C41" t="s">
        <v>7</v>
      </c>
      <c r="D41" s="1">
        <v>306535</v>
      </c>
      <c r="E41" s="1">
        <v>117747</v>
      </c>
      <c r="F41" s="2">
        <v>0.38412253086923198</v>
      </c>
      <c r="G41" s="1">
        <v>1585</v>
      </c>
      <c r="H41" s="2">
        <v>1.34610648254308E-2</v>
      </c>
      <c r="I41" s="102">
        <v>5.1706982889392697E-3</v>
      </c>
    </row>
    <row r="42" spans="1:9" x14ac:dyDescent="0.35">
      <c r="A42" s="8">
        <v>45690</v>
      </c>
      <c r="B42" t="s">
        <v>151</v>
      </c>
      <c r="C42" t="s">
        <v>8</v>
      </c>
      <c r="D42" s="1">
        <v>940</v>
      </c>
      <c r="E42" s="1">
        <v>450</v>
      </c>
      <c r="F42" s="2">
        <v>0.47872340425531901</v>
      </c>
      <c r="G42" s="1">
        <v>24</v>
      </c>
      <c r="H42" s="2">
        <v>5.3333333333333302E-2</v>
      </c>
      <c r="I42" s="102">
        <v>2.5531914893616999E-2</v>
      </c>
    </row>
    <row r="43" spans="1:9" x14ac:dyDescent="0.35">
      <c r="A43" s="8">
        <v>45690</v>
      </c>
      <c r="B43" t="s">
        <v>152</v>
      </c>
      <c r="C43" t="s">
        <v>7</v>
      </c>
      <c r="D43" s="1">
        <v>81500</v>
      </c>
      <c r="E43" s="1">
        <v>31119</v>
      </c>
      <c r="F43" s="2">
        <v>0.38182822085889601</v>
      </c>
      <c r="G43" s="1">
        <v>539</v>
      </c>
      <c r="H43" s="2">
        <v>1.7320607988688601E-2</v>
      </c>
      <c r="I43" s="102">
        <v>6.6134969325153401E-3</v>
      </c>
    </row>
    <row r="44" spans="1:9" x14ac:dyDescent="0.35">
      <c r="A44" s="8">
        <v>45693</v>
      </c>
      <c r="B44" t="s">
        <v>155</v>
      </c>
      <c r="C44" t="s">
        <v>7</v>
      </c>
      <c r="D44" s="1">
        <v>3404977</v>
      </c>
      <c r="E44" s="1">
        <v>1362040</v>
      </c>
      <c r="F44" s="2">
        <v>0.40001444943681003</v>
      </c>
      <c r="G44" s="1">
        <v>25596</v>
      </c>
      <c r="H44" s="2">
        <v>1.8792399635840399E-2</v>
      </c>
      <c r="I44" s="102">
        <v>7.51723139392718E-3</v>
      </c>
    </row>
    <row r="45" spans="1:9" x14ac:dyDescent="0.35">
      <c r="A45" s="8">
        <v>45693</v>
      </c>
      <c r="B45" t="s">
        <v>156</v>
      </c>
      <c r="C45" t="s">
        <v>8</v>
      </c>
      <c r="D45" s="1">
        <v>172551</v>
      </c>
      <c r="E45" s="1">
        <v>72949</v>
      </c>
      <c r="F45" s="2">
        <v>0.42276776141546601</v>
      </c>
      <c r="G45" s="1">
        <v>1477</v>
      </c>
      <c r="H45" s="2">
        <v>2.0247021892006702E-2</v>
      </c>
      <c r="I45" s="102">
        <v>8.5597881206136203E-3</v>
      </c>
    </row>
    <row r="46" spans="1:9" x14ac:dyDescent="0.35">
      <c r="A46" s="8">
        <v>45693</v>
      </c>
      <c r="B46" t="s">
        <v>157</v>
      </c>
      <c r="C46" t="s">
        <v>7</v>
      </c>
      <c r="D46" s="1">
        <v>523557</v>
      </c>
      <c r="E46" s="1">
        <v>194602</v>
      </c>
      <c r="F46" s="2">
        <v>0.37169209847256401</v>
      </c>
      <c r="G46" s="1">
        <v>1152</v>
      </c>
      <c r="H46" s="2">
        <v>5.9197747196842801E-3</v>
      </c>
      <c r="I46" s="102">
        <v>2.20033348804428E-3</v>
      </c>
    </row>
    <row r="47" spans="1:9" x14ac:dyDescent="0.35">
      <c r="A47" s="8">
        <v>45693</v>
      </c>
      <c r="B47" t="s">
        <v>158</v>
      </c>
      <c r="C47" t="s">
        <v>8</v>
      </c>
      <c r="D47" s="1">
        <v>28035</v>
      </c>
      <c r="E47" s="1">
        <v>10239</v>
      </c>
      <c r="F47" s="2">
        <v>0.36522204387372897</v>
      </c>
      <c r="G47" s="1">
        <v>81</v>
      </c>
      <c r="H47" s="2">
        <v>7.9109288016407792E-3</v>
      </c>
      <c r="I47" s="102">
        <v>2.8892455858748E-3</v>
      </c>
    </row>
    <row r="48" spans="1:9" x14ac:dyDescent="0.35">
      <c r="A48" s="8">
        <v>45694</v>
      </c>
      <c r="B48" t="s">
        <v>159</v>
      </c>
      <c r="C48" t="s">
        <v>7</v>
      </c>
      <c r="D48" s="1">
        <v>557268</v>
      </c>
      <c r="E48" s="1">
        <v>143884</v>
      </c>
      <c r="F48" s="2">
        <v>0.25819533868802802</v>
      </c>
      <c r="G48" s="1">
        <v>1653</v>
      </c>
      <c r="H48" s="2">
        <v>1.1488421228211599E-2</v>
      </c>
      <c r="I48" s="102">
        <v>2.96625681000883E-3</v>
      </c>
    </row>
    <row r="49" spans="1:9" x14ac:dyDescent="0.35">
      <c r="A49" s="8">
        <v>45694</v>
      </c>
      <c r="B49" t="s">
        <v>160</v>
      </c>
      <c r="C49" t="s">
        <v>85</v>
      </c>
      <c r="D49" s="1">
        <v>66</v>
      </c>
      <c r="E49" s="1">
        <v>24</v>
      </c>
      <c r="F49" s="2">
        <v>0.36363636363636398</v>
      </c>
      <c r="G49" s="1">
        <v>3</v>
      </c>
      <c r="H49" s="2">
        <v>0.125</v>
      </c>
      <c r="I49" s="102">
        <v>4.5454545454545497E-2</v>
      </c>
    </row>
    <row r="50" spans="1:9" x14ac:dyDescent="0.35">
      <c r="A50" s="8">
        <v>45694</v>
      </c>
      <c r="B50" t="s">
        <v>161</v>
      </c>
      <c r="C50" t="s">
        <v>87</v>
      </c>
      <c r="D50" s="1">
        <v>3</v>
      </c>
      <c r="E50" s="1">
        <v>1</v>
      </c>
      <c r="F50" s="2">
        <v>0.33333333333333298</v>
      </c>
      <c r="G50" s="1">
        <v>0</v>
      </c>
      <c r="H50" s="2">
        <v>0</v>
      </c>
      <c r="I50" s="102">
        <v>0</v>
      </c>
    </row>
    <row r="51" spans="1:9" x14ac:dyDescent="0.35">
      <c r="A51" s="8">
        <v>45694</v>
      </c>
      <c r="B51" t="s">
        <v>162</v>
      </c>
      <c r="C51" t="s">
        <v>7</v>
      </c>
      <c r="D51" s="1">
        <v>305371</v>
      </c>
      <c r="E51" s="1">
        <v>111686</v>
      </c>
      <c r="F51" s="2">
        <v>0.36573872437133798</v>
      </c>
      <c r="G51" s="1">
        <v>754</v>
      </c>
      <c r="H51" s="2">
        <v>6.75106996400623E-3</v>
      </c>
      <c r="I51" s="102">
        <v>2.4691277167773001E-3</v>
      </c>
    </row>
    <row r="52" spans="1:9" x14ac:dyDescent="0.35">
      <c r="A52" s="8">
        <v>45694</v>
      </c>
      <c r="B52" t="s">
        <v>163</v>
      </c>
      <c r="C52" t="s">
        <v>7</v>
      </c>
      <c r="D52" s="1">
        <v>88603</v>
      </c>
      <c r="E52" s="1">
        <v>36559</v>
      </c>
      <c r="F52" s="2">
        <v>0.41261582564924398</v>
      </c>
      <c r="G52" s="1">
        <v>464</v>
      </c>
      <c r="H52" s="2">
        <v>1.2691813233403499E-2</v>
      </c>
      <c r="I52" s="102">
        <v>5.2368429962868102E-3</v>
      </c>
    </row>
    <row r="53" spans="1:9" x14ac:dyDescent="0.35">
      <c r="A53" s="8">
        <v>45694</v>
      </c>
      <c r="B53" t="s">
        <v>164</v>
      </c>
      <c r="C53" t="s">
        <v>110</v>
      </c>
      <c r="D53" s="1">
        <v>13950</v>
      </c>
      <c r="E53" s="1">
        <v>4926</v>
      </c>
      <c r="F53" s="2">
        <v>0.353118279569892</v>
      </c>
      <c r="G53" s="1">
        <v>19</v>
      </c>
      <c r="H53" s="2">
        <v>3.8570848558668299E-3</v>
      </c>
      <c r="I53" s="102">
        <v>1.3620071684587801E-3</v>
      </c>
    </row>
    <row r="54" spans="1:9" x14ac:dyDescent="0.35">
      <c r="A54" s="8">
        <v>45694</v>
      </c>
      <c r="B54" t="s">
        <v>164</v>
      </c>
      <c r="C54" t="s">
        <v>90</v>
      </c>
      <c r="D54" s="1">
        <v>263977</v>
      </c>
      <c r="E54" s="1">
        <v>94009</v>
      </c>
      <c r="F54" s="2">
        <v>0.35612572307435902</v>
      </c>
      <c r="G54" s="1">
        <v>602</v>
      </c>
      <c r="H54" s="2">
        <v>6.4036422044697902E-3</v>
      </c>
      <c r="I54" s="102">
        <v>2.2805017103762798E-3</v>
      </c>
    </row>
    <row r="55" spans="1:9" x14ac:dyDescent="0.35">
      <c r="A55" s="8">
        <v>45694</v>
      </c>
      <c r="B55" t="s">
        <v>164</v>
      </c>
      <c r="C55" t="s">
        <v>111</v>
      </c>
      <c r="D55" s="1">
        <v>737</v>
      </c>
      <c r="E55" s="1">
        <v>263</v>
      </c>
      <c r="F55" s="2">
        <v>0.35685210312075999</v>
      </c>
      <c r="G55" s="1">
        <v>2</v>
      </c>
      <c r="H55" s="2">
        <v>7.6045627376425898E-3</v>
      </c>
      <c r="I55" s="102">
        <v>2.7137042062415199E-3</v>
      </c>
    </row>
    <row r="56" spans="1:9" x14ac:dyDescent="0.35">
      <c r="A56" s="8">
        <v>45694</v>
      </c>
      <c r="B56" t="s">
        <v>164</v>
      </c>
      <c r="C56" t="s">
        <v>91</v>
      </c>
      <c r="D56" s="1">
        <v>14676</v>
      </c>
      <c r="E56" s="1">
        <v>5144</v>
      </c>
      <c r="F56" s="2">
        <v>0.35050422458435498</v>
      </c>
      <c r="G56" s="1">
        <v>49</v>
      </c>
      <c r="H56" s="2">
        <v>9.5256609642301697E-3</v>
      </c>
      <c r="I56" s="102">
        <v>3.33878440992096E-3</v>
      </c>
    </row>
    <row r="57" spans="1:9" ht="16" thickBot="1" x14ac:dyDescent="0.4">
      <c r="A57" s="22" t="s">
        <v>13</v>
      </c>
      <c r="B57" s="4"/>
      <c r="C57" s="4"/>
      <c r="D57" s="19">
        <f>SUM(D37:D56)</f>
        <v>6150036</v>
      </c>
      <c r="E57" s="19">
        <f>SUM(E37:E56)</f>
        <v>2341899</v>
      </c>
      <c r="F57" s="20">
        <f>AVERAGE(F37:F56)</f>
        <v>0.38772576866353881</v>
      </c>
      <c r="G57" s="19">
        <f>SUM(G37:G56)</f>
        <v>37827</v>
      </c>
      <c r="H57" s="20">
        <f>AVERAGE(H37:H56)</f>
        <v>2.46328793611203E-2</v>
      </c>
      <c r="I57" s="21">
        <f>AVERAGE(I37:I56)</f>
        <v>1.0168202842116288E-2</v>
      </c>
    </row>
  </sheetData>
  <mergeCells count="2">
    <mergeCell ref="A27:I27"/>
    <mergeCell ref="A35:I35"/>
  </mergeCells>
  <pageMargins left="0.7" right="0.7" top="0.75" bottom="0.75" header="0.3" footer="0.3"/>
  <ignoredErrors>
    <ignoredError sqref="F26:G26 F34:G34 F57:G57" formula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0511-EC66-4857-A539-EF1BD6846932}">
  <dimension ref="A1:I47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45695</v>
      </c>
      <c r="B2" t="s">
        <v>174</v>
      </c>
      <c r="C2" t="s">
        <v>7</v>
      </c>
      <c r="D2" s="1">
        <v>3928373</v>
      </c>
      <c r="E2" s="1">
        <v>1462468</v>
      </c>
      <c r="F2" s="2">
        <v>0.37228338551354501</v>
      </c>
      <c r="G2" s="1">
        <v>9979</v>
      </c>
      <c r="H2" s="2">
        <v>6.8233971615105403E-3</v>
      </c>
      <c r="I2" s="2">
        <v>2.5402373959906598E-3</v>
      </c>
    </row>
    <row r="3" spans="1:9" x14ac:dyDescent="0.35">
      <c r="A3" s="13">
        <v>45695</v>
      </c>
      <c r="B3" t="s">
        <v>174</v>
      </c>
      <c r="C3" t="s">
        <v>8</v>
      </c>
      <c r="D3" s="1">
        <v>259918</v>
      </c>
      <c r="E3" s="1">
        <v>95925</v>
      </c>
      <c r="F3" s="2">
        <v>0.369058703129448</v>
      </c>
      <c r="G3" s="1">
        <v>782</v>
      </c>
      <c r="H3" s="2">
        <v>8.1522022413343803E-3</v>
      </c>
      <c r="I3" s="2">
        <v>3.00864118683585E-3</v>
      </c>
    </row>
    <row r="4" spans="1:9" x14ac:dyDescent="0.35">
      <c r="A4" s="13">
        <v>45695</v>
      </c>
      <c r="B4" t="s">
        <v>165</v>
      </c>
      <c r="C4" t="s">
        <v>7</v>
      </c>
      <c r="D4" s="1">
        <v>4910944</v>
      </c>
      <c r="E4" s="1">
        <v>1523057</v>
      </c>
      <c r="F4" s="2">
        <v>0.31013528152632203</v>
      </c>
      <c r="G4" s="1">
        <v>18507</v>
      </c>
      <c r="H4" s="2">
        <v>1.2151219553831499E-2</v>
      </c>
      <c r="I4" s="2">
        <v>3.7685218972156901E-3</v>
      </c>
    </row>
    <row r="5" spans="1:9" x14ac:dyDescent="0.35">
      <c r="A5" s="13">
        <v>45695</v>
      </c>
      <c r="B5" t="s">
        <v>165</v>
      </c>
      <c r="C5" t="s">
        <v>8</v>
      </c>
      <c r="D5" s="1">
        <v>315572</v>
      </c>
      <c r="E5" s="1">
        <v>88329</v>
      </c>
      <c r="F5" s="2">
        <v>0.27990125866680199</v>
      </c>
      <c r="G5" s="1">
        <v>1373</v>
      </c>
      <c r="H5" s="2">
        <v>1.5544158770052901E-2</v>
      </c>
      <c r="I5" s="2">
        <v>4.3508296046544104E-3</v>
      </c>
    </row>
    <row r="6" spans="1:9" x14ac:dyDescent="0.35">
      <c r="A6" s="13">
        <v>45697</v>
      </c>
      <c r="B6" t="s">
        <v>166</v>
      </c>
      <c r="C6" t="s">
        <v>7</v>
      </c>
      <c r="D6" s="1">
        <v>6333099</v>
      </c>
      <c r="E6" s="1">
        <v>2298407</v>
      </c>
      <c r="F6" s="2">
        <v>0.36291979645352102</v>
      </c>
      <c r="G6" s="1">
        <v>57106</v>
      </c>
      <c r="H6" s="2">
        <v>2.4845904141433599E-2</v>
      </c>
      <c r="I6" s="2">
        <v>9.0170704737127898E-3</v>
      </c>
    </row>
    <row r="7" spans="1:9" x14ac:dyDescent="0.35">
      <c r="A7" s="13">
        <v>45697</v>
      </c>
      <c r="B7" t="s">
        <v>166</v>
      </c>
      <c r="C7" t="s">
        <v>8</v>
      </c>
      <c r="D7" s="1">
        <v>405806</v>
      </c>
      <c r="E7" s="1">
        <v>145119</v>
      </c>
      <c r="F7" s="2">
        <v>0.357606836764365</v>
      </c>
      <c r="G7" s="1">
        <v>4983</v>
      </c>
      <c r="H7" s="2">
        <v>3.4337336944163098E-2</v>
      </c>
      <c r="I7" s="2">
        <v>1.22792664475143E-2</v>
      </c>
    </row>
    <row r="8" spans="1:9" x14ac:dyDescent="0.35">
      <c r="A8" s="13">
        <v>45698</v>
      </c>
      <c r="B8" t="s">
        <v>167</v>
      </c>
      <c r="C8" t="s">
        <v>7</v>
      </c>
      <c r="D8" s="1">
        <v>298554</v>
      </c>
      <c r="E8" s="1">
        <v>109292</v>
      </c>
      <c r="F8" s="2">
        <v>0.36607112951090898</v>
      </c>
      <c r="G8" s="1">
        <v>832</v>
      </c>
      <c r="H8" s="2">
        <v>7.6126340445778302E-3</v>
      </c>
      <c r="I8" s="2">
        <v>2.7867655432518099E-3</v>
      </c>
    </row>
    <row r="9" spans="1:9" x14ac:dyDescent="0.35">
      <c r="A9" s="13">
        <v>45698</v>
      </c>
      <c r="B9" t="s">
        <v>167</v>
      </c>
      <c r="C9" t="s">
        <v>8</v>
      </c>
      <c r="D9" s="1">
        <v>935</v>
      </c>
      <c r="E9" s="1">
        <v>411</v>
      </c>
      <c r="F9" s="2">
        <v>0.43957219251336899</v>
      </c>
      <c r="G9" s="1">
        <v>5</v>
      </c>
      <c r="H9" s="2">
        <v>1.21654501216545E-2</v>
      </c>
      <c r="I9" s="2">
        <v>5.3475935828877002E-3</v>
      </c>
    </row>
    <row r="10" spans="1:9" x14ac:dyDescent="0.35">
      <c r="A10" s="13">
        <v>45699</v>
      </c>
      <c r="B10" t="s">
        <v>168</v>
      </c>
      <c r="C10" t="s">
        <v>7</v>
      </c>
      <c r="D10" s="1">
        <v>1415756</v>
      </c>
      <c r="E10" s="1">
        <v>458168</v>
      </c>
      <c r="F10" s="2">
        <v>0.323620736906642</v>
      </c>
      <c r="G10" s="1">
        <v>10134</v>
      </c>
      <c r="H10" s="2">
        <v>2.21185242094603E-2</v>
      </c>
      <c r="I10" s="2">
        <v>7.1580131039529404E-3</v>
      </c>
    </row>
    <row r="11" spans="1:9" x14ac:dyDescent="0.35">
      <c r="A11" s="13">
        <v>45699</v>
      </c>
      <c r="B11" t="s">
        <v>168</v>
      </c>
      <c r="C11" t="s">
        <v>8</v>
      </c>
      <c r="D11" s="1">
        <v>90084</v>
      </c>
      <c r="E11" s="1">
        <v>28517</v>
      </c>
      <c r="F11" s="2">
        <v>0.31656009946272401</v>
      </c>
      <c r="G11" s="1">
        <v>677</v>
      </c>
      <c r="H11" s="2">
        <v>2.3740225128870501E-2</v>
      </c>
      <c r="I11" s="2">
        <v>7.5152080280627004E-3</v>
      </c>
    </row>
    <row r="12" spans="1:9" x14ac:dyDescent="0.35">
      <c r="A12" s="13">
        <v>45699</v>
      </c>
      <c r="B12" t="s">
        <v>169</v>
      </c>
      <c r="C12" t="s">
        <v>85</v>
      </c>
      <c r="D12" s="1">
        <v>15741</v>
      </c>
      <c r="E12" s="1">
        <v>4821</v>
      </c>
      <c r="F12" s="2">
        <v>0.30627024966647598</v>
      </c>
      <c r="G12" s="1">
        <v>347</v>
      </c>
      <c r="H12" s="2">
        <v>7.1976768305330799E-2</v>
      </c>
      <c r="I12" s="2">
        <v>2.2044342799059799E-2</v>
      </c>
    </row>
    <row r="13" spans="1:9" x14ac:dyDescent="0.35">
      <c r="A13" s="13">
        <v>45700</v>
      </c>
      <c r="B13" t="s">
        <v>170</v>
      </c>
      <c r="C13" t="s">
        <v>87</v>
      </c>
      <c r="D13" s="1">
        <v>753</v>
      </c>
      <c r="E13" s="1">
        <v>177</v>
      </c>
      <c r="F13" s="2">
        <v>0.23505976095617501</v>
      </c>
      <c r="G13" s="1">
        <v>14</v>
      </c>
      <c r="H13" s="2">
        <v>7.9096045197740106E-2</v>
      </c>
      <c r="I13" s="2">
        <v>1.8592297476759601E-2</v>
      </c>
    </row>
    <row r="14" spans="1:9" x14ac:dyDescent="0.35">
      <c r="A14" s="13">
        <v>45700</v>
      </c>
      <c r="B14" t="s">
        <v>171</v>
      </c>
      <c r="C14" t="s">
        <v>85</v>
      </c>
      <c r="D14" s="1">
        <v>778</v>
      </c>
      <c r="E14" s="1">
        <v>217</v>
      </c>
      <c r="F14" s="2">
        <v>0.27892030848329002</v>
      </c>
      <c r="G14" s="1">
        <v>27</v>
      </c>
      <c r="H14" s="2">
        <v>0.124423963133641</v>
      </c>
      <c r="I14" s="2">
        <v>3.4704370179948603E-2</v>
      </c>
    </row>
    <row r="15" spans="1:9" x14ac:dyDescent="0.35">
      <c r="A15" s="13">
        <v>45700</v>
      </c>
      <c r="B15" t="s">
        <v>172</v>
      </c>
      <c r="C15" t="s">
        <v>7</v>
      </c>
      <c r="D15" s="1">
        <v>6319884</v>
      </c>
      <c r="E15" s="1">
        <v>2080185</v>
      </c>
      <c r="F15" s="2">
        <v>0.32914923754929698</v>
      </c>
      <c r="G15" s="1">
        <v>30831</v>
      </c>
      <c r="H15" s="2">
        <v>1.48212779151854E-2</v>
      </c>
      <c r="I15" s="2">
        <v>4.8784123252895101E-3</v>
      </c>
    </row>
    <row r="16" spans="1:9" x14ac:dyDescent="0.35">
      <c r="A16" s="13">
        <v>45700</v>
      </c>
      <c r="B16" t="s">
        <v>172</v>
      </c>
      <c r="C16" t="s">
        <v>8</v>
      </c>
      <c r="D16" s="1">
        <v>404826</v>
      </c>
      <c r="E16" s="1">
        <v>132482</v>
      </c>
      <c r="F16" s="2">
        <v>0.32725664853542002</v>
      </c>
      <c r="G16" s="1">
        <v>2820</v>
      </c>
      <c r="H16" s="2">
        <v>2.1285910538790202E-2</v>
      </c>
      <c r="I16" s="2">
        <v>6.9659557439492497E-3</v>
      </c>
    </row>
    <row r="17" spans="1:9" x14ac:dyDescent="0.35">
      <c r="A17" s="13">
        <v>45701</v>
      </c>
      <c r="B17" t="s">
        <v>173</v>
      </c>
      <c r="C17" t="s">
        <v>110</v>
      </c>
      <c r="D17" s="1">
        <v>55891</v>
      </c>
      <c r="E17" s="1">
        <v>20513</v>
      </c>
      <c r="F17" s="2">
        <v>0.36701794564419998</v>
      </c>
      <c r="G17" s="1">
        <v>144</v>
      </c>
      <c r="H17" s="2">
        <v>7.0199385755374596E-3</v>
      </c>
      <c r="I17" s="2">
        <v>2.5764434345422302E-3</v>
      </c>
    </row>
    <row r="18" spans="1:9" x14ac:dyDescent="0.35">
      <c r="A18" s="13">
        <v>45701</v>
      </c>
      <c r="B18" t="s">
        <v>173</v>
      </c>
      <c r="C18" t="s">
        <v>90</v>
      </c>
      <c r="D18" s="1">
        <v>1061925</v>
      </c>
      <c r="E18" s="1">
        <v>390221</v>
      </c>
      <c r="F18" s="2">
        <v>0.367465687313134</v>
      </c>
      <c r="G18" s="1">
        <v>2521</v>
      </c>
      <c r="H18" s="2">
        <v>6.4604416471691697E-3</v>
      </c>
      <c r="I18" s="2">
        <v>2.3739906302234098E-3</v>
      </c>
    </row>
    <row r="19" spans="1:9" x14ac:dyDescent="0.35">
      <c r="A19" s="13">
        <v>45701</v>
      </c>
      <c r="B19" t="s">
        <v>173</v>
      </c>
      <c r="C19" t="s">
        <v>111</v>
      </c>
      <c r="D19" s="1">
        <v>3071</v>
      </c>
      <c r="E19" s="1">
        <v>1132</v>
      </c>
      <c r="F19" s="2">
        <v>0.36860957342885098</v>
      </c>
      <c r="G19" s="1">
        <v>4</v>
      </c>
      <c r="H19" s="2">
        <v>3.53356890459364E-3</v>
      </c>
      <c r="I19" s="2">
        <v>1.3025073266037101E-3</v>
      </c>
    </row>
    <row r="20" spans="1:9" x14ac:dyDescent="0.35">
      <c r="A20" s="13">
        <v>45701</v>
      </c>
      <c r="B20" t="s">
        <v>173</v>
      </c>
      <c r="C20" t="s">
        <v>91</v>
      </c>
      <c r="D20" s="1">
        <v>57922</v>
      </c>
      <c r="E20" s="1">
        <v>21792</v>
      </c>
      <c r="F20" s="2">
        <v>0.37623010255170702</v>
      </c>
      <c r="G20" s="1">
        <v>193</v>
      </c>
      <c r="H20" s="2">
        <v>8.8564610866372993E-3</v>
      </c>
      <c r="I20" s="2">
        <v>3.3320672628707601E-3</v>
      </c>
    </row>
    <row r="21" spans="1:9" ht="16" thickBot="1" x14ac:dyDescent="0.4">
      <c r="A21" s="23" t="s">
        <v>13</v>
      </c>
      <c r="D21" s="17">
        <f>SUM(D2:D20)</f>
        <v>25879832</v>
      </c>
      <c r="E21" s="17">
        <f>SUM(E2:E20)</f>
        <v>8861233</v>
      </c>
      <c r="F21" s="18">
        <f>AVERAGE(F2:F20)</f>
        <v>0.33966889129348404</v>
      </c>
      <c r="G21" s="17">
        <f>SUM(G2:G20)</f>
        <v>141279</v>
      </c>
      <c r="H21" s="18">
        <f>AVERAGE(H2:H20)</f>
        <v>2.6577127769553385E-2</v>
      </c>
      <c r="I21" s="18">
        <f>AVERAGE(I2:I20)</f>
        <v>8.1338176022803018E-3</v>
      </c>
    </row>
    <row r="22" spans="1:9" ht="15" thickBot="1" x14ac:dyDescent="0.4">
      <c r="A22" s="123" t="s">
        <v>19</v>
      </c>
      <c r="B22" s="123"/>
      <c r="C22" s="123"/>
      <c r="D22" s="123"/>
      <c r="E22" s="123"/>
      <c r="F22" s="123"/>
      <c r="G22" s="123"/>
      <c r="H22" s="123"/>
      <c r="I22" s="123"/>
    </row>
    <row r="23" spans="1:9" ht="15.5" x14ac:dyDescent="0.35">
      <c r="A23" s="24" t="s">
        <v>9</v>
      </c>
      <c r="B23" s="25" t="s">
        <v>0</v>
      </c>
      <c r="C23" s="25" t="s">
        <v>16</v>
      </c>
      <c r="D23" s="25" t="s">
        <v>1</v>
      </c>
      <c r="E23" s="25" t="s">
        <v>2</v>
      </c>
      <c r="F23" s="25" t="s">
        <v>3</v>
      </c>
      <c r="G23" s="25" t="s">
        <v>4</v>
      </c>
      <c r="H23" s="25" t="s">
        <v>5</v>
      </c>
      <c r="I23" s="26" t="s">
        <v>6</v>
      </c>
    </row>
    <row r="24" spans="1:9" x14ac:dyDescent="0.35">
      <c r="A24" s="5" t="s">
        <v>12</v>
      </c>
      <c r="B24" s="6"/>
      <c r="C24" s="6"/>
      <c r="D24" s="6"/>
      <c r="E24" s="6"/>
      <c r="F24" s="6"/>
      <c r="G24" s="6"/>
      <c r="H24" s="6"/>
      <c r="I24" s="7"/>
    </row>
    <row r="25" spans="1:9" x14ac:dyDescent="0.35">
      <c r="A25" s="8">
        <v>45695</v>
      </c>
      <c r="B25" t="s">
        <v>165</v>
      </c>
      <c r="C25" t="s">
        <v>7</v>
      </c>
      <c r="D25" s="1">
        <v>4910944</v>
      </c>
      <c r="E25" s="1">
        <v>1523057</v>
      </c>
      <c r="F25" s="2">
        <v>0.31013528152632203</v>
      </c>
      <c r="G25" s="1">
        <v>18507</v>
      </c>
      <c r="H25" s="2">
        <v>1.2151219553831499E-2</v>
      </c>
      <c r="I25" s="102">
        <v>3.7685218972156901E-3</v>
      </c>
    </row>
    <row r="26" spans="1:9" x14ac:dyDescent="0.35">
      <c r="A26" s="8">
        <v>45695</v>
      </c>
      <c r="B26" t="s">
        <v>165</v>
      </c>
      <c r="C26" t="s">
        <v>8</v>
      </c>
      <c r="D26" s="1">
        <v>315572</v>
      </c>
      <c r="E26" s="1">
        <v>88329</v>
      </c>
      <c r="F26" s="2">
        <v>0.27990125866680199</v>
      </c>
      <c r="G26" s="1">
        <v>1373</v>
      </c>
      <c r="H26" s="2">
        <v>1.5544158770052901E-2</v>
      </c>
      <c r="I26" s="102">
        <v>4.3508296046544104E-3</v>
      </c>
    </row>
    <row r="27" spans="1:9" x14ac:dyDescent="0.35">
      <c r="A27" s="8">
        <v>45699</v>
      </c>
      <c r="B27" t="s">
        <v>168</v>
      </c>
      <c r="C27" t="s">
        <v>7</v>
      </c>
      <c r="D27" s="1">
        <v>1415756</v>
      </c>
      <c r="E27" s="1">
        <v>458168</v>
      </c>
      <c r="F27" s="2">
        <v>0.323620736906642</v>
      </c>
      <c r="G27" s="1">
        <v>10134</v>
      </c>
      <c r="H27" s="2">
        <v>2.21185242094603E-2</v>
      </c>
      <c r="I27" s="102">
        <v>7.1580131039529404E-3</v>
      </c>
    </row>
    <row r="28" spans="1:9" x14ac:dyDescent="0.35">
      <c r="A28" s="8">
        <v>45699</v>
      </c>
      <c r="B28" t="s">
        <v>168</v>
      </c>
      <c r="C28" t="s">
        <v>8</v>
      </c>
      <c r="D28" s="1">
        <v>90084</v>
      </c>
      <c r="E28" s="1">
        <v>28517</v>
      </c>
      <c r="F28" s="2">
        <v>0.31656009946272401</v>
      </c>
      <c r="G28" s="1">
        <v>677</v>
      </c>
      <c r="H28" s="2">
        <v>2.3740225128870501E-2</v>
      </c>
      <c r="I28" s="102">
        <v>7.5152080280627004E-3</v>
      </c>
    </row>
    <row r="29" spans="1:9" ht="16" thickBot="1" x14ac:dyDescent="0.4">
      <c r="A29" s="22" t="s">
        <v>13</v>
      </c>
      <c r="B29" s="4"/>
      <c r="C29" s="4"/>
      <c r="D29" s="19">
        <f>SUM(D25:D28)</f>
        <v>6732356</v>
      </c>
      <c r="E29" s="19">
        <f>SUM(E25:E28)</f>
        <v>2098071</v>
      </c>
      <c r="F29" s="20">
        <f>AVERAGE(F25:F28)</f>
        <v>0.30755434414062249</v>
      </c>
      <c r="G29" s="19">
        <f>SUM(G25:G28)</f>
        <v>30691</v>
      </c>
      <c r="H29" s="20">
        <f>AVERAGE(H25:H28)</f>
        <v>1.8388531915553799E-2</v>
      </c>
      <c r="I29" s="21">
        <f>AVERAGE(I25:I28)</f>
        <v>5.6981431584714358E-3</v>
      </c>
    </row>
    <row r="30" spans="1:9" ht="3" customHeight="1" thickBot="1" x14ac:dyDescent="0.4">
      <c r="A30" s="121"/>
      <c r="B30" s="121"/>
      <c r="C30" s="121"/>
      <c r="D30" s="121"/>
      <c r="E30" s="121"/>
      <c r="F30" s="121"/>
      <c r="G30" s="121"/>
      <c r="H30" s="121"/>
      <c r="I30" s="121"/>
    </row>
    <row r="31" spans="1:9" x14ac:dyDescent="0.35">
      <c r="A31" s="10" t="s">
        <v>216</v>
      </c>
      <c r="B31" s="11"/>
      <c r="C31" s="11"/>
      <c r="D31" s="11"/>
      <c r="E31" s="11"/>
      <c r="F31" s="11"/>
      <c r="G31" s="11"/>
      <c r="H31" s="11"/>
      <c r="I31" s="12"/>
    </row>
    <row r="32" spans="1:9" x14ac:dyDescent="0.35">
      <c r="A32" s="8">
        <v>45695</v>
      </c>
      <c r="B32" t="s">
        <v>174</v>
      </c>
      <c r="C32" t="s">
        <v>7</v>
      </c>
      <c r="D32" s="1">
        <v>3928373</v>
      </c>
      <c r="E32" s="1">
        <v>1462468</v>
      </c>
      <c r="F32" s="2">
        <v>0.37228338551354501</v>
      </c>
      <c r="G32" s="1">
        <v>9979</v>
      </c>
      <c r="H32" s="2">
        <v>6.8233971615105403E-3</v>
      </c>
      <c r="I32" s="102">
        <v>2.5402373959906598E-3</v>
      </c>
    </row>
    <row r="33" spans="1:9" x14ac:dyDescent="0.35">
      <c r="A33" s="8">
        <v>45695</v>
      </c>
      <c r="B33" t="s">
        <v>174</v>
      </c>
      <c r="C33" t="s">
        <v>8</v>
      </c>
      <c r="D33" s="1">
        <v>259918</v>
      </c>
      <c r="E33" s="1">
        <v>95925</v>
      </c>
      <c r="F33" s="2">
        <v>0.369058703129448</v>
      </c>
      <c r="G33" s="1">
        <v>782</v>
      </c>
      <c r="H33" s="2">
        <v>8.1522022413343803E-3</v>
      </c>
      <c r="I33" s="102">
        <v>3.00864118683585E-3</v>
      </c>
    </row>
    <row r="34" spans="1:9" x14ac:dyDescent="0.35">
      <c r="A34" s="8">
        <v>45697</v>
      </c>
      <c r="B34" t="s">
        <v>166</v>
      </c>
      <c r="C34" t="s">
        <v>7</v>
      </c>
      <c r="D34" s="1">
        <v>6333099</v>
      </c>
      <c r="E34" s="1">
        <v>2298407</v>
      </c>
      <c r="F34" s="2">
        <v>0.36291979645352102</v>
      </c>
      <c r="G34" s="1">
        <v>57106</v>
      </c>
      <c r="H34" s="2">
        <v>2.4845904141433599E-2</v>
      </c>
      <c r="I34" s="102">
        <v>9.0170704737127898E-3</v>
      </c>
    </row>
    <row r="35" spans="1:9" x14ac:dyDescent="0.35">
      <c r="A35" s="8">
        <v>45697</v>
      </c>
      <c r="B35" t="s">
        <v>166</v>
      </c>
      <c r="C35" t="s">
        <v>8</v>
      </c>
      <c r="D35" s="1">
        <v>405806</v>
      </c>
      <c r="E35" s="1">
        <v>145119</v>
      </c>
      <c r="F35" s="2">
        <v>0.357606836764365</v>
      </c>
      <c r="G35" s="1">
        <v>4983</v>
      </c>
      <c r="H35" s="2">
        <v>3.4337336944163098E-2</v>
      </c>
      <c r="I35" s="102">
        <v>1.22792664475143E-2</v>
      </c>
    </row>
    <row r="36" spans="1:9" x14ac:dyDescent="0.35">
      <c r="A36" s="8">
        <v>45698</v>
      </c>
      <c r="B36" t="s">
        <v>167</v>
      </c>
      <c r="C36" t="s">
        <v>7</v>
      </c>
      <c r="D36" s="1">
        <v>298554</v>
      </c>
      <c r="E36" s="1">
        <v>109292</v>
      </c>
      <c r="F36" s="2">
        <v>0.36607112951090898</v>
      </c>
      <c r="G36" s="1">
        <v>832</v>
      </c>
      <c r="H36" s="2">
        <v>7.6126340445778302E-3</v>
      </c>
      <c r="I36" s="102">
        <v>2.7867655432518099E-3</v>
      </c>
    </row>
    <row r="37" spans="1:9" x14ac:dyDescent="0.35">
      <c r="A37" s="8">
        <v>45698</v>
      </c>
      <c r="B37" t="s">
        <v>167</v>
      </c>
      <c r="C37" t="s">
        <v>8</v>
      </c>
      <c r="D37" s="1">
        <v>935</v>
      </c>
      <c r="E37" s="1">
        <v>411</v>
      </c>
      <c r="F37" s="2">
        <v>0.43957219251336899</v>
      </c>
      <c r="G37" s="1">
        <v>5</v>
      </c>
      <c r="H37" s="2">
        <v>1.21654501216545E-2</v>
      </c>
      <c r="I37" s="102">
        <v>5.3475935828877002E-3</v>
      </c>
    </row>
    <row r="38" spans="1:9" x14ac:dyDescent="0.35">
      <c r="A38" s="8">
        <v>45699</v>
      </c>
      <c r="B38" t="s">
        <v>169</v>
      </c>
      <c r="C38" t="s">
        <v>85</v>
      </c>
      <c r="D38" s="1">
        <v>15741</v>
      </c>
      <c r="E38" s="1">
        <v>4821</v>
      </c>
      <c r="F38" s="2">
        <v>0.30627024966647598</v>
      </c>
      <c r="G38" s="1">
        <v>347</v>
      </c>
      <c r="H38" s="2">
        <v>7.1976768305330799E-2</v>
      </c>
      <c r="I38" s="102">
        <v>2.2044342799059799E-2</v>
      </c>
    </row>
    <row r="39" spans="1:9" x14ac:dyDescent="0.35">
      <c r="A39" s="8">
        <v>45700</v>
      </c>
      <c r="B39" t="s">
        <v>170</v>
      </c>
      <c r="C39" t="s">
        <v>87</v>
      </c>
      <c r="D39" s="1">
        <v>753</v>
      </c>
      <c r="E39" s="1">
        <v>177</v>
      </c>
      <c r="F39" s="2">
        <v>0.23505976095617501</v>
      </c>
      <c r="G39" s="1">
        <v>14</v>
      </c>
      <c r="H39" s="2">
        <v>7.9096045197740106E-2</v>
      </c>
      <c r="I39" s="102">
        <v>1.8592297476759601E-2</v>
      </c>
    </row>
    <row r="40" spans="1:9" x14ac:dyDescent="0.35">
      <c r="A40" s="8">
        <v>45700</v>
      </c>
      <c r="B40" t="s">
        <v>171</v>
      </c>
      <c r="C40" t="s">
        <v>85</v>
      </c>
      <c r="D40" s="1">
        <v>778</v>
      </c>
      <c r="E40" s="1">
        <v>217</v>
      </c>
      <c r="F40" s="2">
        <v>0.27892030848329002</v>
      </c>
      <c r="G40" s="1">
        <v>27</v>
      </c>
      <c r="H40" s="2">
        <v>0.124423963133641</v>
      </c>
      <c r="I40" s="102">
        <v>3.4704370179948603E-2</v>
      </c>
    </row>
    <row r="41" spans="1:9" x14ac:dyDescent="0.35">
      <c r="A41" s="8">
        <v>45700</v>
      </c>
      <c r="B41" t="s">
        <v>172</v>
      </c>
      <c r="C41" t="s">
        <v>7</v>
      </c>
      <c r="D41" s="1">
        <v>6319884</v>
      </c>
      <c r="E41" s="1">
        <v>2080185</v>
      </c>
      <c r="F41" s="2">
        <v>0.32914923754929698</v>
      </c>
      <c r="G41" s="1">
        <v>30831</v>
      </c>
      <c r="H41" s="2">
        <v>1.48212779151854E-2</v>
      </c>
      <c r="I41" s="102">
        <v>4.8784123252895101E-3</v>
      </c>
    </row>
    <row r="42" spans="1:9" x14ac:dyDescent="0.35">
      <c r="A42" s="8">
        <v>45700</v>
      </c>
      <c r="B42" t="s">
        <v>172</v>
      </c>
      <c r="C42" t="s">
        <v>8</v>
      </c>
      <c r="D42" s="1">
        <v>404826</v>
      </c>
      <c r="E42" s="1">
        <v>132482</v>
      </c>
      <c r="F42" s="2">
        <v>0.32725664853542002</v>
      </c>
      <c r="G42" s="1">
        <v>2820</v>
      </c>
      <c r="H42" s="2">
        <v>2.1285910538790202E-2</v>
      </c>
      <c r="I42" s="102">
        <v>6.9659557439492497E-3</v>
      </c>
    </row>
    <row r="43" spans="1:9" x14ac:dyDescent="0.35">
      <c r="A43" s="8">
        <v>45701</v>
      </c>
      <c r="B43" t="s">
        <v>173</v>
      </c>
      <c r="C43" t="s">
        <v>110</v>
      </c>
      <c r="D43" s="1">
        <v>55891</v>
      </c>
      <c r="E43" s="1">
        <v>20513</v>
      </c>
      <c r="F43" s="2">
        <v>0.36701794564419998</v>
      </c>
      <c r="G43" s="1">
        <v>144</v>
      </c>
      <c r="H43" s="2">
        <v>7.0199385755374596E-3</v>
      </c>
      <c r="I43" s="102">
        <v>2.5764434345422302E-3</v>
      </c>
    </row>
    <row r="44" spans="1:9" x14ac:dyDescent="0.35">
      <c r="A44" s="8">
        <v>45701</v>
      </c>
      <c r="B44" t="s">
        <v>173</v>
      </c>
      <c r="C44" t="s">
        <v>90</v>
      </c>
      <c r="D44" s="1">
        <v>1061925</v>
      </c>
      <c r="E44" s="1">
        <v>390221</v>
      </c>
      <c r="F44" s="2">
        <v>0.367465687313134</v>
      </c>
      <c r="G44" s="1">
        <v>2521</v>
      </c>
      <c r="H44" s="2">
        <v>6.4604416471691697E-3</v>
      </c>
      <c r="I44" s="102">
        <v>2.3739906302234098E-3</v>
      </c>
    </row>
    <row r="45" spans="1:9" x14ac:dyDescent="0.35">
      <c r="A45" s="8">
        <v>45701</v>
      </c>
      <c r="B45" t="s">
        <v>173</v>
      </c>
      <c r="C45" t="s">
        <v>111</v>
      </c>
      <c r="D45" s="1">
        <v>3071</v>
      </c>
      <c r="E45" s="1">
        <v>1132</v>
      </c>
      <c r="F45" s="2">
        <v>0.36860957342885098</v>
      </c>
      <c r="G45" s="1">
        <v>4</v>
      </c>
      <c r="H45" s="2">
        <v>3.53356890459364E-3</v>
      </c>
      <c r="I45" s="102">
        <v>1.3025073266037101E-3</v>
      </c>
    </row>
    <row r="46" spans="1:9" x14ac:dyDescent="0.35">
      <c r="A46" s="8">
        <v>45701</v>
      </c>
      <c r="B46" t="s">
        <v>173</v>
      </c>
      <c r="C46" t="s">
        <v>91</v>
      </c>
      <c r="D46" s="1">
        <v>57922</v>
      </c>
      <c r="E46" s="1">
        <v>21792</v>
      </c>
      <c r="F46" s="2">
        <v>0.37623010255170702</v>
      </c>
      <c r="G46" s="1">
        <v>193</v>
      </c>
      <c r="H46" s="2">
        <v>8.8564610866372993E-3</v>
      </c>
      <c r="I46" s="102">
        <v>3.3320672628707601E-3</v>
      </c>
    </row>
    <row r="47" spans="1:9" ht="16" thickBot="1" x14ac:dyDescent="0.4">
      <c r="A47" s="22" t="s">
        <v>13</v>
      </c>
      <c r="B47" s="4"/>
      <c r="C47" s="4"/>
      <c r="D47" s="19">
        <f>SUM(D32:D46)</f>
        <v>19147476</v>
      </c>
      <c r="E47" s="19">
        <f>SUM(E32:E46)</f>
        <v>6763162</v>
      </c>
      <c r="F47" s="20">
        <f>AVERAGE(F32:F46)</f>
        <v>0.34823277053424712</v>
      </c>
      <c r="G47" s="19">
        <f>SUM(G32:G46)</f>
        <v>110588</v>
      </c>
      <c r="H47" s="20">
        <f>AVERAGE(H32:H46)</f>
        <v>2.8760753330619938E-2</v>
      </c>
      <c r="I47" s="21">
        <f>AVERAGE(I32:I46)</f>
        <v>8.7833307872959999E-3</v>
      </c>
    </row>
  </sheetData>
  <mergeCells count="2">
    <mergeCell ref="A22:I22"/>
    <mergeCell ref="A30:I30"/>
  </mergeCells>
  <pageMargins left="0.7" right="0.7" top="0.75" bottom="0.75" header="0.3" footer="0.3"/>
  <ignoredErrors>
    <ignoredError sqref="F21:G21 F29:G29 F47:G47" formula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F152-2F7A-4EF7-BDC7-5D85686E2276}">
  <dimension ref="A1:I68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45702</v>
      </c>
      <c r="B2" t="s">
        <v>176</v>
      </c>
      <c r="C2" t="s">
        <v>7</v>
      </c>
      <c r="D2" s="1">
        <v>4891874</v>
      </c>
      <c r="E2" s="1">
        <v>1456040</v>
      </c>
      <c r="F2" s="2">
        <v>0.29764462453448298</v>
      </c>
      <c r="G2" s="1">
        <v>13733</v>
      </c>
      <c r="H2" s="2">
        <v>9.4317463805939396E-3</v>
      </c>
      <c r="I2" s="2">
        <v>2.80730861015635E-3</v>
      </c>
    </row>
    <row r="3" spans="1:9" x14ac:dyDescent="0.35">
      <c r="A3" s="13">
        <v>45702</v>
      </c>
      <c r="B3" t="s">
        <v>176</v>
      </c>
      <c r="C3" t="s">
        <v>8</v>
      </c>
      <c r="D3" s="1">
        <v>314209</v>
      </c>
      <c r="E3" s="1">
        <v>88000</v>
      </c>
      <c r="F3" s="2">
        <v>0.28006836214112302</v>
      </c>
      <c r="G3" s="1">
        <v>1024</v>
      </c>
      <c r="H3" s="2">
        <v>1.1636363636363599E-2</v>
      </c>
      <c r="I3" s="2">
        <v>3.2589773049148799E-3</v>
      </c>
    </row>
    <row r="4" spans="1:9" x14ac:dyDescent="0.35">
      <c r="A4" s="13">
        <v>45702</v>
      </c>
      <c r="B4" t="s">
        <v>177</v>
      </c>
      <c r="C4" t="s">
        <v>7</v>
      </c>
      <c r="D4" s="1">
        <v>307988</v>
      </c>
      <c r="E4" s="1">
        <v>118255</v>
      </c>
      <c r="F4" s="2">
        <v>0.383959764666156</v>
      </c>
      <c r="G4" s="1">
        <v>1335</v>
      </c>
      <c r="H4" s="2">
        <v>1.1289163248911299E-2</v>
      </c>
      <c r="I4" s="2">
        <v>4.3345844643297802E-3</v>
      </c>
    </row>
    <row r="5" spans="1:9" x14ac:dyDescent="0.35">
      <c r="A5" s="13">
        <v>45702</v>
      </c>
      <c r="B5" t="s">
        <v>177</v>
      </c>
      <c r="C5" t="s">
        <v>8</v>
      </c>
      <c r="D5" s="1">
        <v>963</v>
      </c>
      <c r="E5" s="1">
        <v>443</v>
      </c>
      <c r="F5" s="2">
        <v>0.46002076843198297</v>
      </c>
      <c r="G5" s="1">
        <v>16</v>
      </c>
      <c r="H5" s="2">
        <v>3.6117381489841997E-2</v>
      </c>
      <c r="I5" s="2">
        <v>1.66147455867082E-2</v>
      </c>
    </row>
    <row r="6" spans="1:9" x14ac:dyDescent="0.35">
      <c r="A6" s="13">
        <v>45702</v>
      </c>
      <c r="B6" t="s">
        <v>178</v>
      </c>
      <c r="C6" t="s">
        <v>179</v>
      </c>
      <c r="D6" s="1">
        <v>118376</v>
      </c>
      <c r="E6" s="1">
        <v>53887</v>
      </c>
      <c r="F6" s="2">
        <v>0.45521896330337203</v>
      </c>
      <c r="G6" s="1">
        <v>856</v>
      </c>
      <c r="H6" s="2">
        <v>1.5885092879544201E-2</v>
      </c>
      <c r="I6" s="2">
        <v>7.23119551260391E-3</v>
      </c>
    </row>
    <row r="7" spans="1:9" x14ac:dyDescent="0.35">
      <c r="A7" s="13">
        <v>45702</v>
      </c>
      <c r="B7" t="s">
        <v>178</v>
      </c>
      <c r="C7" t="s">
        <v>180</v>
      </c>
      <c r="D7" s="1">
        <v>72382</v>
      </c>
      <c r="E7" s="1">
        <v>32657</v>
      </c>
      <c r="F7" s="2">
        <v>0.45117570666740298</v>
      </c>
      <c r="G7" s="1">
        <v>528</v>
      </c>
      <c r="H7" s="2">
        <v>1.6168049729001401E-2</v>
      </c>
      <c r="I7" s="2">
        <v>7.2946312619159501E-3</v>
      </c>
    </row>
    <row r="8" spans="1:9" x14ac:dyDescent="0.35">
      <c r="A8" s="13">
        <v>45702</v>
      </c>
      <c r="B8" t="s">
        <v>178</v>
      </c>
      <c r="C8" t="s">
        <v>181</v>
      </c>
      <c r="D8" s="1">
        <v>32582</v>
      </c>
      <c r="E8" s="1">
        <v>15802</v>
      </c>
      <c r="F8" s="2">
        <v>0.48499171321588602</v>
      </c>
      <c r="G8" s="1">
        <v>328</v>
      </c>
      <c r="H8" s="2">
        <v>2.0756866219465899E-2</v>
      </c>
      <c r="I8" s="2">
        <v>1.0066908108771699E-2</v>
      </c>
    </row>
    <row r="9" spans="1:9" x14ac:dyDescent="0.35">
      <c r="A9" s="13">
        <v>45702</v>
      </c>
      <c r="B9" t="s">
        <v>182</v>
      </c>
      <c r="C9" t="s">
        <v>7</v>
      </c>
      <c r="D9" s="1">
        <v>1975</v>
      </c>
      <c r="E9" s="1">
        <v>963</v>
      </c>
      <c r="F9" s="2">
        <v>0.487594936708861</v>
      </c>
      <c r="G9" s="1">
        <v>169</v>
      </c>
      <c r="H9" s="2">
        <v>0.17549325025960499</v>
      </c>
      <c r="I9" s="2">
        <v>8.5569620253164599E-2</v>
      </c>
    </row>
    <row r="10" spans="1:9" x14ac:dyDescent="0.35">
      <c r="A10" s="13">
        <v>45703</v>
      </c>
      <c r="B10" t="s">
        <v>183</v>
      </c>
      <c r="C10" t="s">
        <v>7</v>
      </c>
      <c r="D10" s="1">
        <v>1322482</v>
      </c>
      <c r="E10" s="1">
        <v>437391</v>
      </c>
      <c r="F10" s="2">
        <v>0.33073493627890599</v>
      </c>
      <c r="G10" s="1">
        <v>6670</v>
      </c>
      <c r="H10" s="2">
        <v>1.5249513593100899E-2</v>
      </c>
      <c r="I10" s="2">
        <v>5.0435469064985397E-3</v>
      </c>
    </row>
    <row r="11" spans="1:9" x14ac:dyDescent="0.35">
      <c r="A11" s="13">
        <v>45703</v>
      </c>
      <c r="B11" t="s">
        <v>183</v>
      </c>
      <c r="C11" t="s">
        <v>8</v>
      </c>
      <c r="D11" s="1">
        <v>96669</v>
      </c>
      <c r="E11" s="1">
        <v>28904</v>
      </c>
      <c r="F11" s="2">
        <v>0.29899967931808502</v>
      </c>
      <c r="G11" s="1">
        <v>654</v>
      </c>
      <c r="H11" s="2">
        <v>2.26266260725159E-2</v>
      </c>
      <c r="I11" s="2">
        <v>6.7653539397324897E-3</v>
      </c>
    </row>
    <row r="12" spans="1:9" x14ac:dyDescent="0.35">
      <c r="A12" s="13">
        <v>45703</v>
      </c>
      <c r="B12" t="s">
        <v>184</v>
      </c>
      <c r="C12" t="s">
        <v>7</v>
      </c>
      <c r="D12" s="1">
        <v>82072</v>
      </c>
      <c r="E12" s="1">
        <v>30942</v>
      </c>
      <c r="F12" s="2">
        <v>0.377010429866459</v>
      </c>
      <c r="G12" s="1">
        <v>337</v>
      </c>
      <c r="H12" s="2">
        <v>1.08913450972788E-2</v>
      </c>
      <c r="I12" s="2">
        <v>4.1061506969490196E-3</v>
      </c>
    </row>
    <row r="13" spans="1:9" x14ac:dyDescent="0.35">
      <c r="A13" s="13">
        <v>45703</v>
      </c>
      <c r="B13" t="s">
        <v>185</v>
      </c>
      <c r="C13" t="s">
        <v>7</v>
      </c>
      <c r="D13" s="1">
        <v>1265</v>
      </c>
      <c r="E13" s="1">
        <v>596</v>
      </c>
      <c r="F13" s="2">
        <v>0.47114624505928898</v>
      </c>
      <c r="G13" s="1">
        <v>30</v>
      </c>
      <c r="H13" s="2">
        <v>5.0335570469798703E-2</v>
      </c>
      <c r="I13" s="2">
        <v>2.3715415019762799E-2</v>
      </c>
    </row>
    <row r="14" spans="1:9" x14ac:dyDescent="0.35">
      <c r="A14" s="13">
        <v>45703</v>
      </c>
      <c r="B14" t="s">
        <v>185</v>
      </c>
      <c r="C14" t="s">
        <v>8</v>
      </c>
      <c r="D14" s="1">
        <v>468</v>
      </c>
      <c r="E14" s="1">
        <v>195</v>
      </c>
      <c r="F14" s="2">
        <v>0.41666666666666702</v>
      </c>
      <c r="G14" s="1">
        <v>11</v>
      </c>
      <c r="H14" s="2">
        <v>5.6410256410256397E-2</v>
      </c>
      <c r="I14" s="2">
        <v>2.3504273504273501E-2</v>
      </c>
    </row>
    <row r="15" spans="1:9" x14ac:dyDescent="0.35">
      <c r="A15" s="13">
        <v>45706</v>
      </c>
      <c r="B15" t="s">
        <v>186</v>
      </c>
      <c r="C15" t="s">
        <v>7</v>
      </c>
      <c r="D15" s="1">
        <v>1409465</v>
      </c>
      <c r="E15" s="1">
        <v>377602</v>
      </c>
      <c r="F15" s="2">
        <v>0.26790448858254701</v>
      </c>
      <c r="G15" s="1">
        <v>8133</v>
      </c>
      <c r="H15" s="2">
        <v>2.1538551172928098E-2</v>
      </c>
      <c r="I15" s="2">
        <v>5.7702745367923299E-3</v>
      </c>
    </row>
    <row r="16" spans="1:9" x14ac:dyDescent="0.35">
      <c r="A16" s="13">
        <v>45706</v>
      </c>
      <c r="B16" t="s">
        <v>186</v>
      </c>
      <c r="C16" t="s">
        <v>8</v>
      </c>
      <c r="D16" s="1">
        <v>89705</v>
      </c>
      <c r="E16" s="1">
        <v>28519</v>
      </c>
      <c r="F16" s="2">
        <v>0.31791984839195098</v>
      </c>
      <c r="G16" s="1">
        <v>751</v>
      </c>
      <c r="H16" s="2">
        <v>2.6333321645219E-2</v>
      </c>
      <c r="I16" s="2">
        <v>8.3718856251045106E-3</v>
      </c>
    </row>
    <row r="17" spans="1:9" x14ac:dyDescent="0.35">
      <c r="A17" s="13">
        <v>45707</v>
      </c>
      <c r="B17" t="s">
        <v>187</v>
      </c>
      <c r="C17" t="s">
        <v>7</v>
      </c>
      <c r="D17" s="1">
        <v>80911</v>
      </c>
      <c r="E17" s="1">
        <v>30112</v>
      </c>
      <c r="F17" s="2">
        <v>0.37216200516616998</v>
      </c>
      <c r="G17" s="1">
        <v>316</v>
      </c>
      <c r="H17" s="2">
        <v>1.0494155154091399E-2</v>
      </c>
      <c r="I17" s="2">
        <v>3.9055258246715502E-3</v>
      </c>
    </row>
    <row r="18" spans="1:9" x14ac:dyDescent="0.35">
      <c r="A18" s="13">
        <v>45707</v>
      </c>
      <c r="B18" t="s">
        <v>187</v>
      </c>
      <c r="C18" t="s">
        <v>8</v>
      </c>
      <c r="D18" s="1">
        <v>3616</v>
      </c>
      <c r="E18" s="1">
        <v>1349</v>
      </c>
      <c r="F18" s="2">
        <v>0.37306415929203501</v>
      </c>
      <c r="G18" s="1">
        <v>19</v>
      </c>
      <c r="H18" s="2">
        <v>1.4084507042253501E-2</v>
      </c>
      <c r="I18" s="2">
        <v>5.2544247787610597E-3</v>
      </c>
    </row>
    <row r="19" spans="1:9" x14ac:dyDescent="0.35">
      <c r="A19" s="13">
        <v>45707</v>
      </c>
      <c r="B19" t="s">
        <v>188</v>
      </c>
      <c r="C19" t="s">
        <v>7</v>
      </c>
      <c r="D19" s="1">
        <v>252040</v>
      </c>
      <c r="E19" s="1">
        <v>92713</v>
      </c>
      <c r="F19" s="2">
        <v>0.36785034121568</v>
      </c>
      <c r="G19" s="1">
        <v>1193</v>
      </c>
      <c r="H19" s="2">
        <v>1.28676668859815E-2</v>
      </c>
      <c r="I19" s="2">
        <v>4.7333756546579899E-3</v>
      </c>
    </row>
    <row r="20" spans="1:9" x14ac:dyDescent="0.35">
      <c r="A20" s="13">
        <v>45707</v>
      </c>
      <c r="B20" t="s">
        <v>189</v>
      </c>
      <c r="C20" t="s">
        <v>7</v>
      </c>
      <c r="D20" s="1">
        <v>97509</v>
      </c>
      <c r="E20" s="1">
        <v>40774</v>
      </c>
      <c r="F20" s="2">
        <v>0.41815627275431</v>
      </c>
      <c r="G20" s="1">
        <v>339</v>
      </c>
      <c r="H20" s="2">
        <v>8.31412174424879E-3</v>
      </c>
      <c r="I20" s="2">
        <v>3.4766021598006298E-3</v>
      </c>
    </row>
    <row r="21" spans="1:9" x14ac:dyDescent="0.35">
      <c r="A21" s="13">
        <v>45708</v>
      </c>
      <c r="B21" t="s">
        <v>190</v>
      </c>
      <c r="C21" t="s">
        <v>197</v>
      </c>
      <c r="D21" s="1">
        <v>1188583</v>
      </c>
      <c r="E21" s="1">
        <v>415304</v>
      </c>
      <c r="F21" s="3">
        <v>0.34939999999999999</v>
      </c>
      <c r="G21" s="1">
        <v>1074</v>
      </c>
      <c r="H21" s="3">
        <v>2.5999999999999999E-3</v>
      </c>
      <c r="I21" s="3">
        <v>8.9999999999999998E-4</v>
      </c>
    </row>
    <row r="22" spans="1:9" x14ac:dyDescent="0.35">
      <c r="A22" s="13">
        <v>45708</v>
      </c>
      <c r="B22" t="s">
        <v>191</v>
      </c>
      <c r="C22" t="s">
        <v>198</v>
      </c>
      <c r="D22" s="1">
        <v>72103</v>
      </c>
      <c r="E22" s="1">
        <v>24739</v>
      </c>
      <c r="F22" s="3">
        <v>0.34310000000000002</v>
      </c>
      <c r="G22">
        <v>77</v>
      </c>
      <c r="H22" s="3">
        <v>3.0999999999999999E-3</v>
      </c>
      <c r="I22" s="3">
        <v>1.1000000000000001E-3</v>
      </c>
    </row>
    <row r="23" spans="1:9" x14ac:dyDescent="0.35">
      <c r="A23" s="13">
        <v>45708</v>
      </c>
      <c r="B23" t="s">
        <v>192</v>
      </c>
      <c r="C23" t="s">
        <v>197</v>
      </c>
      <c r="D23" s="1">
        <v>691386</v>
      </c>
      <c r="E23" s="1">
        <v>262016</v>
      </c>
      <c r="F23" s="3">
        <v>0.379</v>
      </c>
      <c r="G23">
        <v>717</v>
      </c>
      <c r="H23" s="3">
        <v>2.7000000000000001E-3</v>
      </c>
      <c r="I23" s="3">
        <v>1E-3</v>
      </c>
    </row>
    <row r="24" spans="1:9" x14ac:dyDescent="0.35">
      <c r="A24" s="13">
        <v>45708</v>
      </c>
      <c r="B24" t="s">
        <v>193</v>
      </c>
      <c r="C24" t="s">
        <v>198</v>
      </c>
      <c r="D24" s="1">
        <v>44292</v>
      </c>
      <c r="E24" s="1">
        <v>16339</v>
      </c>
      <c r="F24" s="3">
        <v>0.36890000000000001</v>
      </c>
      <c r="G24">
        <v>55</v>
      </c>
      <c r="H24" s="3">
        <v>3.3999999999999998E-3</v>
      </c>
      <c r="I24" s="3">
        <v>1.1999999999999999E-3</v>
      </c>
    </row>
    <row r="25" spans="1:9" x14ac:dyDescent="0.35">
      <c r="A25" s="13">
        <v>45708</v>
      </c>
      <c r="B25" t="s">
        <v>194</v>
      </c>
      <c r="C25" t="s">
        <v>197</v>
      </c>
      <c r="D25" s="1">
        <v>234956</v>
      </c>
      <c r="E25" s="1">
        <v>93771</v>
      </c>
      <c r="F25" s="3">
        <v>0.39910000000000001</v>
      </c>
      <c r="G25">
        <v>271</v>
      </c>
      <c r="H25" s="3">
        <v>2.8999999999999998E-3</v>
      </c>
      <c r="I25" s="3">
        <v>1.1999999999999999E-3</v>
      </c>
    </row>
    <row r="26" spans="1:9" x14ac:dyDescent="0.35">
      <c r="A26" s="13">
        <v>45708</v>
      </c>
      <c r="B26" t="s">
        <v>195</v>
      </c>
      <c r="C26" t="s">
        <v>7</v>
      </c>
      <c r="D26" s="1">
        <v>43101</v>
      </c>
      <c r="E26" s="1">
        <v>13393</v>
      </c>
      <c r="F26" s="2">
        <v>0.31073524976218603</v>
      </c>
      <c r="G26" s="1">
        <v>206</v>
      </c>
      <c r="H26" s="2">
        <v>1.53811692675278E-2</v>
      </c>
      <c r="I26" s="2">
        <v>4.7794714739797196E-3</v>
      </c>
    </row>
    <row r="27" spans="1:9" x14ac:dyDescent="0.35">
      <c r="A27" s="13">
        <v>45708</v>
      </c>
      <c r="B27" t="s">
        <v>195</v>
      </c>
      <c r="C27" t="s">
        <v>8</v>
      </c>
      <c r="D27" s="1">
        <v>567</v>
      </c>
      <c r="E27" s="1">
        <v>191</v>
      </c>
      <c r="F27" s="2">
        <v>0.33686067019400401</v>
      </c>
      <c r="G27" s="1">
        <v>6</v>
      </c>
      <c r="H27" s="2">
        <v>3.1413612565444997E-2</v>
      </c>
      <c r="I27" s="2">
        <v>1.0582010582010601E-2</v>
      </c>
    </row>
    <row r="28" spans="1:9" x14ac:dyDescent="0.35">
      <c r="A28" s="13">
        <v>45708</v>
      </c>
      <c r="B28" t="s">
        <v>196</v>
      </c>
      <c r="C28" t="s">
        <v>7</v>
      </c>
      <c r="D28" s="1">
        <v>121636</v>
      </c>
      <c r="E28" s="1">
        <v>42444</v>
      </c>
      <c r="F28" s="2">
        <v>0.34894274721299601</v>
      </c>
      <c r="G28" s="1">
        <v>520</v>
      </c>
      <c r="H28" s="2">
        <v>1.2251437187824E-2</v>
      </c>
      <c r="I28" s="2">
        <v>4.2750501496267596E-3</v>
      </c>
    </row>
    <row r="29" spans="1:9" x14ac:dyDescent="0.35">
      <c r="A29" s="13">
        <v>45708</v>
      </c>
      <c r="B29" t="s">
        <v>196</v>
      </c>
      <c r="C29" t="s">
        <v>8</v>
      </c>
      <c r="D29" s="1">
        <v>131629</v>
      </c>
      <c r="E29" s="1">
        <v>41629</v>
      </c>
      <c r="F29" s="2">
        <v>0.316260094659991</v>
      </c>
      <c r="G29" s="1">
        <v>645</v>
      </c>
      <c r="H29" s="2">
        <v>1.54940065819501E-2</v>
      </c>
      <c r="I29" s="2">
        <v>4.9001359882700603E-3</v>
      </c>
    </row>
    <row r="30" spans="1:9" ht="16" thickBot="1" x14ac:dyDescent="0.4">
      <c r="A30" s="23" t="s">
        <v>13</v>
      </c>
      <c r="D30" s="17">
        <f>SUM(D2:D29)</f>
        <v>11704804</v>
      </c>
      <c r="E30" s="17">
        <f>SUM(E2:E29)</f>
        <v>3744970</v>
      </c>
      <c r="F30" s="18">
        <f>AVERAGE(F2:F29)</f>
        <v>0.37373530978894803</v>
      </c>
      <c r="G30" s="17">
        <f>SUM(G2:G29)</f>
        <v>40013</v>
      </c>
      <c r="H30" s="18">
        <f>AVERAGE(H2:H29)</f>
        <v>2.2684420526205253E-2</v>
      </c>
      <c r="I30" s="18">
        <f>AVERAGE(I2:I29)</f>
        <v>9.348623855123462E-3</v>
      </c>
    </row>
    <row r="31" spans="1:9" ht="15" thickBot="1" x14ac:dyDescent="0.4">
      <c r="A31" s="123" t="s">
        <v>19</v>
      </c>
      <c r="B31" s="123"/>
      <c r="C31" s="123"/>
      <c r="D31" s="123"/>
      <c r="E31" s="123"/>
      <c r="F31" s="123"/>
      <c r="G31" s="123"/>
      <c r="H31" s="123"/>
      <c r="I31" s="123"/>
    </row>
    <row r="32" spans="1:9" ht="15.5" x14ac:dyDescent="0.35">
      <c r="A32" s="24" t="s">
        <v>9</v>
      </c>
      <c r="B32" s="25" t="s">
        <v>0</v>
      </c>
      <c r="C32" s="25" t="s">
        <v>16</v>
      </c>
      <c r="D32" s="25" t="s">
        <v>1</v>
      </c>
      <c r="E32" s="25" t="s">
        <v>2</v>
      </c>
      <c r="F32" s="25" t="s">
        <v>3</v>
      </c>
      <c r="G32" s="25" t="s">
        <v>4</v>
      </c>
      <c r="H32" s="25" t="s">
        <v>5</v>
      </c>
      <c r="I32" s="26" t="s">
        <v>6</v>
      </c>
    </row>
    <row r="33" spans="1:9" x14ac:dyDescent="0.35">
      <c r="A33" s="5" t="s">
        <v>12</v>
      </c>
      <c r="B33" s="6"/>
      <c r="C33" s="6"/>
      <c r="D33" s="6"/>
      <c r="E33" s="6"/>
      <c r="F33" s="6"/>
      <c r="G33" s="6"/>
      <c r="H33" s="6"/>
      <c r="I33" s="7"/>
    </row>
    <row r="34" spans="1:9" x14ac:dyDescent="0.35">
      <c r="A34" s="8">
        <v>45702</v>
      </c>
      <c r="B34" t="s">
        <v>176</v>
      </c>
      <c r="C34" t="s">
        <v>7</v>
      </c>
      <c r="D34" s="1">
        <v>4891874</v>
      </c>
      <c r="E34" s="1">
        <v>1456040</v>
      </c>
      <c r="F34" s="2">
        <v>0.29764462453448298</v>
      </c>
      <c r="G34" s="1">
        <v>13733</v>
      </c>
      <c r="H34" s="2">
        <v>9.4317463805939396E-3</v>
      </c>
      <c r="I34" s="102">
        <v>2.80730861015635E-3</v>
      </c>
    </row>
    <row r="35" spans="1:9" x14ac:dyDescent="0.35">
      <c r="A35" s="8">
        <v>45702</v>
      </c>
      <c r="B35" t="s">
        <v>176</v>
      </c>
      <c r="C35" t="s">
        <v>8</v>
      </c>
      <c r="D35" s="1">
        <v>314209</v>
      </c>
      <c r="E35" s="1">
        <v>88000</v>
      </c>
      <c r="F35" s="2">
        <v>0.28006836214112302</v>
      </c>
      <c r="G35" s="1">
        <v>1024</v>
      </c>
      <c r="H35" s="2">
        <v>1.1636363636363599E-2</v>
      </c>
      <c r="I35" s="102">
        <v>3.2589773049148799E-3</v>
      </c>
    </row>
    <row r="36" spans="1:9" x14ac:dyDescent="0.35">
      <c r="A36" s="8">
        <v>45706</v>
      </c>
      <c r="B36" t="s">
        <v>186</v>
      </c>
      <c r="C36" t="s">
        <v>7</v>
      </c>
      <c r="D36" s="1">
        <v>1409465</v>
      </c>
      <c r="E36" s="1">
        <v>377602</v>
      </c>
      <c r="F36" s="2">
        <v>0.26790448858254701</v>
      </c>
      <c r="G36" s="1">
        <v>8133</v>
      </c>
      <c r="H36" s="2">
        <v>2.1538551172928098E-2</v>
      </c>
      <c r="I36" s="102">
        <v>5.7702745367923299E-3</v>
      </c>
    </row>
    <row r="37" spans="1:9" x14ac:dyDescent="0.35">
      <c r="A37" s="8">
        <v>45706</v>
      </c>
      <c r="B37" t="s">
        <v>186</v>
      </c>
      <c r="C37" t="s">
        <v>8</v>
      </c>
      <c r="D37" s="1">
        <v>89705</v>
      </c>
      <c r="E37" s="1">
        <v>28519</v>
      </c>
      <c r="F37" s="2">
        <v>0.31791984839195098</v>
      </c>
      <c r="G37" s="1">
        <v>751</v>
      </c>
      <c r="H37" s="2">
        <v>2.6333321645219E-2</v>
      </c>
      <c r="I37" s="102">
        <v>8.3718856251045106E-3</v>
      </c>
    </row>
    <row r="38" spans="1:9" ht="16" thickBot="1" x14ac:dyDescent="0.4">
      <c r="A38" s="22" t="s">
        <v>13</v>
      </c>
      <c r="B38" s="4"/>
      <c r="C38" s="4"/>
      <c r="D38" s="19">
        <f>SUM(D34:D37)</f>
        <v>6705253</v>
      </c>
      <c r="E38" s="19">
        <f>SUM(E34:E37)</f>
        <v>1950161</v>
      </c>
      <c r="F38" s="20">
        <f>AVERAGE(F34:F37)</f>
        <v>0.29088433091252597</v>
      </c>
      <c r="G38" s="19">
        <f>SUM(G34:G37)</f>
        <v>23641</v>
      </c>
      <c r="H38" s="20">
        <f>AVERAGE(H34:H37)</f>
        <v>1.7234995708776159E-2</v>
      </c>
      <c r="I38" s="21">
        <f>AVERAGE(I34:I37)</f>
        <v>5.0521115192420172E-3</v>
      </c>
    </row>
    <row r="39" spans="1:9" ht="3" customHeight="1" thickBot="1" x14ac:dyDescent="0.4">
      <c r="A39" s="121"/>
      <c r="B39" s="121"/>
      <c r="C39" s="121"/>
      <c r="D39" s="121"/>
      <c r="E39" s="121"/>
      <c r="F39" s="121"/>
      <c r="G39" s="121"/>
      <c r="H39" s="121"/>
      <c r="I39" s="121"/>
    </row>
    <row r="40" spans="1:9" x14ac:dyDescent="0.35">
      <c r="A40" s="10" t="s">
        <v>216</v>
      </c>
      <c r="B40" s="11"/>
      <c r="C40" s="11"/>
      <c r="D40" s="11"/>
      <c r="E40" s="11"/>
      <c r="F40" s="11"/>
      <c r="G40" s="11"/>
      <c r="H40" s="11"/>
      <c r="I40" s="12"/>
    </row>
    <row r="41" spans="1:9" x14ac:dyDescent="0.35">
      <c r="A41" s="8">
        <v>45702</v>
      </c>
      <c r="B41" t="s">
        <v>177</v>
      </c>
      <c r="C41" t="s">
        <v>7</v>
      </c>
      <c r="D41" s="1">
        <v>307988</v>
      </c>
      <c r="E41" s="1">
        <v>118255</v>
      </c>
      <c r="F41" s="2">
        <v>0.383959764666156</v>
      </c>
      <c r="G41" s="1">
        <v>1335</v>
      </c>
      <c r="H41" s="2">
        <v>1.1289163248911299E-2</v>
      </c>
      <c r="I41" s="102">
        <v>4.3345844643297802E-3</v>
      </c>
    </row>
    <row r="42" spans="1:9" x14ac:dyDescent="0.35">
      <c r="A42" s="8">
        <v>45702</v>
      </c>
      <c r="B42" t="s">
        <v>177</v>
      </c>
      <c r="C42" t="s">
        <v>8</v>
      </c>
      <c r="D42" s="1">
        <v>963</v>
      </c>
      <c r="E42" s="1">
        <v>443</v>
      </c>
      <c r="F42" s="2">
        <v>0.46002076843198297</v>
      </c>
      <c r="G42" s="1">
        <v>16</v>
      </c>
      <c r="H42" s="2">
        <v>3.6117381489841997E-2</v>
      </c>
      <c r="I42" s="102">
        <v>1.66147455867082E-2</v>
      </c>
    </row>
    <row r="43" spans="1:9" x14ac:dyDescent="0.35">
      <c r="A43" s="8">
        <v>45702</v>
      </c>
      <c r="B43" t="s">
        <v>178</v>
      </c>
      <c r="C43" t="s">
        <v>179</v>
      </c>
      <c r="D43" s="1">
        <v>118376</v>
      </c>
      <c r="E43" s="1">
        <v>53887</v>
      </c>
      <c r="F43" s="2">
        <v>0.45521896330337203</v>
      </c>
      <c r="G43" s="1">
        <v>856</v>
      </c>
      <c r="H43" s="2">
        <v>1.5885092879544201E-2</v>
      </c>
      <c r="I43" s="102">
        <v>7.23119551260391E-3</v>
      </c>
    </row>
    <row r="44" spans="1:9" x14ac:dyDescent="0.35">
      <c r="A44" s="8">
        <v>45702</v>
      </c>
      <c r="B44" t="s">
        <v>178</v>
      </c>
      <c r="C44" t="s">
        <v>180</v>
      </c>
      <c r="D44" s="1">
        <v>72382</v>
      </c>
      <c r="E44" s="1">
        <v>32657</v>
      </c>
      <c r="F44" s="2">
        <v>0.45117570666740298</v>
      </c>
      <c r="G44" s="1">
        <v>528</v>
      </c>
      <c r="H44" s="2">
        <v>1.6168049729001401E-2</v>
      </c>
      <c r="I44" s="102">
        <v>7.2946312619159501E-3</v>
      </c>
    </row>
    <row r="45" spans="1:9" x14ac:dyDescent="0.35">
      <c r="A45" s="8">
        <v>45702</v>
      </c>
      <c r="B45" t="s">
        <v>178</v>
      </c>
      <c r="C45" t="s">
        <v>181</v>
      </c>
      <c r="D45" s="1">
        <v>32582</v>
      </c>
      <c r="E45" s="1">
        <v>15802</v>
      </c>
      <c r="F45" s="2">
        <v>0.48499171321588602</v>
      </c>
      <c r="G45" s="1">
        <v>328</v>
      </c>
      <c r="H45" s="2">
        <v>2.0756866219465899E-2</v>
      </c>
      <c r="I45" s="102">
        <v>1.0066908108771699E-2</v>
      </c>
    </row>
    <row r="46" spans="1:9" x14ac:dyDescent="0.35">
      <c r="A46" s="8">
        <v>45702</v>
      </c>
      <c r="B46" t="s">
        <v>182</v>
      </c>
      <c r="C46" t="s">
        <v>7</v>
      </c>
      <c r="D46" s="1">
        <v>1975</v>
      </c>
      <c r="E46" s="1">
        <v>963</v>
      </c>
      <c r="F46" s="2">
        <v>0.487594936708861</v>
      </c>
      <c r="G46" s="1">
        <v>169</v>
      </c>
      <c r="H46" s="2">
        <v>0.17549325025960499</v>
      </c>
      <c r="I46" s="102">
        <v>8.5569620253164599E-2</v>
      </c>
    </row>
    <row r="47" spans="1:9" x14ac:dyDescent="0.35">
      <c r="A47" s="8">
        <v>45703</v>
      </c>
      <c r="B47" t="s">
        <v>183</v>
      </c>
      <c r="C47" t="s">
        <v>7</v>
      </c>
      <c r="D47" s="1">
        <v>1322482</v>
      </c>
      <c r="E47" s="1">
        <v>437391</v>
      </c>
      <c r="F47" s="2">
        <v>0.33073493627890599</v>
      </c>
      <c r="G47" s="1">
        <v>6670</v>
      </c>
      <c r="H47" s="2">
        <v>1.5249513593100899E-2</v>
      </c>
      <c r="I47" s="102">
        <v>5.0435469064985397E-3</v>
      </c>
    </row>
    <row r="48" spans="1:9" x14ac:dyDescent="0.35">
      <c r="A48" s="8">
        <v>45703</v>
      </c>
      <c r="B48" t="s">
        <v>183</v>
      </c>
      <c r="C48" t="s">
        <v>8</v>
      </c>
      <c r="D48" s="1">
        <v>96669</v>
      </c>
      <c r="E48" s="1">
        <v>28904</v>
      </c>
      <c r="F48" s="2">
        <v>0.29899967931808502</v>
      </c>
      <c r="G48" s="1">
        <v>654</v>
      </c>
      <c r="H48" s="2">
        <v>2.26266260725159E-2</v>
      </c>
      <c r="I48" s="102">
        <v>6.7653539397324897E-3</v>
      </c>
    </row>
    <row r="49" spans="1:9" x14ac:dyDescent="0.35">
      <c r="A49" s="8">
        <v>45703</v>
      </c>
      <c r="B49" t="s">
        <v>184</v>
      </c>
      <c r="C49" t="s">
        <v>7</v>
      </c>
      <c r="D49" s="1">
        <v>82072</v>
      </c>
      <c r="E49" s="1">
        <v>30942</v>
      </c>
      <c r="F49" s="2">
        <v>0.377010429866459</v>
      </c>
      <c r="G49" s="1">
        <v>337</v>
      </c>
      <c r="H49" s="2">
        <v>1.08913450972788E-2</v>
      </c>
      <c r="I49" s="102">
        <v>4.1061506969490196E-3</v>
      </c>
    </row>
    <row r="50" spans="1:9" x14ac:dyDescent="0.35">
      <c r="A50" s="8">
        <v>45703</v>
      </c>
      <c r="B50" t="s">
        <v>185</v>
      </c>
      <c r="C50" t="s">
        <v>7</v>
      </c>
      <c r="D50" s="1">
        <v>1265</v>
      </c>
      <c r="E50" s="1">
        <v>596</v>
      </c>
      <c r="F50" s="2">
        <v>0.47114624505928898</v>
      </c>
      <c r="G50" s="1">
        <v>30</v>
      </c>
      <c r="H50" s="2">
        <v>5.0335570469798703E-2</v>
      </c>
      <c r="I50" s="102">
        <v>2.3715415019762799E-2</v>
      </c>
    </row>
    <row r="51" spans="1:9" x14ac:dyDescent="0.35">
      <c r="A51" s="8">
        <v>45703</v>
      </c>
      <c r="B51" t="s">
        <v>185</v>
      </c>
      <c r="C51" t="s">
        <v>8</v>
      </c>
      <c r="D51" s="1">
        <v>468</v>
      </c>
      <c r="E51" s="1">
        <v>195</v>
      </c>
      <c r="F51" s="2">
        <v>0.41666666666666702</v>
      </c>
      <c r="G51" s="1">
        <v>11</v>
      </c>
      <c r="H51" s="2">
        <v>5.6410256410256397E-2</v>
      </c>
      <c r="I51" s="102">
        <v>2.3504273504273501E-2</v>
      </c>
    </row>
    <row r="52" spans="1:9" x14ac:dyDescent="0.35">
      <c r="A52" s="8">
        <v>45707</v>
      </c>
      <c r="B52" t="s">
        <v>187</v>
      </c>
      <c r="C52" t="s">
        <v>7</v>
      </c>
      <c r="D52" s="1">
        <v>80911</v>
      </c>
      <c r="E52" s="1">
        <v>30112</v>
      </c>
      <c r="F52" s="2">
        <v>0.37216200516616998</v>
      </c>
      <c r="G52" s="1">
        <v>316</v>
      </c>
      <c r="H52" s="2">
        <v>1.0494155154091399E-2</v>
      </c>
      <c r="I52" s="102">
        <v>3.9055258246715502E-3</v>
      </c>
    </row>
    <row r="53" spans="1:9" x14ac:dyDescent="0.35">
      <c r="A53" s="8">
        <v>45707</v>
      </c>
      <c r="B53" t="s">
        <v>187</v>
      </c>
      <c r="C53" t="s">
        <v>8</v>
      </c>
      <c r="D53" s="1">
        <v>3616</v>
      </c>
      <c r="E53" s="1">
        <v>1349</v>
      </c>
      <c r="F53" s="2">
        <v>0.37306415929203501</v>
      </c>
      <c r="G53" s="1">
        <v>19</v>
      </c>
      <c r="H53" s="2">
        <v>1.4084507042253501E-2</v>
      </c>
      <c r="I53" s="102">
        <v>5.2544247787610597E-3</v>
      </c>
    </row>
    <row r="54" spans="1:9" x14ac:dyDescent="0.35">
      <c r="A54" s="8">
        <v>45707</v>
      </c>
      <c r="B54" t="s">
        <v>188</v>
      </c>
      <c r="C54" t="s">
        <v>7</v>
      </c>
      <c r="D54" s="1">
        <v>252040</v>
      </c>
      <c r="E54" s="1">
        <v>92713</v>
      </c>
      <c r="F54" s="2">
        <v>0.36785034121568</v>
      </c>
      <c r="G54" s="1">
        <v>1193</v>
      </c>
      <c r="H54" s="2">
        <v>1.28676668859815E-2</v>
      </c>
      <c r="I54" s="102">
        <v>4.7333756546579899E-3</v>
      </c>
    </row>
    <row r="55" spans="1:9" x14ac:dyDescent="0.35">
      <c r="A55" s="8">
        <v>45707</v>
      </c>
      <c r="B55" t="s">
        <v>189</v>
      </c>
      <c r="C55" t="s">
        <v>7</v>
      </c>
      <c r="D55" s="1">
        <v>97509</v>
      </c>
      <c r="E55" s="1">
        <v>40774</v>
      </c>
      <c r="F55" s="2">
        <v>0.41815627275431</v>
      </c>
      <c r="G55" s="1">
        <v>339</v>
      </c>
      <c r="H55" s="2">
        <v>8.31412174424879E-3</v>
      </c>
      <c r="I55" s="102">
        <v>3.4766021598006298E-3</v>
      </c>
    </row>
    <row r="56" spans="1:9" x14ac:dyDescent="0.35">
      <c r="A56" s="8">
        <v>45708</v>
      </c>
      <c r="B56" t="s">
        <v>195</v>
      </c>
      <c r="C56" t="s">
        <v>7</v>
      </c>
      <c r="D56" s="1">
        <v>43101</v>
      </c>
      <c r="E56" s="1">
        <v>13393</v>
      </c>
      <c r="F56" s="2">
        <v>0.31073524976218603</v>
      </c>
      <c r="G56" s="1">
        <v>206</v>
      </c>
      <c r="H56" s="2">
        <v>1.53811692675278E-2</v>
      </c>
      <c r="I56" s="102">
        <v>4.7794714739797196E-3</v>
      </c>
    </row>
    <row r="57" spans="1:9" x14ac:dyDescent="0.35">
      <c r="A57" s="8">
        <v>45708</v>
      </c>
      <c r="B57" t="s">
        <v>195</v>
      </c>
      <c r="C57" t="s">
        <v>8</v>
      </c>
      <c r="D57" s="1">
        <v>567</v>
      </c>
      <c r="E57" s="1">
        <v>191</v>
      </c>
      <c r="F57" s="2">
        <v>0.33686067019400401</v>
      </c>
      <c r="G57" s="1">
        <v>6</v>
      </c>
      <c r="H57" s="2">
        <v>3.1413612565444997E-2</v>
      </c>
      <c r="I57" s="102">
        <v>1.0582010582010601E-2</v>
      </c>
    </row>
    <row r="58" spans="1:9" x14ac:dyDescent="0.35">
      <c r="A58" s="8">
        <v>45708</v>
      </c>
      <c r="B58" t="s">
        <v>196</v>
      </c>
      <c r="C58" t="s">
        <v>7</v>
      </c>
      <c r="D58" s="1">
        <v>121636</v>
      </c>
      <c r="E58" s="1">
        <v>42444</v>
      </c>
      <c r="F58" s="2">
        <v>0.34894274721299601</v>
      </c>
      <c r="G58" s="1">
        <v>520</v>
      </c>
      <c r="H58" s="2">
        <v>1.2251437187824E-2</v>
      </c>
      <c r="I58" s="102">
        <v>4.2750501496267596E-3</v>
      </c>
    </row>
    <row r="59" spans="1:9" x14ac:dyDescent="0.35">
      <c r="A59" s="8">
        <v>45708</v>
      </c>
      <c r="B59" t="s">
        <v>196</v>
      </c>
      <c r="C59" t="s">
        <v>8</v>
      </c>
      <c r="D59" s="1">
        <v>131629</v>
      </c>
      <c r="E59" s="1">
        <v>41629</v>
      </c>
      <c r="F59" s="2">
        <v>0.316260094659991</v>
      </c>
      <c r="G59" s="1">
        <v>645</v>
      </c>
      <c r="H59" s="2">
        <v>1.54940065819501E-2</v>
      </c>
      <c r="I59" s="102">
        <v>4.9001359882700603E-3</v>
      </c>
    </row>
    <row r="60" spans="1:9" ht="16" thickBot="1" x14ac:dyDescent="0.4">
      <c r="A60" s="22" t="s">
        <v>13</v>
      </c>
      <c r="B60" s="4"/>
      <c r="C60" s="4"/>
      <c r="D60" s="19">
        <f>SUM(D41:D59)</f>
        <v>2768231</v>
      </c>
      <c r="E60" s="19">
        <f>SUM(E41:E59)</f>
        <v>982640</v>
      </c>
      <c r="F60" s="20">
        <f>AVERAGE(F41:F59)</f>
        <v>0.3927132289705495</v>
      </c>
      <c r="G60" s="19">
        <f>SUM(G41:G59)</f>
        <v>14178</v>
      </c>
      <c r="H60" s="20">
        <f>AVERAGE(H41:H59)</f>
        <v>2.9027567994665396E-2</v>
      </c>
      <c r="I60" s="21">
        <f>AVERAGE(I41:I59)</f>
        <v>1.2429106414025731E-2</v>
      </c>
    </row>
    <row r="61" spans="1:9" ht="3.5" customHeight="1" thickBot="1" x14ac:dyDescent="0.4"/>
    <row r="62" spans="1:9" x14ac:dyDescent="0.35">
      <c r="A62" s="10" t="s">
        <v>11</v>
      </c>
      <c r="B62" s="11"/>
      <c r="C62" s="11"/>
      <c r="D62" s="11"/>
      <c r="E62" s="11"/>
      <c r="F62" s="11"/>
      <c r="G62" s="11"/>
      <c r="H62" s="11"/>
      <c r="I62" s="12"/>
    </row>
    <row r="63" spans="1:9" x14ac:dyDescent="0.35">
      <c r="A63" s="8">
        <v>45708</v>
      </c>
      <c r="B63" t="s">
        <v>190</v>
      </c>
      <c r="C63" t="s">
        <v>197</v>
      </c>
      <c r="D63" s="1">
        <v>1188583</v>
      </c>
      <c r="E63" s="1">
        <v>415304</v>
      </c>
      <c r="F63" s="3">
        <v>0.34939999999999999</v>
      </c>
      <c r="G63" s="1">
        <v>1074</v>
      </c>
      <c r="H63" s="3">
        <v>2.5999999999999999E-3</v>
      </c>
      <c r="I63" s="9">
        <v>8.9999999999999998E-4</v>
      </c>
    </row>
    <row r="64" spans="1:9" x14ac:dyDescent="0.35">
      <c r="A64" s="8">
        <v>45708</v>
      </c>
      <c r="B64" t="s">
        <v>191</v>
      </c>
      <c r="C64" t="s">
        <v>198</v>
      </c>
      <c r="D64" s="1">
        <v>72103</v>
      </c>
      <c r="E64" s="1">
        <v>24739</v>
      </c>
      <c r="F64" s="3">
        <v>0.34310000000000002</v>
      </c>
      <c r="G64">
        <v>77</v>
      </c>
      <c r="H64" s="3">
        <v>3.0999999999999999E-3</v>
      </c>
      <c r="I64" s="9">
        <v>1.1000000000000001E-3</v>
      </c>
    </row>
    <row r="65" spans="1:9" x14ac:dyDescent="0.35">
      <c r="A65" s="8">
        <v>45708</v>
      </c>
      <c r="B65" t="s">
        <v>192</v>
      </c>
      <c r="C65" t="s">
        <v>197</v>
      </c>
      <c r="D65" s="1">
        <v>691386</v>
      </c>
      <c r="E65" s="1">
        <v>262016</v>
      </c>
      <c r="F65" s="3">
        <v>0.379</v>
      </c>
      <c r="G65">
        <v>717</v>
      </c>
      <c r="H65" s="3">
        <v>2.7000000000000001E-3</v>
      </c>
      <c r="I65" s="9">
        <v>1E-3</v>
      </c>
    </row>
    <row r="66" spans="1:9" x14ac:dyDescent="0.35">
      <c r="A66" s="8">
        <v>45708</v>
      </c>
      <c r="B66" t="s">
        <v>193</v>
      </c>
      <c r="C66" t="s">
        <v>198</v>
      </c>
      <c r="D66" s="1">
        <v>44292</v>
      </c>
      <c r="E66" s="1">
        <v>16339</v>
      </c>
      <c r="F66" s="3">
        <v>0.36890000000000001</v>
      </c>
      <c r="G66">
        <v>55</v>
      </c>
      <c r="H66" s="3">
        <v>3.3999999999999998E-3</v>
      </c>
      <c r="I66" s="9">
        <v>1.1999999999999999E-3</v>
      </c>
    </row>
    <row r="67" spans="1:9" x14ac:dyDescent="0.35">
      <c r="A67" s="8">
        <v>45708</v>
      </c>
      <c r="B67" t="s">
        <v>194</v>
      </c>
      <c r="C67" t="s">
        <v>197</v>
      </c>
      <c r="D67" s="1">
        <v>234956</v>
      </c>
      <c r="E67" s="1">
        <v>93771</v>
      </c>
      <c r="F67" s="3">
        <v>0.39910000000000001</v>
      </c>
      <c r="G67">
        <v>271</v>
      </c>
      <c r="H67" s="3">
        <v>2.8999999999999998E-3</v>
      </c>
      <c r="I67" s="9">
        <v>1.1999999999999999E-3</v>
      </c>
    </row>
    <row r="68" spans="1:9" ht="16" thickBot="1" x14ac:dyDescent="0.4">
      <c r="A68" s="22" t="s">
        <v>13</v>
      </c>
      <c r="B68" s="4"/>
      <c r="C68" s="4"/>
      <c r="D68" s="19">
        <f>SUM(D63:D67)</f>
        <v>2231320</v>
      </c>
      <c r="E68" s="19">
        <f>SUM(E63:E67)</f>
        <v>812169</v>
      </c>
      <c r="F68" s="20">
        <f>AVERAGE(F63:F67)</f>
        <v>0.3679</v>
      </c>
      <c r="G68" s="19">
        <f>SUM(G63:G67)</f>
        <v>2194</v>
      </c>
      <c r="H68" s="20">
        <f>AVERAGE(H63:H67)</f>
        <v>2.9400000000000003E-3</v>
      </c>
      <c r="I68" s="21">
        <f>AVERAGE(I63:I67)</f>
        <v>1.0799999999999998E-3</v>
      </c>
    </row>
  </sheetData>
  <mergeCells count="2">
    <mergeCell ref="A31:I31"/>
    <mergeCell ref="A39:I39"/>
  </mergeCells>
  <pageMargins left="0.7" right="0.7" top="0.75" bottom="0.75" header="0.3" footer="0.3"/>
  <ignoredErrors>
    <ignoredError sqref="F30:G30 F38:G38 F68:G68 F60:G60" formula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1588-829C-453D-A62C-15C21D2F466B}">
  <dimension ref="A1:I64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45709</v>
      </c>
      <c r="B2" t="s">
        <v>200</v>
      </c>
      <c r="C2" t="s">
        <v>7</v>
      </c>
      <c r="D2" s="1">
        <v>4891406</v>
      </c>
      <c r="E2" s="1">
        <v>1480360</v>
      </c>
      <c r="F2" s="2">
        <v>0.302645088140302</v>
      </c>
      <c r="G2" s="1">
        <v>13785</v>
      </c>
      <c r="H2" s="2">
        <v>9.3119241265638107E-3</v>
      </c>
      <c r="I2" s="2">
        <v>2.8182080980397001E-3</v>
      </c>
    </row>
    <row r="3" spans="1:9" x14ac:dyDescent="0.35">
      <c r="A3" s="13">
        <v>45709</v>
      </c>
      <c r="B3" t="s">
        <v>200</v>
      </c>
      <c r="C3" t="s">
        <v>8</v>
      </c>
      <c r="D3" s="1">
        <v>313726</v>
      </c>
      <c r="E3" s="1">
        <v>88614</v>
      </c>
      <c r="F3" s="2">
        <v>0.28245666600791802</v>
      </c>
      <c r="G3" s="1">
        <v>1076</v>
      </c>
      <c r="H3" s="2">
        <v>1.2142550838468E-2</v>
      </c>
      <c r="I3" s="2">
        <v>3.42974442666531E-3</v>
      </c>
    </row>
    <row r="4" spans="1:9" x14ac:dyDescent="0.35">
      <c r="A4" s="13">
        <v>45709</v>
      </c>
      <c r="B4" t="s">
        <v>201</v>
      </c>
      <c r="C4" t="s">
        <v>7</v>
      </c>
      <c r="D4" s="1">
        <v>66402</v>
      </c>
      <c r="E4" s="1">
        <v>27492</v>
      </c>
      <c r="F4" s="2">
        <v>0.41402367398572298</v>
      </c>
      <c r="G4" s="1">
        <v>2973</v>
      </c>
      <c r="H4" s="2">
        <v>0.108140549978175</v>
      </c>
      <c r="I4" s="2">
        <v>4.4772747808800903E-2</v>
      </c>
    </row>
    <row r="5" spans="1:9" x14ac:dyDescent="0.35">
      <c r="A5" s="13">
        <v>45709</v>
      </c>
      <c r="B5" t="s">
        <v>201</v>
      </c>
      <c r="C5" t="s">
        <v>8</v>
      </c>
      <c r="D5" s="1">
        <v>2273</v>
      </c>
      <c r="E5" s="1">
        <v>979</v>
      </c>
      <c r="F5" s="2">
        <v>0.43070831500220003</v>
      </c>
      <c r="G5" s="1">
        <v>146</v>
      </c>
      <c r="H5" s="2">
        <v>0.14913176710929499</v>
      </c>
      <c r="I5" s="2">
        <v>6.4232292124944995E-2</v>
      </c>
    </row>
    <row r="6" spans="1:9" x14ac:dyDescent="0.35">
      <c r="A6" s="13">
        <v>45712</v>
      </c>
      <c r="B6" t="s">
        <v>202</v>
      </c>
      <c r="C6" t="s">
        <v>7</v>
      </c>
      <c r="D6" s="1">
        <v>61517</v>
      </c>
      <c r="E6" s="1">
        <v>20946</v>
      </c>
      <c r="F6" s="2">
        <v>0.34049124632215499</v>
      </c>
      <c r="G6" s="1">
        <v>337</v>
      </c>
      <c r="H6" s="2">
        <v>1.60889907380884E-2</v>
      </c>
      <c r="I6" s="2">
        <v>5.4781605084773298E-3</v>
      </c>
    </row>
    <row r="7" spans="1:9" x14ac:dyDescent="0.35">
      <c r="A7" s="13">
        <v>45712</v>
      </c>
      <c r="B7" t="s">
        <v>202</v>
      </c>
      <c r="C7" t="s">
        <v>8</v>
      </c>
      <c r="D7" s="1">
        <v>64</v>
      </c>
      <c r="E7" s="1">
        <v>21</v>
      </c>
      <c r="F7" s="2">
        <v>0.328125</v>
      </c>
      <c r="G7" s="1">
        <v>1</v>
      </c>
      <c r="H7" s="2">
        <v>4.7619047619047603E-2</v>
      </c>
      <c r="I7" s="2">
        <v>1.5625E-2</v>
      </c>
    </row>
    <row r="8" spans="1:9" x14ac:dyDescent="0.35">
      <c r="A8" s="13">
        <v>45712</v>
      </c>
      <c r="B8" t="s">
        <v>203</v>
      </c>
      <c r="C8" t="s">
        <v>7</v>
      </c>
      <c r="D8" s="1">
        <v>842126</v>
      </c>
      <c r="E8" s="1">
        <v>304631</v>
      </c>
      <c r="F8" s="2">
        <v>0.36174040464253598</v>
      </c>
      <c r="G8" s="1">
        <v>3506</v>
      </c>
      <c r="H8" s="2">
        <v>1.1509005977723899E-2</v>
      </c>
      <c r="I8" s="2">
        <v>4.1632724794151898E-3</v>
      </c>
    </row>
    <row r="9" spans="1:9" x14ac:dyDescent="0.35">
      <c r="A9" s="13">
        <v>45712</v>
      </c>
      <c r="B9" t="s">
        <v>204</v>
      </c>
      <c r="C9" t="s">
        <v>8</v>
      </c>
      <c r="D9" s="1">
        <v>1970</v>
      </c>
      <c r="E9" s="1">
        <v>666</v>
      </c>
      <c r="F9" s="2">
        <v>0.33807106598984799</v>
      </c>
      <c r="G9" s="1">
        <v>7</v>
      </c>
      <c r="H9" s="2">
        <v>1.0510510510510499E-2</v>
      </c>
      <c r="I9" s="2">
        <v>3.5532994923857899E-3</v>
      </c>
    </row>
    <row r="10" spans="1:9" x14ac:dyDescent="0.35">
      <c r="A10" s="13">
        <v>45713</v>
      </c>
      <c r="B10" t="s">
        <v>205</v>
      </c>
      <c r="C10" t="s">
        <v>7</v>
      </c>
      <c r="D10" s="1">
        <v>1415420</v>
      </c>
      <c r="E10" s="1">
        <v>389148</v>
      </c>
      <c r="F10" s="2">
        <v>0.27493464837292098</v>
      </c>
      <c r="G10" s="1">
        <v>9137</v>
      </c>
      <c r="H10" s="2">
        <v>2.34794988025122E-2</v>
      </c>
      <c r="I10" s="2">
        <v>6.4553277472411E-3</v>
      </c>
    </row>
    <row r="11" spans="1:9" x14ac:dyDescent="0.35">
      <c r="A11" s="13">
        <v>45713</v>
      </c>
      <c r="B11" t="s">
        <v>205</v>
      </c>
      <c r="C11" t="s">
        <v>8</v>
      </c>
      <c r="D11" s="1">
        <v>89678</v>
      </c>
      <c r="E11" s="1">
        <v>29581</v>
      </c>
      <c r="F11" s="2">
        <v>0.329857936171636</v>
      </c>
      <c r="G11" s="1">
        <v>834</v>
      </c>
      <c r="H11" s="2">
        <v>2.8193773029985499E-2</v>
      </c>
      <c r="I11" s="2">
        <v>9.2999397845625505E-3</v>
      </c>
    </row>
    <row r="12" spans="1:9" x14ac:dyDescent="0.35">
      <c r="A12" s="13">
        <v>45713</v>
      </c>
      <c r="B12" t="s">
        <v>206</v>
      </c>
      <c r="C12" t="s">
        <v>85</v>
      </c>
      <c r="D12" s="1">
        <v>1338</v>
      </c>
      <c r="E12" s="1">
        <v>422</v>
      </c>
      <c r="F12" s="2">
        <v>0.315396113602392</v>
      </c>
      <c r="G12" s="1">
        <v>59</v>
      </c>
      <c r="H12" s="2">
        <v>0.139810426540284</v>
      </c>
      <c r="I12" s="2">
        <v>4.4095665171898397E-2</v>
      </c>
    </row>
    <row r="13" spans="1:9" x14ac:dyDescent="0.35">
      <c r="A13" s="13">
        <v>45713</v>
      </c>
      <c r="B13" t="s">
        <v>207</v>
      </c>
      <c r="C13" t="s">
        <v>87</v>
      </c>
      <c r="D13" s="1">
        <v>421</v>
      </c>
      <c r="E13" s="1">
        <v>133</v>
      </c>
      <c r="F13" s="2">
        <v>0.315914489311164</v>
      </c>
      <c r="G13" s="1">
        <v>8</v>
      </c>
      <c r="H13" s="2">
        <v>6.01503759398496E-2</v>
      </c>
      <c r="I13" s="2">
        <v>1.9002375296912101E-2</v>
      </c>
    </row>
    <row r="14" spans="1:9" x14ac:dyDescent="0.35">
      <c r="A14" s="13">
        <v>45713</v>
      </c>
      <c r="B14" t="s">
        <v>208</v>
      </c>
      <c r="C14" t="s">
        <v>85</v>
      </c>
      <c r="D14" s="1">
        <v>120</v>
      </c>
      <c r="E14" s="1">
        <v>50</v>
      </c>
      <c r="F14" s="2">
        <v>0.41666666666666702</v>
      </c>
      <c r="G14" s="1">
        <v>7</v>
      </c>
      <c r="H14" s="2">
        <v>0.14000000000000001</v>
      </c>
      <c r="I14" s="2">
        <v>5.83333333333333E-2</v>
      </c>
    </row>
    <row r="15" spans="1:9" x14ac:dyDescent="0.35">
      <c r="A15" s="13">
        <v>45713</v>
      </c>
      <c r="B15" t="s">
        <v>209</v>
      </c>
      <c r="C15" t="s">
        <v>87</v>
      </c>
      <c r="D15" s="1">
        <v>7</v>
      </c>
      <c r="E15" s="1">
        <v>2</v>
      </c>
      <c r="F15" s="2">
        <v>0.28571428571428598</v>
      </c>
      <c r="G15" s="1">
        <v>0</v>
      </c>
      <c r="H15" s="2">
        <v>0</v>
      </c>
      <c r="I15" s="2">
        <v>0</v>
      </c>
    </row>
    <row r="16" spans="1:9" x14ac:dyDescent="0.35">
      <c r="A16" s="13">
        <v>45714</v>
      </c>
      <c r="B16" t="s">
        <v>210</v>
      </c>
      <c r="C16" t="s">
        <v>85</v>
      </c>
      <c r="D16" s="1">
        <v>15001</v>
      </c>
      <c r="E16" s="1">
        <v>2289</v>
      </c>
      <c r="F16" s="2">
        <v>0.152589827344844</v>
      </c>
      <c r="G16" s="1">
        <v>193</v>
      </c>
      <c r="H16" s="2">
        <v>8.4316295325469595E-2</v>
      </c>
      <c r="I16" s="2">
        <v>1.28658089460703E-2</v>
      </c>
    </row>
    <row r="17" spans="1:9" x14ac:dyDescent="0.35">
      <c r="A17" s="13">
        <v>45714</v>
      </c>
      <c r="B17" t="s">
        <v>211</v>
      </c>
      <c r="C17" t="s">
        <v>87</v>
      </c>
      <c r="D17" s="1">
        <v>3476</v>
      </c>
      <c r="E17" s="1">
        <v>420</v>
      </c>
      <c r="F17" s="2">
        <v>0.120828538550058</v>
      </c>
      <c r="G17" s="1">
        <v>81</v>
      </c>
      <c r="H17" s="2">
        <v>0.192857142857143</v>
      </c>
      <c r="I17" s="2">
        <v>2.3302646720368199E-2</v>
      </c>
    </row>
    <row r="18" spans="1:9" x14ac:dyDescent="0.35">
      <c r="A18" s="13">
        <v>45714</v>
      </c>
      <c r="B18" t="s">
        <v>212</v>
      </c>
      <c r="C18" t="s">
        <v>7</v>
      </c>
      <c r="D18" s="1">
        <v>402769</v>
      </c>
      <c r="E18" s="1">
        <v>146783</v>
      </c>
      <c r="F18" s="2">
        <v>0.36443470078382401</v>
      </c>
      <c r="G18" s="1">
        <v>1639</v>
      </c>
      <c r="H18" s="2">
        <v>1.11661432182201E-2</v>
      </c>
      <c r="I18" s="2">
        <v>4.0693300626413699E-3</v>
      </c>
    </row>
    <row r="19" spans="1:9" x14ac:dyDescent="0.35">
      <c r="A19" s="13">
        <v>45715</v>
      </c>
      <c r="B19" t="s">
        <v>190</v>
      </c>
      <c r="C19" t="s">
        <v>17</v>
      </c>
      <c r="D19" s="1">
        <v>1133234</v>
      </c>
      <c r="E19" s="1">
        <v>403183</v>
      </c>
      <c r="F19" s="3">
        <v>0.35580000000000001</v>
      </c>
      <c r="G19">
        <v>957</v>
      </c>
      <c r="H19" s="3">
        <v>2.3999999999999998E-3</v>
      </c>
      <c r="I19" s="3">
        <v>8.0000000000000004E-4</v>
      </c>
    </row>
    <row r="20" spans="1:9" x14ac:dyDescent="0.35">
      <c r="A20" s="13">
        <v>45715</v>
      </c>
      <c r="B20" t="s">
        <v>191</v>
      </c>
      <c r="C20" t="s">
        <v>18</v>
      </c>
      <c r="D20" s="1">
        <v>68514</v>
      </c>
      <c r="E20" s="1">
        <v>23772</v>
      </c>
      <c r="F20" s="3">
        <v>0.34699999999999998</v>
      </c>
      <c r="G20">
        <v>61</v>
      </c>
      <c r="H20" s="3">
        <v>2.5999999999999999E-3</v>
      </c>
      <c r="I20" s="3">
        <v>8.9999999999999998E-4</v>
      </c>
    </row>
    <row r="21" spans="1:9" x14ac:dyDescent="0.35">
      <c r="A21" s="13">
        <v>45715</v>
      </c>
      <c r="B21" t="s">
        <v>192</v>
      </c>
      <c r="C21" t="s">
        <v>17</v>
      </c>
      <c r="D21" s="1">
        <v>660312</v>
      </c>
      <c r="E21" s="1">
        <v>256738</v>
      </c>
      <c r="F21" s="3">
        <v>0.38879999999999998</v>
      </c>
      <c r="G21">
        <v>582</v>
      </c>
      <c r="H21" s="3">
        <v>2.3E-3</v>
      </c>
      <c r="I21" s="3">
        <v>8.9999999999999998E-4</v>
      </c>
    </row>
    <row r="22" spans="1:9" x14ac:dyDescent="0.35">
      <c r="A22" s="13">
        <v>45715</v>
      </c>
      <c r="B22" t="s">
        <v>193</v>
      </c>
      <c r="C22" t="s">
        <v>18</v>
      </c>
      <c r="D22" s="1">
        <v>42145</v>
      </c>
      <c r="E22" s="1">
        <v>16096</v>
      </c>
      <c r="F22" s="3">
        <v>0.38190000000000002</v>
      </c>
      <c r="G22">
        <v>56</v>
      </c>
      <c r="H22" s="3">
        <v>3.5000000000000001E-3</v>
      </c>
      <c r="I22" s="3">
        <v>1.2999999999999999E-3</v>
      </c>
    </row>
    <row r="23" spans="1:9" x14ac:dyDescent="0.35">
      <c r="A23" s="13">
        <v>45715</v>
      </c>
      <c r="B23" t="s">
        <v>194</v>
      </c>
      <c r="C23" t="s">
        <v>17</v>
      </c>
      <c r="D23" s="1">
        <v>221003</v>
      </c>
      <c r="E23" s="1">
        <v>88177</v>
      </c>
      <c r="F23" s="3">
        <v>0.39900000000000002</v>
      </c>
      <c r="G23">
        <v>195</v>
      </c>
      <c r="H23" s="3">
        <v>2.2000000000000001E-3</v>
      </c>
      <c r="I23" s="3">
        <v>8.9999999999999998E-4</v>
      </c>
    </row>
    <row r="24" spans="1:9" x14ac:dyDescent="0.35">
      <c r="A24" s="13">
        <v>45715</v>
      </c>
      <c r="B24" t="s">
        <v>213</v>
      </c>
      <c r="C24" t="s">
        <v>110</v>
      </c>
      <c r="D24" s="1">
        <v>13141</v>
      </c>
      <c r="E24" s="1">
        <v>4956</v>
      </c>
      <c r="F24" s="2">
        <v>0.37714024807853302</v>
      </c>
      <c r="G24" s="1">
        <v>97</v>
      </c>
      <c r="H24" s="2">
        <v>1.9572235673930599E-2</v>
      </c>
      <c r="I24" s="2">
        <v>7.3814778175176898E-3</v>
      </c>
    </row>
    <row r="25" spans="1:9" x14ac:dyDescent="0.35">
      <c r="A25" s="13">
        <v>45715</v>
      </c>
      <c r="B25" t="s">
        <v>213</v>
      </c>
      <c r="C25" t="s">
        <v>90</v>
      </c>
      <c r="D25" s="1">
        <v>118048</v>
      </c>
      <c r="E25" s="1">
        <v>44363</v>
      </c>
      <c r="F25" s="2">
        <v>0.375804757386826</v>
      </c>
      <c r="G25" s="1">
        <v>742</v>
      </c>
      <c r="H25" s="2">
        <v>1.67256497531727E-2</v>
      </c>
      <c r="I25" s="2">
        <v>6.2855787476280801E-3</v>
      </c>
    </row>
    <row r="26" spans="1:9" x14ac:dyDescent="0.35">
      <c r="A26" s="13">
        <v>45715</v>
      </c>
      <c r="B26" t="s">
        <v>213</v>
      </c>
      <c r="C26" t="s">
        <v>111</v>
      </c>
      <c r="D26" s="1">
        <v>7763</v>
      </c>
      <c r="E26" s="1">
        <v>3109</v>
      </c>
      <c r="F26" s="2">
        <v>0.40048950148138601</v>
      </c>
      <c r="G26" s="1">
        <v>67</v>
      </c>
      <c r="H26" s="2">
        <v>2.1550337729173401E-2</v>
      </c>
      <c r="I26" s="2">
        <v>8.6306840139121505E-3</v>
      </c>
    </row>
    <row r="27" spans="1:9" x14ac:dyDescent="0.35">
      <c r="A27" s="13">
        <v>45715</v>
      </c>
      <c r="B27" t="s">
        <v>214</v>
      </c>
      <c r="C27" t="s">
        <v>91</v>
      </c>
      <c r="D27" s="1">
        <v>68699</v>
      </c>
      <c r="E27" s="1">
        <v>27985</v>
      </c>
      <c r="F27" s="2">
        <v>0.407356730083407</v>
      </c>
      <c r="G27" s="1">
        <v>657</v>
      </c>
      <c r="H27" s="2">
        <v>2.3476862604966901E-2</v>
      </c>
      <c r="I27" s="2">
        <v>9.5634579833767594E-3</v>
      </c>
    </row>
    <row r="28" spans="1:9" ht="16" thickBot="1" x14ac:dyDescent="0.4">
      <c r="A28" s="23" t="s">
        <v>13</v>
      </c>
      <c r="D28" s="17">
        <f>SUM(D2:D27)</f>
        <v>10440573</v>
      </c>
      <c r="E28" s="17">
        <f>SUM(E2:E27)</f>
        <v>3360916</v>
      </c>
      <c r="F28" s="18">
        <f>AVERAGE(F2:F27)</f>
        <v>0.33876499629379331</v>
      </c>
      <c r="G28" s="17">
        <f>SUM(G2:G27)</f>
        <v>37203</v>
      </c>
      <c r="H28" s="18">
        <f>AVERAGE(H2:H27)</f>
        <v>4.3798195706637684E-2</v>
      </c>
      <c r="I28" s="18">
        <f>AVERAGE(I2:I27)</f>
        <v>1.3775321175545819E-2</v>
      </c>
    </row>
    <row r="29" spans="1:9" ht="15" thickBot="1" x14ac:dyDescent="0.4">
      <c r="A29" s="123" t="s">
        <v>19</v>
      </c>
      <c r="B29" s="123"/>
      <c r="C29" s="123"/>
      <c r="D29" s="123"/>
      <c r="E29" s="123"/>
      <c r="F29" s="123"/>
      <c r="G29" s="123"/>
      <c r="H29" s="123"/>
      <c r="I29" s="123"/>
    </row>
    <row r="30" spans="1:9" ht="15.5" x14ac:dyDescent="0.35">
      <c r="A30" s="24" t="s">
        <v>9</v>
      </c>
      <c r="B30" s="25" t="s">
        <v>0</v>
      </c>
      <c r="C30" s="25" t="s">
        <v>16</v>
      </c>
      <c r="D30" s="25" t="s">
        <v>1</v>
      </c>
      <c r="E30" s="25" t="s">
        <v>2</v>
      </c>
      <c r="F30" s="25" t="s">
        <v>3</v>
      </c>
      <c r="G30" s="25" t="s">
        <v>4</v>
      </c>
      <c r="H30" s="25" t="s">
        <v>5</v>
      </c>
      <c r="I30" s="26" t="s">
        <v>6</v>
      </c>
    </row>
    <row r="31" spans="1:9" x14ac:dyDescent="0.35">
      <c r="A31" s="5" t="s">
        <v>12</v>
      </c>
      <c r="B31" s="6"/>
      <c r="C31" s="6"/>
      <c r="D31" s="6"/>
      <c r="E31" s="6"/>
      <c r="F31" s="6"/>
      <c r="G31" s="6"/>
      <c r="H31" s="6"/>
      <c r="I31" s="7"/>
    </row>
    <row r="32" spans="1:9" x14ac:dyDescent="0.35">
      <c r="A32" s="8">
        <v>45709</v>
      </c>
      <c r="B32" t="s">
        <v>200</v>
      </c>
      <c r="C32" t="s">
        <v>7</v>
      </c>
      <c r="D32" s="1">
        <v>4891406</v>
      </c>
      <c r="E32" s="1">
        <v>1480360</v>
      </c>
      <c r="F32" s="2">
        <v>0.302645088140302</v>
      </c>
      <c r="G32" s="1">
        <v>13785</v>
      </c>
      <c r="H32" s="2">
        <v>9.3119241265638107E-3</v>
      </c>
      <c r="I32" s="102">
        <v>2.8182080980397001E-3</v>
      </c>
    </row>
    <row r="33" spans="1:9" x14ac:dyDescent="0.35">
      <c r="A33" s="8">
        <v>45709</v>
      </c>
      <c r="B33" t="s">
        <v>200</v>
      </c>
      <c r="C33" t="s">
        <v>8</v>
      </c>
      <c r="D33" s="1">
        <v>313726</v>
      </c>
      <c r="E33" s="1">
        <v>88614</v>
      </c>
      <c r="F33" s="2">
        <v>0.28245666600791802</v>
      </c>
      <c r="G33" s="1">
        <v>1076</v>
      </c>
      <c r="H33" s="2">
        <v>1.2142550838468E-2</v>
      </c>
      <c r="I33" s="102">
        <v>3.42974442666531E-3</v>
      </c>
    </row>
    <row r="34" spans="1:9" x14ac:dyDescent="0.35">
      <c r="A34" s="8">
        <v>45713</v>
      </c>
      <c r="B34" t="s">
        <v>205</v>
      </c>
      <c r="C34" t="s">
        <v>7</v>
      </c>
      <c r="D34" s="1">
        <v>1415420</v>
      </c>
      <c r="E34" s="1">
        <v>389148</v>
      </c>
      <c r="F34" s="2">
        <v>0.27493464837292098</v>
      </c>
      <c r="G34" s="1">
        <v>9137</v>
      </c>
      <c r="H34" s="2">
        <v>2.34794988025122E-2</v>
      </c>
      <c r="I34" s="102">
        <v>6.4553277472411E-3</v>
      </c>
    </row>
    <row r="35" spans="1:9" x14ac:dyDescent="0.35">
      <c r="A35" s="8">
        <v>45713</v>
      </c>
      <c r="B35" t="s">
        <v>205</v>
      </c>
      <c r="C35" t="s">
        <v>8</v>
      </c>
      <c r="D35" s="1">
        <v>89678</v>
      </c>
      <c r="E35" s="1">
        <v>29581</v>
      </c>
      <c r="F35" s="2">
        <v>0.329857936171636</v>
      </c>
      <c r="G35" s="1">
        <v>834</v>
      </c>
      <c r="H35" s="2">
        <v>2.8193773029985499E-2</v>
      </c>
      <c r="I35" s="102">
        <v>9.2999397845625505E-3</v>
      </c>
    </row>
    <row r="36" spans="1:9" ht="16" thickBot="1" x14ac:dyDescent="0.4">
      <c r="A36" s="22" t="s">
        <v>13</v>
      </c>
      <c r="B36" s="4"/>
      <c r="C36" s="4"/>
      <c r="D36" s="19">
        <f>SUM(D32:D35)</f>
        <v>6710230</v>
      </c>
      <c r="E36" s="19">
        <f>SUM(E32:E35)</f>
        <v>1987703</v>
      </c>
      <c r="F36" s="20">
        <f>AVERAGE(F32:F35)</f>
        <v>0.29747358467319424</v>
      </c>
      <c r="G36" s="19">
        <f>SUM(G32:G35)</f>
        <v>24832</v>
      </c>
      <c r="H36" s="20">
        <f>AVERAGE(H32:H35)</f>
        <v>1.8281936699382377E-2</v>
      </c>
      <c r="I36" s="21">
        <f>AVERAGE(I32:I35)</f>
        <v>5.5008050141271648E-3</v>
      </c>
    </row>
    <row r="37" spans="1:9" ht="3" customHeight="1" thickBot="1" x14ac:dyDescent="0.4">
      <c r="A37" s="121"/>
      <c r="B37" s="121"/>
      <c r="C37" s="121"/>
      <c r="D37" s="121"/>
      <c r="E37" s="121"/>
      <c r="F37" s="121"/>
      <c r="G37" s="121"/>
      <c r="H37" s="121"/>
      <c r="I37" s="121"/>
    </row>
    <row r="38" spans="1:9" x14ac:dyDescent="0.35">
      <c r="A38" s="10" t="s">
        <v>216</v>
      </c>
      <c r="B38" s="11"/>
      <c r="C38" s="11"/>
      <c r="D38" s="11"/>
      <c r="E38" s="11"/>
      <c r="F38" s="11"/>
      <c r="G38" s="11"/>
      <c r="H38" s="11"/>
      <c r="I38" s="12"/>
    </row>
    <row r="39" spans="1:9" x14ac:dyDescent="0.35">
      <c r="A39" s="8">
        <v>45709</v>
      </c>
      <c r="B39" t="s">
        <v>201</v>
      </c>
      <c r="C39" t="s">
        <v>7</v>
      </c>
      <c r="D39" s="1">
        <v>66402</v>
      </c>
      <c r="E39" s="1">
        <v>27492</v>
      </c>
      <c r="F39" s="2">
        <v>0.41402367398572298</v>
      </c>
      <c r="G39" s="1">
        <v>2973</v>
      </c>
      <c r="H39" s="2">
        <v>0.108140549978175</v>
      </c>
      <c r="I39" s="102">
        <v>4.4772747808800903E-2</v>
      </c>
    </row>
    <row r="40" spans="1:9" x14ac:dyDescent="0.35">
      <c r="A40" s="8">
        <v>45709</v>
      </c>
      <c r="B40" t="s">
        <v>201</v>
      </c>
      <c r="C40" t="s">
        <v>8</v>
      </c>
      <c r="D40" s="1">
        <v>2273</v>
      </c>
      <c r="E40" s="1">
        <v>979</v>
      </c>
      <c r="F40" s="2">
        <v>0.43070831500220003</v>
      </c>
      <c r="G40" s="1">
        <v>146</v>
      </c>
      <c r="H40" s="2">
        <v>0.14913176710929499</v>
      </c>
      <c r="I40" s="102">
        <v>6.4232292124944995E-2</v>
      </c>
    </row>
    <row r="41" spans="1:9" x14ac:dyDescent="0.35">
      <c r="A41" s="8">
        <v>45712</v>
      </c>
      <c r="B41" t="s">
        <v>202</v>
      </c>
      <c r="C41" t="s">
        <v>7</v>
      </c>
      <c r="D41" s="1">
        <v>61517</v>
      </c>
      <c r="E41" s="1">
        <v>20946</v>
      </c>
      <c r="F41" s="2">
        <v>0.34049124632215499</v>
      </c>
      <c r="G41" s="1">
        <v>337</v>
      </c>
      <c r="H41" s="2">
        <v>1.60889907380884E-2</v>
      </c>
      <c r="I41" s="102">
        <v>5.4781605084773298E-3</v>
      </c>
    </row>
    <row r="42" spans="1:9" x14ac:dyDescent="0.35">
      <c r="A42" s="8">
        <v>45712</v>
      </c>
      <c r="B42" t="s">
        <v>202</v>
      </c>
      <c r="C42" t="s">
        <v>8</v>
      </c>
      <c r="D42" s="1">
        <v>64</v>
      </c>
      <c r="E42" s="1">
        <v>21</v>
      </c>
      <c r="F42" s="2">
        <v>0.328125</v>
      </c>
      <c r="G42" s="1">
        <v>1</v>
      </c>
      <c r="H42" s="2">
        <v>4.7619047619047603E-2</v>
      </c>
      <c r="I42" s="102">
        <v>1.5625E-2</v>
      </c>
    </row>
    <row r="43" spans="1:9" x14ac:dyDescent="0.35">
      <c r="A43" s="8">
        <v>45712</v>
      </c>
      <c r="B43" t="s">
        <v>203</v>
      </c>
      <c r="C43" t="s">
        <v>7</v>
      </c>
      <c r="D43" s="1">
        <v>842126</v>
      </c>
      <c r="E43" s="1">
        <v>304631</v>
      </c>
      <c r="F43" s="2">
        <v>0.36174040464253598</v>
      </c>
      <c r="G43" s="1">
        <v>3506</v>
      </c>
      <c r="H43" s="2">
        <v>1.1509005977723899E-2</v>
      </c>
      <c r="I43" s="102">
        <v>4.1632724794151898E-3</v>
      </c>
    </row>
    <row r="44" spans="1:9" x14ac:dyDescent="0.35">
      <c r="A44" s="8">
        <v>45712</v>
      </c>
      <c r="B44" t="s">
        <v>204</v>
      </c>
      <c r="C44" t="s">
        <v>8</v>
      </c>
      <c r="D44" s="1">
        <v>1970</v>
      </c>
      <c r="E44" s="1">
        <v>666</v>
      </c>
      <c r="F44" s="2">
        <v>0.33807106598984799</v>
      </c>
      <c r="G44" s="1">
        <v>7</v>
      </c>
      <c r="H44" s="2">
        <v>1.0510510510510499E-2</v>
      </c>
      <c r="I44" s="102">
        <v>3.5532994923857899E-3</v>
      </c>
    </row>
    <row r="45" spans="1:9" x14ac:dyDescent="0.35">
      <c r="A45" s="8">
        <v>45713</v>
      </c>
      <c r="B45" t="s">
        <v>206</v>
      </c>
      <c r="C45" t="s">
        <v>85</v>
      </c>
      <c r="D45" s="1">
        <v>1338</v>
      </c>
      <c r="E45" s="1">
        <v>422</v>
      </c>
      <c r="F45" s="2">
        <v>0.315396113602392</v>
      </c>
      <c r="G45" s="1">
        <v>59</v>
      </c>
      <c r="H45" s="2">
        <v>0.139810426540284</v>
      </c>
      <c r="I45" s="102">
        <v>4.4095665171898397E-2</v>
      </c>
    </row>
    <row r="46" spans="1:9" x14ac:dyDescent="0.35">
      <c r="A46" s="8">
        <v>45713</v>
      </c>
      <c r="B46" t="s">
        <v>207</v>
      </c>
      <c r="C46" t="s">
        <v>87</v>
      </c>
      <c r="D46" s="1">
        <v>421</v>
      </c>
      <c r="E46" s="1">
        <v>133</v>
      </c>
      <c r="F46" s="2">
        <v>0.315914489311164</v>
      </c>
      <c r="G46" s="1">
        <v>8</v>
      </c>
      <c r="H46" s="2">
        <v>6.01503759398496E-2</v>
      </c>
      <c r="I46" s="102">
        <v>1.9002375296912101E-2</v>
      </c>
    </row>
    <row r="47" spans="1:9" x14ac:dyDescent="0.35">
      <c r="A47" s="8">
        <v>45713</v>
      </c>
      <c r="B47" t="s">
        <v>208</v>
      </c>
      <c r="C47" t="s">
        <v>85</v>
      </c>
      <c r="D47" s="1">
        <v>120</v>
      </c>
      <c r="E47" s="1">
        <v>50</v>
      </c>
      <c r="F47" s="2">
        <v>0.41666666666666702</v>
      </c>
      <c r="G47" s="1">
        <v>7</v>
      </c>
      <c r="H47" s="2">
        <v>0.14000000000000001</v>
      </c>
      <c r="I47" s="102">
        <v>5.83333333333333E-2</v>
      </c>
    </row>
    <row r="48" spans="1:9" x14ac:dyDescent="0.35">
      <c r="A48" s="8">
        <v>45713</v>
      </c>
      <c r="B48" t="s">
        <v>209</v>
      </c>
      <c r="C48" t="s">
        <v>87</v>
      </c>
      <c r="D48" s="1">
        <v>7</v>
      </c>
      <c r="E48" s="1">
        <v>2</v>
      </c>
      <c r="F48" s="2">
        <v>0.28571428571428598</v>
      </c>
      <c r="G48" s="1">
        <v>0</v>
      </c>
      <c r="H48" s="2">
        <v>0</v>
      </c>
      <c r="I48" s="102">
        <v>0</v>
      </c>
    </row>
    <row r="49" spans="1:9" x14ac:dyDescent="0.35">
      <c r="A49" s="8">
        <v>45714</v>
      </c>
      <c r="B49" t="s">
        <v>210</v>
      </c>
      <c r="C49" t="s">
        <v>85</v>
      </c>
      <c r="D49" s="1">
        <v>15001</v>
      </c>
      <c r="E49" s="1">
        <v>2289</v>
      </c>
      <c r="F49" s="2">
        <v>0.152589827344844</v>
      </c>
      <c r="G49" s="1">
        <v>193</v>
      </c>
      <c r="H49" s="2">
        <v>8.4316295325469595E-2</v>
      </c>
      <c r="I49" s="102">
        <v>1.28658089460703E-2</v>
      </c>
    </row>
    <row r="50" spans="1:9" x14ac:dyDescent="0.35">
      <c r="A50" s="8">
        <v>45714</v>
      </c>
      <c r="B50" t="s">
        <v>211</v>
      </c>
      <c r="C50" t="s">
        <v>87</v>
      </c>
      <c r="D50" s="1">
        <v>3476</v>
      </c>
      <c r="E50" s="1">
        <v>420</v>
      </c>
      <c r="F50" s="2">
        <v>0.120828538550058</v>
      </c>
      <c r="G50" s="1">
        <v>81</v>
      </c>
      <c r="H50" s="2">
        <v>0.192857142857143</v>
      </c>
      <c r="I50" s="102">
        <v>2.3302646720368199E-2</v>
      </c>
    </row>
    <row r="51" spans="1:9" x14ac:dyDescent="0.35">
      <c r="A51" s="8">
        <v>45714</v>
      </c>
      <c r="B51" t="s">
        <v>212</v>
      </c>
      <c r="C51" t="s">
        <v>7</v>
      </c>
      <c r="D51" s="1">
        <v>402769</v>
      </c>
      <c r="E51" s="1">
        <v>146783</v>
      </c>
      <c r="F51" s="2">
        <v>0.36443470078382401</v>
      </c>
      <c r="G51" s="1">
        <v>1639</v>
      </c>
      <c r="H51" s="2">
        <v>1.11661432182201E-2</v>
      </c>
      <c r="I51" s="102">
        <v>4.0693300626413699E-3</v>
      </c>
    </row>
    <row r="52" spans="1:9" x14ac:dyDescent="0.35">
      <c r="A52" s="8">
        <v>45715</v>
      </c>
      <c r="B52" t="s">
        <v>213</v>
      </c>
      <c r="C52" t="s">
        <v>110</v>
      </c>
      <c r="D52" s="1">
        <v>13141</v>
      </c>
      <c r="E52" s="1">
        <v>4956</v>
      </c>
      <c r="F52" s="2">
        <v>0.37714024807853302</v>
      </c>
      <c r="G52" s="1">
        <v>97</v>
      </c>
      <c r="H52" s="2">
        <v>1.9572235673930599E-2</v>
      </c>
      <c r="I52" s="102">
        <v>7.3814778175176898E-3</v>
      </c>
    </row>
    <row r="53" spans="1:9" x14ac:dyDescent="0.35">
      <c r="A53" s="8">
        <v>45715</v>
      </c>
      <c r="B53" t="s">
        <v>213</v>
      </c>
      <c r="C53" t="s">
        <v>90</v>
      </c>
      <c r="D53" s="1">
        <v>118048</v>
      </c>
      <c r="E53" s="1">
        <v>44363</v>
      </c>
      <c r="F53" s="2">
        <v>0.375804757386826</v>
      </c>
      <c r="G53" s="1">
        <v>742</v>
      </c>
      <c r="H53" s="2">
        <v>1.67256497531727E-2</v>
      </c>
      <c r="I53" s="102">
        <v>6.2855787476280801E-3</v>
      </c>
    </row>
    <row r="54" spans="1:9" x14ac:dyDescent="0.35">
      <c r="A54" s="8">
        <v>45715</v>
      </c>
      <c r="B54" t="s">
        <v>213</v>
      </c>
      <c r="C54" t="s">
        <v>111</v>
      </c>
      <c r="D54" s="1">
        <v>7763</v>
      </c>
      <c r="E54" s="1">
        <v>3109</v>
      </c>
      <c r="F54" s="2">
        <v>0.40048950148138601</v>
      </c>
      <c r="G54" s="1">
        <v>67</v>
      </c>
      <c r="H54" s="2">
        <v>2.1550337729173401E-2</v>
      </c>
      <c r="I54" s="102">
        <v>8.6306840139121505E-3</v>
      </c>
    </row>
    <row r="55" spans="1:9" x14ac:dyDescent="0.35">
      <c r="A55" s="8">
        <v>45715</v>
      </c>
      <c r="B55" t="s">
        <v>214</v>
      </c>
      <c r="C55" t="s">
        <v>91</v>
      </c>
      <c r="D55" s="1">
        <v>68699</v>
      </c>
      <c r="E55" s="1">
        <v>27985</v>
      </c>
      <c r="F55" s="2">
        <v>0.407356730083407</v>
      </c>
      <c r="G55" s="1">
        <v>657</v>
      </c>
      <c r="H55" s="2">
        <v>2.3476862604966901E-2</v>
      </c>
      <c r="I55" s="102">
        <v>9.5634579833767594E-3</v>
      </c>
    </row>
    <row r="56" spans="1:9" ht="16" thickBot="1" x14ac:dyDescent="0.4">
      <c r="A56" s="22" t="s">
        <v>13</v>
      </c>
      <c r="B56" s="4"/>
      <c r="C56" s="4"/>
      <c r="D56" s="19">
        <f>SUM(D39:D55)</f>
        <v>1605135</v>
      </c>
      <c r="E56" s="19">
        <f>SUM(E39:E55)</f>
        <v>585247</v>
      </c>
      <c r="F56" s="20">
        <f>AVERAGE(F39:F55)</f>
        <v>0.33797032734975574</v>
      </c>
      <c r="G56" s="19">
        <f>SUM(G39:G55)</f>
        <v>10520</v>
      </c>
      <c r="H56" s="20">
        <f>AVERAGE(H39:H55)</f>
        <v>6.1919137739708849E-2</v>
      </c>
      <c r="I56" s="21">
        <f>AVERAGE(I39:I55)</f>
        <v>1.9491478265157798E-2</v>
      </c>
    </row>
    <row r="57" spans="1:9" ht="3" customHeight="1" thickBot="1" x14ac:dyDescent="0.4"/>
    <row r="58" spans="1:9" x14ac:dyDescent="0.35">
      <c r="A58" s="10" t="s">
        <v>11</v>
      </c>
      <c r="B58" s="11"/>
      <c r="C58" s="11"/>
      <c r="D58" s="11"/>
      <c r="E58" s="11"/>
      <c r="F58" s="11"/>
      <c r="G58" s="11"/>
      <c r="H58" s="11"/>
      <c r="I58" s="12"/>
    </row>
    <row r="59" spans="1:9" x14ac:dyDescent="0.35">
      <c r="A59" s="14">
        <v>45715</v>
      </c>
      <c r="B59" t="s">
        <v>190</v>
      </c>
      <c r="C59" t="s">
        <v>17</v>
      </c>
      <c r="D59" s="1">
        <v>1133234</v>
      </c>
      <c r="E59" s="1">
        <v>403183</v>
      </c>
      <c r="F59" s="3">
        <v>0.35580000000000001</v>
      </c>
      <c r="G59">
        <v>957</v>
      </c>
      <c r="H59" s="3">
        <v>2.3999999999999998E-3</v>
      </c>
      <c r="I59" s="16">
        <v>8.0000000000000004E-4</v>
      </c>
    </row>
    <row r="60" spans="1:9" x14ac:dyDescent="0.35">
      <c r="A60" s="14">
        <v>45715</v>
      </c>
      <c r="B60" t="s">
        <v>191</v>
      </c>
      <c r="C60" t="s">
        <v>18</v>
      </c>
      <c r="D60" s="1">
        <v>68514</v>
      </c>
      <c r="E60" s="1">
        <v>23772</v>
      </c>
      <c r="F60" s="3">
        <v>0.34699999999999998</v>
      </c>
      <c r="G60">
        <v>61</v>
      </c>
      <c r="H60" s="3">
        <v>2.5999999999999999E-3</v>
      </c>
      <c r="I60" s="16">
        <v>8.9999999999999998E-4</v>
      </c>
    </row>
    <row r="61" spans="1:9" x14ac:dyDescent="0.35">
      <c r="A61" s="14">
        <v>45715</v>
      </c>
      <c r="B61" t="s">
        <v>192</v>
      </c>
      <c r="C61" t="s">
        <v>17</v>
      </c>
      <c r="D61" s="1">
        <v>660312</v>
      </c>
      <c r="E61" s="1">
        <v>256738</v>
      </c>
      <c r="F61" s="3">
        <v>0.38879999999999998</v>
      </c>
      <c r="G61">
        <v>582</v>
      </c>
      <c r="H61" s="3">
        <v>2.3E-3</v>
      </c>
      <c r="I61" s="16">
        <v>8.9999999999999998E-4</v>
      </c>
    </row>
    <row r="62" spans="1:9" x14ac:dyDescent="0.35">
      <c r="A62" s="14">
        <v>45715</v>
      </c>
      <c r="B62" t="s">
        <v>193</v>
      </c>
      <c r="C62" t="s">
        <v>18</v>
      </c>
      <c r="D62" s="1">
        <v>42145</v>
      </c>
      <c r="E62" s="1">
        <v>16096</v>
      </c>
      <c r="F62" s="3">
        <v>0.38190000000000002</v>
      </c>
      <c r="G62">
        <v>56</v>
      </c>
      <c r="H62" s="3">
        <v>3.5000000000000001E-3</v>
      </c>
      <c r="I62" s="16">
        <v>1.2999999999999999E-3</v>
      </c>
    </row>
    <row r="63" spans="1:9" x14ac:dyDescent="0.35">
      <c r="A63" s="14">
        <v>45715</v>
      </c>
      <c r="B63" t="s">
        <v>194</v>
      </c>
      <c r="C63" t="s">
        <v>17</v>
      </c>
      <c r="D63" s="1">
        <v>221003</v>
      </c>
      <c r="E63" s="1">
        <v>88177</v>
      </c>
      <c r="F63" s="3">
        <v>0.39900000000000002</v>
      </c>
      <c r="G63">
        <v>195</v>
      </c>
      <c r="H63" s="3">
        <v>2.2000000000000001E-3</v>
      </c>
      <c r="I63" s="16">
        <v>8.9999999999999998E-4</v>
      </c>
    </row>
    <row r="64" spans="1:9" ht="16" thickBot="1" x14ac:dyDescent="0.4">
      <c r="A64" s="22" t="s">
        <v>13</v>
      </c>
      <c r="B64" s="4"/>
      <c r="C64" s="4"/>
      <c r="D64" s="19">
        <f>SUM(D59:D63)</f>
        <v>2125208</v>
      </c>
      <c r="E64" s="19">
        <f>SUM(E59:E63)</f>
        <v>787966</v>
      </c>
      <c r="F64" s="20">
        <f>AVERAGE(F59:F63)</f>
        <v>0.3745</v>
      </c>
      <c r="G64" s="19">
        <f>SUM(G59:G63)</f>
        <v>1851</v>
      </c>
      <c r="H64" s="20">
        <f>AVERAGE(H59:H63)</f>
        <v>2.5999999999999999E-3</v>
      </c>
      <c r="I64" s="21">
        <f>AVERAGE(I59:I63)</f>
        <v>9.5999999999999992E-4</v>
      </c>
    </row>
  </sheetData>
  <mergeCells count="2">
    <mergeCell ref="A29:I29"/>
    <mergeCell ref="A37:I37"/>
  </mergeCells>
  <pageMargins left="0.7" right="0.7" top="0.75" bottom="0.75" header="0.3" footer="0.3"/>
  <ignoredErrors>
    <ignoredError sqref="F28:G28 F36:G36 F56:G56 F64:G64" formula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553A-7780-470B-BC34-42A9B59AA7CC}">
  <dimension ref="A1:I74"/>
  <sheetViews>
    <sheetView zoomScaleNormal="100"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45716</v>
      </c>
      <c r="B2" t="s">
        <v>217</v>
      </c>
      <c r="C2" t="s">
        <v>7</v>
      </c>
      <c r="D2" s="1">
        <v>4888477</v>
      </c>
      <c r="E2" s="1">
        <v>1494473</v>
      </c>
      <c r="F2" s="2">
        <v>0.30571341544615999</v>
      </c>
      <c r="G2" s="1">
        <v>16699</v>
      </c>
      <c r="H2" s="2">
        <v>1.11738385370629E-2</v>
      </c>
      <c r="I2" s="2">
        <v>3.4159923428094298E-3</v>
      </c>
    </row>
    <row r="3" spans="1:9" x14ac:dyDescent="0.35">
      <c r="A3" s="13">
        <v>45716</v>
      </c>
      <c r="B3" t="s">
        <v>217</v>
      </c>
      <c r="C3" t="s">
        <v>8</v>
      </c>
      <c r="D3" s="1">
        <v>313098</v>
      </c>
      <c r="E3" s="1">
        <v>99744</v>
      </c>
      <c r="F3" s="2">
        <v>0.31857118218576902</v>
      </c>
      <c r="G3" s="1">
        <v>1273</v>
      </c>
      <c r="H3" s="2">
        <v>1.27626724414501E-2</v>
      </c>
      <c r="I3" s="2">
        <v>4.0658196475225001E-3</v>
      </c>
    </row>
    <row r="4" spans="1:9" x14ac:dyDescent="0.35">
      <c r="A4" s="13">
        <v>45716</v>
      </c>
      <c r="B4" t="s">
        <v>218</v>
      </c>
      <c r="C4" t="s">
        <v>7</v>
      </c>
      <c r="D4" s="1">
        <v>6322390</v>
      </c>
      <c r="E4" s="1">
        <v>2299096</v>
      </c>
      <c r="F4" s="2">
        <v>0.36364349557683101</v>
      </c>
      <c r="G4" s="1">
        <v>17578</v>
      </c>
      <c r="H4" s="2">
        <v>7.6456137542755898E-3</v>
      </c>
      <c r="I4" s="2">
        <v>2.78027771143507E-3</v>
      </c>
    </row>
    <row r="5" spans="1:9" x14ac:dyDescent="0.35">
      <c r="A5" s="13">
        <v>45716</v>
      </c>
      <c r="B5" t="s">
        <v>218</v>
      </c>
      <c r="C5" t="s">
        <v>8</v>
      </c>
      <c r="D5" s="1">
        <v>403349</v>
      </c>
      <c r="E5" s="1">
        <v>144477</v>
      </c>
      <c r="F5" s="2">
        <v>0.35819352471432903</v>
      </c>
      <c r="G5" s="1">
        <v>1341</v>
      </c>
      <c r="H5" s="2">
        <v>9.2817541892481203E-3</v>
      </c>
      <c r="I5" s="2">
        <v>3.3246642485787702E-3</v>
      </c>
    </row>
    <row r="6" spans="1:9" x14ac:dyDescent="0.35">
      <c r="A6" s="13">
        <v>45716</v>
      </c>
      <c r="B6" t="s">
        <v>219</v>
      </c>
      <c r="C6" t="s">
        <v>111</v>
      </c>
      <c r="D6" s="1">
        <v>2368</v>
      </c>
      <c r="E6" s="1">
        <v>947</v>
      </c>
      <c r="F6" s="2">
        <v>0.39991554054054101</v>
      </c>
      <c r="G6" s="1">
        <v>13</v>
      </c>
      <c r="H6" s="2">
        <v>1.3727560718057001E-2</v>
      </c>
      <c r="I6" s="2">
        <v>5.4898648648648704E-3</v>
      </c>
    </row>
    <row r="7" spans="1:9" x14ac:dyDescent="0.35">
      <c r="A7" s="13">
        <v>45716</v>
      </c>
      <c r="B7" t="s">
        <v>219</v>
      </c>
      <c r="C7" t="s">
        <v>91</v>
      </c>
      <c r="D7" s="1">
        <v>20937</v>
      </c>
      <c r="E7" s="1">
        <v>8686</v>
      </c>
      <c r="F7" s="2">
        <v>0.41486363853465202</v>
      </c>
      <c r="G7" s="1">
        <v>82</v>
      </c>
      <c r="H7" s="2">
        <v>9.4404789316140901E-3</v>
      </c>
      <c r="I7" s="2">
        <v>3.9165114390791404E-3</v>
      </c>
    </row>
    <row r="8" spans="1:9" x14ac:dyDescent="0.35">
      <c r="A8" s="13">
        <v>45717</v>
      </c>
      <c r="B8" t="s">
        <v>220</v>
      </c>
      <c r="C8" t="s">
        <v>7</v>
      </c>
      <c r="D8" s="1">
        <v>66578</v>
      </c>
      <c r="E8" s="1">
        <v>28912</v>
      </c>
      <c r="F8" s="2">
        <v>0.43425756255820203</v>
      </c>
      <c r="G8" s="1">
        <v>1596</v>
      </c>
      <c r="H8" s="2">
        <v>5.5201992252351999E-2</v>
      </c>
      <c r="I8" s="2">
        <v>2.3971882603863098E-2</v>
      </c>
    </row>
    <row r="9" spans="1:9" x14ac:dyDescent="0.35">
      <c r="A9" s="13">
        <v>45717</v>
      </c>
      <c r="B9" t="s">
        <v>220</v>
      </c>
      <c r="C9" t="s">
        <v>8</v>
      </c>
      <c r="D9" s="1">
        <v>7505</v>
      </c>
      <c r="E9" s="1">
        <v>3652</v>
      </c>
      <c r="F9" s="2">
        <v>0.48660892738174499</v>
      </c>
      <c r="G9" s="1">
        <v>277</v>
      </c>
      <c r="H9" s="2">
        <v>7.5848849945235497E-2</v>
      </c>
      <c r="I9" s="2">
        <v>3.6908727514989997E-2</v>
      </c>
    </row>
    <row r="10" spans="1:9" x14ac:dyDescent="0.35">
      <c r="A10" s="13">
        <v>45717</v>
      </c>
      <c r="B10" t="s">
        <v>221</v>
      </c>
      <c r="C10" t="s">
        <v>7</v>
      </c>
      <c r="D10" s="1">
        <v>291199</v>
      </c>
      <c r="E10" s="1">
        <v>114260</v>
      </c>
      <c r="F10" s="2">
        <v>0.39237772107733898</v>
      </c>
      <c r="G10" s="1">
        <v>1266</v>
      </c>
      <c r="H10" s="2">
        <v>1.10799929984246E-2</v>
      </c>
      <c r="I10" s="2">
        <v>4.3475424022747303E-3</v>
      </c>
    </row>
    <row r="11" spans="1:9" x14ac:dyDescent="0.35">
      <c r="A11" s="13">
        <v>45717</v>
      </c>
      <c r="B11" t="s">
        <v>221</v>
      </c>
      <c r="C11" t="s">
        <v>8</v>
      </c>
      <c r="D11" s="1">
        <v>954</v>
      </c>
      <c r="E11" s="1">
        <v>438</v>
      </c>
      <c r="F11" s="2">
        <v>0.45911949685534598</v>
      </c>
      <c r="G11" s="1">
        <v>13</v>
      </c>
      <c r="H11" s="2">
        <v>2.96803652968037E-2</v>
      </c>
      <c r="I11" s="2">
        <v>1.3626834381551401E-2</v>
      </c>
    </row>
    <row r="12" spans="1:9" x14ac:dyDescent="0.35">
      <c r="A12" s="13">
        <v>45718</v>
      </c>
      <c r="B12" t="s">
        <v>222</v>
      </c>
      <c r="C12" t="s">
        <v>7</v>
      </c>
      <c r="D12" s="1">
        <v>77948</v>
      </c>
      <c r="E12" s="1">
        <v>27318</v>
      </c>
      <c r="F12" s="2">
        <v>0.35046441217221702</v>
      </c>
      <c r="G12" s="1">
        <v>531</v>
      </c>
      <c r="H12" s="2">
        <v>1.9437733362618101E-2</v>
      </c>
      <c r="I12" s="2">
        <v>6.81223379689023E-3</v>
      </c>
    </row>
    <row r="13" spans="1:9" x14ac:dyDescent="0.35">
      <c r="A13" s="13">
        <v>45719</v>
      </c>
      <c r="B13" t="s">
        <v>223</v>
      </c>
      <c r="C13" t="s">
        <v>7</v>
      </c>
      <c r="D13" s="1">
        <v>201000</v>
      </c>
      <c r="E13" s="1">
        <v>97531</v>
      </c>
      <c r="F13" s="2">
        <v>0.48522885572139302</v>
      </c>
      <c r="G13" s="1">
        <v>1309</v>
      </c>
      <c r="H13" s="2">
        <v>1.34213737170746E-2</v>
      </c>
      <c r="I13" s="2">
        <v>6.5124378109452704E-3</v>
      </c>
    </row>
    <row r="14" spans="1:9" x14ac:dyDescent="0.35">
      <c r="A14" s="13">
        <v>45719</v>
      </c>
      <c r="B14" t="s">
        <v>223</v>
      </c>
      <c r="C14" t="s">
        <v>8</v>
      </c>
      <c r="D14" s="1">
        <v>12312</v>
      </c>
      <c r="E14" s="1">
        <v>5865</v>
      </c>
      <c r="F14" s="2">
        <v>0.47636452241715399</v>
      </c>
      <c r="G14" s="1">
        <v>136</v>
      </c>
      <c r="H14" s="2">
        <v>2.3188405797101401E-2</v>
      </c>
      <c r="I14" s="2">
        <v>1.10461338531514E-2</v>
      </c>
    </row>
    <row r="15" spans="1:9" x14ac:dyDescent="0.35">
      <c r="A15" s="13">
        <v>45719</v>
      </c>
      <c r="B15" t="s">
        <v>224</v>
      </c>
      <c r="C15" t="s">
        <v>7</v>
      </c>
      <c r="D15" s="1">
        <v>248474</v>
      </c>
      <c r="E15" s="1">
        <v>93600</v>
      </c>
      <c r="F15" s="2">
        <v>0.37669937297262501</v>
      </c>
      <c r="G15" s="1">
        <v>1090</v>
      </c>
      <c r="H15" s="2">
        <v>1.16452991452991E-2</v>
      </c>
      <c r="I15" s="2">
        <v>4.38677688611283E-3</v>
      </c>
    </row>
    <row r="16" spans="1:9" x14ac:dyDescent="0.35">
      <c r="A16" s="13">
        <v>45719</v>
      </c>
      <c r="B16" t="s">
        <v>224</v>
      </c>
      <c r="C16" t="s">
        <v>8</v>
      </c>
      <c r="D16" s="1">
        <v>158</v>
      </c>
      <c r="E16" s="1">
        <v>50</v>
      </c>
      <c r="F16" s="2">
        <v>0.316455696202532</v>
      </c>
      <c r="G16" s="1">
        <v>1</v>
      </c>
      <c r="H16" s="2">
        <v>0.02</v>
      </c>
      <c r="I16" s="2">
        <v>6.3291139240506302E-3</v>
      </c>
    </row>
    <row r="17" spans="1:9" x14ac:dyDescent="0.35">
      <c r="A17" s="13">
        <v>45719</v>
      </c>
      <c r="B17" t="s">
        <v>225</v>
      </c>
      <c r="C17" t="s">
        <v>7</v>
      </c>
      <c r="D17" s="1">
        <v>11635</v>
      </c>
      <c r="E17" s="1">
        <v>3616</v>
      </c>
      <c r="F17" s="2">
        <v>0.31078642028362702</v>
      </c>
      <c r="G17" s="1">
        <v>64</v>
      </c>
      <c r="H17" s="2">
        <v>1.7699115044247801E-2</v>
      </c>
      <c r="I17" s="2">
        <v>5.5006446067898604E-3</v>
      </c>
    </row>
    <row r="18" spans="1:9" x14ac:dyDescent="0.35">
      <c r="A18" s="13">
        <v>45719</v>
      </c>
      <c r="B18" t="s">
        <v>225</v>
      </c>
      <c r="C18" t="s">
        <v>8</v>
      </c>
      <c r="D18" s="1">
        <v>19</v>
      </c>
      <c r="E18" s="1">
        <v>8</v>
      </c>
      <c r="F18" s="2">
        <v>0.42105263157894701</v>
      </c>
      <c r="G18" s="1">
        <v>0</v>
      </c>
      <c r="H18" s="2">
        <v>0</v>
      </c>
      <c r="I18" s="2">
        <v>0</v>
      </c>
    </row>
    <row r="19" spans="1:9" x14ac:dyDescent="0.35">
      <c r="A19" s="13">
        <v>45720</v>
      </c>
      <c r="B19" t="s">
        <v>226</v>
      </c>
      <c r="C19" t="s">
        <v>7</v>
      </c>
      <c r="D19" s="1">
        <v>1413544</v>
      </c>
      <c r="E19" s="1">
        <v>366546</v>
      </c>
      <c r="F19" s="2">
        <v>0.25930993304771599</v>
      </c>
      <c r="G19" s="1">
        <v>8977</v>
      </c>
      <c r="H19" s="2">
        <v>2.4490786968074899E-2</v>
      </c>
      <c r="I19" s="2">
        <v>6.3507043289773796E-3</v>
      </c>
    </row>
    <row r="20" spans="1:9" x14ac:dyDescent="0.35">
      <c r="A20" s="13">
        <v>45720</v>
      </c>
      <c r="B20" t="s">
        <v>226</v>
      </c>
      <c r="C20" t="s">
        <v>8</v>
      </c>
      <c r="D20" s="1">
        <v>89050</v>
      </c>
      <c r="E20" s="1">
        <v>27040</v>
      </c>
      <c r="F20" s="2">
        <v>0.303649635036496</v>
      </c>
      <c r="G20" s="1">
        <v>868</v>
      </c>
      <c r="H20" s="2">
        <v>3.2100591715976297E-2</v>
      </c>
      <c r="I20" s="2">
        <v>9.7473329590117893E-3</v>
      </c>
    </row>
    <row r="21" spans="1:9" x14ac:dyDescent="0.35">
      <c r="A21" s="13">
        <v>45721</v>
      </c>
      <c r="B21" t="s">
        <v>227</v>
      </c>
      <c r="C21" t="s">
        <v>85</v>
      </c>
      <c r="D21" s="1">
        <v>14992</v>
      </c>
      <c r="E21" s="1">
        <v>3549</v>
      </c>
      <c r="F21" s="2">
        <v>0.23672625400213401</v>
      </c>
      <c r="G21" s="1">
        <v>206</v>
      </c>
      <c r="H21" s="2">
        <v>5.8044519582981097E-2</v>
      </c>
      <c r="I21" s="2">
        <v>1.37406616862327E-2</v>
      </c>
    </row>
    <row r="22" spans="1:9" x14ac:dyDescent="0.35">
      <c r="A22" s="13">
        <v>45721</v>
      </c>
      <c r="B22" t="s">
        <v>228</v>
      </c>
      <c r="C22" t="s">
        <v>87</v>
      </c>
      <c r="D22" s="1">
        <v>3486</v>
      </c>
      <c r="E22" s="1">
        <v>434</v>
      </c>
      <c r="F22" s="2">
        <v>0.12449799196787099</v>
      </c>
      <c r="G22" s="1">
        <v>69</v>
      </c>
      <c r="H22" s="2">
        <v>0.15898617511520699</v>
      </c>
      <c r="I22" s="2">
        <v>1.9793459552495701E-2</v>
      </c>
    </row>
    <row r="23" spans="1:9" x14ac:dyDescent="0.35">
      <c r="A23" s="13">
        <v>45721</v>
      </c>
      <c r="B23" t="s">
        <v>229</v>
      </c>
      <c r="C23" t="s">
        <v>7</v>
      </c>
      <c r="D23" s="1">
        <v>156973</v>
      </c>
      <c r="E23" s="1">
        <v>63600</v>
      </c>
      <c r="F23" s="2">
        <v>0.40516521949634599</v>
      </c>
      <c r="G23" s="1">
        <v>889</v>
      </c>
      <c r="H23" s="2">
        <v>1.3977987421383601E-2</v>
      </c>
      <c r="I23" s="2">
        <v>5.6633943417020802E-3</v>
      </c>
    </row>
    <row r="24" spans="1:9" x14ac:dyDescent="0.35">
      <c r="A24" s="13">
        <v>45721</v>
      </c>
      <c r="B24" t="s">
        <v>229</v>
      </c>
      <c r="C24" t="s">
        <v>8</v>
      </c>
      <c r="D24" s="1">
        <v>1497</v>
      </c>
      <c r="E24" s="1">
        <v>559</v>
      </c>
      <c r="F24" s="2">
        <v>0.37341349365397503</v>
      </c>
      <c r="G24" s="1">
        <v>9</v>
      </c>
      <c r="H24" s="2">
        <v>1.6100178890876601E-2</v>
      </c>
      <c r="I24" s="2">
        <v>6.0120240480961897E-3</v>
      </c>
    </row>
    <row r="25" spans="1:9" x14ac:dyDescent="0.35">
      <c r="A25" s="13">
        <v>45721</v>
      </c>
      <c r="B25" t="s">
        <v>230</v>
      </c>
      <c r="C25" t="s">
        <v>7</v>
      </c>
      <c r="D25" s="1">
        <v>130850</v>
      </c>
      <c r="E25" s="1">
        <v>54530</v>
      </c>
      <c r="F25" s="2">
        <v>0.41673672143675999</v>
      </c>
      <c r="G25" s="1">
        <v>503</v>
      </c>
      <c r="H25" s="2">
        <v>9.2242802127269399E-3</v>
      </c>
      <c r="I25" s="2">
        <v>3.8440962934657998E-3</v>
      </c>
    </row>
    <row r="26" spans="1:9" x14ac:dyDescent="0.35">
      <c r="A26" s="13">
        <v>45721</v>
      </c>
      <c r="B26" t="s">
        <v>230</v>
      </c>
      <c r="C26" t="s">
        <v>8</v>
      </c>
      <c r="D26" s="1">
        <v>3983</v>
      </c>
      <c r="E26" s="1">
        <v>1861</v>
      </c>
      <c r="F26" s="2">
        <v>0.467235751945769</v>
      </c>
      <c r="G26" s="1">
        <v>25</v>
      </c>
      <c r="H26" s="2">
        <v>1.3433637829124099E-2</v>
      </c>
      <c r="I26" s="2">
        <v>6.2766758724579503E-3</v>
      </c>
    </row>
    <row r="27" spans="1:9" x14ac:dyDescent="0.35">
      <c r="A27" s="13">
        <v>45722</v>
      </c>
      <c r="B27" t="s">
        <v>231</v>
      </c>
      <c r="C27" t="s">
        <v>7</v>
      </c>
      <c r="D27" s="1">
        <v>952721</v>
      </c>
      <c r="E27" s="1">
        <v>329770</v>
      </c>
      <c r="F27" s="2">
        <v>0.34613491252948098</v>
      </c>
      <c r="G27" s="1">
        <v>1922</v>
      </c>
      <c r="H27" s="2">
        <v>5.82830457591655E-3</v>
      </c>
      <c r="I27" s="2">
        <v>2.0173796945800499E-3</v>
      </c>
    </row>
    <row r="28" spans="1:9" x14ac:dyDescent="0.35">
      <c r="A28" s="13">
        <v>45722</v>
      </c>
      <c r="B28" t="s">
        <v>190</v>
      </c>
      <c r="C28" t="s">
        <v>233</v>
      </c>
      <c r="D28" s="1">
        <v>1121985</v>
      </c>
      <c r="E28" s="1">
        <v>377566</v>
      </c>
      <c r="F28" s="3">
        <v>0.33650000000000002</v>
      </c>
      <c r="G28">
        <v>997</v>
      </c>
      <c r="H28" s="3">
        <v>2.5999999999999999E-3</v>
      </c>
      <c r="I28" s="3">
        <v>8.9999999999999998E-4</v>
      </c>
    </row>
    <row r="29" spans="1:9" x14ac:dyDescent="0.35">
      <c r="A29" s="13">
        <v>45722</v>
      </c>
      <c r="B29" t="s">
        <v>191</v>
      </c>
      <c r="C29" t="s">
        <v>234</v>
      </c>
      <c r="D29" s="1">
        <v>67386</v>
      </c>
      <c r="E29" s="1">
        <v>22169</v>
      </c>
      <c r="F29" s="3">
        <v>0.32900000000000001</v>
      </c>
      <c r="G29">
        <v>79</v>
      </c>
      <c r="H29" s="3">
        <v>3.5999999999999999E-3</v>
      </c>
      <c r="I29" s="3">
        <v>1.1999999999999999E-3</v>
      </c>
    </row>
    <row r="30" spans="1:9" x14ac:dyDescent="0.35">
      <c r="A30" s="13">
        <v>45722</v>
      </c>
      <c r="B30" t="s">
        <v>192</v>
      </c>
      <c r="C30" t="s">
        <v>233</v>
      </c>
      <c r="D30" s="1">
        <v>650248</v>
      </c>
      <c r="E30" s="1">
        <v>237129</v>
      </c>
      <c r="F30" s="3">
        <v>0.36470000000000002</v>
      </c>
      <c r="G30">
        <v>597</v>
      </c>
      <c r="H30" s="3">
        <v>2.5000000000000001E-3</v>
      </c>
      <c r="I30" s="3">
        <v>8.9999999999999998E-4</v>
      </c>
    </row>
    <row r="31" spans="1:9" x14ac:dyDescent="0.35">
      <c r="A31" s="13">
        <v>45722</v>
      </c>
      <c r="B31" t="s">
        <v>193</v>
      </c>
      <c r="C31" t="s">
        <v>234</v>
      </c>
      <c r="D31" s="1">
        <v>41138</v>
      </c>
      <c r="E31" s="1">
        <v>14951</v>
      </c>
      <c r="F31" s="3">
        <v>0.3634</v>
      </c>
      <c r="G31">
        <v>51</v>
      </c>
      <c r="H31" s="3">
        <v>3.3999999999999998E-3</v>
      </c>
      <c r="I31" s="3">
        <v>1.1999999999999999E-3</v>
      </c>
    </row>
    <row r="32" spans="1:9" x14ac:dyDescent="0.35">
      <c r="A32" s="13">
        <v>45722</v>
      </c>
      <c r="B32" t="s">
        <v>194</v>
      </c>
      <c r="C32" t="s">
        <v>233</v>
      </c>
      <c r="D32" s="1">
        <v>217429</v>
      </c>
      <c r="E32" s="1">
        <v>82094</v>
      </c>
      <c r="F32" s="3">
        <v>0.37759999999999999</v>
      </c>
      <c r="G32">
        <v>229</v>
      </c>
      <c r="H32" s="3">
        <v>2.8E-3</v>
      </c>
      <c r="I32" s="3">
        <v>1.1000000000000001E-3</v>
      </c>
    </row>
    <row r="33" spans="1:9" ht="16" thickBot="1" x14ac:dyDescent="0.4">
      <c r="A33" s="23" t="s">
        <v>13</v>
      </c>
      <c r="D33" s="17">
        <f>SUM(D2:D32)</f>
        <v>17733683</v>
      </c>
      <c r="E33" s="17">
        <f>SUM(E2:E32)</f>
        <v>6004471</v>
      </c>
      <c r="F33" s="18">
        <f>AVERAGE(F2:F32)</f>
        <v>0.36691568804309532</v>
      </c>
      <c r="G33" s="17">
        <f>SUM(G2:G32)</f>
        <v>58690</v>
      </c>
      <c r="H33" s="18">
        <f>AVERAGE(H2:H32)</f>
        <v>2.2203919627197793E-2</v>
      </c>
      <c r="I33" s="18">
        <f>AVERAGE(I2:I32)</f>
        <v>7.134876993933191E-3</v>
      </c>
    </row>
    <row r="34" spans="1:9" ht="15" thickBot="1" x14ac:dyDescent="0.4">
      <c r="A34" s="123" t="s">
        <v>19</v>
      </c>
      <c r="B34" s="123"/>
      <c r="C34" s="123"/>
      <c r="D34" s="123"/>
      <c r="E34" s="123"/>
      <c r="F34" s="123"/>
      <c r="G34" s="123"/>
      <c r="H34" s="123"/>
      <c r="I34" s="123"/>
    </row>
    <row r="35" spans="1:9" ht="15.5" x14ac:dyDescent="0.35">
      <c r="A35" s="24" t="s">
        <v>9</v>
      </c>
      <c r="B35" s="25" t="s">
        <v>0</v>
      </c>
      <c r="C35" s="25" t="s">
        <v>16</v>
      </c>
      <c r="D35" s="25" t="s">
        <v>1</v>
      </c>
      <c r="E35" s="25" t="s">
        <v>2</v>
      </c>
      <c r="F35" s="25" t="s">
        <v>3</v>
      </c>
      <c r="G35" s="25" t="s">
        <v>4</v>
      </c>
      <c r="H35" s="25" t="s">
        <v>5</v>
      </c>
      <c r="I35" s="26" t="s">
        <v>6</v>
      </c>
    </row>
    <row r="36" spans="1:9" x14ac:dyDescent="0.35">
      <c r="A36" s="5" t="s">
        <v>12</v>
      </c>
      <c r="B36" s="6"/>
      <c r="C36" s="6"/>
      <c r="D36" s="6"/>
      <c r="E36" s="6"/>
      <c r="F36" s="6"/>
      <c r="G36" s="6"/>
      <c r="H36" s="6"/>
      <c r="I36" s="7"/>
    </row>
    <row r="37" spans="1:9" x14ac:dyDescent="0.35">
      <c r="A37" s="8">
        <v>45716</v>
      </c>
      <c r="B37" t="s">
        <v>217</v>
      </c>
      <c r="C37" t="s">
        <v>7</v>
      </c>
      <c r="D37" s="1">
        <v>4888477</v>
      </c>
      <c r="E37" s="1">
        <v>1494473</v>
      </c>
      <c r="F37" s="2">
        <v>0.30571341544615999</v>
      </c>
      <c r="G37" s="1">
        <v>16699</v>
      </c>
      <c r="H37" s="2">
        <v>1.11738385370629E-2</v>
      </c>
      <c r="I37" s="102">
        <v>3.4159923428094298E-3</v>
      </c>
    </row>
    <row r="38" spans="1:9" x14ac:dyDescent="0.35">
      <c r="A38" s="8">
        <v>45716</v>
      </c>
      <c r="B38" t="s">
        <v>217</v>
      </c>
      <c r="C38" t="s">
        <v>8</v>
      </c>
      <c r="D38" s="1">
        <v>313098</v>
      </c>
      <c r="E38" s="1">
        <v>99744</v>
      </c>
      <c r="F38" s="2">
        <v>0.31857118218576902</v>
      </c>
      <c r="G38" s="1">
        <v>1273</v>
      </c>
      <c r="H38" s="2">
        <v>1.27626724414501E-2</v>
      </c>
      <c r="I38" s="102">
        <v>4.0658196475225001E-3</v>
      </c>
    </row>
    <row r="39" spans="1:9" x14ac:dyDescent="0.35">
      <c r="A39" s="8">
        <v>45720</v>
      </c>
      <c r="B39" t="s">
        <v>226</v>
      </c>
      <c r="C39" t="s">
        <v>7</v>
      </c>
      <c r="D39" s="1">
        <v>1413544</v>
      </c>
      <c r="E39" s="1">
        <v>366546</v>
      </c>
      <c r="F39" s="2">
        <v>0.25930993304771599</v>
      </c>
      <c r="G39" s="1">
        <v>8977</v>
      </c>
      <c r="H39" s="2">
        <v>2.4490786968074899E-2</v>
      </c>
      <c r="I39" s="102">
        <v>6.3507043289773796E-3</v>
      </c>
    </row>
    <row r="40" spans="1:9" x14ac:dyDescent="0.35">
      <c r="A40" s="8">
        <v>45720</v>
      </c>
      <c r="B40" t="s">
        <v>226</v>
      </c>
      <c r="C40" t="s">
        <v>8</v>
      </c>
      <c r="D40" s="1">
        <v>89050</v>
      </c>
      <c r="E40" s="1">
        <v>27040</v>
      </c>
      <c r="F40" s="2">
        <v>0.303649635036496</v>
      </c>
      <c r="G40" s="1">
        <v>868</v>
      </c>
      <c r="H40" s="2">
        <v>3.2100591715976297E-2</v>
      </c>
      <c r="I40" s="102">
        <v>9.7473329590117893E-3</v>
      </c>
    </row>
    <row r="41" spans="1:9" ht="16" thickBot="1" x14ac:dyDescent="0.4">
      <c r="A41" s="22" t="s">
        <v>13</v>
      </c>
      <c r="B41" s="4"/>
      <c r="C41" s="4"/>
      <c r="D41" s="19">
        <f>SUM(D37:D40)</f>
        <v>6704169</v>
      </c>
      <c r="E41" s="19">
        <f>SUM(E37:E40)</f>
        <v>1987803</v>
      </c>
      <c r="F41" s="20">
        <f>AVERAGE(F37:F40)</f>
        <v>0.29681104142903525</v>
      </c>
      <c r="G41" s="19">
        <f>SUM(G37:G40)</f>
        <v>27817</v>
      </c>
      <c r="H41" s="20">
        <f>AVERAGE(H37:H40)</f>
        <v>2.0131972415641047E-2</v>
      </c>
      <c r="I41" s="21">
        <f>AVERAGE(I37:I40)</f>
        <v>5.8949623195802747E-3</v>
      </c>
    </row>
    <row r="42" spans="1:9" ht="3" customHeight="1" thickBot="1" x14ac:dyDescent="0.4">
      <c r="A42" s="121"/>
      <c r="B42" s="121"/>
      <c r="C42" s="121"/>
      <c r="D42" s="121"/>
      <c r="E42" s="121"/>
      <c r="F42" s="121"/>
      <c r="G42" s="121"/>
      <c r="H42" s="121"/>
      <c r="I42" s="121"/>
    </row>
    <row r="43" spans="1:9" x14ac:dyDescent="0.35">
      <c r="A43" s="10" t="s">
        <v>216</v>
      </c>
      <c r="B43" s="11"/>
      <c r="C43" s="11"/>
      <c r="D43" s="11"/>
      <c r="E43" s="11"/>
      <c r="F43" s="11"/>
      <c r="G43" s="11"/>
      <c r="H43" s="11"/>
      <c r="I43" s="12"/>
    </row>
    <row r="44" spans="1:9" x14ac:dyDescent="0.35">
      <c r="A44" s="8">
        <v>45716</v>
      </c>
      <c r="B44" t="s">
        <v>218</v>
      </c>
      <c r="C44" t="s">
        <v>7</v>
      </c>
      <c r="D44" s="1">
        <v>6322390</v>
      </c>
      <c r="E44" s="1">
        <v>2299096</v>
      </c>
      <c r="F44" s="2">
        <v>0.36364349557683101</v>
      </c>
      <c r="G44" s="1">
        <v>17578</v>
      </c>
      <c r="H44" s="2">
        <v>7.6456137542755898E-3</v>
      </c>
      <c r="I44" s="102">
        <v>2.78027771143507E-3</v>
      </c>
    </row>
    <row r="45" spans="1:9" x14ac:dyDescent="0.35">
      <c r="A45" s="8">
        <v>45716</v>
      </c>
      <c r="B45" t="s">
        <v>218</v>
      </c>
      <c r="C45" t="s">
        <v>8</v>
      </c>
      <c r="D45" s="1">
        <v>403349</v>
      </c>
      <c r="E45" s="1">
        <v>144477</v>
      </c>
      <c r="F45" s="2">
        <v>0.35819352471432903</v>
      </c>
      <c r="G45" s="1">
        <v>1341</v>
      </c>
      <c r="H45" s="2">
        <v>9.2817541892481203E-3</v>
      </c>
      <c r="I45" s="102">
        <v>3.3246642485787702E-3</v>
      </c>
    </row>
    <row r="46" spans="1:9" x14ac:dyDescent="0.35">
      <c r="A46" s="8">
        <v>45716</v>
      </c>
      <c r="B46" t="s">
        <v>219</v>
      </c>
      <c r="C46" t="s">
        <v>111</v>
      </c>
      <c r="D46" s="1">
        <v>2368</v>
      </c>
      <c r="E46" s="1">
        <v>947</v>
      </c>
      <c r="F46" s="2">
        <v>0.39991554054054101</v>
      </c>
      <c r="G46" s="1">
        <v>13</v>
      </c>
      <c r="H46" s="2">
        <v>1.3727560718057001E-2</v>
      </c>
      <c r="I46" s="102">
        <v>5.4898648648648704E-3</v>
      </c>
    </row>
    <row r="47" spans="1:9" x14ac:dyDescent="0.35">
      <c r="A47" s="8">
        <v>45716</v>
      </c>
      <c r="B47" t="s">
        <v>219</v>
      </c>
      <c r="C47" t="s">
        <v>91</v>
      </c>
      <c r="D47" s="1">
        <v>20937</v>
      </c>
      <c r="E47" s="1">
        <v>8686</v>
      </c>
      <c r="F47" s="2">
        <v>0.41486363853465202</v>
      </c>
      <c r="G47" s="1">
        <v>82</v>
      </c>
      <c r="H47" s="2">
        <v>9.4404789316140901E-3</v>
      </c>
      <c r="I47" s="102">
        <v>3.9165114390791404E-3</v>
      </c>
    </row>
    <row r="48" spans="1:9" x14ac:dyDescent="0.35">
      <c r="A48" s="8">
        <v>45717</v>
      </c>
      <c r="B48" t="s">
        <v>220</v>
      </c>
      <c r="C48" t="s">
        <v>7</v>
      </c>
      <c r="D48" s="1">
        <v>66578</v>
      </c>
      <c r="E48" s="1">
        <v>28912</v>
      </c>
      <c r="F48" s="2">
        <v>0.43425756255820203</v>
      </c>
      <c r="G48" s="1">
        <v>1596</v>
      </c>
      <c r="H48" s="2">
        <v>5.5201992252351999E-2</v>
      </c>
      <c r="I48" s="102">
        <v>2.3971882603863098E-2</v>
      </c>
    </row>
    <row r="49" spans="1:9" x14ac:dyDescent="0.35">
      <c r="A49" s="8">
        <v>45717</v>
      </c>
      <c r="B49" t="s">
        <v>220</v>
      </c>
      <c r="C49" t="s">
        <v>8</v>
      </c>
      <c r="D49" s="1">
        <v>7505</v>
      </c>
      <c r="E49" s="1">
        <v>3652</v>
      </c>
      <c r="F49" s="2">
        <v>0.48660892738174499</v>
      </c>
      <c r="G49" s="1">
        <v>277</v>
      </c>
      <c r="H49" s="2">
        <v>7.5848849945235497E-2</v>
      </c>
      <c r="I49" s="102">
        <v>3.6908727514989997E-2</v>
      </c>
    </row>
    <row r="50" spans="1:9" x14ac:dyDescent="0.35">
      <c r="A50" s="8">
        <v>45717</v>
      </c>
      <c r="B50" t="s">
        <v>221</v>
      </c>
      <c r="C50" t="s">
        <v>7</v>
      </c>
      <c r="D50" s="1">
        <v>291199</v>
      </c>
      <c r="E50" s="1">
        <v>114260</v>
      </c>
      <c r="F50" s="2">
        <v>0.39237772107733898</v>
      </c>
      <c r="G50" s="1">
        <v>1266</v>
      </c>
      <c r="H50" s="2">
        <v>1.10799929984246E-2</v>
      </c>
      <c r="I50" s="102">
        <v>4.3475424022747303E-3</v>
      </c>
    </row>
    <row r="51" spans="1:9" x14ac:dyDescent="0.35">
      <c r="A51" s="8">
        <v>45717</v>
      </c>
      <c r="B51" t="s">
        <v>221</v>
      </c>
      <c r="C51" t="s">
        <v>8</v>
      </c>
      <c r="D51" s="1">
        <v>954</v>
      </c>
      <c r="E51" s="1">
        <v>438</v>
      </c>
      <c r="F51" s="2">
        <v>0.45911949685534598</v>
      </c>
      <c r="G51" s="1">
        <v>13</v>
      </c>
      <c r="H51" s="2">
        <v>2.96803652968037E-2</v>
      </c>
      <c r="I51" s="102">
        <v>1.3626834381551401E-2</v>
      </c>
    </row>
    <row r="52" spans="1:9" x14ac:dyDescent="0.35">
      <c r="A52" s="8">
        <v>45718</v>
      </c>
      <c r="B52" t="s">
        <v>222</v>
      </c>
      <c r="C52" t="s">
        <v>7</v>
      </c>
      <c r="D52" s="1">
        <v>77948</v>
      </c>
      <c r="E52" s="1">
        <v>27318</v>
      </c>
      <c r="F52" s="2">
        <v>0.35046441217221702</v>
      </c>
      <c r="G52" s="1">
        <v>531</v>
      </c>
      <c r="H52" s="2">
        <v>1.9437733362618101E-2</v>
      </c>
      <c r="I52" s="102">
        <v>6.81223379689023E-3</v>
      </c>
    </row>
    <row r="53" spans="1:9" x14ac:dyDescent="0.35">
      <c r="A53" s="8">
        <v>45719</v>
      </c>
      <c r="B53" t="s">
        <v>223</v>
      </c>
      <c r="C53" t="s">
        <v>7</v>
      </c>
      <c r="D53" s="1">
        <v>201000</v>
      </c>
      <c r="E53" s="1">
        <v>97531</v>
      </c>
      <c r="F53" s="2">
        <v>0.48522885572139302</v>
      </c>
      <c r="G53" s="1">
        <v>1309</v>
      </c>
      <c r="H53" s="2">
        <v>1.34213737170746E-2</v>
      </c>
      <c r="I53" s="102">
        <v>6.5124378109452704E-3</v>
      </c>
    </row>
    <row r="54" spans="1:9" x14ac:dyDescent="0.35">
      <c r="A54" s="8">
        <v>45719</v>
      </c>
      <c r="B54" t="s">
        <v>223</v>
      </c>
      <c r="C54" t="s">
        <v>8</v>
      </c>
      <c r="D54" s="1">
        <v>12312</v>
      </c>
      <c r="E54" s="1">
        <v>5865</v>
      </c>
      <c r="F54" s="2">
        <v>0.47636452241715399</v>
      </c>
      <c r="G54" s="1">
        <v>136</v>
      </c>
      <c r="H54" s="2">
        <v>2.3188405797101401E-2</v>
      </c>
      <c r="I54" s="102">
        <v>1.10461338531514E-2</v>
      </c>
    </row>
    <row r="55" spans="1:9" x14ac:dyDescent="0.35">
      <c r="A55" s="8">
        <v>45719</v>
      </c>
      <c r="B55" t="s">
        <v>224</v>
      </c>
      <c r="C55" t="s">
        <v>7</v>
      </c>
      <c r="D55" s="1">
        <v>248474</v>
      </c>
      <c r="E55" s="1">
        <v>93600</v>
      </c>
      <c r="F55" s="2">
        <v>0.37669937297262501</v>
      </c>
      <c r="G55" s="1">
        <v>1090</v>
      </c>
      <c r="H55" s="2">
        <v>1.16452991452991E-2</v>
      </c>
      <c r="I55" s="102">
        <v>4.38677688611283E-3</v>
      </c>
    </row>
    <row r="56" spans="1:9" x14ac:dyDescent="0.35">
      <c r="A56" s="8">
        <v>45719</v>
      </c>
      <c r="B56" t="s">
        <v>224</v>
      </c>
      <c r="C56" t="s">
        <v>8</v>
      </c>
      <c r="D56" s="1">
        <v>158</v>
      </c>
      <c r="E56" s="1">
        <v>50</v>
      </c>
      <c r="F56" s="2">
        <v>0.316455696202532</v>
      </c>
      <c r="G56" s="1">
        <v>1</v>
      </c>
      <c r="H56" s="2">
        <v>0.02</v>
      </c>
      <c r="I56" s="102">
        <v>6.3291139240506302E-3</v>
      </c>
    </row>
    <row r="57" spans="1:9" x14ac:dyDescent="0.35">
      <c r="A57" s="8">
        <v>45719</v>
      </c>
      <c r="B57" t="s">
        <v>225</v>
      </c>
      <c r="C57" t="s">
        <v>7</v>
      </c>
      <c r="D57" s="1">
        <v>11635</v>
      </c>
      <c r="E57" s="1">
        <v>3616</v>
      </c>
      <c r="F57" s="2">
        <v>0.31078642028362702</v>
      </c>
      <c r="G57" s="1">
        <v>64</v>
      </c>
      <c r="H57" s="2">
        <v>1.7699115044247801E-2</v>
      </c>
      <c r="I57" s="102">
        <v>5.5006446067898604E-3</v>
      </c>
    </row>
    <row r="58" spans="1:9" x14ac:dyDescent="0.35">
      <c r="A58" s="8">
        <v>45719</v>
      </c>
      <c r="B58" t="s">
        <v>225</v>
      </c>
      <c r="C58" t="s">
        <v>8</v>
      </c>
      <c r="D58" s="1">
        <v>19</v>
      </c>
      <c r="E58" s="1">
        <v>8</v>
      </c>
      <c r="F58" s="2">
        <v>0.42105263157894701</v>
      </c>
      <c r="G58" s="1">
        <v>0</v>
      </c>
      <c r="H58" s="2">
        <v>0</v>
      </c>
      <c r="I58" s="102">
        <v>0</v>
      </c>
    </row>
    <row r="59" spans="1:9" x14ac:dyDescent="0.35">
      <c r="A59" s="8">
        <v>45721</v>
      </c>
      <c r="B59" t="s">
        <v>227</v>
      </c>
      <c r="C59" t="s">
        <v>85</v>
      </c>
      <c r="D59" s="1">
        <v>14992</v>
      </c>
      <c r="E59" s="1">
        <v>3549</v>
      </c>
      <c r="F59" s="2">
        <v>0.23672625400213401</v>
      </c>
      <c r="G59" s="1">
        <v>206</v>
      </c>
      <c r="H59" s="2">
        <v>5.8044519582981097E-2</v>
      </c>
      <c r="I59" s="102">
        <v>1.37406616862327E-2</v>
      </c>
    </row>
    <row r="60" spans="1:9" x14ac:dyDescent="0.35">
      <c r="A60" s="8">
        <v>45721</v>
      </c>
      <c r="B60" t="s">
        <v>228</v>
      </c>
      <c r="C60" t="s">
        <v>87</v>
      </c>
      <c r="D60" s="1">
        <v>3486</v>
      </c>
      <c r="E60" s="1">
        <v>434</v>
      </c>
      <c r="F60" s="2">
        <v>0.12449799196787099</v>
      </c>
      <c r="G60" s="1">
        <v>69</v>
      </c>
      <c r="H60" s="2">
        <v>0.15898617511520699</v>
      </c>
      <c r="I60" s="102">
        <v>1.9793459552495701E-2</v>
      </c>
    </row>
    <row r="61" spans="1:9" x14ac:dyDescent="0.35">
      <c r="A61" s="8">
        <v>45721</v>
      </c>
      <c r="B61" t="s">
        <v>229</v>
      </c>
      <c r="C61" t="s">
        <v>7</v>
      </c>
      <c r="D61" s="1">
        <v>156973</v>
      </c>
      <c r="E61" s="1">
        <v>63600</v>
      </c>
      <c r="F61" s="2">
        <v>0.40516521949634599</v>
      </c>
      <c r="G61" s="1">
        <v>889</v>
      </c>
      <c r="H61" s="2">
        <v>1.3977987421383601E-2</v>
      </c>
      <c r="I61" s="102">
        <v>5.6633943417020802E-3</v>
      </c>
    </row>
    <row r="62" spans="1:9" x14ac:dyDescent="0.35">
      <c r="A62" s="8">
        <v>45721</v>
      </c>
      <c r="B62" t="s">
        <v>229</v>
      </c>
      <c r="C62" t="s">
        <v>8</v>
      </c>
      <c r="D62" s="1">
        <v>1497</v>
      </c>
      <c r="E62" s="1">
        <v>559</v>
      </c>
      <c r="F62" s="2">
        <v>0.37341349365397503</v>
      </c>
      <c r="G62" s="1">
        <v>9</v>
      </c>
      <c r="H62" s="2">
        <v>1.6100178890876601E-2</v>
      </c>
      <c r="I62" s="102">
        <v>6.0120240480961897E-3</v>
      </c>
    </row>
    <row r="63" spans="1:9" x14ac:dyDescent="0.35">
      <c r="A63" s="8">
        <v>45721</v>
      </c>
      <c r="B63" t="s">
        <v>230</v>
      </c>
      <c r="C63" t="s">
        <v>7</v>
      </c>
      <c r="D63" s="1">
        <v>130850</v>
      </c>
      <c r="E63" s="1">
        <v>54530</v>
      </c>
      <c r="F63" s="2">
        <v>0.41673672143675999</v>
      </c>
      <c r="G63" s="1">
        <v>503</v>
      </c>
      <c r="H63" s="2">
        <v>9.2242802127269399E-3</v>
      </c>
      <c r="I63" s="102">
        <v>3.8440962934657998E-3</v>
      </c>
    </row>
    <row r="64" spans="1:9" x14ac:dyDescent="0.35">
      <c r="A64" s="8">
        <v>45721</v>
      </c>
      <c r="B64" t="s">
        <v>230</v>
      </c>
      <c r="C64" t="s">
        <v>8</v>
      </c>
      <c r="D64" s="1">
        <v>3983</v>
      </c>
      <c r="E64" s="1">
        <v>1861</v>
      </c>
      <c r="F64" s="2">
        <v>0.467235751945769</v>
      </c>
      <c r="G64" s="1">
        <v>25</v>
      </c>
      <c r="H64" s="2">
        <v>1.3433637829124099E-2</v>
      </c>
      <c r="I64" s="102">
        <v>6.2766758724579503E-3</v>
      </c>
    </row>
    <row r="65" spans="1:9" x14ac:dyDescent="0.35">
      <c r="A65" s="8">
        <v>45722</v>
      </c>
      <c r="B65" t="s">
        <v>231</v>
      </c>
      <c r="C65" t="s">
        <v>7</v>
      </c>
      <c r="D65" s="1">
        <v>952721</v>
      </c>
      <c r="E65" s="1">
        <v>329770</v>
      </c>
      <c r="F65" s="2">
        <v>0.34613491252948098</v>
      </c>
      <c r="G65" s="1">
        <v>1922</v>
      </c>
      <c r="H65" s="2">
        <v>5.82830457591655E-3</v>
      </c>
      <c r="I65" s="102">
        <v>2.0173796945800499E-3</v>
      </c>
    </row>
    <row r="66" spans="1:9" ht="16" thickBot="1" x14ac:dyDescent="0.4">
      <c r="A66" s="22" t="s">
        <v>13</v>
      </c>
      <c r="B66" s="4"/>
      <c r="C66" s="4"/>
      <c r="D66" s="19">
        <f>SUM(D44:D65)</f>
        <v>8931328</v>
      </c>
      <c r="E66" s="19">
        <f>SUM(E44:E65)</f>
        <v>3282759</v>
      </c>
      <c r="F66" s="20">
        <f>AVERAGE(F44:F65)</f>
        <v>0.38254282561908254</v>
      </c>
      <c r="G66" s="19">
        <f>SUM(G44:G65)</f>
        <v>28920</v>
      </c>
      <c r="H66" s="20">
        <f>AVERAGE(H44:H65)</f>
        <v>2.6949709944571243E-2</v>
      </c>
      <c r="I66" s="21">
        <f>AVERAGE(I44:I65)</f>
        <v>8.7409698878912617E-3</v>
      </c>
    </row>
    <row r="67" spans="1:9" ht="3" customHeight="1" thickBot="1" x14ac:dyDescent="0.4"/>
    <row r="68" spans="1:9" x14ac:dyDescent="0.35">
      <c r="A68" s="10" t="s">
        <v>11</v>
      </c>
      <c r="B68" s="11"/>
      <c r="C68" s="11"/>
      <c r="D68" s="11"/>
      <c r="E68" s="11"/>
      <c r="F68" s="11"/>
      <c r="G68" s="11"/>
      <c r="H68" s="11"/>
      <c r="I68" s="12"/>
    </row>
    <row r="69" spans="1:9" x14ac:dyDescent="0.35">
      <c r="A69" s="14">
        <v>45722</v>
      </c>
      <c r="B69" t="s">
        <v>190</v>
      </c>
      <c r="C69" t="s">
        <v>233</v>
      </c>
      <c r="D69" s="1">
        <v>1121985</v>
      </c>
      <c r="E69" s="1">
        <v>377566</v>
      </c>
      <c r="F69" s="3">
        <v>0.33650000000000002</v>
      </c>
      <c r="G69">
        <v>997</v>
      </c>
      <c r="H69" s="3">
        <v>2.5999999999999999E-3</v>
      </c>
      <c r="I69" s="16">
        <v>8.9999999999999998E-4</v>
      </c>
    </row>
    <row r="70" spans="1:9" x14ac:dyDescent="0.35">
      <c r="A70" s="14">
        <v>45722</v>
      </c>
      <c r="B70" t="s">
        <v>191</v>
      </c>
      <c r="C70" t="s">
        <v>234</v>
      </c>
      <c r="D70" s="1">
        <v>67386</v>
      </c>
      <c r="E70" s="1">
        <v>22169</v>
      </c>
      <c r="F70" s="3">
        <v>0.32900000000000001</v>
      </c>
      <c r="G70">
        <v>79</v>
      </c>
      <c r="H70" s="3">
        <v>3.5999999999999999E-3</v>
      </c>
      <c r="I70" s="16">
        <v>1.1999999999999999E-3</v>
      </c>
    </row>
    <row r="71" spans="1:9" x14ac:dyDescent="0.35">
      <c r="A71" s="14">
        <v>45722</v>
      </c>
      <c r="B71" t="s">
        <v>192</v>
      </c>
      <c r="C71" t="s">
        <v>233</v>
      </c>
      <c r="D71" s="1">
        <v>650248</v>
      </c>
      <c r="E71" s="1">
        <v>237129</v>
      </c>
      <c r="F71" s="3">
        <v>0.36470000000000002</v>
      </c>
      <c r="G71">
        <v>597</v>
      </c>
      <c r="H71" s="3">
        <v>2.5000000000000001E-3</v>
      </c>
      <c r="I71" s="16">
        <v>8.9999999999999998E-4</v>
      </c>
    </row>
    <row r="72" spans="1:9" x14ac:dyDescent="0.35">
      <c r="A72" s="14">
        <v>45722</v>
      </c>
      <c r="B72" t="s">
        <v>193</v>
      </c>
      <c r="C72" t="s">
        <v>234</v>
      </c>
      <c r="D72" s="1">
        <v>41138</v>
      </c>
      <c r="E72" s="1">
        <v>14951</v>
      </c>
      <c r="F72" s="3">
        <v>0.3634</v>
      </c>
      <c r="G72">
        <v>51</v>
      </c>
      <c r="H72" s="3">
        <v>3.3999999999999998E-3</v>
      </c>
      <c r="I72" s="16">
        <v>1.1999999999999999E-3</v>
      </c>
    </row>
    <row r="73" spans="1:9" x14ac:dyDescent="0.35">
      <c r="A73" s="14">
        <v>45722</v>
      </c>
      <c r="B73" t="s">
        <v>194</v>
      </c>
      <c r="C73" t="s">
        <v>233</v>
      </c>
      <c r="D73" s="1">
        <v>217429</v>
      </c>
      <c r="E73" s="1">
        <v>82094</v>
      </c>
      <c r="F73" s="3">
        <v>0.37759999999999999</v>
      </c>
      <c r="G73">
        <v>229</v>
      </c>
      <c r="H73" s="3">
        <v>2.8E-3</v>
      </c>
      <c r="I73" s="16">
        <v>1.1000000000000001E-3</v>
      </c>
    </row>
    <row r="74" spans="1:9" ht="16" thickBot="1" x14ac:dyDescent="0.4">
      <c r="A74" s="22" t="s">
        <v>13</v>
      </c>
      <c r="B74" s="4"/>
      <c r="C74" s="4"/>
      <c r="D74" s="19">
        <f>SUM(D69:D73)</f>
        <v>2098186</v>
      </c>
      <c r="E74" s="19">
        <f>SUM(E69:E73)</f>
        <v>733909</v>
      </c>
      <c r="F74" s="20">
        <f>AVERAGE(F69:F73)</f>
        <v>0.35424</v>
      </c>
      <c r="G74" s="19">
        <f>SUM(G69:G73)</f>
        <v>1953</v>
      </c>
      <c r="H74" s="20">
        <f>AVERAGE(H69:H73)</f>
        <v>2.98E-3</v>
      </c>
      <c r="I74" s="21">
        <f>AVERAGE(I69:I73)</f>
        <v>1.06E-3</v>
      </c>
    </row>
  </sheetData>
  <mergeCells count="2">
    <mergeCell ref="A34:I34"/>
    <mergeCell ref="A42:I42"/>
  </mergeCells>
  <pageMargins left="0.7" right="0.7" top="0.75" bottom="0.75" header="0.3" footer="0.3"/>
  <ignoredErrors>
    <ignoredError sqref="F33:G33 F41:G41 F74:G74 F66:G66" formula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A2CE-5691-4D27-99BD-1399D3538272}">
  <dimension ref="A1:I102"/>
  <sheetViews>
    <sheetView topLeftCell="A2" zoomScaleNormal="100"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45723</v>
      </c>
      <c r="B2" t="s">
        <v>236</v>
      </c>
      <c r="C2" t="s">
        <v>7</v>
      </c>
      <c r="D2" s="1">
        <v>4874278</v>
      </c>
      <c r="E2" s="1">
        <v>1427111</v>
      </c>
      <c r="F2" s="2">
        <v>0.29278408002169798</v>
      </c>
      <c r="G2" s="1">
        <v>16689</v>
      </c>
      <c r="H2" s="2">
        <v>1.16942550369242E-2</v>
      </c>
      <c r="I2" s="2">
        <v>3.4238917025249701E-3</v>
      </c>
    </row>
    <row r="3" spans="1:9" x14ac:dyDescent="0.35">
      <c r="A3" s="13">
        <v>45723</v>
      </c>
      <c r="B3" t="s">
        <v>236</v>
      </c>
      <c r="C3" t="s">
        <v>8</v>
      </c>
      <c r="D3" s="1">
        <v>311330</v>
      </c>
      <c r="E3" s="1">
        <v>84008</v>
      </c>
      <c r="F3" s="2">
        <v>0.26983586548035798</v>
      </c>
      <c r="G3" s="1">
        <v>1267</v>
      </c>
      <c r="H3" s="2">
        <v>1.50818969621941E-2</v>
      </c>
      <c r="I3" s="2">
        <v>4.0696367198792298E-3</v>
      </c>
    </row>
    <row r="4" spans="1:9" x14ac:dyDescent="0.35">
      <c r="A4" s="13">
        <v>45723</v>
      </c>
      <c r="B4" t="s">
        <v>237</v>
      </c>
      <c r="C4" t="s">
        <v>110</v>
      </c>
      <c r="D4" s="1">
        <v>3103</v>
      </c>
      <c r="E4" s="1">
        <v>1206</v>
      </c>
      <c r="F4" s="2">
        <v>0.38865613922011</v>
      </c>
      <c r="G4" s="1">
        <v>11</v>
      </c>
      <c r="H4" s="2">
        <v>9.1210613598673301E-3</v>
      </c>
      <c r="I4" s="2">
        <v>3.5449564937157598E-3</v>
      </c>
    </row>
    <row r="5" spans="1:9" x14ac:dyDescent="0.35">
      <c r="A5" s="13">
        <v>45723</v>
      </c>
      <c r="B5" t="s">
        <v>237</v>
      </c>
      <c r="C5" t="s">
        <v>90</v>
      </c>
      <c r="D5" s="1">
        <v>59962</v>
      </c>
      <c r="E5" s="1">
        <v>23494</v>
      </c>
      <c r="F5" s="2">
        <v>0.39181481605016499</v>
      </c>
      <c r="G5" s="1">
        <v>139</v>
      </c>
      <c r="H5" s="2">
        <v>5.9164041883033999E-3</v>
      </c>
      <c r="I5" s="2">
        <v>2.31813481871852E-3</v>
      </c>
    </row>
    <row r="6" spans="1:9" x14ac:dyDescent="0.35">
      <c r="A6" s="13">
        <v>45723</v>
      </c>
      <c r="B6" t="s">
        <v>237</v>
      </c>
      <c r="C6" t="s">
        <v>111</v>
      </c>
      <c r="D6" s="1">
        <v>164</v>
      </c>
      <c r="E6" s="1">
        <v>62</v>
      </c>
      <c r="F6" s="2">
        <v>0.37804878048780499</v>
      </c>
      <c r="G6" s="1">
        <v>2</v>
      </c>
      <c r="H6" s="2">
        <v>3.2258064516128997E-2</v>
      </c>
      <c r="I6" s="2">
        <v>1.21951219512195E-2</v>
      </c>
    </row>
    <row r="7" spans="1:9" x14ac:dyDescent="0.35">
      <c r="A7" s="13">
        <v>45723</v>
      </c>
      <c r="B7" t="s">
        <v>237</v>
      </c>
      <c r="C7" t="s">
        <v>91</v>
      </c>
      <c r="D7" s="1">
        <v>3529</v>
      </c>
      <c r="E7" s="1">
        <v>1427</v>
      </c>
      <c r="F7" s="2">
        <v>0.40436384244828599</v>
      </c>
      <c r="G7" s="1">
        <v>8</v>
      </c>
      <c r="H7" s="2">
        <v>5.6061667834618103E-3</v>
      </c>
      <c r="I7" s="2">
        <v>2.2669311419665598E-3</v>
      </c>
    </row>
    <row r="8" spans="1:9" x14ac:dyDescent="0.35">
      <c r="A8" s="13">
        <v>45723</v>
      </c>
      <c r="B8" t="s">
        <v>238</v>
      </c>
      <c r="C8" t="s">
        <v>110</v>
      </c>
      <c r="D8" s="1">
        <v>73412</v>
      </c>
      <c r="E8" s="1">
        <v>28216</v>
      </c>
      <c r="F8" s="2">
        <v>0.38435133220726903</v>
      </c>
      <c r="G8" s="1">
        <v>494</v>
      </c>
      <c r="H8" s="2">
        <v>1.7507796994612999E-2</v>
      </c>
      <c r="I8" s="2">
        <v>6.7291450988939102E-3</v>
      </c>
    </row>
    <row r="9" spans="1:9" x14ac:dyDescent="0.35">
      <c r="A9" s="13">
        <v>45723</v>
      </c>
      <c r="B9" t="s">
        <v>238</v>
      </c>
      <c r="C9" t="s">
        <v>90</v>
      </c>
      <c r="D9" s="1">
        <v>663193</v>
      </c>
      <c r="E9" s="1">
        <v>257599</v>
      </c>
      <c r="F9" s="2">
        <v>0.38842237478381098</v>
      </c>
      <c r="G9" s="1">
        <v>4288</v>
      </c>
      <c r="H9" s="2">
        <v>1.66460273525907E-2</v>
      </c>
      <c r="I9" s="2">
        <v>6.4656894750095397E-3</v>
      </c>
    </row>
    <row r="10" spans="1:9" x14ac:dyDescent="0.35">
      <c r="A10" s="13">
        <v>45723</v>
      </c>
      <c r="B10" t="s">
        <v>238</v>
      </c>
      <c r="C10" t="s">
        <v>111</v>
      </c>
      <c r="D10" s="1">
        <v>179</v>
      </c>
      <c r="E10" s="1">
        <v>82</v>
      </c>
      <c r="F10" s="2">
        <v>0.458100558659218</v>
      </c>
      <c r="G10" s="1">
        <v>1</v>
      </c>
      <c r="H10" s="2">
        <v>1.21951219512195E-2</v>
      </c>
      <c r="I10" s="2">
        <v>5.5865921787709499E-3</v>
      </c>
    </row>
    <row r="11" spans="1:9" x14ac:dyDescent="0.35">
      <c r="A11" s="13">
        <v>45723</v>
      </c>
      <c r="B11" t="s">
        <v>238</v>
      </c>
      <c r="C11" t="s">
        <v>91</v>
      </c>
      <c r="D11" s="1">
        <v>1645</v>
      </c>
      <c r="E11" s="1">
        <v>640</v>
      </c>
      <c r="F11" s="2">
        <v>0.38905775075987797</v>
      </c>
      <c r="G11" s="1">
        <v>14</v>
      </c>
      <c r="H11" s="2">
        <v>2.1874999999999999E-2</v>
      </c>
      <c r="I11" s="2">
        <v>8.5106382978723406E-3</v>
      </c>
    </row>
    <row r="12" spans="1:9" x14ac:dyDescent="0.35">
      <c r="A12" s="13">
        <v>45724</v>
      </c>
      <c r="B12" t="s">
        <v>239</v>
      </c>
      <c r="C12" t="s">
        <v>7</v>
      </c>
      <c r="D12" s="1">
        <v>1376</v>
      </c>
      <c r="E12" s="1">
        <v>647</v>
      </c>
      <c r="F12" s="2">
        <v>0.47020348837209303</v>
      </c>
      <c r="G12" s="1">
        <v>35</v>
      </c>
      <c r="H12" s="2">
        <v>5.4095826893353897E-2</v>
      </c>
      <c r="I12" s="2">
        <v>2.54360465116279E-2</v>
      </c>
    </row>
    <row r="13" spans="1:9" x14ac:dyDescent="0.35">
      <c r="A13" s="13">
        <v>45724</v>
      </c>
      <c r="B13" t="s">
        <v>239</v>
      </c>
      <c r="C13" t="s">
        <v>8</v>
      </c>
      <c r="D13" s="1">
        <v>481</v>
      </c>
      <c r="E13" s="1">
        <v>199</v>
      </c>
      <c r="F13" s="2">
        <v>0.41372141372141402</v>
      </c>
      <c r="G13" s="1">
        <v>17</v>
      </c>
      <c r="H13" s="2">
        <v>8.5427135678391997E-2</v>
      </c>
      <c r="I13" s="2">
        <v>3.5343035343035303E-2</v>
      </c>
    </row>
    <row r="14" spans="1:9" x14ac:dyDescent="0.35">
      <c r="A14" s="13">
        <v>45725</v>
      </c>
      <c r="B14" t="s">
        <v>240</v>
      </c>
      <c r="C14" t="s">
        <v>7</v>
      </c>
      <c r="D14" s="1">
        <v>248668</v>
      </c>
      <c r="E14" s="1">
        <v>93924</v>
      </c>
      <c r="F14" s="2">
        <v>0.37770843051779901</v>
      </c>
      <c r="G14" s="1">
        <v>898</v>
      </c>
      <c r="H14" s="2">
        <v>9.5609215961841507E-3</v>
      </c>
      <c r="I14" s="2">
        <v>3.6112406903984402E-3</v>
      </c>
    </row>
    <row r="15" spans="1:9" x14ac:dyDescent="0.35">
      <c r="A15" s="13">
        <v>45725</v>
      </c>
      <c r="B15" t="s">
        <v>240</v>
      </c>
      <c r="C15" t="s">
        <v>8</v>
      </c>
      <c r="D15" s="1">
        <v>725</v>
      </c>
      <c r="E15" s="1">
        <v>310</v>
      </c>
      <c r="F15" s="2">
        <v>0.42758620689655202</v>
      </c>
      <c r="G15" s="1">
        <v>5</v>
      </c>
      <c r="H15" s="2">
        <v>1.6129032258064498E-2</v>
      </c>
      <c r="I15" s="2">
        <v>6.8965517241379301E-3</v>
      </c>
    </row>
    <row r="16" spans="1:9" x14ac:dyDescent="0.35">
      <c r="A16" s="13">
        <v>45726</v>
      </c>
      <c r="B16" t="s">
        <v>241</v>
      </c>
      <c r="C16" t="s">
        <v>7</v>
      </c>
      <c r="D16" s="1">
        <v>1033885</v>
      </c>
      <c r="E16" s="1">
        <v>401124</v>
      </c>
      <c r="F16" s="2">
        <v>0.38797738626636402</v>
      </c>
      <c r="G16" s="1">
        <v>5087</v>
      </c>
      <c r="H16" s="2">
        <v>1.2681863962265999E-2</v>
      </c>
      <c r="I16" s="2">
        <v>4.9202764330655699E-3</v>
      </c>
    </row>
    <row r="17" spans="1:9" x14ac:dyDescent="0.35">
      <c r="A17" s="13">
        <v>45726</v>
      </c>
      <c r="B17" t="s">
        <v>241</v>
      </c>
      <c r="C17" t="s">
        <v>8</v>
      </c>
      <c r="D17" s="1">
        <v>64468</v>
      </c>
      <c r="E17" s="1">
        <v>24177</v>
      </c>
      <c r="F17" s="2">
        <v>0.37502326735744901</v>
      </c>
      <c r="G17" s="1">
        <v>376</v>
      </c>
      <c r="H17" s="2">
        <v>1.55519708814162E-2</v>
      </c>
      <c r="I17" s="2">
        <v>5.8323509337966104E-3</v>
      </c>
    </row>
    <row r="18" spans="1:9" x14ac:dyDescent="0.35">
      <c r="A18" s="13">
        <v>45726</v>
      </c>
      <c r="B18" t="s">
        <v>242</v>
      </c>
      <c r="C18" t="s">
        <v>7</v>
      </c>
      <c r="D18" s="1">
        <v>189339</v>
      </c>
      <c r="E18" s="1">
        <v>72213</v>
      </c>
      <c r="F18" s="2">
        <v>0.38139527514141303</v>
      </c>
      <c r="G18" s="1">
        <v>758</v>
      </c>
      <c r="H18" s="2">
        <v>1.04967249664188E-2</v>
      </c>
      <c r="I18" s="2">
        <v>4.0034013066510303E-3</v>
      </c>
    </row>
    <row r="19" spans="1:9" x14ac:dyDescent="0.35">
      <c r="A19" s="13">
        <v>45726</v>
      </c>
      <c r="B19" t="s">
        <v>242</v>
      </c>
      <c r="C19" t="s">
        <v>8</v>
      </c>
      <c r="D19" s="1">
        <v>139</v>
      </c>
      <c r="E19" s="1">
        <v>54</v>
      </c>
      <c r="F19" s="2">
        <v>0.388489208633094</v>
      </c>
      <c r="G19" s="1">
        <v>2</v>
      </c>
      <c r="H19" s="2">
        <v>3.7037037037037E-2</v>
      </c>
      <c r="I19" s="2">
        <v>1.4388489208633099E-2</v>
      </c>
    </row>
    <row r="20" spans="1:9" x14ac:dyDescent="0.35">
      <c r="A20" s="13">
        <v>45727</v>
      </c>
      <c r="B20" t="s">
        <v>243</v>
      </c>
      <c r="C20" t="s">
        <v>7</v>
      </c>
      <c r="D20" s="1">
        <v>1431161</v>
      </c>
      <c r="E20" s="1">
        <v>375053</v>
      </c>
      <c r="F20" s="2">
        <v>0.26206206010365002</v>
      </c>
      <c r="G20" s="1">
        <v>9340</v>
      </c>
      <c r="H20" s="2">
        <v>2.49031470218876E-2</v>
      </c>
      <c r="I20" s="2">
        <v>6.5261700116199398E-3</v>
      </c>
    </row>
    <row r="21" spans="1:9" x14ac:dyDescent="0.35">
      <c r="A21" s="13">
        <v>45727</v>
      </c>
      <c r="B21" t="s">
        <v>243</v>
      </c>
      <c r="C21" t="s">
        <v>8</v>
      </c>
      <c r="D21" s="1">
        <v>90009</v>
      </c>
      <c r="E21" s="1">
        <v>28325</v>
      </c>
      <c r="F21" s="2">
        <v>0.31469075314690798</v>
      </c>
      <c r="G21" s="1">
        <v>744</v>
      </c>
      <c r="H21" s="2">
        <v>2.62665489849956E-2</v>
      </c>
      <c r="I21" s="2">
        <v>8.2658400826583992E-3</v>
      </c>
    </row>
    <row r="22" spans="1:9" x14ac:dyDescent="0.35">
      <c r="A22" s="13">
        <v>45727</v>
      </c>
      <c r="B22" t="s">
        <v>244</v>
      </c>
      <c r="C22" t="s">
        <v>7</v>
      </c>
      <c r="D22" s="1">
        <v>289819</v>
      </c>
      <c r="E22" s="1">
        <v>107537</v>
      </c>
      <c r="F22" s="2">
        <v>0.37104882702652298</v>
      </c>
      <c r="G22" s="1">
        <v>926</v>
      </c>
      <c r="H22" s="2">
        <v>8.6109897058686807E-3</v>
      </c>
      <c r="I22" s="2">
        <v>3.1950976299000402E-3</v>
      </c>
    </row>
    <row r="23" spans="1:9" x14ac:dyDescent="0.35">
      <c r="A23" s="13">
        <v>45727</v>
      </c>
      <c r="B23" t="s">
        <v>244</v>
      </c>
      <c r="C23" t="s">
        <v>8</v>
      </c>
      <c r="D23" s="1">
        <v>1036</v>
      </c>
      <c r="E23" s="1">
        <v>433</v>
      </c>
      <c r="F23" s="2">
        <v>0.41795366795366801</v>
      </c>
      <c r="G23" s="1">
        <v>10</v>
      </c>
      <c r="H23" s="2">
        <v>2.3094688221709E-2</v>
      </c>
      <c r="I23" s="2">
        <v>9.6525096525096506E-3</v>
      </c>
    </row>
    <row r="24" spans="1:9" x14ac:dyDescent="0.35">
      <c r="A24" s="13">
        <v>45727</v>
      </c>
      <c r="B24" t="s">
        <v>245</v>
      </c>
      <c r="C24" t="s">
        <v>246</v>
      </c>
      <c r="D24" s="1">
        <v>305</v>
      </c>
      <c r="E24" s="1">
        <v>118</v>
      </c>
      <c r="F24" s="2">
        <v>0.38688524590163897</v>
      </c>
      <c r="G24" s="1">
        <v>17</v>
      </c>
      <c r="H24" s="2">
        <v>0.144067796610169</v>
      </c>
      <c r="I24" s="2">
        <v>5.5737704918032802E-2</v>
      </c>
    </row>
    <row r="25" spans="1:9" x14ac:dyDescent="0.35">
      <c r="A25" s="13">
        <v>45727</v>
      </c>
      <c r="B25" t="s">
        <v>245</v>
      </c>
      <c r="C25" t="s">
        <v>247</v>
      </c>
      <c r="D25" s="1">
        <v>294</v>
      </c>
      <c r="E25" s="1">
        <v>111</v>
      </c>
      <c r="F25" s="2">
        <v>0.37755102040816302</v>
      </c>
      <c r="G25" s="1">
        <v>10</v>
      </c>
      <c r="H25" s="2">
        <v>9.00900900900901E-2</v>
      </c>
      <c r="I25" s="2">
        <v>3.4013605442176902E-2</v>
      </c>
    </row>
    <row r="26" spans="1:9" x14ac:dyDescent="0.35">
      <c r="A26" s="13">
        <v>45727</v>
      </c>
      <c r="B26" t="s">
        <v>245</v>
      </c>
      <c r="C26" t="s">
        <v>248</v>
      </c>
      <c r="D26" s="1">
        <v>306</v>
      </c>
      <c r="E26" s="1">
        <v>136</v>
      </c>
      <c r="F26" s="2">
        <v>0.44444444444444398</v>
      </c>
      <c r="G26" s="1">
        <v>15</v>
      </c>
      <c r="H26" s="2">
        <v>0.110294117647059</v>
      </c>
      <c r="I26" s="2">
        <v>4.9019607843137303E-2</v>
      </c>
    </row>
    <row r="27" spans="1:9" x14ac:dyDescent="0.35">
      <c r="A27" s="13">
        <v>45728</v>
      </c>
      <c r="B27" t="s">
        <v>249</v>
      </c>
      <c r="C27" t="s">
        <v>7</v>
      </c>
      <c r="D27" s="1">
        <v>79280</v>
      </c>
      <c r="E27" s="1">
        <v>22934</v>
      </c>
      <c r="F27" s="2">
        <v>0.28927850655903098</v>
      </c>
      <c r="G27" s="1">
        <v>248</v>
      </c>
      <c r="H27" s="2">
        <v>1.0813639138397099E-2</v>
      </c>
      <c r="I27" s="2">
        <v>3.1281533804238099E-3</v>
      </c>
    </row>
    <row r="28" spans="1:9" x14ac:dyDescent="0.35">
      <c r="A28" s="13">
        <v>45728</v>
      </c>
      <c r="B28" t="s">
        <v>250</v>
      </c>
      <c r="C28" t="s">
        <v>7</v>
      </c>
      <c r="D28" s="1">
        <v>178655</v>
      </c>
      <c r="E28" s="1">
        <v>66671</v>
      </c>
      <c r="F28" s="2">
        <v>0.373182950379223</v>
      </c>
      <c r="G28" s="1">
        <v>564</v>
      </c>
      <c r="H28" s="2">
        <v>8.4594501357411808E-3</v>
      </c>
      <c r="I28" s="2">
        <v>3.1569225602418099E-3</v>
      </c>
    </row>
    <row r="29" spans="1:9" x14ac:dyDescent="0.35">
      <c r="A29" s="13">
        <v>45728</v>
      </c>
      <c r="B29" t="s">
        <v>250</v>
      </c>
      <c r="C29" t="s">
        <v>8</v>
      </c>
      <c r="D29" s="1">
        <v>7154</v>
      </c>
      <c r="E29" s="1">
        <v>2734</v>
      </c>
      <c r="F29" s="2">
        <v>0.38216382443388303</v>
      </c>
      <c r="G29" s="1">
        <v>27</v>
      </c>
      <c r="H29" s="2">
        <v>9.8756400877834695E-3</v>
      </c>
      <c r="I29" s="2">
        <v>3.7741123846799E-3</v>
      </c>
    </row>
    <row r="30" spans="1:9" x14ac:dyDescent="0.35">
      <c r="A30" s="13">
        <v>45728</v>
      </c>
      <c r="B30" t="s">
        <v>251</v>
      </c>
      <c r="C30" t="s">
        <v>7</v>
      </c>
      <c r="D30" s="1">
        <v>310458</v>
      </c>
      <c r="E30" s="1">
        <v>115191</v>
      </c>
      <c r="F30" s="2">
        <v>0.371035695649653</v>
      </c>
      <c r="G30" s="1">
        <v>1168</v>
      </c>
      <c r="H30" s="2">
        <v>1.0139681051471E-2</v>
      </c>
      <c r="I30" s="2">
        <v>3.7621836125981598E-3</v>
      </c>
    </row>
    <row r="31" spans="1:9" x14ac:dyDescent="0.35">
      <c r="A31" s="13">
        <v>45729</v>
      </c>
      <c r="B31" t="s">
        <v>252</v>
      </c>
      <c r="C31" t="s">
        <v>54</v>
      </c>
      <c r="D31" s="1">
        <v>210607</v>
      </c>
      <c r="E31" s="1">
        <v>77503</v>
      </c>
      <c r="F31" s="3">
        <v>0.36799999999999999</v>
      </c>
      <c r="G31">
        <v>242</v>
      </c>
      <c r="H31" s="3">
        <v>3.0999999999999999E-3</v>
      </c>
      <c r="I31" s="3">
        <v>1.1000000000000001E-3</v>
      </c>
    </row>
    <row r="32" spans="1:9" x14ac:dyDescent="0.35">
      <c r="A32" s="13">
        <v>45729</v>
      </c>
      <c r="B32" t="s">
        <v>253</v>
      </c>
      <c r="C32" t="s">
        <v>47</v>
      </c>
      <c r="D32" s="1">
        <v>11712</v>
      </c>
      <c r="E32" s="1">
        <v>4565</v>
      </c>
      <c r="F32" s="3">
        <v>0.38979999999999998</v>
      </c>
      <c r="G32">
        <v>12</v>
      </c>
      <c r="H32" s="3">
        <v>2.5999999999999999E-3</v>
      </c>
      <c r="I32" s="3">
        <v>1E-3</v>
      </c>
    </row>
    <row r="33" spans="1:9" x14ac:dyDescent="0.35">
      <c r="A33" s="13">
        <v>45729</v>
      </c>
      <c r="B33" t="s">
        <v>254</v>
      </c>
      <c r="C33" t="s">
        <v>110</v>
      </c>
      <c r="D33" s="1">
        <v>20646</v>
      </c>
      <c r="E33" s="1">
        <v>7393</v>
      </c>
      <c r="F33" s="2">
        <v>0.35808389034195498</v>
      </c>
      <c r="G33" s="1">
        <v>40</v>
      </c>
      <c r="H33" s="2">
        <v>5.4105234681455401E-3</v>
      </c>
      <c r="I33" s="2">
        <v>1.93742129226E-3</v>
      </c>
    </row>
    <row r="34" spans="1:9" x14ac:dyDescent="0.35">
      <c r="A34" s="13">
        <v>45729</v>
      </c>
      <c r="B34" t="s">
        <v>254</v>
      </c>
      <c r="C34" t="s">
        <v>90</v>
      </c>
      <c r="D34" s="1">
        <v>388216</v>
      </c>
      <c r="E34" s="1">
        <v>138542</v>
      </c>
      <c r="F34" s="2">
        <v>0.35686834133575102</v>
      </c>
      <c r="G34" s="1">
        <v>787</v>
      </c>
      <c r="H34" s="2">
        <v>5.6805878361796402E-3</v>
      </c>
      <c r="I34" s="2">
        <v>2.0272219589094701E-3</v>
      </c>
    </row>
    <row r="35" spans="1:9" x14ac:dyDescent="0.35">
      <c r="A35" s="13">
        <v>45729</v>
      </c>
      <c r="B35" t="s">
        <v>254</v>
      </c>
      <c r="C35" t="s">
        <v>111</v>
      </c>
      <c r="D35" s="1">
        <v>996</v>
      </c>
      <c r="E35" s="1">
        <v>341</v>
      </c>
      <c r="F35" s="2">
        <v>0.34236947791164701</v>
      </c>
      <c r="G35" s="1">
        <v>2</v>
      </c>
      <c r="H35" s="2">
        <v>5.8651026392961903E-3</v>
      </c>
      <c r="I35" s="2">
        <v>2.0080321285140599E-3</v>
      </c>
    </row>
    <row r="36" spans="1:9" x14ac:dyDescent="0.35">
      <c r="A36" s="13">
        <v>45729</v>
      </c>
      <c r="B36" t="s">
        <v>254</v>
      </c>
      <c r="C36" t="s">
        <v>91</v>
      </c>
      <c r="D36" s="1">
        <v>18679</v>
      </c>
      <c r="E36" s="1">
        <v>6625</v>
      </c>
      <c r="F36" s="2">
        <v>0.35467637453825201</v>
      </c>
      <c r="G36" s="1">
        <v>49</v>
      </c>
      <c r="H36" s="2">
        <v>7.3962264150943396E-3</v>
      </c>
      <c r="I36" s="2">
        <v>2.6232667701697101E-3</v>
      </c>
    </row>
    <row r="37" spans="1:9" x14ac:dyDescent="0.35">
      <c r="A37" s="13">
        <v>45729</v>
      </c>
      <c r="B37" t="s">
        <v>255</v>
      </c>
      <c r="C37" t="s">
        <v>110</v>
      </c>
      <c r="D37" s="1">
        <v>18288</v>
      </c>
      <c r="E37" s="1">
        <v>7630</v>
      </c>
      <c r="F37" s="2">
        <v>0.41721347331583603</v>
      </c>
      <c r="G37" s="1">
        <v>94</v>
      </c>
      <c r="H37" s="2">
        <v>1.23197903014417E-2</v>
      </c>
      <c r="I37" s="2">
        <v>5.1399825021872297E-3</v>
      </c>
    </row>
    <row r="38" spans="1:9" x14ac:dyDescent="0.35">
      <c r="A38" s="13">
        <v>45729</v>
      </c>
      <c r="B38" t="s">
        <v>255</v>
      </c>
      <c r="C38" t="s">
        <v>90</v>
      </c>
      <c r="D38" s="1">
        <v>347337</v>
      </c>
      <c r="E38" s="1">
        <v>145621</v>
      </c>
      <c r="F38" s="2">
        <v>0.41924989275545099</v>
      </c>
      <c r="G38" s="1">
        <v>1844</v>
      </c>
      <c r="H38" s="2">
        <v>1.2663008769339601E-2</v>
      </c>
      <c r="I38" s="2">
        <v>5.3089650685069498E-3</v>
      </c>
    </row>
    <row r="39" spans="1:9" x14ac:dyDescent="0.35">
      <c r="A39" s="13">
        <v>45729</v>
      </c>
      <c r="B39" t="s">
        <v>255</v>
      </c>
      <c r="C39" t="s">
        <v>111</v>
      </c>
      <c r="D39" s="1">
        <v>1422</v>
      </c>
      <c r="E39" s="1">
        <v>655</v>
      </c>
      <c r="F39" s="2">
        <v>0.46061884669479602</v>
      </c>
      <c r="G39" s="1">
        <v>7</v>
      </c>
      <c r="H39" s="2">
        <v>1.0687022900763401E-2</v>
      </c>
      <c r="I39" s="2">
        <v>4.92264416315049E-3</v>
      </c>
    </row>
    <row r="40" spans="1:9" x14ac:dyDescent="0.35">
      <c r="A40" s="13">
        <v>45729</v>
      </c>
      <c r="B40" t="s">
        <v>255</v>
      </c>
      <c r="C40" t="s">
        <v>91</v>
      </c>
      <c r="D40" s="1">
        <v>26504</v>
      </c>
      <c r="E40" s="1">
        <v>11946</v>
      </c>
      <c r="F40" s="2">
        <v>0.45072441895562898</v>
      </c>
      <c r="G40" s="1">
        <v>180</v>
      </c>
      <c r="H40" s="2">
        <v>1.5067805123053699E-2</v>
      </c>
      <c r="I40" s="2">
        <v>6.7914277090250497E-3</v>
      </c>
    </row>
    <row r="41" spans="1:9" x14ac:dyDescent="0.35">
      <c r="A41" s="13">
        <v>45729</v>
      </c>
      <c r="B41" t="s">
        <v>256</v>
      </c>
      <c r="C41" t="s">
        <v>7</v>
      </c>
      <c r="D41" s="1">
        <v>125949</v>
      </c>
      <c r="E41" s="1">
        <v>57219</v>
      </c>
      <c r="F41" s="2">
        <v>0.45430293213919898</v>
      </c>
      <c r="G41" s="1">
        <v>1032</v>
      </c>
      <c r="H41" s="2">
        <v>1.8035967073874101E-2</v>
      </c>
      <c r="I41" s="2">
        <v>8.1937927256270394E-3</v>
      </c>
    </row>
    <row r="42" spans="1:9" x14ac:dyDescent="0.35">
      <c r="A42" s="13">
        <v>45729</v>
      </c>
      <c r="B42" t="s">
        <v>256</v>
      </c>
      <c r="C42" t="s">
        <v>8</v>
      </c>
      <c r="D42" s="1">
        <v>6097</v>
      </c>
      <c r="E42" s="1">
        <v>3028</v>
      </c>
      <c r="F42" s="2">
        <v>0.49663769066754099</v>
      </c>
      <c r="G42" s="1">
        <v>105</v>
      </c>
      <c r="H42" s="2">
        <v>3.4676354029062099E-2</v>
      </c>
      <c r="I42" s="2">
        <v>1.7221584385763499E-2</v>
      </c>
    </row>
    <row r="43" spans="1:9" x14ac:dyDescent="0.35">
      <c r="A43" s="13">
        <v>45729</v>
      </c>
      <c r="B43" t="s">
        <v>257</v>
      </c>
      <c r="C43" t="s">
        <v>110</v>
      </c>
      <c r="D43" s="1">
        <v>958</v>
      </c>
      <c r="E43" s="1">
        <v>327</v>
      </c>
      <c r="F43" s="2">
        <v>0.34133611691023003</v>
      </c>
      <c r="G43" s="1">
        <v>11</v>
      </c>
      <c r="H43" s="2">
        <v>3.3639143730886799E-2</v>
      </c>
      <c r="I43" s="2">
        <v>1.1482254697286001E-2</v>
      </c>
    </row>
    <row r="44" spans="1:9" x14ac:dyDescent="0.35">
      <c r="A44" s="13">
        <v>45729</v>
      </c>
      <c r="B44" t="s">
        <v>257</v>
      </c>
      <c r="C44" t="s">
        <v>90</v>
      </c>
      <c r="D44" s="1">
        <v>8419</v>
      </c>
      <c r="E44" s="1">
        <v>2759</v>
      </c>
      <c r="F44" s="2">
        <v>0.32771112958783699</v>
      </c>
      <c r="G44" s="1">
        <v>54</v>
      </c>
      <c r="H44" s="2">
        <v>1.9572308807539001E-2</v>
      </c>
      <c r="I44" s="2">
        <v>6.41406342796057E-3</v>
      </c>
    </row>
    <row r="45" spans="1:9" x14ac:dyDescent="0.35">
      <c r="A45" s="13">
        <v>45729</v>
      </c>
      <c r="B45" t="s">
        <v>257</v>
      </c>
      <c r="C45" t="s">
        <v>111</v>
      </c>
      <c r="D45" s="1">
        <v>1</v>
      </c>
      <c r="E45" s="1">
        <v>1</v>
      </c>
      <c r="F45" s="2">
        <v>1</v>
      </c>
      <c r="G45" s="1">
        <v>0</v>
      </c>
      <c r="H45" s="2">
        <v>0</v>
      </c>
      <c r="I45" s="2">
        <v>0</v>
      </c>
    </row>
    <row r="46" spans="1:9" x14ac:dyDescent="0.35">
      <c r="A46" s="13">
        <v>45729</v>
      </c>
      <c r="B46" t="s">
        <v>257</v>
      </c>
      <c r="C46" t="s">
        <v>91</v>
      </c>
      <c r="D46" s="1">
        <v>17</v>
      </c>
      <c r="E46" s="1">
        <v>4</v>
      </c>
      <c r="F46" s="2">
        <v>0.23529411764705899</v>
      </c>
      <c r="G46" s="1">
        <v>0</v>
      </c>
      <c r="H46" s="2">
        <v>0</v>
      </c>
      <c r="I46" s="2">
        <v>0</v>
      </c>
    </row>
    <row r="47" spans="1:9" ht="16" thickBot="1" x14ac:dyDescent="0.4">
      <c r="A47" s="23" t="s">
        <v>13</v>
      </c>
      <c r="D47" s="17">
        <f>SUM(D2:D46)</f>
        <v>11104201</v>
      </c>
      <c r="E47" s="17">
        <f>SUM(E2:E46)</f>
        <v>3599895</v>
      </c>
      <c r="F47" s="18">
        <f>AVERAGE(F2:F46)</f>
        <v>0.39401608701850543</v>
      </c>
      <c r="G47" s="17">
        <f>SUM(G2:G46)</f>
        <v>47619</v>
      </c>
      <c r="H47" s="18">
        <f>AVERAGE(H2:H46)</f>
        <v>2.3160265293517408E-2</v>
      </c>
      <c r="I47" s="18">
        <f>AVERAGE(I2:I46)</f>
        <v>9.154326541716799E-3</v>
      </c>
    </row>
    <row r="48" spans="1:9" ht="15" thickBot="1" x14ac:dyDescent="0.4">
      <c r="A48" s="123" t="s">
        <v>19</v>
      </c>
      <c r="B48" s="123"/>
      <c r="C48" s="123"/>
      <c r="D48" s="123"/>
      <c r="E48" s="123"/>
      <c r="F48" s="123"/>
      <c r="G48" s="123"/>
      <c r="H48" s="123"/>
      <c r="I48" s="123"/>
    </row>
    <row r="49" spans="1:9" ht="15.5" x14ac:dyDescent="0.35">
      <c r="A49" s="24" t="s">
        <v>9</v>
      </c>
      <c r="B49" s="25" t="s">
        <v>0</v>
      </c>
      <c r="C49" s="25" t="s">
        <v>16</v>
      </c>
      <c r="D49" s="25" t="s">
        <v>1</v>
      </c>
      <c r="E49" s="25" t="s">
        <v>2</v>
      </c>
      <c r="F49" s="25" t="s">
        <v>3</v>
      </c>
      <c r="G49" s="25" t="s">
        <v>4</v>
      </c>
      <c r="H49" s="25" t="s">
        <v>5</v>
      </c>
      <c r="I49" s="26" t="s">
        <v>6</v>
      </c>
    </row>
    <row r="50" spans="1:9" x14ac:dyDescent="0.35">
      <c r="A50" s="5" t="s">
        <v>12</v>
      </c>
      <c r="B50" s="6"/>
      <c r="C50" s="6"/>
      <c r="D50" s="6"/>
      <c r="E50" s="6"/>
      <c r="F50" s="6"/>
      <c r="G50" s="6"/>
      <c r="H50" s="6"/>
      <c r="I50" s="7"/>
    </row>
    <row r="51" spans="1:9" x14ac:dyDescent="0.35">
      <c r="A51" s="14">
        <v>45723</v>
      </c>
      <c r="B51" t="s">
        <v>236</v>
      </c>
      <c r="C51" t="s">
        <v>7</v>
      </c>
      <c r="D51" s="1">
        <v>4874278</v>
      </c>
      <c r="E51" s="1">
        <v>1427111</v>
      </c>
      <c r="F51" s="2">
        <v>0.29278408002169798</v>
      </c>
      <c r="G51" s="1">
        <v>16689</v>
      </c>
      <c r="H51" s="2">
        <v>1.16942550369242E-2</v>
      </c>
      <c r="I51" s="15">
        <v>3.4238917025249701E-3</v>
      </c>
    </row>
    <row r="52" spans="1:9" x14ac:dyDescent="0.35">
      <c r="A52" s="14">
        <v>45723</v>
      </c>
      <c r="B52" t="s">
        <v>236</v>
      </c>
      <c r="C52" t="s">
        <v>8</v>
      </c>
      <c r="D52" s="1">
        <v>311330</v>
      </c>
      <c r="E52" s="1">
        <v>84008</v>
      </c>
      <c r="F52" s="2">
        <v>0.26983586548035798</v>
      </c>
      <c r="G52" s="1">
        <v>1267</v>
      </c>
      <c r="H52" s="2">
        <v>1.50818969621941E-2</v>
      </c>
      <c r="I52" s="15">
        <v>4.0696367198792298E-3</v>
      </c>
    </row>
    <row r="53" spans="1:9" x14ac:dyDescent="0.35">
      <c r="A53" s="14">
        <v>45727</v>
      </c>
      <c r="B53" t="s">
        <v>243</v>
      </c>
      <c r="C53" t="s">
        <v>7</v>
      </c>
      <c r="D53" s="1">
        <v>1431161</v>
      </c>
      <c r="E53" s="1">
        <v>375053</v>
      </c>
      <c r="F53" s="2">
        <v>0.26206206010365002</v>
      </c>
      <c r="G53" s="1">
        <v>9340</v>
      </c>
      <c r="H53" s="2">
        <v>2.49031470218876E-2</v>
      </c>
      <c r="I53" s="15">
        <v>6.5261700116199398E-3</v>
      </c>
    </row>
    <row r="54" spans="1:9" x14ac:dyDescent="0.35">
      <c r="A54" s="14">
        <v>45727</v>
      </c>
      <c r="B54" t="s">
        <v>243</v>
      </c>
      <c r="C54" t="s">
        <v>8</v>
      </c>
      <c r="D54" s="1">
        <v>90009</v>
      </c>
      <c r="E54" s="1">
        <v>28325</v>
      </c>
      <c r="F54" s="2">
        <v>0.31469075314690798</v>
      </c>
      <c r="G54" s="1">
        <v>744</v>
      </c>
      <c r="H54" s="2">
        <v>2.62665489849956E-2</v>
      </c>
      <c r="I54" s="15">
        <v>8.2658400826583992E-3</v>
      </c>
    </row>
    <row r="55" spans="1:9" ht="16" thickBot="1" x14ac:dyDescent="0.4">
      <c r="A55" s="22" t="s">
        <v>13</v>
      </c>
      <c r="B55" s="4"/>
      <c r="C55" s="4"/>
      <c r="D55" s="19">
        <f>SUM(D51:D54)</f>
        <v>6706778</v>
      </c>
      <c r="E55" s="19">
        <f>SUM(E51:E54)</f>
        <v>1914497</v>
      </c>
      <c r="F55" s="20">
        <f>AVERAGE(F51:F54)</f>
        <v>0.28484318968815348</v>
      </c>
      <c r="G55" s="19">
        <f>SUM(G51:G54)</f>
        <v>28040</v>
      </c>
      <c r="H55" s="20">
        <f>AVERAGE(H51:H54)</f>
        <v>1.9486462001500376E-2</v>
      </c>
      <c r="I55" s="21">
        <f>AVERAGE(I51:I54)</f>
        <v>5.5713846291706344E-3</v>
      </c>
    </row>
    <row r="56" spans="1:9" ht="3" customHeight="1" thickBot="1" x14ac:dyDescent="0.4">
      <c r="A56" s="127"/>
      <c r="B56" s="128"/>
      <c r="C56" s="128"/>
      <c r="D56" s="128"/>
      <c r="E56" s="128"/>
      <c r="F56" s="128"/>
      <c r="G56" s="128"/>
      <c r="H56" s="128"/>
      <c r="I56" s="129"/>
    </row>
    <row r="57" spans="1:9" x14ac:dyDescent="0.35">
      <c r="A57" s="10" t="s">
        <v>216</v>
      </c>
      <c r="B57" s="11"/>
      <c r="C57" s="11"/>
      <c r="D57" s="11"/>
      <c r="E57" s="11"/>
      <c r="F57" s="11"/>
      <c r="G57" s="11"/>
      <c r="H57" s="11"/>
      <c r="I57" s="12"/>
    </row>
    <row r="58" spans="1:9" x14ac:dyDescent="0.35">
      <c r="A58" s="14">
        <v>45723</v>
      </c>
      <c r="B58" t="s">
        <v>237</v>
      </c>
      <c r="C58" t="s">
        <v>110</v>
      </c>
      <c r="D58" s="1">
        <v>3103</v>
      </c>
      <c r="E58" s="1">
        <v>1206</v>
      </c>
      <c r="F58" s="2">
        <v>0.38865613922011</v>
      </c>
      <c r="G58" s="1">
        <v>11</v>
      </c>
      <c r="H58" s="2">
        <v>9.1210613598673301E-3</v>
      </c>
      <c r="I58" s="15">
        <v>3.5449564937157598E-3</v>
      </c>
    </row>
    <row r="59" spans="1:9" x14ac:dyDescent="0.35">
      <c r="A59" s="14">
        <v>45723</v>
      </c>
      <c r="B59" t="s">
        <v>237</v>
      </c>
      <c r="C59" t="s">
        <v>90</v>
      </c>
      <c r="D59" s="1">
        <v>59962</v>
      </c>
      <c r="E59" s="1">
        <v>23494</v>
      </c>
      <c r="F59" s="2">
        <v>0.39181481605016499</v>
      </c>
      <c r="G59" s="1">
        <v>139</v>
      </c>
      <c r="H59" s="2">
        <v>5.9164041883033999E-3</v>
      </c>
      <c r="I59" s="15">
        <v>2.31813481871852E-3</v>
      </c>
    </row>
    <row r="60" spans="1:9" x14ac:dyDescent="0.35">
      <c r="A60" s="14">
        <v>45723</v>
      </c>
      <c r="B60" t="s">
        <v>237</v>
      </c>
      <c r="C60" t="s">
        <v>111</v>
      </c>
      <c r="D60" s="1">
        <v>164</v>
      </c>
      <c r="E60" s="1">
        <v>62</v>
      </c>
      <c r="F60" s="2">
        <v>0.37804878048780499</v>
      </c>
      <c r="G60" s="1">
        <v>2</v>
      </c>
      <c r="H60" s="2">
        <v>3.2258064516128997E-2</v>
      </c>
      <c r="I60" s="15">
        <v>1.21951219512195E-2</v>
      </c>
    </row>
    <row r="61" spans="1:9" x14ac:dyDescent="0.35">
      <c r="A61" s="14">
        <v>45723</v>
      </c>
      <c r="B61" t="s">
        <v>237</v>
      </c>
      <c r="C61" t="s">
        <v>91</v>
      </c>
      <c r="D61" s="1">
        <v>3529</v>
      </c>
      <c r="E61" s="1">
        <v>1427</v>
      </c>
      <c r="F61" s="2">
        <v>0.40436384244828599</v>
      </c>
      <c r="G61" s="1">
        <v>8</v>
      </c>
      <c r="H61" s="2">
        <v>5.6061667834618103E-3</v>
      </c>
      <c r="I61" s="15">
        <v>2.2669311419665598E-3</v>
      </c>
    </row>
    <row r="62" spans="1:9" x14ac:dyDescent="0.35">
      <c r="A62" s="14">
        <v>45723</v>
      </c>
      <c r="B62" t="s">
        <v>238</v>
      </c>
      <c r="C62" t="s">
        <v>110</v>
      </c>
      <c r="D62" s="1">
        <v>73412</v>
      </c>
      <c r="E62" s="1">
        <v>28216</v>
      </c>
      <c r="F62" s="2">
        <v>0.38435133220726903</v>
      </c>
      <c r="G62" s="1">
        <v>494</v>
      </c>
      <c r="H62" s="2">
        <v>1.7507796994612999E-2</v>
      </c>
      <c r="I62" s="15">
        <v>6.7291450988939102E-3</v>
      </c>
    </row>
    <row r="63" spans="1:9" x14ac:dyDescent="0.35">
      <c r="A63" s="14">
        <v>45723</v>
      </c>
      <c r="B63" t="s">
        <v>238</v>
      </c>
      <c r="C63" t="s">
        <v>90</v>
      </c>
      <c r="D63" s="1">
        <v>663193</v>
      </c>
      <c r="E63" s="1">
        <v>257599</v>
      </c>
      <c r="F63" s="2">
        <v>0.38842237478381098</v>
      </c>
      <c r="G63" s="1">
        <v>4288</v>
      </c>
      <c r="H63" s="2">
        <v>1.66460273525907E-2</v>
      </c>
      <c r="I63" s="15">
        <v>6.4656894750095397E-3</v>
      </c>
    </row>
    <row r="64" spans="1:9" x14ac:dyDescent="0.35">
      <c r="A64" s="14">
        <v>45723</v>
      </c>
      <c r="B64" t="s">
        <v>238</v>
      </c>
      <c r="C64" t="s">
        <v>111</v>
      </c>
      <c r="D64" s="1">
        <v>179</v>
      </c>
      <c r="E64" s="1">
        <v>82</v>
      </c>
      <c r="F64" s="2">
        <v>0.458100558659218</v>
      </c>
      <c r="G64" s="1">
        <v>1</v>
      </c>
      <c r="H64" s="2">
        <v>1.21951219512195E-2</v>
      </c>
      <c r="I64" s="15">
        <v>5.5865921787709499E-3</v>
      </c>
    </row>
    <row r="65" spans="1:9" x14ac:dyDescent="0.35">
      <c r="A65" s="14">
        <v>45723</v>
      </c>
      <c r="B65" t="s">
        <v>238</v>
      </c>
      <c r="C65" t="s">
        <v>91</v>
      </c>
      <c r="D65" s="1">
        <v>1645</v>
      </c>
      <c r="E65" s="1">
        <v>640</v>
      </c>
      <c r="F65" s="2">
        <v>0.38905775075987797</v>
      </c>
      <c r="G65" s="1">
        <v>14</v>
      </c>
      <c r="H65" s="2">
        <v>2.1874999999999999E-2</v>
      </c>
      <c r="I65" s="15">
        <v>8.5106382978723406E-3</v>
      </c>
    </row>
    <row r="66" spans="1:9" x14ac:dyDescent="0.35">
      <c r="A66" s="14">
        <v>45724</v>
      </c>
      <c r="B66" t="s">
        <v>239</v>
      </c>
      <c r="C66" t="s">
        <v>7</v>
      </c>
      <c r="D66" s="1">
        <v>1376</v>
      </c>
      <c r="E66" s="1">
        <v>647</v>
      </c>
      <c r="F66" s="2">
        <v>0.47020348837209303</v>
      </c>
      <c r="G66" s="1">
        <v>35</v>
      </c>
      <c r="H66" s="2">
        <v>5.4095826893353897E-2</v>
      </c>
      <c r="I66" s="15">
        <v>2.54360465116279E-2</v>
      </c>
    </row>
    <row r="67" spans="1:9" x14ac:dyDescent="0.35">
      <c r="A67" s="14">
        <v>45724</v>
      </c>
      <c r="B67" t="s">
        <v>239</v>
      </c>
      <c r="C67" t="s">
        <v>8</v>
      </c>
      <c r="D67" s="1">
        <v>481</v>
      </c>
      <c r="E67" s="1">
        <v>199</v>
      </c>
      <c r="F67" s="2">
        <v>0.41372141372141402</v>
      </c>
      <c r="G67" s="1">
        <v>17</v>
      </c>
      <c r="H67" s="2">
        <v>8.5427135678391997E-2</v>
      </c>
      <c r="I67" s="15">
        <v>3.5343035343035303E-2</v>
      </c>
    </row>
    <row r="68" spans="1:9" x14ac:dyDescent="0.35">
      <c r="A68" s="14">
        <v>45725</v>
      </c>
      <c r="B68" t="s">
        <v>240</v>
      </c>
      <c r="C68" t="s">
        <v>7</v>
      </c>
      <c r="D68" s="1">
        <v>248668</v>
      </c>
      <c r="E68" s="1">
        <v>93924</v>
      </c>
      <c r="F68" s="2">
        <v>0.37770843051779901</v>
      </c>
      <c r="G68" s="1">
        <v>898</v>
      </c>
      <c r="H68" s="2">
        <v>9.5609215961841507E-3</v>
      </c>
      <c r="I68" s="15">
        <v>3.6112406903984402E-3</v>
      </c>
    </row>
    <row r="69" spans="1:9" x14ac:dyDescent="0.35">
      <c r="A69" s="14">
        <v>45725</v>
      </c>
      <c r="B69" t="s">
        <v>240</v>
      </c>
      <c r="C69" t="s">
        <v>8</v>
      </c>
      <c r="D69" s="1">
        <v>725</v>
      </c>
      <c r="E69" s="1">
        <v>310</v>
      </c>
      <c r="F69" s="2">
        <v>0.42758620689655202</v>
      </c>
      <c r="G69" s="1">
        <v>5</v>
      </c>
      <c r="H69" s="2">
        <v>1.6129032258064498E-2</v>
      </c>
      <c r="I69" s="15">
        <v>6.8965517241379301E-3</v>
      </c>
    </row>
    <row r="70" spans="1:9" x14ac:dyDescent="0.35">
      <c r="A70" s="14">
        <v>45726</v>
      </c>
      <c r="B70" t="s">
        <v>241</v>
      </c>
      <c r="C70" t="s">
        <v>7</v>
      </c>
      <c r="D70" s="1">
        <v>1033885</v>
      </c>
      <c r="E70" s="1">
        <v>401124</v>
      </c>
      <c r="F70" s="2">
        <v>0.38797738626636402</v>
      </c>
      <c r="G70" s="1">
        <v>5087</v>
      </c>
      <c r="H70" s="2">
        <v>1.2681863962265999E-2</v>
      </c>
      <c r="I70" s="15">
        <v>4.9202764330655699E-3</v>
      </c>
    </row>
    <row r="71" spans="1:9" x14ac:dyDescent="0.35">
      <c r="A71" s="14">
        <v>45726</v>
      </c>
      <c r="B71" t="s">
        <v>241</v>
      </c>
      <c r="C71" t="s">
        <v>8</v>
      </c>
      <c r="D71" s="1">
        <v>64468</v>
      </c>
      <c r="E71" s="1">
        <v>24177</v>
      </c>
      <c r="F71" s="2">
        <v>0.37502326735744901</v>
      </c>
      <c r="G71" s="1">
        <v>376</v>
      </c>
      <c r="H71" s="2">
        <v>1.55519708814162E-2</v>
      </c>
      <c r="I71" s="15">
        <v>5.8323509337966104E-3</v>
      </c>
    </row>
    <row r="72" spans="1:9" x14ac:dyDescent="0.35">
      <c r="A72" s="14">
        <v>45726</v>
      </c>
      <c r="B72" t="s">
        <v>242</v>
      </c>
      <c r="C72" t="s">
        <v>7</v>
      </c>
      <c r="D72" s="1">
        <v>189339</v>
      </c>
      <c r="E72" s="1">
        <v>72213</v>
      </c>
      <c r="F72" s="2">
        <v>0.38139527514141303</v>
      </c>
      <c r="G72" s="1">
        <v>758</v>
      </c>
      <c r="H72" s="2">
        <v>1.04967249664188E-2</v>
      </c>
      <c r="I72" s="15">
        <v>4.0034013066510303E-3</v>
      </c>
    </row>
    <row r="73" spans="1:9" x14ac:dyDescent="0.35">
      <c r="A73" s="14">
        <v>45726</v>
      </c>
      <c r="B73" t="s">
        <v>242</v>
      </c>
      <c r="C73" t="s">
        <v>8</v>
      </c>
      <c r="D73" s="1">
        <v>139</v>
      </c>
      <c r="E73" s="1">
        <v>54</v>
      </c>
      <c r="F73" s="2">
        <v>0.388489208633094</v>
      </c>
      <c r="G73" s="1">
        <v>2</v>
      </c>
      <c r="H73" s="2">
        <v>3.7037037037037E-2</v>
      </c>
      <c r="I73" s="15">
        <v>1.4388489208633099E-2</v>
      </c>
    </row>
    <row r="74" spans="1:9" x14ac:dyDescent="0.35">
      <c r="A74" s="14">
        <v>45727</v>
      </c>
      <c r="B74" t="s">
        <v>244</v>
      </c>
      <c r="C74" t="s">
        <v>7</v>
      </c>
      <c r="D74" s="1">
        <v>289819</v>
      </c>
      <c r="E74" s="1">
        <v>107537</v>
      </c>
      <c r="F74" s="2">
        <v>0.37104882702652298</v>
      </c>
      <c r="G74" s="1">
        <v>926</v>
      </c>
      <c r="H74" s="2">
        <v>8.6109897058686807E-3</v>
      </c>
      <c r="I74" s="15">
        <v>3.1950976299000402E-3</v>
      </c>
    </row>
    <row r="75" spans="1:9" x14ac:dyDescent="0.35">
      <c r="A75" s="14">
        <v>45727</v>
      </c>
      <c r="B75" t="s">
        <v>244</v>
      </c>
      <c r="C75" t="s">
        <v>8</v>
      </c>
      <c r="D75" s="1">
        <v>1036</v>
      </c>
      <c r="E75" s="1">
        <v>433</v>
      </c>
      <c r="F75" s="2">
        <v>0.41795366795366801</v>
      </c>
      <c r="G75" s="1">
        <v>10</v>
      </c>
      <c r="H75" s="2">
        <v>2.3094688221709E-2</v>
      </c>
      <c r="I75" s="15">
        <v>9.6525096525096506E-3</v>
      </c>
    </row>
    <row r="76" spans="1:9" x14ac:dyDescent="0.35">
      <c r="A76" s="14">
        <v>45727</v>
      </c>
      <c r="B76" t="s">
        <v>245</v>
      </c>
      <c r="C76" t="s">
        <v>246</v>
      </c>
      <c r="D76" s="1">
        <v>305</v>
      </c>
      <c r="E76" s="1">
        <v>118</v>
      </c>
      <c r="F76" s="2">
        <v>0.38688524590163897</v>
      </c>
      <c r="G76" s="1">
        <v>17</v>
      </c>
      <c r="H76" s="2">
        <v>0.144067796610169</v>
      </c>
      <c r="I76" s="15">
        <v>5.5737704918032802E-2</v>
      </c>
    </row>
    <row r="77" spans="1:9" x14ac:dyDescent="0.35">
      <c r="A77" s="14">
        <v>45727</v>
      </c>
      <c r="B77" t="s">
        <v>245</v>
      </c>
      <c r="C77" t="s">
        <v>247</v>
      </c>
      <c r="D77" s="1">
        <v>294</v>
      </c>
      <c r="E77" s="1">
        <v>111</v>
      </c>
      <c r="F77" s="2">
        <v>0.37755102040816302</v>
      </c>
      <c r="G77" s="1">
        <v>10</v>
      </c>
      <c r="H77" s="2">
        <v>9.00900900900901E-2</v>
      </c>
      <c r="I77" s="15">
        <v>3.4013605442176902E-2</v>
      </c>
    </row>
    <row r="78" spans="1:9" x14ac:dyDescent="0.35">
      <c r="A78" s="14">
        <v>45727</v>
      </c>
      <c r="B78" t="s">
        <v>245</v>
      </c>
      <c r="C78" t="s">
        <v>248</v>
      </c>
      <c r="D78" s="1">
        <v>306</v>
      </c>
      <c r="E78" s="1">
        <v>136</v>
      </c>
      <c r="F78" s="2">
        <v>0.44444444444444398</v>
      </c>
      <c r="G78" s="1">
        <v>15</v>
      </c>
      <c r="H78" s="2">
        <v>0.110294117647059</v>
      </c>
      <c r="I78" s="15">
        <v>4.9019607843137303E-2</v>
      </c>
    </row>
    <row r="79" spans="1:9" x14ac:dyDescent="0.35">
      <c r="A79" s="14">
        <v>45728</v>
      </c>
      <c r="B79" t="s">
        <v>249</v>
      </c>
      <c r="C79" t="s">
        <v>7</v>
      </c>
      <c r="D79" s="1">
        <v>79280</v>
      </c>
      <c r="E79" s="1">
        <v>22934</v>
      </c>
      <c r="F79" s="2">
        <v>0.28927850655903098</v>
      </c>
      <c r="G79" s="1">
        <v>248</v>
      </c>
      <c r="H79" s="2">
        <v>1.0813639138397099E-2</v>
      </c>
      <c r="I79" s="15">
        <v>3.1281533804238099E-3</v>
      </c>
    </row>
    <row r="80" spans="1:9" x14ac:dyDescent="0.35">
      <c r="A80" s="14">
        <v>45728</v>
      </c>
      <c r="B80" t="s">
        <v>250</v>
      </c>
      <c r="C80" t="s">
        <v>7</v>
      </c>
      <c r="D80" s="1">
        <v>178655</v>
      </c>
      <c r="E80" s="1">
        <v>66671</v>
      </c>
      <c r="F80" s="2">
        <v>0.373182950379223</v>
      </c>
      <c r="G80" s="1">
        <v>564</v>
      </c>
      <c r="H80" s="2">
        <v>8.4594501357411808E-3</v>
      </c>
      <c r="I80" s="15">
        <v>3.1569225602418099E-3</v>
      </c>
    </row>
    <row r="81" spans="1:9" x14ac:dyDescent="0.35">
      <c r="A81" s="14">
        <v>45728</v>
      </c>
      <c r="B81" t="s">
        <v>250</v>
      </c>
      <c r="C81" t="s">
        <v>8</v>
      </c>
      <c r="D81" s="1">
        <v>7154</v>
      </c>
      <c r="E81" s="1">
        <v>2734</v>
      </c>
      <c r="F81" s="2">
        <v>0.38216382443388303</v>
      </c>
      <c r="G81" s="1">
        <v>27</v>
      </c>
      <c r="H81" s="2">
        <v>9.8756400877834695E-3</v>
      </c>
      <c r="I81" s="15">
        <v>3.7741123846799E-3</v>
      </c>
    </row>
    <row r="82" spans="1:9" x14ac:dyDescent="0.35">
      <c r="A82" s="14">
        <v>45728</v>
      </c>
      <c r="B82" t="s">
        <v>251</v>
      </c>
      <c r="C82" t="s">
        <v>7</v>
      </c>
      <c r="D82" s="1">
        <v>310458</v>
      </c>
      <c r="E82" s="1">
        <v>115191</v>
      </c>
      <c r="F82" s="2">
        <v>0.371035695649653</v>
      </c>
      <c r="G82" s="1">
        <v>1168</v>
      </c>
      <c r="H82" s="2">
        <v>1.0139681051471E-2</v>
      </c>
      <c r="I82" s="15">
        <v>3.7621836125981598E-3</v>
      </c>
    </row>
    <row r="83" spans="1:9" x14ac:dyDescent="0.35">
      <c r="A83" s="14">
        <v>45729</v>
      </c>
      <c r="B83" t="s">
        <v>254</v>
      </c>
      <c r="C83" t="s">
        <v>110</v>
      </c>
      <c r="D83" s="1">
        <v>20646</v>
      </c>
      <c r="E83" s="1">
        <v>7393</v>
      </c>
      <c r="F83" s="2">
        <v>0.35808389034195498</v>
      </c>
      <c r="G83" s="1">
        <v>40</v>
      </c>
      <c r="H83" s="2">
        <v>5.4105234681455401E-3</v>
      </c>
      <c r="I83" s="15">
        <v>1.93742129226E-3</v>
      </c>
    </row>
    <row r="84" spans="1:9" x14ac:dyDescent="0.35">
      <c r="A84" s="14">
        <v>45729</v>
      </c>
      <c r="B84" t="s">
        <v>254</v>
      </c>
      <c r="C84" t="s">
        <v>90</v>
      </c>
      <c r="D84" s="1">
        <v>388216</v>
      </c>
      <c r="E84" s="1">
        <v>138542</v>
      </c>
      <c r="F84" s="2">
        <v>0.35686834133575102</v>
      </c>
      <c r="G84" s="1">
        <v>787</v>
      </c>
      <c r="H84" s="2">
        <v>5.6805878361796402E-3</v>
      </c>
      <c r="I84" s="15">
        <v>2.0272219589094701E-3</v>
      </c>
    </row>
    <row r="85" spans="1:9" x14ac:dyDescent="0.35">
      <c r="A85" s="14">
        <v>45729</v>
      </c>
      <c r="B85" t="s">
        <v>254</v>
      </c>
      <c r="C85" t="s">
        <v>111</v>
      </c>
      <c r="D85" s="1">
        <v>996</v>
      </c>
      <c r="E85" s="1">
        <v>341</v>
      </c>
      <c r="F85" s="2">
        <v>0.34236947791164701</v>
      </c>
      <c r="G85" s="1">
        <v>2</v>
      </c>
      <c r="H85" s="2">
        <v>5.8651026392961903E-3</v>
      </c>
      <c r="I85" s="15">
        <v>2.0080321285140599E-3</v>
      </c>
    </row>
    <row r="86" spans="1:9" x14ac:dyDescent="0.35">
      <c r="A86" s="14">
        <v>45729</v>
      </c>
      <c r="B86" t="s">
        <v>254</v>
      </c>
      <c r="C86" t="s">
        <v>91</v>
      </c>
      <c r="D86" s="1">
        <v>18679</v>
      </c>
      <c r="E86" s="1">
        <v>6625</v>
      </c>
      <c r="F86" s="2">
        <v>0.35467637453825201</v>
      </c>
      <c r="G86" s="1">
        <v>49</v>
      </c>
      <c r="H86" s="2">
        <v>7.3962264150943396E-3</v>
      </c>
      <c r="I86" s="15">
        <v>2.6232667701697101E-3</v>
      </c>
    </row>
    <row r="87" spans="1:9" x14ac:dyDescent="0.35">
      <c r="A87" s="14">
        <v>45729</v>
      </c>
      <c r="B87" t="s">
        <v>255</v>
      </c>
      <c r="C87" t="s">
        <v>110</v>
      </c>
      <c r="D87" s="1">
        <v>18288</v>
      </c>
      <c r="E87" s="1">
        <v>7630</v>
      </c>
      <c r="F87" s="2">
        <v>0.41721347331583603</v>
      </c>
      <c r="G87" s="1">
        <v>94</v>
      </c>
      <c r="H87" s="2">
        <v>1.23197903014417E-2</v>
      </c>
      <c r="I87" s="15">
        <v>5.1399825021872297E-3</v>
      </c>
    </row>
    <row r="88" spans="1:9" x14ac:dyDescent="0.35">
      <c r="A88" s="14">
        <v>45729</v>
      </c>
      <c r="B88" t="s">
        <v>255</v>
      </c>
      <c r="C88" t="s">
        <v>90</v>
      </c>
      <c r="D88" s="1">
        <v>347337</v>
      </c>
      <c r="E88" s="1">
        <v>145621</v>
      </c>
      <c r="F88" s="2">
        <v>0.41924989275545099</v>
      </c>
      <c r="G88" s="1">
        <v>1844</v>
      </c>
      <c r="H88" s="2">
        <v>1.2663008769339601E-2</v>
      </c>
      <c r="I88" s="15">
        <v>5.3089650685069498E-3</v>
      </c>
    </row>
    <row r="89" spans="1:9" x14ac:dyDescent="0.35">
      <c r="A89" s="14">
        <v>45729</v>
      </c>
      <c r="B89" t="s">
        <v>255</v>
      </c>
      <c r="C89" t="s">
        <v>111</v>
      </c>
      <c r="D89" s="1">
        <v>1422</v>
      </c>
      <c r="E89" s="1">
        <v>655</v>
      </c>
      <c r="F89" s="2">
        <v>0.46061884669479602</v>
      </c>
      <c r="G89" s="1">
        <v>7</v>
      </c>
      <c r="H89" s="2">
        <v>1.0687022900763401E-2</v>
      </c>
      <c r="I89" s="15">
        <v>4.92264416315049E-3</v>
      </c>
    </row>
    <row r="90" spans="1:9" x14ac:dyDescent="0.35">
      <c r="A90" s="14">
        <v>45729</v>
      </c>
      <c r="B90" t="s">
        <v>255</v>
      </c>
      <c r="C90" t="s">
        <v>91</v>
      </c>
      <c r="D90" s="1">
        <v>26504</v>
      </c>
      <c r="E90" s="1">
        <v>11946</v>
      </c>
      <c r="F90" s="2">
        <v>0.45072441895562898</v>
      </c>
      <c r="G90" s="1">
        <v>180</v>
      </c>
      <c r="H90" s="2">
        <v>1.5067805123053699E-2</v>
      </c>
      <c r="I90" s="15">
        <v>6.7914277090250497E-3</v>
      </c>
    </row>
    <row r="91" spans="1:9" x14ac:dyDescent="0.35">
      <c r="A91" s="14">
        <v>45729</v>
      </c>
      <c r="B91" t="s">
        <v>256</v>
      </c>
      <c r="C91" t="s">
        <v>7</v>
      </c>
      <c r="D91" s="1">
        <v>125949</v>
      </c>
      <c r="E91" s="1">
        <v>57219</v>
      </c>
      <c r="F91" s="2">
        <v>0.45430293213919898</v>
      </c>
      <c r="G91" s="1">
        <v>1032</v>
      </c>
      <c r="H91" s="2">
        <v>1.8035967073874101E-2</v>
      </c>
      <c r="I91" s="15">
        <v>8.1937927256270394E-3</v>
      </c>
    </row>
    <row r="92" spans="1:9" x14ac:dyDescent="0.35">
      <c r="A92" s="14">
        <v>45729</v>
      </c>
      <c r="B92" t="s">
        <v>256</v>
      </c>
      <c r="C92" t="s">
        <v>8</v>
      </c>
      <c r="D92" s="1">
        <v>6097</v>
      </c>
      <c r="E92" s="1">
        <v>3028</v>
      </c>
      <c r="F92" s="2">
        <v>0.49663769066754099</v>
      </c>
      <c r="G92" s="1">
        <v>105</v>
      </c>
      <c r="H92" s="2">
        <v>3.4676354029062099E-2</v>
      </c>
      <c r="I92" s="15">
        <v>1.7221584385763499E-2</v>
      </c>
    </row>
    <row r="93" spans="1:9" x14ac:dyDescent="0.35">
      <c r="A93" s="14">
        <v>45729</v>
      </c>
      <c r="B93" t="s">
        <v>257</v>
      </c>
      <c r="C93" t="s">
        <v>110</v>
      </c>
      <c r="D93" s="1">
        <v>958</v>
      </c>
      <c r="E93" s="1">
        <v>327</v>
      </c>
      <c r="F93" s="2">
        <v>0.34133611691023003</v>
      </c>
      <c r="G93" s="1">
        <v>11</v>
      </c>
      <c r="H93" s="2">
        <v>3.3639143730886799E-2</v>
      </c>
      <c r="I93" s="15">
        <v>1.1482254697286001E-2</v>
      </c>
    </row>
    <row r="94" spans="1:9" x14ac:dyDescent="0.35">
      <c r="A94" s="14">
        <v>45729</v>
      </c>
      <c r="B94" t="s">
        <v>257</v>
      </c>
      <c r="C94" t="s">
        <v>90</v>
      </c>
      <c r="D94" s="1">
        <v>8419</v>
      </c>
      <c r="E94" s="1">
        <v>2759</v>
      </c>
      <c r="F94" s="2">
        <v>0.32771112958783699</v>
      </c>
      <c r="G94" s="1">
        <v>54</v>
      </c>
      <c r="H94" s="2">
        <v>1.9572308807539001E-2</v>
      </c>
      <c r="I94" s="15">
        <v>6.41406342796057E-3</v>
      </c>
    </row>
    <row r="95" spans="1:9" x14ac:dyDescent="0.35">
      <c r="A95" s="14">
        <v>45729</v>
      </c>
      <c r="B95" t="s">
        <v>257</v>
      </c>
      <c r="C95" t="s">
        <v>111</v>
      </c>
      <c r="D95" s="1">
        <v>1</v>
      </c>
      <c r="E95" s="1">
        <v>1</v>
      </c>
      <c r="F95" s="2">
        <v>1</v>
      </c>
      <c r="G95" s="1">
        <v>0</v>
      </c>
      <c r="H95" s="2">
        <v>0</v>
      </c>
      <c r="I95" s="15">
        <v>0</v>
      </c>
    </row>
    <row r="96" spans="1:9" x14ac:dyDescent="0.35">
      <c r="A96" s="14">
        <v>45729</v>
      </c>
      <c r="B96" t="s">
        <v>257</v>
      </c>
      <c r="C96" t="s">
        <v>91</v>
      </c>
      <c r="D96" s="1">
        <v>17</v>
      </c>
      <c r="E96" s="1">
        <v>4</v>
      </c>
      <c r="F96" s="2">
        <v>0.23529411764705899</v>
      </c>
      <c r="G96" s="1">
        <v>0</v>
      </c>
      <c r="H96" s="2">
        <v>0</v>
      </c>
      <c r="I96" s="15">
        <v>0</v>
      </c>
    </row>
    <row r="97" spans="1:9" ht="16" thickBot="1" x14ac:dyDescent="0.4">
      <c r="A97" s="22" t="s">
        <v>13</v>
      </c>
      <c r="B97" s="4"/>
      <c r="C97" s="4"/>
      <c r="D97" s="19">
        <f>SUM(D58:D96)</f>
        <v>4175104</v>
      </c>
      <c r="E97" s="19">
        <f>SUM(E58:E96)</f>
        <v>1603330</v>
      </c>
      <c r="F97" s="20">
        <f>AVERAGE(F58:F96)</f>
        <v>0.40598849120718289</v>
      </c>
      <c r="G97" s="19">
        <f>SUM(G58:G96)</f>
        <v>19325</v>
      </c>
      <c r="H97" s="20">
        <f>AVERAGE(H58:H96)</f>
        <v>2.4578617697494407E-2</v>
      </c>
      <c r="I97" s="21">
        <f>AVERAGE(I58:I96)</f>
        <v>9.9374142528352149E-3</v>
      </c>
    </row>
    <row r="98" spans="1:9" ht="3" customHeight="1" thickBot="1" x14ac:dyDescent="0.4"/>
    <row r="99" spans="1:9" x14ac:dyDescent="0.35">
      <c r="A99" s="10" t="s">
        <v>11</v>
      </c>
      <c r="B99" s="11"/>
      <c r="C99" s="11"/>
      <c r="D99" s="11"/>
      <c r="E99" s="11"/>
      <c r="F99" s="11"/>
      <c r="G99" s="11"/>
      <c r="H99" s="11"/>
      <c r="I99" s="12"/>
    </row>
    <row r="100" spans="1:9" x14ac:dyDescent="0.35">
      <c r="A100" s="14">
        <v>45729</v>
      </c>
      <c r="B100" t="s">
        <v>252</v>
      </c>
      <c r="C100" t="s">
        <v>54</v>
      </c>
      <c r="D100" s="1">
        <v>210607</v>
      </c>
      <c r="E100" s="1">
        <v>77503</v>
      </c>
      <c r="F100" s="3">
        <v>0.36799999999999999</v>
      </c>
      <c r="G100">
        <v>242</v>
      </c>
      <c r="H100" s="3">
        <v>3.0999999999999999E-3</v>
      </c>
      <c r="I100" s="16">
        <v>1.1000000000000001E-3</v>
      </c>
    </row>
    <row r="101" spans="1:9" x14ac:dyDescent="0.35">
      <c r="A101" s="14">
        <v>45729</v>
      </c>
      <c r="B101" t="s">
        <v>253</v>
      </c>
      <c r="C101" t="s">
        <v>47</v>
      </c>
      <c r="D101" s="1">
        <v>11712</v>
      </c>
      <c r="E101" s="1">
        <v>4565</v>
      </c>
      <c r="F101" s="3">
        <v>0.38979999999999998</v>
      </c>
      <c r="G101">
        <v>12</v>
      </c>
      <c r="H101" s="3">
        <v>2.5999999999999999E-3</v>
      </c>
      <c r="I101" s="16">
        <v>1E-3</v>
      </c>
    </row>
    <row r="102" spans="1:9" ht="16" thickBot="1" x14ac:dyDescent="0.4">
      <c r="A102" s="22" t="s">
        <v>13</v>
      </c>
      <c r="B102" s="4"/>
      <c r="C102" s="4"/>
      <c r="D102" s="19">
        <f>SUM(D100:D101)</f>
        <v>222319</v>
      </c>
      <c r="E102" s="19">
        <f>SUM(E100:E101)</f>
        <v>82068</v>
      </c>
      <c r="F102" s="20">
        <f>AVERAGE(F100:F101)</f>
        <v>0.37890000000000001</v>
      </c>
      <c r="G102" s="19">
        <f>SUM(G100:G101)</f>
        <v>254</v>
      </c>
      <c r="H102" s="20">
        <f>AVERAGE(H100:H101)</f>
        <v>2.8500000000000001E-3</v>
      </c>
      <c r="I102" s="21">
        <f>AVERAGE(I100:I101)</f>
        <v>1.0500000000000002E-3</v>
      </c>
    </row>
  </sheetData>
  <mergeCells count="2">
    <mergeCell ref="A48:I48"/>
    <mergeCell ref="A56:I56"/>
  </mergeCells>
  <pageMargins left="0.7" right="0.7" top="0.75" bottom="0.75" header="0.3" footer="0.3"/>
  <ignoredErrors>
    <ignoredError sqref="F47:G47 F55:G55 F97:G97 F102:G102" formula="1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84FD-4D51-4CF0-8E84-DC3029303F71}">
  <dimension ref="A1:I60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45730</v>
      </c>
      <c r="B2" t="s">
        <v>258</v>
      </c>
      <c r="C2" t="s">
        <v>7</v>
      </c>
      <c r="D2" s="1">
        <v>4239834</v>
      </c>
      <c r="E2" s="1">
        <v>1177810</v>
      </c>
      <c r="F2" s="2">
        <v>0.27779625334388103</v>
      </c>
      <c r="G2" s="1">
        <v>14775</v>
      </c>
      <c r="H2" s="2">
        <v>1.2544468123041899E-2</v>
      </c>
      <c r="I2" s="2">
        <v>3.4848062447727902E-3</v>
      </c>
    </row>
    <row r="3" spans="1:9" x14ac:dyDescent="0.35">
      <c r="A3" s="13">
        <v>45730</v>
      </c>
      <c r="B3" t="s">
        <v>258</v>
      </c>
      <c r="C3" t="s">
        <v>8</v>
      </c>
      <c r="D3" s="1">
        <v>271643</v>
      </c>
      <c r="E3" s="1">
        <v>73997</v>
      </c>
      <c r="F3" s="2">
        <v>0.27240532610816398</v>
      </c>
      <c r="G3" s="1">
        <v>1088</v>
      </c>
      <c r="H3" s="2">
        <v>1.4703298782383099E-2</v>
      </c>
      <c r="I3" s="2">
        <v>4.0052568996808303E-3</v>
      </c>
    </row>
    <row r="4" spans="1:9" x14ac:dyDescent="0.35">
      <c r="A4" s="13">
        <v>45731</v>
      </c>
      <c r="B4" t="s">
        <v>259</v>
      </c>
      <c r="C4" t="s">
        <v>7</v>
      </c>
      <c r="D4" s="1">
        <v>1140406</v>
      </c>
      <c r="E4" s="1">
        <v>390843</v>
      </c>
      <c r="F4" s="2">
        <v>0.34272267946678597</v>
      </c>
      <c r="G4" s="1">
        <v>5324</v>
      </c>
      <c r="H4" s="2">
        <v>1.3621837924691E-2</v>
      </c>
      <c r="I4" s="2">
        <v>4.6685127928123796E-3</v>
      </c>
    </row>
    <row r="5" spans="1:9" x14ac:dyDescent="0.35">
      <c r="A5" s="13">
        <v>45731</v>
      </c>
      <c r="B5" t="s">
        <v>259</v>
      </c>
      <c r="C5" t="s">
        <v>8</v>
      </c>
      <c r="D5" s="1">
        <v>82559</v>
      </c>
      <c r="E5" s="1">
        <v>28221</v>
      </c>
      <c r="F5" s="2">
        <v>0.34182826826875301</v>
      </c>
      <c r="G5" s="1">
        <v>476</v>
      </c>
      <c r="H5" s="2">
        <v>1.6866872187378201E-2</v>
      </c>
      <c r="I5" s="2">
        <v>5.7655737109218903E-3</v>
      </c>
    </row>
    <row r="6" spans="1:9" x14ac:dyDescent="0.35">
      <c r="A6" s="13">
        <v>45733</v>
      </c>
      <c r="B6" t="s">
        <v>260</v>
      </c>
      <c r="C6" t="s">
        <v>7</v>
      </c>
      <c r="D6" s="1">
        <v>52135</v>
      </c>
      <c r="E6" s="1">
        <v>19537</v>
      </c>
      <c r="F6" s="2">
        <v>0.37473865925002398</v>
      </c>
      <c r="G6" s="1">
        <v>240</v>
      </c>
      <c r="H6" s="2">
        <v>1.2284383477504201E-2</v>
      </c>
      <c r="I6" s="2">
        <v>4.6034333940730802E-3</v>
      </c>
    </row>
    <row r="7" spans="1:9" x14ac:dyDescent="0.35">
      <c r="A7" s="13">
        <v>45733</v>
      </c>
      <c r="B7" t="s">
        <v>260</v>
      </c>
      <c r="C7" t="s">
        <v>8</v>
      </c>
      <c r="D7" s="1">
        <v>52</v>
      </c>
      <c r="E7" s="1">
        <v>15</v>
      </c>
      <c r="F7" s="2">
        <v>0.28846153846153799</v>
      </c>
      <c r="G7" s="1">
        <v>0</v>
      </c>
      <c r="H7" s="2">
        <v>0</v>
      </c>
      <c r="I7" s="2">
        <v>0</v>
      </c>
    </row>
    <row r="8" spans="1:9" x14ac:dyDescent="0.35">
      <c r="A8" s="13">
        <v>45733</v>
      </c>
      <c r="B8" t="s">
        <v>261</v>
      </c>
      <c r="C8" t="s">
        <v>7</v>
      </c>
      <c r="D8" s="1">
        <v>23474</v>
      </c>
      <c r="E8" s="1">
        <v>8173</v>
      </c>
      <c r="F8" s="2">
        <v>0.34817244611059001</v>
      </c>
      <c r="G8" s="1">
        <v>66</v>
      </c>
      <c r="H8" s="2">
        <v>8.0753701211305502E-3</v>
      </c>
      <c r="I8" s="2">
        <v>2.8116213683224002E-3</v>
      </c>
    </row>
    <row r="9" spans="1:9" x14ac:dyDescent="0.35">
      <c r="A9" s="13">
        <v>45733</v>
      </c>
      <c r="B9" t="s">
        <v>261</v>
      </c>
      <c r="C9" t="s">
        <v>8</v>
      </c>
      <c r="D9" s="1">
        <v>11</v>
      </c>
      <c r="E9" s="1">
        <v>2</v>
      </c>
      <c r="F9" s="2">
        <v>0.18181818181818199</v>
      </c>
      <c r="G9" s="1">
        <v>0</v>
      </c>
      <c r="H9" s="2">
        <v>0</v>
      </c>
      <c r="I9" s="2">
        <v>0</v>
      </c>
    </row>
    <row r="10" spans="1:9" x14ac:dyDescent="0.35">
      <c r="A10" s="13">
        <v>45734</v>
      </c>
      <c r="B10" t="s">
        <v>262</v>
      </c>
      <c r="C10" t="s">
        <v>7</v>
      </c>
      <c r="D10" s="1">
        <v>1408469</v>
      </c>
      <c r="E10" s="1">
        <v>375159</v>
      </c>
      <c r="F10" s="2">
        <v>0.26635942999100398</v>
      </c>
      <c r="G10" s="1">
        <v>10258</v>
      </c>
      <c r="H10" s="2">
        <v>2.7343073203628301E-2</v>
      </c>
      <c r="I10" s="2">
        <v>7.2830853927207499E-3</v>
      </c>
    </row>
    <row r="11" spans="1:9" x14ac:dyDescent="0.35">
      <c r="A11" s="13">
        <v>45734</v>
      </c>
      <c r="B11" t="s">
        <v>262</v>
      </c>
      <c r="C11" t="s">
        <v>8</v>
      </c>
      <c r="D11" s="1">
        <v>88992</v>
      </c>
      <c r="E11" s="1">
        <v>28273</v>
      </c>
      <c r="F11" s="2">
        <v>0.317702714850773</v>
      </c>
      <c r="G11" s="1">
        <v>954</v>
      </c>
      <c r="H11" s="2">
        <v>3.3742439783539101E-2</v>
      </c>
      <c r="I11" s="2">
        <v>1.07200647249191E-2</v>
      </c>
    </row>
    <row r="12" spans="1:9" x14ac:dyDescent="0.35">
      <c r="A12" s="13">
        <v>45735</v>
      </c>
      <c r="B12" t="s">
        <v>263</v>
      </c>
      <c r="C12" t="s">
        <v>110</v>
      </c>
      <c r="D12" s="1">
        <v>4803</v>
      </c>
      <c r="E12" s="1">
        <v>1621</v>
      </c>
      <c r="F12" s="2">
        <v>0.33749739745992102</v>
      </c>
      <c r="G12" s="1">
        <v>15</v>
      </c>
      <c r="H12" s="2">
        <v>9.2535471930906797E-3</v>
      </c>
      <c r="I12" s="2">
        <v>3.1230480949406602E-3</v>
      </c>
    </row>
    <row r="13" spans="1:9" x14ac:dyDescent="0.35">
      <c r="A13" s="13">
        <v>45735</v>
      </c>
      <c r="B13" t="s">
        <v>263</v>
      </c>
      <c r="C13" t="s">
        <v>90</v>
      </c>
      <c r="D13" s="1">
        <v>89739</v>
      </c>
      <c r="E13" s="1">
        <v>29732</v>
      </c>
      <c r="F13" s="2">
        <v>0.331316373037364</v>
      </c>
      <c r="G13" s="1">
        <v>179</v>
      </c>
      <c r="H13" s="2">
        <v>6.0204493475043697E-3</v>
      </c>
      <c r="I13" s="2">
        <v>1.9946734418703101E-3</v>
      </c>
    </row>
    <row r="14" spans="1:9" x14ac:dyDescent="0.35">
      <c r="A14" s="13">
        <v>45735</v>
      </c>
      <c r="B14" t="s">
        <v>263</v>
      </c>
      <c r="C14" t="s">
        <v>111</v>
      </c>
      <c r="D14" s="1">
        <v>252</v>
      </c>
      <c r="E14" s="1">
        <v>75</v>
      </c>
      <c r="F14" s="2">
        <v>0.297619047619048</v>
      </c>
      <c r="G14" s="1">
        <v>2</v>
      </c>
      <c r="H14" s="2">
        <v>2.66666666666667E-2</v>
      </c>
      <c r="I14" s="2">
        <v>7.9365079365079395E-3</v>
      </c>
    </row>
    <row r="15" spans="1:9" x14ac:dyDescent="0.35">
      <c r="A15" s="13">
        <v>45735</v>
      </c>
      <c r="B15" t="s">
        <v>263</v>
      </c>
      <c r="C15" t="s">
        <v>91</v>
      </c>
      <c r="D15" s="1">
        <v>5052</v>
      </c>
      <c r="E15" s="1">
        <v>1565</v>
      </c>
      <c r="F15" s="2">
        <v>0.30977830562153602</v>
      </c>
      <c r="G15" s="1">
        <v>14</v>
      </c>
      <c r="H15" s="2">
        <v>8.9456869009584706E-3</v>
      </c>
      <c r="I15" s="2">
        <v>2.7711797307996798E-3</v>
      </c>
    </row>
    <row r="16" spans="1:9" x14ac:dyDescent="0.35">
      <c r="A16" s="13">
        <v>45736</v>
      </c>
      <c r="B16" t="s">
        <v>252</v>
      </c>
      <c r="C16" t="s">
        <v>17</v>
      </c>
      <c r="D16" s="1">
        <v>207500</v>
      </c>
      <c r="E16" s="1">
        <v>78408</v>
      </c>
      <c r="F16" s="3">
        <v>0.37790000000000001</v>
      </c>
      <c r="G16">
        <v>201</v>
      </c>
      <c r="H16" s="3">
        <v>2.5999999999999999E-3</v>
      </c>
      <c r="I16" s="3">
        <v>1E-3</v>
      </c>
    </row>
    <row r="17" spans="1:9" x14ac:dyDescent="0.35">
      <c r="A17" s="13">
        <v>45736</v>
      </c>
      <c r="B17" t="s">
        <v>253</v>
      </c>
      <c r="C17" t="s">
        <v>18</v>
      </c>
      <c r="D17" s="1">
        <v>11573</v>
      </c>
      <c r="E17" s="1">
        <v>4678</v>
      </c>
      <c r="F17" s="3">
        <v>0.4042</v>
      </c>
      <c r="G17">
        <v>11</v>
      </c>
      <c r="H17" s="3">
        <v>2.3999999999999998E-3</v>
      </c>
      <c r="I17" s="3">
        <v>1E-3</v>
      </c>
    </row>
    <row r="18" spans="1:9" x14ac:dyDescent="0.35">
      <c r="A18" s="13">
        <v>45736</v>
      </c>
      <c r="B18" t="s">
        <v>264</v>
      </c>
      <c r="C18" t="s">
        <v>110</v>
      </c>
      <c r="D18" s="1">
        <v>4285</v>
      </c>
      <c r="E18" s="1">
        <v>1831</v>
      </c>
      <c r="F18" s="2">
        <v>0.42730455075846002</v>
      </c>
      <c r="G18" s="1">
        <v>25</v>
      </c>
      <c r="H18" s="2">
        <v>1.36537411250683E-2</v>
      </c>
      <c r="I18" s="2">
        <v>5.8343057176195997E-3</v>
      </c>
    </row>
    <row r="19" spans="1:9" x14ac:dyDescent="0.35">
      <c r="A19" s="13">
        <v>45736</v>
      </c>
      <c r="B19" t="s">
        <v>264</v>
      </c>
      <c r="C19" t="s">
        <v>90</v>
      </c>
      <c r="D19" s="1">
        <v>81857</v>
      </c>
      <c r="E19" s="1">
        <v>35539</v>
      </c>
      <c r="F19" s="2">
        <v>0.43415957095911201</v>
      </c>
      <c r="G19" s="1">
        <v>602</v>
      </c>
      <c r="H19" s="2">
        <v>1.6939137285798701E-2</v>
      </c>
      <c r="I19" s="2">
        <v>7.3542885764198498E-3</v>
      </c>
    </row>
    <row r="20" spans="1:9" x14ac:dyDescent="0.35">
      <c r="A20" s="13">
        <v>45736</v>
      </c>
      <c r="B20" t="s">
        <v>264</v>
      </c>
      <c r="C20" t="s">
        <v>111</v>
      </c>
      <c r="D20" s="1">
        <v>301</v>
      </c>
      <c r="E20" s="1">
        <v>137</v>
      </c>
      <c r="F20" s="2">
        <v>0.45514950166113</v>
      </c>
      <c r="G20" s="1">
        <v>3</v>
      </c>
      <c r="H20" s="2">
        <v>2.18978102189781E-2</v>
      </c>
      <c r="I20" s="2">
        <v>9.9667774086378697E-3</v>
      </c>
    </row>
    <row r="21" spans="1:9" x14ac:dyDescent="0.35">
      <c r="A21" s="13">
        <v>45736</v>
      </c>
      <c r="B21" t="s">
        <v>264</v>
      </c>
      <c r="C21" t="s">
        <v>91</v>
      </c>
      <c r="D21" s="1">
        <v>5669</v>
      </c>
      <c r="E21" s="1">
        <v>2767</v>
      </c>
      <c r="F21" s="2">
        <v>0.48809313811959798</v>
      </c>
      <c r="G21" s="1">
        <v>72</v>
      </c>
      <c r="H21" s="2">
        <v>2.60209613299602E-2</v>
      </c>
      <c r="I21" s="2">
        <v>1.2700652672428999E-2</v>
      </c>
    </row>
    <row r="22" spans="1:9" x14ac:dyDescent="0.35">
      <c r="A22" s="13">
        <v>45736</v>
      </c>
      <c r="B22" t="s">
        <v>265</v>
      </c>
      <c r="C22" t="s">
        <v>110</v>
      </c>
      <c r="D22" s="1">
        <v>7899</v>
      </c>
      <c r="E22" s="1">
        <v>3175</v>
      </c>
      <c r="F22" s="2">
        <v>0.40194961387517403</v>
      </c>
      <c r="G22" s="1">
        <v>64</v>
      </c>
      <c r="H22" s="2">
        <v>2.0157480314960601E-2</v>
      </c>
      <c r="I22" s="2">
        <v>8.1022914292948507E-3</v>
      </c>
    </row>
    <row r="23" spans="1:9" x14ac:dyDescent="0.35">
      <c r="A23" s="13">
        <v>45736</v>
      </c>
      <c r="B23" t="s">
        <v>265</v>
      </c>
      <c r="C23" t="s">
        <v>90</v>
      </c>
      <c r="D23" s="1">
        <v>70009</v>
      </c>
      <c r="E23" s="1">
        <v>28430</v>
      </c>
      <c r="F23" s="2">
        <v>0.40609064548843699</v>
      </c>
      <c r="G23" s="1">
        <v>628</v>
      </c>
      <c r="H23" s="2">
        <v>2.2089342244108301E-2</v>
      </c>
      <c r="I23" s="2">
        <v>8.9702752503249602E-3</v>
      </c>
    </row>
    <row r="24" spans="1:9" x14ac:dyDescent="0.35">
      <c r="A24" s="13">
        <v>45736</v>
      </c>
      <c r="B24" t="s">
        <v>265</v>
      </c>
      <c r="C24" t="s">
        <v>111</v>
      </c>
      <c r="D24" s="1">
        <v>5</v>
      </c>
      <c r="E24" s="1">
        <v>2</v>
      </c>
      <c r="F24" s="2">
        <v>0.4</v>
      </c>
      <c r="G24" s="1">
        <v>0</v>
      </c>
      <c r="H24" s="2">
        <v>0</v>
      </c>
      <c r="I24" s="2">
        <v>0</v>
      </c>
    </row>
    <row r="25" spans="1:9" x14ac:dyDescent="0.35">
      <c r="A25" s="13">
        <v>45736</v>
      </c>
      <c r="B25" t="s">
        <v>265</v>
      </c>
      <c r="C25" t="s">
        <v>91</v>
      </c>
      <c r="D25" s="1">
        <v>59</v>
      </c>
      <c r="E25" s="1">
        <v>29</v>
      </c>
      <c r="F25" s="2">
        <v>0.49152542372881403</v>
      </c>
      <c r="G25" s="1">
        <v>1</v>
      </c>
      <c r="H25" s="2">
        <v>3.4482758620689703E-2</v>
      </c>
      <c r="I25" s="2">
        <v>1.6949152542372899E-2</v>
      </c>
    </row>
    <row r="26" spans="1:9" ht="16" thickBot="1" x14ac:dyDescent="0.4">
      <c r="A26" s="23" t="s">
        <v>13</v>
      </c>
      <c r="D26" s="17">
        <f>SUM(D2:D25)</f>
        <v>7796578</v>
      </c>
      <c r="E26" s="17">
        <f>SUM(E2:E25)</f>
        <v>2290019</v>
      </c>
      <c r="F26" s="18">
        <f>AVERAGE(F2:F25)</f>
        <v>0.3572745444165954</v>
      </c>
      <c r="G26" s="17">
        <f>SUM(G2:G25)</f>
        <v>34998</v>
      </c>
      <c r="H26" s="18">
        <f>AVERAGE(H2:H25)</f>
        <v>1.4596221868795023E-2</v>
      </c>
      <c r="I26" s="18">
        <f>AVERAGE(I2:I25)</f>
        <v>5.4602294720600348E-3</v>
      </c>
    </row>
    <row r="27" spans="1:9" ht="15" thickBot="1" x14ac:dyDescent="0.4">
      <c r="A27" s="123" t="s">
        <v>19</v>
      </c>
      <c r="B27" s="123"/>
      <c r="C27" s="123"/>
      <c r="D27" s="123"/>
      <c r="E27" s="123"/>
      <c r="F27" s="123"/>
      <c r="G27" s="123"/>
      <c r="H27" s="123"/>
      <c r="I27" s="123"/>
    </row>
    <row r="28" spans="1:9" ht="15.5" x14ac:dyDescent="0.35">
      <c r="A28" s="24" t="s">
        <v>9</v>
      </c>
      <c r="B28" s="25" t="s">
        <v>0</v>
      </c>
      <c r="C28" s="25" t="s">
        <v>16</v>
      </c>
      <c r="D28" s="25" t="s">
        <v>1</v>
      </c>
      <c r="E28" s="25" t="s">
        <v>2</v>
      </c>
      <c r="F28" s="25" t="s">
        <v>3</v>
      </c>
      <c r="G28" s="25" t="s">
        <v>4</v>
      </c>
      <c r="H28" s="25" t="s">
        <v>5</v>
      </c>
      <c r="I28" s="26" t="s">
        <v>6</v>
      </c>
    </row>
    <row r="29" spans="1:9" x14ac:dyDescent="0.35">
      <c r="A29" s="5" t="s">
        <v>12</v>
      </c>
      <c r="B29" s="6"/>
      <c r="C29" s="6"/>
      <c r="D29" s="6"/>
      <c r="E29" s="6"/>
      <c r="F29" s="6"/>
      <c r="G29" s="6"/>
      <c r="H29" s="6"/>
      <c r="I29" s="7"/>
    </row>
    <row r="30" spans="1:9" x14ac:dyDescent="0.35">
      <c r="A30" s="14">
        <v>45730</v>
      </c>
      <c r="B30" t="s">
        <v>258</v>
      </c>
      <c r="C30" t="s">
        <v>7</v>
      </c>
      <c r="D30" s="1">
        <v>4239834</v>
      </c>
      <c r="E30" s="1">
        <v>1177810</v>
      </c>
      <c r="F30" s="2">
        <v>0.27779625334388103</v>
      </c>
      <c r="G30" s="1">
        <v>14775</v>
      </c>
      <c r="H30" s="2">
        <v>1.2544468123041899E-2</v>
      </c>
      <c r="I30" s="15">
        <v>3.4848062447727902E-3</v>
      </c>
    </row>
    <row r="31" spans="1:9" x14ac:dyDescent="0.35">
      <c r="A31" s="14">
        <v>45730</v>
      </c>
      <c r="B31" t="s">
        <v>258</v>
      </c>
      <c r="C31" t="s">
        <v>8</v>
      </c>
      <c r="D31" s="1">
        <v>271643</v>
      </c>
      <c r="E31" s="1">
        <v>73997</v>
      </c>
      <c r="F31" s="2">
        <v>0.27240532610816398</v>
      </c>
      <c r="G31" s="1">
        <v>1088</v>
      </c>
      <c r="H31" s="2">
        <v>1.4703298782383099E-2</v>
      </c>
      <c r="I31" s="15">
        <v>4.0052568996808303E-3</v>
      </c>
    </row>
    <row r="32" spans="1:9" x14ac:dyDescent="0.35">
      <c r="A32" s="14">
        <v>45734</v>
      </c>
      <c r="B32" t="s">
        <v>262</v>
      </c>
      <c r="C32" t="s">
        <v>7</v>
      </c>
      <c r="D32" s="1">
        <v>1408469</v>
      </c>
      <c r="E32" s="1">
        <v>375159</v>
      </c>
      <c r="F32" s="2">
        <v>0.26635942999100398</v>
      </c>
      <c r="G32" s="1">
        <v>10258</v>
      </c>
      <c r="H32" s="2">
        <v>2.7343073203628301E-2</v>
      </c>
      <c r="I32" s="15">
        <v>7.2830853927207499E-3</v>
      </c>
    </row>
    <row r="33" spans="1:9" x14ac:dyDescent="0.35">
      <c r="A33" s="14">
        <v>45734</v>
      </c>
      <c r="B33" t="s">
        <v>262</v>
      </c>
      <c r="C33" t="s">
        <v>8</v>
      </c>
      <c r="D33" s="1">
        <v>88992</v>
      </c>
      <c r="E33" s="1">
        <v>28273</v>
      </c>
      <c r="F33" s="2">
        <v>0.317702714850773</v>
      </c>
      <c r="G33" s="1">
        <v>954</v>
      </c>
      <c r="H33" s="2">
        <v>3.3742439783539101E-2</v>
      </c>
      <c r="I33" s="15">
        <v>1.07200647249191E-2</v>
      </c>
    </row>
    <row r="34" spans="1:9" ht="16" thickBot="1" x14ac:dyDescent="0.4">
      <c r="A34" s="22" t="s">
        <v>13</v>
      </c>
      <c r="B34" s="4"/>
      <c r="C34" s="4"/>
      <c r="D34" s="19">
        <f>SUM(D30:D33)</f>
        <v>6008938</v>
      </c>
      <c r="E34" s="19">
        <f>SUM(E30:E33)</f>
        <v>1655239</v>
      </c>
      <c r="F34" s="20">
        <f>AVERAGE(F30:F33)</f>
        <v>0.28356593107345546</v>
      </c>
      <c r="G34" s="19">
        <f>SUM(G30:G33)</f>
        <v>27075</v>
      </c>
      <c r="H34" s="20">
        <f>AVERAGE(H30:H33)</f>
        <v>2.2083319973148101E-2</v>
      </c>
      <c r="I34" s="21">
        <f>AVERAGE(I30:I33)</f>
        <v>6.3733033155233682E-3</v>
      </c>
    </row>
    <row r="35" spans="1:9" ht="3" customHeight="1" thickBot="1" x14ac:dyDescent="0.4">
      <c r="A35" s="127"/>
      <c r="B35" s="128"/>
      <c r="C35" s="128"/>
      <c r="D35" s="128"/>
      <c r="E35" s="128"/>
      <c r="F35" s="128"/>
      <c r="G35" s="128"/>
      <c r="H35" s="128"/>
      <c r="I35" s="129"/>
    </row>
    <row r="36" spans="1:9" x14ac:dyDescent="0.35">
      <c r="A36" s="10" t="s">
        <v>216</v>
      </c>
      <c r="B36" s="11"/>
      <c r="C36" s="11"/>
      <c r="D36" s="11"/>
      <c r="E36" s="11"/>
      <c r="F36" s="11"/>
      <c r="G36" s="11"/>
      <c r="H36" s="11"/>
      <c r="I36" s="12"/>
    </row>
    <row r="37" spans="1:9" x14ac:dyDescent="0.35">
      <c r="A37" s="14">
        <v>45731</v>
      </c>
      <c r="B37" t="s">
        <v>259</v>
      </c>
      <c r="C37" t="s">
        <v>7</v>
      </c>
      <c r="D37" s="1">
        <v>1140406</v>
      </c>
      <c r="E37" s="1">
        <v>390843</v>
      </c>
      <c r="F37" s="2">
        <v>0.34272267946678597</v>
      </c>
      <c r="G37" s="1">
        <v>5324</v>
      </c>
      <c r="H37" s="2">
        <v>1.3621837924691E-2</v>
      </c>
      <c r="I37" s="15">
        <v>4.6685127928123796E-3</v>
      </c>
    </row>
    <row r="38" spans="1:9" x14ac:dyDescent="0.35">
      <c r="A38" s="14">
        <v>45731</v>
      </c>
      <c r="B38" t="s">
        <v>259</v>
      </c>
      <c r="C38" t="s">
        <v>8</v>
      </c>
      <c r="D38" s="1">
        <v>82559</v>
      </c>
      <c r="E38" s="1">
        <v>28221</v>
      </c>
      <c r="F38" s="2">
        <v>0.34182826826875301</v>
      </c>
      <c r="G38" s="1">
        <v>476</v>
      </c>
      <c r="H38" s="2">
        <v>1.6866872187378201E-2</v>
      </c>
      <c r="I38" s="15">
        <v>5.7655737109218903E-3</v>
      </c>
    </row>
    <row r="39" spans="1:9" x14ac:dyDescent="0.35">
      <c r="A39" s="14">
        <v>45733</v>
      </c>
      <c r="B39" t="s">
        <v>260</v>
      </c>
      <c r="C39" t="s">
        <v>7</v>
      </c>
      <c r="D39" s="1">
        <v>52135</v>
      </c>
      <c r="E39" s="1">
        <v>19537</v>
      </c>
      <c r="F39" s="2">
        <v>0.37473865925002398</v>
      </c>
      <c r="G39" s="1">
        <v>240</v>
      </c>
      <c r="H39" s="2">
        <v>1.2284383477504201E-2</v>
      </c>
      <c r="I39" s="15">
        <v>4.6034333940730802E-3</v>
      </c>
    </row>
    <row r="40" spans="1:9" x14ac:dyDescent="0.35">
      <c r="A40" s="14">
        <v>45733</v>
      </c>
      <c r="B40" t="s">
        <v>260</v>
      </c>
      <c r="C40" t="s">
        <v>8</v>
      </c>
      <c r="D40" s="1">
        <v>52</v>
      </c>
      <c r="E40" s="1">
        <v>15</v>
      </c>
      <c r="F40" s="2">
        <v>0.28846153846153799</v>
      </c>
      <c r="G40" s="1">
        <v>0</v>
      </c>
      <c r="H40" s="2">
        <v>0</v>
      </c>
      <c r="I40" s="15">
        <v>0</v>
      </c>
    </row>
    <row r="41" spans="1:9" x14ac:dyDescent="0.35">
      <c r="A41" s="14">
        <v>45733</v>
      </c>
      <c r="B41" t="s">
        <v>261</v>
      </c>
      <c r="C41" t="s">
        <v>7</v>
      </c>
      <c r="D41" s="1">
        <v>23474</v>
      </c>
      <c r="E41" s="1">
        <v>8173</v>
      </c>
      <c r="F41" s="2">
        <v>0.34817244611059001</v>
      </c>
      <c r="G41" s="1">
        <v>66</v>
      </c>
      <c r="H41" s="2">
        <v>8.0753701211305502E-3</v>
      </c>
      <c r="I41" s="15">
        <v>2.8116213683224002E-3</v>
      </c>
    </row>
    <row r="42" spans="1:9" x14ac:dyDescent="0.35">
      <c r="A42" s="14">
        <v>45733</v>
      </c>
      <c r="B42" t="s">
        <v>261</v>
      </c>
      <c r="C42" t="s">
        <v>8</v>
      </c>
      <c r="D42" s="1">
        <v>11</v>
      </c>
      <c r="E42" s="1">
        <v>2</v>
      </c>
      <c r="F42" s="2">
        <v>0.18181818181818199</v>
      </c>
      <c r="G42" s="1">
        <v>0</v>
      </c>
      <c r="H42" s="2">
        <v>0</v>
      </c>
      <c r="I42" s="15">
        <v>0</v>
      </c>
    </row>
    <row r="43" spans="1:9" x14ac:dyDescent="0.35">
      <c r="A43" s="14">
        <v>45735</v>
      </c>
      <c r="B43" t="s">
        <v>263</v>
      </c>
      <c r="C43" t="s">
        <v>110</v>
      </c>
      <c r="D43" s="1">
        <v>4803</v>
      </c>
      <c r="E43" s="1">
        <v>1621</v>
      </c>
      <c r="F43" s="2">
        <v>0.33749739745992102</v>
      </c>
      <c r="G43" s="1">
        <v>15</v>
      </c>
      <c r="H43" s="2">
        <v>9.2535471930906797E-3</v>
      </c>
      <c r="I43" s="15">
        <v>3.1230480949406602E-3</v>
      </c>
    </row>
    <row r="44" spans="1:9" x14ac:dyDescent="0.35">
      <c r="A44" s="14">
        <v>45735</v>
      </c>
      <c r="B44" t="s">
        <v>263</v>
      </c>
      <c r="C44" t="s">
        <v>90</v>
      </c>
      <c r="D44" s="1">
        <v>89739</v>
      </c>
      <c r="E44" s="1">
        <v>29732</v>
      </c>
      <c r="F44" s="2">
        <v>0.331316373037364</v>
      </c>
      <c r="G44" s="1">
        <v>179</v>
      </c>
      <c r="H44" s="2">
        <v>6.0204493475043697E-3</v>
      </c>
      <c r="I44" s="15">
        <v>1.9946734418703101E-3</v>
      </c>
    </row>
    <row r="45" spans="1:9" x14ac:dyDescent="0.35">
      <c r="A45" s="14">
        <v>45735</v>
      </c>
      <c r="B45" t="s">
        <v>263</v>
      </c>
      <c r="C45" t="s">
        <v>111</v>
      </c>
      <c r="D45" s="1">
        <v>252</v>
      </c>
      <c r="E45" s="1">
        <v>75</v>
      </c>
      <c r="F45" s="2">
        <v>0.297619047619048</v>
      </c>
      <c r="G45" s="1">
        <v>2</v>
      </c>
      <c r="H45" s="2">
        <v>2.66666666666667E-2</v>
      </c>
      <c r="I45" s="15">
        <v>7.9365079365079395E-3</v>
      </c>
    </row>
    <row r="46" spans="1:9" x14ac:dyDescent="0.35">
      <c r="A46" s="14">
        <v>45735</v>
      </c>
      <c r="B46" t="s">
        <v>263</v>
      </c>
      <c r="C46" t="s">
        <v>91</v>
      </c>
      <c r="D46" s="1">
        <v>5052</v>
      </c>
      <c r="E46" s="1">
        <v>1565</v>
      </c>
      <c r="F46" s="2">
        <v>0.30977830562153602</v>
      </c>
      <c r="G46" s="1">
        <v>14</v>
      </c>
      <c r="H46" s="2">
        <v>8.9456869009584706E-3</v>
      </c>
      <c r="I46" s="15">
        <v>2.7711797307996798E-3</v>
      </c>
    </row>
    <row r="47" spans="1:9" x14ac:dyDescent="0.35">
      <c r="A47" s="14">
        <v>45736</v>
      </c>
      <c r="B47" t="s">
        <v>264</v>
      </c>
      <c r="C47" t="s">
        <v>110</v>
      </c>
      <c r="D47" s="1">
        <v>4285</v>
      </c>
      <c r="E47" s="1">
        <v>1831</v>
      </c>
      <c r="F47" s="2">
        <v>0.42730455075846002</v>
      </c>
      <c r="G47" s="1">
        <v>25</v>
      </c>
      <c r="H47" s="2">
        <v>1.36537411250683E-2</v>
      </c>
      <c r="I47" s="15">
        <v>5.8343057176195997E-3</v>
      </c>
    </row>
    <row r="48" spans="1:9" x14ac:dyDescent="0.35">
      <c r="A48" s="14">
        <v>45736</v>
      </c>
      <c r="B48" t="s">
        <v>264</v>
      </c>
      <c r="C48" t="s">
        <v>90</v>
      </c>
      <c r="D48" s="1">
        <v>81857</v>
      </c>
      <c r="E48" s="1">
        <v>35539</v>
      </c>
      <c r="F48" s="2">
        <v>0.43415957095911201</v>
      </c>
      <c r="G48" s="1">
        <v>602</v>
      </c>
      <c r="H48" s="2">
        <v>1.6939137285798701E-2</v>
      </c>
      <c r="I48" s="15">
        <v>7.3542885764198498E-3</v>
      </c>
    </row>
    <row r="49" spans="1:9" x14ac:dyDescent="0.35">
      <c r="A49" s="14">
        <v>45736</v>
      </c>
      <c r="B49" t="s">
        <v>264</v>
      </c>
      <c r="C49" t="s">
        <v>111</v>
      </c>
      <c r="D49" s="1">
        <v>301</v>
      </c>
      <c r="E49" s="1">
        <v>137</v>
      </c>
      <c r="F49" s="2">
        <v>0.45514950166113</v>
      </c>
      <c r="G49" s="1">
        <v>3</v>
      </c>
      <c r="H49" s="2">
        <v>2.18978102189781E-2</v>
      </c>
      <c r="I49" s="15">
        <v>9.9667774086378697E-3</v>
      </c>
    </row>
    <row r="50" spans="1:9" x14ac:dyDescent="0.35">
      <c r="A50" s="14">
        <v>45736</v>
      </c>
      <c r="B50" t="s">
        <v>264</v>
      </c>
      <c r="C50" t="s">
        <v>91</v>
      </c>
      <c r="D50" s="1">
        <v>5669</v>
      </c>
      <c r="E50" s="1">
        <v>2767</v>
      </c>
      <c r="F50" s="2">
        <v>0.48809313811959798</v>
      </c>
      <c r="G50" s="1">
        <v>72</v>
      </c>
      <c r="H50" s="2">
        <v>2.60209613299602E-2</v>
      </c>
      <c r="I50" s="15">
        <v>1.2700652672428999E-2</v>
      </c>
    </row>
    <row r="51" spans="1:9" x14ac:dyDescent="0.35">
      <c r="A51" s="14">
        <v>45736</v>
      </c>
      <c r="B51" t="s">
        <v>265</v>
      </c>
      <c r="C51" t="s">
        <v>110</v>
      </c>
      <c r="D51" s="1">
        <v>7899</v>
      </c>
      <c r="E51" s="1">
        <v>3175</v>
      </c>
      <c r="F51" s="2">
        <v>0.40194961387517403</v>
      </c>
      <c r="G51" s="1">
        <v>64</v>
      </c>
      <c r="H51" s="2">
        <v>2.0157480314960601E-2</v>
      </c>
      <c r="I51" s="15">
        <v>8.1022914292948507E-3</v>
      </c>
    </row>
    <row r="52" spans="1:9" x14ac:dyDescent="0.35">
      <c r="A52" s="14">
        <v>45736</v>
      </c>
      <c r="B52" t="s">
        <v>265</v>
      </c>
      <c r="C52" t="s">
        <v>90</v>
      </c>
      <c r="D52" s="1">
        <v>70009</v>
      </c>
      <c r="E52" s="1">
        <v>28430</v>
      </c>
      <c r="F52" s="2">
        <v>0.40609064548843699</v>
      </c>
      <c r="G52" s="1">
        <v>628</v>
      </c>
      <c r="H52" s="2">
        <v>2.2089342244108301E-2</v>
      </c>
      <c r="I52" s="15">
        <v>8.9702752503249602E-3</v>
      </c>
    </row>
    <row r="53" spans="1:9" x14ac:dyDescent="0.35">
      <c r="A53" s="14">
        <v>45736</v>
      </c>
      <c r="B53" t="s">
        <v>265</v>
      </c>
      <c r="C53" t="s">
        <v>111</v>
      </c>
      <c r="D53" s="1">
        <v>5</v>
      </c>
      <c r="E53" s="1">
        <v>2</v>
      </c>
      <c r="F53" s="2">
        <v>0.4</v>
      </c>
      <c r="G53" s="1">
        <v>0</v>
      </c>
      <c r="H53" s="2">
        <v>0</v>
      </c>
      <c r="I53" s="15">
        <v>0</v>
      </c>
    </row>
    <row r="54" spans="1:9" x14ac:dyDescent="0.35">
      <c r="A54" s="14">
        <v>45736</v>
      </c>
      <c r="B54" t="s">
        <v>265</v>
      </c>
      <c r="C54" t="s">
        <v>91</v>
      </c>
      <c r="D54" s="1">
        <v>59</v>
      </c>
      <c r="E54" s="1">
        <v>29</v>
      </c>
      <c r="F54" s="2">
        <v>0.49152542372881403</v>
      </c>
      <c r="G54" s="1">
        <v>1</v>
      </c>
      <c r="H54" s="2">
        <v>3.4482758620689703E-2</v>
      </c>
      <c r="I54" s="15">
        <v>1.6949152542372899E-2</v>
      </c>
    </row>
    <row r="55" spans="1:9" ht="16" thickBot="1" x14ac:dyDescent="0.4">
      <c r="A55" s="22" t="s">
        <v>13</v>
      </c>
      <c r="B55" s="4"/>
      <c r="C55" s="4"/>
      <c r="D55" s="19">
        <f>SUM(D37:D54)</f>
        <v>1568567</v>
      </c>
      <c r="E55" s="19">
        <f>SUM(E37:E54)</f>
        <v>551694</v>
      </c>
      <c r="F55" s="20">
        <f>AVERAGE(F37:F54)</f>
        <v>0.36990140787247033</v>
      </c>
      <c r="G55" s="19">
        <f>SUM(G37:G54)</f>
        <v>7711</v>
      </c>
      <c r="H55" s="20">
        <f>AVERAGE(H37:H54)</f>
        <v>1.4276446942138227E-2</v>
      </c>
      <c r="I55" s="21">
        <f>AVERAGE(I37:I54)</f>
        <v>5.7529052259637425E-3</v>
      </c>
    </row>
    <row r="56" spans="1:9" ht="3" customHeight="1" thickBot="1" x14ac:dyDescent="0.4"/>
    <row r="57" spans="1:9" x14ac:dyDescent="0.35">
      <c r="A57" s="10" t="s">
        <v>11</v>
      </c>
      <c r="B57" s="11"/>
      <c r="C57" s="11"/>
      <c r="D57" s="11"/>
      <c r="E57" s="11"/>
      <c r="F57" s="11"/>
      <c r="G57" s="11"/>
      <c r="H57" s="11"/>
      <c r="I57" s="12"/>
    </row>
    <row r="58" spans="1:9" x14ac:dyDescent="0.35">
      <c r="A58" s="14">
        <v>45736</v>
      </c>
      <c r="B58" t="s">
        <v>252</v>
      </c>
      <c r="C58" t="s">
        <v>17</v>
      </c>
      <c r="D58" s="1">
        <v>207500</v>
      </c>
      <c r="E58" s="1">
        <v>78408</v>
      </c>
      <c r="F58" s="3">
        <v>0.37790000000000001</v>
      </c>
      <c r="G58">
        <v>201</v>
      </c>
      <c r="H58" s="3">
        <v>2.5999999999999999E-3</v>
      </c>
      <c r="I58" s="16">
        <v>1E-3</v>
      </c>
    </row>
    <row r="59" spans="1:9" x14ac:dyDescent="0.35">
      <c r="A59" s="14">
        <v>45736</v>
      </c>
      <c r="B59" t="s">
        <v>253</v>
      </c>
      <c r="C59" t="s">
        <v>18</v>
      </c>
      <c r="D59" s="1">
        <v>11573</v>
      </c>
      <c r="E59" s="1">
        <v>4678</v>
      </c>
      <c r="F59" s="3">
        <v>0.4042</v>
      </c>
      <c r="G59">
        <v>11</v>
      </c>
      <c r="H59" s="3">
        <v>2.3999999999999998E-3</v>
      </c>
      <c r="I59" s="16">
        <v>1E-3</v>
      </c>
    </row>
    <row r="60" spans="1:9" ht="16" thickBot="1" x14ac:dyDescent="0.4">
      <c r="A60" s="22" t="s">
        <v>13</v>
      </c>
      <c r="B60" s="4"/>
      <c r="C60" s="4"/>
      <c r="D60" s="19">
        <f>SUM(D58:D59)</f>
        <v>219073</v>
      </c>
      <c r="E60" s="19">
        <f>SUM(E58:E59)</f>
        <v>83086</v>
      </c>
      <c r="F60" s="20">
        <f>AVERAGE(F58:F59)</f>
        <v>0.39105000000000001</v>
      </c>
      <c r="G60" s="19">
        <f>SUM(G58:G59)</f>
        <v>212</v>
      </c>
      <c r="H60" s="20">
        <f>AVERAGE(H58:H59)</f>
        <v>2.4999999999999996E-3</v>
      </c>
      <c r="I60" s="21">
        <f>AVERAGE(I58:I59)</f>
        <v>1E-3</v>
      </c>
    </row>
  </sheetData>
  <mergeCells count="2">
    <mergeCell ref="A27:I27"/>
    <mergeCell ref="A35:I35"/>
  </mergeCells>
  <pageMargins left="0.7" right="0.7" top="0.75" bottom="0.75" header="0.3" footer="0.3"/>
  <ignoredErrors>
    <ignoredError sqref="F55:G55 F60:G60 F34:G34 F26:G26" formula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3721-6CA6-4987-AE77-1A3ED4B094C0}">
  <dimension ref="A1:I64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45737</v>
      </c>
      <c r="B2" t="s">
        <v>267</v>
      </c>
      <c r="C2" t="s">
        <v>7</v>
      </c>
      <c r="D2" s="1">
        <v>4814305</v>
      </c>
      <c r="E2" s="1">
        <v>1440945</v>
      </c>
      <c r="F2" s="2">
        <v>0.29930488409022699</v>
      </c>
      <c r="G2" s="1">
        <v>17607</v>
      </c>
      <c r="H2" s="2">
        <v>1.22190645722078E-2</v>
      </c>
      <c r="I2" s="2">
        <v>3.6572257054756602E-3</v>
      </c>
    </row>
    <row r="3" spans="1:9" x14ac:dyDescent="0.35">
      <c r="A3" s="13">
        <v>45737</v>
      </c>
      <c r="B3" t="s">
        <v>267</v>
      </c>
      <c r="C3" t="s">
        <v>8</v>
      </c>
      <c r="D3" s="1">
        <v>312062</v>
      </c>
      <c r="E3" s="1">
        <v>92594</v>
      </c>
      <c r="F3" s="2">
        <v>0.29671667809601898</v>
      </c>
      <c r="G3" s="1">
        <v>1138</v>
      </c>
      <c r="H3" s="2">
        <v>1.2290213188759501E-2</v>
      </c>
      <c r="I3" s="2">
        <v>3.6467112304606102E-3</v>
      </c>
    </row>
    <row r="4" spans="1:9" x14ac:dyDescent="0.35">
      <c r="A4" s="13">
        <v>45737</v>
      </c>
      <c r="B4" t="s">
        <v>268</v>
      </c>
      <c r="C4" t="s">
        <v>269</v>
      </c>
      <c r="D4" s="1">
        <v>80118</v>
      </c>
      <c r="E4" s="1">
        <v>23400</v>
      </c>
      <c r="F4" s="2">
        <v>0.29206919793304897</v>
      </c>
      <c r="G4" s="1">
        <v>407</v>
      </c>
      <c r="H4" s="2">
        <v>1.7393162393162399E-2</v>
      </c>
      <c r="I4" s="2">
        <v>5.0800069896902098E-3</v>
      </c>
    </row>
    <row r="5" spans="1:9" x14ac:dyDescent="0.35">
      <c r="A5" s="13">
        <v>45737</v>
      </c>
      <c r="B5" t="s">
        <v>270</v>
      </c>
      <c r="C5" t="s">
        <v>7</v>
      </c>
      <c r="D5" s="1">
        <v>681980</v>
      </c>
      <c r="E5" s="1">
        <v>260963</v>
      </c>
      <c r="F5" s="2">
        <v>0.382654916566468</v>
      </c>
      <c r="G5" s="1">
        <v>3193</v>
      </c>
      <c r="H5" s="2">
        <v>1.22354510026326E-2</v>
      </c>
      <c r="I5" s="2">
        <v>4.68195548256547E-3</v>
      </c>
    </row>
    <row r="6" spans="1:9" x14ac:dyDescent="0.35">
      <c r="A6" s="13">
        <v>45737</v>
      </c>
      <c r="B6" t="s">
        <v>270</v>
      </c>
      <c r="C6" t="s">
        <v>8</v>
      </c>
      <c r="D6" s="1">
        <v>48494</v>
      </c>
      <c r="E6" s="1">
        <v>18104</v>
      </c>
      <c r="F6" s="2">
        <v>0.37332453499402002</v>
      </c>
      <c r="G6" s="1">
        <v>397</v>
      </c>
      <c r="H6" s="2">
        <v>2.19288555015466E-2</v>
      </c>
      <c r="I6" s="2">
        <v>8.18657978306595E-3</v>
      </c>
    </row>
    <row r="7" spans="1:9" x14ac:dyDescent="0.35">
      <c r="A7" s="13">
        <v>45737</v>
      </c>
      <c r="B7" t="s">
        <v>271</v>
      </c>
      <c r="C7" t="s">
        <v>7</v>
      </c>
      <c r="D7" s="1">
        <v>134031</v>
      </c>
      <c r="E7" s="1">
        <v>52768</v>
      </c>
      <c r="F7" s="2">
        <v>0.39369996493348602</v>
      </c>
      <c r="G7" s="1">
        <v>644</v>
      </c>
      <c r="H7" s="2">
        <v>1.22043662825955E-2</v>
      </c>
      <c r="I7" s="2">
        <v>4.8048585774932697E-3</v>
      </c>
    </row>
    <row r="8" spans="1:9" x14ac:dyDescent="0.35">
      <c r="A8" s="13">
        <v>45740</v>
      </c>
      <c r="B8" t="s">
        <v>272</v>
      </c>
      <c r="C8" t="s">
        <v>7</v>
      </c>
      <c r="D8" s="1">
        <v>130253</v>
      </c>
      <c r="E8" s="1">
        <v>55574</v>
      </c>
      <c r="F8" s="2">
        <v>0.42666195788196798</v>
      </c>
      <c r="G8" s="1">
        <v>1545</v>
      </c>
      <c r="H8" s="2">
        <v>2.7800770144312099E-2</v>
      </c>
      <c r="I8" s="2">
        <v>1.1861531020398801E-2</v>
      </c>
    </row>
    <row r="9" spans="1:9" x14ac:dyDescent="0.35">
      <c r="A9" s="13">
        <v>45740</v>
      </c>
      <c r="B9" t="s">
        <v>273</v>
      </c>
      <c r="C9" t="s">
        <v>246</v>
      </c>
      <c r="D9" s="1">
        <v>77</v>
      </c>
      <c r="E9" s="1">
        <v>33</v>
      </c>
      <c r="F9" s="2">
        <v>0.42857142857142899</v>
      </c>
      <c r="G9" s="1">
        <v>5</v>
      </c>
      <c r="H9" s="2">
        <v>0.15151515151515199</v>
      </c>
      <c r="I9" s="2">
        <v>6.4935064935064901E-2</v>
      </c>
    </row>
    <row r="10" spans="1:9" x14ac:dyDescent="0.35">
      <c r="A10" s="13">
        <v>45740</v>
      </c>
      <c r="B10" t="s">
        <v>273</v>
      </c>
      <c r="C10" t="s">
        <v>247</v>
      </c>
      <c r="D10" s="1">
        <v>54</v>
      </c>
      <c r="E10" s="1">
        <v>23</v>
      </c>
      <c r="F10" s="2">
        <v>0.42592592592592599</v>
      </c>
      <c r="G10" s="1">
        <v>3</v>
      </c>
      <c r="H10" s="2">
        <v>0.13043478260869601</v>
      </c>
      <c r="I10" s="2">
        <v>5.5555555555555601E-2</v>
      </c>
    </row>
    <row r="11" spans="1:9" x14ac:dyDescent="0.35">
      <c r="A11" s="13">
        <v>45740</v>
      </c>
      <c r="B11" t="s">
        <v>273</v>
      </c>
      <c r="C11" t="s">
        <v>248</v>
      </c>
      <c r="D11" s="1">
        <v>77</v>
      </c>
      <c r="E11" s="1">
        <v>30</v>
      </c>
      <c r="F11" s="2">
        <v>0.38961038961039002</v>
      </c>
      <c r="G11" s="1">
        <v>5</v>
      </c>
      <c r="H11" s="2">
        <v>0.16666666666666699</v>
      </c>
      <c r="I11" s="2">
        <v>6.4935064935064901E-2</v>
      </c>
    </row>
    <row r="12" spans="1:9" x14ac:dyDescent="0.35">
      <c r="A12" s="13">
        <v>45741</v>
      </c>
      <c r="B12" t="s">
        <v>274</v>
      </c>
      <c r="C12" t="s">
        <v>7</v>
      </c>
      <c r="D12" s="1">
        <v>1409424</v>
      </c>
      <c r="E12" s="1">
        <v>376503</v>
      </c>
      <c r="F12" s="2">
        <v>0.26713253073595999</v>
      </c>
      <c r="G12" s="1">
        <v>10983</v>
      </c>
      <c r="H12" s="2">
        <v>2.9171082302133101E-2</v>
      </c>
      <c r="I12" s="2">
        <v>7.7925450396757797E-3</v>
      </c>
    </row>
    <row r="13" spans="1:9" x14ac:dyDescent="0.35">
      <c r="A13" s="13">
        <v>45741</v>
      </c>
      <c r="B13" t="s">
        <v>274</v>
      </c>
      <c r="C13" t="s">
        <v>8</v>
      </c>
      <c r="D13" s="1">
        <v>88971</v>
      </c>
      <c r="E13" s="1">
        <v>28180</v>
      </c>
      <c r="F13" s="2">
        <v>0.31673241842847699</v>
      </c>
      <c r="G13" s="1">
        <v>987</v>
      </c>
      <c r="H13" s="2">
        <v>3.5024840312278198E-2</v>
      </c>
      <c r="I13" s="2">
        <v>1.10935023771791E-2</v>
      </c>
    </row>
    <row r="14" spans="1:9" x14ac:dyDescent="0.35">
      <c r="A14" s="13">
        <v>45742</v>
      </c>
      <c r="B14" t="s">
        <v>275</v>
      </c>
      <c r="C14" t="s">
        <v>85</v>
      </c>
      <c r="D14" s="1">
        <v>1412</v>
      </c>
      <c r="E14" s="1">
        <v>419</v>
      </c>
      <c r="F14" s="2">
        <v>0.29674220963172798</v>
      </c>
      <c r="G14" s="1">
        <v>39</v>
      </c>
      <c r="H14" s="2">
        <v>9.3078758949880699E-2</v>
      </c>
      <c r="I14" s="2">
        <v>2.7620396600566598E-2</v>
      </c>
    </row>
    <row r="15" spans="1:9" x14ac:dyDescent="0.35">
      <c r="A15" s="13">
        <v>45742</v>
      </c>
      <c r="B15" t="s">
        <v>276</v>
      </c>
      <c r="C15" t="s">
        <v>87</v>
      </c>
      <c r="D15" s="1">
        <v>55</v>
      </c>
      <c r="E15" s="1">
        <v>12</v>
      </c>
      <c r="F15" s="2">
        <v>0.218181818181818</v>
      </c>
      <c r="G15" s="1">
        <v>1</v>
      </c>
      <c r="H15" s="2">
        <v>8.3333333333333301E-2</v>
      </c>
      <c r="I15" s="2">
        <v>1.8181818181818198E-2</v>
      </c>
    </row>
    <row r="16" spans="1:9" x14ac:dyDescent="0.35">
      <c r="A16" s="13">
        <v>45742</v>
      </c>
      <c r="B16" t="s">
        <v>277</v>
      </c>
      <c r="C16" t="s">
        <v>7</v>
      </c>
      <c r="D16" s="1">
        <v>8867</v>
      </c>
      <c r="E16" s="1">
        <v>4419</v>
      </c>
      <c r="F16" s="2">
        <v>0.49836472313070901</v>
      </c>
      <c r="G16" s="1">
        <v>168</v>
      </c>
      <c r="H16" s="2">
        <v>3.8017651052274302E-2</v>
      </c>
      <c r="I16" s="2">
        <v>1.8946656140746601E-2</v>
      </c>
    </row>
    <row r="17" spans="1:9" x14ac:dyDescent="0.35">
      <c r="A17" s="13">
        <v>45742</v>
      </c>
      <c r="B17" t="s">
        <v>278</v>
      </c>
      <c r="C17" t="s">
        <v>7</v>
      </c>
      <c r="D17" s="1">
        <v>790</v>
      </c>
      <c r="E17" s="1">
        <v>391</v>
      </c>
      <c r="F17" s="2">
        <v>0.49493670886075902</v>
      </c>
      <c r="G17" s="1">
        <v>13</v>
      </c>
      <c r="H17" s="2">
        <v>3.32480818414322E-2</v>
      </c>
      <c r="I17" s="2">
        <v>1.6455696202531601E-2</v>
      </c>
    </row>
    <row r="18" spans="1:9" x14ac:dyDescent="0.35">
      <c r="A18" s="13">
        <v>45743</v>
      </c>
      <c r="B18" t="s">
        <v>279</v>
      </c>
      <c r="C18" t="s">
        <v>100</v>
      </c>
      <c r="D18" s="1">
        <v>847740</v>
      </c>
      <c r="E18" s="1">
        <v>330128</v>
      </c>
      <c r="F18" s="3">
        <v>0.38940000000000002</v>
      </c>
      <c r="G18">
        <v>979</v>
      </c>
      <c r="H18" s="3">
        <v>3.0000000000000001E-3</v>
      </c>
      <c r="I18" s="3">
        <v>1.1999999999999999E-3</v>
      </c>
    </row>
    <row r="19" spans="1:9" x14ac:dyDescent="0.35">
      <c r="A19" s="13">
        <v>45743</v>
      </c>
      <c r="B19" t="s">
        <v>280</v>
      </c>
      <c r="C19" t="s">
        <v>97</v>
      </c>
      <c r="D19" s="1">
        <v>51890</v>
      </c>
      <c r="E19" s="1">
        <v>19527</v>
      </c>
      <c r="F19" s="3">
        <v>0.37630000000000002</v>
      </c>
      <c r="G19">
        <v>85</v>
      </c>
      <c r="H19" s="3">
        <v>4.4000000000000003E-3</v>
      </c>
      <c r="I19" s="3">
        <v>1.6000000000000001E-3</v>
      </c>
    </row>
    <row r="20" spans="1:9" x14ac:dyDescent="0.35">
      <c r="A20" s="13">
        <v>45743</v>
      </c>
      <c r="B20" t="s">
        <v>252</v>
      </c>
      <c r="C20" t="s">
        <v>92</v>
      </c>
      <c r="D20" s="1">
        <v>196989</v>
      </c>
      <c r="E20" s="1">
        <v>73598</v>
      </c>
      <c r="F20" s="3">
        <v>0.37359999999999999</v>
      </c>
      <c r="G20">
        <v>216</v>
      </c>
      <c r="H20" s="3">
        <v>2.8999999999999998E-3</v>
      </c>
      <c r="I20" s="3">
        <v>1.1000000000000001E-3</v>
      </c>
    </row>
    <row r="21" spans="1:9" x14ac:dyDescent="0.35">
      <c r="A21" s="13">
        <v>45743</v>
      </c>
      <c r="B21" t="s">
        <v>253</v>
      </c>
      <c r="C21" t="s">
        <v>93</v>
      </c>
      <c r="D21" s="1">
        <v>10976</v>
      </c>
      <c r="E21" s="1">
        <v>4477</v>
      </c>
      <c r="F21" s="3">
        <v>0.40789999999999998</v>
      </c>
      <c r="G21">
        <v>12</v>
      </c>
      <c r="H21" s="3">
        <v>2.7000000000000001E-3</v>
      </c>
      <c r="I21" s="3">
        <v>1.1000000000000001E-3</v>
      </c>
    </row>
    <row r="22" spans="1:9" x14ac:dyDescent="0.35">
      <c r="A22" s="13">
        <v>45743</v>
      </c>
      <c r="B22" t="s">
        <v>281</v>
      </c>
      <c r="C22" t="s">
        <v>110</v>
      </c>
      <c r="D22" s="1">
        <v>15838</v>
      </c>
      <c r="E22" s="1">
        <v>5868</v>
      </c>
      <c r="F22" s="2">
        <v>0.37050132592499102</v>
      </c>
      <c r="G22" s="1">
        <v>35</v>
      </c>
      <c r="H22" s="2">
        <v>5.9645535105657798E-3</v>
      </c>
      <c r="I22" s="2">
        <v>2.20987498421518E-3</v>
      </c>
    </row>
    <row r="23" spans="1:9" x14ac:dyDescent="0.35">
      <c r="A23" s="13">
        <v>45743</v>
      </c>
      <c r="B23" t="s">
        <v>281</v>
      </c>
      <c r="C23" t="s">
        <v>90</v>
      </c>
      <c r="D23" s="1">
        <v>302289</v>
      </c>
      <c r="E23" s="1">
        <v>110835</v>
      </c>
      <c r="F23" s="2">
        <v>0.36665244186854301</v>
      </c>
      <c r="G23" s="1">
        <v>926</v>
      </c>
      <c r="H23" s="2">
        <v>8.3547615825325904E-3</v>
      </c>
      <c r="I23" s="2">
        <v>3.0632937354650698E-3</v>
      </c>
    </row>
    <row r="24" spans="1:9" x14ac:dyDescent="0.35">
      <c r="A24" s="13">
        <v>45743</v>
      </c>
      <c r="B24" t="s">
        <v>281</v>
      </c>
      <c r="C24" t="s">
        <v>111</v>
      </c>
      <c r="D24" s="1">
        <v>879</v>
      </c>
      <c r="E24" s="1">
        <v>332</v>
      </c>
      <c r="F24" s="2">
        <v>0.377701934015927</v>
      </c>
      <c r="G24" s="1">
        <v>5</v>
      </c>
      <c r="H24" s="2">
        <v>1.5060240963855401E-2</v>
      </c>
      <c r="I24" s="2">
        <v>5.6882821387940798E-3</v>
      </c>
    </row>
    <row r="25" spans="1:9" x14ac:dyDescent="0.35">
      <c r="A25" s="13">
        <v>45743</v>
      </c>
      <c r="B25" t="s">
        <v>281</v>
      </c>
      <c r="C25" t="s">
        <v>91</v>
      </c>
      <c r="D25" s="1">
        <v>17072</v>
      </c>
      <c r="E25" s="1">
        <v>6149</v>
      </c>
      <c r="F25" s="2">
        <v>0.36018041237113402</v>
      </c>
      <c r="G25" s="1">
        <v>57</v>
      </c>
      <c r="H25" s="2">
        <v>9.2697999674743892E-3</v>
      </c>
      <c r="I25" s="2">
        <v>3.3388003748828499E-3</v>
      </c>
    </row>
    <row r="26" spans="1:9" x14ac:dyDescent="0.35">
      <c r="A26" s="13">
        <v>45743</v>
      </c>
      <c r="B26" t="s">
        <v>282</v>
      </c>
      <c r="C26" t="s">
        <v>283</v>
      </c>
      <c r="D26" s="1">
        <v>178293</v>
      </c>
      <c r="E26" s="1">
        <v>65406</v>
      </c>
      <c r="F26" s="2">
        <v>0.36684558563712499</v>
      </c>
      <c r="G26" s="1">
        <v>1247</v>
      </c>
      <c r="H26" s="2">
        <v>1.9065529156346499E-2</v>
      </c>
      <c r="I26" s="2">
        <v>6.9941052088416302E-3</v>
      </c>
    </row>
    <row r="27" spans="1:9" x14ac:dyDescent="0.35">
      <c r="A27" s="13">
        <v>45743</v>
      </c>
      <c r="B27" t="s">
        <v>282</v>
      </c>
      <c r="C27" t="s">
        <v>284</v>
      </c>
      <c r="D27" s="1">
        <v>178996</v>
      </c>
      <c r="E27" s="1">
        <v>71635</v>
      </c>
      <c r="F27" s="2">
        <v>0.40020447384299102</v>
      </c>
      <c r="G27" s="1">
        <v>746</v>
      </c>
      <c r="H27" s="2">
        <v>1.04139038179661E-2</v>
      </c>
      <c r="I27" s="2">
        <v>4.1676908981206299E-3</v>
      </c>
    </row>
    <row r="28" spans="1:9" ht="16" thickBot="1" x14ac:dyDescent="0.4">
      <c r="A28" s="23" t="s">
        <v>13</v>
      </c>
      <c r="D28" s="17">
        <f>SUM(D2:D27)</f>
        <v>9511932</v>
      </c>
      <c r="E28" s="17">
        <f>SUM(E2:E27)</f>
        <v>3042313</v>
      </c>
      <c r="F28" s="18">
        <f>AVERAGE(F2:F27)</f>
        <v>0.36884294081665925</v>
      </c>
      <c r="G28" s="17">
        <f>SUM(G2:G27)</f>
        <v>41443</v>
      </c>
      <c r="H28" s="18">
        <f>AVERAGE(H2:H27)</f>
        <v>3.6834270025607845E-2</v>
      </c>
      <c r="I28" s="18">
        <f>AVERAGE(I2:I27)</f>
        <v>1.3765277542218178E-2</v>
      </c>
    </row>
    <row r="29" spans="1:9" ht="15" thickBot="1" x14ac:dyDescent="0.4">
      <c r="A29" s="123" t="s">
        <v>19</v>
      </c>
      <c r="B29" s="123"/>
      <c r="C29" s="123"/>
      <c r="D29" s="123"/>
      <c r="E29" s="123"/>
      <c r="F29" s="123"/>
      <c r="G29" s="123"/>
      <c r="H29" s="123"/>
      <c r="I29" s="123"/>
    </row>
    <row r="30" spans="1:9" ht="15.5" x14ac:dyDescent="0.35">
      <c r="A30" s="24" t="s">
        <v>9</v>
      </c>
      <c r="B30" s="25" t="s">
        <v>0</v>
      </c>
      <c r="C30" s="25" t="s">
        <v>16</v>
      </c>
      <c r="D30" s="25" t="s">
        <v>1</v>
      </c>
      <c r="E30" s="25" t="s">
        <v>2</v>
      </c>
      <c r="F30" s="25" t="s">
        <v>3</v>
      </c>
      <c r="G30" s="25" t="s">
        <v>4</v>
      </c>
      <c r="H30" s="25" t="s">
        <v>5</v>
      </c>
      <c r="I30" s="26" t="s">
        <v>6</v>
      </c>
    </row>
    <row r="31" spans="1:9" x14ac:dyDescent="0.35">
      <c r="A31" s="5" t="s">
        <v>12</v>
      </c>
      <c r="B31" s="6"/>
      <c r="C31" s="6"/>
      <c r="D31" s="6"/>
      <c r="E31" s="6"/>
      <c r="F31" s="6"/>
      <c r="G31" s="6"/>
      <c r="H31" s="6"/>
      <c r="I31" s="7"/>
    </row>
    <row r="32" spans="1:9" x14ac:dyDescent="0.35">
      <c r="A32" s="14">
        <v>45737</v>
      </c>
      <c r="B32" t="s">
        <v>267</v>
      </c>
      <c r="C32" t="s">
        <v>7</v>
      </c>
      <c r="D32" s="1">
        <v>4814305</v>
      </c>
      <c r="E32" s="1">
        <v>1440945</v>
      </c>
      <c r="F32" s="2">
        <v>0.29930488409022699</v>
      </c>
      <c r="G32" s="1">
        <v>17607</v>
      </c>
      <c r="H32" s="2">
        <v>1.22190645722078E-2</v>
      </c>
      <c r="I32" s="15">
        <v>3.6572257054756602E-3</v>
      </c>
    </row>
    <row r="33" spans="1:9" x14ac:dyDescent="0.35">
      <c r="A33" s="14">
        <v>45737</v>
      </c>
      <c r="B33" t="s">
        <v>267</v>
      </c>
      <c r="C33" t="s">
        <v>8</v>
      </c>
      <c r="D33" s="1">
        <v>312062</v>
      </c>
      <c r="E33" s="1">
        <v>92594</v>
      </c>
      <c r="F33" s="2">
        <v>0.29671667809601898</v>
      </c>
      <c r="G33" s="1">
        <v>1138</v>
      </c>
      <c r="H33" s="2">
        <v>1.2290213188759501E-2</v>
      </c>
      <c r="I33" s="15">
        <v>3.6467112304606102E-3</v>
      </c>
    </row>
    <row r="34" spans="1:9" x14ac:dyDescent="0.35">
      <c r="A34" s="14">
        <v>45741</v>
      </c>
      <c r="B34" t="s">
        <v>274</v>
      </c>
      <c r="C34" t="s">
        <v>7</v>
      </c>
      <c r="D34" s="1">
        <v>1409424</v>
      </c>
      <c r="E34" s="1">
        <v>376503</v>
      </c>
      <c r="F34" s="2">
        <v>0.26713253073595999</v>
      </c>
      <c r="G34" s="1">
        <v>10983</v>
      </c>
      <c r="H34" s="2">
        <v>2.9171082302133101E-2</v>
      </c>
      <c r="I34" s="15">
        <v>7.7925450396757797E-3</v>
      </c>
    </row>
    <row r="35" spans="1:9" x14ac:dyDescent="0.35">
      <c r="A35" s="14">
        <v>45741</v>
      </c>
      <c r="B35" t="s">
        <v>274</v>
      </c>
      <c r="C35" t="s">
        <v>8</v>
      </c>
      <c r="D35" s="1">
        <v>88971</v>
      </c>
      <c r="E35" s="1">
        <v>28180</v>
      </c>
      <c r="F35" s="2">
        <v>0.31673241842847699</v>
      </c>
      <c r="G35" s="1">
        <v>987</v>
      </c>
      <c r="H35" s="2">
        <v>3.5024840312278198E-2</v>
      </c>
      <c r="I35" s="15">
        <v>1.10935023771791E-2</v>
      </c>
    </row>
    <row r="36" spans="1:9" ht="16" thickBot="1" x14ac:dyDescent="0.4">
      <c r="A36" s="22" t="s">
        <v>13</v>
      </c>
      <c r="B36" s="4"/>
      <c r="C36" s="4"/>
      <c r="D36" s="19">
        <f>SUM(D32:D35)</f>
        <v>6624762</v>
      </c>
      <c r="E36" s="19">
        <f>SUM(E32:E35)</f>
        <v>1938222</v>
      </c>
      <c r="F36" s="20">
        <f>AVERAGE(F32:F35)</f>
        <v>0.29497162783767072</v>
      </c>
      <c r="G36" s="19">
        <f>SUM(G32:G35)</f>
        <v>30715</v>
      </c>
      <c r="H36" s="20">
        <f>AVERAGE(H32:H35)</f>
        <v>2.217630009384465E-2</v>
      </c>
      <c r="I36" s="21">
        <f>AVERAGE(I32:I35)</f>
        <v>6.5474960881977875E-3</v>
      </c>
    </row>
    <row r="37" spans="1:9" ht="3" customHeight="1" thickBot="1" x14ac:dyDescent="0.4">
      <c r="A37" s="127"/>
      <c r="B37" s="128"/>
      <c r="C37" s="128"/>
      <c r="D37" s="128"/>
      <c r="E37" s="128"/>
      <c r="F37" s="128"/>
      <c r="G37" s="128"/>
      <c r="H37" s="128"/>
      <c r="I37" s="129"/>
    </row>
    <row r="38" spans="1:9" x14ac:dyDescent="0.35">
      <c r="A38" s="10" t="s">
        <v>216</v>
      </c>
      <c r="B38" s="11"/>
      <c r="C38" s="11"/>
      <c r="D38" s="11"/>
      <c r="E38" s="11"/>
      <c r="F38" s="11"/>
      <c r="G38" s="11"/>
      <c r="H38" s="11"/>
      <c r="I38" s="12"/>
    </row>
    <row r="39" spans="1:9" x14ac:dyDescent="0.35">
      <c r="A39" s="14">
        <v>45737</v>
      </c>
      <c r="B39" t="s">
        <v>268</v>
      </c>
      <c r="C39" t="s">
        <v>269</v>
      </c>
      <c r="D39" s="1">
        <v>80118</v>
      </c>
      <c r="E39" s="1">
        <v>23400</v>
      </c>
      <c r="F39" s="2">
        <v>0.29206919793304897</v>
      </c>
      <c r="G39" s="1">
        <v>407</v>
      </c>
      <c r="H39" s="2">
        <v>1.7393162393162399E-2</v>
      </c>
      <c r="I39" s="15">
        <v>5.0800069896902098E-3</v>
      </c>
    </row>
    <row r="40" spans="1:9" x14ac:dyDescent="0.35">
      <c r="A40" s="14">
        <v>45737</v>
      </c>
      <c r="B40" t="s">
        <v>270</v>
      </c>
      <c r="C40" t="s">
        <v>7</v>
      </c>
      <c r="D40" s="1">
        <v>681980</v>
      </c>
      <c r="E40" s="1">
        <v>260963</v>
      </c>
      <c r="F40" s="2">
        <v>0.382654916566468</v>
      </c>
      <c r="G40" s="1">
        <v>3193</v>
      </c>
      <c r="H40" s="2">
        <v>1.22354510026326E-2</v>
      </c>
      <c r="I40" s="15">
        <v>4.68195548256547E-3</v>
      </c>
    </row>
    <row r="41" spans="1:9" x14ac:dyDescent="0.35">
      <c r="A41" s="14">
        <v>45737</v>
      </c>
      <c r="B41" t="s">
        <v>270</v>
      </c>
      <c r="C41" t="s">
        <v>8</v>
      </c>
      <c r="D41" s="1">
        <v>48494</v>
      </c>
      <c r="E41" s="1">
        <v>18104</v>
      </c>
      <c r="F41" s="2">
        <v>0.37332453499402002</v>
      </c>
      <c r="G41" s="1">
        <v>397</v>
      </c>
      <c r="H41" s="2">
        <v>2.19288555015466E-2</v>
      </c>
      <c r="I41" s="15">
        <v>8.18657978306595E-3</v>
      </c>
    </row>
    <row r="42" spans="1:9" x14ac:dyDescent="0.35">
      <c r="A42" s="14">
        <v>45737</v>
      </c>
      <c r="B42" t="s">
        <v>271</v>
      </c>
      <c r="C42" t="s">
        <v>7</v>
      </c>
      <c r="D42" s="1">
        <v>134031</v>
      </c>
      <c r="E42" s="1">
        <v>52768</v>
      </c>
      <c r="F42" s="2">
        <v>0.39369996493348602</v>
      </c>
      <c r="G42" s="1">
        <v>644</v>
      </c>
      <c r="H42" s="2">
        <v>1.22043662825955E-2</v>
      </c>
      <c r="I42" s="15">
        <v>4.8048585774932697E-3</v>
      </c>
    </row>
    <row r="43" spans="1:9" x14ac:dyDescent="0.35">
      <c r="A43" s="14">
        <v>45740</v>
      </c>
      <c r="B43" t="s">
        <v>272</v>
      </c>
      <c r="C43" t="s">
        <v>7</v>
      </c>
      <c r="D43" s="1">
        <v>130253</v>
      </c>
      <c r="E43" s="1">
        <v>55574</v>
      </c>
      <c r="F43" s="2">
        <v>0.42666195788196798</v>
      </c>
      <c r="G43" s="1">
        <v>1545</v>
      </c>
      <c r="H43" s="2">
        <v>2.7800770144312099E-2</v>
      </c>
      <c r="I43" s="15">
        <v>1.1861531020398801E-2</v>
      </c>
    </row>
    <row r="44" spans="1:9" x14ac:dyDescent="0.35">
      <c r="A44" s="14">
        <v>45740</v>
      </c>
      <c r="B44" t="s">
        <v>273</v>
      </c>
      <c r="C44" t="s">
        <v>246</v>
      </c>
      <c r="D44" s="1">
        <v>77</v>
      </c>
      <c r="E44" s="1">
        <v>33</v>
      </c>
      <c r="F44" s="2">
        <v>0.42857142857142899</v>
      </c>
      <c r="G44" s="1">
        <v>5</v>
      </c>
      <c r="H44" s="2">
        <v>0.15151515151515199</v>
      </c>
      <c r="I44" s="15">
        <v>6.4935064935064901E-2</v>
      </c>
    </row>
    <row r="45" spans="1:9" x14ac:dyDescent="0.35">
      <c r="A45" s="14">
        <v>45740</v>
      </c>
      <c r="B45" t="s">
        <v>273</v>
      </c>
      <c r="C45" t="s">
        <v>247</v>
      </c>
      <c r="D45" s="1">
        <v>54</v>
      </c>
      <c r="E45" s="1">
        <v>23</v>
      </c>
      <c r="F45" s="2">
        <v>0.42592592592592599</v>
      </c>
      <c r="G45" s="1">
        <v>3</v>
      </c>
      <c r="H45" s="2">
        <v>0.13043478260869601</v>
      </c>
      <c r="I45" s="15">
        <v>5.5555555555555601E-2</v>
      </c>
    </row>
    <row r="46" spans="1:9" x14ac:dyDescent="0.35">
      <c r="A46" s="14">
        <v>45740</v>
      </c>
      <c r="B46" t="s">
        <v>273</v>
      </c>
      <c r="C46" t="s">
        <v>248</v>
      </c>
      <c r="D46" s="1">
        <v>77</v>
      </c>
      <c r="E46" s="1">
        <v>30</v>
      </c>
      <c r="F46" s="2">
        <v>0.38961038961039002</v>
      </c>
      <c r="G46" s="1">
        <v>5</v>
      </c>
      <c r="H46" s="2">
        <v>0.16666666666666699</v>
      </c>
      <c r="I46" s="15">
        <v>6.4935064935064901E-2</v>
      </c>
    </row>
    <row r="47" spans="1:9" x14ac:dyDescent="0.35">
      <c r="A47" s="14">
        <v>45742</v>
      </c>
      <c r="B47" t="s">
        <v>275</v>
      </c>
      <c r="C47" t="s">
        <v>85</v>
      </c>
      <c r="D47" s="1">
        <v>1412</v>
      </c>
      <c r="E47" s="1">
        <v>419</v>
      </c>
      <c r="F47" s="2">
        <v>0.29674220963172798</v>
      </c>
      <c r="G47" s="1">
        <v>39</v>
      </c>
      <c r="H47" s="2">
        <v>9.3078758949880699E-2</v>
      </c>
      <c r="I47" s="15">
        <v>2.7620396600566598E-2</v>
      </c>
    </row>
    <row r="48" spans="1:9" x14ac:dyDescent="0.35">
      <c r="A48" s="14">
        <v>45742</v>
      </c>
      <c r="B48" t="s">
        <v>276</v>
      </c>
      <c r="C48" t="s">
        <v>87</v>
      </c>
      <c r="D48" s="1">
        <v>55</v>
      </c>
      <c r="E48" s="1">
        <v>12</v>
      </c>
      <c r="F48" s="2">
        <v>0.218181818181818</v>
      </c>
      <c r="G48" s="1">
        <v>1</v>
      </c>
      <c r="H48" s="2">
        <v>8.3333333333333301E-2</v>
      </c>
      <c r="I48" s="15">
        <v>1.8181818181818198E-2</v>
      </c>
    </row>
    <row r="49" spans="1:9" x14ac:dyDescent="0.35">
      <c r="A49" s="14">
        <v>45742</v>
      </c>
      <c r="B49" t="s">
        <v>277</v>
      </c>
      <c r="C49" t="s">
        <v>7</v>
      </c>
      <c r="D49" s="1">
        <v>8867</v>
      </c>
      <c r="E49" s="1">
        <v>4419</v>
      </c>
      <c r="F49" s="2">
        <v>0.49836472313070901</v>
      </c>
      <c r="G49" s="1">
        <v>168</v>
      </c>
      <c r="H49" s="2">
        <v>3.8017651052274302E-2</v>
      </c>
      <c r="I49" s="15">
        <v>1.8946656140746601E-2</v>
      </c>
    </row>
    <row r="50" spans="1:9" x14ac:dyDescent="0.35">
      <c r="A50" s="14">
        <v>45742</v>
      </c>
      <c r="B50" t="s">
        <v>278</v>
      </c>
      <c r="C50" t="s">
        <v>7</v>
      </c>
      <c r="D50" s="1">
        <v>790</v>
      </c>
      <c r="E50" s="1">
        <v>391</v>
      </c>
      <c r="F50" s="2">
        <v>0.49493670886075902</v>
      </c>
      <c r="G50" s="1">
        <v>13</v>
      </c>
      <c r="H50" s="2">
        <v>3.32480818414322E-2</v>
      </c>
      <c r="I50" s="15">
        <v>1.6455696202531601E-2</v>
      </c>
    </row>
    <row r="51" spans="1:9" x14ac:dyDescent="0.35">
      <c r="A51" s="14">
        <v>45743</v>
      </c>
      <c r="B51" t="s">
        <v>281</v>
      </c>
      <c r="C51" t="s">
        <v>110</v>
      </c>
      <c r="D51" s="1">
        <v>15838</v>
      </c>
      <c r="E51" s="1">
        <v>5868</v>
      </c>
      <c r="F51" s="2">
        <v>0.37050132592499102</v>
      </c>
      <c r="G51" s="1">
        <v>35</v>
      </c>
      <c r="H51" s="2">
        <v>5.9645535105657798E-3</v>
      </c>
      <c r="I51" s="15">
        <v>2.20987498421518E-3</v>
      </c>
    </row>
    <row r="52" spans="1:9" x14ac:dyDescent="0.35">
      <c r="A52" s="14">
        <v>45743</v>
      </c>
      <c r="B52" t="s">
        <v>281</v>
      </c>
      <c r="C52" t="s">
        <v>90</v>
      </c>
      <c r="D52" s="1">
        <v>302289</v>
      </c>
      <c r="E52" s="1">
        <v>110835</v>
      </c>
      <c r="F52" s="2">
        <v>0.36665244186854301</v>
      </c>
      <c r="G52" s="1">
        <v>926</v>
      </c>
      <c r="H52" s="2">
        <v>8.3547615825325904E-3</v>
      </c>
      <c r="I52" s="15">
        <v>3.0632937354650698E-3</v>
      </c>
    </row>
    <row r="53" spans="1:9" x14ac:dyDescent="0.35">
      <c r="A53" s="14">
        <v>45743</v>
      </c>
      <c r="B53" t="s">
        <v>281</v>
      </c>
      <c r="C53" t="s">
        <v>111</v>
      </c>
      <c r="D53" s="1">
        <v>879</v>
      </c>
      <c r="E53" s="1">
        <v>332</v>
      </c>
      <c r="F53" s="2">
        <v>0.377701934015927</v>
      </c>
      <c r="G53" s="1">
        <v>5</v>
      </c>
      <c r="H53" s="2">
        <v>1.5060240963855401E-2</v>
      </c>
      <c r="I53" s="15">
        <v>5.6882821387940798E-3</v>
      </c>
    </row>
    <row r="54" spans="1:9" x14ac:dyDescent="0.35">
      <c r="A54" s="14">
        <v>45743</v>
      </c>
      <c r="B54" t="s">
        <v>281</v>
      </c>
      <c r="C54" t="s">
        <v>91</v>
      </c>
      <c r="D54" s="1">
        <v>17072</v>
      </c>
      <c r="E54" s="1">
        <v>6149</v>
      </c>
      <c r="F54" s="2">
        <v>0.36018041237113402</v>
      </c>
      <c r="G54" s="1">
        <v>57</v>
      </c>
      <c r="H54" s="2">
        <v>9.2697999674743892E-3</v>
      </c>
      <c r="I54" s="15">
        <v>3.3388003748828499E-3</v>
      </c>
    </row>
    <row r="55" spans="1:9" x14ac:dyDescent="0.35">
      <c r="A55" s="14">
        <v>45743</v>
      </c>
      <c r="B55" t="s">
        <v>282</v>
      </c>
      <c r="C55" t="s">
        <v>283</v>
      </c>
      <c r="D55" s="1">
        <v>178293</v>
      </c>
      <c r="E55" s="1">
        <v>65406</v>
      </c>
      <c r="F55" s="2">
        <v>0.36684558563712499</v>
      </c>
      <c r="G55" s="1">
        <v>1247</v>
      </c>
      <c r="H55" s="2">
        <v>1.9065529156346499E-2</v>
      </c>
      <c r="I55" s="15">
        <v>6.9941052088416302E-3</v>
      </c>
    </row>
    <row r="56" spans="1:9" x14ac:dyDescent="0.35">
      <c r="A56" s="14">
        <v>45743</v>
      </c>
      <c r="B56" t="s">
        <v>282</v>
      </c>
      <c r="C56" t="s">
        <v>284</v>
      </c>
      <c r="D56" s="1">
        <v>178996</v>
      </c>
      <c r="E56" s="1">
        <v>71635</v>
      </c>
      <c r="F56" s="2">
        <v>0.40020447384299102</v>
      </c>
      <c r="G56" s="1">
        <v>746</v>
      </c>
      <c r="H56" s="2">
        <v>1.04139038179661E-2</v>
      </c>
      <c r="I56" s="15">
        <v>4.1676908981206299E-3</v>
      </c>
    </row>
    <row r="57" spans="1:9" ht="16" thickBot="1" x14ac:dyDescent="0.4">
      <c r="A57" s="22" t="s">
        <v>13</v>
      </c>
      <c r="B57" s="4"/>
      <c r="C57" s="4"/>
      <c r="D57" s="19">
        <f>SUM(D39:D56)</f>
        <v>1779575</v>
      </c>
      <c r="E57" s="19">
        <f>SUM(E39:E56)</f>
        <v>676361</v>
      </c>
      <c r="F57" s="20">
        <f>AVERAGE(F39:F56)</f>
        <v>0.38126833054902559</v>
      </c>
      <c r="G57" s="19">
        <f>SUM(G39:G56)</f>
        <v>9436</v>
      </c>
      <c r="H57" s="20">
        <f>AVERAGE(H39:H56)</f>
        <v>4.7554767793912524E-2</v>
      </c>
      <c r="I57" s="21">
        <f>AVERAGE(I39:I56)</f>
        <v>1.815040176360453E-2</v>
      </c>
    </row>
    <row r="58" spans="1:9" ht="3" customHeight="1" thickBot="1" x14ac:dyDescent="0.4"/>
    <row r="59" spans="1:9" x14ac:dyDescent="0.35">
      <c r="A59" s="10" t="s">
        <v>11</v>
      </c>
      <c r="B59" s="11"/>
      <c r="C59" s="11"/>
      <c r="D59" s="11"/>
      <c r="E59" s="11"/>
      <c r="F59" s="11"/>
      <c r="G59" s="11"/>
      <c r="H59" s="11"/>
      <c r="I59" s="12"/>
    </row>
    <row r="60" spans="1:9" x14ac:dyDescent="0.35">
      <c r="A60" s="8">
        <v>45743</v>
      </c>
      <c r="B60" t="s">
        <v>279</v>
      </c>
      <c r="C60" t="s">
        <v>100</v>
      </c>
      <c r="D60" s="1">
        <v>847740</v>
      </c>
      <c r="E60" s="1">
        <v>330128</v>
      </c>
      <c r="F60" s="3">
        <v>0.38940000000000002</v>
      </c>
      <c r="G60">
        <v>979</v>
      </c>
      <c r="H60" s="3">
        <v>3.0000000000000001E-3</v>
      </c>
      <c r="I60" s="9">
        <v>1.1999999999999999E-3</v>
      </c>
    </row>
    <row r="61" spans="1:9" x14ac:dyDescent="0.35">
      <c r="A61" s="8">
        <v>45743</v>
      </c>
      <c r="B61" t="s">
        <v>280</v>
      </c>
      <c r="C61" t="s">
        <v>97</v>
      </c>
      <c r="D61" s="1">
        <v>51890</v>
      </c>
      <c r="E61" s="1">
        <v>19527</v>
      </c>
      <c r="F61" s="3">
        <v>0.37630000000000002</v>
      </c>
      <c r="G61">
        <v>85</v>
      </c>
      <c r="H61" s="3">
        <v>4.4000000000000003E-3</v>
      </c>
      <c r="I61" s="9">
        <v>1.6000000000000001E-3</v>
      </c>
    </row>
    <row r="62" spans="1:9" x14ac:dyDescent="0.35">
      <c r="A62" s="8">
        <v>45743</v>
      </c>
      <c r="B62" t="s">
        <v>252</v>
      </c>
      <c r="C62" t="s">
        <v>92</v>
      </c>
      <c r="D62" s="1">
        <v>196989</v>
      </c>
      <c r="E62" s="1">
        <v>73598</v>
      </c>
      <c r="F62" s="3">
        <v>0.37359999999999999</v>
      </c>
      <c r="G62">
        <v>216</v>
      </c>
      <c r="H62" s="3">
        <v>2.8999999999999998E-3</v>
      </c>
      <c r="I62" s="9">
        <v>1.1000000000000001E-3</v>
      </c>
    </row>
    <row r="63" spans="1:9" x14ac:dyDescent="0.35">
      <c r="A63" s="8">
        <v>45743</v>
      </c>
      <c r="B63" t="s">
        <v>253</v>
      </c>
      <c r="C63" t="s">
        <v>93</v>
      </c>
      <c r="D63" s="1">
        <v>10976</v>
      </c>
      <c r="E63" s="1">
        <v>4477</v>
      </c>
      <c r="F63" s="3">
        <v>0.40789999999999998</v>
      </c>
      <c r="G63">
        <v>12</v>
      </c>
      <c r="H63" s="3">
        <v>2.7000000000000001E-3</v>
      </c>
      <c r="I63" s="9">
        <v>1.1000000000000001E-3</v>
      </c>
    </row>
    <row r="64" spans="1:9" ht="16" thickBot="1" x14ac:dyDescent="0.4">
      <c r="A64" s="22" t="s">
        <v>13</v>
      </c>
      <c r="B64" s="4"/>
      <c r="C64" s="4"/>
      <c r="D64" s="19">
        <f>SUM(D60:D63)</f>
        <v>1107595</v>
      </c>
      <c r="E64" s="19">
        <f>SUM(E60:E63)</f>
        <v>427730</v>
      </c>
      <c r="F64" s="20">
        <f>AVERAGE(F60:F63)</f>
        <v>0.38679999999999998</v>
      </c>
      <c r="G64" s="19">
        <f>SUM(G60:G63)</f>
        <v>1292</v>
      </c>
      <c r="H64" s="20">
        <f>AVERAGE(H60:H63)</f>
        <v>3.2500000000000003E-3</v>
      </c>
      <c r="I64" s="21">
        <f>AVERAGE(I60:I63)</f>
        <v>1.25E-3</v>
      </c>
    </row>
  </sheetData>
  <mergeCells count="2">
    <mergeCell ref="A29:I29"/>
    <mergeCell ref="A37:I37"/>
  </mergeCells>
  <pageMargins left="0.7" right="0.7" top="0.75" bottom="0.75" header="0.3" footer="0.3"/>
  <ignoredErrors>
    <ignoredError sqref="F64:G64 F57:G57 F36:G36 F28:G28" formula="1"/>
  </ignoredErrors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5609-50B4-4E76-9C41-9DAB2D4BA0A3}">
  <dimension ref="A1:I54"/>
  <sheetViews>
    <sheetView topLeftCell="A18"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45744</v>
      </c>
      <c r="B2" t="s">
        <v>286</v>
      </c>
      <c r="C2" t="s">
        <v>7</v>
      </c>
      <c r="D2" s="1">
        <v>4875832</v>
      </c>
      <c r="E2" s="1">
        <v>1452897</v>
      </c>
      <c r="F2" s="2">
        <v>0.297979298712507</v>
      </c>
      <c r="G2" s="1">
        <v>16693</v>
      </c>
      <c r="H2" s="2">
        <v>1.1489458647103001E-2</v>
      </c>
      <c r="I2" s="2">
        <v>3.4236208302501001E-3</v>
      </c>
    </row>
    <row r="3" spans="1:9" x14ac:dyDescent="0.35">
      <c r="A3" s="13">
        <v>45744</v>
      </c>
      <c r="B3" t="s">
        <v>286</v>
      </c>
      <c r="C3" t="s">
        <v>8</v>
      </c>
      <c r="D3" s="1">
        <v>312201</v>
      </c>
      <c r="E3" s="1">
        <v>97596</v>
      </c>
      <c r="F3" s="2">
        <v>0.31260630170947601</v>
      </c>
      <c r="G3" s="1">
        <v>1311</v>
      </c>
      <c r="H3" s="2">
        <v>1.3432927578999099E-2</v>
      </c>
      <c r="I3" s="2">
        <v>4.1992178116021404E-3</v>
      </c>
    </row>
    <row r="4" spans="1:9" x14ac:dyDescent="0.35">
      <c r="A4" s="13">
        <v>45744</v>
      </c>
      <c r="B4" t="s">
        <v>287</v>
      </c>
      <c r="C4" t="s">
        <v>246</v>
      </c>
      <c r="D4" s="1">
        <v>291</v>
      </c>
      <c r="E4" s="1">
        <v>114</v>
      </c>
      <c r="F4" s="2">
        <v>0.39175257731958801</v>
      </c>
      <c r="G4" s="1">
        <v>9</v>
      </c>
      <c r="H4" s="2">
        <v>7.8947368421052599E-2</v>
      </c>
      <c r="I4" s="2">
        <v>3.09278350515464E-2</v>
      </c>
    </row>
    <row r="5" spans="1:9" x14ac:dyDescent="0.35">
      <c r="A5" s="13">
        <v>45744</v>
      </c>
      <c r="B5" t="s">
        <v>287</v>
      </c>
      <c r="C5" t="s">
        <v>247</v>
      </c>
      <c r="D5" s="1">
        <v>261</v>
      </c>
      <c r="E5" s="1">
        <v>107</v>
      </c>
      <c r="F5" s="2">
        <v>0.40996168582375497</v>
      </c>
      <c r="G5" s="1">
        <v>6</v>
      </c>
      <c r="H5" s="2">
        <v>5.60747663551402E-2</v>
      </c>
      <c r="I5" s="2">
        <v>2.2988505747126398E-2</v>
      </c>
    </row>
    <row r="6" spans="1:9" x14ac:dyDescent="0.35">
      <c r="A6" s="13">
        <v>45744</v>
      </c>
      <c r="B6" t="s">
        <v>287</v>
      </c>
      <c r="C6" t="s">
        <v>248</v>
      </c>
      <c r="D6" s="1">
        <v>271</v>
      </c>
      <c r="E6" s="1">
        <v>103</v>
      </c>
      <c r="F6" s="2">
        <v>0.38007380073800701</v>
      </c>
      <c r="G6" s="1">
        <v>7</v>
      </c>
      <c r="H6" s="2">
        <v>6.7961165048543701E-2</v>
      </c>
      <c r="I6" s="2">
        <v>2.5830258302582999E-2</v>
      </c>
    </row>
    <row r="7" spans="1:9" x14ac:dyDescent="0.35">
      <c r="A7" s="13">
        <v>45748</v>
      </c>
      <c r="B7" t="s">
        <v>288</v>
      </c>
      <c r="C7" t="s">
        <v>7</v>
      </c>
      <c r="D7" s="1">
        <v>1405612</v>
      </c>
      <c r="E7" s="1">
        <v>449535</v>
      </c>
      <c r="F7" s="2">
        <v>0.31981442958654299</v>
      </c>
      <c r="G7" s="1">
        <v>8195</v>
      </c>
      <c r="H7" s="2">
        <v>1.8229948724793402E-2</v>
      </c>
      <c r="I7" s="2">
        <v>5.8302006528117298E-3</v>
      </c>
    </row>
    <row r="8" spans="1:9" x14ac:dyDescent="0.35">
      <c r="A8" s="13">
        <v>45748</v>
      </c>
      <c r="B8" t="s">
        <v>288</v>
      </c>
      <c r="C8" t="s">
        <v>8</v>
      </c>
      <c r="D8" s="1">
        <v>88710</v>
      </c>
      <c r="E8" s="1">
        <v>29567</v>
      </c>
      <c r="F8" s="2">
        <v>0.33329951527448998</v>
      </c>
      <c r="G8" s="1">
        <v>783</v>
      </c>
      <c r="H8" s="2">
        <v>2.64822268069131E-2</v>
      </c>
      <c r="I8" s="2">
        <v>8.8265133581332395E-3</v>
      </c>
    </row>
    <row r="9" spans="1:9" x14ac:dyDescent="0.35">
      <c r="A9" s="13">
        <v>45748</v>
      </c>
      <c r="B9" t="s">
        <v>289</v>
      </c>
      <c r="C9" t="s">
        <v>7</v>
      </c>
      <c r="D9" s="1">
        <v>293901</v>
      </c>
      <c r="E9" s="1">
        <v>114179</v>
      </c>
      <c r="F9" s="2">
        <v>0.388494765244079</v>
      </c>
      <c r="G9" s="1">
        <v>1671</v>
      </c>
      <c r="H9" s="2">
        <v>1.46349153522101E-2</v>
      </c>
      <c r="I9" s="2">
        <v>5.6855880041238403E-3</v>
      </c>
    </row>
    <row r="10" spans="1:9" x14ac:dyDescent="0.35">
      <c r="A10" s="13">
        <v>45748</v>
      </c>
      <c r="B10" t="s">
        <v>289</v>
      </c>
      <c r="C10" t="s">
        <v>8</v>
      </c>
      <c r="D10" s="1">
        <v>1110</v>
      </c>
      <c r="E10" s="1">
        <v>501</v>
      </c>
      <c r="F10" s="2">
        <v>0.45135135135135102</v>
      </c>
      <c r="G10" s="1">
        <v>12</v>
      </c>
      <c r="H10" s="2">
        <v>2.39520958083832E-2</v>
      </c>
      <c r="I10" s="2">
        <v>1.0810810810810799E-2</v>
      </c>
    </row>
    <row r="11" spans="1:9" x14ac:dyDescent="0.35">
      <c r="A11" s="13">
        <v>45748</v>
      </c>
      <c r="B11" t="s">
        <v>290</v>
      </c>
      <c r="C11" t="s">
        <v>7</v>
      </c>
      <c r="D11" s="1">
        <v>79940</v>
      </c>
      <c r="E11" s="1">
        <v>19339</v>
      </c>
      <c r="F11" s="2">
        <v>0.24191893920440299</v>
      </c>
      <c r="G11" s="1">
        <v>431</v>
      </c>
      <c r="H11" s="2">
        <v>2.2286571177413499E-2</v>
      </c>
      <c r="I11" s="2">
        <v>5.3915436577433098E-3</v>
      </c>
    </row>
    <row r="12" spans="1:9" x14ac:dyDescent="0.35">
      <c r="A12" s="13">
        <v>45749</v>
      </c>
      <c r="B12" t="s">
        <v>291</v>
      </c>
      <c r="C12" t="s">
        <v>7</v>
      </c>
      <c r="D12" s="1">
        <v>65796</v>
      </c>
      <c r="E12" s="1">
        <v>22525</v>
      </c>
      <c r="F12" s="2">
        <v>0.34234603927290402</v>
      </c>
      <c r="G12" s="1">
        <v>855</v>
      </c>
      <c r="H12" s="2">
        <v>3.7957824639289699E-2</v>
      </c>
      <c r="I12" s="2">
        <v>1.29947109246763E-2</v>
      </c>
    </row>
    <row r="13" spans="1:9" x14ac:dyDescent="0.35">
      <c r="A13" s="13">
        <v>45749</v>
      </c>
      <c r="B13" t="s">
        <v>291</v>
      </c>
      <c r="C13" t="s">
        <v>8</v>
      </c>
      <c r="D13" s="1">
        <v>3971</v>
      </c>
      <c r="E13" s="1">
        <v>1627</v>
      </c>
      <c r="F13" s="2">
        <v>0.40972047343238499</v>
      </c>
      <c r="G13" s="1">
        <v>62</v>
      </c>
      <c r="H13" s="2">
        <v>3.8106945298094601E-2</v>
      </c>
      <c r="I13" s="2">
        <v>1.5613195668597301E-2</v>
      </c>
    </row>
    <row r="14" spans="1:9" x14ac:dyDescent="0.35">
      <c r="A14" s="13">
        <v>45749</v>
      </c>
      <c r="B14" t="s">
        <v>292</v>
      </c>
      <c r="C14" t="s">
        <v>85</v>
      </c>
      <c r="D14" s="1">
        <v>427</v>
      </c>
      <c r="E14" s="1">
        <v>158</v>
      </c>
      <c r="F14" s="2">
        <v>0.37002341920374698</v>
      </c>
      <c r="G14" s="1">
        <v>22</v>
      </c>
      <c r="H14" s="2">
        <v>0.139240506329114</v>
      </c>
      <c r="I14" s="2">
        <v>5.15222482435597E-2</v>
      </c>
    </row>
    <row r="15" spans="1:9" x14ac:dyDescent="0.35">
      <c r="A15" s="13">
        <v>45749</v>
      </c>
      <c r="B15" t="s">
        <v>294</v>
      </c>
      <c r="C15" t="s">
        <v>87</v>
      </c>
      <c r="D15" s="1">
        <v>42</v>
      </c>
      <c r="E15" s="1">
        <v>13</v>
      </c>
      <c r="F15" s="2">
        <v>0.30952380952380998</v>
      </c>
      <c r="G15" s="1">
        <v>3</v>
      </c>
      <c r="H15" s="2">
        <v>0.230769230769231</v>
      </c>
      <c r="I15" s="2">
        <v>7.1428571428571397E-2</v>
      </c>
    </row>
    <row r="16" spans="1:9" x14ac:dyDescent="0.35">
      <c r="A16" s="13">
        <v>45749</v>
      </c>
      <c r="B16" t="s">
        <v>293</v>
      </c>
      <c r="C16" t="s">
        <v>7</v>
      </c>
      <c r="D16" s="1">
        <v>32473</v>
      </c>
      <c r="E16" s="1">
        <v>12851</v>
      </c>
      <c r="F16" s="2">
        <v>0.39574415668401403</v>
      </c>
      <c r="G16" s="1">
        <v>438</v>
      </c>
      <c r="H16" s="2">
        <v>3.4082950743132799E-2</v>
      </c>
      <c r="I16" s="2">
        <v>1.34881285991439E-2</v>
      </c>
    </row>
    <row r="17" spans="1:9" x14ac:dyDescent="0.35">
      <c r="A17" s="13">
        <v>45750</v>
      </c>
      <c r="B17" t="s">
        <v>279</v>
      </c>
      <c r="C17" t="s">
        <v>17</v>
      </c>
      <c r="D17" s="1">
        <v>837994</v>
      </c>
      <c r="E17" s="1">
        <v>322139</v>
      </c>
      <c r="F17" s="3">
        <v>0.38440000000000002</v>
      </c>
      <c r="G17">
        <v>819</v>
      </c>
      <c r="H17" s="3">
        <v>2.5000000000000001E-3</v>
      </c>
      <c r="I17" s="3">
        <v>1E-3</v>
      </c>
    </row>
    <row r="18" spans="1:9" x14ac:dyDescent="0.35">
      <c r="A18" s="13">
        <v>45750</v>
      </c>
      <c r="B18" t="s">
        <v>280</v>
      </c>
      <c r="C18" t="s">
        <v>18</v>
      </c>
      <c r="D18" s="1">
        <v>51188</v>
      </c>
      <c r="E18" s="1">
        <v>18876</v>
      </c>
      <c r="F18" s="3">
        <v>0.36880000000000002</v>
      </c>
      <c r="G18">
        <v>73</v>
      </c>
      <c r="H18" s="3">
        <v>3.8999999999999998E-3</v>
      </c>
      <c r="I18" s="3">
        <v>1.4E-3</v>
      </c>
    </row>
    <row r="19" spans="1:9" x14ac:dyDescent="0.35">
      <c r="A19" s="13">
        <v>45750</v>
      </c>
      <c r="B19" t="s">
        <v>295</v>
      </c>
      <c r="C19" t="s">
        <v>296</v>
      </c>
      <c r="D19" s="1">
        <v>329884</v>
      </c>
      <c r="E19" s="1">
        <v>121950</v>
      </c>
      <c r="F19" s="3">
        <v>0.36969999999999997</v>
      </c>
      <c r="G19">
        <v>309</v>
      </c>
      <c r="H19" s="3">
        <v>2.5000000000000001E-3</v>
      </c>
      <c r="I19" s="3">
        <v>8.9999999999999998E-4</v>
      </c>
    </row>
    <row r="20" spans="1:9" x14ac:dyDescent="0.35">
      <c r="A20" s="13">
        <v>45750</v>
      </c>
      <c r="B20" t="s">
        <v>297</v>
      </c>
      <c r="C20" t="s">
        <v>298</v>
      </c>
      <c r="D20" s="1">
        <v>23110</v>
      </c>
      <c r="E20" s="1">
        <v>8419</v>
      </c>
      <c r="F20" s="3">
        <v>0.36430000000000001</v>
      </c>
      <c r="G20">
        <v>28</v>
      </c>
      <c r="H20" s="3">
        <v>3.3E-3</v>
      </c>
      <c r="I20" s="3">
        <v>1.1999999999999999E-3</v>
      </c>
    </row>
    <row r="21" spans="1:9" x14ac:dyDescent="0.35">
      <c r="A21" s="13">
        <v>45750</v>
      </c>
      <c r="B21" t="s">
        <v>299</v>
      </c>
      <c r="C21" t="s">
        <v>283</v>
      </c>
      <c r="D21" s="1">
        <v>55125</v>
      </c>
      <c r="E21" s="1">
        <v>17242</v>
      </c>
      <c r="F21" s="2">
        <v>0.31278004535147402</v>
      </c>
      <c r="G21" s="1">
        <v>120</v>
      </c>
      <c r="H21" s="2">
        <v>6.9597494490198399E-3</v>
      </c>
      <c r="I21" s="2">
        <v>2.1768707482993201E-3</v>
      </c>
    </row>
    <row r="22" spans="1:9" x14ac:dyDescent="0.35">
      <c r="A22" s="13">
        <v>45750</v>
      </c>
      <c r="B22" t="s">
        <v>299</v>
      </c>
      <c r="C22" t="s">
        <v>284</v>
      </c>
      <c r="D22" s="1">
        <v>54920</v>
      </c>
      <c r="E22" s="1">
        <v>17340</v>
      </c>
      <c r="F22" s="2">
        <v>0.31573197378004397</v>
      </c>
      <c r="G22" s="1">
        <v>111</v>
      </c>
      <c r="H22" s="2">
        <v>6.4013840830449802E-3</v>
      </c>
      <c r="I22" s="2">
        <v>2.02112163146395E-3</v>
      </c>
    </row>
    <row r="23" spans="1:9" ht="16" thickBot="1" x14ac:dyDescent="0.4">
      <c r="A23" s="23" t="s">
        <v>13</v>
      </c>
      <c r="D23" s="17">
        <f>SUM(D2:D22)</f>
        <v>8513059</v>
      </c>
      <c r="E23" s="17">
        <f>SUM(E2:E22)</f>
        <v>2707078</v>
      </c>
      <c r="F23" s="18">
        <f>AVERAGE(F2:F22)</f>
        <v>0.35572964677202745</v>
      </c>
      <c r="G23" s="17">
        <f>SUM(G2:G22)</f>
        <v>31958</v>
      </c>
      <c r="H23" s="18">
        <f>AVERAGE(H2:H22)</f>
        <v>3.9962382630070424E-2</v>
      </c>
      <c r="I23" s="18">
        <f>AVERAGE(I2:I22)</f>
        <v>1.4174235308144894E-2</v>
      </c>
    </row>
    <row r="24" spans="1:9" ht="15" thickBot="1" x14ac:dyDescent="0.4">
      <c r="A24" s="123" t="s">
        <v>19</v>
      </c>
      <c r="B24" s="123"/>
      <c r="C24" s="123"/>
      <c r="D24" s="123"/>
      <c r="E24" s="123"/>
      <c r="F24" s="123"/>
      <c r="G24" s="123"/>
      <c r="H24" s="123"/>
      <c r="I24" s="123"/>
    </row>
    <row r="25" spans="1:9" ht="15.5" x14ac:dyDescent="0.35">
      <c r="A25" s="24" t="s">
        <v>9</v>
      </c>
      <c r="B25" s="25" t="s">
        <v>0</v>
      </c>
      <c r="C25" s="25" t="s">
        <v>16</v>
      </c>
      <c r="D25" s="25" t="s">
        <v>1</v>
      </c>
      <c r="E25" s="25" t="s">
        <v>2</v>
      </c>
      <c r="F25" s="25" t="s">
        <v>3</v>
      </c>
      <c r="G25" s="25" t="s">
        <v>4</v>
      </c>
      <c r="H25" s="25" t="s">
        <v>5</v>
      </c>
      <c r="I25" s="26" t="s">
        <v>6</v>
      </c>
    </row>
    <row r="26" spans="1:9" x14ac:dyDescent="0.35">
      <c r="A26" s="5" t="s">
        <v>12</v>
      </c>
      <c r="B26" s="6"/>
      <c r="C26" s="6"/>
      <c r="D26" s="6"/>
      <c r="E26" s="6"/>
      <c r="F26" s="6"/>
      <c r="G26" s="6"/>
      <c r="H26" s="6"/>
      <c r="I26" s="7"/>
    </row>
    <row r="27" spans="1:9" x14ac:dyDescent="0.35">
      <c r="A27" s="14">
        <v>45744</v>
      </c>
      <c r="B27" t="s">
        <v>286</v>
      </c>
      <c r="C27" t="s">
        <v>7</v>
      </c>
      <c r="D27" s="1">
        <v>4875832</v>
      </c>
      <c r="E27" s="1">
        <v>1452897</v>
      </c>
      <c r="F27" s="2">
        <v>0.297979298712507</v>
      </c>
      <c r="G27" s="1">
        <v>16693</v>
      </c>
      <c r="H27" s="2">
        <v>1.1489458647103001E-2</v>
      </c>
      <c r="I27" s="15">
        <v>3.4236208302501001E-3</v>
      </c>
    </row>
    <row r="28" spans="1:9" x14ac:dyDescent="0.35">
      <c r="A28" s="14">
        <v>45744</v>
      </c>
      <c r="B28" t="s">
        <v>286</v>
      </c>
      <c r="C28" t="s">
        <v>8</v>
      </c>
      <c r="D28" s="1">
        <v>312201</v>
      </c>
      <c r="E28" s="1">
        <v>97596</v>
      </c>
      <c r="F28" s="2">
        <v>0.31260630170947601</v>
      </c>
      <c r="G28" s="1">
        <v>1311</v>
      </c>
      <c r="H28" s="2">
        <v>1.3432927578999099E-2</v>
      </c>
      <c r="I28" s="15">
        <v>4.1992178116021404E-3</v>
      </c>
    </row>
    <row r="29" spans="1:9" x14ac:dyDescent="0.35">
      <c r="A29" s="14">
        <v>45748</v>
      </c>
      <c r="B29" t="s">
        <v>288</v>
      </c>
      <c r="C29" t="s">
        <v>7</v>
      </c>
      <c r="D29" s="1">
        <v>1405612</v>
      </c>
      <c r="E29" s="1">
        <v>449535</v>
      </c>
      <c r="F29" s="2">
        <v>0.31981442958654299</v>
      </c>
      <c r="G29" s="1">
        <v>8195</v>
      </c>
      <c r="H29" s="2">
        <v>1.8229948724793402E-2</v>
      </c>
      <c r="I29" s="15">
        <v>5.8302006528117298E-3</v>
      </c>
    </row>
    <row r="30" spans="1:9" x14ac:dyDescent="0.35">
      <c r="A30" s="14">
        <v>45748</v>
      </c>
      <c r="B30" t="s">
        <v>288</v>
      </c>
      <c r="C30" t="s">
        <v>8</v>
      </c>
      <c r="D30" s="1">
        <v>88710</v>
      </c>
      <c r="E30" s="1">
        <v>29567</v>
      </c>
      <c r="F30" s="2">
        <v>0.33329951527448998</v>
      </c>
      <c r="G30" s="1">
        <v>783</v>
      </c>
      <c r="H30" s="2">
        <v>2.64822268069131E-2</v>
      </c>
      <c r="I30" s="15">
        <v>8.8265133581332395E-3</v>
      </c>
    </row>
    <row r="31" spans="1:9" ht="16" thickBot="1" x14ac:dyDescent="0.4">
      <c r="A31" s="22" t="s">
        <v>13</v>
      </c>
      <c r="B31" s="4"/>
      <c r="C31" s="4"/>
      <c r="D31" s="19">
        <f>SUM(D27:D30)</f>
        <v>6682355</v>
      </c>
      <c r="E31" s="19">
        <f>SUM(E27:E30)</f>
        <v>2029595</v>
      </c>
      <c r="F31" s="20">
        <f>AVERAGE(F27:F30)</f>
        <v>0.31592488632075399</v>
      </c>
      <c r="G31" s="19">
        <f>SUM(G27:G30)</f>
        <v>26982</v>
      </c>
      <c r="H31" s="20">
        <f>AVERAGE(H27:H30)</f>
        <v>1.7408640439452151E-2</v>
      </c>
      <c r="I31" s="21">
        <f>AVERAGE(I27:I30)</f>
        <v>5.5698881631993024E-3</v>
      </c>
    </row>
    <row r="32" spans="1:9" ht="3" customHeight="1" thickBot="1" x14ac:dyDescent="0.4">
      <c r="A32" s="127"/>
      <c r="B32" s="128"/>
      <c r="C32" s="128"/>
      <c r="D32" s="128"/>
      <c r="E32" s="128"/>
      <c r="F32" s="128"/>
      <c r="G32" s="128"/>
      <c r="H32" s="128"/>
      <c r="I32" s="129"/>
    </row>
    <row r="33" spans="1:9" x14ac:dyDescent="0.35">
      <c r="A33" s="10" t="s">
        <v>216</v>
      </c>
      <c r="B33" s="11"/>
      <c r="C33" s="11"/>
      <c r="D33" s="11"/>
      <c r="E33" s="11"/>
      <c r="F33" s="11"/>
      <c r="G33" s="11"/>
      <c r="H33" s="11"/>
      <c r="I33" s="12"/>
    </row>
    <row r="34" spans="1:9" x14ac:dyDescent="0.35">
      <c r="A34" s="14">
        <v>45744</v>
      </c>
      <c r="B34" t="s">
        <v>287</v>
      </c>
      <c r="C34" t="s">
        <v>246</v>
      </c>
      <c r="D34" s="1">
        <v>291</v>
      </c>
      <c r="E34" s="1">
        <v>114</v>
      </c>
      <c r="F34" s="2">
        <v>0.39175257731958801</v>
      </c>
      <c r="G34" s="1">
        <v>9</v>
      </c>
      <c r="H34" s="2">
        <v>7.8947368421052599E-2</v>
      </c>
      <c r="I34" s="15">
        <v>3.09278350515464E-2</v>
      </c>
    </row>
    <row r="35" spans="1:9" x14ac:dyDescent="0.35">
      <c r="A35" s="14">
        <v>45744</v>
      </c>
      <c r="B35" t="s">
        <v>287</v>
      </c>
      <c r="C35" t="s">
        <v>247</v>
      </c>
      <c r="D35" s="1">
        <v>261</v>
      </c>
      <c r="E35" s="1">
        <v>107</v>
      </c>
      <c r="F35" s="2">
        <v>0.40996168582375497</v>
      </c>
      <c r="G35" s="1">
        <v>6</v>
      </c>
      <c r="H35" s="2">
        <v>5.60747663551402E-2</v>
      </c>
      <c r="I35" s="15">
        <v>2.2988505747126398E-2</v>
      </c>
    </row>
    <row r="36" spans="1:9" x14ac:dyDescent="0.35">
      <c r="A36" s="14">
        <v>45744</v>
      </c>
      <c r="B36" t="s">
        <v>287</v>
      </c>
      <c r="C36" t="s">
        <v>248</v>
      </c>
      <c r="D36" s="1">
        <v>271</v>
      </c>
      <c r="E36" s="1">
        <v>103</v>
      </c>
      <c r="F36" s="2">
        <v>0.38007380073800701</v>
      </c>
      <c r="G36" s="1">
        <v>7</v>
      </c>
      <c r="H36" s="2">
        <v>6.7961165048543701E-2</v>
      </c>
      <c r="I36" s="15">
        <v>2.5830258302582999E-2</v>
      </c>
    </row>
    <row r="37" spans="1:9" x14ac:dyDescent="0.35">
      <c r="A37" s="14">
        <v>45748</v>
      </c>
      <c r="B37" t="s">
        <v>289</v>
      </c>
      <c r="C37" t="s">
        <v>7</v>
      </c>
      <c r="D37" s="1">
        <v>293901</v>
      </c>
      <c r="E37" s="1">
        <v>114179</v>
      </c>
      <c r="F37" s="2">
        <v>0.388494765244079</v>
      </c>
      <c r="G37" s="1">
        <v>1671</v>
      </c>
      <c r="H37" s="2">
        <v>1.46349153522101E-2</v>
      </c>
      <c r="I37" s="15">
        <v>5.6855880041238403E-3</v>
      </c>
    </row>
    <row r="38" spans="1:9" x14ac:dyDescent="0.35">
      <c r="A38" s="14">
        <v>45748</v>
      </c>
      <c r="B38" t="s">
        <v>289</v>
      </c>
      <c r="C38" t="s">
        <v>8</v>
      </c>
      <c r="D38" s="1">
        <v>1110</v>
      </c>
      <c r="E38" s="1">
        <v>501</v>
      </c>
      <c r="F38" s="2">
        <v>0.45135135135135102</v>
      </c>
      <c r="G38" s="1">
        <v>12</v>
      </c>
      <c r="H38" s="2">
        <v>2.39520958083832E-2</v>
      </c>
      <c r="I38" s="15">
        <v>1.0810810810810799E-2</v>
      </c>
    </row>
    <row r="39" spans="1:9" x14ac:dyDescent="0.35">
      <c r="A39" s="14">
        <v>45748</v>
      </c>
      <c r="B39" t="s">
        <v>290</v>
      </c>
      <c r="C39" t="s">
        <v>7</v>
      </c>
      <c r="D39" s="1">
        <v>79940</v>
      </c>
      <c r="E39" s="1">
        <v>19339</v>
      </c>
      <c r="F39" s="2">
        <v>0.24191893920440299</v>
      </c>
      <c r="G39" s="1">
        <v>431</v>
      </c>
      <c r="H39" s="2">
        <v>2.2286571177413499E-2</v>
      </c>
      <c r="I39" s="15">
        <v>5.3915436577433098E-3</v>
      </c>
    </row>
    <row r="40" spans="1:9" x14ac:dyDescent="0.35">
      <c r="A40" s="14">
        <v>45749</v>
      </c>
      <c r="B40" t="s">
        <v>291</v>
      </c>
      <c r="C40" t="s">
        <v>7</v>
      </c>
      <c r="D40" s="1">
        <v>65796</v>
      </c>
      <c r="E40" s="1">
        <v>22525</v>
      </c>
      <c r="F40" s="2">
        <v>0.34234603927290402</v>
      </c>
      <c r="G40" s="1">
        <v>855</v>
      </c>
      <c r="H40" s="2">
        <v>3.7957824639289699E-2</v>
      </c>
      <c r="I40" s="15">
        <v>1.29947109246763E-2</v>
      </c>
    </row>
    <row r="41" spans="1:9" x14ac:dyDescent="0.35">
      <c r="A41" s="14">
        <v>45749</v>
      </c>
      <c r="B41" t="s">
        <v>291</v>
      </c>
      <c r="C41" t="s">
        <v>8</v>
      </c>
      <c r="D41" s="1">
        <v>3971</v>
      </c>
      <c r="E41" s="1">
        <v>1627</v>
      </c>
      <c r="F41" s="2">
        <v>0.40972047343238499</v>
      </c>
      <c r="G41" s="1">
        <v>62</v>
      </c>
      <c r="H41" s="2">
        <v>3.8106945298094601E-2</v>
      </c>
      <c r="I41" s="15">
        <v>1.5613195668597301E-2</v>
      </c>
    </row>
    <row r="42" spans="1:9" x14ac:dyDescent="0.35">
      <c r="A42" s="14">
        <v>45749</v>
      </c>
      <c r="B42" t="s">
        <v>292</v>
      </c>
      <c r="C42" t="s">
        <v>85</v>
      </c>
      <c r="D42" s="1">
        <v>427</v>
      </c>
      <c r="E42" s="1">
        <v>158</v>
      </c>
      <c r="F42" s="2">
        <v>0.37002341920374698</v>
      </c>
      <c r="G42" s="1">
        <v>22</v>
      </c>
      <c r="H42" s="2">
        <v>0.139240506329114</v>
      </c>
      <c r="I42" s="15">
        <v>5.15222482435597E-2</v>
      </c>
    </row>
    <row r="43" spans="1:9" x14ac:dyDescent="0.35">
      <c r="A43" s="14">
        <v>45749</v>
      </c>
      <c r="B43" t="s">
        <v>294</v>
      </c>
      <c r="C43" t="s">
        <v>87</v>
      </c>
      <c r="D43" s="1">
        <v>42</v>
      </c>
      <c r="E43" s="1">
        <v>13</v>
      </c>
      <c r="F43" s="2">
        <v>0.30952380952380998</v>
      </c>
      <c r="G43" s="1">
        <v>3</v>
      </c>
      <c r="H43" s="2">
        <v>0.230769230769231</v>
      </c>
      <c r="I43" s="15">
        <v>7.1428571428571397E-2</v>
      </c>
    </row>
    <row r="44" spans="1:9" x14ac:dyDescent="0.35">
      <c r="A44" s="14">
        <v>45749</v>
      </c>
      <c r="B44" t="s">
        <v>293</v>
      </c>
      <c r="C44" t="s">
        <v>7</v>
      </c>
      <c r="D44" s="1">
        <v>32473</v>
      </c>
      <c r="E44" s="1">
        <v>12851</v>
      </c>
      <c r="F44" s="2">
        <v>0.39574415668401403</v>
      </c>
      <c r="G44" s="1">
        <v>438</v>
      </c>
      <c r="H44" s="2">
        <v>3.4082950743132799E-2</v>
      </c>
      <c r="I44" s="15">
        <v>1.34881285991439E-2</v>
      </c>
    </row>
    <row r="45" spans="1:9" x14ac:dyDescent="0.35">
      <c r="A45" s="14">
        <v>45750</v>
      </c>
      <c r="B45" t="s">
        <v>299</v>
      </c>
      <c r="C45" t="s">
        <v>283</v>
      </c>
      <c r="D45" s="1">
        <v>55125</v>
      </c>
      <c r="E45" s="1">
        <v>17242</v>
      </c>
      <c r="F45" s="2">
        <v>0.31278004535147402</v>
      </c>
      <c r="G45" s="1">
        <v>120</v>
      </c>
      <c r="H45" s="2">
        <v>6.9597494490198399E-3</v>
      </c>
      <c r="I45" s="15">
        <v>2.1768707482993201E-3</v>
      </c>
    </row>
    <row r="46" spans="1:9" x14ac:dyDescent="0.35">
      <c r="A46" s="14">
        <v>45750</v>
      </c>
      <c r="B46" t="s">
        <v>299</v>
      </c>
      <c r="C46" t="s">
        <v>284</v>
      </c>
      <c r="D46" s="1">
        <v>54920</v>
      </c>
      <c r="E46" s="1">
        <v>17340</v>
      </c>
      <c r="F46" s="2">
        <v>0.31573197378004397</v>
      </c>
      <c r="G46" s="1">
        <v>111</v>
      </c>
      <c r="H46" s="2">
        <v>6.4013840830449802E-3</v>
      </c>
      <c r="I46" s="15">
        <v>2.02112163146395E-3</v>
      </c>
    </row>
    <row r="47" spans="1:9" ht="16" thickBot="1" x14ac:dyDescent="0.4">
      <c r="A47" s="22" t="s">
        <v>13</v>
      </c>
      <c r="B47" s="4"/>
      <c r="C47" s="4"/>
      <c r="D47" s="19">
        <f>SUM(D34:D46)</f>
        <v>588528</v>
      </c>
      <c r="E47" s="19">
        <f>SUM(E34:E46)</f>
        <v>206099</v>
      </c>
      <c r="F47" s="20">
        <f>AVERAGE(F34:F46)</f>
        <v>0.36303254130227391</v>
      </c>
      <c r="G47" s="19">
        <f>SUM(G34:G46)</f>
        <v>3747</v>
      </c>
      <c r="H47" s="20">
        <f>AVERAGE(H34:H46)</f>
        <v>5.8259651805666952E-2</v>
      </c>
      <c r="I47" s="21">
        <f>AVERAGE(I34:I46)</f>
        <v>2.0836876062941972E-2</v>
      </c>
    </row>
    <row r="48" spans="1:9" ht="3" customHeight="1" thickBot="1" x14ac:dyDescent="0.4"/>
    <row r="49" spans="1:9" x14ac:dyDescent="0.35">
      <c r="A49" s="10" t="s">
        <v>11</v>
      </c>
      <c r="B49" s="11"/>
      <c r="C49" s="11"/>
      <c r="D49" s="11"/>
      <c r="E49" s="11"/>
      <c r="F49" s="11"/>
      <c r="G49" s="11"/>
      <c r="H49" s="11"/>
      <c r="I49" s="12"/>
    </row>
    <row r="50" spans="1:9" x14ac:dyDescent="0.35">
      <c r="A50" s="14">
        <v>45750</v>
      </c>
      <c r="B50" t="s">
        <v>279</v>
      </c>
      <c r="C50" t="s">
        <v>17</v>
      </c>
      <c r="D50" s="1">
        <v>837994</v>
      </c>
      <c r="E50" s="1">
        <v>322139</v>
      </c>
      <c r="F50" s="3">
        <v>0.38440000000000002</v>
      </c>
      <c r="G50">
        <v>819</v>
      </c>
      <c r="H50" s="3">
        <v>2.5000000000000001E-3</v>
      </c>
      <c r="I50" s="16">
        <v>1E-3</v>
      </c>
    </row>
    <row r="51" spans="1:9" x14ac:dyDescent="0.35">
      <c r="A51" s="14">
        <v>45750</v>
      </c>
      <c r="B51" t="s">
        <v>280</v>
      </c>
      <c r="C51" t="s">
        <v>18</v>
      </c>
      <c r="D51" s="1">
        <v>51188</v>
      </c>
      <c r="E51" s="1">
        <v>18876</v>
      </c>
      <c r="F51" s="3">
        <v>0.36880000000000002</v>
      </c>
      <c r="G51">
        <v>73</v>
      </c>
      <c r="H51" s="3">
        <v>3.8999999999999998E-3</v>
      </c>
      <c r="I51" s="16">
        <v>1.4E-3</v>
      </c>
    </row>
    <row r="52" spans="1:9" x14ac:dyDescent="0.35">
      <c r="A52" s="14">
        <v>45750</v>
      </c>
      <c r="B52" t="s">
        <v>295</v>
      </c>
      <c r="C52" t="s">
        <v>296</v>
      </c>
      <c r="D52" s="1">
        <v>329884</v>
      </c>
      <c r="E52" s="1">
        <v>121950</v>
      </c>
      <c r="F52" s="3">
        <v>0.36969999999999997</v>
      </c>
      <c r="G52">
        <v>309</v>
      </c>
      <c r="H52" s="3">
        <v>2.5000000000000001E-3</v>
      </c>
      <c r="I52" s="16">
        <v>8.9999999999999998E-4</v>
      </c>
    </row>
    <row r="53" spans="1:9" x14ac:dyDescent="0.35">
      <c r="A53" s="14">
        <v>45750</v>
      </c>
      <c r="B53" t="s">
        <v>297</v>
      </c>
      <c r="C53" t="s">
        <v>298</v>
      </c>
      <c r="D53" s="1">
        <v>23110</v>
      </c>
      <c r="E53" s="1">
        <v>8419</v>
      </c>
      <c r="F53" s="3">
        <v>0.36430000000000001</v>
      </c>
      <c r="G53">
        <v>28</v>
      </c>
      <c r="H53" s="3">
        <v>3.3E-3</v>
      </c>
      <c r="I53" s="16">
        <v>1.1999999999999999E-3</v>
      </c>
    </row>
    <row r="54" spans="1:9" ht="16" thickBot="1" x14ac:dyDescent="0.4">
      <c r="A54" s="22" t="s">
        <v>13</v>
      </c>
      <c r="B54" s="4"/>
      <c r="C54" s="4"/>
      <c r="D54" s="19">
        <f>SUM(D50:D53)</f>
        <v>1242176</v>
      </c>
      <c r="E54" s="19">
        <f>SUM(E50:E53)</f>
        <v>471384</v>
      </c>
      <c r="F54" s="20">
        <f>AVERAGE(F50:F53)</f>
        <v>0.37180000000000002</v>
      </c>
      <c r="G54" s="19">
        <f>SUM(G50:G53)</f>
        <v>1229</v>
      </c>
      <c r="H54" s="20">
        <f>AVERAGE(H50:H53)</f>
        <v>3.0499999999999998E-3</v>
      </c>
      <c r="I54" s="21">
        <f>AVERAGE(I50:I53)</f>
        <v>1.1249999999999999E-3</v>
      </c>
    </row>
  </sheetData>
  <mergeCells count="2">
    <mergeCell ref="A24:I24"/>
    <mergeCell ref="A32:I32"/>
  </mergeCells>
  <pageMargins left="0.7" right="0.7" top="0.75" bottom="0.75" header="0.3" footer="0.3"/>
  <ignoredErrors>
    <ignoredError sqref="F23:G23 F31:G31 F47:G47 F54:G54" formula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A1E2-C677-457A-80F9-D744AAADEA53}">
  <dimension ref="A1:I101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1.8164062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45751</v>
      </c>
      <c r="B2" t="s">
        <v>302</v>
      </c>
      <c r="C2" t="s">
        <v>7</v>
      </c>
      <c r="D2" s="1">
        <v>4876028</v>
      </c>
      <c r="E2" s="1">
        <v>1373587</v>
      </c>
      <c r="F2" s="2">
        <v>0.28170203288414303</v>
      </c>
      <c r="G2" s="1">
        <v>16810</v>
      </c>
      <c r="H2" s="2">
        <v>1.22380307909146E-2</v>
      </c>
      <c r="I2" s="2">
        <v>3.4474781522993701E-3</v>
      </c>
    </row>
    <row r="3" spans="1:9" x14ac:dyDescent="0.35">
      <c r="A3" s="13">
        <v>45751</v>
      </c>
      <c r="B3" t="s">
        <v>302</v>
      </c>
      <c r="C3" t="s">
        <v>8</v>
      </c>
      <c r="D3" s="1">
        <v>312138</v>
      </c>
      <c r="E3" s="1">
        <v>85575</v>
      </c>
      <c r="F3" s="2">
        <v>0.27415758414547398</v>
      </c>
      <c r="G3" s="1">
        <v>1299</v>
      </c>
      <c r="H3" s="2">
        <v>1.51796669588081E-2</v>
      </c>
      <c r="I3" s="2">
        <v>4.1616208215596896E-3</v>
      </c>
    </row>
    <row r="4" spans="1:9" x14ac:dyDescent="0.35">
      <c r="A4" s="13">
        <v>45751</v>
      </c>
      <c r="B4" t="s">
        <v>303</v>
      </c>
      <c r="C4" t="s">
        <v>7</v>
      </c>
      <c r="D4" s="1">
        <v>13613</v>
      </c>
      <c r="E4" s="1">
        <v>5819</v>
      </c>
      <c r="F4" s="2">
        <v>0.42745904649966898</v>
      </c>
      <c r="G4" s="1">
        <v>59</v>
      </c>
      <c r="H4" s="2">
        <v>1.0139199175116E-2</v>
      </c>
      <c r="I4" s="2">
        <v>4.3340924116653202E-3</v>
      </c>
    </row>
    <row r="5" spans="1:9" x14ac:dyDescent="0.35">
      <c r="A5" s="13">
        <v>45751</v>
      </c>
      <c r="B5" t="s">
        <v>303</v>
      </c>
      <c r="C5" t="s">
        <v>8</v>
      </c>
      <c r="D5" s="1">
        <v>2593</v>
      </c>
      <c r="E5" s="1">
        <v>1344</v>
      </c>
      <c r="F5" s="2">
        <v>0.51831854994215198</v>
      </c>
      <c r="G5" s="1">
        <v>9</v>
      </c>
      <c r="H5" s="2">
        <v>6.6964285714285702E-3</v>
      </c>
      <c r="I5" s="2">
        <v>3.4708831469340501E-3</v>
      </c>
    </row>
    <row r="6" spans="1:9" x14ac:dyDescent="0.35">
      <c r="A6" s="13">
        <v>45751</v>
      </c>
      <c r="B6" t="s">
        <v>304</v>
      </c>
      <c r="C6" t="s">
        <v>7</v>
      </c>
      <c r="D6" s="1">
        <v>8041</v>
      </c>
      <c r="E6" s="1">
        <v>2738</v>
      </c>
      <c r="F6" s="2">
        <v>0.34050491232433799</v>
      </c>
      <c r="G6" s="1">
        <v>17</v>
      </c>
      <c r="H6" s="2">
        <v>6.2089116143170201E-3</v>
      </c>
      <c r="I6" s="2">
        <v>2.1141649048625798E-3</v>
      </c>
    </row>
    <row r="7" spans="1:9" x14ac:dyDescent="0.35">
      <c r="A7" s="13">
        <v>45752</v>
      </c>
      <c r="B7" t="s">
        <v>305</v>
      </c>
      <c r="C7" t="s">
        <v>7</v>
      </c>
      <c r="D7" s="1">
        <v>65188</v>
      </c>
      <c r="E7" s="1">
        <v>27858</v>
      </c>
      <c r="F7" s="2">
        <v>0.427348591765356</v>
      </c>
      <c r="G7" s="1">
        <v>1544</v>
      </c>
      <c r="H7" s="2">
        <v>5.54239356737741E-2</v>
      </c>
      <c r="I7" s="2">
        <v>2.3685340860280998E-2</v>
      </c>
    </row>
    <row r="8" spans="1:9" x14ac:dyDescent="0.35">
      <c r="A8" s="13">
        <v>45752</v>
      </c>
      <c r="B8" t="s">
        <v>305</v>
      </c>
      <c r="C8" t="s">
        <v>8</v>
      </c>
      <c r="D8" s="1">
        <v>7284</v>
      </c>
      <c r="E8" s="1">
        <v>3725</v>
      </c>
      <c r="F8" s="2">
        <v>0.51139483800109797</v>
      </c>
      <c r="G8" s="1">
        <v>293</v>
      </c>
      <c r="H8" s="2">
        <v>7.8657718120805395E-2</v>
      </c>
      <c r="I8" s="2">
        <v>4.0225151015925303E-2</v>
      </c>
    </row>
    <row r="9" spans="1:9" x14ac:dyDescent="0.35">
      <c r="A9" s="13">
        <v>45752</v>
      </c>
      <c r="B9" t="s">
        <v>306</v>
      </c>
      <c r="C9" t="s">
        <v>7</v>
      </c>
      <c r="D9" s="1">
        <v>13804</v>
      </c>
      <c r="E9" s="1">
        <v>6308</v>
      </c>
      <c r="F9" s="2">
        <v>0.45696899449434902</v>
      </c>
      <c r="G9" s="1">
        <v>162</v>
      </c>
      <c r="H9" s="2">
        <v>2.5681674064679801E-2</v>
      </c>
      <c r="I9" s="2">
        <v>1.17357287742683E-2</v>
      </c>
    </row>
    <row r="10" spans="1:9" x14ac:dyDescent="0.35">
      <c r="A10" s="13">
        <v>45752</v>
      </c>
      <c r="B10" t="s">
        <v>306</v>
      </c>
      <c r="C10" t="s">
        <v>8</v>
      </c>
      <c r="D10" s="1">
        <v>30369</v>
      </c>
      <c r="E10" s="1">
        <v>14567</v>
      </c>
      <c r="F10" s="2">
        <v>0.47966676545161202</v>
      </c>
      <c r="G10" s="1">
        <v>263</v>
      </c>
      <c r="H10" s="2">
        <v>1.8054506761859001E-2</v>
      </c>
      <c r="I10" s="2">
        <v>8.6601468602851596E-3</v>
      </c>
    </row>
    <row r="11" spans="1:9" x14ac:dyDescent="0.35">
      <c r="A11" s="13">
        <v>45754</v>
      </c>
      <c r="B11" t="s">
        <v>307</v>
      </c>
      <c r="C11" t="s">
        <v>7</v>
      </c>
      <c r="D11" s="1">
        <v>20835</v>
      </c>
      <c r="E11" s="1">
        <v>7671</v>
      </c>
      <c r="F11" s="2">
        <v>0.36817854571634301</v>
      </c>
      <c r="G11" s="1">
        <v>97</v>
      </c>
      <c r="H11" s="2">
        <v>1.26450267240256E-2</v>
      </c>
      <c r="I11" s="2">
        <v>4.6556275497960202E-3</v>
      </c>
    </row>
    <row r="12" spans="1:9" x14ac:dyDescent="0.35">
      <c r="A12" s="13">
        <v>45754</v>
      </c>
      <c r="B12" t="s">
        <v>307</v>
      </c>
      <c r="C12" t="s">
        <v>8</v>
      </c>
      <c r="D12" s="1">
        <v>15</v>
      </c>
      <c r="E12" s="1">
        <v>5</v>
      </c>
      <c r="F12" s="2">
        <v>0.33333333333333298</v>
      </c>
      <c r="G12" s="1">
        <v>0</v>
      </c>
      <c r="H12" s="2">
        <v>0</v>
      </c>
      <c r="I12" s="2">
        <v>0</v>
      </c>
    </row>
    <row r="13" spans="1:9" x14ac:dyDescent="0.35">
      <c r="A13" s="13">
        <v>45754</v>
      </c>
      <c r="B13" t="s">
        <v>308</v>
      </c>
      <c r="C13" t="s">
        <v>309</v>
      </c>
      <c r="D13" s="1">
        <v>37122</v>
      </c>
      <c r="E13" s="1">
        <v>15255</v>
      </c>
      <c r="F13" s="2">
        <v>0.41094229836754498</v>
      </c>
      <c r="G13" s="1">
        <v>132</v>
      </c>
      <c r="H13" s="2">
        <v>8.6529006882989194E-3</v>
      </c>
      <c r="I13" s="2">
        <v>3.55584289639567E-3</v>
      </c>
    </row>
    <row r="14" spans="1:9" x14ac:dyDescent="0.35">
      <c r="A14" s="13">
        <v>45754</v>
      </c>
      <c r="B14" t="s">
        <v>308</v>
      </c>
      <c r="C14" t="s">
        <v>90</v>
      </c>
      <c r="D14" s="1">
        <v>103878</v>
      </c>
      <c r="E14" s="1">
        <v>51032</v>
      </c>
      <c r="F14" s="2">
        <v>0.49126860355416901</v>
      </c>
      <c r="G14" s="1">
        <v>288</v>
      </c>
      <c r="H14" s="2">
        <v>5.6435177927574897E-3</v>
      </c>
      <c r="I14" s="2">
        <v>2.7724831051810801E-3</v>
      </c>
    </row>
    <row r="15" spans="1:9" x14ac:dyDescent="0.35">
      <c r="A15" s="13">
        <v>45754</v>
      </c>
      <c r="B15" t="s">
        <v>308</v>
      </c>
      <c r="C15" t="s">
        <v>310</v>
      </c>
      <c r="D15" s="1">
        <v>2396</v>
      </c>
      <c r="E15" s="1">
        <v>1137</v>
      </c>
      <c r="F15" s="2">
        <v>0.474540901502504</v>
      </c>
      <c r="G15" s="1">
        <v>9</v>
      </c>
      <c r="H15" s="2">
        <v>7.9155672823219003E-3</v>
      </c>
      <c r="I15" s="2">
        <v>3.7562604340567601E-3</v>
      </c>
    </row>
    <row r="16" spans="1:9" x14ac:dyDescent="0.35">
      <c r="A16" s="13">
        <v>45754</v>
      </c>
      <c r="B16" t="s">
        <v>308</v>
      </c>
      <c r="C16" t="s">
        <v>91</v>
      </c>
      <c r="D16" s="1">
        <v>6728</v>
      </c>
      <c r="E16" s="1">
        <v>3582</v>
      </c>
      <c r="F16" s="2">
        <v>0.53240190249702701</v>
      </c>
      <c r="G16" s="1">
        <v>23</v>
      </c>
      <c r="H16" s="2">
        <v>6.4209938581797901E-3</v>
      </c>
      <c r="I16" s="2">
        <v>3.4185493460166501E-3</v>
      </c>
    </row>
    <row r="17" spans="1:9" x14ac:dyDescent="0.35">
      <c r="A17" s="13">
        <v>45755</v>
      </c>
      <c r="B17" t="s">
        <v>311</v>
      </c>
      <c r="C17" t="s">
        <v>7</v>
      </c>
      <c r="D17" s="1">
        <v>1402800</v>
      </c>
      <c r="E17" s="1">
        <v>453285</v>
      </c>
      <c r="F17" s="2">
        <v>0.32312874251496998</v>
      </c>
      <c r="G17" s="1">
        <v>8855</v>
      </c>
      <c r="H17" s="2">
        <v>1.9535171029264199E-2</v>
      </c>
      <c r="I17" s="2">
        <v>6.312375249501E-3</v>
      </c>
    </row>
    <row r="18" spans="1:9" x14ac:dyDescent="0.35">
      <c r="A18" s="13">
        <v>45755</v>
      </c>
      <c r="B18" t="s">
        <v>311</v>
      </c>
      <c r="C18" t="s">
        <v>8</v>
      </c>
      <c r="D18" s="1">
        <v>88505</v>
      </c>
      <c r="E18" s="1">
        <v>29451</v>
      </c>
      <c r="F18" s="2">
        <v>0.33276086096830698</v>
      </c>
      <c r="G18" s="1">
        <v>825</v>
      </c>
      <c r="H18" s="2">
        <v>2.8012631150045798E-2</v>
      </c>
      <c r="I18" s="2">
        <v>9.3215072594768703E-3</v>
      </c>
    </row>
    <row r="19" spans="1:9" x14ac:dyDescent="0.35">
      <c r="A19" s="13">
        <v>45755</v>
      </c>
      <c r="B19" t="s">
        <v>312</v>
      </c>
      <c r="C19" t="s">
        <v>7</v>
      </c>
      <c r="D19" s="1">
        <v>68936</v>
      </c>
      <c r="E19" s="1">
        <v>31170</v>
      </c>
      <c r="F19" s="2">
        <v>0.45215852384820698</v>
      </c>
      <c r="G19" s="1">
        <v>940</v>
      </c>
      <c r="H19" s="2">
        <v>3.0157202438241899E-2</v>
      </c>
      <c r="I19" s="2">
        <v>1.3635836137866999E-2</v>
      </c>
    </row>
    <row r="20" spans="1:9" x14ac:dyDescent="0.35">
      <c r="A20" s="13">
        <v>45755</v>
      </c>
      <c r="B20" t="s">
        <v>312</v>
      </c>
      <c r="C20" t="s">
        <v>8</v>
      </c>
      <c r="D20" s="1">
        <v>3049</v>
      </c>
      <c r="E20" s="1">
        <v>1416</v>
      </c>
      <c r="F20" s="2">
        <v>0.46441456215152499</v>
      </c>
      <c r="G20" s="1">
        <v>51</v>
      </c>
      <c r="H20" s="2">
        <v>3.6016949152542402E-2</v>
      </c>
      <c r="I20" s="2">
        <v>1.6726795670711701E-2</v>
      </c>
    </row>
    <row r="21" spans="1:9" x14ac:dyDescent="0.35">
      <c r="A21" s="13">
        <v>45756</v>
      </c>
      <c r="B21" t="s">
        <v>313</v>
      </c>
      <c r="C21" t="s">
        <v>7</v>
      </c>
      <c r="D21" s="1">
        <v>157254</v>
      </c>
      <c r="E21" s="1">
        <v>54823</v>
      </c>
      <c r="F21" s="2">
        <v>0.34862706195072901</v>
      </c>
      <c r="G21" s="1">
        <v>281</v>
      </c>
      <c r="H21" s="2">
        <v>5.1255859766886199E-3</v>
      </c>
      <c r="I21" s="2">
        <v>1.7869179798288099E-3</v>
      </c>
    </row>
    <row r="22" spans="1:9" x14ac:dyDescent="0.35">
      <c r="A22" s="13">
        <v>45756</v>
      </c>
      <c r="B22" t="s">
        <v>313</v>
      </c>
      <c r="C22" t="s">
        <v>8</v>
      </c>
      <c r="D22" s="1">
        <v>12940</v>
      </c>
      <c r="E22" s="1">
        <v>5120</v>
      </c>
      <c r="F22" s="2">
        <v>0.39567233384853201</v>
      </c>
      <c r="G22" s="1">
        <v>21</v>
      </c>
      <c r="H22" s="2">
        <v>4.1015625000000002E-3</v>
      </c>
      <c r="I22" s="2">
        <v>1.6228748068006201E-3</v>
      </c>
    </row>
    <row r="23" spans="1:9" x14ac:dyDescent="0.35">
      <c r="A23" s="13">
        <v>45756</v>
      </c>
      <c r="B23" t="s">
        <v>314</v>
      </c>
      <c r="C23" t="s">
        <v>7</v>
      </c>
      <c r="D23" s="1">
        <v>134266</v>
      </c>
      <c r="E23" s="1">
        <v>54998</v>
      </c>
      <c r="F23" s="2">
        <v>0.40961971012765702</v>
      </c>
      <c r="G23" s="1">
        <v>1453</v>
      </c>
      <c r="H23" s="2">
        <v>2.64191425142732E-2</v>
      </c>
      <c r="I23" s="2">
        <v>1.08218014985179E-2</v>
      </c>
    </row>
    <row r="24" spans="1:9" x14ac:dyDescent="0.35">
      <c r="A24" s="13">
        <v>45756</v>
      </c>
      <c r="B24" t="s">
        <v>314</v>
      </c>
      <c r="C24" t="s">
        <v>8</v>
      </c>
      <c r="D24" s="1">
        <v>2787</v>
      </c>
      <c r="E24" s="1">
        <v>1167</v>
      </c>
      <c r="F24" s="2">
        <v>0.41872981700753498</v>
      </c>
      <c r="G24" s="1">
        <v>26</v>
      </c>
      <c r="H24" s="2">
        <v>2.2279348757497899E-2</v>
      </c>
      <c r="I24" s="2">
        <v>9.3290276282741308E-3</v>
      </c>
    </row>
    <row r="25" spans="1:9" x14ac:dyDescent="0.35">
      <c r="A25" s="13">
        <v>45757</v>
      </c>
      <c r="B25" t="s">
        <v>315</v>
      </c>
      <c r="C25" t="s">
        <v>316</v>
      </c>
      <c r="D25" s="1">
        <v>56865</v>
      </c>
      <c r="E25" s="1">
        <v>22642</v>
      </c>
      <c r="F25" s="2">
        <v>0.39817110700782599</v>
      </c>
      <c r="G25" s="1">
        <v>521</v>
      </c>
      <c r="H25" s="2">
        <v>2.3010334776079899E-2</v>
      </c>
      <c r="I25" s="2">
        <v>9.1620504704123806E-3</v>
      </c>
    </row>
    <row r="26" spans="1:9" x14ac:dyDescent="0.35">
      <c r="A26" s="13">
        <v>45757</v>
      </c>
      <c r="B26" t="s">
        <v>315</v>
      </c>
      <c r="C26" t="s">
        <v>317</v>
      </c>
      <c r="D26" s="1">
        <v>3335</v>
      </c>
      <c r="E26" s="1">
        <v>1282</v>
      </c>
      <c r="F26" s="2">
        <v>0.38440779610194897</v>
      </c>
      <c r="G26" s="1">
        <v>24</v>
      </c>
      <c r="H26" s="2">
        <v>1.8720748829953199E-2</v>
      </c>
      <c r="I26" s="2">
        <v>7.1964017991004497E-3</v>
      </c>
    </row>
    <row r="27" spans="1:9" x14ac:dyDescent="0.35">
      <c r="A27" s="13">
        <v>45757</v>
      </c>
      <c r="B27" t="s">
        <v>315</v>
      </c>
      <c r="C27" t="s">
        <v>318</v>
      </c>
      <c r="D27" s="1">
        <v>56118</v>
      </c>
      <c r="E27" s="1">
        <v>22299</v>
      </c>
      <c r="F27" s="2">
        <v>0.39735913610606199</v>
      </c>
      <c r="G27" s="1">
        <v>365</v>
      </c>
      <c r="H27" s="2">
        <v>1.6368447015561199E-2</v>
      </c>
      <c r="I27" s="2">
        <v>6.5041519655012698E-3</v>
      </c>
    </row>
    <row r="28" spans="1:9" x14ac:dyDescent="0.35">
      <c r="A28" s="13">
        <v>45757</v>
      </c>
      <c r="B28" t="s">
        <v>315</v>
      </c>
      <c r="C28" t="s">
        <v>319</v>
      </c>
      <c r="D28" s="1">
        <v>3509</v>
      </c>
      <c r="E28" s="1">
        <v>1321</v>
      </c>
      <c r="F28" s="2">
        <v>0.37646053006554597</v>
      </c>
      <c r="G28" s="1">
        <v>22</v>
      </c>
      <c r="H28" s="2">
        <v>1.6654049962149899E-2</v>
      </c>
      <c r="I28" s="2">
        <v>6.2695924764890297E-3</v>
      </c>
    </row>
    <row r="29" spans="1:9" x14ac:dyDescent="0.35">
      <c r="A29" s="13">
        <v>45757</v>
      </c>
      <c r="B29" t="s">
        <v>315</v>
      </c>
      <c r="C29" t="s">
        <v>320</v>
      </c>
      <c r="D29" s="1">
        <v>56724</v>
      </c>
      <c r="E29" s="1">
        <v>22445</v>
      </c>
      <c r="F29" s="2">
        <v>0.39568789225019402</v>
      </c>
      <c r="G29" s="1">
        <v>349</v>
      </c>
      <c r="H29" s="2">
        <v>1.5549120071285401E-2</v>
      </c>
      <c r="I29" s="2">
        <v>6.1525985473520903E-3</v>
      </c>
    </row>
    <row r="30" spans="1:9" x14ac:dyDescent="0.35">
      <c r="A30" s="13">
        <v>45757</v>
      </c>
      <c r="B30" t="s">
        <v>315</v>
      </c>
      <c r="C30" t="s">
        <v>321</v>
      </c>
      <c r="D30" s="1">
        <v>3404</v>
      </c>
      <c r="E30" s="1">
        <v>1258</v>
      </c>
      <c r="F30" s="2">
        <v>0.36956521739130399</v>
      </c>
      <c r="G30" s="1">
        <v>14</v>
      </c>
      <c r="H30" s="2">
        <v>1.1128775834658201E-2</v>
      </c>
      <c r="I30" s="2">
        <v>4.1128084606345504E-3</v>
      </c>
    </row>
    <row r="31" spans="1:9" x14ac:dyDescent="0.35">
      <c r="A31" s="13">
        <v>45757</v>
      </c>
      <c r="B31" t="s">
        <v>322</v>
      </c>
      <c r="C31" t="s">
        <v>197</v>
      </c>
      <c r="D31" s="1">
        <v>317606</v>
      </c>
      <c r="E31" s="1">
        <v>110527</v>
      </c>
      <c r="F31" s="3">
        <v>0.34799999999999998</v>
      </c>
      <c r="G31">
        <v>282</v>
      </c>
      <c r="H31" s="3">
        <v>2.5999999999999999E-3</v>
      </c>
      <c r="I31" s="3">
        <v>8.9999999999999998E-4</v>
      </c>
    </row>
    <row r="32" spans="1:9" x14ac:dyDescent="0.35">
      <c r="A32" s="13">
        <v>45757</v>
      </c>
      <c r="B32" t="s">
        <v>323</v>
      </c>
      <c r="C32" t="s">
        <v>198</v>
      </c>
      <c r="D32" s="1">
        <v>8725</v>
      </c>
      <c r="E32" s="1">
        <v>2834</v>
      </c>
      <c r="F32" s="3">
        <v>0.32479999999999998</v>
      </c>
      <c r="G32">
        <v>14</v>
      </c>
      <c r="H32" s="3">
        <v>4.8999999999999998E-3</v>
      </c>
      <c r="I32" s="3">
        <v>1.6000000000000001E-3</v>
      </c>
    </row>
    <row r="33" spans="1:9" x14ac:dyDescent="0.35">
      <c r="A33" s="13">
        <v>45757</v>
      </c>
      <c r="B33" t="s">
        <v>295</v>
      </c>
      <c r="C33" t="s">
        <v>17</v>
      </c>
      <c r="D33" s="1">
        <v>319208</v>
      </c>
      <c r="E33" s="1">
        <v>117433</v>
      </c>
      <c r="F33" s="3">
        <v>0.3679</v>
      </c>
      <c r="G33">
        <v>316</v>
      </c>
      <c r="H33" s="3">
        <v>2.7000000000000001E-3</v>
      </c>
      <c r="I33" s="3">
        <v>1E-3</v>
      </c>
    </row>
    <row r="34" spans="1:9" x14ac:dyDescent="0.35">
      <c r="A34" s="13">
        <v>45757</v>
      </c>
      <c r="B34" t="s">
        <v>297</v>
      </c>
      <c r="C34" t="s">
        <v>18</v>
      </c>
      <c r="D34" s="1">
        <v>22423</v>
      </c>
      <c r="E34" s="1">
        <v>8072</v>
      </c>
      <c r="F34" s="3">
        <v>0.36</v>
      </c>
      <c r="G34">
        <v>28</v>
      </c>
      <c r="H34" s="3">
        <v>3.5000000000000001E-3</v>
      </c>
      <c r="I34" s="3">
        <v>1.1999999999999999E-3</v>
      </c>
    </row>
    <row r="35" spans="1:9" x14ac:dyDescent="0.35">
      <c r="A35" s="13">
        <v>45757</v>
      </c>
      <c r="B35" t="s">
        <v>324</v>
      </c>
      <c r="C35" t="s">
        <v>7</v>
      </c>
      <c r="D35" s="1">
        <v>882910</v>
      </c>
      <c r="E35" s="1">
        <v>303763</v>
      </c>
      <c r="F35" s="2">
        <v>0.344047524662763</v>
      </c>
      <c r="G35" s="1">
        <v>1543</v>
      </c>
      <c r="H35" s="2">
        <v>5.07961799165797E-3</v>
      </c>
      <c r="I35" s="2">
        <v>1.74762999626236E-3</v>
      </c>
    </row>
    <row r="36" spans="1:9" x14ac:dyDescent="0.35">
      <c r="A36" s="13">
        <v>45757</v>
      </c>
      <c r="B36" t="s">
        <v>325</v>
      </c>
      <c r="C36" t="s">
        <v>283</v>
      </c>
      <c r="D36" s="1">
        <v>40019</v>
      </c>
      <c r="E36" s="1">
        <v>13324</v>
      </c>
      <c r="F36" s="2">
        <v>0.33294185262000497</v>
      </c>
      <c r="G36" s="1">
        <v>230</v>
      </c>
      <c r="H36" s="2">
        <v>1.7262083458420899E-2</v>
      </c>
      <c r="I36" s="2">
        <v>5.7472700467278001E-3</v>
      </c>
    </row>
    <row r="37" spans="1:9" x14ac:dyDescent="0.35">
      <c r="A37" s="13">
        <v>45757</v>
      </c>
      <c r="B37" t="s">
        <v>325</v>
      </c>
      <c r="C37" t="s">
        <v>284</v>
      </c>
      <c r="D37" s="1">
        <v>39888</v>
      </c>
      <c r="E37" s="1">
        <v>13462</v>
      </c>
      <c r="F37" s="2">
        <v>0.33749498596069</v>
      </c>
      <c r="G37" s="1">
        <v>138</v>
      </c>
      <c r="H37" s="2">
        <v>1.02510771059278E-2</v>
      </c>
      <c r="I37" s="2">
        <v>3.45968712394705E-3</v>
      </c>
    </row>
    <row r="38" spans="1:9" x14ac:dyDescent="0.35">
      <c r="A38" s="13">
        <v>45757</v>
      </c>
      <c r="B38" t="s">
        <v>325</v>
      </c>
      <c r="C38" t="s">
        <v>326</v>
      </c>
      <c r="D38" s="1">
        <v>2953</v>
      </c>
      <c r="E38" s="1">
        <v>911</v>
      </c>
      <c r="F38" s="2">
        <v>0.308499830680664</v>
      </c>
      <c r="G38" s="1">
        <v>7</v>
      </c>
      <c r="H38" s="2">
        <v>7.6838638858397401E-3</v>
      </c>
      <c r="I38" s="2">
        <v>2.37047070775483E-3</v>
      </c>
    </row>
    <row r="39" spans="1:9" x14ac:dyDescent="0.35">
      <c r="A39" s="13">
        <v>45757</v>
      </c>
      <c r="B39" t="s">
        <v>327</v>
      </c>
      <c r="C39" t="s">
        <v>7</v>
      </c>
      <c r="D39" s="1">
        <v>672</v>
      </c>
      <c r="E39" s="1">
        <v>320</v>
      </c>
      <c r="F39" s="2">
        <v>0.476190476190476</v>
      </c>
      <c r="G39" s="1">
        <v>1</v>
      </c>
      <c r="H39" s="2">
        <v>3.1250000000000002E-3</v>
      </c>
      <c r="I39" s="2">
        <v>1.48809523809524E-3</v>
      </c>
    </row>
    <row r="40" spans="1:9" x14ac:dyDescent="0.35">
      <c r="A40" s="13">
        <v>45757</v>
      </c>
      <c r="B40" t="s">
        <v>327</v>
      </c>
      <c r="C40" t="s">
        <v>8</v>
      </c>
      <c r="D40" s="1">
        <v>90</v>
      </c>
      <c r="E40" s="1">
        <v>53</v>
      </c>
      <c r="F40" s="2">
        <v>0.58888888888888902</v>
      </c>
      <c r="G40" s="1">
        <v>0</v>
      </c>
      <c r="H40" s="2">
        <v>0</v>
      </c>
      <c r="I40" s="2">
        <v>0</v>
      </c>
    </row>
    <row r="41" spans="1:9" ht="16" thickBot="1" x14ac:dyDescent="0.4">
      <c r="A41" s="23" t="s">
        <v>13</v>
      </c>
      <c r="D41" s="17">
        <f>SUM(D2:D40)</f>
        <v>9185018</v>
      </c>
      <c r="E41" s="17">
        <f>SUM(E2:E40)</f>
        <v>2873579</v>
      </c>
      <c r="F41" s="18">
        <f>AVERAGE(F2:F40)</f>
        <v>0.39958240386725496</v>
      </c>
      <c r="G41" s="17">
        <f>SUM(G2:G40)</f>
        <v>37311</v>
      </c>
      <c r="H41" s="18">
        <f>AVERAGE(H2:H40)</f>
        <v>1.5377917705830116E-2</v>
      </c>
      <c r="I41" s="18">
        <f>AVERAGE(I2:I40)</f>
        <v>6.3708016241738981E-3</v>
      </c>
    </row>
    <row r="42" spans="1:9" ht="15" thickBot="1" x14ac:dyDescent="0.4">
      <c r="A42" s="123" t="s">
        <v>19</v>
      </c>
      <c r="B42" s="123"/>
      <c r="C42" s="123"/>
      <c r="D42" s="123"/>
      <c r="E42" s="123"/>
      <c r="F42" s="123"/>
      <c r="G42" s="123"/>
      <c r="H42" s="123"/>
      <c r="I42" s="123"/>
    </row>
    <row r="43" spans="1:9" ht="15.5" x14ac:dyDescent="0.35">
      <c r="A43" s="24" t="s">
        <v>9</v>
      </c>
      <c r="B43" s="25" t="s">
        <v>0</v>
      </c>
      <c r="C43" s="25" t="s">
        <v>16</v>
      </c>
      <c r="D43" s="25" t="s">
        <v>1</v>
      </c>
      <c r="E43" s="25" t="s">
        <v>2</v>
      </c>
      <c r="F43" s="25" t="s">
        <v>3</v>
      </c>
      <c r="G43" s="25" t="s">
        <v>4</v>
      </c>
      <c r="H43" s="25" t="s">
        <v>5</v>
      </c>
      <c r="I43" s="26" t="s">
        <v>6</v>
      </c>
    </row>
    <row r="44" spans="1:9" x14ac:dyDescent="0.35">
      <c r="A44" s="5" t="s">
        <v>12</v>
      </c>
      <c r="B44" s="6"/>
      <c r="C44" s="6"/>
      <c r="D44" s="6"/>
      <c r="E44" s="6"/>
      <c r="F44" s="6"/>
      <c r="G44" s="6"/>
      <c r="H44" s="6"/>
      <c r="I44" s="7"/>
    </row>
    <row r="45" spans="1:9" x14ac:dyDescent="0.35">
      <c r="A45" s="14">
        <v>45751</v>
      </c>
      <c r="B45" t="s">
        <v>302</v>
      </c>
      <c r="C45" t="s">
        <v>7</v>
      </c>
      <c r="D45" s="1">
        <v>4876028</v>
      </c>
      <c r="E45" s="1">
        <v>1373587</v>
      </c>
      <c r="F45" s="2">
        <v>0.28170203288414303</v>
      </c>
      <c r="G45" s="1">
        <v>16810</v>
      </c>
      <c r="H45" s="2">
        <v>1.22380307909146E-2</v>
      </c>
      <c r="I45" s="15">
        <v>3.4474781522993701E-3</v>
      </c>
    </row>
    <row r="46" spans="1:9" x14ac:dyDescent="0.35">
      <c r="A46" s="14">
        <v>45751</v>
      </c>
      <c r="B46" t="s">
        <v>302</v>
      </c>
      <c r="C46" t="s">
        <v>8</v>
      </c>
      <c r="D46" s="1">
        <v>312138</v>
      </c>
      <c r="E46" s="1">
        <v>85575</v>
      </c>
      <c r="F46" s="2">
        <v>0.27415758414547398</v>
      </c>
      <c r="G46" s="1">
        <v>1299</v>
      </c>
      <c r="H46" s="2">
        <v>1.51796669588081E-2</v>
      </c>
      <c r="I46" s="15">
        <v>4.1616208215596896E-3</v>
      </c>
    </row>
    <row r="47" spans="1:9" x14ac:dyDescent="0.35">
      <c r="A47" s="14">
        <v>45755</v>
      </c>
      <c r="B47" t="s">
        <v>311</v>
      </c>
      <c r="C47" t="s">
        <v>7</v>
      </c>
      <c r="D47" s="1">
        <v>1402800</v>
      </c>
      <c r="E47" s="1">
        <v>453285</v>
      </c>
      <c r="F47" s="2">
        <v>0.32312874251496998</v>
      </c>
      <c r="G47" s="1">
        <v>8855</v>
      </c>
      <c r="H47" s="2">
        <v>1.9535171029264199E-2</v>
      </c>
      <c r="I47" s="15">
        <v>6.312375249501E-3</v>
      </c>
    </row>
    <row r="48" spans="1:9" x14ac:dyDescent="0.35">
      <c r="A48" s="14">
        <v>45755</v>
      </c>
      <c r="B48" t="s">
        <v>311</v>
      </c>
      <c r="C48" t="s">
        <v>8</v>
      </c>
      <c r="D48" s="1">
        <v>88505</v>
      </c>
      <c r="E48" s="1">
        <v>29451</v>
      </c>
      <c r="F48" s="2">
        <v>0.33276086096830698</v>
      </c>
      <c r="G48" s="1">
        <v>825</v>
      </c>
      <c r="H48" s="2">
        <v>2.8012631150045798E-2</v>
      </c>
      <c r="I48" s="15">
        <v>9.3215072594768703E-3</v>
      </c>
    </row>
    <row r="49" spans="1:9" ht="16" thickBot="1" x14ac:dyDescent="0.4">
      <c r="A49" s="22" t="s">
        <v>13</v>
      </c>
      <c r="B49" s="4"/>
      <c r="C49" s="4"/>
      <c r="D49" s="19">
        <f>SUM(D45:D48)</f>
        <v>6679471</v>
      </c>
      <c r="E49" s="19">
        <f>SUM(E45:E48)</f>
        <v>1941898</v>
      </c>
      <c r="F49" s="20">
        <f>AVERAGE(F45:F48)</f>
        <v>0.30293730512822353</v>
      </c>
      <c r="G49" s="19">
        <f>SUM(G45:G48)</f>
        <v>27789</v>
      </c>
      <c r="H49" s="20">
        <f>AVERAGE(H45:H48)</f>
        <v>1.8741374982258176E-2</v>
      </c>
      <c r="I49" s="21">
        <f>AVERAGE(I45:I48)</f>
        <v>5.8107453707092324E-3</v>
      </c>
    </row>
    <row r="50" spans="1:9" ht="3" customHeight="1" thickBot="1" x14ac:dyDescent="0.4">
      <c r="A50" s="127"/>
      <c r="B50" s="128"/>
      <c r="C50" s="128"/>
      <c r="D50" s="128"/>
      <c r="E50" s="128"/>
      <c r="F50" s="128"/>
      <c r="G50" s="128"/>
      <c r="H50" s="128"/>
      <c r="I50" s="129"/>
    </row>
    <row r="51" spans="1:9" x14ac:dyDescent="0.35">
      <c r="A51" s="10" t="s">
        <v>216</v>
      </c>
      <c r="B51" s="11"/>
      <c r="C51" s="11"/>
      <c r="D51" s="11"/>
      <c r="E51" s="11"/>
      <c r="F51" s="11"/>
      <c r="G51" s="11"/>
      <c r="H51" s="11"/>
      <c r="I51" s="12"/>
    </row>
    <row r="52" spans="1:9" x14ac:dyDescent="0.35">
      <c r="A52" s="14">
        <v>45751</v>
      </c>
      <c r="B52" t="s">
        <v>303</v>
      </c>
      <c r="C52" t="s">
        <v>7</v>
      </c>
      <c r="D52" s="1">
        <v>13613</v>
      </c>
      <c r="E52" s="1">
        <v>5819</v>
      </c>
      <c r="F52" s="2">
        <v>0.42745904649966898</v>
      </c>
      <c r="G52" s="1">
        <v>59</v>
      </c>
      <c r="H52" s="2">
        <v>1.0139199175116E-2</v>
      </c>
      <c r="I52" s="15">
        <v>4.3340924116653202E-3</v>
      </c>
    </row>
    <row r="53" spans="1:9" x14ac:dyDescent="0.35">
      <c r="A53" s="14">
        <v>45751</v>
      </c>
      <c r="B53" t="s">
        <v>303</v>
      </c>
      <c r="C53" t="s">
        <v>8</v>
      </c>
      <c r="D53" s="1">
        <v>2593</v>
      </c>
      <c r="E53" s="1">
        <v>1344</v>
      </c>
      <c r="F53" s="2">
        <v>0.51831854994215198</v>
      </c>
      <c r="G53" s="1">
        <v>9</v>
      </c>
      <c r="H53" s="2">
        <v>6.6964285714285702E-3</v>
      </c>
      <c r="I53" s="15">
        <v>3.4708831469340501E-3</v>
      </c>
    </row>
    <row r="54" spans="1:9" x14ac:dyDescent="0.35">
      <c r="A54" s="14">
        <v>45751</v>
      </c>
      <c r="B54" t="s">
        <v>304</v>
      </c>
      <c r="C54" t="s">
        <v>7</v>
      </c>
      <c r="D54" s="1">
        <v>8041</v>
      </c>
      <c r="E54" s="1">
        <v>2738</v>
      </c>
      <c r="F54" s="2">
        <v>0.34050491232433799</v>
      </c>
      <c r="G54" s="1">
        <v>17</v>
      </c>
      <c r="H54" s="2">
        <v>6.2089116143170201E-3</v>
      </c>
      <c r="I54" s="15">
        <v>2.1141649048625798E-3</v>
      </c>
    </row>
    <row r="55" spans="1:9" x14ac:dyDescent="0.35">
      <c r="A55" s="14">
        <v>45752</v>
      </c>
      <c r="B55" t="s">
        <v>305</v>
      </c>
      <c r="C55" t="s">
        <v>7</v>
      </c>
      <c r="D55" s="1">
        <v>65188</v>
      </c>
      <c r="E55" s="1">
        <v>27858</v>
      </c>
      <c r="F55" s="2">
        <v>0.427348591765356</v>
      </c>
      <c r="G55" s="1">
        <v>1544</v>
      </c>
      <c r="H55" s="2">
        <v>5.54239356737741E-2</v>
      </c>
      <c r="I55" s="15">
        <v>2.3685340860280998E-2</v>
      </c>
    </row>
    <row r="56" spans="1:9" x14ac:dyDescent="0.35">
      <c r="A56" s="14">
        <v>45752</v>
      </c>
      <c r="B56" t="s">
        <v>305</v>
      </c>
      <c r="C56" t="s">
        <v>8</v>
      </c>
      <c r="D56" s="1">
        <v>7284</v>
      </c>
      <c r="E56" s="1">
        <v>3725</v>
      </c>
      <c r="F56" s="2">
        <v>0.51139483800109797</v>
      </c>
      <c r="G56" s="1">
        <v>293</v>
      </c>
      <c r="H56" s="2">
        <v>7.8657718120805395E-2</v>
      </c>
      <c r="I56" s="15">
        <v>4.0225151015925303E-2</v>
      </c>
    </row>
    <row r="57" spans="1:9" x14ac:dyDescent="0.35">
      <c r="A57" s="14">
        <v>45752</v>
      </c>
      <c r="B57" t="s">
        <v>306</v>
      </c>
      <c r="C57" t="s">
        <v>7</v>
      </c>
      <c r="D57" s="1">
        <v>13804</v>
      </c>
      <c r="E57" s="1">
        <v>6308</v>
      </c>
      <c r="F57" s="2">
        <v>0.45696899449434902</v>
      </c>
      <c r="G57" s="1">
        <v>162</v>
      </c>
      <c r="H57" s="2">
        <v>2.5681674064679801E-2</v>
      </c>
      <c r="I57" s="15">
        <v>1.17357287742683E-2</v>
      </c>
    </row>
    <row r="58" spans="1:9" x14ac:dyDescent="0.35">
      <c r="A58" s="14">
        <v>45752</v>
      </c>
      <c r="B58" t="s">
        <v>306</v>
      </c>
      <c r="C58" t="s">
        <v>8</v>
      </c>
      <c r="D58" s="1">
        <v>30369</v>
      </c>
      <c r="E58" s="1">
        <v>14567</v>
      </c>
      <c r="F58" s="2">
        <v>0.47966676545161202</v>
      </c>
      <c r="G58" s="1">
        <v>263</v>
      </c>
      <c r="H58" s="2">
        <v>1.8054506761859001E-2</v>
      </c>
      <c r="I58" s="15">
        <v>8.6601468602851596E-3</v>
      </c>
    </row>
    <row r="59" spans="1:9" x14ac:dyDescent="0.35">
      <c r="A59" s="14">
        <v>45754</v>
      </c>
      <c r="B59" t="s">
        <v>307</v>
      </c>
      <c r="C59" t="s">
        <v>7</v>
      </c>
      <c r="D59" s="1">
        <v>20835</v>
      </c>
      <c r="E59" s="1">
        <v>7671</v>
      </c>
      <c r="F59" s="2">
        <v>0.36817854571634301</v>
      </c>
      <c r="G59" s="1">
        <v>97</v>
      </c>
      <c r="H59" s="2">
        <v>1.26450267240256E-2</v>
      </c>
      <c r="I59" s="15">
        <v>4.6556275497960202E-3</v>
      </c>
    </row>
    <row r="60" spans="1:9" x14ac:dyDescent="0.35">
      <c r="A60" s="14">
        <v>45754</v>
      </c>
      <c r="B60" t="s">
        <v>307</v>
      </c>
      <c r="C60" t="s">
        <v>8</v>
      </c>
      <c r="D60" s="1">
        <v>15</v>
      </c>
      <c r="E60" s="1">
        <v>5</v>
      </c>
      <c r="F60" s="2">
        <v>0.33333333333333298</v>
      </c>
      <c r="G60" s="1">
        <v>0</v>
      </c>
      <c r="H60" s="2">
        <v>0</v>
      </c>
      <c r="I60" s="15">
        <v>0</v>
      </c>
    </row>
    <row r="61" spans="1:9" x14ac:dyDescent="0.35">
      <c r="A61" s="14">
        <v>45754</v>
      </c>
      <c r="B61" t="s">
        <v>308</v>
      </c>
      <c r="C61" t="s">
        <v>309</v>
      </c>
      <c r="D61" s="1">
        <v>37122</v>
      </c>
      <c r="E61" s="1">
        <v>15255</v>
      </c>
      <c r="F61" s="2">
        <v>0.41094229836754498</v>
      </c>
      <c r="G61" s="1">
        <v>132</v>
      </c>
      <c r="H61" s="2">
        <v>8.6529006882989194E-3</v>
      </c>
      <c r="I61" s="15">
        <v>3.55584289639567E-3</v>
      </c>
    </row>
    <row r="62" spans="1:9" x14ac:dyDescent="0.35">
      <c r="A62" s="14">
        <v>45754</v>
      </c>
      <c r="B62" t="s">
        <v>308</v>
      </c>
      <c r="C62" t="s">
        <v>90</v>
      </c>
      <c r="D62" s="1">
        <v>103878</v>
      </c>
      <c r="E62" s="1">
        <v>51032</v>
      </c>
      <c r="F62" s="2">
        <v>0.49126860355416901</v>
      </c>
      <c r="G62" s="1">
        <v>288</v>
      </c>
      <c r="H62" s="2">
        <v>5.6435177927574897E-3</v>
      </c>
      <c r="I62" s="15">
        <v>2.7724831051810801E-3</v>
      </c>
    </row>
    <row r="63" spans="1:9" x14ac:dyDescent="0.35">
      <c r="A63" s="14">
        <v>45754</v>
      </c>
      <c r="B63" t="s">
        <v>308</v>
      </c>
      <c r="C63" t="s">
        <v>310</v>
      </c>
      <c r="D63" s="1">
        <v>2396</v>
      </c>
      <c r="E63" s="1">
        <v>1137</v>
      </c>
      <c r="F63" s="2">
        <v>0.474540901502504</v>
      </c>
      <c r="G63" s="1">
        <v>9</v>
      </c>
      <c r="H63" s="2">
        <v>7.9155672823219003E-3</v>
      </c>
      <c r="I63" s="15">
        <v>3.7562604340567601E-3</v>
      </c>
    </row>
    <row r="64" spans="1:9" x14ac:dyDescent="0.35">
      <c r="A64" s="14">
        <v>45754</v>
      </c>
      <c r="B64" t="s">
        <v>308</v>
      </c>
      <c r="C64" t="s">
        <v>91</v>
      </c>
      <c r="D64" s="1">
        <v>6728</v>
      </c>
      <c r="E64" s="1">
        <v>3582</v>
      </c>
      <c r="F64" s="2">
        <v>0.53240190249702701</v>
      </c>
      <c r="G64" s="1">
        <v>23</v>
      </c>
      <c r="H64" s="2">
        <v>6.4209938581797901E-3</v>
      </c>
      <c r="I64" s="15">
        <v>3.4185493460166501E-3</v>
      </c>
    </row>
    <row r="65" spans="1:9" x14ac:dyDescent="0.35">
      <c r="A65" s="14">
        <v>45755</v>
      </c>
      <c r="B65" t="s">
        <v>312</v>
      </c>
      <c r="C65" t="s">
        <v>7</v>
      </c>
      <c r="D65" s="1">
        <v>68936</v>
      </c>
      <c r="E65" s="1">
        <v>31170</v>
      </c>
      <c r="F65" s="2">
        <v>0.45215852384820698</v>
      </c>
      <c r="G65" s="1">
        <v>940</v>
      </c>
      <c r="H65" s="2">
        <v>3.0157202438241899E-2</v>
      </c>
      <c r="I65" s="15">
        <v>1.3635836137866999E-2</v>
      </c>
    </row>
    <row r="66" spans="1:9" x14ac:dyDescent="0.35">
      <c r="A66" s="14">
        <v>45755</v>
      </c>
      <c r="B66" t="s">
        <v>312</v>
      </c>
      <c r="C66" t="s">
        <v>8</v>
      </c>
      <c r="D66" s="1">
        <v>3049</v>
      </c>
      <c r="E66" s="1">
        <v>1416</v>
      </c>
      <c r="F66" s="2">
        <v>0.46441456215152499</v>
      </c>
      <c r="G66" s="1">
        <v>51</v>
      </c>
      <c r="H66" s="2">
        <v>3.6016949152542402E-2</v>
      </c>
      <c r="I66" s="15">
        <v>1.6726795670711701E-2</v>
      </c>
    </row>
    <row r="67" spans="1:9" x14ac:dyDescent="0.35">
      <c r="A67" s="14">
        <v>45756</v>
      </c>
      <c r="B67" t="s">
        <v>313</v>
      </c>
      <c r="C67" t="s">
        <v>7</v>
      </c>
      <c r="D67" s="1">
        <v>157254</v>
      </c>
      <c r="E67" s="1">
        <v>54823</v>
      </c>
      <c r="F67" s="2">
        <v>0.34862706195072901</v>
      </c>
      <c r="G67" s="1">
        <v>281</v>
      </c>
      <c r="H67" s="2">
        <v>5.1255859766886199E-3</v>
      </c>
      <c r="I67" s="15">
        <v>1.7869179798288099E-3</v>
      </c>
    </row>
    <row r="68" spans="1:9" x14ac:dyDescent="0.35">
      <c r="A68" s="14">
        <v>45756</v>
      </c>
      <c r="B68" t="s">
        <v>313</v>
      </c>
      <c r="C68" t="s">
        <v>8</v>
      </c>
      <c r="D68" s="1">
        <v>12940</v>
      </c>
      <c r="E68" s="1">
        <v>5120</v>
      </c>
      <c r="F68" s="2">
        <v>0.39567233384853201</v>
      </c>
      <c r="G68" s="1">
        <v>21</v>
      </c>
      <c r="H68" s="2">
        <v>4.1015625000000002E-3</v>
      </c>
      <c r="I68" s="15">
        <v>1.6228748068006201E-3</v>
      </c>
    </row>
    <row r="69" spans="1:9" x14ac:dyDescent="0.35">
      <c r="A69" s="14">
        <v>45756</v>
      </c>
      <c r="B69" t="s">
        <v>314</v>
      </c>
      <c r="C69" t="s">
        <v>7</v>
      </c>
      <c r="D69" s="1">
        <v>134266</v>
      </c>
      <c r="E69" s="1">
        <v>54998</v>
      </c>
      <c r="F69" s="2">
        <v>0.40961971012765702</v>
      </c>
      <c r="G69" s="1">
        <v>1453</v>
      </c>
      <c r="H69" s="2">
        <v>2.64191425142732E-2</v>
      </c>
      <c r="I69" s="15">
        <v>1.08218014985179E-2</v>
      </c>
    </row>
    <row r="70" spans="1:9" x14ac:dyDescent="0.35">
      <c r="A70" s="14">
        <v>45756</v>
      </c>
      <c r="B70" t="s">
        <v>314</v>
      </c>
      <c r="C70" t="s">
        <v>8</v>
      </c>
      <c r="D70" s="1">
        <v>2787</v>
      </c>
      <c r="E70" s="1">
        <v>1167</v>
      </c>
      <c r="F70" s="2">
        <v>0.41872981700753498</v>
      </c>
      <c r="G70" s="1">
        <v>26</v>
      </c>
      <c r="H70" s="2">
        <v>2.2279348757497899E-2</v>
      </c>
      <c r="I70" s="15">
        <v>9.3290276282741308E-3</v>
      </c>
    </row>
    <row r="71" spans="1:9" x14ac:dyDescent="0.35">
      <c r="A71" s="14">
        <v>45757</v>
      </c>
      <c r="B71" t="s">
        <v>315</v>
      </c>
      <c r="C71" t="s">
        <v>316</v>
      </c>
      <c r="D71" s="1">
        <v>56865</v>
      </c>
      <c r="E71" s="1">
        <v>22642</v>
      </c>
      <c r="F71" s="2">
        <v>0.39817110700782599</v>
      </c>
      <c r="G71" s="1">
        <v>521</v>
      </c>
      <c r="H71" s="2">
        <v>2.3010334776079899E-2</v>
      </c>
      <c r="I71" s="15">
        <v>9.1620504704123806E-3</v>
      </c>
    </row>
    <row r="72" spans="1:9" x14ac:dyDescent="0.35">
      <c r="A72" s="14">
        <v>45757</v>
      </c>
      <c r="B72" t="s">
        <v>315</v>
      </c>
      <c r="C72" t="s">
        <v>317</v>
      </c>
      <c r="D72" s="1">
        <v>3335</v>
      </c>
      <c r="E72" s="1">
        <v>1282</v>
      </c>
      <c r="F72" s="2">
        <v>0.38440779610194897</v>
      </c>
      <c r="G72" s="1">
        <v>24</v>
      </c>
      <c r="H72" s="2">
        <v>1.8720748829953199E-2</v>
      </c>
      <c r="I72" s="15">
        <v>7.1964017991004497E-3</v>
      </c>
    </row>
    <row r="73" spans="1:9" x14ac:dyDescent="0.35">
      <c r="A73" s="14">
        <v>45757</v>
      </c>
      <c r="B73" t="s">
        <v>315</v>
      </c>
      <c r="C73" t="s">
        <v>318</v>
      </c>
      <c r="D73" s="1">
        <v>56118</v>
      </c>
      <c r="E73" s="1">
        <v>22299</v>
      </c>
      <c r="F73" s="2">
        <v>0.39735913610606199</v>
      </c>
      <c r="G73" s="1">
        <v>365</v>
      </c>
      <c r="H73" s="2">
        <v>1.6368447015561199E-2</v>
      </c>
      <c r="I73" s="15">
        <v>6.5041519655012698E-3</v>
      </c>
    </row>
    <row r="74" spans="1:9" x14ac:dyDescent="0.35">
      <c r="A74" s="14">
        <v>45757</v>
      </c>
      <c r="B74" t="s">
        <v>315</v>
      </c>
      <c r="C74" t="s">
        <v>319</v>
      </c>
      <c r="D74" s="1">
        <v>3509</v>
      </c>
      <c r="E74" s="1">
        <v>1321</v>
      </c>
      <c r="F74" s="2">
        <v>0.37646053006554597</v>
      </c>
      <c r="G74" s="1">
        <v>22</v>
      </c>
      <c r="H74" s="2">
        <v>1.6654049962149899E-2</v>
      </c>
      <c r="I74" s="15">
        <v>6.2695924764890297E-3</v>
      </c>
    </row>
    <row r="75" spans="1:9" x14ac:dyDescent="0.35">
      <c r="A75" s="14">
        <v>45757</v>
      </c>
      <c r="B75" t="s">
        <v>315</v>
      </c>
      <c r="C75" t="s">
        <v>320</v>
      </c>
      <c r="D75" s="1">
        <v>56724</v>
      </c>
      <c r="E75" s="1">
        <v>22445</v>
      </c>
      <c r="F75" s="2">
        <v>0.39568789225019402</v>
      </c>
      <c r="G75" s="1">
        <v>349</v>
      </c>
      <c r="H75" s="2">
        <v>1.5549120071285401E-2</v>
      </c>
      <c r="I75" s="15">
        <v>6.1525985473520903E-3</v>
      </c>
    </row>
    <row r="76" spans="1:9" x14ac:dyDescent="0.35">
      <c r="A76" s="14">
        <v>45757</v>
      </c>
      <c r="B76" t="s">
        <v>315</v>
      </c>
      <c r="C76" t="s">
        <v>321</v>
      </c>
      <c r="D76" s="1">
        <v>3404</v>
      </c>
      <c r="E76" s="1">
        <v>1258</v>
      </c>
      <c r="F76" s="2">
        <v>0.36956521739130399</v>
      </c>
      <c r="G76" s="1">
        <v>14</v>
      </c>
      <c r="H76" s="2">
        <v>1.1128775834658201E-2</v>
      </c>
      <c r="I76" s="15">
        <v>4.1128084606345504E-3</v>
      </c>
    </row>
    <row r="77" spans="1:9" x14ac:dyDescent="0.35">
      <c r="A77" s="14">
        <v>45757</v>
      </c>
      <c r="B77" t="s">
        <v>324</v>
      </c>
      <c r="C77" t="s">
        <v>7</v>
      </c>
      <c r="D77" s="1">
        <v>882910</v>
      </c>
      <c r="E77" s="1">
        <v>303763</v>
      </c>
      <c r="F77" s="2">
        <v>0.344047524662763</v>
      </c>
      <c r="G77" s="1">
        <v>1543</v>
      </c>
      <c r="H77" s="2">
        <v>5.07961799165797E-3</v>
      </c>
      <c r="I77" s="15">
        <v>1.74762999626236E-3</v>
      </c>
    </row>
    <row r="78" spans="1:9" x14ac:dyDescent="0.35">
      <c r="A78" s="14">
        <v>45757</v>
      </c>
      <c r="B78" t="s">
        <v>325</v>
      </c>
      <c r="C78" t="s">
        <v>283</v>
      </c>
      <c r="D78" s="1">
        <v>40019</v>
      </c>
      <c r="E78" s="1">
        <v>13324</v>
      </c>
      <c r="F78" s="2">
        <v>0.33294185262000497</v>
      </c>
      <c r="G78" s="1">
        <v>230</v>
      </c>
      <c r="H78" s="2">
        <v>1.7262083458420899E-2</v>
      </c>
      <c r="I78" s="15">
        <v>5.7472700467278001E-3</v>
      </c>
    </row>
    <row r="79" spans="1:9" x14ac:dyDescent="0.35">
      <c r="A79" s="14">
        <v>45757</v>
      </c>
      <c r="B79" t="s">
        <v>325</v>
      </c>
      <c r="C79" t="s">
        <v>284</v>
      </c>
      <c r="D79" s="1">
        <v>39888</v>
      </c>
      <c r="E79" s="1">
        <v>13462</v>
      </c>
      <c r="F79" s="2">
        <v>0.33749498596069</v>
      </c>
      <c r="G79" s="1">
        <v>138</v>
      </c>
      <c r="H79" s="2">
        <v>1.02510771059278E-2</v>
      </c>
      <c r="I79" s="15">
        <v>3.45968712394705E-3</v>
      </c>
    </row>
    <row r="80" spans="1:9" x14ac:dyDescent="0.35">
      <c r="A80" s="14">
        <v>45757</v>
      </c>
      <c r="B80" t="s">
        <v>325</v>
      </c>
      <c r="C80" t="s">
        <v>326</v>
      </c>
      <c r="D80" s="1">
        <v>2953</v>
      </c>
      <c r="E80" s="1">
        <v>911</v>
      </c>
      <c r="F80" s="2">
        <v>0.308499830680664</v>
      </c>
      <c r="G80" s="1">
        <v>7</v>
      </c>
      <c r="H80" s="2">
        <v>7.6838638858397401E-3</v>
      </c>
      <c r="I80" s="15">
        <v>2.37047070775483E-3</v>
      </c>
    </row>
    <row r="81" spans="1:9" x14ac:dyDescent="0.35">
      <c r="A81" s="14">
        <v>45757</v>
      </c>
      <c r="B81" t="s">
        <v>327</v>
      </c>
      <c r="C81" t="s">
        <v>7</v>
      </c>
      <c r="D81" s="1">
        <v>672</v>
      </c>
      <c r="E81" s="1">
        <v>320</v>
      </c>
      <c r="F81" s="2">
        <v>0.476190476190476</v>
      </c>
      <c r="G81" s="1">
        <v>1</v>
      </c>
      <c r="H81" s="2">
        <v>3.1250000000000002E-3</v>
      </c>
      <c r="I81" s="15">
        <v>1.48809523809524E-3</v>
      </c>
    </row>
    <row r="82" spans="1:9" x14ac:dyDescent="0.35">
      <c r="A82" s="14">
        <v>45757</v>
      </c>
      <c r="B82" t="s">
        <v>327</v>
      </c>
      <c r="C82" t="s">
        <v>8</v>
      </c>
      <c r="D82" s="1">
        <v>90</v>
      </c>
      <c r="E82" s="1">
        <v>53</v>
      </c>
      <c r="F82" s="2">
        <v>0.58888888888888902</v>
      </c>
      <c r="G82" s="1">
        <v>0</v>
      </c>
      <c r="H82" s="2">
        <v>0</v>
      </c>
      <c r="I82" s="15">
        <v>0</v>
      </c>
    </row>
    <row r="83" spans="1:9" ht="16" thickBot="1" x14ac:dyDescent="0.4">
      <c r="A83" s="22" t="s">
        <v>13</v>
      </c>
      <c r="B83" s="4"/>
      <c r="C83" s="4"/>
      <c r="D83" s="19">
        <f>SUM(D52:D82)</f>
        <v>1837585</v>
      </c>
      <c r="E83" s="19">
        <f>SUM(E52:E82)</f>
        <v>692815</v>
      </c>
      <c r="F83" s="20">
        <f>AVERAGE(F52:F82)</f>
        <v>0.4184278880745177</v>
      </c>
      <c r="G83" s="19">
        <f>SUM(G52:G82)</f>
        <v>8882</v>
      </c>
      <c r="H83" s="20">
        <f>AVERAGE(H52:H82)</f>
        <v>1.6486235180591668E-2</v>
      </c>
      <c r="I83" s="21">
        <f>AVERAGE(I52:I82)</f>
        <v>7.1134929632240343E-3</v>
      </c>
    </row>
    <row r="84" spans="1:9" ht="3" customHeight="1" thickBot="1" x14ac:dyDescent="0.4"/>
    <row r="85" spans="1:9" x14ac:dyDescent="0.35">
      <c r="A85" s="10" t="s">
        <v>11</v>
      </c>
      <c r="B85" s="11"/>
      <c r="C85" s="11"/>
      <c r="D85" s="11"/>
      <c r="E85" s="11"/>
      <c r="F85" s="11"/>
      <c r="G85" s="11"/>
      <c r="H85" s="11"/>
      <c r="I85" s="12"/>
    </row>
    <row r="86" spans="1:9" x14ac:dyDescent="0.35">
      <c r="A86" s="8">
        <v>45757</v>
      </c>
      <c r="B86" t="s">
        <v>322</v>
      </c>
      <c r="C86" t="s">
        <v>197</v>
      </c>
      <c r="D86" s="1">
        <v>317606</v>
      </c>
      <c r="E86" s="1">
        <v>110527</v>
      </c>
      <c r="F86" s="3">
        <v>0.34799999999999998</v>
      </c>
      <c r="G86">
        <v>282</v>
      </c>
      <c r="H86" s="3">
        <v>2.5999999999999999E-3</v>
      </c>
      <c r="I86" s="9">
        <v>8.9999999999999998E-4</v>
      </c>
    </row>
    <row r="87" spans="1:9" x14ac:dyDescent="0.35">
      <c r="A87" s="8">
        <v>45757</v>
      </c>
      <c r="B87" t="s">
        <v>323</v>
      </c>
      <c r="C87" t="s">
        <v>198</v>
      </c>
      <c r="D87" s="1">
        <v>8725</v>
      </c>
      <c r="E87" s="1">
        <v>2834</v>
      </c>
      <c r="F87" s="3">
        <v>0.32479999999999998</v>
      </c>
      <c r="G87">
        <v>14</v>
      </c>
      <c r="H87" s="3">
        <v>4.8999999999999998E-3</v>
      </c>
      <c r="I87" s="9">
        <v>1.6000000000000001E-3</v>
      </c>
    </row>
    <row r="88" spans="1:9" x14ac:dyDescent="0.35">
      <c r="A88" s="8">
        <v>45757</v>
      </c>
      <c r="B88" t="s">
        <v>295</v>
      </c>
      <c r="C88" t="s">
        <v>17</v>
      </c>
      <c r="D88" s="1">
        <v>319208</v>
      </c>
      <c r="E88" s="1">
        <v>117433</v>
      </c>
      <c r="F88" s="3">
        <v>0.3679</v>
      </c>
      <c r="G88">
        <v>316</v>
      </c>
      <c r="H88" s="3">
        <v>2.7000000000000001E-3</v>
      </c>
      <c r="I88" s="9">
        <v>1E-3</v>
      </c>
    </row>
    <row r="89" spans="1:9" x14ac:dyDescent="0.35">
      <c r="A89" s="8">
        <v>45757</v>
      </c>
      <c r="B89" t="s">
        <v>297</v>
      </c>
      <c r="C89" t="s">
        <v>18</v>
      </c>
      <c r="D89" s="1">
        <v>22423</v>
      </c>
      <c r="E89" s="1">
        <v>8072</v>
      </c>
      <c r="F89" s="3">
        <v>0.36</v>
      </c>
      <c r="G89">
        <v>28</v>
      </c>
      <c r="H89" s="3">
        <v>3.5000000000000001E-3</v>
      </c>
      <c r="I89" s="9">
        <v>1.1999999999999999E-3</v>
      </c>
    </row>
    <row r="90" spans="1:9" ht="16" thickBot="1" x14ac:dyDescent="0.4">
      <c r="A90" s="22" t="s">
        <v>13</v>
      </c>
      <c r="B90" s="4"/>
      <c r="C90" s="4"/>
      <c r="D90" s="19">
        <f>SUM(D86:D89)</f>
        <v>667962</v>
      </c>
      <c r="E90" s="19">
        <f>SUM(E86:E89)</f>
        <v>238866</v>
      </c>
      <c r="F90" s="20">
        <f>AVERAGE(F86:F89)</f>
        <v>0.35017500000000001</v>
      </c>
      <c r="G90" s="19">
        <f>SUM(G86:G89)</f>
        <v>640</v>
      </c>
      <c r="H90" s="20">
        <f>AVERAGE(H86:H89)</f>
        <v>3.4250000000000001E-3</v>
      </c>
      <c r="I90" s="21">
        <f>AVERAGE(I86:I89)</f>
        <v>1.175E-3</v>
      </c>
    </row>
    <row r="98" spans="4:9" x14ac:dyDescent="0.35">
      <c r="D98" s="1"/>
      <c r="E98" s="1"/>
      <c r="F98" s="3"/>
      <c r="H98" s="3"/>
      <c r="I98" s="3"/>
    </row>
    <row r="99" spans="4:9" x14ac:dyDescent="0.35">
      <c r="D99" s="1"/>
      <c r="E99" s="1"/>
      <c r="F99" s="3"/>
      <c r="H99" s="3"/>
      <c r="I99" s="3"/>
    </row>
    <row r="100" spans="4:9" x14ac:dyDescent="0.35">
      <c r="D100" s="1"/>
      <c r="E100" s="1"/>
      <c r="F100" s="3"/>
      <c r="H100" s="3"/>
      <c r="I100" s="3"/>
    </row>
    <row r="101" spans="4:9" x14ac:dyDescent="0.35">
      <c r="D101" s="1"/>
      <c r="E101" s="1"/>
      <c r="F101" s="3"/>
      <c r="H101" s="3"/>
      <c r="I101" s="3"/>
    </row>
  </sheetData>
  <mergeCells count="2">
    <mergeCell ref="A42:I42"/>
    <mergeCell ref="A50:I50"/>
  </mergeCells>
  <pageMargins left="0.7" right="0.7" top="0.75" bottom="0.75" header="0.3" footer="0.3"/>
  <ignoredErrors>
    <ignoredError sqref="F90:G90 F49:G49 F41:G41 F83:G83" formula="1"/>
  </ignoredErrors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C21A-3C5D-4175-987D-239D72C3B4E9}">
  <dimension ref="A1:I91"/>
  <sheetViews>
    <sheetView topLeftCell="A2" zoomScaleNormal="100"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5.5429687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45758</v>
      </c>
      <c r="B2" t="s">
        <v>329</v>
      </c>
      <c r="C2" t="s">
        <v>7</v>
      </c>
      <c r="D2" s="1">
        <v>3229028</v>
      </c>
      <c r="E2" s="1">
        <v>926526</v>
      </c>
      <c r="F2" s="2">
        <v>0.28693650225392903</v>
      </c>
      <c r="G2" s="1">
        <v>10030</v>
      </c>
      <c r="H2" s="2">
        <v>1.08253842849526E-2</v>
      </c>
      <c r="I2" s="2">
        <v>3.1061979022789501E-3</v>
      </c>
    </row>
    <row r="3" spans="1:9" x14ac:dyDescent="0.35">
      <c r="A3" s="13">
        <v>45758</v>
      </c>
      <c r="B3" t="s">
        <v>329</v>
      </c>
      <c r="C3" t="s">
        <v>330</v>
      </c>
      <c r="D3" s="1">
        <v>146248</v>
      </c>
      <c r="E3" s="1">
        <v>51209</v>
      </c>
      <c r="F3" s="2">
        <v>0.35015179694765097</v>
      </c>
      <c r="G3" s="1">
        <v>560</v>
      </c>
      <c r="H3" s="2">
        <v>1.0935577730477101E-2</v>
      </c>
      <c r="I3" s="2">
        <v>3.8291121929872498E-3</v>
      </c>
    </row>
    <row r="4" spans="1:9" x14ac:dyDescent="0.35">
      <c r="A4" s="13">
        <v>45758</v>
      </c>
      <c r="B4" t="s">
        <v>329</v>
      </c>
      <c r="C4" t="s">
        <v>331</v>
      </c>
      <c r="D4" s="1">
        <v>676305</v>
      </c>
      <c r="E4" s="1">
        <v>207470</v>
      </c>
      <c r="F4" s="2">
        <v>0.30676987453885501</v>
      </c>
      <c r="G4" s="1">
        <v>2254</v>
      </c>
      <c r="H4" s="2">
        <v>1.0864221333204801E-2</v>
      </c>
      <c r="I4" s="2">
        <v>3.3328158153495802E-3</v>
      </c>
    </row>
    <row r="5" spans="1:9" x14ac:dyDescent="0.35">
      <c r="A5" s="13">
        <v>45758</v>
      </c>
      <c r="B5" t="s">
        <v>329</v>
      </c>
      <c r="C5" t="s">
        <v>332</v>
      </c>
      <c r="D5" s="1">
        <v>146338</v>
      </c>
      <c r="E5" s="1">
        <v>49914</v>
      </c>
      <c r="F5" s="2">
        <v>0.34108707239404701</v>
      </c>
      <c r="G5" s="1">
        <v>560</v>
      </c>
      <c r="H5" s="2">
        <v>1.1219297191168799E-2</v>
      </c>
      <c r="I5" s="2">
        <v>3.8267572332545199E-3</v>
      </c>
    </row>
    <row r="6" spans="1:9" x14ac:dyDescent="0.35">
      <c r="A6" s="13">
        <v>45758</v>
      </c>
      <c r="B6" t="s">
        <v>329</v>
      </c>
      <c r="C6" t="s">
        <v>333</v>
      </c>
      <c r="D6" s="1">
        <v>676968</v>
      </c>
      <c r="E6" s="1">
        <v>204644</v>
      </c>
      <c r="F6" s="2">
        <v>0.30229493860862</v>
      </c>
      <c r="G6" s="1">
        <v>2111</v>
      </c>
      <c r="H6" s="2">
        <v>1.03154746779774E-2</v>
      </c>
      <c r="I6" s="2">
        <v>3.1183157844979401E-3</v>
      </c>
    </row>
    <row r="7" spans="1:9" x14ac:dyDescent="0.35">
      <c r="A7" s="13">
        <v>45758</v>
      </c>
      <c r="B7" t="s">
        <v>329</v>
      </c>
      <c r="C7" t="s">
        <v>8</v>
      </c>
      <c r="D7" s="1">
        <v>222619</v>
      </c>
      <c r="E7" s="1">
        <v>65853</v>
      </c>
      <c r="F7" s="2">
        <v>0.29581033065461598</v>
      </c>
      <c r="G7" s="1">
        <v>810</v>
      </c>
      <c r="H7" s="2">
        <v>1.230012300123E-2</v>
      </c>
      <c r="I7" s="2">
        <v>3.6385034520863002E-3</v>
      </c>
    </row>
    <row r="8" spans="1:9" x14ac:dyDescent="0.35">
      <c r="A8" s="13">
        <v>45758</v>
      </c>
      <c r="B8" t="s">
        <v>334</v>
      </c>
      <c r="C8" t="s">
        <v>335</v>
      </c>
      <c r="D8" s="1">
        <v>79069</v>
      </c>
      <c r="E8" s="1">
        <v>22748</v>
      </c>
      <c r="F8" s="2">
        <v>0.28769808648142797</v>
      </c>
      <c r="G8" s="1">
        <v>333</v>
      </c>
      <c r="H8" s="2">
        <v>1.4638649551608899E-2</v>
      </c>
      <c r="I8" s="2">
        <v>4.2115114646701004E-3</v>
      </c>
    </row>
    <row r="9" spans="1:9" x14ac:dyDescent="0.35">
      <c r="A9" s="13">
        <v>45758</v>
      </c>
      <c r="B9" t="s">
        <v>336</v>
      </c>
      <c r="C9" t="s">
        <v>7</v>
      </c>
      <c r="D9" s="1">
        <v>6193738</v>
      </c>
      <c r="E9" s="1">
        <v>2177703</v>
      </c>
      <c r="F9" s="2">
        <v>0.35159753286303003</v>
      </c>
      <c r="G9" s="1">
        <v>18348</v>
      </c>
      <c r="H9" s="2">
        <v>8.4253913412434996E-3</v>
      </c>
      <c r="I9" s="2">
        <v>2.9623468089867498E-3</v>
      </c>
    </row>
    <row r="10" spans="1:9" x14ac:dyDescent="0.35">
      <c r="A10" s="13">
        <v>45758</v>
      </c>
      <c r="B10" t="s">
        <v>336</v>
      </c>
      <c r="C10" t="s">
        <v>8</v>
      </c>
      <c r="D10" s="1">
        <v>400776</v>
      </c>
      <c r="E10" s="1">
        <v>140965</v>
      </c>
      <c r="F10" s="2">
        <v>0.35173014352156801</v>
      </c>
      <c r="G10" s="1">
        <v>1909</v>
      </c>
      <c r="H10" s="2">
        <v>1.35423686730749E-2</v>
      </c>
      <c r="I10" s="2">
        <v>4.7632592770026202E-3</v>
      </c>
    </row>
    <row r="11" spans="1:9" x14ac:dyDescent="0.35">
      <c r="A11" s="13">
        <v>45759</v>
      </c>
      <c r="B11" t="s">
        <v>337</v>
      </c>
      <c r="C11" t="s">
        <v>7</v>
      </c>
      <c r="D11" s="1">
        <v>1268683</v>
      </c>
      <c r="E11" s="1">
        <v>480590</v>
      </c>
      <c r="F11" s="2">
        <v>0.37881015194496998</v>
      </c>
      <c r="G11" s="1">
        <v>4274</v>
      </c>
      <c r="H11" s="2">
        <v>8.8932353981564308E-3</v>
      </c>
      <c r="I11" s="2">
        <v>3.3688478524580199E-3</v>
      </c>
    </row>
    <row r="12" spans="1:9" x14ac:dyDescent="0.35">
      <c r="A12" s="13">
        <v>45759</v>
      </c>
      <c r="B12" t="s">
        <v>337</v>
      </c>
      <c r="C12" t="s">
        <v>8</v>
      </c>
      <c r="D12" s="1">
        <v>70465</v>
      </c>
      <c r="E12" s="1">
        <v>25988</v>
      </c>
      <c r="F12" s="2">
        <v>0.36880720925282101</v>
      </c>
      <c r="G12" s="1">
        <v>249</v>
      </c>
      <c r="H12" s="2">
        <v>9.5813452362628893E-3</v>
      </c>
      <c r="I12" s="2">
        <v>3.5336691974739202E-3</v>
      </c>
    </row>
    <row r="13" spans="1:9" x14ac:dyDescent="0.35">
      <c r="A13" s="13">
        <v>45761</v>
      </c>
      <c r="B13" t="s">
        <v>338</v>
      </c>
      <c r="C13" t="s">
        <v>7</v>
      </c>
      <c r="D13" s="1">
        <v>677663</v>
      </c>
      <c r="E13" s="1">
        <v>258223</v>
      </c>
      <c r="F13" s="2">
        <v>0.38104928260802201</v>
      </c>
      <c r="G13" s="1">
        <v>4684</v>
      </c>
      <c r="H13" s="2">
        <v>1.8139360165438399E-2</v>
      </c>
      <c r="I13" s="2">
        <v>6.9119901780088297E-3</v>
      </c>
    </row>
    <row r="14" spans="1:9" x14ac:dyDescent="0.35">
      <c r="A14" s="13">
        <v>45761</v>
      </c>
      <c r="B14" t="s">
        <v>338</v>
      </c>
      <c r="C14" t="s">
        <v>8</v>
      </c>
      <c r="D14" s="1">
        <v>48327</v>
      </c>
      <c r="E14" s="1">
        <v>18198</v>
      </c>
      <c r="F14" s="2">
        <v>0.37655968713141702</v>
      </c>
      <c r="G14" s="1">
        <v>551</v>
      </c>
      <c r="H14" s="2">
        <v>3.0278052533245399E-2</v>
      </c>
      <c r="I14" s="2">
        <v>1.14014939888675E-2</v>
      </c>
    </row>
    <row r="15" spans="1:9" x14ac:dyDescent="0.35">
      <c r="A15" s="13">
        <v>45761</v>
      </c>
      <c r="B15" t="s">
        <v>339</v>
      </c>
      <c r="C15" t="s">
        <v>7</v>
      </c>
      <c r="D15" s="1">
        <v>133630</v>
      </c>
      <c r="E15" s="1">
        <v>52495</v>
      </c>
      <c r="F15" s="2">
        <v>0.39283843448327499</v>
      </c>
      <c r="G15" s="1">
        <v>827</v>
      </c>
      <c r="H15" s="2">
        <v>1.5753881322030702E-2</v>
      </c>
      <c r="I15" s="2">
        <v>6.1887300755818298E-3</v>
      </c>
    </row>
    <row r="16" spans="1:9" x14ac:dyDescent="0.35">
      <c r="A16" s="13">
        <v>45761</v>
      </c>
      <c r="B16" t="s">
        <v>340</v>
      </c>
      <c r="C16" t="s">
        <v>7</v>
      </c>
      <c r="D16" s="1">
        <v>41044</v>
      </c>
      <c r="E16" s="1">
        <v>11694</v>
      </c>
      <c r="F16" s="2">
        <v>0.284913751096384</v>
      </c>
      <c r="G16" s="1">
        <v>114</v>
      </c>
      <c r="H16" s="2">
        <v>9.7485890200102593E-3</v>
      </c>
      <c r="I16" s="2">
        <v>2.7775070655881502E-3</v>
      </c>
    </row>
    <row r="17" spans="1:9" x14ac:dyDescent="0.35">
      <c r="A17" s="13">
        <v>45762</v>
      </c>
      <c r="B17" t="s">
        <v>341</v>
      </c>
      <c r="C17" t="s">
        <v>7</v>
      </c>
      <c r="D17" s="1">
        <v>611507</v>
      </c>
      <c r="E17" s="1">
        <v>192135</v>
      </c>
      <c r="F17" s="2">
        <v>0.314199183329054</v>
      </c>
      <c r="G17" s="1">
        <v>4432</v>
      </c>
      <c r="H17" s="2">
        <v>2.3067114268613201E-2</v>
      </c>
      <c r="I17" s="2">
        <v>7.2476684649562502E-3</v>
      </c>
    </row>
    <row r="18" spans="1:9" x14ac:dyDescent="0.35">
      <c r="A18" s="13">
        <v>45762</v>
      </c>
      <c r="B18" t="s">
        <v>341</v>
      </c>
      <c r="C18" t="s">
        <v>330</v>
      </c>
      <c r="D18" s="1">
        <v>201642</v>
      </c>
      <c r="E18" s="1">
        <v>69787</v>
      </c>
      <c r="F18" s="2">
        <v>0.34609357177572098</v>
      </c>
      <c r="G18" s="1">
        <v>2126</v>
      </c>
      <c r="H18" s="2">
        <v>3.0464126556522E-2</v>
      </c>
      <c r="I18" s="2">
        <v>1.05434383709743E-2</v>
      </c>
    </row>
    <row r="19" spans="1:9" x14ac:dyDescent="0.35">
      <c r="A19" s="13">
        <v>45762</v>
      </c>
      <c r="B19" t="s">
        <v>341</v>
      </c>
      <c r="C19" t="s">
        <v>331</v>
      </c>
      <c r="D19" s="1">
        <v>189078</v>
      </c>
      <c r="E19" s="1">
        <v>58537</v>
      </c>
      <c r="F19" s="2">
        <v>0.309591808671554</v>
      </c>
      <c r="G19" s="1">
        <v>1056</v>
      </c>
      <c r="H19" s="2">
        <v>1.8039872217571799E-2</v>
      </c>
      <c r="I19" s="2">
        <v>5.58499666804176E-3</v>
      </c>
    </row>
    <row r="20" spans="1:9" x14ac:dyDescent="0.35">
      <c r="A20" s="13">
        <v>45762</v>
      </c>
      <c r="B20" t="s">
        <v>341</v>
      </c>
      <c r="C20" t="s">
        <v>332</v>
      </c>
      <c r="D20" s="1">
        <v>201284</v>
      </c>
      <c r="E20" s="1">
        <v>69465</v>
      </c>
      <c r="F20" s="2">
        <v>0.34510939766697801</v>
      </c>
      <c r="G20" s="1">
        <v>1962</v>
      </c>
      <c r="H20" s="2">
        <v>2.8244439645864799E-2</v>
      </c>
      <c r="I20" s="2">
        <v>9.7474215536257208E-3</v>
      </c>
    </row>
    <row r="21" spans="1:9" x14ac:dyDescent="0.35">
      <c r="A21" s="13">
        <v>45762</v>
      </c>
      <c r="B21" t="s">
        <v>341</v>
      </c>
      <c r="C21" t="s">
        <v>333</v>
      </c>
      <c r="D21" s="1">
        <v>189490</v>
      </c>
      <c r="E21" s="1">
        <v>58742</v>
      </c>
      <c r="F21" s="2">
        <v>0.310000527732334</v>
      </c>
      <c r="G21" s="1">
        <v>992</v>
      </c>
      <c r="H21" s="2">
        <v>1.6887405944639299E-2</v>
      </c>
      <c r="I21" s="2">
        <v>5.2351047548683301E-3</v>
      </c>
    </row>
    <row r="22" spans="1:9" x14ac:dyDescent="0.35">
      <c r="A22" s="13">
        <v>45762</v>
      </c>
      <c r="B22" t="s">
        <v>341</v>
      </c>
      <c r="C22" t="s">
        <v>8</v>
      </c>
      <c r="D22" s="1">
        <v>38577</v>
      </c>
      <c r="E22" s="1">
        <v>12931</v>
      </c>
      <c r="F22" s="2">
        <v>0.335199730409311</v>
      </c>
      <c r="G22" s="1">
        <v>413</v>
      </c>
      <c r="H22" s="2">
        <v>3.1938751836671601E-2</v>
      </c>
      <c r="I22" s="2">
        <v>1.0705861005262199E-2</v>
      </c>
    </row>
    <row r="23" spans="1:9" x14ac:dyDescent="0.35">
      <c r="A23" s="13">
        <v>45762</v>
      </c>
      <c r="B23" t="s">
        <v>342</v>
      </c>
      <c r="C23" t="s">
        <v>7</v>
      </c>
      <c r="D23" s="1">
        <v>140804</v>
      </c>
      <c r="E23" s="1">
        <v>55713</v>
      </c>
      <c r="F23" s="2">
        <v>0.39567767961137501</v>
      </c>
      <c r="G23" s="1">
        <v>503</v>
      </c>
      <c r="H23" s="2">
        <v>9.0284134762084294E-3</v>
      </c>
      <c r="I23" s="2">
        <v>3.5723416948382101E-3</v>
      </c>
    </row>
    <row r="24" spans="1:9" x14ac:dyDescent="0.35">
      <c r="A24" s="13">
        <v>45762</v>
      </c>
      <c r="B24" t="s">
        <v>342</v>
      </c>
      <c r="C24" t="s">
        <v>8</v>
      </c>
      <c r="D24" s="1">
        <v>643</v>
      </c>
      <c r="E24" s="1">
        <v>272</v>
      </c>
      <c r="F24" s="2">
        <v>0.42301710730948699</v>
      </c>
      <c r="G24" s="1">
        <v>7</v>
      </c>
      <c r="H24" s="2">
        <v>2.5735294117647099E-2</v>
      </c>
      <c r="I24" s="2">
        <v>1.08864696734059E-2</v>
      </c>
    </row>
    <row r="25" spans="1:9" x14ac:dyDescent="0.35">
      <c r="A25" s="13">
        <v>45762</v>
      </c>
      <c r="B25" t="s">
        <v>343</v>
      </c>
      <c r="C25" t="s">
        <v>344</v>
      </c>
      <c r="D25" s="1">
        <v>47144</v>
      </c>
      <c r="E25" s="1">
        <v>22313</v>
      </c>
      <c r="F25" s="2">
        <v>0.47329458679789599</v>
      </c>
      <c r="G25" s="1">
        <v>4506</v>
      </c>
      <c r="H25" s="2">
        <v>0.201945054452561</v>
      </c>
      <c r="I25" s="2">
        <v>9.5579501103003603E-2</v>
      </c>
    </row>
    <row r="26" spans="1:9" x14ac:dyDescent="0.35">
      <c r="A26" s="13">
        <v>45762</v>
      </c>
      <c r="B26" t="s">
        <v>343</v>
      </c>
      <c r="C26" t="s">
        <v>345</v>
      </c>
      <c r="D26" s="1">
        <v>45860</v>
      </c>
      <c r="E26" s="1">
        <v>19806</v>
      </c>
      <c r="F26" s="2">
        <v>0.431879633667684</v>
      </c>
      <c r="G26" s="1">
        <v>2132</v>
      </c>
      <c r="H26" s="2">
        <v>0.10764414823790799</v>
      </c>
      <c r="I26" s="2">
        <v>4.64893153074575E-2</v>
      </c>
    </row>
    <row r="27" spans="1:9" x14ac:dyDescent="0.35">
      <c r="A27" s="13">
        <v>45763</v>
      </c>
      <c r="B27" t="s">
        <v>346</v>
      </c>
      <c r="C27" t="s">
        <v>7</v>
      </c>
      <c r="D27" s="1">
        <v>198114</v>
      </c>
      <c r="E27" s="1">
        <v>87747</v>
      </c>
      <c r="F27" s="2">
        <v>0.442911656924801</v>
      </c>
      <c r="G27" s="1">
        <v>1395</v>
      </c>
      <c r="H27" s="2">
        <v>1.5897979418099801E-2</v>
      </c>
      <c r="I27" s="2">
        <v>7.0414004058269499E-3</v>
      </c>
    </row>
    <row r="28" spans="1:9" x14ac:dyDescent="0.35">
      <c r="A28" s="13">
        <v>45763</v>
      </c>
      <c r="B28" t="s">
        <v>346</v>
      </c>
      <c r="C28" t="s">
        <v>8</v>
      </c>
      <c r="D28" s="1">
        <v>12189</v>
      </c>
      <c r="E28" s="1">
        <v>5925</v>
      </c>
      <c r="F28" s="2">
        <v>0.48609401919763701</v>
      </c>
      <c r="G28" s="1">
        <v>177</v>
      </c>
      <c r="H28" s="2">
        <v>2.9873417721519E-2</v>
      </c>
      <c r="I28" s="2">
        <v>1.4521289687423101E-2</v>
      </c>
    </row>
    <row r="29" spans="1:9" x14ac:dyDescent="0.35">
      <c r="A29" s="13">
        <v>45763</v>
      </c>
      <c r="B29" t="s">
        <v>347</v>
      </c>
      <c r="C29" t="s">
        <v>7</v>
      </c>
      <c r="D29" s="1">
        <v>258150</v>
      </c>
      <c r="E29" s="1">
        <v>116032</v>
      </c>
      <c r="F29" s="2">
        <v>0.44947511136935903</v>
      </c>
      <c r="G29" s="1">
        <v>2051</v>
      </c>
      <c r="H29" s="2">
        <v>1.7676158301158301E-2</v>
      </c>
      <c r="I29" s="2">
        <v>7.9449932209955491E-3</v>
      </c>
    </row>
    <row r="30" spans="1:9" x14ac:dyDescent="0.35">
      <c r="A30" s="13">
        <v>45763</v>
      </c>
      <c r="B30" t="s">
        <v>347</v>
      </c>
      <c r="C30" t="s">
        <v>8</v>
      </c>
      <c r="D30" s="1">
        <v>6292</v>
      </c>
      <c r="E30" s="1">
        <v>2697</v>
      </c>
      <c r="F30" s="2">
        <v>0.428639542275906</v>
      </c>
      <c r="G30" s="1">
        <v>37</v>
      </c>
      <c r="H30" s="2">
        <v>1.37189469781238E-2</v>
      </c>
      <c r="I30" s="2">
        <v>5.8804831532104302E-3</v>
      </c>
    </row>
    <row r="31" spans="1:9" x14ac:dyDescent="0.35">
      <c r="A31" s="13">
        <v>45764</v>
      </c>
      <c r="B31" t="s">
        <v>322</v>
      </c>
      <c r="C31" t="s">
        <v>351</v>
      </c>
      <c r="D31" s="1">
        <v>294423</v>
      </c>
      <c r="E31" s="1">
        <v>100647</v>
      </c>
      <c r="F31" s="3">
        <v>0.34179999999999999</v>
      </c>
      <c r="G31">
        <v>260</v>
      </c>
      <c r="H31" s="3">
        <v>2.5999999999999999E-3</v>
      </c>
      <c r="I31" s="3">
        <v>8.9999999999999998E-4</v>
      </c>
    </row>
    <row r="32" spans="1:9" x14ac:dyDescent="0.35">
      <c r="A32" s="13">
        <v>45764</v>
      </c>
      <c r="B32" t="s">
        <v>323</v>
      </c>
      <c r="C32" t="s">
        <v>352</v>
      </c>
      <c r="D32" s="1">
        <v>8266</v>
      </c>
      <c r="E32" s="1">
        <v>2589</v>
      </c>
      <c r="F32" s="3">
        <v>0.31319999999999998</v>
      </c>
      <c r="G32">
        <v>6</v>
      </c>
      <c r="H32" s="3">
        <v>2.3E-3</v>
      </c>
      <c r="I32" s="3">
        <v>6.9999999999999999E-4</v>
      </c>
    </row>
    <row r="33" spans="1:9" x14ac:dyDescent="0.35">
      <c r="A33" s="13">
        <v>45764</v>
      </c>
      <c r="B33" t="s">
        <v>295</v>
      </c>
      <c r="C33" t="s">
        <v>349</v>
      </c>
      <c r="D33" s="1">
        <v>307668</v>
      </c>
      <c r="E33" s="1">
        <v>110317</v>
      </c>
      <c r="F33" s="3">
        <v>0.35859999999999997</v>
      </c>
      <c r="G33">
        <v>247</v>
      </c>
      <c r="H33" s="3">
        <v>2.2000000000000001E-3</v>
      </c>
      <c r="I33" s="3">
        <v>8.0000000000000004E-4</v>
      </c>
    </row>
    <row r="34" spans="1:9" x14ac:dyDescent="0.35">
      <c r="A34" s="13">
        <v>45764</v>
      </c>
      <c r="B34" t="s">
        <v>297</v>
      </c>
      <c r="C34" t="s">
        <v>350</v>
      </c>
      <c r="D34" s="1">
        <v>21609</v>
      </c>
      <c r="E34" s="1">
        <v>7738</v>
      </c>
      <c r="F34" s="3">
        <v>0.35809999999999997</v>
      </c>
      <c r="G34">
        <v>26</v>
      </c>
      <c r="H34" s="3">
        <v>3.3999999999999998E-3</v>
      </c>
      <c r="I34" s="3">
        <v>1.1999999999999999E-3</v>
      </c>
    </row>
    <row r="35" spans="1:9" x14ac:dyDescent="0.35">
      <c r="A35" s="13">
        <v>45764</v>
      </c>
      <c r="B35" t="s">
        <v>348</v>
      </c>
      <c r="C35" t="s">
        <v>7</v>
      </c>
      <c r="D35" s="1">
        <v>4289282</v>
      </c>
      <c r="E35" s="1">
        <v>1451423</v>
      </c>
      <c r="F35" s="2">
        <v>0.338383673537902</v>
      </c>
      <c r="G35" s="1">
        <v>15103</v>
      </c>
      <c r="H35" s="2">
        <v>1.0405650179169E-2</v>
      </c>
      <c r="I35" s="2">
        <v>3.5211021331775301E-3</v>
      </c>
    </row>
    <row r="36" spans="1:9" ht="16" thickBot="1" x14ac:dyDescent="0.4">
      <c r="A36" s="23" t="s">
        <v>13</v>
      </c>
      <c r="D36" s="17">
        <f>SUM(D2:D35)</f>
        <v>21072923</v>
      </c>
      <c r="E36" s="17">
        <f>SUM(E2:E35)</f>
        <v>7139036</v>
      </c>
      <c r="F36" s="18">
        <f>AVERAGE(F2:F35)</f>
        <v>0.36053888308993037</v>
      </c>
      <c r="G36" s="17">
        <f>SUM(G2:G35)</f>
        <v>85045</v>
      </c>
      <c r="H36" s="18">
        <f>AVERAGE(H2:H35)</f>
        <v>2.3133168376834091E-2</v>
      </c>
      <c r="I36" s="18">
        <f>AVERAGE(I2:I35)</f>
        <v>9.2668366319458711E-3</v>
      </c>
    </row>
    <row r="37" spans="1:9" ht="15" thickBot="1" x14ac:dyDescent="0.4">
      <c r="A37" s="123" t="s">
        <v>19</v>
      </c>
      <c r="B37" s="123"/>
      <c r="C37" s="123"/>
      <c r="D37" s="123"/>
      <c r="E37" s="123"/>
      <c r="F37" s="123"/>
      <c r="G37" s="123"/>
      <c r="H37" s="123"/>
      <c r="I37" s="123"/>
    </row>
    <row r="38" spans="1:9" ht="15.5" x14ac:dyDescent="0.35">
      <c r="A38" s="24" t="s">
        <v>9</v>
      </c>
      <c r="B38" s="25" t="s">
        <v>0</v>
      </c>
      <c r="C38" s="25" t="s">
        <v>16</v>
      </c>
      <c r="D38" s="25" t="s">
        <v>1</v>
      </c>
      <c r="E38" s="25" t="s">
        <v>2</v>
      </c>
      <c r="F38" s="25" t="s">
        <v>3</v>
      </c>
      <c r="G38" s="25" t="s">
        <v>4</v>
      </c>
      <c r="H38" s="25" t="s">
        <v>5</v>
      </c>
      <c r="I38" s="26" t="s">
        <v>6</v>
      </c>
    </row>
    <row r="39" spans="1:9" x14ac:dyDescent="0.35">
      <c r="A39" s="5" t="s">
        <v>12</v>
      </c>
      <c r="B39" s="6"/>
      <c r="C39" s="6"/>
      <c r="D39" s="6"/>
      <c r="E39" s="6"/>
      <c r="F39" s="6"/>
      <c r="G39" s="6"/>
      <c r="H39" s="6"/>
      <c r="I39" s="7"/>
    </row>
    <row r="40" spans="1:9" x14ac:dyDescent="0.35">
      <c r="A40" s="8">
        <v>45758</v>
      </c>
      <c r="B40" t="s">
        <v>329</v>
      </c>
      <c r="C40" t="s">
        <v>7</v>
      </c>
      <c r="D40" s="1">
        <v>3229028</v>
      </c>
      <c r="E40" s="1">
        <v>926526</v>
      </c>
      <c r="F40" s="2">
        <v>0.28693650225392903</v>
      </c>
      <c r="G40" s="1">
        <v>10030</v>
      </c>
      <c r="H40" s="2">
        <v>1.08253842849526E-2</v>
      </c>
      <c r="I40" s="102">
        <v>3.1061979022789501E-3</v>
      </c>
    </row>
    <row r="41" spans="1:9" x14ac:dyDescent="0.35">
      <c r="A41" s="8">
        <v>45758</v>
      </c>
      <c r="B41" t="s">
        <v>329</v>
      </c>
      <c r="C41" t="s">
        <v>330</v>
      </c>
      <c r="D41" s="1">
        <v>146248</v>
      </c>
      <c r="E41" s="1">
        <v>51209</v>
      </c>
      <c r="F41" s="2">
        <v>0.35015179694765097</v>
      </c>
      <c r="G41" s="1">
        <v>560</v>
      </c>
      <c r="H41" s="2">
        <v>1.0935577730477101E-2</v>
      </c>
      <c r="I41" s="102">
        <v>3.8291121929872498E-3</v>
      </c>
    </row>
    <row r="42" spans="1:9" x14ac:dyDescent="0.35">
      <c r="A42" s="8">
        <v>45758</v>
      </c>
      <c r="B42" t="s">
        <v>329</v>
      </c>
      <c r="C42" t="s">
        <v>331</v>
      </c>
      <c r="D42" s="1">
        <v>676305</v>
      </c>
      <c r="E42" s="1">
        <v>207470</v>
      </c>
      <c r="F42" s="2">
        <v>0.30676987453885501</v>
      </c>
      <c r="G42" s="1">
        <v>2254</v>
      </c>
      <c r="H42" s="2">
        <v>1.0864221333204801E-2</v>
      </c>
      <c r="I42" s="102">
        <v>3.3328158153495802E-3</v>
      </c>
    </row>
    <row r="43" spans="1:9" x14ac:dyDescent="0.35">
      <c r="A43" s="8">
        <v>45758</v>
      </c>
      <c r="B43" t="s">
        <v>329</v>
      </c>
      <c r="C43" t="s">
        <v>332</v>
      </c>
      <c r="D43" s="1">
        <v>146338</v>
      </c>
      <c r="E43" s="1">
        <v>49914</v>
      </c>
      <c r="F43" s="2">
        <v>0.34108707239404701</v>
      </c>
      <c r="G43" s="1">
        <v>560</v>
      </c>
      <c r="H43" s="2">
        <v>1.1219297191168799E-2</v>
      </c>
      <c r="I43" s="102">
        <v>3.8267572332545199E-3</v>
      </c>
    </row>
    <row r="44" spans="1:9" x14ac:dyDescent="0.35">
      <c r="A44" s="8">
        <v>45758</v>
      </c>
      <c r="B44" t="s">
        <v>329</v>
      </c>
      <c r="C44" t="s">
        <v>333</v>
      </c>
      <c r="D44" s="1">
        <v>676968</v>
      </c>
      <c r="E44" s="1">
        <v>204644</v>
      </c>
      <c r="F44" s="2">
        <v>0.30229493860862</v>
      </c>
      <c r="G44" s="1">
        <v>2111</v>
      </c>
      <c r="H44" s="2">
        <v>1.03154746779774E-2</v>
      </c>
      <c r="I44" s="102">
        <v>3.1183157844979401E-3</v>
      </c>
    </row>
    <row r="45" spans="1:9" x14ac:dyDescent="0.35">
      <c r="A45" s="8">
        <v>45758</v>
      </c>
      <c r="B45" t="s">
        <v>329</v>
      </c>
      <c r="C45" t="s">
        <v>8</v>
      </c>
      <c r="D45" s="1">
        <v>222619</v>
      </c>
      <c r="E45" s="1">
        <v>65853</v>
      </c>
      <c r="F45" s="2">
        <v>0.29581033065461598</v>
      </c>
      <c r="G45" s="1">
        <v>810</v>
      </c>
      <c r="H45" s="2">
        <v>1.230012300123E-2</v>
      </c>
      <c r="I45" s="102">
        <v>3.6385034520863002E-3</v>
      </c>
    </row>
    <row r="46" spans="1:9" x14ac:dyDescent="0.35">
      <c r="A46" s="8">
        <v>45762</v>
      </c>
      <c r="B46" t="s">
        <v>341</v>
      </c>
      <c r="C46" t="s">
        <v>7</v>
      </c>
      <c r="D46" s="1">
        <v>611507</v>
      </c>
      <c r="E46" s="1">
        <v>192135</v>
      </c>
      <c r="F46" s="2">
        <v>0.314199183329054</v>
      </c>
      <c r="G46" s="1">
        <v>4432</v>
      </c>
      <c r="H46" s="2">
        <v>2.3067114268613201E-2</v>
      </c>
      <c r="I46" s="102">
        <v>7.2476684649562502E-3</v>
      </c>
    </row>
    <row r="47" spans="1:9" x14ac:dyDescent="0.35">
      <c r="A47" s="8">
        <v>45762</v>
      </c>
      <c r="B47" t="s">
        <v>341</v>
      </c>
      <c r="C47" t="s">
        <v>330</v>
      </c>
      <c r="D47" s="1">
        <v>201642</v>
      </c>
      <c r="E47" s="1">
        <v>69787</v>
      </c>
      <c r="F47" s="2">
        <v>0.34609357177572098</v>
      </c>
      <c r="G47" s="1">
        <v>2126</v>
      </c>
      <c r="H47" s="2">
        <v>3.0464126556522E-2</v>
      </c>
      <c r="I47" s="102">
        <v>1.05434383709743E-2</v>
      </c>
    </row>
    <row r="48" spans="1:9" x14ac:dyDescent="0.35">
      <c r="A48" s="8">
        <v>45762</v>
      </c>
      <c r="B48" t="s">
        <v>341</v>
      </c>
      <c r="C48" t="s">
        <v>331</v>
      </c>
      <c r="D48" s="1">
        <v>189078</v>
      </c>
      <c r="E48" s="1">
        <v>58537</v>
      </c>
      <c r="F48" s="2">
        <v>0.309591808671554</v>
      </c>
      <c r="G48" s="1">
        <v>1056</v>
      </c>
      <c r="H48" s="2">
        <v>1.8039872217571799E-2</v>
      </c>
      <c r="I48" s="102">
        <v>5.58499666804176E-3</v>
      </c>
    </row>
    <row r="49" spans="1:9" x14ac:dyDescent="0.35">
      <c r="A49" s="8">
        <v>45762</v>
      </c>
      <c r="B49" t="s">
        <v>341</v>
      </c>
      <c r="C49" t="s">
        <v>332</v>
      </c>
      <c r="D49" s="1">
        <v>201284</v>
      </c>
      <c r="E49" s="1">
        <v>69465</v>
      </c>
      <c r="F49" s="2">
        <v>0.34510939766697801</v>
      </c>
      <c r="G49" s="1">
        <v>1962</v>
      </c>
      <c r="H49" s="2">
        <v>2.8244439645864799E-2</v>
      </c>
      <c r="I49" s="102">
        <v>9.7474215536257208E-3</v>
      </c>
    </row>
    <row r="50" spans="1:9" x14ac:dyDescent="0.35">
      <c r="A50" s="8">
        <v>45762</v>
      </c>
      <c r="B50" t="s">
        <v>341</v>
      </c>
      <c r="C50" t="s">
        <v>333</v>
      </c>
      <c r="D50" s="1">
        <v>189490</v>
      </c>
      <c r="E50" s="1">
        <v>58742</v>
      </c>
      <c r="F50" s="2">
        <v>0.310000527732334</v>
      </c>
      <c r="G50" s="1">
        <v>992</v>
      </c>
      <c r="H50" s="2">
        <v>1.6887405944639299E-2</v>
      </c>
      <c r="I50" s="102">
        <v>5.2351047548683301E-3</v>
      </c>
    </row>
    <row r="51" spans="1:9" x14ac:dyDescent="0.35">
      <c r="A51" s="8">
        <v>45762</v>
      </c>
      <c r="B51" t="s">
        <v>341</v>
      </c>
      <c r="C51" t="s">
        <v>8</v>
      </c>
      <c r="D51" s="1">
        <v>38577</v>
      </c>
      <c r="E51" s="1">
        <v>12931</v>
      </c>
      <c r="F51" s="2">
        <v>0.335199730409311</v>
      </c>
      <c r="G51" s="1">
        <v>413</v>
      </c>
      <c r="H51" s="2">
        <v>3.1938751836671601E-2</v>
      </c>
      <c r="I51" s="102">
        <v>1.0705861005262199E-2</v>
      </c>
    </row>
    <row r="52" spans="1:9" ht="16" thickBot="1" x14ac:dyDescent="0.4">
      <c r="A52" s="22" t="s">
        <v>13</v>
      </c>
      <c r="B52" s="4"/>
      <c r="C52" s="4"/>
      <c r="D52" s="19">
        <f>SUM(D40:D51)</f>
        <v>6529084</v>
      </c>
      <c r="E52" s="19">
        <f>SUM(E40:E51)</f>
        <v>1967213</v>
      </c>
      <c r="F52" s="20">
        <f>AVERAGE(F40:F51)</f>
        <v>0.32027039458188916</v>
      </c>
      <c r="G52" s="19">
        <f>SUM(G40:G51)</f>
        <v>27306</v>
      </c>
      <c r="H52" s="20">
        <f>AVERAGE(H40:H51)</f>
        <v>1.7925149057407785E-2</v>
      </c>
      <c r="I52" s="21">
        <f>AVERAGE(I40:I51)</f>
        <v>5.8263494331819259E-3</v>
      </c>
    </row>
    <row r="53" spans="1:9" ht="3" customHeight="1" thickBot="1" x14ac:dyDescent="0.4">
      <c r="A53" s="127"/>
      <c r="B53" s="128"/>
      <c r="C53" s="128"/>
      <c r="D53" s="128"/>
      <c r="E53" s="128"/>
      <c r="F53" s="128"/>
      <c r="G53" s="128"/>
      <c r="H53" s="128"/>
      <c r="I53" s="129"/>
    </row>
    <row r="54" spans="1:9" x14ac:dyDescent="0.35">
      <c r="A54" s="10" t="s">
        <v>216</v>
      </c>
      <c r="B54" s="11"/>
      <c r="C54" s="11"/>
      <c r="D54" s="11"/>
      <c r="E54" s="11"/>
      <c r="F54" s="11"/>
      <c r="G54" s="11"/>
      <c r="H54" s="11"/>
      <c r="I54" s="12"/>
    </row>
    <row r="55" spans="1:9" x14ac:dyDescent="0.35">
      <c r="A55" s="14">
        <v>45758</v>
      </c>
      <c r="B55" t="s">
        <v>334</v>
      </c>
      <c r="C55" t="s">
        <v>335</v>
      </c>
      <c r="D55" s="1">
        <v>79069</v>
      </c>
      <c r="E55" s="1">
        <v>22748</v>
      </c>
      <c r="F55" s="2">
        <v>0.28769808648142797</v>
      </c>
      <c r="G55" s="1">
        <v>333</v>
      </c>
      <c r="H55" s="2">
        <v>1.4638649551608899E-2</v>
      </c>
      <c r="I55" s="15">
        <v>4.2115114646701004E-3</v>
      </c>
    </row>
    <row r="56" spans="1:9" x14ac:dyDescent="0.35">
      <c r="A56" s="14">
        <v>45758</v>
      </c>
      <c r="B56" t="s">
        <v>336</v>
      </c>
      <c r="C56" t="s">
        <v>7</v>
      </c>
      <c r="D56" s="1">
        <v>6193738</v>
      </c>
      <c r="E56" s="1">
        <v>2177703</v>
      </c>
      <c r="F56" s="2">
        <v>0.35159753286303003</v>
      </c>
      <c r="G56" s="1">
        <v>18348</v>
      </c>
      <c r="H56" s="2">
        <v>8.4253913412434996E-3</v>
      </c>
      <c r="I56" s="15">
        <v>2.9623468089867498E-3</v>
      </c>
    </row>
    <row r="57" spans="1:9" x14ac:dyDescent="0.35">
      <c r="A57" s="14">
        <v>45758</v>
      </c>
      <c r="B57" t="s">
        <v>336</v>
      </c>
      <c r="C57" t="s">
        <v>8</v>
      </c>
      <c r="D57" s="1">
        <v>400776</v>
      </c>
      <c r="E57" s="1">
        <v>140965</v>
      </c>
      <c r="F57" s="2">
        <v>0.35173014352156801</v>
      </c>
      <c r="G57" s="1">
        <v>1909</v>
      </c>
      <c r="H57" s="2">
        <v>1.35423686730749E-2</v>
      </c>
      <c r="I57" s="15">
        <v>4.7632592770026202E-3</v>
      </c>
    </row>
    <row r="58" spans="1:9" x14ac:dyDescent="0.35">
      <c r="A58" s="14">
        <v>45759</v>
      </c>
      <c r="B58" t="s">
        <v>337</v>
      </c>
      <c r="C58" t="s">
        <v>7</v>
      </c>
      <c r="D58" s="1">
        <v>1268683</v>
      </c>
      <c r="E58" s="1">
        <v>480590</v>
      </c>
      <c r="F58" s="2">
        <v>0.37881015194496998</v>
      </c>
      <c r="G58" s="1">
        <v>4274</v>
      </c>
      <c r="H58" s="2">
        <v>8.8932353981564308E-3</v>
      </c>
      <c r="I58" s="15">
        <v>3.3688478524580199E-3</v>
      </c>
    </row>
    <row r="59" spans="1:9" x14ac:dyDescent="0.35">
      <c r="A59" s="14">
        <v>45759</v>
      </c>
      <c r="B59" t="s">
        <v>337</v>
      </c>
      <c r="C59" t="s">
        <v>8</v>
      </c>
      <c r="D59" s="1">
        <v>70465</v>
      </c>
      <c r="E59" s="1">
        <v>25988</v>
      </c>
      <c r="F59" s="2">
        <v>0.36880720925282101</v>
      </c>
      <c r="G59" s="1">
        <v>249</v>
      </c>
      <c r="H59" s="2">
        <v>9.5813452362628893E-3</v>
      </c>
      <c r="I59" s="15">
        <v>3.5336691974739202E-3</v>
      </c>
    </row>
    <row r="60" spans="1:9" x14ac:dyDescent="0.35">
      <c r="A60" s="14">
        <v>45761</v>
      </c>
      <c r="B60" t="s">
        <v>338</v>
      </c>
      <c r="C60" t="s">
        <v>7</v>
      </c>
      <c r="D60" s="1">
        <v>677663</v>
      </c>
      <c r="E60" s="1">
        <v>258223</v>
      </c>
      <c r="F60" s="2">
        <v>0.38104928260802201</v>
      </c>
      <c r="G60" s="1">
        <v>4684</v>
      </c>
      <c r="H60" s="2">
        <v>1.8139360165438399E-2</v>
      </c>
      <c r="I60" s="15">
        <v>6.9119901780088297E-3</v>
      </c>
    </row>
    <row r="61" spans="1:9" x14ac:dyDescent="0.35">
      <c r="A61" s="14">
        <v>45761</v>
      </c>
      <c r="B61" t="s">
        <v>338</v>
      </c>
      <c r="C61" t="s">
        <v>8</v>
      </c>
      <c r="D61" s="1">
        <v>48327</v>
      </c>
      <c r="E61" s="1">
        <v>18198</v>
      </c>
      <c r="F61" s="2">
        <v>0.37655968713141702</v>
      </c>
      <c r="G61" s="1">
        <v>551</v>
      </c>
      <c r="H61" s="2">
        <v>3.0278052533245399E-2</v>
      </c>
      <c r="I61" s="15">
        <v>1.14014939888675E-2</v>
      </c>
    </row>
    <row r="62" spans="1:9" x14ac:dyDescent="0.35">
      <c r="A62" s="14">
        <v>45761</v>
      </c>
      <c r="B62" t="s">
        <v>339</v>
      </c>
      <c r="C62" t="s">
        <v>7</v>
      </c>
      <c r="D62" s="1">
        <v>133630</v>
      </c>
      <c r="E62" s="1">
        <v>52495</v>
      </c>
      <c r="F62" s="2">
        <v>0.39283843448327499</v>
      </c>
      <c r="G62" s="1">
        <v>827</v>
      </c>
      <c r="H62" s="2">
        <v>1.5753881322030702E-2</v>
      </c>
      <c r="I62" s="15">
        <v>6.1887300755818298E-3</v>
      </c>
    </row>
    <row r="63" spans="1:9" x14ac:dyDescent="0.35">
      <c r="A63" s="14">
        <v>45761</v>
      </c>
      <c r="B63" t="s">
        <v>340</v>
      </c>
      <c r="C63" t="s">
        <v>7</v>
      </c>
      <c r="D63" s="1">
        <v>41044</v>
      </c>
      <c r="E63" s="1">
        <v>11694</v>
      </c>
      <c r="F63" s="2">
        <v>0.284913751096384</v>
      </c>
      <c r="G63" s="1">
        <v>114</v>
      </c>
      <c r="H63" s="2">
        <v>9.7485890200102593E-3</v>
      </c>
      <c r="I63" s="15">
        <v>2.7775070655881502E-3</v>
      </c>
    </row>
    <row r="64" spans="1:9" x14ac:dyDescent="0.35">
      <c r="A64" s="14">
        <v>45762</v>
      </c>
      <c r="B64" t="s">
        <v>342</v>
      </c>
      <c r="C64" t="s">
        <v>7</v>
      </c>
      <c r="D64" s="1">
        <v>140804</v>
      </c>
      <c r="E64" s="1">
        <v>55713</v>
      </c>
      <c r="F64" s="2">
        <v>0.39567767961137501</v>
      </c>
      <c r="G64" s="1">
        <v>503</v>
      </c>
      <c r="H64" s="2">
        <v>9.0284134762084294E-3</v>
      </c>
      <c r="I64" s="15">
        <v>3.5723416948382101E-3</v>
      </c>
    </row>
    <row r="65" spans="1:9" x14ac:dyDescent="0.35">
      <c r="A65" s="14">
        <v>45762</v>
      </c>
      <c r="B65" t="s">
        <v>342</v>
      </c>
      <c r="C65" t="s">
        <v>8</v>
      </c>
      <c r="D65" s="1">
        <v>643</v>
      </c>
      <c r="E65" s="1">
        <v>272</v>
      </c>
      <c r="F65" s="2">
        <v>0.42301710730948699</v>
      </c>
      <c r="G65" s="1">
        <v>7</v>
      </c>
      <c r="H65" s="2">
        <v>2.5735294117647099E-2</v>
      </c>
      <c r="I65" s="15">
        <v>1.08864696734059E-2</v>
      </c>
    </row>
    <row r="66" spans="1:9" x14ac:dyDescent="0.35">
      <c r="A66" s="14">
        <v>45762</v>
      </c>
      <c r="B66" t="s">
        <v>343</v>
      </c>
      <c r="C66" t="s">
        <v>344</v>
      </c>
      <c r="D66" s="1">
        <v>47144</v>
      </c>
      <c r="E66" s="1">
        <v>22313</v>
      </c>
      <c r="F66" s="2">
        <v>0.47329458679789599</v>
      </c>
      <c r="G66" s="1">
        <v>4506</v>
      </c>
      <c r="H66" s="2">
        <v>0.201945054452561</v>
      </c>
      <c r="I66" s="15">
        <v>9.5579501103003603E-2</v>
      </c>
    </row>
    <row r="67" spans="1:9" x14ac:dyDescent="0.35">
      <c r="A67" s="14">
        <v>45762</v>
      </c>
      <c r="B67" t="s">
        <v>343</v>
      </c>
      <c r="C67" t="s">
        <v>345</v>
      </c>
      <c r="D67" s="1">
        <v>45860</v>
      </c>
      <c r="E67" s="1">
        <v>19806</v>
      </c>
      <c r="F67" s="2">
        <v>0.431879633667684</v>
      </c>
      <c r="G67" s="1">
        <v>2132</v>
      </c>
      <c r="H67" s="2">
        <v>0.10764414823790799</v>
      </c>
      <c r="I67" s="15">
        <v>4.64893153074575E-2</v>
      </c>
    </row>
    <row r="68" spans="1:9" x14ac:dyDescent="0.35">
      <c r="A68" s="14">
        <v>45763</v>
      </c>
      <c r="B68" t="s">
        <v>346</v>
      </c>
      <c r="C68" t="s">
        <v>7</v>
      </c>
      <c r="D68" s="1">
        <v>198114</v>
      </c>
      <c r="E68" s="1">
        <v>87747</v>
      </c>
      <c r="F68" s="2">
        <v>0.442911656924801</v>
      </c>
      <c r="G68" s="1">
        <v>1395</v>
      </c>
      <c r="H68" s="2">
        <v>1.5897979418099801E-2</v>
      </c>
      <c r="I68" s="15">
        <v>7.0414004058269499E-3</v>
      </c>
    </row>
    <row r="69" spans="1:9" x14ac:dyDescent="0.35">
      <c r="A69" s="14">
        <v>45763</v>
      </c>
      <c r="B69" t="s">
        <v>346</v>
      </c>
      <c r="C69" t="s">
        <v>8</v>
      </c>
      <c r="D69" s="1">
        <v>12189</v>
      </c>
      <c r="E69" s="1">
        <v>5925</v>
      </c>
      <c r="F69" s="2">
        <v>0.48609401919763701</v>
      </c>
      <c r="G69" s="1">
        <v>177</v>
      </c>
      <c r="H69" s="2">
        <v>2.9873417721519E-2</v>
      </c>
      <c r="I69" s="15">
        <v>1.4521289687423101E-2</v>
      </c>
    </row>
    <row r="70" spans="1:9" x14ac:dyDescent="0.35">
      <c r="A70" s="14">
        <v>45763</v>
      </c>
      <c r="B70" t="s">
        <v>347</v>
      </c>
      <c r="C70" t="s">
        <v>7</v>
      </c>
      <c r="D70" s="1">
        <v>258150</v>
      </c>
      <c r="E70" s="1">
        <v>116032</v>
      </c>
      <c r="F70" s="2">
        <v>0.44947511136935903</v>
      </c>
      <c r="G70" s="1">
        <v>2051</v>
      </c>
      <c r="H70" s="2">
        <v>1.7676158301158301E-2</v>
      </c>
      <c r="I70" s="15">
        <v>7.9449932209955491E-3</v>
      </c>
    </row>
    <row r="71" spans="1:9" x14ac:dyDescent="0.35">
      <c r="A71" s="14">
        <v>45763</v>
      </c>
      <c r="B71" t="s">
        <v>347</v>
      </c>
      <c r="C71" t="s">
        <v>8</v>
      </c>
      <c r="D71" s="1">
        <v>6292</v>
      </c>
      <c r="E71" s="1">
        <v>2697</v>
      </c>
      <c r="F71" s="2">
        <v>0.428639542275906</v>
      </c>
      <c r="G71" s="1">
        <v>37</v>
      </c>
      <c r="H71" s="2">
        <v>1.37189469781238E-2</v>
      </c>
      <c r="I71" s="15">
        <v>5.8804831532104302E-3</v>
      </c>
    </row>
    <row r="72" spans="1:9" x14ac:dyDescent="0.35">
      <c r="A72" s="14">
        <v>45764</v>
      </c>
      <c r="B72" t="s">
        <v>348</v>
      </c>
      <c r="C72" t="s">
        <v>7</v>
      </c>
      <c r="D72" s="1">
        <v>4289282</v>
      </c>
      <c r="E72" s="1">
        <v>1451423</v>
      </c>
      <c r="F72" s="2">
        <v>0.338383673537902</v>
      </c>
      <c r="G72" s="1">
        <v>15103</v>
      </c>
      <c r="H72" s="2">
        <v>1.0405650179169E-2</v>
      </c>
      <c r="I72" s="15">
        <v>3.5211021331775301E-3</v>
      </c>
    </row>
    <row r="73" spans="1:9" ht="16" thickBot="1" x14ac:dyDescent="0.4">
      <c r="A73" s="22" t="s">
        <v>13</v>
      </c>
      <c r="B73" s="4"/>
      <c r="C73" s="4"/>
      <c r="D73" s="19">
        <f>SUM(D55:D72)</f>
        <v>13911873</v>
      </c>
      <c r="E73" s="19">
        <f>SUM(E55:E72)</f>
        <v>4950532</v>
      </c>
      <c r="F73" s="20">
        <f>AVERAGE(F55:F72)</f>
        <v>0.39129873833749795</v>
      </c>
      <c r="G73" s="19">
        <f>SUM(G55:G72)</f>
        <v>57200</v>
      </c>
      <c r="H73" s="20">
        <f>AVERAGE(H55:H72)</f>
        <v>3.1162552006859207E-2</v>
      </c>
      <c r="I73" s="21">
        <f>AVERAGE(I55:I72)</f>
        <v>1.3419791793776472E-2</v>
      </c>
    </row>
    <row r="74" spans="1:9" ht="3" customHeight="1" thickBot="1" x14ac:dyDescent="0.4"/>
    <row r="75" spans="1:9" x14ac:dyDescent="0.35">
      <c r="A75" s="10" t="s">
        <v>11</v>
      </c>
      <c r="B75" s="11"/>
      <c r="C75" s="11"/>
      <c r="D75" s="11"/>
      <c r="E75" s="11"/>
      <c r="F75" s="11"/>
      <c r="G75" s="11"/>
      <c r="H75" s="11"/>
      <c r="I75" s="12"/>
    </row>
    <row r="76" spans="1:9" x14ac:dyDescent="0.35">
      <c r="A76" s="8">
        <v>45764</v>
      </c>
      <c r="B76" t="s">
        <v>322</v>
      </c>
      <c r="C76" t="s">
        <v>351</v>
      </c>
      <c r="D76" s="1">
        <v>294423</v>
      </c>
      <c r="E76" s="1">
        <v>100647</v>
      </c>
      <c r="F76" s="3">
        <v>0.34179999999999999</v>
      </c>
      <c r="G76">
        <v>260</v>
      </c>
      <c r="H76" s="3">
        <v>2.5999999999999999E-3</v>
      </c>
      <c r="I76" s="9">
        <v>8.9999999999999998E-4</v>
      </c>
    </row>
    <row r="77" spans="1:9" x14ac:dyDescent="0.35">
      <c r="A77" s="8">
        <v>45764</v>
      </c>
      <c r="B77" t="s">
        <v>323</v>
      </c>
      <c r="C77" t="s">
        <v>352</v>
      </c>
      <c r="D77" s="1">
        <v>8266</v>
      </c>
      <c r="E77" s="1">
        <v>2589</v>
      </c>
      <c r="F77" s="3">
        <v>0.31319999999999998</v>
      </c>
      <c r="G77">
        <v>6</v>
      </c>
      <c r="H77" s="3">
        <v>2.3E-3</v>
      </c>
      <c r="I77" s="9">
        <v>6.9999999999999999E-4</v>
      </c>
    </row>
    <row r="78" spans="1:9" x14ac:dyDescent="0.35">
      <c r="A78" s="8">
        <v>45764</v>
      </c>
      <c r="B78" t="s">
        <v>295</v>
      </c>
      <c r="C78" t="s">
        <v>349</v>
      </c>
      <c r="D78" s="1">
        <v>307668</v>
      </c>
      <c r="E78" s="1">
        <v>110317</v>
      </c>
      <c r="F78" s="3">
        <v>0.35859999999999997</v>
      </c>
      <c r="G78">
        <v>247</v>
      </c>
      <c r="H78" s="3">
        <v>2.2000000000000001E-3</v>
      </c>
      <c r="I78" s="9">
        <v>8.0000000000000004E-4</v>
      </c>
    </row>
    <row r="79" spans="1:9" x14ac:dyDescent="0.35">
      <c r="A79" s="8">
        <v>45764</v>
      </c>
      <c r="B79" t="s">
        <v>297</v>
      </c>
      <c r="C79" t="s">
        <v>350</v>
      </c>
      <c r="D79" s="1">
        <v>21609</v>
      </c>
      <c r="E79" s="1">
        <v>7738</v>
      </c>
      <c r="F79" s="3">
        <v>0.35809999999999997</v>
      </c>
      <c r="G79">
        <v>26</v>
      </c>
      <c r="H79" s="3">
        <v>3.3999999999999998E-3</v>
      </c>
      <c r="I79" s="9">
        <v>1.1999999999999999E-3</v>
      </c>
    </row>
    <row r="80" spans="1:9" ht="16" thickBot="1" x14ac:dyDescent="0.4">
      <c r="A80" s="22" t="s">
        <v>13</v>
      </c>
      <c r="B80" s="4"/>
      <c r="C80" s="4"/>
      <c r="D80" s="19">
        <f>SUM(D76:D79)</f>
        <v>631966</v>
      </c>
      <c r="E80" s="19">
        <f>SUM(E76:E79)</f>
        <v>221291</v>
      </c>
      <c r="F80" s="20">
        <f>AVERAGE(F76:F79)</f>
        <v>0.34292500000000004</v>
      </c>
      <c r="G80" s="19">
        <f>SUM(G76:G79)</f>
        <v>539</v>
      </c>
      <c r="H80" s="20">
        <f>AVERAGE(H76:H79)</f>
        <v>2.6250000000000002E-3</v>
      </c>
      <c r="I80" s="21">
        <f>AVERAGE(I76:I79)</f>
        <v>8.9999999999999998E-4</v>
      </c>
    </row>
    <row r="84" spans="3:9" x14ac:dyDescent="0.35">
      <c r="C84" s="1"/>
      <c r="D84" s="1"/>
      <c r="E84" s="3"/>
      <c r="G84" s="3"/>
      <c r="H84" s="3"/>
    </row>
    <row r="85" spans="3:9" x14ac:dyDescent="0.35">
      <c r="C85" s="1"/>
      <c r="D85" s="1"/>
      <c r="E85" s="3"/>
      <c r="G85" s="3"/>
      <c r="H85" s="3"/>
    </row>
    <row r="86" spans="3:9" x14ac:dyDescent="0.35">
      <c r="C86" s="1"/>
      <c r="D86" s="1"/>
      <c r="E86" s="3"/>
      <c r="G86" s="3"/>
      <c r="H86" s="3"/>
    </row>
    <row r="87" spans="3:9" x14ac:dyDescent="0.35">
      <c r="C87" s="1"/>
      <c r="D87" s="1"/>
      <c r="E87" s="3"/>
      <c r="G87" s="3"/>
      <c r="H87" s="3"/>
    </row>
    <row r="88" spans="3:9" x14ac:dyDescent="0.35">
      <c r="D88" s="1"/>
      <c r="E88" s="1"/>
      <c r="F88" s="3"/>
      <c r="H88" s="3"/>
      <c r="I88" s="3"/>
    </row>
    <row r="89" spans="3:9" x14ac:dyDescent="0.35">
      <c r="D89" s="1"/>
      <c r="E89" s="1"/>
      <c r="F89" s="3"/>
      <c r="H89" s="3"/>
      <c r="I89" s="3"/>
    </row>
    <row r="90" spans="3:9" x14ac:dyDescent="0.35">
      <c r="D90" s="1"/>
      <c r="E90" s="1"/>
      <c r="F90" s="3"/>
      <c r="H90" s="3"/>
      <c r="I90" s="3"/>
    </row>
    <row r="91" spans="3:9" x14ac:dyDescent="0.35">
      <c r="D91" s="1"/>
      <c r="E91" s="1"/>
      <c r="F91" s="3"/>
      <c r="H91" s="3"/>
      <c r="I91" s="3"/>
    </row>
  </sheetData>
  <mergeCells count="2">
    <mergeCell ref="A37:I37"/>
    <mergeCell ref="A53:I53"/>
  </mergeCells>
  <pageMargins left="0.7" right="0.7" top="0.75" bottom="0.75" header="0.3" footer="0.3"/>
  <ignoredErrors>
    <ignoredError sqref="F36:G36 F52:G52 F73:G73 F80:G80" formula="1"/>
  </ignoredErrors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8E58-6305-4267-AD50-04BC86BC0B55}">
  <dimension ref="A1:I93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5.5429687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45765</v>
      </c>
      <c r="B2" t="s">
        <v>354</v>
      </c>
      <c r="C2" t="s">
        <v>7</v>
      </c>
      <c r="D2" s="1">
        <v>4889373</v>
      </c>
      <c r="E2" s="1">
        <v>1387408</v>
      </c>
      <c r="F2" s="2">
        <v>0.28375990132068102</v>
      </c>
      <c r="G2" s="1">
        <v>15695</v>
      </c>
      <c r="H2" s="2">
        <v>1.13124617992689E-2</v>
      </c>
      <c r="I2" s="2">
        <v>3.2100230438545001E-3</v>
      </c>
    </row>
    <row r="3" spans="1:9" x14ac:dyDescent="0.35">
      <c r="A3" s="13">
        <v>45765</v>
      </c>
      <c r="B3" t="s">
        <v>354</v>
      </c>
      <c r="C3" t="s">
        <v>8</v>
      </c>
      <c r="D3" s="1">
        <v>313708</v>
      </c>
      <c r="E3" s="1">
        <v>85504</v>
      </c>
      <c r="F3" s="2">
        <v>0.272559195175131</v>
      </c>
      <c r="G3" s="1">
        <v>1205</v>
      </c>
      <c r="H3" s="2">
        <v>1.4092907934131701E-2</v>
      </c>
      <c r="I3" s="2">
        <v>3.8411516442041602E-3</v>
      </c>
    </row>
    <row r="4" spans="1:9" x14ac:dyDescent="0.35">
      <c r="A4" s="13">
        <v>45766</v>
      </c>
      <c r="B4" t="s">
        <v>355</v>
      </c>
      <c r="C4" t="s">
        <v>7</v>
      </c>
      <c r="D4" s="1">
        <v>1307844</v>
      </c>
      <c r="E4" s="1">
        <v>426581</v>
      </c>
      <c r="F4" s="2">
        <v>0.326171164144959</v>
      </c>
      <c r="G4" s="1">
        <v>5777</v>
      </c>
      <c r="H4" s="2">
        <v>1.35425628426958E-2</v>
      </c>
      <c r="I4" s="2">
        <v>4.4171934879083403E-3</v>
      </c>
    </row>
    <row r="5" spans="1:9" x14ac:dyDescent="0.35">
      <c r="A5" s="13">
        <v>45766</v>
      </c>
      <c r="B5" t="s">
        <v>355</v>
      </c>
      <c r="C5" t="s">
        <v>8</v>
      </c>
      <c r="D5" s="1">
        <v>94880</v>
      </c>
      <c r="E5" s="1">
        <v>30340</v>
      </c>
      <c r="F5" s="2">
        <v>0.31977234401349097</v>
      </c>
      <c r="G5" s="1">
        <v>653</v>
      </c>
      <c r="H5" s="2">
        <v>2.1522742254449601E-2</v>
      </c>
      <c r="I5" s="2">
        <v>6.8823777403035401E-3</v>
      </c>
    </row>
    <row r="6" spans="1:9" x14ac:dyDescent="0.35">
      <c r="A6" s="13">
        <v>45767</v>
      </c>
      <c r="B6" t="s">
        <v>356</v>
      </c>
      <c r="C6" t="s">
        <v>7</v>
      </c>
      <c r="D6" s="1">
        <v>6300058</v>
      </c>
      <c r="E6" s="1">
        <v>2321486</v>
      </c>
      <c r="F6" s="2">
        <v>0.36848644885491499</v>
      </c>
      <c r="G6" s="1">
        <v>79485</v>
      </c>
      <c r="H6" s="2">
        <v>3.4238845291334898E-2</v>
      </c>
      <c r="I6" s="2">
        <v>1.2616550514296899E-2</v>
      </c>
    </row>
    <row r="7" spans="1:9" x14ac:dyDescent="0.35">
      <c r="A7" s="13">
        <v>45767</v>
      </c>
      <c r="B7" t="s">
        <v>356</v>
      </c>
      <c r="C7" t="s">
        <v>8</v>
      </c>
      <c r="D7" s="1">
        <v>402703</v>
      </c>
      <c r="E7" s="1">
        <v>149134</v>
      </c>
      <c r="F7" s="2">
        <v>0.370332478278036</v>
      </c>
      <c r="G7" s="1">
        <v>6473</v>
      </c>
      <c r="H7" s="2">
        <v>4.3403918623519798E-2</v>
      </c>
      <c r="I7" s="2">
        <v>1.6073880750826299E-2</v>
      </c>
    </row>
    <row r="8" spans="1:9" x14ac:dyDescent="0.35">
      <c r="A8" s="13">
        <v>45768</v>
      </c>
      <c r="B8" t="s">
        <v>357</v>
      </c>
      <c r="C8" t="s">
        <v>7</v>
      </c>
      <c r="D8" s="1">
        <v>2031236</v>
      </c>
      <c r="E8" s="1">
        <v>747226</v>
      </c>
      <c r="F8" s="2">
        <v>0.36786764314929399</v>
      </c>
      <c r="G8" s="1">
        <v>6120</v>
      </c>
      <c r="H8" s="2">
        <v>8.1902931643170907E-3</v>
      </c>
      <c r="I8" s="2">
        <v>3.0129438430591001E-3</v>
      </c>
    </row>
    <row r="9" spans="1:9" x14ac:dyDescent="0.35">
      <c r="A9" s="13">
        <v>45769</v>
      </c>
      <c r="B9" t="s">
        <v>358</v>
      </c>
      <c r="C9" t="s">
        <v>7</v>
      </c>
      <c r="D9" s="1">
        <v>616275</v>
      </c>
      <c r="E9" s="1">
        <v>192938</v>
      </c>
      <c r="F9" s="2">
        <v>0.31307127499898602</v>
      </c>
      <c r="G9" s="1">
        <v>5686</v>
      </c>
      <c r="H9" s="2">
        <v>2.9470607138044301E-2</v>
      </c>
      <c r="I9" s="2">
        <v>9.2264005517017599E-3</v>
      </c>
    </row>
    <row r="10" spans="1:9" x14ac:dyDescent="0.35">
      <c r="A10" s="13">
        <v>45769</v>
      </c>
      <c r="B10" t="s">
        <v>358</v>
      </c>
      <c r="C10" t="s">
        <v>330</v>
      </c>
      <c r="D10" s="1">
        <v>203379</v>
      </c>
      <c r="E10" s="1">
        <v>69800</v>
      </c>
      <c r="F10" s="2">
        <v>0.34320160881900302</v>
      </c>
      <c r="G10" s="1">
        <v>2418</v>
      </c>
      <c r="H10" s="2">
        <v>3.4641833810888201E-2</v>
      </c>
      <c r="I10" s="2">
        <v>1.18891330963374E-2</v>
      </c>
    </row>
    <row r="11" spans="1:9" x14ac:dyDescent="0.35">
      <c r="A11" s="13">
        <v>45769</v>
      </c>
      <c r="B11" t="s">
        <v>358</v>
      </c>
      <c r="C11" t="s">
        <v>331</v>
      </c>
      <c r="D11" s="1">
        <v>191048</v>
      </c>
      <c r="E11" s="1">
        <v>58715</v>
      </c>
      <c r="F11" s="2">
        <v>0.30733114191198002</v>
      </c>
      <c r="G11" s="1">
        <v>1326</v>
      </c>
      <c r="H11" s="2">
        <v>2.25836668653666E-2</v>
      </c>
      <c r="I11" s="2">
        <v>6.9406641262928703E-3</v>
      </c>
    </row>
    <row r="12" spans="1:9" x14ac:dyDescent="0.35">
      <c r="A12" s="13">
        <v>45769</v>
      </c>
      <c r="B12" t="s">
        <v>358</v>
      </c>
      <c r="C12" t="s">
        <v>332</v>
      </c>
      <c r="D12" s="1">
        <v>201934</v>
      </c>
      <c r="E12" s="1">
        <v>69276</v>
      </c>
      <c r="F12" s="2">
        <v>0.34306258480493601</v>
      </c>
      <c r="G12" s="1">
        <v>2363</v>
      </c>
      <c r="H12" s="2">
        <v>3.4109937063340798E-2</v>
      </c>
      <c r="I12" s="2">
        <v>1.1701843176483401E-2</v>
      </c>
    </row>
    <row r="13" spans="1:9" x14ac:dyDescent="0.35">
      <c r="A13" s="13">
        <v>45769</v>
      </c>
      <c r="B13" t="s">
        <v>358</v>
      </c>
      <c r="C13" t="s">
        <v>333</v>
      </c>
      <c r="D13" s="1">
        <v>190675</v>
      </c>
      <c r="E13" s="1">
        <v>58907</v>
      </c>
      <c r="F13" s="2">
        <v>0.30893929461125003</v>
      </c>
      <c r="G13" s="1">
        <v>1256</v>
      </c>
      <c r="H13" s="2">
        <v>2.1321744444633101E-2</v>
      </c>
      <c r="I13" s="2">
        <v>6.5871246886062699E-3</v>
      </c>
    </row>
    <row r="14" spans="1:9" x14ac:dyDescent="0.35">
      <c r="A14" s="13">
        <v>45769</v>
      </c>
      <c r="B14" t="s">
        <v>358</v>
      </c>
      <c r="C14" t="s">
        <v>8</v>
      </c>
      <c r="D14" s="1">
        <v>38843</v>
      </c>
      <c r="E14" s="1">
        <v>11812</v>
      </c>
      <c r="F14" s="2">
        <v>0.304095976108951</v>
      </c>
      <c r="G14" s="1">
        <v>496</v>
      </c>
      <c r="H14" s="2">
        <v>4.1991195394514097E-2</v>
      </c>
      <c r="I14" s="2">
        <v>1.2769353551476501E-2</v>
      </c>
    </row>
    <row r="15" spans="1:9" x14ac:dyDescent="0.35">
      <c r="A15" s="13">
        <v>45770</v>
      </c>
      <c r="B15" t="s">
        <v>359</v>
      </c>
      <c r="C15" t="s">
        <v>85</v>
      </c>
      <c r="D15" s="1">
        <v>632</v>
      </c>
      <c r="E15" s="1">
        <v>162</v>
      </c>
      <c r="F15" s="2">
        <v>0.256329113924051</v>
      </c>
      <c r="G15" s="1">
        <v>6</v>
      </c>
      <c r="H15" s="2">
        <v>3.7037037037037E-2</v>
      </c>
      <c r="I15" s="2">
        <v>9.4936708860759497E-3</v>
      </c>
    </row>
    <row r="16" spans="1:9" x14ac:dyDescent="0.35">
      <c r="A16" s="13">
        <v>45770</v>
      </c>
      <c r="B16" t="s">
        <v>360</v>
      </c>
      <c r="C16" t="s">
        <v>87</v>
      </c>
      <c r="D16" s="1">
        <v>136</v>
      </c>
      <c r="E16" s="1">
        <v>40</v>
      </c>
      <c r="F16" s="2">
        <v>0.29411764705882398</v>
      </c>
      <c r="G16" s="1">
        <v>3</v>
      </c>
      <c r="H16" s="2">
        <v>7.4999999999999997E-2</v>
      </c>
      <c r="I16" s="2">
        <v>2.2058823529411801E-2</v>
      </c>
    </row>
    <row r="17" spans="1:9" x14ac:dyDescent="0.35">
      <c r="A17" s="13">
        <v>45771</v>
      </c>
      <c r="B17" t="s">
        <v>361</v>
      </c>
      <c r="C17" t="s">
        <v>316</v>
      </c>
      <c r="D17" s="1">
        <v>89574</v>
      </c>
      <c r="E17" s="1">
        <v>30170</v>
      </c>
      <c r="F17" s="2">
        <v>0.33681648692700999</v>
      </c>
      <c r="G17" s="1">
        <v>604</v>
      </c>
      <c r="H17" s="2">
        <v>2.0019887305270101E-2</v>
      </c>
      <c r="I17" s="2">
        <v>6.7430281108357302E-3</v>
      </c>
    </row>
    <row r="18" spans="1:9" x14ac:dyDescent="0.35">
      <c r="A18" s="13">
        <v>45771</v>
      </c>
      <c r="B18" t="s">
        <v>361</v>
      </c>
      <c r="C18" t="s">
        <v>317</v>
      </c>
      <c r="D18" s="1">
        <v>4890</v>
      </c>
      <c r="E18" s="1">
        <v>1570</v>
      </c>
      <c r="F18" s="2">
        <v>0.32106339468302703</v>
      </c>
      <c r="G18" s="1">
        <v>23</v>
      </c>
      <c r="H18" s="2">
        <v>1.46496815286624E-2</v>
      </c>
      <c r="I18" s="2">
        <v>4.7034764826175898E-3</v>
      </c>
    </row>
    <row r="19" spans="1:9" x14ac:dyDescent="0.35">
      <c r="A19" s="13">
        <v>45771</v>
      </c>
      <c r="B19" t="s">
        <v>361</v>
      </c>
      <c r="C19" t="s">
        <v>318</v>
      </c>
      <c r="D19" s="1">
        <v>88824</v>
      </c>
      <c r="E19" s="1">
        <v>33622</v>
      </c>
      <c r="F19" s="2">
        <v>0.37852382239034499</v>
      </c>
      <c r="G19" s="1">
        <v>468</v>
      </c>
      <c r="H19" s="2">
        <v>1.39194574980667E-2</v>
      </c>
      <c r="I19" s="2">
        <v>5.2688462577681703E-3</v>
      </c>
    </row>
    <row r="20" spans="1:9" x14ac:dyDescent="0.35">
      <c r="A20" s="13">
        <v>45771</v>
      </c>
      <c r="B20" t="s">
        <v>361</v>
      </c>
      <c r="C20" t="s">
        <v>319</v>
      </c>
      <c r="D20" s="1">
        <v>5394</v>
      </c>
      <c r="E20" s="1">
        <v>2036</v>
      </c>
      <c r="F20" s="2">
        <v>0.37745643307378601</v>
      </c>
      <c r="G20" s="1">
        <v>18</v>
      </c>
      <c r="H20" s="2">
        <v>8.8408644400785903E-3</v>
      </c>
      <c r="I20" s="2">
        <v>3.3370411568409298E-3</v>
      </c>
    </row>
    <row r="21" spans="1:9" x14ac:dyDescent="0.35">
      <c r="A21" s="13">
        <v>45771</v>
      </c>
      <c r="B21" t="s">
        <v>361</v>
      </c>
      <c r="C21" t="s">
        <v>320</v>
      </c>
      <c r="D21" s="1">
        <v>86310</v>
      </c>
      <c r="E21" s="1">
        <v>33360</v>
      </c>
      <c r="F21" s="2">
        <v>0.38651372957942298</v>
      </c>
      <c r="G21" s="1">
        <v>425</v>
      </c>
      <c r="H21" s="2">
        <v>1.27398081534772E-2</v>
      </c>
      <c r="I21" s="2">
        <v>4.9241107635268197E-3</v>
      </c>
    </row>
    <row r="22" spans="1:9" x14ac:dyDescent="0.35">
      <c r="A22" s="13">
        <v>45771</v>
      </c>
      <c r="B22" t="s">
        <v>361</v>
      </c>
      <c r="C22" t="s">
        <v>321</v>
      </c>
      <c r="D22" s="1">
        <v>5267</v>
      </c>
      <c r="E22" s="1">
        <v>1949</v>
      </c>
      <c r="F22" s="2">
        <v>0.370039870894247</v>
      </c>
      <c r="G22" s="1">
        <v>25</v>
      </c>
      <c r="H22" s="2">
        <v>1.2827090815803001E-2</v>
      </c>
      <c r="I22" s="2">
        <v>4.74653502942852E-3</v>
      </c>
    </row>
    <row r="23" spans="1:9" x14ac:dyDescent="0.35">
      <c r="A23" s="13">
        <v>45771</v>
      </c>
      <c r="B23" t="s">
        <v>362</v>
      </c>
      <c r="C23" t="s">
        <v>316</v>
      </c>
      <c r="D23" s="1">
        <v>57614</v>
      </c>
      <c r="E23" s="1">
        <v>22327</v>
      </c>
      <c r="F23" s="2">
        <v>0.38752733710556497</v>
      </c>
      <c r="G23" s="1">
        <v>406</v>
      </c>
      <c r="H23" s="2">
        <v>1.81842612084024E-2</v>
      </c>
      <c r="I23" s="2">
        <v>7.0468983233241897E-3</v>
      </c>
    </row>
    <row r="24" spans="1:9" x14ac:dyDescent="0.35">
      <c r="A24" s="13">
        <v>45771</v>
      </c>
      <c r="B24" t="s">
        <v>362</v>
      </c>
      <c r="C24" t="s">
        <v>317</v>
      </c>
      <c r="D24" s="1">
        <v>3391</v>
      </c>
      <c r="E24" s="1">
        <v>1335</v>
      </c>
      <c r="F24" s="2">
        <v>0.39368917723385399</v>
      </c>
      <c r="G24" s="1">
        <v>16</v>
      </c>
      <c r="H24" s="2">
        <v>1.1985018726591801E-2</v>
      </c>
      <c r="I24" s="2">
        <v>4.7183721616042501E-3</v>
      </c>
    </row>
    <row r="25" spans="1:9" x14ac:dyDescent="0.35">
      <c r="A25" s="13">
        <v>45771</v>
      </c>
      <c r="B25" t="s">
        <v>362</v>
      </c>
      <c r="C25" t="s">
        <v>318</v>
      </c>
      <c r="D25" s="1">
        <v>56515</v>
      </c>
      <c r="E25" s="1">
        <v>21617</v>
      </c>
      <c r="F25" s="2">
        <v>0.38250022118021798</v>
      </c>
      <c r="G25" s="1">
        <v>301</v>
      </c>
      <c r="H25" s="2">
        <v>1.3924226303372301E-2</v>
      </c>
      <c r="I25" s="2">
        <v>5.3260196408033301E-3</v>
      </c>
    </row>
    <row r="26" spans="1:9" x14ac:dyDescent="0.35">
      <c r="A26" s="13">
        <v>45771</v>
      </c>
      <c r="B26" t="s">
        <v>362</v>
      </c>
      <c r="C26" t="s">
        <v>319</v>
      </c>
      <c r="D26" s="1">
        <v>3556</v>
      </c>
      <c r="E26" s="1">
        <v>1319</v>
      </c>
      <c r="F26" s="2">
        <v>0.37092238470191202</v>
      </c>
      <c r="G26" s="1">
        <v>14</v>
      </c>
      <c r="H26" s="2">
        <v>1.06141015921152E-2</v>
      </c>
      <c r="I26" s="2">
        <v>3.9370078740157497E-3</v>
      </c>
    </row>
    <row r="27" spans="1:9" x14ac:dyDescent="0.35">
      <c r="A27" s="13">
        <v>45771</v>
      </c>
      <c r="B27" t="s">
        <v>362</v>
      </c>
      <c r="C27" t="s">
        <v>320</v>
      </c>
      <c r="D27" s="1">
        <v>57501</v>
      </c>
      <c r="E27" s="1">
        <v>22113</v>
      </c>
      <c r="F27" s="2">
        <v>0.38456722491782802</v>
      </c>
      <c r="G27" s="1">
        <v>243</v>
      </c>
      <c r="H27" s="2">
        <v>1.0989010989011E-2</v>
      </c>
      <c r="I27" s="2">
        <v>4.2260134606354697E-3</v>
      </c>
    </row>
    <row r="28" spans="1:9" x14ac:dyDescent="0.35">
      <c r="A28" s="13">
        <v>45771</v>
      </c>
      <c r="B28" t="s">
        <v>362</v>
      </c>
      <c r="C28" t="s">
        <v>321</v>
      </c>
      <c r="D28" s="1">
        <v>3493</v>
      </c>
      <c r="E28" s="1">
        <v>1341</v>
      </c>
      <c r="F28" s="2">
        <v>0.38391067849985699</v>
      </c>
      <c r="G28" s="1">
        <v>15</v>
      </c>
      <c r="H28" s="2">
        <v>1.11856823266219E-2</v>
      </c>
      <c r="I28" s="2">
        <v>4.2943028914972804E-3</v>
      </c>
    </row>
    <row r="29" spans="1:9" x14ac:dyDescent="0.35">
      <c r="A29" s="13">
        <v>45771</v>
      </c>
      <c r="B29" t="s">
        <v>322</v>
      </c>
      <c r="C29" t="s">
        <v>367</v>
      </c>
      <c r="D29" s="1">
        <v>281984</v>
      </c>
      <c r="E29" s="1">
        <v>96400</v>
      </c>
      <c r="F29" s="3">
        <v>0.34189999999999998</v>
      </c>
      <c r="G29">
        <v>247</v>
      </c>
      <c r="H29" s="3">
        <v>2.5999999999999999E-3</v>
      </c>
      <c r="I29" s="3">
        <v>8.9999999999999998E-4</v>
      </c>
    </row>
    <row r="30" spans="1:9" x14ac:dyDescent="0.35">
      <c r="A30" s="13">
        <v>45771</v>
      </c>
      <c r="B30" t="s">
        <v>323</v>
      </c>
      <c r="C30" t="s">
        <v>21</v>
      </c>
      <c r="D30" s="1">
        <v>8048</v>
      </c>
      <c r="E30" s="1">
        <v>2599</v>
      </c>
      <c r="F30" s="3">
        <v>0.32290000000000002</v>
      </c>
      <c r="G30">
        <v>9</v>
      </c>
      <c r="H30" s="3">
        <v>3.5000000000000001E-3</v>
      </c>
      <c r="I30" s="3">
        <v>1.1000000000000001E-3</v>
      </c>
    </row>
    <row r="31" spans="1:9" x14ac:dyDescent="0.35">
      <c r="A31" s="13">
        <v>45771</v>
      </c>
      <c r="B31" t="s">
        <v>363</v>
      </c>
      <c r="C31" t="s">
        <v>197</v>
      </c>
      <c r="D31" s="1">
        <v>19005</v>
      </c>
      <c r="E31" s="1">
        <v>6564</v>
      </c>
      <c r="F31" s="3">
        <v>0.34539999999999998</v>
      </c>
      <c r="G31">
        <v>36</v>
      </c>
      <c r="H31" s="3">
        <v>5.4999999999999997E-3</v>
      </c>
      <c r="I31" s="3">
        <v>1.9E-3</v>
      </c>
    </row>
    <row r="32" spans="1:9" x14ac:dyDescent="0.35">
      <c r="A32" s="13">
        <v>45771</v>
      </c>
      <c r="B32" t="s">
        <v>364</v>
      </c>
      <c r="C32" t="s">
        <v>198</v>
      </c>
      <c r="D32">
        <v>464</v>
      </c>
      <c r="E32">
        <v>144</v>
      </c>
      <c r="F32" s="3">
        <v>0.31030000000000002</v>
      </c>
      <c r="G32">
        <v>0</v>
      </c>
      <c r="H32" s="3">
        <v>0</v>
      </c>
      <c r="I32" s="3">
        <v>0</v>
      </c>
    </row>
    <row r="33" spans="1:9" x14ac:dyDescent="0.35">
      <c r="A33" s="13">
        <v>45771</v>
      </c>
      <c r="B33" t="s">
        <v>365</v>
      </c>
      <c r="C33" t="s">
        <v>110</v>
      </c>
      <c r="D33" s="1">
        <v>16011</v>
      </c>
      <c r="E33" s="1">
        <v>5618</v>
      </c>
      <c r="F33" s="2">
        <v>0.35088376740990601</v>
      </c>
      <c r="G33" s="1">
        <v>60</v>
      </c>
      <c r="H33" s="2">
        <v>1.0679957280170901E-2</v>
      </c>
      <c r="I33" s="2">
        <v>3.7474236462432101E-3</v>
      </c>
    </row>
    <row r="34" spans="1:9" x14ac:dyDescent="0.35">
      <c r="A34" s="13">
        <v>45771</v>
      </c>
      <c r="B34" t="s">
        <v>365</v>
      </c>
      <c r="C34" t="s">
        <v>90</v>
      </c>
      <c r="D34" s="1">
        <v>305765</v>
      </c>
      <c r="E34" s="1">
        <v>108451</v>
      </c>
      <c r="F34" s="2">
        <v>0.35468742334799602</v>
      </c>
      <c r="G34" s="1">
        <v>901</v>
      </c>
      <c r="H34" s="2">
        <v>8.3078994200145705E-3</v>
      </c>
      <c r="I34" s="2">
        <v>2.9467074387192799E-3</v>
      </c>
    </row>
    <row r="35" spans="1:9" x14ac:dyDescent="0.35">
      <c r="A35" s="13">
        <v>45771</v>
      </c>
      <c r="B35" t="s">
        <v>365</v>
      </c>
      <c r="C35" t="s">
        <v>111</v>
      </c>
      <c r="D35" s="1">
        <v>734</v>
      </c>
      <c r="E35" s="1">
        <v>277</v>
      </c>
      <c r="F35" s="2">
        <v>0.37738419618528601</v>
      </c>
      <c r="G35" s="1">
        <v>4</v>
      </c>
      <c r="H35" s="2">
        <v>1.4440433212996401E-2</v>
      </c>
      <c r="I35" s="2">
        <v>5.4495912806539499E-3</v>
      </c>
    </row>
    <row r="36" spans="1:9" x14ac:dyDescent="0.35">
      <c r="A36" s="13">
        <v>45771</v>
      </c>
      <c r="B36" t="s">
        <v>365</v>
      </c>
      <c r="C36" t="s">
        <v>91</v>
      </c>
      <c r="D36" s="1">
        <v>14650</v>
      </c>
      <c r="E36" s="1">
        <v>5199</v>
      </c>
      <c r="F36" s="2">
        <v>0.35488054607508501</v>
      </c>
      <c r="G36" s="1">
        <v>95</v>
      </c>
      <c r="H36" s="2">
        <v>1.82727447586074E-2</v>
      </c>
      <c r="I36" s="2">
        <v>6.4846416382252602E-3</v>
      </c>
    </row>
    <row r="37" spans="1:9" ht="16" thickBot="1" x14ac:dyDescent="0.4">
      <c r="A37" s="23" t="s">
        <v>13</v>
      </c>
      <c r="D37" s="17">
        <f>SUM(D2:D36)</f>
        <v>17891714</v>
      </c>
      <c r="E37" s="17">
        <f>SUM(E2:E36)</f>
        <v>6007340</v>
      </c>
      <c r="F37" s="18">
        <f>AVERAGE(F2:F36)</f>
        <v>0.34317041461085235</v>
      </c>
      <c r="G37" s="17">
        <f>SUM(G2:G36)</f>
        <v>132872</v>
      </c>
      <c r="H37" s="18">
        <f>AVERAGE(H2:H36)</f>
        <v>1.9018282263508678E-2</v>
      </c>
      <c r="I37" s="18">
        <f>AVERAGE(I2:I36)</f>
        <v>6.3577471653593872E-3</v>
      </c>
    </row>
    <row r="38" spans="1:9" ht="15" thickBot="1" x14ac:dyDescent="0.4">
      <c r="A38" s="123" t="s">
        <v>19</v>
      </c>
      <c r="B38" s="123"/>
      <c r="C38" s="123"/>
      <c r="D38" s="123"/>
      <c r="E38" s="123"/>
      <c r="F38" s="123"/>
      <c r="G38" s="123"/>
      <c r="H38" s="123"/>
      <c r="I38" s="123"/>
    </row>
    <row r="39" spans="1:9" ht="15.5" x14ac:dyDescent="0.35">
      <c r="A39" s="24" t="s">
        <v>9</v>
      </c>
      <c r="B39" s="25" t="s">
        <v>0</v>
      </c>
      <c r="C39" s="25" t="s">
        <v>16</v>
      </c>
      <c r="D39" s="25" t="s">
        <v>1</v>
      </c>
      <c r="E39" s="25" t="s">
        <v>2</v>
      </c>
      <c r="F39" s="25" t="s">
        <v>3</v>
      </c>
      <c r="G39" s="25" t="s">
        <v>4</v>
      </c>
      <c r="H39" s="25" t="s">
        <v>5</v>
      </c>
      <c r="I39" s="26" t="s">
        <v>6</v>
      </c>
    </row>
    <row r="40" spans="1:9" x14ac:dyDescent="0.35">
      <c r="A40" s="5" t="s">
        <v>12</v>
      </c>
      <c r="B40" s="6"/>
      <c r="C40" s="6"/>
      <c r="D40" s="6"/>
      <c r="E40" s="6"/>
      <c r="F40" s="6"/>
      <c r="G40" s="6"/>
      <c r="H40" s="6"/>
      <c r="I40" s="7"/>
    </row>
    <row r="41" spans="1:9" x14ac:dyDescent="0.35">
      <c r="A41" s="14">
        <v>45765</v>
      </c>
      <c r="B41" t="s">
        <v>354</v>
      </c>
      <c r="C41" t="s">
        <v>7</v>
      </c>
      <c r="D41" s="1">
        <v>4889373</v>
      </c>
      <c r="E41" s="1">
        <v>1387408</v>
      </c>
      <c r="F41" s="2">
        <v>0.28375990132068102</v>
      </c>
      <c r="G41" s="1">
        <v>15695</v>
      </c>
      <c r="H41" s="2">
        <v>1.13124617992689E-2</v>
      </c>
      <c r="I41" s="15">
        <v>3.2100230438545001E-3</v>
      </c>
    </row>
    <row r="42" spans="1:9" x14ac:dyDescent="0.35">
      <c r="A42" s="14">
        <v>45765</v>
      </c>
      <c r="B42" t="s">
        <v>354</v>
      </c>
      <c r="C42" t="s">
        <v>8</v>
      </c>
      <c r="D42" s="1">
        <v>313708</v>
      </c>
      <c r="E42" s="1">
        <v>85504</v>
      </c>
      <c r="F42" s="2">
        <v>0.272559195175131</v>
      </c>
      <c r="G42" s="1">
        <v>1205</v>
      </c>
      <c r="H42" s="2">
        <v>1.4092907934131701E-2</v>
      </c>
      <c r="I42" s="15">
        <v>3.8411516442041602E-3</v>
      </c>
    </row>
    <row r="43" spans="1:9" x14ac:dyDescent="0.35">
      <c r="A43" s="14">
        <v>45769</v>
      </c>
      <c r="B43" t="s">
        <v>358</v>
      </c>
      <c r="C43" t="s">
        <v>7</v>
      </c>
      <c r="D43" s="1">
        <v>616275</v>
      </c>
      <c r="E43" s="1">
        <v>192938</v>
      </c>
      <c r="F43" s="2">
        <v>0.31307127499898602</v>
      </c>
      <c r="G43" s="1">
        <v>5686</v>
      </c>
      <c r="H43" s="2">
        <v>2.9470607138044301E-2</v>
      </c>
      <c r="I43" s="15">
        <v>9.2264005517017599E-3</v>
      </c>
    </row>
    <row r="44" spans="1:9" x14ac:dyDescent="0.35">
      <c r="A44" s="14">
        <v>45769</v>
      </c>
      <c r="B44" t="s">
        <v>358</v>
      </c>
      <c r="C44" t="s">
        <v>330</v>
      </c>
      <c r="D44" s="1">
        <v>203379</v>
      </c>
      <c r="E44" s="1">
        <v>69800</v>
      </c>
      <c r="F44" s="2">
        <v>0.34320160881900302</v>
      </c>
      <c r="G44" s="1">
        <v>2418</v>
      </c>
      <c r="H44" s="2">
        <v>3.4641833810888201E-2</v>
      </c>
      <c r="I44" s="15">
        <v>1.18891330963374E-2</v>
      </c>
    </row>
    <row r="45" spans="1:9" x14ac:dyDescent="0.35">
      <c r="A45" s="14">
        <v>45769</v>
      </c>
      <c r="B45" t="s">
        <v>358</v>
      </c>
      <c r="C45" t="s">
        <v>331</v>
      </c>
      <c r="D45" s="1">
        <v>191048</v>
      </c>
      <c r="E45" s="1">
        <v>58715</v>
      </c>
      <c r="F45" s="2">
        <v>0.30733114191198002</v>
      </c>
      <c r="G45" s="1">
        <v>1326</v>
      </c>
      <c r="H45" s="2">
        <v>2.25836668653666E-2</v>
      </c>
      <c r="I45" s="15">
        <v>6.9406641262928703E-3</v>
      </c>
    </row>
    <row r="46" spans="1:9" x14ac:dyDescent="0.35">
      <c r="A46" s="14">
        <v>45769</v>
      </c>
      <c r="B46" t="s">
        <v>358</v>
      </c>
      <c r="C46" t="s">
        <v>332</v>
      </c>
      <c r="D46" s="1">
        <v>201934</v>
      </c>
      <c r="E46" s="1">
        <v>69276</v>
      </c>
      <c r="F46" s="2">
        <v>0.34306258480493601</v>
      </c>
      <c r="G46" s="1">
        <v>2363</v>
      </c>
      <c r="H46" s="2">
        <v>3.4109937063340798E-2</v>
      </c>
      <c r="I46" s="15">
        <v>1.1701843176483401E-2</v>
      </c>
    </row>
    <row r="47" spans="1:9" x14ac:dyDescent="0.35">
      <c r="A47" s="14">
        <v>45769</v>
      </c>
      <c r="B47" t="s">
        <v>358</v>
      </c>
      <c r="C47" t="s">
        <v>333</v>
      </c>
      <c r="D47" s="1">
        <v>190675</v>
      </c>
      <c r="E47" s="1">
        <v>58907</v>
      </c>
      <c r="F47" s="2">
        <v>0.30893929461125003</v>
      </c>
      <c r="G47" s="1">
        <v>1256</v>
      </c>
      <c r="H47" s="2">
        <v>2.1321744444633101E-2</v>
      </c>
      <c r="I47" s="15">
        <v>6.5871246886062699E-3</v>
      </c>
    </row>
    <row r="48" spans="1:9" x14ac:dyDescent="0.35">
      <c r="A48" s="14">
        <v>45769</v>
      </c>
      <c r="B48" t="s">
        <v>358</v>
      </c>
      <c r="C48" t="s">
        <v>8</v>
      </c>
      <c r="D48" s="1">
        <v>38843</v>
      </c>
      <c r="E48" s="1">
        <v>11812</v>
      </c>
      <c r="F48" s="2">
        <v>0.304095976108951</v>
      </c>
      <c r="G48" s="1">
        <v>496</v>
      </c>
      <c r="H48" s="2">
        <v>4.1991195394514097E-2</v>
      </c>
      <c r="I48" s="15">
        <v>1.2769353551476501E-2</v>
      </c>
    </row>
    <row r="49" spans="1:9" ht="16" thickBot="1" x14ac:dyDescent="0.4">
      <c r="A49" s="22" t="s">
        <v>13</v>
      </c>
      <c r="B49" s="4"/>
      <c r="C49" s="4"/>
      <c r="D49" s="19">
        <f>SUM(D41:D48)</f>
        <v>6645235</v>
      </c>
      <c r="E49" s="19">
        <f>SUM(E41:E48)</f>
        <v>1934360</v>
      </c>
      <c r="F49" s="20">
        <f>AVERAGE(F41:F48)</f>
        <v>0.30950262221886471</v>
      </c>
      <c r="G49" s="19">
        <f>SUM(G41:G48)</f>
        <v>30445</v>
      </c>
      <c r="H49" s="20">
        <f>AVERAGE(H41:H48)</f>
        <v>2.6190544306273465E-2</v>
      </c>
      <c r="I49" s="21">
        <f>AVERAGE(I41:I48)</f>
        <v>8.2707117348696079E-3</v>
      </c>
    </row>
    <row r="50" spans="1:9" ht="3" customHeight="1" thickBot="1" x14ac:dyDescent="0.4">
      <c r="A50" s="127"/>
      <c r="B50" s="128"/>
      <c r="C50" s="128"/>
      <c r="D50" s="128"/>
      <c r="E50" s="128"/>
      <c r="F50" s="128"/>
      <c r="G50" s="128"/>
      <c r="H50" s="128"/>
      <c r="I50" s="129"/>
    </row>
    <row r="51" spans="1:9" x14ac:dyDescent="0.35">
      <c r="A51" s="10" t="s">
        <v>216</v>
      </c>
      <c r="B51" s="11"/>
      <c r="C51" s="11"/>
      <c r="D51" s="11"/>
      <c r="E51" s="11"/>
      <c r="F51" s="11"/>
      <c r="G51" s="11"/>
      <c r="H51" s="11"/>
      <c r="I51" s="12"/>
    </row>
    <row r="52" spans="1:9" x14ac:dyDescent="0.35">
      <c r="A52" s="14">
        <v>45766</v>
      </c>
      <c r="B52" t="s">
        <v>355</v>
      </c>
      <c r="C52" t="s">
        <v>7</v>
      </c>
      <c r="D52" s="1">
        <v>1307844</v>
      </c>
      <c r="E52" s="1">
        <v>426581</v>
      </c>
      <c r="F52" s="2">
        <v>0.326171164144959</v>
      </c>
      <c r="G52" s="1">
        <v>5777</v>
      </c>
      <c r="H52" s="2">
        <v>1.35425628426958E-2</v>
      </c>
      <c r="I52" s="15">
        <v>4.4171934879083403E-3</v>
      </c>
    </row>
    <row r="53" spans="1:9" x14ac:dyDescent="0.35">
      <c r="A53" s="14">
        <v>45766</v>
      </c>
      <c r="B53" t="s">
        <v>355</v>
      </c>
      <c r="C53" t="s">
        <v>8</v>
      </c>
      <c r="D53" s="1">
        <v>94880</v>
      </c>
      <c r="E53" s="1">
        <v>30340</v>
      </c>
      <c r="F53" s="2">
        <v>0.31977234401349097</v>
      </c>
      <c r="G53" s="1">
        <v>653</v>
      </c>
      <c r="H53" s="2">
        <v>2.1522742254449601E-2</v>
      </c>
      <c r="I53" s="15">
        <v>6.8823777403035401E-3</v>
      </c>
    </row>
    <row r="54" spans="1:9" x14ac:dyDescent="0.35">
      <c r="A54" s="14">
        <v>45767</v>
      </c>
      <c r="B54" t="s">
        <v>356</v>
      </c>
      <c r="C54" t="s">
        <v>7</v>
      </c>
      <c r="D54" s="1">
        <v>6300058</v>
      </c>
      <c r="E54" s="1">
        <v>2321486</v>
      </c>
      <c r="F54" s="2">
        <v>0.36848644885491499</v>
      </c>
      <c r="G54" s="1">
        <v>79485</v>
      </c>
      <c r="H54" s="2">
        <v>3.4238845291334898E-2</v>
      </c>
      <c r="I54" s="15">
        <v>1.2616550514296899E-2</v>
      </c>
    </row>
    <row r="55" spans="1:9" x14ac:dyDescent="0.35">
      <c r="A55" s="14">
        <v>45767</v>
      </c>
      <c r="B55" t="s">
        <v>356</v>
      </c>
      <c r="C55" t="s">
        <v>8</v>
      </c>
      <c r="D55" s="1">
        <v>402703</v>
      </c>
      <c r="E55" s="1">
        <v>149134</v>
      </c>
      <c r="F55" s="2">
        <v>0.370332478278036</v>
      </c>
      <c r="G55" s="1">
        <v>6473</v>
      </c>
      <c r="H55" s="2">
        <v>4.3403918623519798E-2</v>
      </c>
      <c r="I55" s="15">
        <v>1.6073880750826299E-2</v>
      </c>
    </row>
    <row r="56" spans="1:9" x14ac:dyDescent="0.35">
      <c r="A56" s="14">
        <v>45768</v>
      </c>
      <c r="B56" t="s">
        <v>357</v>
      </c>
      <c r="C56" t="s">
        <v>7</v>
      </c>
      <c r="D56" s="1">
        <v>2031236</v>
      </c>
      <c r="E56" s="1">
        <v>747226</v>
      </c>
      <c r="F56" s="2">
        <v>0.36786764314929399</v>
      </c>
      <c r="G56" s="1">
        <v>6120</v>
      </c>
      <c r="H56" s="2">
        <v>8.1902931643170907E-3</v>
      </c>
      <c r="I56" s="15">
        <v>3.0129438430591001E-3</v>
      </c>
    </row>
    <row r="57" spans="1:9" x14ac:dyDescent="0.35">
      <c r="A57" s="14">
        <v>45770</v>
      </c>
      <c r="B57" t="s">
        <v>359</v>
      </c>
      <c r="C57" t="s">
        <v>85</v>
      </c>
      <c r="D57" s="1">
        <v>632</v>
      </c>
      <c r="E57" s="1">
        <v>162</v>
      </c>
      <c r="F57" s="2">
        <v>0.256329113924051</v>
      </c>
      <c r="G57" s="1">
        <v>6</v>
      </c>
      <c r="H57" s="2">
        <v>3.7037037037037E-2</v>
      </c>
      <c r="I57" s="15">
        <v>9.4936708860759497E-3</v>
      </c>
    </row>
    <row r="58" spans="1:9" x14ac:dyDescent="0.35">
      <c r="A58" s="14">
        <v>45770</v>
      </c>
      <c r="B58" t="s">
        <v>360</v>
      </c>
      <c r="C58" t="s">
        <v>87</v>
      </c>
      <c r="D58" s="1">
        <v>136</v>
      </c>
      <c r="E58" s="1">
        <v>40</v>
      </c>
      <c r="F58" s="2">
        <v>0.29411764705882398</v>
      </c>
      <c r="G58" s="1">
        <v>3</v>
      </c>
      <c r="H58" s="2">
        <v>7.4999999999999997E-2</v>
      </c>
      <c r="I58" s="15">
        <v>2.2058823529411801E-2</v>
      </c>
    </row>
    <row r="59" spans="1:9" x14ac:dyDescent="0.35">
      <c r="A59" s="14">
        <v>45771</v>
      </c>
      <c r="B59" t="s">
        <v>361</v>
      </c>
      <c r="C59" t="s">
        <v>316</v>
      </c>
      <c r="D59" s="1">
        <v>89574</v>
      </c>
      <c r="E59" s="1">
        <v>30170</v>
      </c>
      <c r="F59" s="2">
        <v>0.33681648692700999</v>
      </c>
      <c r="G59" s="1">
        <v>604</v>
      </c>
      <c r="H59" s="2">
        <v>2.0019887305270101E-2</v>
      </c>
      <c r="I59" s="15">
        <v>6.7430281108357302E-3</v>
      </c>
    </row>
    <row r="60" spans="1:9" x14ac:dyDescent="0.35">
      <c r="A60" s="14">
        <v>45771</v>
      </c>
      <c r="B60" t="s">
        <v>361</v>
      </c>
      <c r="C60" t="s">
        <v>317</v>
      </c>
      <c r="D60" s="1">
        <v>4890</v>
      </c>
      <c r="E60" s="1">
        <v>1570</v>
      </c>
      <c r="F60" s="2">
        <v>0.32106339468302703</v>
      </c>
      <c r="G60" s="1">
        <v>23</v>
      </c>
      <c r="H60" s="2">
        <v>1.46496815286624E-2</v>
      </c>
      <c r="I60" s="15">
        <v>4.7034764826175898E-3</v>
      </c>
    </row>
    <row r="61" spans="1:9" x14ac:dyDescent="0.35">
      <c r="A61" s="14">
        <v>45771</v>
      </c>
      <c r="B61" t="s">
        <v>361</v>
      </c>
      <c r="C61" t="s">
        <v>318</v>
      </c>
      <c r="D61" s="1">
        <v>88824</v>
      </c>
      <c r="E61" s="1">
        <v>33622</v>
      </c>
      <c r="F61" s="2">
        <v>0.37852382239034499</v>
      </c>
      <c r="G61" s="1">
        <v>468</v>
      </c>
      <c r="H61" s="2">
        <v>1.39194574980667E-2</v>
      </c>
      <c r="I61" s="15">
        <v>5.2688462577681703E-3</v>
      </c>
    </row>
    <row r="62" spans="1:9" x14ac:dyDescent="0.35">
      <c r="A62" s="14">
        <v>45771</v>
      </c>
      <c r="B62" t="s">
        <v>361</v>
      </c>
      <c r="C62" t="s">
        <v>319</v>
      </c>
      <c r="D62" s="1">
        <v>5394</v>
      </c>
      <c r="E62" s="1">
        <v>2036</v>
      </c>
      <c r="F62" s="2">
        <v>0.37745643307378601</v>
      </c>
      <c r="G62" s="1">
        <v>18</v>
      </c>
      <c r="H62" s="2">
        <v>8.8408644400785903E-3</v>
      </c>
      <c r="I62" s="15">
        <v>3.3370411568409298E-3</v>
      </c>
    </row>
    <row r="63" spans="1:9" x14ac:dyDescent="0.35">
      <c r="A63" s="14">
        <v>45771</v>
      </c>
      <c r="B63" t="s">
        <v>361</v>
      </c>
      <c r="C63" t="s">
        <v>320</v>
      </c>
      <c r="D63" s="1">
        <v>86310</v>
      </c>
      <c r="E63" s="1">
        <v>33360</v>
      </c>
      <c r="F63" s="2">
        <v>0.38651372957942298</v>
      </c>
      <c r="G63" s="1">
        <v>425</v>
      </c>
      <c r="H63" s="2">
        <v>1.27398081534772E-2</v>
      </c>
      <c r="I63" s="15">
        <v>4.9241107635268197E-3</v>
      </c>
    </row>
    <row r="64" spans="1:9" x14ac:dyDescent="0.35">
      <c r="A64" s="14">
        <v>45771</v>
      </c>
      <c r="B64" t="s">
        <v>361</v>
      </c>
      <c r="C64" t="s">
        <v>321</v>
      </c>
      <c r="D64" s="1">
        <v>5267</v>
      </c>
      <c r="E64" s="1">
        <v>1949</v>
      </c>
      <c r="F64" s="2">
        <v>0.370039870894247</v>
      </c>
      <c r="G64" s="1">
        <v>25</v>
      </c>
      <c r="H64" s="2">
        <v>1.2827090815803001E-2</v>
      </c>
      <c r="I64" s="15">
        <v>4.74653502942852E-3</v>
      </c>
    </row>
    <row r="65" spans="1:9" x14ac:dyDescent="0.35">
      <c r="A65" s="14">
        <v>45771</v>
      </c>
      <c r="B65" t="s">
        <v>362</v>
      </c>
      <c r="C65" t="s">
        <v>316</v>
      </c>
      <c r="D65" s="1">
        <v>57614</v>
      </c>
      <c r="E65" s="1">
        <v>22327</v>
      </c>
      <c r="F65" s="2">
        <v>0.38752733710556497</v>
      </c>
      <c r="G65" s="1">
        <v>406</v>
      </c>
      <c r="H65" s="2">
        <v>1.81842612084024E-2</v>
      </c>
      <c r="I65" s="15">
        <v>7.0468983233241897E-3</v>
      </c>
    </row>
    <row r="66" spans="1:9" x14ac:dyDescent="0.35">
      <c r="A66" s="14">
        <v>45771</v>
      </c>
      <c r="B66" t="s">
        <v>362</v>
      </c>
      <c r="C66" t="s">
        <v>317</v>
      </c>
      <c r="D66" s="1">
        <v>3391</v>
      </c>
      <c r="E66" s="1">
        <v>1335</v>
      </c>
      <c r="F66" s="2">
        <v>0.39368917723385399</v>
      </c>
      <c r="G66" s="1">
        <v>16</v>
      </c>
      <c r="H66" s="2">
        <v>1.1985018726591801E-2</v>
      </c>
      <c r="I66" s="15">
        <v>4.7183721616042501E-3</v>
      </c>
    </row>
    <row r="67" spans="1:9" x14ac:dyDescent="0.35">
      <c r="A67" s="14">
        <v>45771</v>
      </c>
      <c r="B67" t="s">
        <v>362</v>
      </c>
      <c r="C67" t="s">
        <v>318</v>
      </c>
      <c r="D67" s="1">
        <v>56515</v>
      </c>
      <c r="E67" s="1">
        <v>21617</v>
      </c>
      <c r="F67" s="2">
        <v>0.38250022118021798</v>
      </c>
      <c r="G67" s="1">
        <v>301</v>
      </c>
      <c r="H67" s="2">
        <v>1.3924226303372301E-2</v>
      </c>
      <c r="I67" s="15">
        <v>5.3260196408033301E-3</v>
      </c>
    </row>
    <row r="68" spans="1:9" x14ac:dyDescent="0.35">
      <c r="A68" s="14">
        <v>45771</v>
      </c>
      <c r="B68" t="s">
        <v>362</v>
      </c>
      <c r="C68" t="s">
        <v>319</v>
      </c>
      <c r="D68" s="1">
        <v>3556</v>
      </c>
      <c r="E68" s="1">
        <v>1319</v>
      </c>
      <c r="F68" s="2">
        <v>0.37092238470191202</v>
      </c>
      <c r="G68" s="1">
        <v>14</v>
      </c>
      <c r="H68" s="2">
        <v>1.06141015921152E-2</v>
      </c>
      <c r="I68" s="15">
        <v>3.9370078740157497E-3</v>
      </c>
    </row>
    <row r="69" spans="1:9" x14ac:dyDescent="0.35">
      <c r="A69" s="14">
        <v>45771</v>
      </c>
      <c r="B69" t="s">
        <v>362</v>
      </c>
      <c r="C69" t="s">
        <v>320</v>
      </c>
      <c r="D69" s="1">
        <v>57501</v>
      </c>
      <c r="E69" s="1">
        <v>22113</v>
      </c>
      <c r="F69" s="2">
        <v>0.38456722491782802</v>
      </c>
      <c r="G69" s="1">
        <v>243</v>
      </c>
      <c r="H69" s="2">
        <v>1.0989010989011E-2</v>
      </c>
      <c r="I69" s="15">
        <v>4.2260134606354697E-3</v>
      </c>
    </row>
    <row r="70" spans="1:9" x14ac:dyDescent="0.35">
      <c r="A70" s="14">
        <v>45771</v>
      </c>
      <c r="B70" t="s">
        <v>362</v>
      </c>
      <c r="C70" t="s">
        <v>321</v>
      </c>
      <c r="D70" s="1">
        <v>3493</v>
      </c>
      <c r="E70" s="1">
        <v>1341</v>
      </c>
      <c r="F70" s="2">
        <v>0.38391067849985699</v>
      </c>
      <c r="G70" s="1">
        <v>15</v>
      </c>
      <c r="H70" s="2">
        <v>1.11856823266219E-2</v>
      </c>
      <c r="I70" s="15">
        <v>4.2943028914972804E-3</v>
      </c>
    </row>
    <row r="71" spans="1:9" x14ac:dyDescent="0.35">
      <c r="A71" s="14">
        <v>45771</v>
      </c>
      <c r="B71" t="s">
        <v>365</v>
      </c>
      <c r="C71" t="s">
        <v>110</v>
      </c>
      <c r="D71" s="1">
        <v>16011</v>
      </c>
      <c r="E71" s="1">
        <v>5618</v>
      </c>
      <c r="F71" s="2">
        <v>0.35088376740990601</v>
      </c>
      <c r="G71" s="1">
        <v>60</v>
      </c>
      <c r="H71" s="2">
        <v>1.0679957280170901E-2</v>
      </c>
      <c r="I71" s="15">
        <v>3.7474236462432101E-3</v>
      </c>
    </row>
    <row r="72" spans="1:9" x14ac:dyDescent="0.35">
      <c r="A72" s="14">
        <v>45771</v>
      </c>
      <c r="B72" t="s">
        <v>365</v>
      </c>
      <c r="C72" t="s">
        <v>90</v>
      </c>
      <c r="D72" s="1">
        <v>305765</v>
      </c>
      <c r="E72" s="1">
        <v>108451</v>
      </c>
      <c r="F72" s="2">
        <v>0.35468742334799602</v>
      </c>
      <c r="G72" s="1">
        <v>901</v>
      </c>
      <c r="H72" s="2">
        <v>8.3078994200145705E-3</v>
      </c>
      <c r="I72" s="15">
        <v>2.9467074387192799E-3</v>
      </c>
    </row>
    <row r="73" spans="1:9" x14ac:dyDescent="0.35">
      <c r="A73" s="14">
        <v>45771</v>
      </c>
      <c r="B73" t="s">
        <v>365</v>
      </c>
      <c r="C73" t="s">
        <v>111</v>
      </c>
      <c r="D73" s="1">
        <v>734</v>
      </c>
      <c r="E73" s="1">
        <v>277</v>
      </c>
      <c r="F73" s="2">
        <v>0.37738419618528601</v>
      </c>
      <c r="G73" s="1">
        <v>4</v>
      </c>
      <c r="H73" s="2">
        <v>1.4440433212996401E-2</v>
      </c>
      <c r="I73" s="15">
        <v>5.4495912806539499E-3</v>
      </c>
    </row>
    <row r="74" spans="1:9" x14ac:dyDescent="0.35">
      <c r="A74" s="14">
        <v>45771</v>
      </c>
      <c r="B74" t="s">
        <v>365</v>
      </c>
      <c r="C74" t="s">
        <v>91</v>
      </c>
      <c r="D74" s="1">
        <v>14650</v>
      </c>
      <c r="E74" s="1">
        <v>5199</v>
      </c>
      <c r="F74" s="2">
        <v>0.35488054607508501</v>
      </c>
      <c r="G74" s="1">
        <v>95</v>
      </c>
      <c r="H74" s="2">
        <v>1.82727447586074E-2</v>
      </c>
      <c r="I74" s="15">
        <v>6.4846416382252602E-3</v>
      </c>
    </row>
    <row r="75" spans="1:9" ht="16" thickBot="1" x14ac:dyDescent="0.4">
      <c r="A75" s="22" t="s">
        <v>13</v>
      </c>
      <c r="B75" s="4"/>
      <c r="C75" s="4"/>
      <c r="D75" s="19">
        <f>SUM(D52:D74)</f>
        <v>10936978</v>
      </c>
      <c r="E75" s="19">
        <f>SUM(E52:E74)</f>
        <v>3967273</v>
      </c>
      <c r="F75" s="20">
        <f>AVERAGE(F52:F74)</f>
        <v>0.35714971885343105</v>
      </c>
      <c r="G75" s="19">
        <f>SUM(G52:G74)</f>
        <v>102135</v>
      </c>
      <c r="H75" s="20">
        <f>AVERAGE(H52:H74)</f>
        <v>1.9326761946635483E-2</v>
      </c>
      <c r="I75" s="21">
        <f>AVERAGE(I52:I74)</f>
        <v>6.6284981264618124E-3</v>
      </c>
    </row>
    <row r="76" spans="1:9" ht="3" customHeight="1" thickBot="1" x14ac:dyDescent="0.4"/>
    <row r="77" spans="1:9" x14ac:dyDescent="0.35">
      <c r="A77" s="10" t="s">
        <v>11</v>
      </c>
      <c r="B77" s="11"/>
      <c r="C77" s="11"/>
      <c r="D77" s="11"/>
      <c r="E77" s="11"/>
      <c r="F77" s="11"/>
      <c r="G77" s="11"/>
      <c r="H77" s="11"/>
      <c r="I77" s="12"/>
    </row>
    <row r="78" spans="1:9" x14ac:dyDescent="0.35">
      <c r="A78" s="14">
        <v>45771</v>
      </c>
      <c r="B78" t="s">
        <v>322</v>
      </c>
      <c r="C78" t="s">
        <v>367</v>
      </c>
      <c r="D78" s="1">
        <v>281984</v>
      </c>
      <c r="E78" s="1">
        <v>96400</v>
      </c>
      <c r="F78" s="3">
        <v>0.34189999999999998</v>
      </c>
      <c r="G78">
        <v>247</v>
      </c>
      <c r="H78" s="3">
        <v>2.5999999999999999E-3</v>
      </c>
      <c r="I78" s="16">
        <v>8.9999999999999998E-4</v>
      </c>
    </row>
    <row r="79" spans="1:9" x14ac:dyDescent="0.35">
      <c r="A79" s="14">
        <v>45771</v>
      </c>
      <c r="B79" t="s">
        <v>323</v>
      </c>
      <c r="C79" t="s">
        <v>21</v>
      </c>
      <c r="D79" s="1">
        <v>8048</v>
      </c>
      <c r="E79" s="1">
        <v>2599</v>
      </c>
      <c r="F79" s="3">
        <v>0.32290000000000002</v>
      </c>
      <c r="G79">
        <v>9</v>
      </c>
      <c r="H79" s="3">
        <v>3.5000000000000001E-3</v>
      </c>
      <c r="I79" s="16">
        <v>1.1000000000000001E-3</v>
      </c>
    </row>
    <row r="80" spans="1:9" x14ac:dyDescent="0.35">
      <c r="A80" s="14">
        <v>45771</v>
      </c>
      <c r="B80" t="s">
        <v>363</v>
      </c>
      <c r="C80" t="s">
        <v>197</v>
      </c>
      <c r="D80" s="1">
        <v>19005</v>
      </c>
      <c r="E80" s="1">
        <v>6564</v>
      </c>
      <c r="F80" s="3">
        <v>0.34539999999999998</v>
      </c>
      <c r="G80">
        <v>36</v>
      </c>
      <c r="H80" s="3">
        <v>5.4999999999999997E-3</v>
      </c>
      <c r="I80" s="16">
        <v>1.9E-3</v>
      </c>
    </row>
    <row r="81" spans="1:9" x14ac:dyDescent="0.35">
      <c r="A81" s="14">
        <v>45771</v>
      </c>
      <c r="B81" t="s">
        <v>364</v>
      </c>
      <c r="C81" t="s">
        <v>198</v>
      </c>
      <c r="D81">
        <v>464</v>
      </c>
      <c r="E81">
        <v>144</v>
      </c>
      <c r="F81" s="3">
        <v>0.31030000000000002</v>
      </c>
      <c r="G81">
        <v>0</v>
      </c>
      <c r="H81" s="3">
        <v>0</v>
      </c>
      <c r="I81" s="16">
        <v>0</v>
      </c>
    </row>
    <row r="82" spans="1:9" ht="16" thickBot="1" x14ac:dyDescent="0.4">
      <c r="A82" s="22" t="s">
        <v>13</v>
      </c>
      <c r="B82" s="4"/>
      <c r="C82" s="4"/>
      <c r="D82" s="19">
        <f>SUM(D78:D81)</f>
        <v>309501</v>
      </c>
      <c r="E82" s="19">
        <f>SUM(E78:E81)</f>
        <v>105707</v>
      </c>
      <c r="F82" s="20">
        <f>AVERAGE(F78:F81)</f>
        <v>0.330125</v>
      </c>
      <c r="G82" s="19">
        <f>SUM(G78:G81)</f>
        <v>292</v>
      </c>
      <c r="H82" s="20">
        <f>AVERAGE(H78:H81)</f>
        <v>2.8999999999999998E-3</v>
      </c>
      <c r="I82" s="21">
        <f>AVERAGE(I78:I81)</f>
        <v>9.7499999999999996E-4</v>
      </c>
    </row>
    <row r="86" spans="1:9" x14ac:dyDescent="0.35">
      <c r="C86" s="1"/>
      <c r="D86" s="1"/>
      <c r="E86" s="3"/>
      <c r="G86" s="3"/>
      <c r="H86" s="3"/>
    </row>
    <row r="87" spans="1:9" x14ac:dyDescent="0.35">
      <c r="C87" s="1"/>
      <c r="D87" s="1"/>
      <c r="E87" s="3"/>
      <c r="G87" s="3"/>
      <c r="H87" s="3"/>
    </row>
    <row r="88" spans="1:9" x14ac:dyDescent="0.35">
      <c r="C88" s="1"/>
      <c r="D88" s="1"/>
      <c r="E88" s="3"/>
      <c r="G88" s="3"/>
      <c r="H88" s="3"/>
    </row>
    <row r="89" spans="1:9" x14ac:dyDescent="0.35">
      <c r="C89" s="1"/>
      <c r="D89" s="1"/>
      <c r="E89" s="3"/>
      <c r="G89" s="3"/>
      <c r="H89" s="3"/>
    </row>
    <row r="90" spans="1:9" x14ac:dyDescent="0.35">
      <c r="D90" s="1"/>
      <c r="E90" s="1"/>
      <c r="F90" s="3"/>
      <c r="H90" s="3"/>
      <c r="I90" s="3"/>
    </row>
    <row r="91" spans="1:9" x14ac:dyDescent="0.35">
      <c r="D91" s="1"/>
      <c r="E91" s="1"/>
      <c r="F91" s="3"/>
      <c r="H91" s="3"/>
      <c r="I91" s="3"/>
    </row>
    <row r="92" spans="1:9" x14ac:dyDescent="0.35">
      <c r="D92" s="1"/>
      <c r="E92" s="1"/>
      <c r="F92" s="3"/>
      <c r="H92" s="3"/>
      <c r="I92" s="3"/>
    </row>
    <row r="93" spans="1:9" x14ac:dyDescent="0.35">
      <c r="D93" s="1"/>
      <c r="E93" s="1"/>
      <c r="F93" s="3"/>
      <c r="H93" s="3"/>
      <c r="I93" s="3"/>
    </row>
  </sheetData>
  <mergeCells count="2">
    <mergeCell ref="A38:I38"/>
    <mergeCell ref="A50:I50"/>
  </mergeCells>
  <pageMargins left="0.7" right="0.7" top="0.75" bottom="0.75" header="0.3" footer="0.3"/>
  <ignoredErrors>
    <ignoredError sqref="F37:G37 F82:G82 F75:G75 F49:G49" formula="1"/>
  </ignoredErrors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72DC-9280-4A90-8B77-663FFE3263A1}">
  <dimension ref="A1:I76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5.5429687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45772</v>
      </c>
      <c r="B2" t="s">
        <v>369</v>
      </c>
      <c r="C2" t="s">
        <v>7</v>
      </c>
      <c r="D2" s="1">
        <v>4891895</v>
      </c>
      <c r="E2" s="1">
        <v>1498544</v>
      </c>
      <c r="F2" s="2">
        <v>0.30633200426419599</v>
      </c>
      <c r="G2" s="1">
        <v>14473</v>
      </c>
      <c r="H2" s="2">
        <v>9.6580414055243008E-3</v>
      </c>
      <c r="I2" s="2">
        <v>2.9585671810208498E-3</v>
      </c>
    </row>
    <row r="3" spans="1:9" x14ac:dyDescent="0.35">
      <c r="A3" s="13">
        <v>45772</v>
      </c>
      <c r="B3" t="s">
        <v>369</v>
      </c>
      <c r="C3" t="s">
        <v>8</v>
      </c>
      <c r="D3" s="1">
        <v>314157</v>
      </c>
      <c r="E3" s="1">
        <v>109501</v>
      </c>
      <c r="F3" s="2">
        <v>0.348555021852131</v>
      </c>
      <c r="G3" s="1">
        <v>1376</v>
      </c>
      <c r="H3" s="2">
        <v>1.2566095286801001E-2</v>
      </c>
      <c r="I3" s="2">
        <v>4.3799756172868999E-3</v>
      </c>
    </row>
    <row r="4" spans="1:9" x14ac:dyDescent="0.35">
      <c r="A4" s="13">
        <v>45774</v>
      </c>
      <c r="B4" t="s">
        <v>370</v>
      </c>
      <c r="C4" t="s">
        <v>7</v>
      </c>
      <c r="D4" s="1">
        <v>6317953</v>
      </c>
      <c r="E4" s="1">
        <v>2334023</v>
      </c>
      <c r="F4" s="2">
        <v>0.36942709133797003</v>
      </c>
      <c r="G4" s="1">
        <v>48019</v>
      </c>
      <c r="H4" s="2">
        <v>2.0573490492595801E-2</v>
      </c>
      <c r="I4" s="2">
        <v>7.6004047513490497E-3</v>
      </c>
    </row>
    <row r="5" spans="1:9" x14ac:dyDescent="0.35">
      <c r="A5" s="13">
        <v>45774</v>
      </c>
      <c r="B5" t="s">
        <v>370</v>
      </c>
      <c r="C5" t="s">
        <v>8</v>
      </c>
      <c r="D5" s="1">
        <v>403588</v>
      </c>
      <c r="E5" s="1">
        <v>147033</v>
      </c>
      <c r="F5" s="2">
        <v>0.36431459805544297</v>
      </c>
      <c r="G5" s="1">
        <v>4389</v>
      </c>
      <c r="H5" s="2">
        <v>2.9850441737569101E-2</v>
      </c>
      <c r="I5" s="2">
        <v>1.08749516833999E-2</v>
      </c>
    </row>
    <row r="6" spans="1:9" x14ac:dyDescent="0.35">
      <c r="A6" s="13">
        <v>45775</v>
      </c>
      <c r="B6" t="s">
        <v>371</v>
      </c>
      <c r="C6" t="s">
        <v>7</v>
      </c>
      <c r="D6" s="1">
        <v>935434</v>
      </c>
      <c r="E6" s="1">
        <v>402090</v>
      </c>
      <c r="F6" s="2">
        <v>0.429843259919994</v>
      </c>
      <c r="G6" s="1">
        <v>4476</v>
      </c>
      <c r="H6" s="2">
        <v>1.11318361560845E-2</v>
      </c>
      <c r="I6" s="2">
        <v>4.7849447422265998E-3</v>
      </c>
    </row>
    <row r="7" spans="1:9" x14ac:dyDescent="0.35">
      <c r="A7" s="13">
        <v>45775</v>
      </c>
      <c r="B7" t="s">
        <v>371</v>
      </c>
      <c r="C7" t="s">
        <v>8</v>
      </c>
      <c r="D7" s="1">
        <v>56188</v>
      </c>
      <c r="E7" s="1">
        <v>25460</v>
      </c>
      <c r="F7" s="2">
        <v>0.45312166298853801</v>
      </c>
      <c r="G7" s="1">
        <v>420</v>
      </c>
      <c r="H7" s="2">
        <v>1.6496465043205E-2</v>
      </c>
      <c r="I7" s="2">
        <v>7.4749056738093499E-3</v>
      </c>
    </row>
    <row r="8" spans="1:9" x14ac:dyDescent="0.35">
      <c r="A8" s="13">
        <v>45775</v>
      </c>
      <c r="B8" t="s">
        <v>372</v>
      </c>
      <c r="C8" t="s">
        <v>7</v>
      </c>
      <c r="D8" s="1">
        <v>4396</v>
      </c>
      <c r="E8" s="1">
        <v>1611</v>
      </c>
      <c r="F8" s="2">
        <v>0.36646951774340297</v>
      </c>
      <c r="G8" s="1">
        <v>97</v>
      </c>
      <c r="H8" s="2">
        <v>6.02110490378647E-2</v>
      </c>
      <c r="I8" s="2">
        <v>2.2065514103730699E-2</v>
      </c>
    </row>
    <row r="9" spans="1:9" x14ac:dyDescent="0.35">
      <c r="A9" s="13">
        <v>45775</v>
      </c>
      <c r="B9" t="s">
        <v>373</v>
      </c>
      <c r="C9" t="s">
        <v>7</v>
      </c>
      <c r="D9" s="1">
        <v>2958</v>
      </c>
      <c r="E9" s="1">
        <v>1457</v>
      </c>
      <c r="F9" s="2">
        <v>0.492562542258283</v>
      </c>
      <c r="G9" s="1">
        <v>79</v>
      </c>
      <c r="H9" s="2">
        <v>5.42210020590254E-2</v>
      </c>
      <c r="I9" s="2">
        <v>2.67072346179851E-2</v>
      </c>
    </row>
    <row r="10" spans="1:9" x14ac:dyDescent="0.35">
      <c r="A10" s="13">
        <v>45775</v>
      </c>
      <c r="B10" t="s">
        <v>373</v>
      </c>
      <c r="C10" t="s">
        <v>8</v>
      </c>
      <c r="D10" s="1">
        <v>603</v>
      </c>
      <c r="E10" s="1">
        <v>280</v>
      </c>
      <c r="F10" s="2">
        <v>0.46434494195688197</v>
      </c>
      <c r="G10" s="1">
        <v>17</v>
      </c>
      <c r="H10" s="2">
        <v>6.07142857142857E-2</v>
      </c>
      <c r="I10" s="2">
        <v>2.81923714759536E-2</v>
      </c>
    </row>
    <row r="11" spans="1:9" x14ac:dyDescent="0.35">
      <c r="A11" s="13">
        <v>45776</v>
      </c>
      <c r="B11" t="s">
        <v>374</v>
      </c>
      <c r="C11" t="s">
        <v>7</v>
      </c>
      <c r="D11" s="1">
        <v>621340</v>
      </c>
      <c r="E11" s="1">
        <v>201950</v>
      </c>
      <c r="F11" s="2">
        <v>0.32502333665947802</v>
      </c>
      <c r="G11" s="1">
        <v>5489</v>
      </c>
      <c r="H11" s="2">
        <v>2.7179995048279299E-2</v>
      </c>
      <c r="I11" s="2">
        <v>8.8341326809798192E-3</v>
      </c>
    </row>
    <row r="12" spans="1:9" x14ac:dyDescent="0.35">
      <c r="A12" s="13">
        <v>45776</v>
      </c>
      <c r="B12" t="s">
        <v>374</v>
      </c>
      <c r="C12" t="s">
        <v>330</v>
      </c>
      <c r="D12" s="1">
        <v>206970</v>
      </c>
      <c r="E12" s="1">
        <v>73573</v>
      </c>
      <c r="F12" s="2">
        <v>0.35547663912644301</v>
      </c>
      <c r="G12" s="1">
        <v>2331</v>
      </c>
      <c r="H12" s="2">
        <v>3.1682818425237499E-2</v>
      </c>
      <c r="I12" s="2">
        <v>1.12625018118568E-2</v>
      </c>
    </row>
    <row r="13" spans="1:9" x14ac:dyDescent="0.35">
      <c r="A13" s="13">
        <v>45776</v>
      </c>
      <c r="B13" t="s">
        <v>374</v>
      </c>
      <c r="C13" t="s">
        <v>331</v>
      </c>
      <c r="D13" s="1">
        <v>191818</v>
      </c>
      <c r="E13" s="1">
        <v>61626</v>
      </c>
      <c r="F13" s="2">
        <v>0.32127329030643598</v>
      </c>
      <c r="G13" s="1">
        <v>1238</v>
      </c>
      <c r="H13" s="2">
        <v>2.0088923506312299E-2</v>
      </c>
      <c r="I13" s="2">
        <v>6.4540345535872602E-3</v>
      </c>
    </row>
    <row r="14" spans="1:9" x14ac:dyDescent="0.35">
      <c r="A14" s="13">
        <v>45776</v>
      </c>
      <c r="B14" t="s">
        <v>374</v>
      </c>
      <c r="C14" t="s">
        <v>332</v>
      </c>
      <c r="D14" s="1">
        <v>205902</v>
      </c>
      <c r="E14" s="1">
        <v>73620</v>
      </c>
      <c r="F14" s="2">
        <v>0.35754873677769</v>
      </c>
      <c r="G14" s="1">
        <v>2192</v>
      </c>
      <c r="H14" s="2">
        <v>2.97745177940777E-2</v>
      </c>
      <c r="I14" s="2">
        <v>1.06458412254373E-2</v>
      </c>
    </row>
    <row r="15" spans="1:9" x14ac:dyDescent="0.35">
      <c r="A15" s="13">
        <v>45776</v>
      </c>
      <c r="B15" t="s">
        <v>374</v>
      </c>
      <c r="C15" t="s">
        <v>333</v>
      </c>
      <c r="D15" s="1">
        <v>192035</v>
      </c>
      <c r="E15" s="1">
        <v>61493</v>
      </c>
      <c r="F15" s="2">
        <v>0.32021766865415202</v>
      </c>
      <c r="G15" s="1">
        <v>1290</v>
      </c>
      <c r="H15" s="2">
        <v>2.0977997495649901E-2</v>
      </c>
      <c r="I15" s="2">
        <v>6.7175254510896502E-3</v>
      </c>
    </row>
    <row r="16" spans="1:9" x14ac:dyDescent="0.35">
      <c r="A16" s="13">
        <v>45776</v>
      </c>
      <c r="B16" t="s">
        <v>374</v>
      </c>
      <c r="C16" t="s">
        <v>8</v>
      </c>
      <c r="D16" s="1">
        <v>38937</v>
      </c>
      <c r="E16" s="1">
        <v>12254</v>
      </c>
      <c r="F16" s="2">
        <v>0.31471351156997202</v>
      </c>
      <c r="G16" s="1">
        <v>405</v>
      </c>
      <c r="H16" s="2">
        <v>3.30504325118329E-2</v>
      </c>
      <c r="I16" s="2">
        <v>1.04014176747053E-2</v>
      </c>
    </row>
    <row r="17" spans="1:9" x14ac:dyDescent="0.35">
      <c r="A17" s="13">
        <v>45777</v>
      </c>
      <c r="B17" t="s">
        <v>375</v>
      </c>
      <c r="C17" t="s">
        <v>7</v>
      </c>
      <c r="D17" s="1">
        <v>2300</v>
      </c>
      <c r="E17" s="1">
        <v>1390</v>
      </c>
      <c r="F17" s="2">
        <v>0.60434782608695603</v>
      </c>
      <c r="G17" s="1">
        <v>139</v>
      </c>
      <c r="H17" s="2">
        <v>0.1</v>
      </c>
      <c r="I17" s="2">
        <v>6.04347826086956E-2</v>
      </c>
    </row>
    <row r="18" spans="1:9" x14ac:dyDescent="0.35">
      <c r="A18" s="13">
        <v>45777</v>
      </c>
      <c r="B18" t="s">
        <v>375</v>
      </c>
      <c r="C18" t="s">
        <v>8</v>
      </c>
      <c r="D18" s="1">
        <v>329</v>
      </c>
      <c r="E18" s="1">
        <v>225</v>
      </c>
      <c r="F18" s="2">
        <v>0.68389057750759896</v>
      </c>
      <c r="G18" s="1">
        <v>26</v>
      </c>
      <c r="H18" s="2">
        <v>0.11555555555555599</v>
      </c>
      <c r="I18" s="2">
        <v>7.9027355623100301E-2</v>
      </c>
    </row>
    <row r="19" spans="1:9" x14ac:dyDescent="0.35">
      <c r="A19" s="13">
        <v>45777</v>
      </c>
      <c r="B19" t="s">
        <v>376</v>
      </c>
      <c r="C19" t="s">
        <v>110</v>
      </c>
      <c r="D19" s="1">
        <v>47226</v>
      </c>
      <c r="E19" s="1">
        <v>19220</v>
      </c>
      <c r="F19" s="2">
        <v>0.40697920636937301</v>
      </c>
      <c r="G19" s="1">
        <v>104</v>
      </c>
      <c r="H19" s="2">
        <v>5.4110301768990603E-3</v>
      </c>
      <c r="I19" s="2">
        <v>2.20217676703511E-3</v>
      </c>
    </row>
    <row r="20" spans="1:9" x14ac:dyDescent="0.35">
      <c r="A20" s="13">
        <v>45777</v>
      </c>
      <c r="B20" t="s">
        <v>376</v>
      </c>
      <c r="C20" t="s">
        <v>90</v>
      </c>
      <c r="D20" s="1">
        <v>900121</v>
      </c>
      <c r="E20" s="1">
        <v>367724</v>
      </c>
      <c r="F20" s="2">
        <v>0.40852729799660298</v>
      </c>
      <c r="G20" s="1">
        <v>1772</v>
      </c>
      <c r="H20" s="2">
        <v>4.8188315149405503E-3</v>
      </c>
      <c r="I20" s="2">
        <v>1.9686242182995399E-3</v>
      </c>
    </row>
    <row r="21" spans="1:9" x14ac:dyDescent="0.35">
      <c r="A21" s="13">
        <v>45777</v>
      </c>
      <c r="B21" t="s">
        <v>376</v>
      </c>
      <c r="C21" t="s">
        <v>111</v>
      </c>
      <c r="D21" s="1">
        <v>3112</v>
      </c>
      <c r="E21" s="1">
        <v>1361</v>
      </c>
      <c r="F21" s="2">
        <v>0.43733933161953698</v>
      </c>
      <c r="G21" s="1">
        <v>4</v>
      </c>
      <c r="H21" s="2">
        <v>2.9390154298310099E-3</v>
      </c>
      <c r="I21" s="2">
        <v>1.2853470437018E-3</v>
      </c>
    </row>
    <row r="22" spans="1:9" x14ac:dyDescent="0.35">
      <c r="A22" s="13">
        <v>45777</v>
      </c>
      <c r="B22" t="s">
        <v>376</v>
      </c>
      <c r="C22" t="s">
        <v>91</v>
      </c>
      <c r="D22" s="1">
        <v>57095</v>
      </c>
      <c r="E22" s="1">
        <v>24719</v>
      </c>
      <c r="F22" s="2">
        <v>0.43294509151414301</v>
      </c>
      <c r="G22" s="1">
        <v>167</v>
      </c>
      <c r="H22" s="2">
        <v>6.7559367288320699E-3</v>
      </c>
      <c r="I22" s="2">
        <v>2.9249496453279599E-3</v>
      </c>
    </row>
    <row r="23" spans="1:9" x14ac:dyDescent="0.35">
      <c r="A23" s="13">
        <v>45778</v>
      </c>
      <c r="B23" t="s">
        <v>363</v>
      </c>
      <c r="C23" t="s">
        <v>17</v>
      </c>
      <c r="D23" s="1">
        <v>17498</v>
      </c>
      <c r="E23" s="1">
        <v>6471</v>
      </c>
      <c r="F23" s="3">
        <v>0.36980000000000002</v>
      </c>
      <c r="G23">
        <v>24</v>
      </c>
      <c r="H23" s="3">
        <v>3.7000000000000002E-3</v>
      </c>
      <c r="I23" s="3">
        <v>1.4E-3</v>
      </c>
    </row>
    <row r="24" spans="1:9" x14ac:dyDescent="0.35">
      <c r="A24" s="13">
        <v>45778</v>
      </c>
      <c r="B24" t="s">
        <v>364</v>
      </c>
      <c r="C24" t="s">
        <v>18</v>
      </c>
      <c r="D24">
        <v>436</v>
      </c>
      <c r="E24">
        <v>135</v>
      </c>
      <c r="F24" s="3">
        <v>0.30959999999999999</v>
      </c>
      <c r="G24">
        <v>1</v>
      </c>
      <c r="H24" s="3">
        <v>7.4000000000000003E-3</v>
      </c>
      <c r="I24" s="3">
        <v>2.3E-3</v>
      </c>
    </row>
    <row r="25" spans="1:9" x14ac:dyDescent="0.35">
      <c r="A25" s="13">
        <v>45778</v>
      </c>
      <c r="B25" t="s">
        <v>377</v>
      </c>
      <c r="C25" t="s">
        <v>7</v>
      </c>
      <c r="D25" s="1">
        <v>82426</v>
      </c>
      <c r="E25" s="1">
        <v>23608</v>
      </c>
      <c r="F25" s="2">
        <v>0.286414480867687</v>
      </c>
      <c r="G25" s="1">
        <v>297</v>
      </c>
      <c r="H25" s="2">
        <v>1.2580481192816E-2</v>
      </c>
      <c r="I25" s="2">
        <v>3.6032319899060999E-3</v>
      </c>
    </row>
    <row r="26" spans="1:9" x14ac:dyDescent="0.35">
      <c r="A26" s="13">
        <v>45778</v>
      </c>
      <c r="B26" t="s">
        <v>378</v>
      </c>
      <c r="C26" t="s">
        <v>110</v>
      </c>
      <c r="D26" s="1">
        <v>8403</v>
      </c>
      <c r="E26" s="1">
        <v>3425</v>
      </c>
      <c r="F26" s="2">
        <v>0.40759252647863897</v>
      </c>
      <c r="G26" s="1">
        <v>41</v>
      </c>
      <c r="H26" s="2">
        <v>1.1970802919708E-2</v>
      </c>
      <c r="I26" s="2">
        <v>4.8792098060216598E-3</v>
      </c>
    </row>
    <row r="27" spans="1:9" x14ac:dyDescent="0.35">
      <c r="A27" s="13">
        <v>45778</v>
      </c>
      <c r="B27" t="s">
        <v>378</v>
      </c>
      <c r="C27" t="s">
        <v>90</v>
      </c>
      <c r="D27" s="1">
        <v>159027</v>
      </c>
      <c r="E27" s="1">
        <v>62878</v>
      </c>
      <c r="F27" s="2">
        <v>0.39539197746294702</v>
      </c>
      <c r="G27" s="1">
        <v>496</v>
      </c>
      <c r="H27" s="2">
        <v>7.8882916123286396E-3</v>
      </c>
      <c r="I27" s="2">
        <v>3.11896721940299E-3</v>
      </c>
    </row>
    <row r="28" spans="1:9" x14ac:dyDescent="0.35">
      <c r="A28" s="13">
        <v>45778</v>
      </c>
      <c r="B28" t="s">
        <v>378</v>
      </c>
      <c r="C28" t="s">
        <v>111</v>
      </c>
      <c r="D28" s="1">
        <v>474</v>
      </c>
      <c r="E28" s="1">
        <v>192</v>
      </c>
      <c r="F28" s="2">
        <v>0.405063291139241</v>
      </c>
      <c r="G28" s="1">
        <v>2</v>
      </c>
      <c r="H28" s="2">
        <v>1.0416666666666701E-2</v>
      </c>
      <c r="I28" s="2">
        <v>4.2194092827004199E-3</v>
      </c>
    </row>
    <row r="29" spans="1:9" x14ac:dyDescent="0.35">
      <c r="A29" s="13">
        <v>45778</v>
      </c>
      <c r="B29" t="s">
        <v>378</v>
      </c>
      <c r="C29" t="s">
        <v>91</v>
      </c>
      <c r="D29" s="1">
        <v>9091</v>
      </c>
      <c r="E29" s="1">
        <v>3549</v>
      </c>
      <c r="F29" s="2">
        <v>0.39038609613903902</v>
      </c>
      <c r="G29" s="1">
        <v>30</v>
      </c>
      <c r="H29" s="2">
        <v>8.4530853761623E-3</v>
      </c>
      <c r="I29" s="2">
        <v>3.2999670003299999E-3</v>
      </c>
    </row>
    <row r="30" spans="1:9" x14ac:dyDescent="0.35">
      <c r="A30" s="13">
        <v>45778</v>
      </c>
      <c r="B30" t="s">
        <v>379</v>
      </c>
      <c r="C30" t="s">
        <v>85</v>
      </c>
      <c r="D30" s="1">
        <v>5547</v>
      </c>
      <c r="E30" s="1">
        <v>1547</v>
      </c>
      <c r="F30" s="2">
        <v>0.278889489814314</v>
      </c>
      <c r="G30" s="1">
        <v>96</v>
      </c>
      <c r="H30" s="2">
        <v>6.2055591467356203E-2</v>
      </c>
      <c r="I30" s="2">
        <v>1.7306652244456499E-2</v>
      </c>
    </row>
    <row r="31" spans="1:9" x14ac:dyDescent="0.35">
      <c r="A31" s="13">
        <v>45778</v>
      </c>
      <c r="B31" t="s">
        <v>380</v>
      </c>
      <c r="C31" t="s">
        <v>87</v>
      </c>
      <c r="D31" s="1">
        <v>581</v>
      </c>
      <c r="E31" s="1">
        <v>159</v>
      </c>
      <c r="F31" s="2">
        <v>0.27366609294320099</v>
      </c>
      <c r="G31" s="1">
        <v>10</v>
      </c>
      <c r="H31" s="2">
        <v>6.2893081761006303E-2</v>
      </c>
      <c r="I31" s="2">
        <v>1.7211703958691899E-2</v>
      </c>
    </row>
    <row r="32" spans="1:9" ht="16" thickBot="1" x14ac:dyDescent="0.4">
      <c r="A32" s="23" t="s">
        <v>13</v>
      </c>
      <c r="D32" s="17">
        <f>SUM(D2:D31)</f>
        <v>15677840</v>
      </c>
      <c r="E32" s="17">
        <f>SUM(E2:E31)</f>
        <v>5521118</v>
      </c>
      <c r="F32" s="18">
        <f>AVERAGE(F2:F31)</f>
        <v>0.38933523698034295</v>
      </c>
      <c r="G32" s="17">
        <f>SUM(G2:G31)</f>
        <v>89500</v>
      </c>
      <c r="H32" s="18">
        <f>AVERAGE(H2:H31)</f>
        <v>2.8700525403881592E-2</v>
      </c>
      <c r="I32" s="18">
        <f>AVERAGE(I2:I31)</f>
        <v>1.2484556688402933E-2</v>
      </c>
    </row>
    <row r="33" spans="1:9" ht="15" thickBot="1" x14ac:dyDescent="0.4">
      <c r="A33" s="123" t="s">
        <v>19</v>
      </c>
      <c r="B33" s="123"/>
      <c r="C33" s="123"/>
      <c r="D33" s="123"/>
      <c r="E33" s="123"/>
      <c r="F33" s="123"/>
      <c r="G33" s="123"/>
      <c r="H33" s="123"/>
      <c r="I33" s="123"/>
    </row>
    <row r="34" spans="1:9" ht="15.5" x14ac:dyDescent="0.35">
      <c r="A34" s="24" t="s">
        <v>9</v>
      </c>
      <c r="B34" s="25" t="s">
        <v>0</v>
      </c>
      <c r="C34" s="25" t="s">
        <v>16</v>
      </c>
      <c r="D34" s="25" t="s">
        <v>1</v>
      </c>
      <c r="E34" s="25" t="s">
        <v>2</v>
      </c>
      <c r="F34" s="25" t="s">
        <v>3</v>
      </c>
      <c r="G34" s="25" t="s">
        <v>4</v>
      </c>
      <c r="H34" s="25" t="s">
        <v>5</v>
      </c>
      <c r="I34" s="26" t="s">
        <v>6</v>
      </c>
    </row>
    <row r="35" spans="1:9" x14ac:dyDescent="0.35">
      <c r="A35" s="5" t="s">
        <v>12</v>
      </c>
      <c r="B35" s="6"/>
      <c r="C35" s="6"/>
      <c r="D35" s="6"/>
      <c r="E35" s="6"/>
      <c r="F35" s="6"/>
      <c r="G35" s="6"/>
      <c r="H35" s="6"/>
      <c r="I35" s="7"/>
    </row>
    <row r="36" spans="1:9" x14ac:dyDescent="0.35">
      <c r="A36" s="14">
        <v>45772</v>
      </c>
      <c r="B36" t="s">
        <v>369</v>
      </c>
      <c r="C36" t="s">
        <v>7</v>
      </c>
      <c r="D36" s="1">
        <v>4891895</v>
      </c>
      <c r="E36" s="1">
        <v>1498544</v>
      </c>
      <c r="F36" s="2">
        <v>0.30633200426419599</v>
      </c>
      <c r="G36" s="1">
        <v>14473</v>
      </c>
      <c r="H36" s="2">
        <v>9.6580414055243008E-3</v>
      </c>
      <c r="I36" s="15">
        <v>2.9585671810208498E-3</v>
      </c>
    </row>
    <row r="37" spans="1:9" x14ac:dyDescent="0.35">
      <c r="A37" s="14">
        <v>45772</v>
      </c>
      <c r="B37" t="s">
        <v>369</v>
      </c>
      <c r="C37" t="s">
        <v>8</v>
      </c>
      <c r="D37" s="1">
        <v>314157</v>
      </c>
      <c r="E37" s="1">
        <v>109501</v>
      </c>
      <c r="F37" s="2">
        <v>0.348555021852131</v>
      </c>
      <c r="G37" s="1">
        <v>1376</v>
      </c>
      <c r="H37" s="2">
        <v>1.2566095286801001E-2</v>
      </c>
      <c r="I37" s="15">
        <v>4.3799756172868999E-3</v>
      </c>
    </row>
    <row r="38" spans="1:9" x14ac:dyDescent="0.35">
      <c r="A38" s="14">
        <v>45776</v>
      </c>
      <c r="B38" t="s">
        <v>374</v>
      </c>
      <c r="C38" t="s">
        <v>7</v>
      </c>
      <c r="D38" s="1">
        <v>621340</v>
      </c>
      <c r="E38" s="1">
        <v>201950</v>
      </c>
      <c r="F38" s="2">
        <v>0.32502333665947802</v>
      </c>
      <c r="G38" s="1">
        <v>5489</v>
      </c>
      <c r="H38" s="2">
        <v>2.7179995048279299E-2</v>
      </c>
      <c r="I38" s="15">
        <v>8.8341326809798192E-3</v>
      </c>
    </row>
    <row r="39" spans="1:9" x14ac:dyDescent="0.35">
      <c r="A39" s="14">
        <v>45776</v>
      </c>
      <c r="B39" t="s">
        <v>374</v>
      </c>
      <c r="C39" t="s">
        <v>330</v>
      </c>
      <c r="D39" s="1">
        <v>206970</v>
      </c>
      <c r="E39" s="1">
        <v>73573</v>
      </c>
      <c r="F39" s="2">
        <v>0.35547663912644301</v>
      </c>
      <c r="G39" s="1">
        <v>2331</v>
      </c>
      <c r="H39" s="2">
        <v>3.1682818425237499E-2</v>
      </c>
      <c r="I39" s="15">
        <v>1.12625018118568E-2</v>
      </c>
    </row>
    <row r="40" spans="1:9" x14ac:dyDescent="0.35">
      <c r="A40" s="14">
        <v>45776</v>
      </c>
      <c r="B40" t="s">
        <v>374</v>
      </c>
      <c r="C40" t="s">
        <v>331</v>
      </c>
      <c r="D40" s="1">
        <v>191818</v>
      </c>
      <c r="E40" s="1">
        <v>61626</v>
      </c>
      <c r="F40" s="2">
        <v>0.32127329030643598</v>
      </c>
      <c r="G40" s="1">
        <v>1238</v>
      </c>
      <c r="H40" s="2">
        <v>2.0088923506312299E-2</v>
      </c>
      <c r="I40" s="15">
        <v>6.4540345535872602E-3</v>
      </c>
    </row>
    <row r="41" spans="1:9" x14ac:dyDescent="0.35">
      <c r="A41" s="14">
        <v>45776</v>
      </c>
      <c r="B41" t="s">
        <v>374</v>
      </c>
      <c r="C41" t="s">
        <v>332</v>
      </c>
      <c r="D41" s="1">
        <v>205902</v>
      </c>
      <c r="E41" s="1">
        <v>73620</v>
      </c>
      <c r="F41" s="2">
        <v>0.35754873677769</v>
      </c>
      <c r="G41" s="1">
        <v>2192</v>
      </c>
      <c r="H41" s="2">
        <v>2.97745177940777E-2</v>
      </c>
      <c r="I41" s="15">
        <v>1.06458412254373E-2</v>
      </c>
    </row>
    <row r="42" spans="1:9" x14ac:dyDescent="0.35">
      <c r="A42" s="14">
        <v>45776</v>
      </c>
      <c r="B42" t="s">
        <v>374</v>
      </c>
      <c r="C42" t="s">
        <v>333</v>
      </c>
      <c r="D42" s="1">
        <v>192035</v>
      </c>
      <c r="E42" s="1">
        <v>61493</v>
      </c>
      <c r="F42" s="2">
        <v>0.32021766865415202</v>
      </c>
      <c r="G42" s="1">
        <v>1290</v>
      </c>
      <c r="H42" s="2">
        <v>2.0977997495649901E-2</v>
      </c>
      <c r="I42" s="15">
        <v>6.7175254510896502E-3</v>
      </c>
    </row>
    <row r="43" spans="1:9" x14ac:dyDescent="0.35">
      <c r="A43" s="14">
        <v>45776</v>
      </c>
      <c r="B43" t="s">
        <v>374</v>
      </c>
      <c r="C43" t="s">
        <v>8</v>
      </c>
      <c r="D43" s="1">
        <v>38937</v>
      </c>
      <c r="E43" s="1">
        <v>12254</v>
      </c>
      <c r="F43" s="2">
        <v>0.31471351156997202</v>
      </c>
      <c r="G43" s="1">
        <v>405</v>
      </c>
      <c r="H43" s="2">
        <v>3.30504325118329E-2</v>
      </c>
      <c r="I43" s="15">
        <v>1.04014176747053E-2</v>
      </c>
    </row>
    <row r="44" spans="1:9" ht="16" thickBot="1" x14ac:dyDescent="0.4">
      <c r="A44" s="22" t="s">
        <v>13</v>
      </c>
      <c r="B44" s="4"/>
      <c r="C44" s="4"/>
      <c r="D44" s="19">
        <f>SUM(D36:D43)</f>
        <v>6663054</v>
      </c>
      <c r="E44" s="19">
        <f>SUM(E36:E43)</f>
        <v>2092561</v>
      </c>
      <c r="F44" s="20">
        <f>AVERAGE(F36:F43)</f>
        <v>0.33114252615131223</v>
      </c>
      <c r="G44" s="19">
        <f>SUM(G36:G43)</f>
        <v>28794</v>
      </c>
      <c r="H44" s="20">
        <f>AVERAGE(H36:H43)</f>
        <v>2.3122352684214361E-2</v>
      </c>
      <c r="I44" s="21">
        <f>AVERAGE(I36:I43)</f>
        <v>7.7067495244954858E-3</v>
      </c>
    </row>
    <row r="45" spans="1:9" ht="3" customHeight="1" thickBot="1" x14ac:dyDescent="0.4">
      <c r="A45" s="127"/>
      <c r="B45" s="128"/>
      <c r="C45" s="128"/>
      <c r="D45" s="128"/>
      <c r="E45" s="128"/>
      <c r="F45" s="128"/>
      <c r="G45" s="128"/>
      <c r="H45" s="128"/>
      <c r="I45" s="129"/>
    </row>
    <row r="46" spans="1:9" x14ac:dyDescent="0.35">
      <c r="A46" s="10" t="s">
        <v>216</v>
      </c>
      <c r="B46" s="11"/>
      <c r="C46" s="11"/>
      <c r="D46" s="11"/>
      <c r="E46" s="11"/>
      <c r="F46" s="11"/>
      <c r="G46" s="11"/>
      <c r="H46" s="11"/>
      <c r="I46" s="12"/>
    </row>
    <row r="47" spans="1:9" x14ac:dyDescent="0.35">
      <c r="A47" s="14">
        <v>45774</v>
      </c>
      <c r="B47" t="s">
        <v>370</v>
      </c>
      <c r="C47" t="s">
        <v>7</v>
      </c>
      <c r="D47" s="1">
        <v>6317953</v>
      </c>
      <c r="E47" s="1">
        <v>2334023</v>
      </c>
      <c r="F47" s="2">
        <v>0.36942709133797003</v>
      </c>
      <c r="G47" s="1">
        <v>48019</v>
      </c>
      <c r="H47" s="2">
        <v>2.0573490492595801E-2</v>
      </c>
      <c r="I47" s="15">
        <v>7.6004047513490497E-3</v>
      </c>
    </row>
    <row r="48" spans="1:9" x14ac:dyDescent="0.35">
      <c r="A48" s="14">
        <v>45774</v>
      </c>
      <c r="B48" t="s">
        <v>370</v>
      </c>
      <c r="C48" t="s">
        <v>8</v>
      </c>
      <c r="D48" s="1">
        <v>403588</v>
      </c>
      <c r="E48" s="1">
        <v>147033</v>
      </c>
      <c r="F48" s="2">
        <v>0.36431459805544297</v>
      </c>
      <c r="G48" s="1">
        <v>4389</v>
      </c>
      <c r="H48" s="2">
        <v>2.9850441737569101E-2</v>
      </c>
      <c r="I48" s="15">
        <v>1.08749516833999E-2</v>
      </c>
    </row>
    <row r="49" spans="1:9" x14ac:dyDescent="0.35">
      <c r="A49" s="14">
        <v>45775</v>
      </c>
      <c r="B49" t="s">
        <v>371</v>
      </c>
      <c r="C49" t="s">
        <v>7</v>
      </c>
      <c r="D49" s="1">
        <v>935434</v>
      </c>
      <c r="E49" s="1">
        <v>402090</v>
      </c>
      <c r="F49" s="2">
        <v>0.429843259919994</v>
      </c>
      <c r="G49" s="1">
        <v>4476</v>
      </c>
      <c r="H49" s="2">
        <v>1.11318361560845E-2</v>
      </c>
      <c r="I49" s="15">
        <v>4.7849447422265998E-3</v>
      </c>
    </row>
    <row r="50" spans="1:9" x14ac:dyDescent="0.35">
      <c r="A50" s="14">
        <v>45775</v>
      </c>
      <c r="B50" t="s">
        <v>371</v>
      </c>
      <c r="C50" t="s">
        <v>8</v>
      </c>
      <c r="D50" s="1">
        <v>56188</v>
      </c>
      <c r="E50" s="1">
        <v>25460</v>
      </c>
      <c r="F50" s="2">
        <v>0.45312166298853801</v>
      </c>
      <c r="G50" s="1">
        <v>420</v>
      </c>
      <c r="H50" s="2">
        <v>1.6496465043205E-2</v>
      </c>
      <c r="I50" s="15">
        <v>7.4749056738093499E-3</v>
      </c>
    </row>
    <row r="51" spans="1:9" x14ac:dyDescent="0.35">
      <c r="A51" s="14">
        <v>45775</v>
      </c>
      <c r="B51" t="s">
        <v>372</v>
      </c>
      <c r="C51" t="s">
        <v>7</v>
      </c>
      <c r="D51" s="1">
        <v>4396</v>
      </c>
      <c r="E51" s="1">
        <v>1611</v>
      </c>
      <c r="F51" s="2">
        <v>0.36646951774340297</v>
      </c>
      <c r="G51" s="1">
        <v>97</v>
      </c>
      <c r="H51" s="2">
        <v>6.02110490378647E-2</v>
      </c>
      <c r="I51" s="15">
        <v>2.2065514103730699E-2</v>
      </c>
    </row>
    <row r="52" spans="1:9" x14ac:dyDescent="0.35">
      <c r="A52" s="14">
        <v>45775</v>
      </c>
      <c r="B52" t="s">
        <v>373</v>
      </c>
      <c r="C52" t="s">
        <v>7</v>
      </c>
      <c r="D52" s="1">
        <v>2958</v>
      </c>
      <c r="E52" s="1">
        <v>1457</v>
      </c>
      <c r="F52" s="2">
        <v>0.492562542258283</v>
      </c>
      <c r="G52" s="1">
        <v>79</v>
      </c>
      <c r="H52" s="2">
        <v>5.42210020590254E-2</v>
      </c>
      <c r="I52" s="15">
        <v>2.67072346179851E-2</v>
      </c>
    </row>
    <row r="53" spans="1:9" x14ac:dyDescent="0.35">
      <c r="A53" s="14">
        <v>45775</v>
      </c>
      <c r="B53" t="s">
        <v>373</v>
      </c>
      <c r="C53" t="s">
        <v>8</v>
      </c>
      <c r="D53" s="1">
        <v>603</v>
      </c>
      <c r="E53" s="1">
        <v>280</v>
      </c>
      <c r="F53" s="2">
        <v>0.46434494195688197</v>
      </c>
      <c r="G53" s="1">
        <v>17</v>
      </c>
      <c r="H53" s="2">
        <v>6.07142857142857E-2</v>
      </c>
      <c r="I53" s="15">
        <v>2.81923714759536E-2</v>
      </c>
    </row>
    <row r="54" spans="1:9" x14ac:dyDescent="0.35">
      <c r="A54" s="14">
        <v>45777</v>
      </c>
      <c r="B54" t="s">
        <v>375</v>
      </c>
      <c r="C54" t="s">
        <v>7</v>
      </c>
      <c r="D54" s="1">
        <v>2300</v>
      </c>
      <c r="E54" s="1">
        <v>1390</v>
      </c>
      <c r="F54" s="2">
        <v>0.60434782608695603</v>
      </c>
      <c r="G54" s="1">
        <v>139</v>
      </c>
      <c r="H54" s="2">
        <v>0.1</v>
      </c>
      <c r="I54" s="15">
        <v>6.04347826086956E-2</v>
      </c>
    </row>
    <row r="55" spans="1:9" x14ac:dyDescent="0.35">
      <c r="A55" s="14">
        <v>45777</v>
      </c>
      <c r="B55" t="s">
        <v>375</v>
      </c>
      <c r="C55" t="s">
        <v>8</v>
      </c>
      <c r="D55" s="1">
        <v>329</v>
      </c>
      <c r="E55" s="1">
        <v>225</v>
      </c>
      <c r="F55" s="2">
        <v>0.68389057750759896</v>
      </c>
      <c r="G55" s="1">
        <v>26</v>
      </c>
      <c r="H55" s="2">
        <v>0.11555555555555599</v>
      </c>
      <c r="I55" s="15">
        <v>7.9027355623100301E-2</v>
      </c>
    </row>
    <row r="56" spans="1:9" x14ac:dyDescent="0.35">
      <c r="A56" s="14">
        <v>45777</v>
      </c>
      <c r="B56" t="s">
        <v>376</v>
      </c>
      <c r="C56" t="s">
        <v>110</v>
      </c>
      <c r="D56" s="1">
        <v>47226</v>
      </c>
      <c r="E56" s="1">
        <v>19220</v>
      </c>
      <c r="F56" s="2">
        <v>0.40697920636937301</v>
      </c>
      <c r="G56" s="1">
        <v>104</v>
      </c>
      <c r="H56" s="2">
        <v>5.4110301768990603E-3</v>
      </c>
      <c r="I56" s="15">
        <v>2.20217676703511E-3</v>
      </c>
    </row>
    <row r="57" spans="1:9" x14ac:dyDescent="0.35">
      <c r="A57" s="14">
        <v>45777</v>
      </c>
      <c r="B57" t="s">
        <v>376</v>
      </c>
      <c r="C57" t="s">
        <v>90</v>
      </c>
      <c r="D57" s="1">
        <v>900121</v>
      </c>
      <c r="E57" s="1">
        <v>367724</v>
      </c>
      <c r="F57" s="2">
        <v>0.40852729799660298</v>
      </c>
      <c r="G57" s="1">
        <v>1772</v>
      </c>
      <c r="H57" s="2">
        <v>4.8188315149405503E-3</v>
      </c>
      <c r="I57" s="15">
        <v>1.9686242182995399E-3</v>
      </c>
    </row>
    <row r="58" spans="1:9" x14ac:dyDescent="0.35">
      <c r="A58" s="14">
        <v>45777</v>
      </c>
      <c r="B58" t="s">
        <v>376</v>
      </c>
      <c r="C58" t="s">
        <v>111</v>
      </c>
      <c r="D58" s="1">
        <v>3112</v>
      </c>
      <c r="E58" s="1">
        <v>1361</v>
      </c>
      <c r="F58" s="2">
        <v>0.43733933161953698</v>
      </c>
      <c r="G58" s="1">
        <v>4</v>
      </c>
      <c r="H58" s="2">
        <v>2.9390154298310099E-3</v>
      </c>
      <c r="I58" s="15">
        <v>1.2853470437018E-3</v>
      </c>
    </row>
    <row r="59" spans="1:9" x14ac:dyDescent="0.35">
      <c r="A59" s="14">
        <v>45777</v>
      </c>
      <c r="B59" t="s">
        <v>376</v>
      </c>
      <c r="C59" t="s">
        <v>91</v>
      </c>
      <c r="D59" s="1">
        <v>57095</v>
      </c>
      <c r="E59" s="1">
        <v>24719</v>
      </c>
      <c r="F59" s="2">
        <v>0.43294509151414301</v>
      </c>
      <c r="G59" s="1">
        <v>167</v>
      </c>
      <c r="H59" s="2">
        <v>6.7559367288320699E-3</v>
      </c>
      <c r="I59" s="15">
        <v>2.9249496453279599E-3</v>
      </c>
    </row>
    <row r="60" spans="1:9" ht="16" thickBot="1" x14ac:dyDescent="0.4">
      <c r="A60" s="22" t="s">
        <v>13</v>
      </c>
      <c r="B60" s="4"/>
      <c r="C60" s="4"/>
      <c r="D60" s="19">
        <f>SUM(D47:D59)</f>
        <v>8731303</v>
      </c>
      <c r="E60" s="19">
        <f>SUM(E47:E59)</f>
        <v>3326593</v>
      </c>
      <c r="F60" s="20">
        <f>AVERAGE(F47:F59)</f>
        <v>0.45493176502728638</v>
      </c>
      <c r="G60" s="19">
        <f>SUM(G47:G59)</f>
        <v>59709</v>
      </c>
      <c r="H60" s="20">
        <f>AVERAGE(H47:H59)</f>
        <v>3.7590687665129914E-2</v>
      </c>
      <c r="I60" s="21">
        <f>AVERAGE(I47:I59)</f>
        <v>1.9657197150354969E-2</v>
      </c>
    </row>
    <row r="61" spans="1:9" ht="3" customHeight="1" thickBot="1" x14ac:dyDescent="0.4"/>
    <row r="62" spans="1:9" x14ac:dyDescent="0.35">
      <c r="A62" s="10" t="s">
        <v>11</v>
      </c>
      <c r="B62" s="11"/>
      <c r="C62" s="11"/>
      <c r="D62" s="11"/>
      <c r="E62" s="11"/>
      <c r="F62" s="11"/>
      <c r="G62" s="11"/>
      <c r="H62" s="11"/>
      <c r="I62" s="12"/>
    </row>
    <row r="63" spans="1:9" x14ac:dyDescent="0.35">
      <c r="A63" s="14">
        <v>45778</v>
      </c>
      <c r="B63" t="s">
        <v>363</v>
      </c>
      <c r="C63" t="s">
        <v>17</v>
      </c>
      <c r="D63" s="1">
        <v>17498</v>
      </c>
      <c r="E63" s="1">
        <v>6471</v>
      </c>
      <c r="F63" s="3">
        <v>0.36980000000000002</v>
      </c>
      <c r="G63">
        <v>24</v>
      </c>
      <c r="H63" s="3">
        <v>3.7000000000000002E-3</v>
      </c>
      <c r="I63" s="16">
        <v>1.4E-3</v>
      </c>
    </row>
    <row r="64" spans="1:9" x14ac:dyDescent="0.35">
      <c r="A64" s="14">
        <v>45778</v>
      </c>
      <c r="B64" t="s">
        <v>364</v>
      </c>
      <c r="C64" t="s">
        <v>18</v>
      </c>
      <c r="D64">
        <v>436</v>
      </c>
      <c r="E64">
        <v>135</v>
      </c>
      <c r="F64" s="3">
        <v>0.30959999999999999</v>
      </c>
      <c r="G64">
        <v>1</v>
      </c>
      <c r="H64" s="3">
        <v>7.4000000000000003E-3</v>
      </c>
      <c r="I64" s="16">
        <v>2.3E-3</v>
      </c>
    </row>
    <row r="65" spans="1:9" ht="16" thickBot="1" x14ac:dyDescent="0.4">
      <c r="A65" s="22" t="s">
        <v>13</v>
      </c>
      <c r="B65" s="4"/>
      <c r="C65" s="4"/>
      <c r="D65" s="19">
        <f>SUM(D63:D64)</f>
        <v>17934</v>
      </c>
      <c r="E65" s="19">
        <f>SUM(E63:E64)</f>
        <v>6606</v>
      </c>
      <c r="F65" s="20">
        <f>AVERAGE(F63:F64)</f>
        <v>0.3397</v>
      </c>
      <c r="G65" s="19">
        <f>SUM(G63:G64)</f>
        <v>25</v>
      </c>
      <c r="H65" s="20">
        <f>AVERAGE(H63:H64)</f>
        <v>5.5500000000000002E-3</v>
      </c>
      <c r="I65" s="21">
        <f>AVERAGE(I63:I64)</f>
        <v>1.8500000000000001E-3</v>
      </c>
    </row>
    <row r="69" spans="1:9" x14ac:dyDescent="0.35">
      <c r="C69" s="1"/>
      <c r="D69" s="1"/>
      <c r="E69" s="3"/>
      <c r="G69" s="3"/>
      <c r="H69" s="3"/>
    </row>
    <row r="70" spans="1:9" x14ac:dyDescent="0.35">
      <c r="C70" s="1"/>
      <c r="D70" s="1"/>
      <c r="E70" s="3"/>
      <c r="G70" s="3"/>
      <c r="H70" s="3"/>
    </row>
    <row r="71" spans="1:9" x14ac:dyDescent="0.35">
      <c r="C71" s="1"/>
      <c r="D71" s="1"/>
      <c r="E71" s="3"/>
      <c r="G71" s="3"/>
      <c r="H71" s="3"/>
    </row>
    <row r="72" spans="1:9" x14ac:dyDescent="0.35">
      <c r="C72" s="1"/>
      <c r="D72" s="1"/>
      <c r="E72" s="3"/>
      <c r="G72" s="3"/>
      <c r="H72" s="3"/>
    </row>
    <row r="73" spans="1:9" x14ac:dyDescent="0.35">
      <c r="D73" s="1"/>
      <c r="E73" s="1"/>
      <c r="F73" s="3"/>
      <c r="H73" s="3"/>
      <c r="I73" s="3"/>
    </row>
    <row r="74" spans="1:9" x14ac:dyDescent="0.35">
      <c r="D74" s="1"/>
      <c r="E74" s="1"/>
      <c r="F74" s="3"/>
      <c r="H74" s="3"/>
      <c r="I74" s="3"/>
    </row>
    <row r="75" spans="1:9" x14ac:dyDescent="0.35">
      <c r="D75" s="1"/>
      <c r="E75" s="1"/>
      <c r="F75" s="3"/>
      <c r="H75" s="3"/>
      <c r="I75" s="3"/>
    </row>
    <row r="76" spans="1:9" x14ac:dyDescent="0.35">
      <c r="D76" s="1"/>
      <c r="E76" s="1"/>
      <c r="F76" s="3"/>
      <c r="H76" s="3"/>
      <c r="I76" s="3"/>
    </row>
  </sheetData>
  <mergeCells count="2">
    <mergeCell ref="A33:I33"/>
    <mergeCell ref="A45:I45"/>
  </mergeCells>
  <pageMargins left="0.7" right="0.7" top="0.75" bottom="0.75" header="0.3" footer="0.3"/>
  <ignoredErrors>
    <ignoredError sqref="F32:G32 F44:G44 F60:G60 F65:G65" formula="1"/>
  </ignoredErrors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F531-CCCD-441D-8F99-E59CD78616FE}">
  <dimension ref="A1:I81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5.5429687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45779</v>
      </c>
      <c r="B2" t="s">
        <v>383</v>
      </c>
      <c r="C2" t="s">
        <v>7</v>
      </c>
      <c r="D2" s="1">
        <v>3240075</v>
      </c>
      <c r="E2" s="1">
        <v>961598</v>
      </c>
      <c r="F2" s="2">
        <v>0.29678263620440898</v>
      </c>
      <c r="G2" s="1">
        <v>9143</v>
      </c>
      <c r="H2" s="2">
        <v>9.5081312565126006E-3</v>
      </c>
      <c r="I2" s="2">
        <v>2.8218482596853501E-3</v>
      </c>
    </row>
    <row r="3" spans="1:9" x14ac:dyDescent="0.35">
      <c r="A3" s="13">
        <v>45779</v>
      </c>
      <c r="B3" t="s">
        <v>383</v>
      </c>
      <c r="C3" t="s">
        <v>330</v>
      </c>
      <c r="D3" s="1">
        <v>147097</v>
      </c>
      <c r="E3" s="1">
        <v>52430</v>
      </c>
      <c r="F3" s="2">
        <v>0.356431470390287</v>
      </c>
      <c r="G3" s="1">
        <v>562</v>
      </c>
      <c r="H3" s="2">
        <v>1.07190539767309E-2</v>
      </c>
      <c r="I3" s="2">
        <v>3.82060817011904E-3</v>
      </c>
    </row>
    <row r="4" spans="1:9" x14ac:dyDescent="0.35">
      <c r="A4" s="13">
        <v>45779</v>
      </c>
      <c r="B4" t="s">
        <v>383</v>
      </c>
      <c r="C4" t="s">
        <v>331</v>
      </c>
      <c r="D4" s="1">
        <v>677255</v>
      </c>
      <c r="E4" s="1">
        <v>210171</v>
      </c>
      <c r="F4" s="2">
        <v>0.31032771998730202</v>
      </c>
      <c r="G4" s="1">
        <v>1912</v>
      </c>
      <c r="H4" s="2">
        <v>9.0973540593136098E-3</v>
      </c>
      <c r="I4" s="2">
        <v>2.8231611431440199E-3</v>
      </c>
    </row>
    <row r="5" spans="1:9" x14ac:dyDescent="0.35">
      <c r="A5" s="13">
        <v>45779</v>
      </c>
      <c r="B5" t="s">
        <v>383</v>
      </c>
      <c r="C5" t="s">
        <v>332</v>
      </c>
      <c r="D5" s="1">
        <v>147445</v>
      </c>
      <c r="E5" s="1">
        <v>53064</v>
      </c>
      <c r="F5" s="2">
        <v>0.35989012852250002</v>
      </c>
      <c r="G5" s="1">
        <v>572</v>
      </c>
      <c r="H5" s="2">
        <v>1.07794361525705E-2</v>
      </c>
      <c r="I5" s="2">
        <v>3.8794126623486699E-3</v>
      </c>
    </row>
    <row r="6" spans="1:9" x14ac:dyDescent="0.35">
      <c r="A6" s="13">
        <v>45779</v>
      </c>
      <c r="B6" t="s">
        <v>383</v>
      </c>
      <c r="C6" t="s">
        <v>333</v>
      </c>
      <c r="D6" s="1">
        <v>677146</v>
      </c>
      <c r="E6" s="1">
        <v>212682</v>
      </c>
      <c r="F6" s="2">
        <v>0.31408588398956799</v>
      </c>
      <c r="G6" s="1">
        <v>1958</v>
      </c>
      <c r="H6" s="2">
        <v>9.2062327794547698E-3</v>
      </c>
      <c r="I6" s="2">
        <v>2.8915477607487899E-3</v>
      </c>
    </row>
    <row r="7" spans="1:9" x14ac:dyDescent="0.35">
      <c r="A7" s="13">
        <v>45779</v>
      </c>
      <c r="B7" t="s">
        <v>383</v>
      </c>
      <c r="C7" t="s">
        <v>8</v>
      </c>
      <c r="D7" s="1">
        <v>223761</v>
      </c>
      <c r="E7" s="1">
        <v>66842</v>
      </c>
      <c r="F7" s="2">
        <v>0.29872050982968401</v>
      </c>
      <c r="G7" s="1">
        <v>639</v>
      </c>
      <c r="H7" s="2">
        <v>9.5598575745788599E-3</v>
      </c>
      <c r="I7" s="2">
        <v>2.8557255285773702E-3</v>
      </c>
    </row>
    <row r="8" spans="1:9" x14ac:dyDescent="0.35">
      <c r="A8" s="13">
        <v>45779</v>
      </c>
      <c r="B8" t="s">
        <v>386</v>
      </c>
      <c r="C8" t="s">
        <v>7</v>
      </c>
      <c r="D8" s="1">
        <v>303363</v>
      </c>
      <c r="E8" s="1">
        <v>115227</v>
      </c>
      <c r="F8" s="2">
        <v>0.37983208235678101</v>
      </c>
      <c r="G8" s="1">
        <v>1267</v>
      </c>
      <c r="H8" s="2">
        <v>1.0995686774801E-2</v>
      </c>
      <c r="I8" s="2">
        <v>4.1765146046155903E-3</v>
      </c>
    </row>
    <row r="9" spans="1:9" x14ac:dyDescent="0.35">
      <c r="A9" s="13">
        <v>45779</v>
      </c>
      <c r="B9" t="s">
        <v>386</v>
      </c>
      <c r="C9" t="s">
        <v>8</v>
      </c>
      <c r="D9" s="1">
        <v>1250</v>
      </c>
      <c r="E9" s="1">
        <v>529</v>
      </c>
      <c r="F9" s="2">
        <v>0.42320000000000002</v>
      </c>
      <c r="G9" s="1">
        <v>11</v>
      </c>
      <c r="H9" s="2">
        <v>2.0793950850661599E-2</v>
      </c>
      <c r="I9" s="2">
        <v>8.8000000000000005E-3</v>
      </c>
    </row>
    <row r="10" spans="1:9" x14ac:dyDescent="0.35">
      <c r="A10" s="13">
        <v>45779</v>
      </c>
      <c r="B10" t="s">
        <v>388</v>
      </c>
      <c r="C10" t="s">
        <v>7</v>
      </c>
      <c r="D10" s="1">
        <v>1313071</v>
      </c>
      <c r="E10" s="1">
        <v>486706</v>
      </c>
      <c r="F10" s="2">
        <v>0.37066236326900798</v>
      </c>
      <c r="G10" s="1">
        <v>4259</v>
      </c>
      <c r="H10" s="2">
        <v>8.7506626176788397E-3</v>
      </c>
      <c r="I10" s="2">
        <v>3.2435412860386099E-3</v>
      </c>
    </row>
    <row r="11" spans="1:9" x14ac:dyDescent="0.35">
      <c r="A11" s="13">
        <v>45779</v>
      </c>
      <c r="B11" t="s">
        <v>388</v>
      </c>
      <c r="C11" t="s">
        <v>8</v>
      </c>
      <c r="D11" s="1">
        <v>94765</v>
      </c>
      <c r="E11" s="1">
        <v>34236</v>
      </c>
      <c r="F11" s="2">
        <v>0.36127262174853603</v>
      </c>
      <c r="G11" s="1">
        <v>585</v>
      </c>
      <c r="H11" s="2">
        <v>1.7087276550998901E-2</v>
      </c>
      <c r="I11" s="2">
        <v>6.1731651981216697E-3</v>
      </c>
    </row>
    <row r="12" spans="1:9" x14ac:dyDescent="0.35">
      <c r="A12" s="13">
        <v>45780</v>
      </c>
      <c r="B12" t="s">
        <v>385</v>
      </c>
      <c r="C12" t="s">
        <v>7</v>
      </c>
      <c r="D12" s="1">
        <v>64515</v>
      </c>
      <c r="E12" s="1">
        <v>24010</v>
      </c>
      <c r="F12" s="2">
        <v>0.37216151282647397</v>
      </c>
      <c r="G12" s="1">
        <v>1830</v>
      </c>
      <c r="H12" s="2">
        <v>7.6218242399000394E-2</v>
      </c>
      <c r="I12" s="2">
        <v>2.83654963961869E-2</v>
      </c>
    </row>
    <row r="13" spans="1:9" x14ac:dyDescent="0.35">
      <c r="A13" s="13">
        <v>45780</v>
      </c>
      <c r="B13" t="s">
        <v>385</v>
      </c>
      <c r="C13" t="s">
        <v>8</v>
      </c>
      <c r="D13" s="1">
        <v>7100</v>
      </c>
      <c r="E13" s="1">
        <v>3099</v>
      </c>
      <c r="F13" s="2">
        <v>0.43647887323943702</v>
      </c>
      <c r="G13" s="1">
        <v>297</v>
      </c>
      <c r="H13" s="2">
        <v>9.5837366892546003E-2</v>
      </c>
      <c r="I13" s="2">
        <v>4.1830985915493002E-2</v>
      </c>
    </row>
    <row r="14" spans="1:9" x14ac:dyDescent="0.35">
      <c r="A14" s="13">
        <v>45782</v>
      </c>
      <c r="B14" t="s">
        <v>390</v>
      </c>
      <c r="C14" t="s">
        <v>7</v>
      </c>
      <c r="D14" s="1">
        <v>1957734</v>
      </c>
      <c r="E14" s="1">
        <v>796960</v>
      </c>
      <c r="F14" s="2">
        <v>0.40708288255707897</v>
      </c>
      <c r="G14" s="1">
        <v>9566</v>
      </c>
      <c r="H14" s="2">
        <v>1.20031118249348E-2</v>
      </c>
      <c r="I14" s="2">
        <v>4.8862613613494003E-3</v>
      </c>
    </row>
    <row r="15" spans="1:9" x14ac:dyDescent="0.35">
      <c r="A15" s="13">
        <v>45782</v>
      </c>
      <c r="B15" t="s">
        <v>390</v>
      </c>
      <c r="C15" t="s">
        <v>8</v>
      </c>
      <c r="D15" s="1">
        <v>91080</v>
      </c>
      <c r="E15" s="1">
        <v>38571</v>
      </c>
      <c r="F15" s="2">
        <v>0.42348484848484802</v>
      </c>
      <c r="G15" s="1">
        <v>877</v>
      </c>
      <c r="H15" s="2">
        <v>2.2737289673589001E-2</v>
      </c>
      <c r="I15" s="2">
        <v>9.6288976723759301E-3</v>
      </c>
    </row>
    <row r="16" spans="1:9" x14ac:dyDescent="0.35">
      <c r="A16" s="13">
        <v>45783</v>
      </c>
      <c r="B16" t="s">
        <v>384</v>
      </c>
      <c r="C16" t="s">
        <v>7</v>
      </c>
      <c r="D16" s="1">
        <v>1424176</v>
      </c>
      <c r="E16" s="1">
        <v>468410</v>
      </c>
      <c r="F16" s="2">
        <v>0.32889895630877097</v>
      </c>
      <c r="G16" s="1">
        <v>6227</v>
      </c>
      <c r="H16" s="2">
        <v>1.3293909182126799E-2</v>
      </c>
      <c r="I16" s="2">
        <v>4.3723528552650796E-3</v>
      </c>
    </row>
    <row r="17" spans="1:9" x14ac:dyDescent="0.35">
      <c r="A17" s="13">
        <v>45783</v>
      </c>
      <c r="B17" t="s">
        <v>384</v>
      </c>
      <c r="C17" t="s">
        <v>8</v>
      </c>
      <c r="D17" s="1">
        <v>89175</v>
      </c>
      <c r="E17" s="1">
        <v>30291</v>
      </c>
      <c r="F17" s="2">
        <v>0.339680403700589</v>
      </c>
      <c r="G17" s="1">
        <v>587</v>
      </c>
      <c r="H17" s="2">
        <v>1.9378693341256501E-2</v>
      </c>
      <c r="I17" s="2">
        <v>6.58256237734791E-3</v>
      </c>
    </row>
    <row r="18" spans="1:9" x14ac:dyDescent="0.35">
      <c r="A18" s="13">
        <v>45783</v>
      </c>
      <c r="B18" t="s">
        <v>387</v>
      </c>
      <c r="C18" t="s">
        <v>7</v>
      </c>
      <c r="D18" s="1">
        <v>138366</v>
      </c>
      <c r="E18" s="1">
        <v>54162</v>
      </c>
      <c r="F18" s="2">
        <v>0.39144009366462901</v>
      </c>
      <c r="G18" s="1">
        <v>384</v>
      </c>
      <c r="H18" s="2">
        <v>7.0898415863520498E-3</v>
      </c>
      <c r="I18" s="2">
        <v>2.7752482546290298E-3</v>
      </c>
    </row>
    <row r="19" spans="1:9" x14ac:dyDescent="0.35">
      <c r="A19" s="13">
        <v>45783</v>
      </c>
      <c r="B19" t="s">
        <v>387</v>
      </c>
      <c r="C19" t="s">
        <v>8</v>
      </c>
      <c r="D19" s="1">
        <v>670</v>
      </c>
      <c r="E19" s="1">
        <v>288</v>
      </c>
      <c r="F19" s="2">
        <v>0.42985074626865699</v>
      </c>
      <c r="G19" s="1">
        <v>7</v>
      </c>
      <c r="H19" s="2">
        <v>2.4305555555555601E-2</v>
      </c>
      <c r="I19" s="2">
        <v>1.04477611940299E-2</v>
      </c>
    </row>
    <row r="20" spans="1:9" x14ac:dyDescent="0.35">
      <c r="A20" s="13">
        <v>45784</v>
      </c>
      <c r="B20" t="s">
        <v>389</v>
      </c>
      <c r="C20" t="s">
        <v>7</v>
      </c>
      <c r="D20" s="1">
        <v>1206728</v>
      </c>
      <c r="E20" s="1">
        <v>481497</v>
      </c>
      <c r="F20" s="2">
        <v>0.399010381792749</v>
      </c>
      <c r="G20" s="1">
        <v>3963</v>
      </c>
      <c r="H20" s="2">
        <v>8.2305808758933105E-3</v>
      </c>
      <c r="I20" s="2">
        <v>3.2840872176662802E-3</v>
      </c>
    </row>
    <row r="21" spans="1:9" x14ac:dyDescent="0.35">
      <c r="A21" s="13">
        <v>45784</v>
      </c>
      <c r="B21" t="s">
        <v>389</v>
      </c>
      <c r="C21" t="s">
        <v>8</v>
      </c>
      <c r="D21" s="1">
        <v>71569</v>
      </c>
      <c r="E21" s="1">
        <v>27520</v>
      </c>
      <c r="F21" s="2">
        <v>0.384524025765345</v>
      </c>
      <c r="G21" s="1">
        <v>285</v>
      </c>
      <c r="H21" s="2">
        <v>1.03561046511628E-2</v>
      </c>
      <c r="I21" s="2">
        <v>3.9821710517123302E-3</v>
      </c>
    </row>
    <row r="22" spans="1:9" x14ac:dyDescent="0.35">
      <c r="A22" s="13">
        <v>45785</v>
      </c>
      <c r="B22" t="s">
        <v>381</v>
      </c>
      <c r="C22" t="s">
        <v>197</v>
      </c>
      <c r="D22" s="1">
        <v>244217</v>
      </c>
      <c r="E22" s="1">
        <v>82424</v>
      </c>
      <c r="F22" s="2">
        <v>0.337503122223269</v>
      </c>
      <c r="G22" s="1">
        <v>235</v>
      </c>
      <c r="H22" s="2">
        <v>2.85111132679802E-3</v>
      </c>
      <c r="I22" s="2">
        <v>9.6225897460045797E-4</v>
      </c>
    </row>
    <row r="23" spans="1:9" x14ac:dyDescent="0.35">
      <c r="A23" s="13">
        <v>45785</v>
      </c>
      <c r="B23" t="s">
        <v>382</v>
      </c>
      <c r="C23" t="s">
        <v>198</v>
      </c>
      <c r="D23" s="1">
        <v>16175</v>
      </c>
      <c r="E23" s="1">
        <v>5141</v>
      </c>
      <c r="F23" s="2">
        <v>0.31783616692426597</v>
      </c>
      <c r="G23" s="1">
        <v>15</v>
      </c>
      <c r="H23" s="2">
        <v>2.9177202878817301E-3</v>
      </c>
      <c r="I23" s="2">
        <v>9.2735703245749597E-4</v>
      </c>
    </row>
    <row r="24" spans="1:9" x14ac:dyDescent="0.35">
      <c r="A24" s="13">
        <v>45785</v>
      </c>
      <c r="B24" t="s">
        <v>363</v>
      </c>
      <c r="C24" t="s">
        <v>20</v>
      </c>
      <c r="D24" s="1">
        <v>6525</v>
      </c>
      <c r="E24" s="1">
        <v>2677</v>
      </c>
      <c r="F24" s="2">
        <v>0.41026819923371599</v>
      </c>
      <c r="G24" s="1">
        <v>12</v>
      </c>
      <c r="H24" s="2">
        <v>4.48262980948823E-3</v>
      </c>
      <c r="I24" s="2">
        <v>1.8390804597701101E-3</v>
      </c>
    </row>
    <row r="25" spans="1:9" x14ac:dyDescent="0.35">
      <c r="A25" s="13">
        <v>45785</v>
      </c>
      <c r="B25" t="s">
        <v>364</v>
      </c>
      <c r="C25" t="s">
        <v>21</v>
      </c>
      <c r="D25" s="1">
        <v>285</v>
      </c>
      <c r="E25" s="1">
        <v>85</v>
      </c>
      <c r="F25" s="2">
        <v>0.29824561403508798</v>
      </c>
      <c r="G25" s="1">
        <v>0</v>
      </c>
      <c r="H25" s="2">
        <v>0</v>
      </c>
      <c r="I25" s="2">
        <v>0</v>
      </c>
    </row>
    <row r="26" spans="1:9" x14ac:dyDescent="0.35">
      <c r="A26" s="13">
        <v>45785</v>
      </c>
      <c r="B26" t="s">
        <v>391</v>
      </c>
      <c r="C26" t="s">
        <v>7</v>
      </c>
      <c r="D26" s="1">
        <v>358451</v>
      </c>
      <c r="E26" s="1">
        <v>153965</v>
      </c>
      <c r="F26" s="2">
        <v>0.42952872219633897</v>
      </c>
      <c r="G26" s="1">
        <v>1346</v>
      </c>
      <c r="H26" s="2">
        <v>8.7422466144903097E-3</v>
      </c>
      <c r="I26" s="2">
        <v>3.7550460174472899E-3</v>
      </c>
    </row>
    <row r="27" spans="1:9" x14ac:dyDescent="0.35">
      <c r="A27" s="13">
        <v>45785</v>
      </c>
      <c r="B27" t="s">
        <v>391</v>
      </c>
      <c r="C27" t="s">
        <v>8</v>
      </c>
      <c r="D27" s="1">
        <v>18736</v>
      </c>
      <c r="E27" s="1">
        <v>8113</v>
      </c>
      <c r="F27" s="2">
        <v>0.43301665243381698</v>
      </c>
      <c r="G27" s="1">
        <v>108</v>
      </c>
      <c r="H27" s="2">
        <v>1.3311968445704399E-2</v>
      </c>
      <c r="I27" s="2">
        <v>5.7643040136635404E-3</v>
      </c>
    </row>
    <row r="28" spans="1:9" x14ac:dyDescent="0.35">
      <c r="A28" s="13">
        <v>45785</v>
      </c>
      <c r="B28" t="s">
        <v>392</v>
      </c>
      <c r="C28" t="s">
        <v>393</v>
      </c>
      <c r="D28" s="1">
        <v>201581</v>
      </c>
      <c r="E28" s="1">
        <v>70465</v>
      </c>
      <c r="F28" s="2">
        <v>0.349561714645726</v>
      </c>
      <c r="G28" s="1">
        <v>226</v>
      </c>
      <c r="H28" s="2">
        <v>3.2072660185907902E-3</v>
      </c>
      <c r="I28" s="2">
        <v>1.1211374087835701E-3</v>
      </c>
    </row>
    <row r="29" spans="1:9" x14ac:dyDescent="0.35">
      <c r="A29" s="13">
        <v>45785</v>
      </c>
      <c r="B29" t="s">
        <v>392</v>
      </c>
      <c r="C29" t="s">
        <v>394</v>
      </c>
      <c r="D29" s="1">
        <v>1353859</v>
      </c>
      <c r="E29" s="1">
        <v>477768</v>
      </c>
      <c r="F29" s="2">
        <v>0.35289346970400898</v>
      </c>
      <c r="G29" s="1">
        <v>1628</v>
      </c>
      <c r="H29" s="2">
        <v>3.4075115955861401E-3</v>
      </c>
      <c r="I29" s="2">
        <v>1.20248859002304E-3</v>
      </c>
    </row>
    <row r="30" spans="1:9" x14ac:dyDescent="0.35">
      <c r="A30" s="13">
        <v>45785</v>
      </c>
      <c r="B30" t="s">
        <v>392</v>
      </c>
      <c r="C30" t="s">
        <v>395</v>
      </c>
      <c r="D30" s="1">
        <v>205889</v>
      </c>
      <c r="E30" s="1">
        <v>77025</v>
      </c>
      <c r="F30" s="2">
        <v>0.37410935018383701</v>
      </c>
      <c r="G30" s="1">
        <v>286</v>
      </c>
      <c r="H30" s="2">
        <v>3.7130801687763702E-3</v>
      </c>
      <c r="I30" s="2">
        <v>1.3890980091214201E-3</v>
      </c>
    </row>
    <row r="31" spans="1:9" ht="16" thickBot="1" x14ac:dyDescent="0.4">
      <c r="A31" s="23" t="s">
        <v>13</v>
      </c>
      <c r="D31" s="17">
        <f>SUM(D2:D30)</f>
        <v>14282059</v>
      </c>
      <c r="E31" s="17">
        <f>SUM(E2:E30)</f>
        <v>4995956</v>
      </c>
      <c r="F31" s="18">
        <f>AVERAGE(F2:F30)</f>
        <v>0.36850969491333513</v>
      </c>
      <c r="G31" s="17">
        <f>SUM(G2:G30)</f>
        <v>48787</v>
      </c>
      <c r="H31" s="18">
        <f>AVERAGE(H2:H30)</f>
        <v>1.5468340442863271E-2</v>
      </c>
      <c r="I31" s="18">
        <f>AVERAGE(I2:I30)</f>
        <v>6.0207627384593716E-3</v>
      </c>
    </row>
    <row r="32" spans="1:9" ht="15" thickBot="1" x14ac:dyDescent="0.4">
      <c r="A32" s="123" t="s">
        <v>19</v>
      </c>
      <c r="B32" s="123"/>
      <c r="C32" s="123"/>
      <c r="D32" s="123"/>
      <c r="E32" s="123"/>
      <c r="F32" s="123"/>
      <c r="G32" s="123"/>
      <c r="H32" s="123"/>
      <c r="I32" s="123"/>
    </row>
    <row r="33" spans="1:9" ht="15.5" x14ac:dyDescent="0.35">
      <c r="A33" s="24" t="s">
        <v>9</v>
      </c>
      <c r="B33" s="25" t="s">
        <v>0</v>
      </c>
      <c r="C33" s="25" t="s">
        <v>16</v>
      </c>
      <c r="D33" s="25" t="s">
        <v>1</v>
      </c>
      <c r="E33" s="25" t="s">
        <v>2</v>
      </c>
      <c r="F33" s="25" t="s">
        <v>3</v>
      </c>
      <c r="G33" s="25" t="s">
        <v>4</v>
      </c>
      <c r="H33" s="25" t="s">
        <v>5</v>
      </c>
      <c r="I33" s="26" t="s">
        <v>6</v>
      </c>
    </row>
    <row r="34" spans="1:9" x14ac:dyDescent="0.35">
      <c r="A34" s="5" t="s">
        <v>12</v>
      </c>
      <c r="B34" s="6"/>
      <c r="C34" s="6"/>
      <c r="D34" s="6"/>
      <c r="E34" s="6"/>
      <c r="F34" s="6"/>
      <c r="G34" s="6"/>
      <c r="H34" s="6"/>
      <c r="I34" s="7"/>
    </row>
    <row r="35" spans="1:9" x14ac:dyDescent="0.35">
      <c r="A35" s="14">
        <v>45779</v>
      </c>
      <c r="B35" t="s">
        <v>383</v>
      </c>
      <c r="C35" t="s">
        <v>7</v>
      </c>
      <c r="D35" s="1">
        <v>3240075</v>
      </c>
      <c r="E35" s="1">
        <v>961598</v>
      </c>
      <c r="F35" s="2">
        <v>0.29678263620440898</v>
      </c>
      <c r="G35" s="1">
        <v>9143</v>
      </c>
      <c r="H35" s="2">
        <v>9.5081312565126006E-3</v>
      </c>
      <c r="I35" s="15">
        <v>2.8218482596853501E-3</v>
      </c>
    </row>
    <row r="36" spans="1:9" x14ac:dyDescent="0.35">
      <c r="A36" s="14">
        <v>45779</v>
      </c>
      <c r="B36" t="s">
        <v>383</v>
      </c>
      <c r="C36" t="s">
        <v>330</v>
      </c>
      <c r="D36" s="1">
        <v>147097</v>
      </c>
      <c r="E36" s="1">
        <v>52430</v>
      </c>
      <c r="F36" s="2">
        <v>0.356431470390287</v>
      </c>
      <c r="G36" s="1">
        <v>562</v>
      </c>
      <c r="H36" s="2">
        <v>1.07190539767309E-2</v>
      </c>
      <c r="I36" s="15">
        <v>3.82060817011904E-3</v>
      </c>
    </row>
    <row r="37" spans="1:9" x14ac:dyDescent="0.35">
      <c r="A37" s="14">
        <v>45779</v>
      </c>
      <c r="B37" t="s">
        <v>383</v>
      </c>
      <c r="C37" t="s">
        <v>331</v>
      </c>
      <c r="D37" s="1">
        <v>677255</v>
      </c>
      <c r="E37" s="1">
        <v>210171</v>
      </c>
      <c r="F37" s="2">
        <v>0.31032771998730202</v>
      </c>
      <c r="G37" s="1">
        <v>1912</v>
      </c>
      <c r="H37" s="2">
        <v>9.0973540593136098E-3</v>
      </c>
      <c r="I37" s="15">
        <v>2.8231611431440199E-3</v>
      </c>
    </row>
    <row r="38" spans="1:9" x14ac:dyDescent="0.35">
      <c r="A38" s="14">
        <v>45779</v>
      </c>
      <c r="B38" t="s">
        <v>383</v>
      </c>
      <c r="C38" t="s">
        <v>332</v>
      </c>
      <c r="D38" s="1">
        <v>147445</v>
      </c>
      <c r="E38" s="1">
        <v>53064</v>
      </c>
      <c r="F38" s="2">
        <v>0.35989012852250002</v>
      </c>
      <c r="G38" s="1">
        <v>572</v>
      </c>
      <c r="H38" s="2">
        <v>1.07794361525705E-2</v>
      </c>
      <c r="I38" s="15">
        <v>3.8794126623486699E-3</v>
      </c>
    </row>
    <row r="39" spans="1:9" x14ac:dyDescent="0.35">
      <c r="A39" s="14">
        <v>45779</v>
      </c>
      <c r="B39" t="s">
        <v>383</v>
      </c>
      <c r="C39" t="s">
        <v>333</v>
      </c>
      <c r="D39" s="1">
        <v>677146</v>
      </c>
      <c r="E39" s="1">
        <v>212682</v>
      </c>
      <c r="F39" s="2">
        <v>0.31408588398956799</v>
      </c>
      <c r="G39" s="1">
        <v>1958</v>
      </c>
      <c r="H39" s="2">
        <v>9.2062327794547698E-3</v>
      </c>
      <c r="I39" s="15">
        <v>2.8915477607487899E-3</v>
      </c>
    </row>
    <row r="40" spans="1:9" x14ac:dyDescent="0.35">
      <c r="A40" s="14">
        <v>45779</v>
      </c>
      <c r="B40" t="s">
        <v>383</v>
      </c>
      <c r="C40" t="s">
        <v>8</v>
      </c>
      <c r="D40" s="1">
        <v>223761</v>
      </c>
      <c r="E40" s="1">
        <v>66842</v>
      </c>
      <c r="F40" s="2">
        <v>0.29872050982968401</v>
      </c>
      <c r="G40" s="1">
        <v>639</v>
      </c>
      <c r="H40" s="2">
        <v>9.5598575745788599E-3</v>
      </c>
      <c r="I40" s="15">
        <v>2.8557255285773702E-3</v>
      </c>
    </row>
    <row r="41" spans="1:9" x14ac:dyDescent="0.35">
      <c r="A41" s="14">
        <v>45783</v>
      </c>
      <c r="B41" t="s">
        <v>384</v>
      </c>
      <c r="C41" t="s">
        <v>7</v>
      </c>
      <c r="D41" s="1">
        <v>1424176</v>
      </c>
      <c r="E41" s="1">
        <v>468410</v>
      </c>
      <c r="F41" s="2">
        <v>0.32889895630877097</v>
      </c>
      <c r="G41" s="1">
        <v>6227</v>
      </c>
      <c r="H41" s="2">
        <v>1.3293909182126799E-2</v>
      </c>
      <c r="I41" s="15">
        <v>4.3723528552650796E-3</v>
      </c>
    </row>
    <row r="42" spans="1:9" x14ac:dyDescent="0.35">
      <c r="A42" s="14">
        <v>45783</v>
      </c>
      <c r="B42" t="s">
        <v>384</v>
      </c>
      <c r="C42" t="s">
        <v>8</v>
      </c>
      <c r="D42" s="1">
        <v>89175</v>
      </c>
      <c r="E42" s="1">
        <v>30291</v>
      </c>
      <c r="F42" s="2">
        <v>0.339680403700589</v>
      </c>
      <c r="G42" s="1">
        <v>587</v>
      </c>
      <c r="H42" s="2">
        <v>1.9378693341256501E-2</v>
      </c>
      <c r="I42" s="15">
        <v>6.58256237734791E-3</v>
      </c>
    </row>
    <row r="43" spans="1:9" ht="16" thickBot="1" x14ac:dyDescent="0.4">
      <c r="A43" s="22" t="s">
        <v>13</v>
      </c>
      <c r="B43" s="4"/>
      <c r="C43" s="4"/>
      <c r="D43" s="19">
        <f>SUM(D35:D42)</f>
        <v>6626130</v>
      </c>
      <c r="E43" s="19">
        <f>SUM(E35:E42)</f>
        <v>2055488</v>
      </c>
      <c r="F43" s="20">
        <f>AVERAGE(F35:F42)</f>
        <v>0.32560221361663871</v>
      </c>
      <c r="G43" s="19">
        <f>SUM(G35:G42)</f>
        <v>21600</v>
      </c>
      <c r="H43" s="20">
        <f>AVERAGE(H35:H42)</f>
        <v>1.1442833540318068E-2</v>
      </c>
      <c r="I43" s="21">
        <f>AVERAGE(I35:I42)</f>
        <v>3.7559023446545286E-3</v>
      </c>
    </row>
    <row r="44" spans="1:9" ht="3" customHeight="1" thickBot="1" x14ac:dyDescent="0.4">
      <c r="A44" s="127"/>
      <c r="B44" s="128"/>
      <c r="C44" s="128"/>
      <c r="D44" s="128"/>
      <c r="E44" s="128"/>
      <c r="F44" s="128"/>
      <c r="G44" s="128"/>
      <c r="H44" s="128"/>
      <c r="I44" s="129"/>
    </row>
    <row r="45" spans="1:9" x14ac:dyDescent="0.35">
      <c r="A45" s="10" t="s">
        <v>216</v>
      </c>
      <c r="B45" s="11"/>
      <c r="C45" s="11"/>
      <c r="D45" s="11"/>
      <c r="E45" s="11"/>
      <c r="F45" s="11"/>
      <c r="G45" s="11"/>
      <c r="H45" s="11"/>
      <c r="I45" s="12"/>
    </row>
    <row r="46" spans="1:9" x14ac:dyDescent="0.35">
      <c r="A46" s="14">
        <v>45779</v>
      </c>
      <c r="B46" t="s">
        <v>386</v>
      </c>
      <c r="C46" t="s">
        <v>7</v>
      </c>
      <c r="D46" s="1">
        <v>303363</v>
      </c>
      <c r="E46" s="1">
        <v>115227</v>
      </c>
      <c r="F46" s="2">
        <v>0.37983208235678101</v>
      </c>
      <c r="G46" s="1">
        <v>1267</v>
      </c>
      <c r="H46" s="2">
        <v>1.0995686774801E-2</v>
      </c>
      <c r="I46" s="15">
        <v>4.1765146046155903E-3</v>
      </c>
    </row>
    <row r="47" spans="1:9" x14ac:dyDescent="0.35">
      <c r="A47" s="14">
        <v>45779</v>
      </c>
      <c r="B47" t="s">
        <v>386</v>
      </c>
      <c r="C47" t="s">
        <v>8</v>
      </c>
      <c r="D47" s="1">
        <v>1250</v>
      </c>
      <c r="E47" s="1">
        <v>529</v>
      </c>
      <c r="F47" s="2">
        <v>0.42320000000000002</v>
      </c>
      <c r="G47" s="1">
        <v>11</v>
      </c>
      <c r="H47" s="2">
        <v>2.0793950850661599E-2</v>
      </c>
      <c r="I47" s="15">
        <v>8.8000000000000005E-3</v>
      </c>
    </row>
    <row r="48" spans="1:9" x14ac:dyDescent="0.35">
      <c r="A48" s="14">
        <v>45779</v>
      </c>
      <c r="B48" t="s">
        <v>388</v>
      </c>
      <c r="C48" t="s">
        <v>7</v>
      </c>
      <c r="D48" s="1">
        <v>1313071</v>
      </c>
      <c r="E48" s="1">
        <v>486706</v>
      </c>
      <c r="F48" s="2">
        <v>0.37066236326900798</v>
      </c>
      <c r="G48" s="1">
        <v>4259</v>
      </c>
      <c r="H48" s="2">
        <v>8.7506626176788397E-3</v>
      </c>
      <c r="I48" s="15">
        <v>3.2435412860386099E-3</v>
      </c>
    </row>
    <row r="49" spans="1:9" x14ac:dyDescent="0.35">
      <c r="A49" s="14">
        <v>45779</v>
      </c>
      <c r="B49" t="s">
        <v>388</v>
      </c>
      <c r="C49" t="s">
        <v>8</v>
      </c>
      <c r="D49" s="1">
        <v>94765</v>
      </c>
      <c r="E49" s="1">
        <v>34236</v>
      </c>
      <c r="F49" s="2">
        <v>0.36127262174853603</v>
      </c>
      <c r="G49" s="1">
        <v>585</v>
      </c>
      <c r="H49" s="2">
        <v>1.7087276550998901E-2</v>
      </c>
      <c r="I49" s="15">
        <v>6.1731651981216697E-3</v>
      </c>
    </row>
    <row r="50" spans="1:9" x14ac:dyDescent="0.35">
      <c r="A50" s="14">
        <v>45780</v>
      </c>
      <c r="B50" t="s">
        <v>385</v>
      </c>
      <c r="C50" t="s">
        <v>7</v>
      </c>
      <c r="D50" s="1">
        <v>64515</v>
      </c>
      <c r="E50" s="1">
        <v>24010</v>
      </c>
      <c r="F50" s="2">
        <v>0.37216151282647397</v>
      </c>
      <c r="G50" s="1">
        <v>1830</v>
      </c>
      <c r="H50" s="2">
        <v>7.6218242399000394E-2</v>
      </c>
      <c r="I50" s="15">
        <v>2.83654963961869E-2</v>
      </c>
    </row>
    <row r="51" spans="1:9" x14ac:dyDescent="0.35">
      <c r="A51" s="14">
        <v>45780</v>
      </c>
      <c r="B51" t="s">
        <v>385</v>
      </c>
      <c r="C51" t="s">
        <v>8</v>
      </c>
      <c r="D51" s="1">
        <v>7100</v>
      </c>
      <c r="E51" s="1">
        <v>3099</v>
      </c>
      <c r="F51" s="2">
        <v>0.43647887323943702</v>
      </c>
      <c r="G51" s="1">
        <v>297</v>
      </c>
      <c r="H51" s="2">
        <v>9.5837366892546003E-2</v>
      </c>
      <c r="I51" s="15">
        <v>4.1830985915493002E-2</v>
      </c>
    </row>
    <row r="52" spans="1:9" x14ac:dyDescent="0.35">
      <c r="A52" s="14">
        <v>45782</v>
      </c>
      <c r="B52" t="s">
        <v>390</v>
      </c>
      <c r="C52" t="s">
        <v>7</v>
      </c>
      <c r="D52" s="1">
        <v>1957734</v>
      </c>
      <c r="E52" s="1">
        <v>796960</v>
      </c>
      <c r="F52" s="2">
        <v>0.40708288255707897</v>
      </c>
      <c r="G52" s="1">
        <v>9566</v>
      </c>
      <c r="H52" s="2">
        <v>1.20031118249348E-2</v>
      </c>
      <c r="I52" s="15">
        <v>4.8862613613494003E-3</v>
      </c>
    </row>
    <row r="53" spans="1:9" x14ac:dyDescent="0.35">
      <c r="A53" s="14">
        <v>45782</v>
      </c>
      <c r="B53" t="s">
        <v>390</v>
      </c>
      <c r="C53" t="s">
        <v>8</v>
      </c>
      <c r="D53" s="1">
        <v>91080</v>
      </c>
      <c r="E53" s="1">
        <v>38571</v>
      </c>
      <c r="F53" s="2">
        <v>0.42348484848484802</v>
      </c>
      <c r="G53" s="1">
        <v>877</v>
      </c>
      <c r="H53" s="2">
        <v>2.2737289673589001E-2</v>
      </c>
      <c r="I53" s="15">
        <v>9.6288976723759301E-3</v>
      </c>
    </row>
    <row r="54" spans="1:9" x14ac:dyDescent="0.35">
      <c r="A54" s="14">
        <v>45783</v>
      </c>
      <c r="B54" t="s">
        <v>387</v>
      </c>
      <c r="C54" t="s">
        <v>7</v>
      </c>
      <c r="D54" s="1">
        <v>138366</v>
      </c>
      <c r="E54" s="1">
        <v>54162</v>
      </c>
      <c r="F54" s="2">
        <v>0.39144009366462901</v>
      </c>
      <c r="G54" s="1">
        <v>384</v>
      </c>
      <c r="H54" s="2">
        <v>7.0898415863520498E-3</v>
      </c>
      <c r="I54" s="15">
        <v>2.7752482546290298E-3</v>
      </c>
    </row>
    <row r="55" spans="1:9" x14ac:dyDescent="0.35">
      <c r="A55" s="14">
        <v>45783</v>
      </c>
      <c r="B55" t="s">
        <v>387</v>
      </c>
      <c r="C55" t="s">
        <v>8</v>
      </c>
      <c r="D55" s="1">
        <v>670</v>
      </c>
      <c r="E55" s="1">
        <v>288</v>
      </c>
      <c r="F55" s="2">
        <v>0.42985074626865699</v>
      </c>
      <c r="G55" s="1">
        <v>7</v>
      </c>
      <c r="H55" s="2">
        <v>2.4305555555555601E-2</v>
      </c>
      <c r="I55" s="15">
        <v>1.04477611940299E-2</v>
      </c>
    </row>
    <row r="56" spans="1:9" x14ac:dyDescent="0.35">
      <c r="A56" s="14">
        <v>45784</v>
      </c>
      <c r="B56" t="s">
        <v>389</v>
      </c>
      <c r="C56" t="s">
        <v>7</v>
      </c>
      <c r="D56" s="1">
        <v>1206728</v>
      </c>
      <c r="E56" s="1">
        <v>481497</v>
      </c>
      <c r="F56" s="2">
        <v>0.399010381792749</v>
      </c>
      <c r="G56" s="1">
        <v>3963</v>
      </c>
      <c r="H56" s="2">
        <v>8.2305808758933105E-3</v>
      </c>
      <c r="I56" s="15">
        <v>3.2840872176662802E-3</v>
      </c>
    </row>
    <row r="57" spans="1:9" x14ac:dyDescent="0.35">
      <c r="A57" s="14">
        <v>45784</v>
      </c>
      <c r="B57" t="s">
        <v>389</v>
      </c>
      <c r="C57" t="s">
        <v>8</v>
      </c>
      <c r="D57" s="1">
        <v>71569</v>
      </c>
      <c r="E57" s="1">
        <v>27520</v>
      </c>
      <c r="F57" s="2">
        <v>0.384524025765345</v>
      </c>
      <c r="G57" s="1">
        <v>285</v>
      </c>
      <c r="H57" s="2">
        <v>1.03561046511628E-2</v>
      </c>
      <c r="I57" s="15">
        <v>3.9821710517123302E-3</v>
      </c>
    </row>
    <row r="58" spans="1:9" x14ac:dyDescent="0.35">
      <c r="A58" s="14">
        <v>45785</v>
      </c>
      <c r="B58" t="s">
        <v>391</v>
      </c>
      <c r="C58" t="s">
        <v>7</v>
      </c>
      <c r="D58" s="1">
        <v>358451</v>
      </c>
      <c r="E58" s="1">
        <v>153965</v>
      </c>
      <c r="F58" s="2">
        <v>0.42952872219633897</v>
      </c>
      <c r="G58" s="1">
        <v>1346</v>
      </c>
      <c r="H58" s="2">
        <v>8.7422466144903097E-3</v>
      </c>
      <c r="I58" s="15">
        <v>3.7550460174472899E-3</v>
      </c>
    </row>
    <row r="59" spans="1:9" x14ac:dyDescent="0.35">
      <c r="A59" s="14">
        <v>45785</v>
      </c>
      <c r="B59" t="s">
        <v>391</v>
      </c>
      <c r="C59" t="s">
        <v>8</v>
      </c>
      <c r="D59" s="1">
        <v>18736</v>
      </c>
      <c r="E59" s="1">
        <v>8113</v>
      </c>
      <c r="F59" s="2">
        <v>0.43301665243381698</v>
      </c>
      <c r="G59" s="1">
        <v>108</v>
      </c>
      <c r="H59" s="2">
        <v>1.3311968445704399E-2</v>
      </c>
      <c r="I59" s="15">
        <v>5.7643040136635404E-3</v>
      </c>
    </row>
    <row r="60" spans="1:9" x14ac:dyDescent="0.35">
      <c r="A60" s="14">
        <v>45785</v>
      </c>
      <c r="B60" t="s">
        <v>392</v>
      </c>
      <c r="C60" t="s">
        <v>393</v>
      </c>
      <c r="D60" s="1">
        <v>201581</v>
      </c>
      <c r="E60" s="1">
        <v>70465</v>
      </c>
      <c r="F60" s="2">
        <v>0.349561714645726</v>
      </c>
      <c r="G60" s="1">
        <v>226</v>
      </c>
      <c r="H60" s="2">
        <v>3.2072660185907902E-3</v>
      </c>
      <c r="I60" s="15">
        <v>1.1211374087835701E-3</v>
      </c>
    </row>
    <row r="61" spans="1:9" x14ac:dyDescent="0.35">
      <c r="A61" s="14">
        <v>45785</v>
      </c>
      <c r="B61" t="s">
        <v>392</v>
      </c>
      <c r="C61" t="s">
        <v>394</v>
      </c>
      <c r="D61" s="1">
        <v>1353859</v>
      </c>
      <c r="E61" s="1">
        <v>477768</v>
      </c>
      <c r="F61" s="2">
        <v>0.35289346970400898</v>
      </c>
      <c r="G61" s="1">
        <v>1628</v>
      </c>
      <c r="H61" s="2">
        <v>3.4075115955861401E-3</v>
      </c>
      <c r="I61" s="15">
        <v>1.20248859002304E-3</v>
      </c>
    </row>
    <row r="62" spans="1:9" x14ac:dyDescent="0.35">
      <c r="A62" s="14">
        <v>45785</v>
      </c>
      <c r="B62" t="s">
        <v>392</v>
      </c>
      <c r="C62" t="s">
        <v>395</v>
      </c>
      <c r="D62" s="1">
        <v>205889</v>
      </c>
      <c r="E62" s="1">
        <v>77025</v>
      </c>
      <c r="F62" s="2">
        <v>0.37410935018383701</v>
      </c>
      <c r="G62" s="1">
        <v>286</v>
      </c>
      <c r="H62" s="2">
        <v>3.7130801687763702E-3</v>
      </c>
      <c r="I62" s="15">
        <v>1.3890980091214201E-3</v>
      </c>
    </row>
    <row r="63" spans="1:9" ht="16" thickBot="1" x14ac:dyDescent="0.4">
      <c r="A63" s="22" t="s">
        <v>13</v>
      </c>
      <c r="B63" s="4"/>
      <c r="C63" s="4"/>
      <c r="D63" s="19">
        <f>SUM(D46:D62)</f>
        <v>7388727</v>
      </c>
      <c r="E63" s="19">
        <f>SUM(E46:E62)</f>
        <v>2850141</v>
      </c>
      <c r="F63" s="20">
        <f>AVERAGE(F46:F62)</f>
        <v>0.39518296124336888</v>
      </c>
      <c r="G63" s="19">
        <f>SUM(G46:G62)</f>
        <v>26925</v>
      </c>
      <c r="H63" s="20">
        <f>AVERAGE(H46:H62)</f>
        <v>2.0399279005666019E-2</v>
      </c>
      <c r="I63" s="21">
        <f>AVERAGE(I46:I62)</f>
        <v>8.2838943641916178E-3</v>
      </c>
    </row>
    <row r="64" spans="1:9" ht="3" customHeight="1" thickBot="1" x14ac:dyDescent="0.4"/>
    <row r="65" spans="1:9" x14ac:dyDescent="0.35">
      <c r="A65" s="10" t="s">
        <v>11</v>
      </c>
      <c r="B65" s="11"/>
      <c r="C65" s="11"/>
      <c r="D65" s="11"/>
      <c r="E65" s="11"/>
      <c r="F65" s="11"/>
      <c r="G65" s="11"/>
      <c r="H65" s="11"/>
      <c r="I65" s="12"/>
    </row>
    <row r="66" spans="1:9" x14ac:dyDescent="0.35">
      <c r="A66" s="8">
        <v>45785</v>
      </c>
      <c r="B66" t="s">
        <v>381</v>
      </c>
      <c r="C66" t="s">
        <v>197</v>
      </c>
      <c r="D66" s="1">
        <v>1151388</v>
      </c>
      <c r="E66" s="1">
        <v>439158</v>
      </c>
      <c r="F66" s="3">
        <v>0.38140000000000002</v>
      </c>
      <c r="G66" s="1">
        <v>1044</v>
      </c>
      <c r="H66" s="3">
        <v>2.3999999999999998E-3</v>
      </c>
      <c r="I66" s="9">
        <v>8.9999999999999998E-4</v>
      </c>
    </row>
    <row r="67" spans="1:9" x14ac:dyDescent="0.35">
      <c r="A67" s="8">
        <v>45785</v>
      </c>
      <c r="B67" t="s">
        <v>382</v>
      </c>
      <c r="C67" t="s">
        <v>198</v>
      </c>
      <c r="D67" s="1">
        <v>64371</v>
      </c>
      <c r="E67" s="1">
        <v>23864</v>
      </c>
      <c r="F67" s="3">
        <v>0.37069999999999997</v>
      </c>
      <c r="G67">
        <v>73</v>
      </c>
      <c r="H67" s="3">
        <v>3.0999999999999999E-3</v>
      </c>
      <c r="I67" s="9">
        <v>1.1000000000000001E-3</v>
      </c>
    </row>
    <row r="68" spans="1:9" x14ac:dyDescent="0.35">
      <c r="A68" s="8">
        <v>45785</v>
      </c>
      <c r="B68" t="s">
        <v>363</v>
      </c>
      <c r="C68" t="s">
        <v>20</v>
      </c>
      <c r="D68" s="1">
        <v>16978</v>
      </c>
      <c r="E68" s="1">
        <v>6133</v>
      </c>
      <c r="F68" s="3">
        <v>0.36120000000000002</v>
      </c>
      <c r="G68">
        <v>22</v>
      </c>
      <c r="H68" s="3">
        <v>3.5999999999999999E-3</v>
      </c>
      <c r="I68" s="9">
        <v>1.2999999999999999E-3</v>
      </c>
    </row>
    <row r="69" spans="1:9" x14ac:dyDescent="0.35">
      <c r="A69" s="8">
        <v>45785</v>
      </c>
      <c r="B69" t="s">
        <v>364</v>
      </c>
      <c r="C69" t="s">
        <v>21</v>
      </c>
      <c r="D69">
        <v>425</v>
      </c>
      <c r="E69">
        <v>135</v>
      </c>
      <c r="F69" s="3">
        <v>0.31759999999999999</v>
      </c>
      <c r="G69">
        <v>0</v>
      </c>
      <c r="H69" s="3">
        <v>0</v>
      </c>
      <c r="I69" s="9">
        <v>0</v>
      </c>
    </row>
    <row r="70" spans="1:9" ht="16" thickBot="1" x14ac:dyDescent="0.4">
      <c r="A70" s="22" t="s">
        <v>13</v>
      </c>
      <c r="B70" s="4"/>
      <c r="C70" s="4"/>
      <c r="D70" s="19">
        <f>SUM(D66:D69)</f>
        <v>1233162</v>
      </c>
      <c r="E70" s="19">
        <f>SUM(E66:E69)</f>
        <v>469290</v>
      </c>
      <c r="F70" s="20">
        <f>AVERAGE(F66:F69)</f>
        <v>0.35772499999999996</v>
      </c>
      <c r="G70" s="19">
        <f>SUM(G66:G69)</f>
        <v>1139</v>
      </c>
      <c r="H70" s="20">
        <f>AVERAGE(H66:H69)</f>
        <v>2.2750000000000001E-3</v>
      </c>
      <c r="I70" s="21">
        <f>AVERAGE(I66:I69)</f>
        <v>8.25E-4</v>
      </c>
    </row>
    <row r="74" spans="1:9" x14ac:dyDescent="0.35">
      <c r="C74" s="1"/>
      <c r="D74" s="1"/>
      <c r="E74" s="3"/>
      <c r="G74" s="3"/>
      <c r="H74" s="3"/>
    </row>
    <row r="75" spans="1:9" x14ac:dyDescent="0.35">
      <c r="C75" s="1"/>
      <c r="D75" s="1"/>
      <c r="E75" s="3"/>
      <c r="G75" s="3"/>
      <c r="H75" s="3"/>
    </row>
    <row r="76" spans="1:9" x14ac:dyDescent="0.35">
      <c r="C76" s="1"/>
      <c r="D76" s="1"/>
      <c r="E76" s="3"/>
      <c r="G76" s="3"/>
      <c r="H76" s="3"/>
    </row>
    <row r="77" spans="1:9" x14ac:dyDescent="0.35">
      <c r="C77" s="1"/>
      <c r="D77" s="1"/>
      <c r="E77" s="3"/>
      <c r="G77" s="3"/>
      <c r="H77" s="3"/>
    </row>
    <row r="78" spans="1:9" x14ac:dyDescent="0.35">
      <c r="D78" s="1"/>
      <c r="E78" s="1"/>
      <c r="F78" s="3"/>
      <c r="H78" s="3"/>
      <c r="I78" s="3"/>
    </row>
    <row r="79" spans="1:9" x14ac:dyDescent="0.35">
      <c r="D79" s="1"/>
      <c r="E79" s="1"/>
      <c r="F79" s="3"/>
      <c r="H79" s="3"/>
      <c r="I79" s="3"/>
    </row>
    <row r="80" spans="1:9" x14ac:dyDescent="0.35">
      <c r="D80" s="1"/>
      <c r="E80" s="1"/>
      <c r="F80" s="3"/>
      <c r="H80" s="3"/>
      <c r="I80" s="3"/>
    </row>
    <row r="81" spans="4:9" x14ac:dyDescent="0.35">
      <c r="D81" s="1"/>
      <c r="E81" s="1"/>
      <c r="F81" s="3"/>
      <c r="H81" s="3"/>
      <c r="I81" s="3"/>
    </row>
  </sheetData>
  <mergeCells count="2">
    <mergeCell ref="A32:I32"/>
    <mergeCell ref="A44:I44"/>
  </mergeCells>
  <pageMargins left="0.7" right="0.7" top="0.75" bottom="0.75" header="0.3" footer="0.3"/>
  <ignoredErrors>
    <ignoredError sqref="F70:G70 F63:G63 F43:G43 F31:G31" formula="1"/>
  </ignoredErrors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8937-22F3-472F-9117-6E82AA92471C}">
  <dimension ref="A1:I75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5.5429687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45786</v>
      </c>
      <c r="B2" t="s">
        <v>396</v>
      </c>
      <c r="C2" t="s">
        <v>7</v>
      </c>
      <c r="D2" s="1">
        <v>913242</v>
      </c>
      <c r="E2" s="1">
        <v>286334</v>
      </c>
      <c r="F2" s="2">
        <v>0.31353573313535699</v>
      </c>
      <c r="G2" s="1">
        <v>1680</v>
      </c>
      <c r="H2" s="2">
        <v>5.8672738829478903E-3</v>
      </c>
      <c r="I2" s="2">
        <v>1.839600018396E-3</v>
      </c>
    </row>
    <row r="3" spans="1:9" x14ac:dyDescent="0.35">
      <c r="A3" s="13">
        <v>45786</v>
      </c>
      <c r="B3" t="s">
        <v>397</v>
      </c>
      <c r="C3" t="s">
        <v>7</v>
      </c>
      <c r="D3" s="1">
        <v>4889430</v>
      </c>
      <c r="E3" s="1">
        <v>1357495</v>
      </c>
      <c r="F3" s="2">
        <v>0.27763870226181803</v>
      </c>
      <c r="G3" s="1">
        <v>10415</v>
      </c>
      <c r="H3" s="2">
        <v>7.6722197871815397E-3</v>
      </c>
      <c r="I3" s="2">
        <v>2.1301051451805201E-3</v>
      </c>
    </row>
    <row r="4" spans="1:9" x14ac:dyDescent="0.35">
      <c r="A4" s="13">
        <v>45786</v>
      </c>
      <c r="B4" t="s">
        <v>397</v>
      </c>
      <c r="C4" t="s">
        <v>8</v>
      </c>
      <c r="D4" s="1">
        <v>314149</v>
      </c>
      <c r="E4" s="1">
        <v>87395</v>
      </c>
      <c r="F4" s="2">
        <v>0.27819601526664101</v>
      </c>
      <c r="G4" s="1">
        <v>710</v>
      </c>
      <c r="H4" s="2">
        <v>8.1240345557526197E-3</v>
      </c>
      <c r="I4" s="2">
        <v>2.2600740412988701E-3</v>
      </c>
    </row>
    <row r="5" spans="1:9" x14ac:dyDescent="0.35">
      <c r="A5" s="13">
        <v>45787</v>
      </c>
      <c r="B5" t="s">
        <v>398</v>
      </c>
      <c r="C5" t="s">
        <v>399</v>
      </c>
      <c r="D5" s="1">
        <v>92391</v>
      </c>
      <c r="E5" s="1">
        <v>40960</v>
      </c>
      <c r="F5" s="2">
        <v>0.44333322509768303</v>
      </c>
      <c r="G5" s="1">
        <v>2257</v>
      </c>
      <c r="H5" s="2">
        <v>5.5102539062499997E-2</v>
      </c>
      <c r="I5" s="2">
        <v>2.4428786353649201E-2</v>
      </c>
    </row>
    <row r="6" spans="1:9" x14ac:dyDescent="0.35">
      <c r="A6" s="13">
        <v>45787</v>
      </c>
      <c r="B6" t="s">
        <v>398</v>
      </c>
      <c r="C6" t="s">
        <v>400</v>
      </c>
      <c r="D6" s="1">
        <v>3273904</v>
      </c>
      <c r="E6" s="1">
        <v>1230601</v>
      </c>
      <c r="F6" s="2">
        <v>0.375881821824953</v>
      </c>
      <c r="G6" s="1">
        <v>15047</v>
      </c>
      <c r="H6" s="2">
        <v>1.2227358827109701E-2</v>
      </c>
      <c r="I6" s="2">
        <v>4.5960419120414002E-3</v>
      </c>
    </row>
    <row r="7" spans="1:9" x14ac:dyDescent="0.35">
      <c r="A7" s="13">
        <v>45787</v>
      </c>
      <c r="B7" t="s">
        <v>398</v>
      </c>
      <c r="C7" t="s">
        <v>401</v>
      </c>
      <c r="D7" s="1">
        <v>3947</v>
      </c>
      <c r="E7" s="1">
        <v>1743</v>
      </c>
      <c r="F7" s="2">
        <v>0.441601216113504</v>
      </c>
      <c r="G7" s="1">
        <v>83</v>
      </c>
      <c r="H7" s="2">
        <v>4.7619047619047603E-2</v>
      </c>
      <c r="I7" s="2">
        <v>2.1028629338738301E-2</v>
      </c>
    </row>
    <row r="8" spans="1:9" x14ac:dyDescent="0.35">
      <c r="A8" s="13">
        <v>45787</v>
      </c>
      <c r="B8" t="s">
        <v>398</v>
      </c>
      <c r="C8" t="s">
        <v>402</v>
      </c>
      <c r="D8" s="1">
        <v>166031</v>
      </c>
      <c r="E8" s="1">
        <v>67003</v>
      </c>
      <c r="F8" s="2">
        <v>0.403557167035072</v>
      </c>
      <c r="G8" s="1">
        <v>1447</v>
      </c>
      <c r="H8" s="2">
        <v>2.1596047938152001E-2</v>
      </c>
      <c r="I8" s="2">
        <v>8.7152399250742304E-3</v>
      </c>
    </row>
    <row r="9" spans="1:9" x14ac:dyDescent="0.35">
      <c r="A9" s="13">
        <v>45789</v>
      </c>
      <c r="B9" t="s">
        <v>403</v>
      </c>
      <c r="C9" t="s">
        <v>7</v>
      </c>
      <c r="D9" s="1">
        <v>4763</v>
      </c>
      <c r="E9" s="1">
        <v>1759</v>
      </c>
      <c r="F9" s="2">
        <v>0.36930505983623801</v>
      </c>
      <c r="G9" s="1">
        <v>90</v>
      </c>
      <c r="H9" s="2">
        <v>5.1165434906196697E-2</v>
      </c>
      <c r="I9" s="2">
        <v>1.8895653999580101E-2</v>
      </c>
    </row>
    <row r="10" spans="1:9" x14ac:dyDescent="0.35">
      <c r="A10" s="13">
        <v>45789</v>
      </c>
      <c r="B10" t="s">
        <v>404</v>
      </c>
      <c r="C10" t="s">
        <v>7</v>
      </c>
      <c r="D10" s="1">
        <v>1959484</v>
      </c>
      <c r="E10" s="1">
        <v>789090</v>
      </c>
      <c r="F10" s="2">
        <v>0.40270295649262799</v>
      </c>
      <c r="G10" s="1">
        <v>9275</v>
      </c>
      <c r="H10" s="2">
        <v>1.1754045799591901E-2</v>
      </c>
      <c r="I10" s="2">
        <v>4.7333889942454202E-3</v>
      </c>
    </row>
    <row r="11" spans="1:9" x14ac:dyDescent="0.35">
      <c r="A11" s="13">
        <v>45789</v>
      </c>
      <c r="B11" t="s">
        <v>404</v>
      </c>
      <c r="C11" t="s">
        <v>8</v>
      </c>
      <c r="D11" s="1">
        <v>91090</v>
      </c>
      <c r="E11" s="1">
        <v>37670</v>
      </c>
      <c r="F11" s="2">
        <v>0.41354704138763898</v>
      </c>
      <c r="G11" s="1">
        <v>664</v>
      </c>
      <c r="H11" s="2">
        <v>1.7626758693920899E-2</v>
      </c>
      <c r="I11" s="2">
        <v>7.2894939071248199E-3</v>
      </c>
    </row>
    <row r="12" spans="1:9" x14ac:dyDescent="0.35">
      <c r="A12" s="13">
        <v>45789</v>
      </c>
      <c r="B12" t="s">
        <v>405</v>
      </c>
      <c r="C12" t="s">
        <v>7</v>
      </c>
      <c r="D12" s="1">
        <v>3163</v>
      </c>
      <c r="E12" s="1">
        <v>1476</v>
      </c>
      <c r="F12" s="2">
        <v>0.466645589630098</v>
      </c>
      <c r="G12" s="1">
        <v>39</v>
      </c>
      <c r="H12" s="2">
        <v>2.6422764227642299E-2</v>
      </c>
      <c r="I12" s="2">
        <v>1.23300663926652E-2</v>
      </c>
    </row>
    <row r="13" spans="1:9" x14ac:dyDescent="0.35">
      <c r="A13" s="13">
        <v>45789</v>
      </c>
      <c r="B13" t="s">
        <v>405</v>
      </c>
      <c r="C13" t="s">
        <v>8</v>
      </c>
      <c r="D13" s="1">
        <v>642</v>
      </c>
      <c r="E13" s="1">
        <v>298</v>
      </c>
      <c r="F13" s="2">
        <v>0.46417445482865999</v>
      </c>
      <c r="G13" s="1">
        <v>14</v>
      </c>
      <c r="H13" s="2">
        <v>4.6979865771812103E-2</v>
      </c>
      <c r="I13" s="2">
        <v>2.1806853582554499E-2</v>
      </c>
    </row>
    <row r="14" spans="1:9" x14ac:dyDescent="0.35">
      <c r="A14" s="13">
        <v>45790</v>
      </c>
      <c r="B14" t="s">
        <v>406</v>
      </c>
      <c r="C14" t="s">
        <v>7</v>
      </c>
      <c r="D14" s="1">
        <v>1425636</v>
      </c>
      <c r="E14" s="1">
        <v>458599</v>
      </c>
      <c r="F14" s="2">
        <v>0.321680288657133</v>
      </c>
      <c r="G14" s="1">
        <v>6821</v>
      </c>
      <c r="H14" s="2">
        <v>1.4873560561623599E-2</v>
      </c>
      <c r="I14" s="2">
        <v>4.7845312548224104E-3</v>
      </c>
    </row>
    <row r="15" spans="1:9" x14ac:dyDescent="0.35">
      <c r="A15" s="13">
        <v>45790</v>
      </c>
      <c r="B15" t="s">
        <v>406</v>
      </c>
      <c r="C15" t="s">
        <v>8</v>
      </c>
      <c r="D15" s="1">
        <v>89133</v>
      </c>
      <c r="E15" s="1">
        <v>30698</v>
      </c>
      <c r="F15" s="2">
        <v>0.34440667317379597</v>
      </c>
      <c r="G15" s="1">
        <v>624</v>
      </c>
      <c r="H15" s="2">
        <v>2.03270571372728E-2</v>
      </c>
      <c r="I15" s="2">
        <v>7.0007741240618003E-3</v>
      </c>
    </row>
    <row r="16" spans="1:9" x14ac:dyDescent="0.35">
      <c r="A16" s="13">
        <v>45790</v>
      </c>
      <c r="B16" t="s">
        <v>407</v>
      </c>
      <c r="C16" t="s">
        <v>7</v>
      </c>
      <c r="D16" s="1">
        <v>772552</v>
      </c>
      <c r="E16" s="1">
        <v>250952</v>
      </c>
      <c r="F16" s="2">
        <v>0.32483509200675198</v>
      </c>
      <c r="G16" s="1">
        <v>1005</v>
      </c>
      <c r="H16" s="2">
        <v>4.0047499123338302E-3</v>
      </c>
      <c r="I16" s="2">
        <v>1.3008833062369901E-3</v>
      </c>
    </row>
    <row r="17" spans="1:9" x14ac:dyDescent="0.35">
      <c r="A17" s="13">
        <v>45790</v>
      </c>
      <c r="B17" t="s">
        <v>407</v>
      </c>
      <c r="C17" t="s">
        <v>8</v>
      </c>
      <c r="D17" s="1">
        <v>43220</v>
      </c>
      <c r="E17" s="1">
        <v>15949</v>
      </c>
      <c r="F17" s="2">
        <v>0.36901897269782502</v>
      </c>
      <c r="G17" s="1">
        <v>209</v>
      </c>
      <c r="H17" s="2">
        <v>1.3104269860179299E-2</v>
      </c>
      <c r="I17" s="2">
        <v>4.8357242017584498E-3</v>
      </c>
    </row>
    <row r="18" spans="1:9" x14ac:dyDescent="0.35">
      <c r="A18" s="13">
        <v>45791</v>
      </c>
      <c r="B18" t="s">
        <v>408</v>
      </c>
      <c r="C18" t="s">
        <v>7</v>
      </c>
      <c r="D18" s="1">
        <v>2618</v>
      </c>
      <c r="E18" s="1">
        <v>1587</v>
      </c>
      <c r="F18" s="2">
        <v>0.60618792971734103</v>
      </c>
      <c r="G18" s="1">
        <v>18</v>
      </c>
      <c r="H18" s="2">
        <v>1.13421550094518E-2</v>
      </c>
      <c r="I18" s="2">
        <v>6.8754774637127597E-3</v>
      </c>
    </row>
    <row r="19" spans="1:9" x14ac:dyDescent="0.35">
      <c r="A19" s="13">
        <v>45791</v>
      </c>
      <c r="B19" t="s">
        <v>408</v>
      </c>
      <c r="C19" t="s">
        <v>8</v>
      </c>
      <c r="D19" s="1">
        <v>482</v>
      </c>
      <c r="E19" s="1">
        <v>307</v>
      </c>
      <c r="F19" s="2">
        <v>0.63692946058091304</v>
      </c>
      <c r="G19" s="1">
        <v>2</v>
      </c>
      <c r="H19" s="2">
        <v>6.5146579804560298E-3</v>
      </c>
      <c r="I19" s="2">
        <v>4.1493775933610002E-3</v>
      </c>
    </row>
    <row r="20" spans="1:9" x14ac:dyDescent="0.35">
      <c r="A20" s="13">
        <v>45791</v>
      </c>
      <c r="B20" t="s">
        <v>409</v>
      </c>
      <c r="C20" t="s">
        <v>7</v>
      </c>
      <c r="D20" s="1">
        <v>42261</v>
      </c>
      <c r="E20" s="1">
        <v>15173</v>
      </c>
      <c r="F20" s="2">
        <v>0.35903078488440898</v>
      </c>
      <c r="G20" s="1">
        <v>144</v>
      </c>
      <c r="H20" s="2">
        <v>9.4905424108613998E-3</v>
      </c>
      <c r="I20" s="2">
        <v>3.4073968907503398E-3</v>
      </c>
    </row>
    <row r="21" spans="1:9" x14ac:dyDescent="0.35">
      <c r="A21" s="13">
        <v>45791</v>
      </c>
      <c r="B21" t="s">
        <v>410</v>
      </c>
      <c r="C21" t="s">
        <v>7</v>
      </c>
      <c r="D21" s="1">
        <v>20034</v>
      </c>
      <c r="E21" s="1">
        <v>8005</v>
      </c>
      <c r="F21" s="2">
        <v>0.39957072975940899</v>
      </c>
      <c r="G21" s="1">
        <v>22</v>
      </c>
      <c r="H21" s="2">
        <v>2.74828232354778E-3</v>
      </c>
      <c r="I21" s="2">
        <v>1.0981331736048699E-3</v>
      </c>
    </row>
    <row r="22" spans="1:9" x14ac:dyDescent="0.35">
      <c r="A22" s="13">
        <v>45792</v>
      </c>
      <c r="B22" t="s">
        <v>411</v>
      </c>
      <c r="C22" t="s">
        <v>412</v>
      </c>
      <c r="D22" s="1">
        <v>318025</v>
      </c>
      <c r="E22" s="1">
        <v>125434</v>
      </c>
      <c r="F22" s="2">
        <v>0.394415533370018</v>
      </c>
      <c r="G22" s="1">
        <v>2027</v>
      </c>
      <c r="H22" s="2">
        <v>1.6159892852017799E-2</v>
      </c>
      <c r="I22" s="2">
        <v>6.3737127584309397E-3</v>
      </c>
    </row>
    <row r="23" spans="1:9" x14ac:dyDescent="0.35">
      <c r="A23" s="13">
        <v>45792</v>
      </c>
      <c r="B23" t="s">
        <v>411</v>
      </c>
      <c r="C23" t="s">
        <v>413</v>
      </c>
      <c r="D23" s="1">
        <v>611814</v>
      </c>
      <c r="E23" s="1">
        <v>234707</v>
      </c>
      <c r="F23" s="2">
        <v>0.38362476177400301</v>
      </c>
      <c r="G23" s="1">
        <v>3768</v>
      </c>
      <c r="H23" s="2">
        <v>1.60540588904464E-2</v>
      </c>
      <c r="I23" s="2">
        <v>6.1587345173533103E-3</v>
      </c>
    </row>
    <row r="24" spans="1:9" x14ac:dyDescent="0.35">
      <c r="A24" s="13">
        <v>45792</v>
      </c>
      <c r="B24" t="s">
        <v>411</v>
      </c>
      <c r="C24" t="s">
        <v>414</v>
      </c>
      <c r="D24" s="1">
        <v>810834</v>
      </c>
      <c r="E24" s="1">
        <v>291439</v>
      </c>
      <c r="F24" s="2">
        <v>0.35943115360234001</v>
      </c>
      <c r="G24" s="1">
        <v>3753</v>
      </c>
      <c r="H24" s="2">
        <v>1.28774803646732E-2</v>
      </c>
      <c r="I24" s="2">
        <v>4.6285676229659801E-3</v>
      </c>
    </row>
    <row r="25" spans="1:9" x14ac:dyDescent="0.35">
      <c r="A25" s="13">
        <v>45792</v>
      </c>
      <c r="B25" t="s">
        <v>411</v>
      </c>
      <c r="C25" t="s">
        <v>415</v>
      </c>
      <c r="D25" s="1">
        <v>15407</v>
      </c>
      <c r="E25" s="1">
        <v>6450</v>
      </c>
      <c r="F25" s="2">
        <v>0.418640877523204</v>
      </c>
      <c r="G25" s="1">
        <v>177</v>
      </c>
      <c r="H25" s="2">
        <v>2.7441860465116302E-2</v>
      </c>
      <c r="I25" s="2">
        <v>1.14882845459856E-2</v>
      </c>
    </row>
    <row r="26" spans="1:9" x14ac:dyDescent="0.35">
      <c r="A26" s="13">
        <v>45792</v>
      </c>
      <c r="B26" t="s">
        <v>411</v>
      </c>
      <c r="C26" t="s">
        <v>416</v>
      </c>
      <c r="D26" s="1">
        <v>34247</v>
      </c>
      <c r="E26" s="1">
        <v>13880</v>
      </c>
      <c r="F26" s="2">
        <v>0.40529097439191802</v>
      </c>
      <c r="G26" s="1">
        <v>367</v>
      </c>
      <c r="H26" s="2">
        <v>2.64409221902017E-2</v>
      </c>
      <c r="I26" s="2">
        <v>1.0716267118287701E-2</v>
      </c>
    </row>
    <row r="27" spans="1:9" x14ac:dyDescent="0.35">
      <c r="A27" s="13">
        <v>45792</v>
      </c>
      <c r="B27" t="s">
        <v>411</v>
      </c>
      <c r="C27" t="s">
        <v>417</v>
      </c>
      <c r="D27" s="1">
        <v>43130</v>
      </c>
      <c r="E27" s="1">
        <v>16177</v>
      </c>
      <c r="F27" s="2">
        <v>0.37507535358219302</v>
      </c>
      <c r="G27" s="1">
        <v>356</v>
      </c>
      <c r="H27" s="2">
        <v>2.2006552512826901E-2</v>
      </c>
      <c r="I27" s="2">
        <v>8.2541154648736407E-3</v>
      </c>
    </row>
    <row r="28" spans="1:9" x14ac:dyDescent="0.35">
      <c r="A28" s="13">
        <v>45792</v>
      </c>
      <c r="B28" t="s">
        <v>418</v>
      </c>
      <c r="C28" t="s">
        <v>7</v>
      </c>
      <c r="D28" s="1">
        <v>239</v>
      </c>
      <c r="E28" s="1">
        <v>94</v>
      </c>
      <c r="F28" s="2">
        <v>0.39330543933054402</v>
      </c>
      <c r="G28" s="1">
        <v>3</v>
      </c>
      <c r="H28" s="2">
        <v>3.1914893617021302E-2</v>
      </c>
      <c r="I28" s="2">
        <v>1.2552301255230099E-2</v>
      </c>
    </row>
    <row r="29" spans="1:9" ht="16" thickBot="1" x14ac:dyDescent="0.4">
      <c r="A29" s="23" t="s">
        <v>13</v>
      </c>
      <c r="D29" s="17">
        <f>SUM(D2:D28)</f>
        <v>15941868</v>
      </c>
      <c r="E29" s="17">
        <f>SUM(E2:E28)</f>
        <v>5371275</v>
      </c>
      <c r="F29" s="18">
        <f>AVERAGE(F2:F28)</f>
        <v>0.39783566696155886</v>
      </c>
      <c r="G29" s="17">
        <f>SUM(G2:G28)</f>
        <v>61017</v>
      </c>
      <c r="H29" s="18">
        <f>AVERAGE(H2:H28)</f>
        <v>2.0276234339255014E-2</v>
      </c>
      <c r="I29" s="18">
        <f>AVERAGE(I2:I28)</f>
        <v>8.2843783297031279E-3</v>
      </c>
    </row>
    <row r="30" spans="1:9" ht="15" thickBot="1" x14ac:dyDescent="0.4">
      <c r="A30" s="123" t="s">
        <v>19</v>
      </c>
      <c r="B30" s="123"/>
      <c r="C30" s="123"/>
      <c r="D30" s="123"/>
      <c r="E30" s="123"/>
      <c r="F30" s="123"/>
      <c r="G30" s="123"/>
      <c r="H30" s="123"/>
      <c r="I30" s="123"/>
    </row>
    <row r="31" spans="1:9" ht="15.5" x14ac:dyDescent="0.35">
      <c r="A31" s="24" t="s">
        <v>9</v>
      </c>
      <c r="B31" s="25" t="s">
        <v>0</v>
      </c>
      <c r="C31" s="25" t="s">
        <v>16</v>
      </c>
      <c r="D31" s="25" t="s">
        <v>1</v>
      </c>
      <c r="E31" s="25" t="s">
        <v>2</v>
      </c>
      <c r="F31" s="25" t="s">
        <v>3</v>
      </c>
      <c r="G31" s="25" t="s">
        <v>4</v>
      </c>
      <c r="H31" s="25" t="s">
        <v>5</v>
      </c>
      <c r="I31" s="26" t="s">
        <v>6</v>
      </c>
    </row>
    <row r="32" spans="1:9" x14ac:dyDescent="0.35">
      <c r="A32" s="5" t="s">
        <v>12</v>
      </c>
      <c r="B32" s="6"/>
      <c r="C32" s="6"/>
      <c r="D32" s="6"/>
      <c r="E32" s="6"/>
      <c r="F32" s="6"/>
      <c r="G32" s="6"/>
      <c r="H32" s="6"/>
      <c r="I32" s="7"/>
    </row>
    <row r="33" spans="1:9" x14ac:dyDescent="0.35">
      <c r="A33" s="14">
        <v>45786</v>
      </c>
      <c r="B33" t="s">
        <v>397</v>
      </c>
      <c r="C33" t="s">
        <v>7</v>
      </c>
      <c r="D33" s="1">
        <v>4889430</v>
      </c>
      <c r="E33" s="1">
        <v>1357495</v>
      </c>
      <c r="F33" s="2">
        <v>0.27763870226181803</v>
      </c>
      <c r="G33" s="1">
        <v>10415</v>
      </c>
      <c r="H33" s="2">
        <v>7.6722197871815397E-3</v>
      </c>
      <c r="I33" s="15">
        <v>2.1301051451805201E-3</v>
      </c>
    </row>
    <row r="34" spans="1:9" x14ac:dyDescent="0.35">
      <c r="A34" s="14">
        <v>45786</v>
      </c>
      <c r="B34" t="s">
        <v>397</v>
      </c>
      <c r="C34" t="s">
        <v>8</v>
      </c>
      <c r="D34" s="1">
        <v>314149</v>
      </c>
      <c r="E34" s="1">
        <v>87395</v>
      </c>
      <c r="F34" s="2">
        <v>0.27819601526664101</v>
      </c>
      <c r="G34" s="1">
        <v>710</v>
      </c>
      <c r="H34" s="2">
        <v>8.1240345557526197E-3</v>
      </c>
      <c r="I34" s="15">
        <v>2.2600740412988701E-3</v>
      </c>
    </row>
    <row r="35" spans="1:9" x14ac:dyDescent="0.35">
      <c r="A35" s="14">
        <v>45790</v>
      </c>
      <c r="B35" t="s">
        <v>406</v>
      </c>
      <c r="C35" t="s">
        <v>7</v>
      </c>
      <c r="D35" s="1">
        <v>1425636</v>
      </c>
      <c r="E35" s="1">
        <v>458599</v>
      </c>
      <c r="F35" s="2">
        <v>0.321680288657133</v>
      </c>
      <c r="G35" s="1">
        <v>6821</v>
      </c>
      <c r="H35" s="2">
        <v>1.4873560561623599E-2</v>
      </c>
      <c r="I35" s="15">
        <v>4.7845312548224104E-3</v>
      </c>
    </row>
    <row r="36" spans="1:9" x14ac:dyDescent="0.35">
      <c r="A36" s="14">
        <v>45790</v>
      </c>
      <c r="B36" t="s">
        <v>406</v>
      </c>
      <c r="C36" t="s">
        <v>8</v>
      </c>
      <c r="D36" s="1">
        <v>89133</v>
      </c>
      <c r="E36" s="1">
        <v>30698</v>
      </c>
      <c r="F36" s="2">
        <v>0.34440667317379597</v>
      </c>
      <c r="G36" s="1">
        <v>624</v>
      </c>
      <c r="H36" s="2">
        <v>2.03270571372728E-2</v>
      </c>
      <c r="I36" s="15">
        <v>7.0007741240618003E-3</v>
      </c>
    </row>
    <row r="37" spans="1:9" ht="16" thickBot="1" x14ac:dyDescent="0.4">
      <c r="A37" s="22" t="s">
        <v>13</v>
      </c>
      <c r="B37" s="4"/>
      <c r="C37" s="4"/>
      <c r="D37" s="19">
        <f>SUM(D33:D36)</f>
        <v>6718348</v>
      </c>
      <c r="E37" s="19">
        <f>SUM(E33:E36)</f>
        <v>1934187</v>
      </c>
      <c r="F37" s="20">
        <f>AVERAGE(F33:F36)</f>
        <v>0.30548041983984703</v>
      </c>
      <c r="G37" s="19">
        <f>SUM(G33:G36)</f>
        <v>18570</v>
      </c>
      <c r="H37" s="20">
        <f>AVERAGE(H33:H36)</f>
        <v>1.274921801045764E-2</v>
      </c>
      <c r="I37" s="21">
        <f>AVERAGE(I33:I36)</f>
        <v>4.0438711413409E-3</v>
      </c>
    </row>
    <row r="38" spans="1:9" ht="3" customHeight="1" thickBot="1" x14ac:dyDescent="0.4">
      <c r="A38" s="127"/>
      <c r="B38" s="128"/>
      <c r="C38" s="128"/>
      <c r="D38" s="128"/>
      <c r="E38" s="128"/>
      <c r="F38" s="128"/>
      <c r="G38" s="128"/>
      <c r="H38" s="128"/>
      <c r="I38" s="129"/>
    </row>
    <row r="39" spans="1:9" x14ac:dyDescent="0.35">
      <c r="A39" s="10" t="s">
        <v>216</v>
      </c>
      <c r="B39" s="11"/>
      <c r="C39" s="11"/>
      <c r="D39" s="11"/>
      <c r="E39" s="11"/>
      <c r="F39" s="11"/>
      <c r="G39" s="11"/>
      <c r="H39" s="11"/>
      <c r="I39" s="12"/>
    </row>
    <row r="40" spans="1:9" x14ac:dyDescent="0.35">
      <c r="A40" s="14">
        <v>45786</v>
      </c>
      <c r="B40" t="s">
        <v>396</v>
      </c>
      <c r="C40" t="s">
        <v>7</v>
      </c>
      <c r="D40" s="1">
        <v>913242</v>
      </c>
      <c r="E40" s="1">
        <v>286334</v>
      </c>
      <c r="F40" s="2">
        <v>0.31353573313535699</v>
      </c>
      <c r="G40" s="1">
        <v>1680</v>
      </c>
      <c r="H40" s="2">
        <v>5.8672738829478903E-3</v>
      </c>
      <c r="I40" s="15">
        <v>1.839600018396E-3</v>
      </c>
    </row>
    <row r="41" spans="1:9" x14ac:dyDescent="0.35">
      <c r="A41" s="14">
        <v>45787</v>
      </c>
      <c r="B41" t="s">
        <v>398</v>
      </c>
      <c r="C41" t="s">
        <v>399</v>
      </c>
      <c r="D41" s="1">
        <v>92391</v>
      </c>
      <c r="E41" s="1">
        <v>40960</v>
      </c>
      <c r="F41" s="2">
        <v>0.44333322509768303</v>
      </c>
      <c r="G41" s="1">
        <v>2257</v>
      </c>
      <c r="H41" s="2">
        <v>5.5102539062499997E-2</v>
      </c>
      <c r="I41" s="15">
        <v>2.4428786353649201E-2</v>
      </c>
    </row>
    <row r="42" spans="1:9" x14ac:dyDescent="0.35">
      <c r="A42" s="14">
        <v>45787</v>
      </c>
      <c r="B42" t="s">
        <v>398</v>
      </c>
      <c r="C42" t="s">
        <v>400</v>
      </c>
      <c r="D42" s="1">
        <v>3273904</v>
      </c>
      <c r="E42" s="1">
        <v>1230601</v>
      </c>
      <c r="F42" s="2">
        <v>0.375881821824953</v>
      </c>
      <c r="G42" s="1">
        <v>15047</v>
      </c>
      <c r="H42" s="2">
        <v>1.2227358827109701E-2</v>
      </c>
      <c r="I42" s="15">
        <v>4.5960419120414002E-3</v>
      </c>
    </row>
    <row r="43" spans="1:9" x14ac:dyDescent="0.35">
      <c r="A43" s="14">
        <v>45787</v>
      </c>
      <c r="B43" t="s">
        <v>398</v>
      </c>
      <c r="C43" t="s">
        <v>401</v>
      </c>
      <c r="D43" s="1">
        <v>3947</v>
      </c>
      <c r="E43" s="1">
        <v>1743</v>
      </c>
      <c r="F43" s="2">
        <v>0.441601216113504</v>
      </c>
      <c r="G43" s="1">
        <v>83</v>
      </c>
      <c r="H43" s="2">
        <v>4.7619047619047603E-2</v>
      </c>
      <c r="I43" s="15">
        <v>2.1028629338738301E-2</v>
      </c>
    </row>
    <row r="44" spans="1:9" x14ac:dyDescent="0.35">
      <c r="A44" s="14">
        <v>45787</v>
      </c>
      <c r="B44" t="s">
        <v>398</v>
      </c>
      <c r="C44" t="s">
        <v>402</v>
      </c>
      <c r="D44" s="1">
        <v>166031</v>
      </c>
      <c r="E44" s="1">
        <v>67003</v>
      </c>
      <c r="F44" s="2">
        <v>0.403557167035072</v>
      </c>
      <c r="G44" s="1">
        <v>1447</v>
      </c>
      <c r="H44" s="2">
        <v>2.1596047938152001E-2</v>
      </c>
      <c r="I44" s="15">
        <v>8.7152399250742304E-3</v>
      </c>
    </row>
    <row r="45" spans="1:9" x14ac:dyDescent="0.35">
      <c r="A45" s="14">
        <v>45789</v>
      </c>
      <c r="B45" t="s">
        <v>403</v>
      </c>
      <c r="C45" t="s">
        <v>7</v>
      </c>
      <c r="D45" s="1">
        <v>4763</v>
      </c>
      <c r="E45" s="1">
        <v>1759</v>
      </c>
      <c r="F45" s="2">
        <v>0.36930505983623801</v>
      </c>
      <c r="G45" s="1">
        <v>90</v>
      </c>
      <c r="H45" s="2">
        <v>5.1165434906196697E-2</v>
      </c>
      <c r="I45" s="15">
        <v>1.8895653999580101E-2</v>
      </c>
    </row>
    <row r="46" spans="1:9" x14ac:dyDescent="0.35">
      <c r="A46" s="14">
        <v>45789</v>
      </c>
      <c r="B46" t="s">
        <v>404</v>
      </c>
      <c r="C46" t="s">
        <v>7</v>
      </c>
      <c r="D46" s="1">
        <v>1959484</v>
      </c>
      <c r="E46" s="1">
        <v>789090</v>
      </c>
      <c r="F46" s="2">
        <v>0.40270295649262799</v>
      </c>
      <c r="G46" s="1">
        <v>9275</v>
      </c>
      <c r="H46" s="2">
        <v>1.1754045799591901E-2</v>
      </c>
      <c r="I46" s="15">
        <v>4.7333889942454202E-3</v>
      </c>
    </row>
    <row r="47" spans="1:9" x14ac:dyDescent="0.35">
      <c r="A47" s="14">
        <v>45789</v>
      </c>
      <c r="B47" t="s">
        <v>404</v>
      </c>
      <c r="C47" t="s">
        <v>8</v>
      </c>
      <c r="D47" s="1">
        <v>91090</v>
      </c>
      <c r="E47" s="1">
        <v>37670</v>
      </c>
      <c r="F47" s="2">
        <v>0.41354704138763898</v>
      </c>
      <c r="G47" s="1">
        <v>664</v>
      </c>
      <c r="H47" s="2">
        <v>1.7626758693920899E-2</v>
      </c>
      <c r="I47" s="15">
        <v>7.2894939071248199E-3</v>
      </c>
    </row>
    <row r="48" spans="1:9" x14ac:dyDescent="0.35">
      <c r="A48" s="14">
        <v>45789</v>
      </c>
      <c r="B48" t="s">
        <v>405</v>
      </c>
      <c r="C48" t="s">
        <v>7</v>
      </c>
      <c r="D48" s="1">
        <v>3163</v>
      </c>
      <c r="E48" s="1">
        <v>1476</v>
      </c>
      <c r="F48" s="2">
        <v>0.466645589630098</v>
      </c>
      <c r="G48" s="1">
        <v>39</v>
      </c>
      <c r="H48" s="2">
        <v>2.6422764227642299E-2</v>
      </c>
      <c r="I48" s="15">
        <v>1.23300663926652E-2</v>
      </c>
    </row>
    <row r="49" spans="1:9" x14ac:dyDescent="0.35">
      <c r="A49" s="14">
        <v>45789</v>
      </c>
      <c r="B49" t="s">
        <v>405</v>
      </c>
      <c r="C49" t="s">
        <v>8</v>
      </c>
      <c r="D49" s="1">
        <v>642</v>
      </c>
      <c r="E49" s="1">
        <v>298</v>
      </c>
      <c r="F49" s="2">
        <v>0.46417445482865999</v>
      </c>
      <c r="G49" s="1">
        <v>14</v>
      </c>
      <c r="H49" s="2">
        <v>4.6979865771812103E-2</v>
      </c>
      <c r="I49" s="15">
        <v>2.1806853582554499E-2</v>
      </c>
    </row>
    <row r="50" spans="1:9" x14ac:dyDescent="0.35">
      <c r="A50" s="14">
        <v>45790</v>
      </c>
      <c r="B50" t="s">
        <v>407</v>
      </c>
      <c r="C50" t="s">
        <v>7</v>
      </c>
      <c r="D50" s="1">
        <v>772552</v>
      </c>
      <c r="E50" s="1">
        <v>250952</v>
      </c>
      <c r="F50" s="2">
        <v>0.32483509200675198</v>
      </c>
      <c r="G50" s="1">
        <v>1005</v>
      </c>
      <c r="H50" s="2">
        <v>4.0047499123338302E-3</v>
      </c>
      <c r="I50" s="15">
        <v>1.3008833062369901E-3</v>
      </c>
    </row>
    <row r="51" spans="1:9" x14ac:dyDescent="0.35">
      <c r="A51" s="14">
        <v>45790</v>
      </c>
      <c r="B51" t="s">
        <v>407</v>
      </c>
      <c r="C51" t="s">
        <v>8</v>
      </c>
      <c r="D51" s="1">
        <v>43220</v>
      </c>
      <c r="E51" s="1">
        <v>15949</v>
      </c>
      <c r="F51" s="2">
        <v>0.36901897269782502</v>
      </c>
      <c r="G51" s="1">
        <v>209</v>
      </c>
      <c r="H51" s="2">
        <v>1.3104269860179299E-2</v>
      </c>
      <c r="I51" s="15">
        <v>4.8357242017584498E-3</v>
      </c>
    </row>
    <row r="52" spans="1:9" x14ac:dyDescent="0.35">
      <c r="A52" s="14">
        <v>45791</v>
      </c>
      <c r="B52" t="s">
        <v>408</v>
      </c>
      <c r="C52" t="s">
        <v>7</v>
      </c>
      <c r="D52" s="1">
        <v>2618</v>
      </c>
      <c r="E52" s="1">
        <v>1587</v>
      </c>
      <c r="F52" s="2">
        <v>0.60618792971734103</v>
      </c>
      <c r="G52" s="1">
        <v>18</v>
      </c>
      <c r="H52" s="2">
        <v>1.13421550094518E-2</v>
      </c>
      <c r="I52" s="15">
        <v>6.8754774637127597E-3</v>
      </c>
    </row>
    <row r="53" spans="1:9" x14ac:dyDescent="0.35">
      <c r="A53" s="14">
        <v>45791</v>
      </c>
      <c r="B53" t="s">
        <v>408</v>
      </c>
      <c r="C53" t="s">
        <v>8</v>
      </c>
      <c r="D53" s="1">
        <v>482</v>
      </c>
      <c r="E53" s="1">
        <v>307</v>
      </c>
      <c r="F53" s="2">
        <v>0.63692946058091304</v>
      </c>
      <c r="G53" s="1">
        <v>2</v>
      </c>
      <c r="H53" s="2">
        <v>6.5146579804560298E-3</v>
      </c>
      <c r="I53" s="15">
        <v>4.1493775933610002E-3</v>
      </c>
    </row>
    <row r="54" spans="1:9" x14ac:dyDescent="0.35">
      <c r="A54" s="14">
        <v>45791</v>
      </c>
      <c r="B54" t="s">
        <v>409</v>
      </c>
      <c r="C54" t="s">
        <v>7</v>
      </c>
      <c r="D54" s="1">
        <v>42261</v>
      </c>
      <c r="E54" s="1">
        <v>15173</v>
      </c>
      <c r="F54" s="2">
        <v>0.35903078488440898</v>
      </c>
      <c r="G54" s="1">
        <v>144</v>
      </c>
      <c r="H54" s="2">
        <v>9.4905424108613998E-3</v>
      </c>
      <c r="I54" s="15">
        <v>3.4073968907503398E-3</v>
      </c>
    </row>
    <row r="55" spans="1:9" x14ac:dyDescent="0.35">
      <c r="A55" s="14">
        <v>45791</v>
      </c>
      <c r="B55" t="s">
        <v>410</v>
      </c>
      <c r="C55" t="s">
        <v>7</v>
      </c>
      <c r="D55" s="1">
        <v>20034</v>
      </c>
      <c r="E55" s="1">
        <v>8005</v>
      </c>
      <c r="F55" s="2">
        <v>0.39957072975940899</v>
      </c>
      <c r="G55" s="1">
        <v>22</v>
      </c>
      <c r="H55" s="2">
        <v>2.74828232354778E-3</v>
      </c>
      <c r="I55" s="15">
        <v>1.0981331736048699E-3</v>
      </c>
    </row>
    <row r="56" spans="1:9" x14ac:dyDescent="0.35">
      <c r="A56" s="14">
        <v>45792</v>
      </c>
      <c r="B56" t="s">
        <v>411</v>
      </c>
      <c r="C56" t="s">
        <v>412</v>
      </c>
      <c r="D56" s="1">
        <v>318025</v>
      </c>
      <c r="E56" s="1">
        <v>125434</v>
      </c>
      <c r="F56" s="2">
        <v>0.394415533370018</v>
      </c>
      <c r="G56" s="1">
        <v>2027</v>
      </c>
      <c r="H56" s="2">
        <v>1.6159892852017799E-2</v>
      </c>
      <c r="I56" s="15">
        <v>6.3737127584309397E-3</v>
      </c>
    </row>
    <row r="57" spans="1:9" x14ac:dyDescent="0.35">
      <c r="A57" s="14">
        <v>45792</v>
      </c>
      <c r="B57" t="s">
        <v>411</v>
      </c>
      <c r="C57" t="s">
        <v>413</v>
      </c>
      <c r="D57" s="1">
        <v>611814</v>
      </c>
      <c r="E57" s="1">
        <v>234707</v>
      </c>
      <c r="F57" s="2">
        <v>0.38362476177400301</v>
      </c>
      <c r="G57" s="1">
        <v>3768</v>
      </c>
      <c r="H57" s="2">
        <v>1.60540588904464E-2</v>
      </c>
      <c r="I57" s="15">
        <v>6.1587345173533103E-3</v>
      </c>
    </row>
    <row r="58" spans="1:9" x14ac:dyDescent="0.35">
      <c r="A58" s="14">
        <v>45792</v>
      </c>
      <c r="B58" t="s">
        <v>411</v>
      </c>
      <c r="C58" t="s">
        <v>414</v>
      </c>
      <c r="D58" s="1">
        <v>810834</v>
      </c>
      <c r="E58" s="1">
        <v>291439</v>
      </c>
      <c r="F58" s="2">
        <v>0.35943115360234001</v>
      </c>
      <c r="G58" s="1">
        <v>3753</v>
      </c>
      <c r="H58" s="2">
        <v>1.28774803646732E-2</v>
      </c>
      <c r="I58" s="15">
        <v>4.6285676229659801E-3</v>
      </c>
    </row>
    <row r="59" spans="1:9" x14ac:dyDescent="0.35">
      <c r="A59" s="14">
        <v>45792</v>
      </c>
      <c r="B59" t="s">
        <v>411</v>
      </c>
      <c r="C59" t="s">
        <v>415</v>
      </c>
      <c r="D59" s="1">
        <v>15407</v>
      </c>
      <c r="E59" s="1">
        <v>6450</v>
      </c>
      <c r="F59" s="2">
        <v>0.418640877523204</v>
      </c>
      <c r="G59" s="1">
        <v>177</v>
      </c>
      <c r="H59" s="2">
        <v>2.7441860465116302E-2</v>
      </c>
      <c r="I59" s="15">
        <v>1.14882845459856E-2</v>
      </c>
    </row>
    <row r="60" spans="1:9" x14ac:dyDescent="0.35">
      <c r="A60" s="14">
        <v>45792</v>
      </c>
      <c r="B60" t="s">
        <v>411</v>
      </c>
      <c r="C60" t="s">
        <v>416</v>
      </c>
      <c r="D60" s="1">
        <v>34247</v>
      </c>
      <c r="E60" s="1">
        <v>13880</v>
      </c>
      <c r="F60" s="2">
        <v>0.40529097439191802</v>
      </c>
      <c r="G60" s="1">
        <v>367</v>
      </c>
      <c r="H60" s="2">
        <v>2.64409221902017E-2</v>
      </c>
      <c r="I60" s="15">
        <v>1.0716267118287701E-2</v>
      </c>
    </row>
    <row r="61" spans="1:9" x14ac:dyDescent="0.35">
      <c r="A61" s="14">
        <v>45792</v>
      </c>
      <c r="B61" t="s">
        <v>411</v>
      </c>
      <c r="C61" t="s">
        <v>417</v>
      </c>
      <c r="D61" s="1">
        <v>43130</v>
      </c>
      <c r="E61" s="1">
        <v>16177</v>
      </c>
      <c r="F61" s="2">
        <v>0.37507535358219302</v>
      </c>
      <c r="G61" s="1">
        <v>356</v>
      </c>
      <c r="H61" s="2">
        <v>2.2006552512826901E-2</v>
      </c>
      <c r="I61" s="15">
        <v>8.2541154648736407E-3</v>
      </c>
    </row>
    <row r="62" spans="1:9" x14ac:dyDescent="0.35">
      <c r="A62" s="14">
        <v>45792</v>
      </c>
      <c r="B62" t="s">
        <v>418</v>
      </c>
      <c r="C62" t="s">
        <v>7</v>
      </c>
      <c r="D62" s="1">
        <v>239</v>
      </c>
      <c r="E62" s="1">
        <v>94</v>
      </c>
      <c r="F62" s="2">
        <v>0.39330543933054402</v>
      </c>
      <c r="G62" s="1">
        <v>3</v>
      </c>
      <c r="H62" s="2">
        <v>3.1914893617021302E-2</v>
      </c>
      <c r="I62" s="15">
        <v>1.2552301255230099E-2</v>
      </c>
    </row>
    <row r="63" spans="1:9" ht="16" thickBot="1" x14ac:dyDescent="0.4">
      <c r="A63" s="22" t="s">
        <v>13</v>
      </c>
      <c r="B63" s="4"/>
      <c r="C63" s="4"/>
      <c r="D63" s="19">
        <f>SUM(D40:D62)</f>
        <v>9223520</v>
      </c>
      <c r="E63" s="19">
        <f>SUM(E40:E62)</f>
        <v>3437088</v>
      </c>
      <c r="F63" s="20">
        <f>AVERAGE(F40:F62)</f>
        <v>0.41389744906968262</v>
      </c>
      <c r="G63" s="19">
        <f>SUM(G40:G62)</f>
        <v>42447</v>
      </c>
      <c r="H63" s="20">
        <f>AVERAGE(H40:H62)</f>
        <v>2.1585280657306739E-2</v>
      </c>
      <c r="I63" s="21">
        <f>AVERAGE(I40:I62)</f>
        <v>9.0218578407226472E-3</v>
      </c>
    </row>
    <row r="64" spans="1:9" ht="3" customHeight="1" x14ac:dyDescent="0.35"/>
    <row r="69" spans="3:9" x14ac:dyDescent="0.35">
      <c r="C69" s="1"/>
      <c r="D69" s="1"/>
      <c r="E69" s="3"/>
      <c r="G69" s="3"/>
      <c r="H69" s="3"/>
    </row>
    <row r="70" spans="3:9" x14ac:dyDescent="0.35">
      <c r="C70" s="1"/>
      <c r="D70" s="1"/>
      <c r="E70" s="3"/>
      <c r="G70" s="3"/>
      <c r="H70" s="3"/>
    </row>
    <row r="71" spans="3:9" x14ac:dyDescent="0.35">
      <c r="C71" s="1"/>
      <c r="D71" s="1"/>
      <c r="E71" s="3"/>
      <c r="G71" s="3"/>
      <c r="H71" s="3"/>
    </row>
    <row r="72" spans="3:9" x14ac:dyDescent="0.35">
      <c r="D72" s="1"/>
      <c r="E72" s="1"/>
      <c r="F72" s="3"/>
      <c r="H72" s="3"/>
      <c r="I72" s="3"/>
    </row>
    <row r="73" spans="3:9" x14ac:dyDescent="0.35">
      <c r="D73" s="1"/>
      <c r="E73" s="1"/>
      <c r="F73" s="3"/>
      <c r="H73" s="3"/>
      <c r="I73" s="3"/>
    </row>
    <row r="74" spans="3:9" x14ac:dyDescent="0.35">
      <c r="D74" s="1"/>
      <c r="E74" s="1"/>
      <c r="F74" s="3"/>
      <c r="H74" s="3"/>
      <c r="I74" s="3"/>
    </row>
    <row r="75" spans="3:9" x14ac:dyDescent="0.35">
      <c r="D75" s="1"/>
      <c r="E75" s="1"/>
      <c r="F75" s="3"/>
      <c r="H75" s="3"/>
      <c r="I75" s="3"/>
    </row>
  </sheetData>
  <mergeCells count="2">
    <mergeCell ref="A30:I30"/>
    <mergeCell ref="A38:I38"/>
  </mergeCells>
  <pageMargins left="0.7" right="0.7" top="0.75" bottom="0.75" header="0.3" footer="0.3"/>
  <ignoredErrors>
    <ignoredError sqref="F29:G29 F63:G63 F37:G37" formula="1"/>
  </ignoredErrors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DD35-8B87-46EF-A54C-C8B858012638}">
  <dimension ref="A1:I91"/>
  <sheetViews>
    <sheetView workbookViewId="0">
      <selection activeCell="A2" sqref="A2"/>
    </sheetView>
  </sheetViews>
  <sheetFormatPr defaultRowHeight="14.5" x14ac:dyDescent="0.35"/>
  <cols>
    <col min="1" max="1" width="11.90625" customWidth="1"/>
    <col min="2" max="2" width="103.453125" bestFit="1" customWidth="1"/>
    <col min="3" max="3" width="45.54296875" bestFit="1" customWidth="1"/>
    <col min="4" max="4" width="13" customWidth="1"/>
    <col min="5" max="5" width="14.54296875" customWidth="1"/>
    <col min="6" max="6" width="18.6328125" bestFit="1" customWidth="1"/>
    <col min="7" max="7" width="13.08984375" customWidth="1"/>
    <col min="8" max="8" width="9.36328125" customWidth="1"/>
    <col min="9" max="9" width="8" customWidth="1"/>
  </cols>
  <sheetData>
    <row r="1" spans="1:9" ht="17.5" customHeight="1" x14ac:dyDescent="0.35">
      <c r="A1" s="27" t="s">
        <v>9</v>
      </c>
      <c r="B1" s="28" t="s">
        <v>0</v>
      </c>
      <c r="C1" s="28" t="s">
        <v>16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9" t="s">
        <v>6</v>
      </c>
    </row>
    <row r="2" spans="1:9" x14ac:dyDescent="0.35">
      <c r="A2" s="13">
        <v>45793</v>
      </c>
      <c r="B2" t="s">
        <v>422</v>
      </c>
      <c r="C2" t="s">
        <v>7</v>
      </c>
      <c r="D2" s="1">
        <v>4892473</v>
      </c>
      <c r="E2" s="1">
        <v>1345229</v>
      </c>
      <c r="F2" s="2">
        <v>0.27495890115285299</v>
      </c>
      <c r="G2" s="1">
        <v>12586</v>
      </c>
      <c r="H2" s="2">
        <v>9.3560278584538404E-3</v>
      </c>
      <c r="I2" s="2">
        <v>2.5725231391159399E-3</v>
      </c>
    </row>
    <row r="3" spans="1:9" x14ac:dyDescent="0.35">
      <c r="A3" s="13">
        <v>45793</v>
      </c>
      <c r="B3" t="s">
        <v>422</v>
      </c>
      <c r="C3" t="s">
        <v>8</v>
      </c>
      <c r="D3" s="1">
        <v>314306</v>
      </c>
      <c r="E3" s="1">
        <v>98856</v>
      </c>
      <c r="F3" s="2">
        <v>0.31452151724752297</v>
      </c>
      <c r="G3" s="1">
        <v>1041</v>
      </c>
      <c r="H3" s="2">
        <v>1.05304685603302E-2</v>
      </c>
      <c r="I3" s="2">
        <v>3.31205894892239E-3</v>
      </c>
    </row>
    <row r="4" spans="1:9" x14ac:dyDescent="0.35">
      <c r="A4" s="13">
        <v>45793</v>
      </c>
      <c r="B4" t="s">
        <v>423</v>
      </c>
      <c r="C4" t="s">
        <v>7</v>
      </c>
      <c r="D4" s="1">
        <v>6332875</v>
      </c>
      <c r="E4" s="1">
        <v>2226924</v>
      </c>
      <c r="F4" s="2">
        <v>0.35164502694273903</v>
      </c>
      <c r="G4" s="1">
        <v>17234</v>
      </c>
      <c r="H4" s="2">
        <v>7.73892598041065E-3</v>
      </c>
      <c r="I4" s="2">
        <v>2.7213548348893699E-3</v>
      </c>
    </row>
    <row r="5" spans="1:9" x14ac:dyDescent="0.35">
      <c r="A5" s="13">
        <v>45793</v>
      </c>
      <c r="B5" t="s">
        <v>423</v>
      </c>
      <c r="C5" t="s">
        <v>8</v>
      </c>
      <c r="D5" s="1">
        <v>403995</v>
      </c>
      <c r="E5" s="1">
        <v>140646</v>
      </c>
      <c r="F5" s="2">
        <v>0.348137972004604</v>
      </c>
      <c r="G5" s="1">
        <v>1375</v>
      </c>
      <c r="H5" s="2">
        <v>9.7763178476458594E-3</v>
      </c>
      <c r="I5" s="2">
        <v>3.4035074691518498E-3</v>
      </c>
    </row>
    <row r="6" spans="1:9" x14ac:dyDescent="0.35">
      <c r="A6" s="13">
        <v>45793</v>
      </c>
      <c r="B6" t="s">
        <v>424</v>
      </c>
      <c r="C6" t="s">
        <v>7</v>
      </c>
      <c r="D6" s="1">
        <v>2116</v>
      </c>
      <c r="E6" s="1">
        <v>987</v>
      </c>
      <c r="F6" s="2">
        <v>0.46644612476370501</v>
      </c>
      <c r="G6" s="1">
        <v>28</v>
      </c>
      <c r="H6" s="2">
        <v>2.8368794326241099E-2</v>
      </c>
      <c r="I6" s="2">
        <v>1.32325141776938E-2</v>
      </c>
    </row>
    <row r="7" spans="1:9" x14ac:dyDescent="0.35">
      <c r="A7" s="13">
        <v>45793</v>
      </c>
      <c r="B7" t="s">
        <v>424</v>
      </c>
      <c r="C7" t="s">
        <v>8</v>
      </c>
      <c r="D7" s="1">
        <v>505</v>
      </c>
      <c r="E7" s="1">
        <v>212</v>
      </c>
      <c r="F7" s="2">
        <v>0.41980198019802001</v>
      </c>
      <c r="G7" s="1">
        <v>8</v>
      </c>
      <c r="H7" s="2">
        <v>3.77358490566038E-2</v>
      </c>
      <c r="I7" s="2">
        <v>1.58415841584158E-2</v>
      </c>
    </row>
    <row r="8" spans="1:9" x14ac:dyDescent="0.35">
      <c r="A8" s="13">
        <v>45794</v>
      </c>
      <c r="B8" t="s">
        <v>425</v>
      </c>
      <c r="C8" t="s">
        <v>7</v>
      </c>
      <c r="D8" s="1">
        <v>1304403</v>
      </c>
      <c r="E8" s="1">
        <v>475281</v>
      </c>
      <c r="F8" s="2">
        <v>0.36436668728912802</v>
      </c>
      <c r="G8" s="1">
        <v>5901</v>
      </c>
      <c r="H8" s="2">
        <v>1.2415812961174499E-2</v>
      </c>
      <c r="I8" s="2">
        <v>4.5239086386645797E-3</v>
      </c>
    </row>
    <row r="9" spans="1:9" x14ac:dyDescent="0.35">
      <c r="A9" s="13">
        <v>45794</v>
      </c>
      <c r="B9" t="s">
        <v>425</v>
      </c>
      <c r="C9" t="s">
        <v>8</v>
      </c>
      <c r="D9" s="1">
        <v>94501</v>
      </c>
      <c r="E9" s="1">
        <v>31951</v>
      </c>
      <c r="F9" s="2">
        <v>0.33810224230431402</v>
      </c>
      <c r="G9" s="1">
        <v>683</v>
      </c>
      <c r="H9" s="2">
        <v>2.1376482739194399E-2</v>
      </c>
      <c r="I9" s="2">
        <v>7.2274367467010901E-3</v>
      </c>
    </row>
    <row r="10" spans="1:9" x14ac:dyDescent="0.35">
      <c r="A10" s="13">
        <v>45794</v>
      </c>
      <c r="B10" t="s">
        <v>411</v>
      </c>
      <c r="C10" t="s">
        <v>426</v>
      </c>
      <c r="D10" s="1">
        <v>312216</v>
      </c>
      <c r="E10" s="1">
        <v>131048</v>
      </c>
      <c r="F10" s="2">
        <v>0.419735055218182</v>
      </c>
      <c r="G10" s="1">
        <v>1915</v>
      </c>
      <c r="H10" s="2">
        <v>1.4612966241377199E-2</v>
      </c>
      <c r="I10" s="2">
        <v>6.1335741922259003E-3</v>
      </c>
    </row>
    <row r="11" spans="1:9" x14ac:dyDescent="0.35">
      <c r="A11" s="13">
        <v>45794</v>
      </c>
      <c r="B11" t="s">
        <v>411</v>
      </c>
      <c r="C11" t="s">
        <v>427</v>
      </c>
      <c r="D11" s="1">
        <v>609412</v>
      </c>
      <c r="E11" s="1">
        <v>247932</v>
      </c>
      <c r="F11" s="2">
        <v>0.40683806685788898</v>
      </c>
      <c r="G11" s="1">
        <v>3906</v>
      </c>
      <c r="H11" s="2">
        <v>1.5754319732830001E-2</v>
      </c>
      <c r="I11" s="2">
        <v>6.4094569847656397E-3</v>
      </c>
    </row>
    <row r="12" spans="1:9" x14ac:dyDescent="0.35">
      <c r="A12" s="13">
        <v>45794</v>
      </c>
      <c r="B12" t="s">
        <v>411</v>
      </c>
      <c r="C12" t="s">
        <v>428</v>
      </c>
      <c r="D12" s="1">
        <v>809883</v>
      </c>
      <c r="E12" s="1">
        <v>309581</v>
      </c>
      <c r="F12" s="2">
        <v>0.38225397989586202</v>
      </c>
      <c r="G12" s="1">
        <v>4016</v>
      </c>
      <c r="H12" s="2">
        <v>1.29723723355115E-2</v>
      </c>
      <c r="I12" s="2">
        <v>4.9587409539402598E-3</v>
      </c>
    </row>
    <row r="13" spans="1:9" x14ac:dyDescent="0.35">
      <c r="A13" s="13">
        <v>45794</v>
      </c>
      <c r="B13" t="s">
        <v>411</v>
      </c>
      <c r="C13" t="s">
        <v>429</v>
      </c>
      <c r="D13" s="1">
        <v>15141</v>
      </c>
      <c r="E13" s="1">
        <v>6718</v>
      </c>
      <c r="F13" s="2">
        <v>0.44369592497193</v>
      </c>
      <c r="G13" s="1">
        <v>181</v>
      </c>
      <c r="H13" s="2">
        <v>2.69425424233403E-2</v>
      </c>
      <c r="I13" s="2">
        <v>1.1954296281619399E-2</v>
      </c>
    </row>
    <row r="14" spans="1:9" x14ac:dyDescent="0.35">
      <c r="A14" s="13">
        <v>45794</v>
      </c>
      <c r="B14" t="s">
        <v>411</v>
      </c>
      <c r="C14" t="s">
        <v>430</v>
      </c>
      <c r="D14" s="1">
        <v>34120</v>
      </c>
      <c r="E14" s="1">
        <v>14682</v>
      </c>
      <c r="F14" s="2">
        <v>0.43030480656506398</v>
      </c>
      <c r="G14" s="1">
        <v>412</v>
      </c>
      <c r="H14" s="2">
        <v>2.8061571992916499E-2</v>
      </c>
      <c r="I14" s="2">
        <v>1.20750293083236E-2</v>
      </c>
    </row>
    <row r="15" spans="1:9" x14ac:dyDescent="0.35">
      <c r="A15" s="13">
        <v>45794</v>
      </c>
      <c r="B15" t="s">
        <v>411</v>
      </c>
      <c r="C15" t="s">
        <v>431</v>
      </c>
      <c r="D15" s="1">
        <v>43069</v>
      </c>
      <c r="E15" s="1">
        <v>17157</v>
      </c>
      <c r="F15" s="2">
        <v>0.398360769927326</v>
      </c>
      <c r="G15" s="1">
        <v>402</v>
      </c>
      <c r="H15" s="2">
        <v>2.3430669697499601E-2</v>
      </c>
      <c r="I15" s="2">
        <v>9.33385962060879E-3</v>
      </c>
    </row>
    <row r="16" spans="1:9" x14ac:dyDescent="0.35">
      <c r="A16" s="13">
        <v>45794</v>
      </c>
      <c r="B16" t="s">
        <v>432</v>
      </c>
      <c r="C16" t="s">
        <v>433</v>
      </c>
      <c r="D16" s="1">
        <v>905</v>
      </c>
      <c r="E16" s="1">
        <v>787</v>
      </c>
      <c r="F16" s="2">
        <v>0.869613259668508</v>
      </c>
      <c r="G16" s="1">
        <v>52</v>
      </c>
      <c r="H16" s="2">
        <v>6.6073697585768698E-2</v>
      </c>
      <c r="I16" s="2">
        <v>5.7458563535911597E-2</v>
      </c>
    </row>
    <row r="17" spans="1:9" x14ac:dyDescent="0.35">
      <c r="A17" s="13">
        <v>45795</v>
      </c>
      <c r="B17" t="s">
        <v>434</v>
      </c>
      <c r="C17" t="s">
        <v>7</v>
      </c>
      <c r="D17" s="1">
        <v>125729</v>
      </c>
      <c r="E17" s="1">
        <v>55350</v>
      </c>
      <c r="F17" s="2">
        <v>0.440232563688568</v>
      </c>
      <c r="G17" s="1">
        <v>825</v>
      </c>
      <c r="H17" s="2">
        <v>1.4905149051490501E-2</v>
      </c>
      <c r="I17" s="2">
        <v>6.5617319790979003E-3</v>
      </c>
    </row>
    <row r="18" spans="1:9" x14ac:dyDescent="0.35">
      <c r="A18" s="13">
        <v>45795</v>
      </c>
      <c r="B18" t="s">
        <v>434</v>
      </c>
      <c r="C18" t="s">
        <v>8</v>
      </c>
      <c r="D18" s="1">
        <v>5718</v>
      </c>
      <c r="E18" s="1">
        <v>2656</v>
      </c>
      <c r="F18" s="2">
        <v>0.46449807625043699</v>
      </c>
      <c r="G18" s="1">
        <v>37</v>
      </c>
      <c r="H18" s="2">
        <v>1.39307228915663E-2</v>
      </c>
      <c r="I18" s="2">
        <v>6.4707939839104599E-3</v>
      </c>
    </row>
    <row r="19" spans="1:9" x14ac:dyDescent="0.35">
      <c r="A19" s="13">
        <v>45796</v>
      </c>
      <c r="B19" t="s">
        <v>435</v>
      </c>
      <c r="C19" t="s">
        <v>7</v>
      </c>
      <c r="D19" s="1">
        <v>938463</v>
      </c>
      <c r="E19" s="1">
        <v>314473</v>
      </c>
      <c r="F19" s="2">
        <v>0.335093658460696</v>
      </c>
      <c r="G19" s="1">
        <v>1238</v>
      </c>
      <c r="H19" s="2">
        <v>3.9367449669764996E-3</v>
      </c>
      <c r="I19" s="2">
        <v>1.3191782734108899E-3</v>
      </c>
    </row>
    <row r="20" spans="1:9" x14ac:dyDescent="0.35">
      <c r="A20" s="13">
        <v>45796</v>
      </c>
      <c r="B20" t="s">
        <v>436</v>
      </c>
      <c r="C20" t="s">
        <v>7</v>
      </c>
      <c r="D20" s="1">
        <v>98</v>
      </c>
      <c r="E20" s="1">
        <v>44</v>
      </c>
      <c r="F20" s="2">
        <v>0.44897959183673503</v>
      </c>
      <c r="G20" s="1">
        <v>1</v>
      </c>
      <c r="H20" s="2">
        <v>2.27272727272727E-2</v>
      </c>
      <c r="I20" s="2">
        <v>1.02040816326531E-2</v>
      </c>
    </row>
    <row r="21" spans="1:9" x14ac:dyDescent="0.35">
      <c r="A21" s="13">
        <v>45797</v>
      </c>
      <c r="B21" t="s">
        <v>437</v>
      </c>
      <c r="C21" t="s">
        <v>7</v>
      </c>
      <c r="D21" s="1">
        <v>1421607</v>
      </c>
      <c r="E21" s="1">
        <v>458871</v>
      </c>
      <c r="F21" s="2">
        <v>0.32278330087007201</v>
      </c>
      <c r="G21" s="1">
        <v>7697</v>
      </c>
      <c r="H21" s="2">
        <v>1.67737773796993E-2</v>
      </c>
      <c r="I21" s="2">
        <v>5.4142952306790804E-3</v>
      </c>
    </row>
    <row r="22" spans="1:9" x14ac:dyDescent="0.35">
      <c r="A22" s="13">
        <v>45797</v>
      </c>
      <c r="B22" t="s">
        <v>437</v>
      </c>
      <c r="C22" t="s">
        <v>8</v>
      </c>
      <c r="D22" s="1">
        <v>88779</v>
      </c>
      <c r="E22" s="1">
        <v>31210</v>
      </c>
      <c r="F22" s="2">
        <v>0.35154710010250201</v>
      </c>
      <c r="G22" s="1">
        <v>911</v>
      </c>
      <c r="H22" s="2">
        <v>2.9189362383851301E-2</v>
      </c>
      <c r="I22" s="2">
        <v>1.0261435699884001E-2</v>
      </c>
    </row>
    <row r="23" spans="1:9" x14ac:dyDescent="0.35">
      <c r="A23" s="13">
        <v>45797</v>
      </c>
      <c r="B23" t="s">
        <v>438</v>
      </c>
      <c r="C23" t="s">
        <v>344</v>
      </c>
      <c r="D23" s="1">
        <v>18837</v>
      </c>
      <c r="E23" s="1">
        <v>8495</v>
      </c>
      <c r="F23" s="2">
        <v>0.45097414662632102</v>
      </c>
      <c r="G23" s="1">
        <v>1592</v>
      </c>
      <c r="H23" s="2">
        <v>0.187404355503237</v>
      </c>
      <c r="I23" s="2">
        <v>8.4514519297127999E-2</v>
      </c>
    </row>
    <row r="24" spans="1:9" x14ac:dyDescent="0.35">
      <c r="A24" s="13">
        <v>45797</v>
      </c>
      <c r="B24" t="s">
        <v>438</v>
      </c>
      <c r="C24" t="s">
        <v>345</v>
      </c>
      <c r="D24" s="1">
        <v>18360</v>
      </c>
      <c r="E24" s="1">
        <v>7584</v>
      </c>
      <c r="F24" s="2">
        <v>0.41307189542483702</v>
      </c>
      <c r="G24" s="1">
        <v>737</v>
      </c>
      <c r="H24" s="2">
        <v>9.7178270042194106E-2</v>
      </c>
      <c r="I24" s="2">
        <v>4.0141612200435703E-2</v>
      </c>
    </row>
    <row r="25" spans="1:9" x14ac:dyDescent="0.35">
      <c r="A25" s="13">
        <v>45798</v>
      </c>
      <c r="B25" t="s">
        <v>439</v>
      </c>
      <c r="C25" t="s">
        <v>7</v>
      </c>
      <c r="D25" s="1">
        <v>1391</v>
      </c>
      <c r="E25" s="1">
        <v>987</v>
      </c>
      <c r="F25" s="2">
        <v>0.70956146657081198</v>
      </c>
      <c r="G25" s="1">
        <v>38</v>
      </c>
      <c r="H25" s="2">
        <v>3.8500506585612999E-2</v>
      </c>
      <c r="I25" s="2">
        <v>2.7318475916606799E-2</v>
      </c>
    </row>
    <row r="26" spans="1:9" x14ac:dyDescent="0.35">
      <c r="A26" s="13">
        <v>45798</v>
      </c>
      <c r="B26" t="s">
        <v>439</v>
      </c>
      <c r="C26" t="s">
        <v>8</v>
      </c>
      <c r="D26" s="1">
        <v>77</v>
      </c>
      <c r="E26" s="1">
        <v>54</v>
      </c>
      <c r="F26" s="2">
        <v>0.70129870129870098</v>
      </c>
      <c r="G26" s="1">
        <v>1</v>
      </c>
      <c r="H26" s="2">
        <v>1.85185185185185E-2</v>
      </c>
      <c r="I26" s="2">
        <v>1.2987012987013E-2</v>
      </c>
    </row>
    <row r="27" spans="1:9" x14ac:dyDescent="0.35">
      <c r="A27" s="13">
        <v>45798</v>
      </c>
      <c r="B27" t="s">
        <v>440</v>
      </c>
      <c r="C27" t="s">
        <v>7</v>
      </c>
      <c r="D27" s="1">
        <v>910967</v>
      </c>
      <c r="E27" s="1">
        <v>325683</v>
      </c>
      <c r="F27" s="2">
        <v>0.357513499391306</v>
      </c>
      <c r="G27" s="1">
        <v>1354</v>
      </c>
      <c r="H27" s="2">
        <v>4.1574168746910303E-3</v>
      </c>
      <c r="I27" s="2">
        <v>1.4863326552992601E-3</v>
      </c>
    </row>
    <row r="28" spans="1:9" x14ac:dyDescent="0.35">
      <c r="A28" s="13">
        <v>45798</v>
      </c>
      <c r="B28" t="s">
        <v>440</v>
      </c>
      <c r="C28" t="s">
        <v>8</v>
      </c>
      <c r="D28" s="1">
        <v>63920</v>
      </c>
      <c r="E28" s="1">
        <v>24588</v>
      </c>
      <c r="F28" s="2">
        <v>0.38466833541927398</v>
      </c>
      <c r="G28" s="1">
        <v>79</v>
      </c>
      <c r="H28" s="2">
        <v>3.2129494062144099E-3</v>
      </c>
      <c r="I28" s="2">
        <v>1.23591989987484E-3</v>
      </c>
    </row>
    <row r="29" spans="1:9" x14ac:dyDescent="0.35">
      <c r="A29" s="13">
        <v>45798</v>
      </c>
      <c r="B29" t="s">
        <v>441</v>
      </c>
      <c r="C29" t="s">
        <v>7</v>
      </c>
      <c r="D29" s="1">
        <v>133080</v>
      </c>
      <c r="E29" s="1">
        <v>45978</v>
      </c>
      <c r="F29" s="2">
        <v>0.34549143372407598</v>
      </c>
      <c r="G29" s="1">
        <v>164</v>
      </c>
      <c r="H29" s="2">
        <v>3.5669233111488099E-3</v>
      </c>
      <c r="I29" s="2">
        <v>1.23234144875263E-3</v>
      </c>
    </row>
    <row r="30" spans="1:9" x14ac:dyDescent="0.35">
      <c r="A30" s="13">
        <v>45798</v>
      </c>
      <c r="B30" t="s">
        <v>442</v>
      </c>
      <c r="C30" t="s">
        <v>7</v>
      </c>
      <c r="D30" s="1">
        <v>957</v>
      </c>
      <c r="E30" s="1">
        <v>383</v>
      </c>
      <c r="F30" s="2">
        <v>0.40020898641588298</v>
      </c>
      <c r="G30" s="1">
        <v>16</v>
      </c>
      <c r="H30" s="2">
        <v>4.1775456919060101E-2</v>
      </c>
      <c r="I30" s="2">
        <v>1.67189132706374E-2</v>
      </c>
    </row>
    <row r="31" spans="1:9" x14ac:dyDescent="0.35">
      <c r="A31" s="13">
        <v>45799</v>
      </c>
      <c r="B31" t="s">
        <v>443</v>
      </c>
      <c r="C31" t="s">
        <v>7</v>
      </c>
      <c r="D31" s="1">
        <v>198667</v>
      </c>
      <c r="E31" s="1">
        <v>78910</v>
      </c>
      <c r="F31" s="2">
        <v>0.397197320138725</v>
      </c>
      <c r="G31" s="1">
        <v>315</v>
      </c>
      <c r="H31" s="2">
        <v>3.9918894943606602E-3</v>
      </c>
      <c r="I31" s="2">
        <v>1.5855678094499801E-3</v>
      </c>
    </row>
    <row r="32" spans="1:9" x14ac:dyDescent="0.35">
      <c r="A32" s="13">
        <v>45799</v>
      </c>
      <c r="B32" t="s">
        <v>443</v>
      </c>
      <c r="C32" t="s">
        <v>8</v>
      </c>
      <c r="D32" s="1">
        <v>11916</v>
      </c>
      <c r="E32" s="1">
        <v>5288</v>
      </c>
      <c r="F32" s="2">
        <v>0.44377307821416601</v>
      </c>
      <c r="G32" s="1">
        <v>16</v>
      </c>
      <c r="H32" s="2">
        <v>3.0257186081694399E-3</v>
      </c>
      <c r="I32" s="2">
        <v>1.3427324605572301E-3</v>
      </c>
    </row>
    <row r="33" spans="1:9" x14ac:dyDescent="0.35">
      <c r="A33" s="13">
        <v>45799</v>
      </c>
      <c r="B33" t="s">
        <v>444</v>
      </c>
      <c r="C33" t="s">
        <v>110</v>
      </c>
      <c r="D33" s="1">
        <v>27311</v>
      </c>
      <c r="E33" s="1">
        <v>8924</v>
      </c>
      <c r="F33" s="2">
        <v>0.32675478744828101</v>
      </c>
      <c r="G33" s="1">
        <v>36</v>
      </c>
      <c r="H33" s="2">
        <v>4.0340654415060503E-3</v>
      </c>
      <c r="I33" s="2">
        <v>1.31815019589177E-3</v>
      </c>
    </row>
    <row r="34" spans="1:9" x14ac:dyDescent="0.35">
      <c r="A34" s="13">
        <v>45799</v>
      </c>
      <c r="B34" t="s">
        <v>444</v>
      </c>
      <c r="C34" t="s">
        <v>90</v>
      </c>
      <c r="D34" s="1">
        <v>518282</v>
      </c>
      <c r="E34" s="1">
        <v>166339</v>
      </c>
      <c r="F34" s="2">
        <v>0.32094303873181002</v>
      </c>
      <c r="G34" s="1">
        <v>587</v>
      </c>
      <c r="H34" s="2">
        <v>3.52893789189547E-3</v>
      </c>
      <c r="I34" s="2">
        <v>1.13258805052076E-3</v>
      </c>
    </row>
    <row r="35" spans="1:9" x14ac:dyDescent="0.35">
      <c r="A35" s="13">
        <v>45799</v>
      </c>
      <c r="B35" t="s">
        <v>444</v>
      </c>
      <c r="C35" t="s">
        <v>111</v>
      </c>
      <c r="D35" s="1">
        <v>2044</v>
      </c>
      <c r="E35" s="1">
        <v>725</v>
      </c>
      <c r="F35" s="2">
        <v>0.35469667318982401</v>
      </c>
      <c r="G35" s="1">
        <v>4</v>
      </c>
      <c r="H35" s="2">
        <v>5.5172413793103401E-3</v>
      </c>
      <c r="I35" s="2">
        <v>1.95694716242661E-3</v>
      </c>
    </row>
    <row r="36" spans="1:9" x14ac:dyDescent="0.35">
      <c r="A36" s="13">
        <v>45799</v>
      </c>
      <c r="B36" t="s">
        <v>444</v>
      </c>
      <c r="C36" t="s">
        <v>91</v>
      </c>
      <c r="D36" s="1">
        <v>37480</v>
      </c>
      <c r="E36" s="1">
        <v>13513</v>
      </c>
      <c r="F36" s="2">
        <v>0.360538954108858</v>
      </c>
      <c r="G36" s="1">
        <v>46</v>
      </c>
      <c r="H36" s="2">
        <v>3.4041293569155601E-3</v>
      </c>
      <c r="I36" s="2">
        <v>1.2273212379936001E-3</v>
      </c>
    </row>
    <row r="37" spans="1:9" ht="16" thickBot="1" x14ac:dyDescent="0.4">
      <c r="A37" s="23" t="s">
        <v>13</v>
      </c>
      <c r="D37" s="17">
        <f>SUM(D2:D36)</f>
        <v>19693603</v>
      </c>
      <c r="E37" s="17">
        <f>SUM(E2:E36)</f>
        <v>6598046</v>
      </c>
      <c r="F37" s="18">
        <f>AVERAGE(F2:F36)</f>
        <v>0.41596025494055799</v>
      </c>
      <c r="G37" s="17">
        <f>SUM(G2:G36)</f>
        <v>65434</v>
      </c>
      <c r="H37" s="18">
        <f>AVERAGE(H2:H36)</f>
        <v>2.412646365922827E-2</v>
      </c>
      <c r="I37" s="18">
        <f>AVERAGE(I2:I36)</f>
        <v>1.1302524582376367E-2</v>
      </c>
    </row>
    <row r="38" spans="1:9" ht="15" thickBot="1" x14ac:dyDescent="0.4">
      <c r="A38" s="123" t="s">
        <v>19</v>
      </c>
      <c r="B38" s="123"/>
      <c r="C38" s="123"/>
      <c r="D38" s="123"/>
      <c r="E38" s="123"/>
      <c r="F38" s="123"/>
      <c r="G38" s="123"/>
      <c r="H38" s="123"/>
      <c r="I38" s="123"/>
    </row>
    <row r="39" spans="1:9" ht="15.5" x14ac:dyDescent="0.35">
      <c r="A39" s="24" t="s">
        <v>9</v>
      </c>
      <c r="B39" s="25" t="s">
        <v>0</v>
      </c>
      <c r="C39" s="25" t="s">
        <v>16</v>
      </c>
      <c r="D39" s="25" t="s">
        <v>1</v>
      </c>
      <c r="E39" s="25" t="s">
        <v>2</v>
      </c>
      <c r="F39" s="25" t="s">
        <v>3</v>
      </c>
      <c r="G39" s="25" t="s">
        <v>4</v>
      </c>
      <c r="H39" s="25" t="s">
        <v>5</v>
      </c>
      <c r="I39" s="26" t="s">
        <v>6</v>
      </c>
    </row>
    <row r="40" spans="1:9" x14ac:dyDescent="0.35">
      <c r="A40" s="5" t="s">
        <v>12</v>
      </c>
      <c r="B40" s="6"/>
      <c r="C40" s="6"/>
      <c r="D40" s="6"/>
      <c r="E40" s="6"/>
      <c r="F40" s="6"/>
      <c r="G40" s="6"/>
      <c r="H40" s="6"/>
      <c r="I40" s="7"/>
    </row>
    <row r="41" spans="1:9" x14ac:dyDescent="0.35">
      <c r="A41" s="14">
        <v>45793</v>
      </c>
      <c r="B41" t="s">
        <v>422</v>
      </c>
      <c r="C41" t="s">
        <v>7</v>
      </c>
      <c r="D41" s="1">
        <v>4892473</v>
      </c>
      <c r="E41" s="1">
        <v>1345229</v>
      </c>
      <c r="F41" s="2">
        <v>0.27495890115285299</v>
      </c>
      <c r="G41" s="1">
        <v>12586</v>
      </c>
      <c r="H41" s="2">
        <v>9.3560278584538404E-3</v>
      </c>
      <c r="I41" s="15">
        <v>2.5725231391159399E-3</v>
      </c>
    </row>
    <row r="42" spans="1:9" x14ac:dyDescent="0.35">
      <c r="A42" s="14">
        <v>45793</v>
      </c>
      <c r="B42" t="s">
        <v>422</v>
      </c>
      <c r="C42" t="s">
        <v>8</v>
      </c>
      <c r="D42" s="1">
        <v>314306</v>
      </c>
      <c r="E42" s="1">
        <v>98856</v>
      </c>
      <c r="F42" s="2">
        <v>0.31452151724752297</v>
      </c>
      <c r="G42" s="1">
        <v>1041</v>
      </c>
      <c r="H42" s="2">
        <v>1.05304685603302E-2</v>
      </c>
      <c r="I42" s="15">
        <v>3.31205894892239E-3</v>
      </c>
    </row>
    <row r="43" spans="1:9" x14ac:dyDescent="0.35">
      <c r="A43" s="14">
        <v>45797</v>
      </c>
      <c r="B43" t="s">
        <v>437</v>
      </c>
      <c r="C43" t="s">
        <v>7</v>
      </c>
      <c r="D43" s="1">
        <v>1421607</v>
      </c>
      <c r="E43" s="1">
        <v>458871</v>
      </c>
      <c r="F43" s="2">
        <v>0.32278330087007201</v>
      </c>
      <c r="G43" s="1">
        <v>7697</v>
      </c>
      <c r="H43" s="2">
        <v>1.67737773796993E-2</v>
      </c>
      <c r="I43" s="15">
        <v>5.4142952306790804E-3</v>
      </c>
    </row>
    <row r="44" spans="1:9" x14ac:dyDescent="0.35">
      <c r="A44" s="14">
        <v>45797</v>
      </c>
      <c r="B44" t="s">
        <v>437</v>
      </c>
      <c r="C44" t="s">
        <v>8</v>
      </c>
      <c r="D44" s="1">
        <v>88779</v>
      </c>
      <c r="E44" s="1">
        <v>31210</v>
      </c>
      <c r="F44" s="2">
        <v>0.35154710010250201</v>
      </c>
      <c r="G44" s="1">
        <v>911</v>
      </c>
      <c r="H44" s="2">
        <v>2.9189362383851301E-2</v>
      </c>
      <c r="I44" s="15">
        <v>1.0261435699884001E-2</v>
      </c>
    </row>
    <row r="45" spans="1:9" ht="16" thickBot="1" x14ac:dyDescent="0.4">
      <c r="A45" s="22" t="s">
        <v>13</v>
      </c>
      <c r="B45" s="4"/>
      <c r="C45" s="4"/>
      <c r="D45" s="19">
        <f>SUM(D41:D44)</f>
        <v>6717165</v>
      </c>
      <c r="E45" s="19">
        <f>SUM(E41:E44)</f>
        <v>1934166</v>
      </c>
      <c r="F45" s="20">
        <f>AVERAGE(F41:F44)</f>
        <v>0.31595270484323745</v>
      </c>
      <c r="G45" s="19">
        <f>SUM(G41:G44)</f>
        <v>22235</v>
      </c>
      <c r="H45" s="20">
        <f>AVERAGE(H41:H44)</f>
        <v>1.6462409045583659E-2</v>
      </c>
      <c r="I45" s="21">
        <f>AVERAGE(I41:I44)</f>
        <v>5.3900782546503524E-3</v>
      </c>
    </row>
    <row r="46" spans="1:9" ht="3" customHeight="1" thickBot="1" x14ac:dyDescent="0.4">
      <c r="A46" s="127"/>
      <c r="B46" s="128"/>
      <c r="C46" s="128"/>
      <c r="D46" s="128"/>
      <c r="E46" s="128"/>
      <c r="F46" s="128"/>
      <c r="G46" s="128"/>
      <c r="H46" s="128"/>
      <c r="I46" s="129"/>
    </row>
    <row r="47" spans="1:9" x14ac:dyDescent="0.35">
      <c r="A47" s="10" t="s">
        <v>216</v>
      </c>
      <c r="B47" s="11"/>
      <c r="C47" s="11"/>
      <c r="D47" s="11"/>
      <c r="E47" s="11"/>
      <c r="F47" s="11"/>
      <c r="G47" s="11"/>
      <c r="H47" s="11"/>
      <c r="I47" s="12"/>
    </row>
    <row r="48" spans="1:9" x14ac:dyDescent="0.35">
      <c r="A48" s="14">
        <v>45793</v>
      </c>
      <c r="B48" t="s">
        <v>423</v>
      </c>
      <c r="C48" t="s">
        <v>7</v>
      </c>
      <c r="D48" s="1">
        <v>6332875</v>
      </c>
      <c r="E48" s="1">
        <v>2226924</v>
      </c>
      <c r="F48" s="2">
        <v>0.35164502694273903</v>
      </c>
      <c r="G48" s="1">
        <v>17234</v>
      </c>
      <c r="H48" s="2">
        <v>7.73892598041065E-3</v>
      </c>
      <c r="I48" s="15">
        <v>2.7213548348893699E-3</v>
      </c>
    </row>
    <row r="49" spans="1:9" x14ac:dyDescent="0.35">
      <c r="A49" s="14">
        <v>45793</v>
      </c>
      <c r="B49" t="s">
        <v>423</v>
      </c>
      <c r="C49" t="s">
        <v>8</v>
      </c>
      <c r="D49" s="1">
        <v>403995</v>
      </c>
      <c r="E49" s="1">
        <v>140646</v>
      </c>
      <c r="F49" s="2">
        <v>0.348137972004604</v>
      </c>
      <c r="G49" s="1">
        <v>1375</v>
      </c>
      <c r="H49" s="2">
        <v>9.7763178476458594E-3</v>
      </c>
      <c r="I49" s="15">
        <v>3.4035074691518498E-3</v>
      </c>
    </row>
    <row r="50" spans="1:9" x14ac:dyDescent="0.35">
      <c r="A50" s="14">
        <v>45793</v>
      </c>
      <c r="B50" t="s">
        <v>424</v>
      </c>
      <c r="C50" t="s">
        <v>7</v>
      </c>
      <c r="D50" s="1">
        <v>2116</v>
      </c>
      <c r="E50" s="1">
        <v>987</v>
      </c>
      <c r="F50" s="2">
        <v>0.46644612476370501</v>
      </c>
      <c r="G50" s="1">
        <v>28</v>
      </c>
      <c r="H50" s="2">
        <v>2.8368794326241099E-2</v>
      </c>
      <c r="I50" s="15">
        <v>1.32325141776938E-2</v>
      </c>
    </row>
    <row r="51" spans="1:9" x14ac:dyDescent="0.35">
      <c r="A51" s="14">
        <v>45793</v>
      </c>
      <c r="B51" t="s">
        <v>424</v>
      </c>
      <c r="C51" t="s">
        <v>8</v>
      </c>
      <c r="D51" s="1">
        <v>505</v>
      </c>
      <c r="E51" s="1">
        <v>212</v>
      </c>
      <c r="F51" s="2">
        <v>0.41980198019802001</v>
      </c>
      <c r="G51" s="1">
        <v>8</v>
      </c>
      <c r="H51" s="2">
        <v>3.77358490566038E-2</v>
      </c>
      <c r="I51" s="15">
        <v>1.58415841584158E-2</v>
      </c>
    </row>
    <row r="52" spans="1:9" x14ac:dyDescent="0.35">
      <c r="A52" s="14">
        <v>45794</v>
      </c>
      <c r="B52" t="s">
        <v>425</v>
      </c>
      <c r="C52" t="s">
        <v>7</v>
      </c>
      <c r="D52" s="1">
        <v>1304403</v>
      </c>
      <c r="E52" s="1">
        <v>475281</v>
      </c>
      <c r="F52" s="2">
        <v>0.36436668728912802</v>
      </c>
      <c r="G52" s="1">
        <v>5901</v>
      </c>
      <c r="H52" s="2">
        <v>1.2415812961174499E-2</v>
      </c>
      <c r="I52" s="15">
        <v>4.5239086386645797E-3</v>
      </c>
    </row>
    <row r="53" spans="1:9" x14ac:dyDescent="0.35">
      <c r="A53" s="14">
        <v>45794</v>
      </c>
      <c r="B53" t="s">
        <v>425</v>
      </c>
      <c r="C53" t="s">
        <v>8</v>
      </c>
      <c r="D53" s="1">
        <v>94501</v>
      </c>
      <c r="E53" s="1">
        <v>31951</v>
      </c>
      <c r="F53" s="2">
        <v>0.33810224230431402</v>
      </c>
      <c r="G53" s="1">
        <v>683</v>
      </c>
      <c r="H53" s="2">
        <v>2.1376482739194399E-2</v>
      </c>
      <c r="I53" s="15">
        <v>7.2274367467010901E-3</v>
      </c>
    </row>
    <row r="54" spans="1:9" x14ac:dyDescent="0.35">
      <c r="A54" s="14">
        <v>45794</v>
      </c>
      <c r="B54" t="s">
        <v>411</v>
      </c>
      <c r="C54" t="s">
        <v>426</v>
      </c>
      <c r="D54" s="1">
        <v>312216</v>
      </c>
      <c r="E54" s="1">
        <v>131048</v>
      </c>
      <c r="F54" s="2">
        <v>0.419735055218182</v>
      </c>
      <c r="G54" s="1">
        <v>1915</v>
      </c>
      <c r="H54" s="2">
        <v>1.4612966241377199E-2</v>
      </c>
      <c r="I54" s="15">
        <v>6.1335741922259003E-3</v>
      </c>
    </row>
    <row r="55" spans="1:9" x14ac:dyDescent="0.35">
      <c r="A55" s="14">
        <v>45794</v>
      </c>
      <c r="B55" t="s">
        <v>411</v>
      </c>
      <c r="C55" t="s">
        <v>427</v>
      </c>
      <c r="D55" s="1">
        <v>609412</v>
      </c>
      <c r="E55" s="1">
        <v>247932</v>
      </c>
      <c r="F55" s="2">
        <v>0.40683806685788898</v>
      </c>
      <c r="G55" s="1">
        <v>3906</v>
      </c>
      <c r="H55" s="2">
        <v>1.5754319732830001E-2</v>
      </c>
      <c r="I55" s="15">
        <v>6.4094569847656397E-3</v>
      </c>
    </row>
    <row r="56" spans="1:9" x14ac:dyDescent="0.35">
      <c r="A56" s="14">
        <v>45794</v>
      </c>
      <c r="B56" t="s">
        <v>411</v>
      </c>
      <c r="C56" t="s">
        <v>428</v>
      </c>
      <c r="D56" s="1">
        <v>809883</v>
      </c>
      <c r="E56" s="1">
        <v>309581</v>
      </c>
      <c r="F56" s="2">
        <v>0.38225397989586202</v>
      </c>
      <c r="G56" s="1">
        <v>4016</v>
      </c>
      <c r="H56" s="2">
        <v>1.29723723355115E-2</v>
      </c>
      <c r="I56" s="15">
        <v>4.9587409539402598E-3</v>
      </c>
    </row>
    <row r="57" spans="1:9" x14ac:dyDescent="0.35">
      <c r="A57" s="14">
        <v>45794</v>
      </c>
      <c r="B57" t="s">
        <v>411</v>
      </c>
      <c r="C57" t="s">
        <v>429</v>
      </c>
      <c r="D57" s="1">
        <v>15141</v>
      </c>
      <c r="E57" s="1">
        <v>6718</v>
      </c>
      <c r="F57" s="2">
        <v>0.44369592497193</v>
      </c>
      <c r="G57" s="1">
        <v>181</v>
      </c>
      <c r="H57" s="2">
        <v>2.69425424233403E-2</v>
      </c>
      <c r="I57" s="15">
        <v>1.1954296281619399E-2</v>
      </c>
    </row>
    <row r="58" spans="1:9" x14ac:dyDescent="0.35">
      <c r="A58" s="14">
        <v>45794</v>
      </c>
      <c r="B58" t="s">
        <v>411</v>
      </c>
      <c r="C58" t="s">
        <v>430</v>
      </c>
      <c r="D58" s="1">
        <v>34120</v>
      </c>
      <c r="E58" s="1">
        <v>14682</v>
      </c>
      <c r="F58" s="2">
        <v>0.43030480656506398</v>
      </c>
      <c r="G58" s="1">
        <v>412</v>
      </c>
      <c r="H58" s="2">
        <v>2.8061571992916499E-2</v>
      </c>
      <c r="I58" s="15">
        <v>1.20750293083236E-2</v>
      </c>
    </row>
    <row r="59" spans="1:9" x14ac:dyDescent="0.35">
      <c r="A59" s="14">
        <v>45794</v>
      </c>
      <c r="B59" t="s">
        <v>411</v>
      </c>
      <c r="C59" t="s">
        <v>431</v>
      </c>
      <c r="D59" s="1">
        <v>43069</v>
      </c>
      <c r="E59" s="1">
        <v>17157</v>
      </c>
      <c r="F59" s="2">
        <v>0.398360769927326</v>
      </c>
      <c r="G59" s="1">
        <v>402</v>
      </c>
      <c r="H59" s="2">
        <v>2.3430669697499601E-2</v>
      </c>
      <c r="I59" s="15">
        <v>9.33385962060879E-3</v>
      </c>
    </row>
    <row r="60" spans="1:9" x14ac:dyDescent="0.35">
      <c r="A60" s="14">
        <v>45794</v>
      </c>
      <c r="B60" t="s">
        <v>432</v>
      </c>
      <c r="C60" t="s">
        <v>433</v>
      </c>
      <c r="D60" s="1">
        <v>905</v>
      </c>
      <c r="E60" s="1">
        <v>787</v>
      </c>
      <c r="F60" s="2">
        <v>0.869613259668508</v>
      </c>
      <c r="G60" s="1">
        <v>52</v>
      </c>
      <c r="H60" s="2">
        <v>6.6073697585768698E-2</v>
      </c>
      <c r="I60" s="15">
        <v>5.7458563535911597E-2</v>
      </c>
    </row>
    <row r="61" spans="1:9" x14ac:dyDescent="0.35">
      <c r="A61" s="14">
        <v>45795</v>
      </c>
      <c r="B61" t="s">
        <v>434</v>
      </c>
      <c r="C61" t="s">
        <v>7</v>
      </c>
      <c r="D61" s="1">
        <v>125729</v>
      </c>
      <c r="E61" s="1">
        <v>55350</v>
      </c>
      <c r="F61" s="2">
        <v>0.440232563688568</v>
      </c>
      <c r="G61" s="1">
        <v>825</v>
      </c>
      <c r="H61" s="2">
        <v>1.4905149051490501E-2</v>
      </c>
      <c r="I61" s="15">
        <v>6.5617319790979003E-3</v>
      </c>
    </row>
    <row r="62" spans="1:9" x14ac:dyDescent="0.35">
      <c r="A62" s="14">
        <v>45795</v>
      </c>
      <c r="B62" t="s">
        <v>434</v>
      </c>
      <c r="C62" t="s">
        <v>8</v>
      </c>
      <c r="D62" s="1">
        <v>5718</v>
      </c>
      <c r="E62" s="1">
        <v>2656</v>
      </c>
      <c r="F62" s="2">
        <v>0.46449807625043699</v>
      </c>
      <c r="G62" s="1">
        <v>37</v>
      </c>
      <c r="H62" s="2">
        <v>1.39307228915663E-2</v>
      </c>
      <c r="I62" s="15">
        <v>6.4707939839104599E-3</v>
      </c>
    </row>
    <row r="63" spans="1:9" x14ac:dyDescent="0.35">
      <c r="A63" s="14">
        <v>45796</v>
      </c>
      <c r="B63" t="s">
        <v>435</v>
      </c>
      <c r="C63" t="s">
        <v>7</v>
      </c>
      <c r="D63" s="1">
        <v>938463</v>
      </c>
      <c r="E63" s="1">
        <v>314473</v>
      </c>
      <c r="F63" s="2">
        <v>0.335093658460696</v>
      </c>
      <c r="G63" s="1">
        <v>1238</v>
      </c>
      <c r="H63" s="2">
        <v>3.9367449669764996E-3</v>
      </c>
      <c r="I63" s="15">
        <v>1.3191782734108899E-3</v>
      </c>
    </row>
    <row r="64" spans="1:9" x14ac:dyDescent="0.35">
      <c r="A64" s="14">
        <v>45796</v>
      </c>
      <c r="B64" t="s">
        <v>436</v>
      </c>
      <c r="C64" t="s">
        <v>7</v>
      </c>
      <c r="D64" s="1">
        <v>98</v>
      </c>
      <c r="E64" s="1">
        <v>44</v>
      </c>
      <c r="F64" s="2">
        <v>0.44897959183673503</v>
      </c>
      <c r="G64" s="1">
        <v>1</v>
      </c>
      <c r="H64" s="2">
        <v>2.27272727272727E-2</v>
      </c>
      <c r="I64" s="15">
        <v>1.02040816326531E-2</v>
      </c>
    </row>
    <row r="65" spans="1:9" x14ac:dyDescent="0.35">
      <c r="A65" s="14">
        <v>45797</v>
      </c>
      <c r="B65" t="s">
        <v>438</v>
      </c>
      <c r="C65" t="s">
        <v>344</v>
      </c>
      <c r="D65" s="1">
        <v>18837</v>
      </c>
      <c r="E65" s="1">
        <v>8495</v>
      </c>
      <c r="F65" s="2">
        <v>0.45097414662632102</v>
      </c>
      <c r="G65" s="1">
        <v>1592</v>
      </c>
      <c r="H65" s="2">
        <v>0.187404355503237</v>
      </c>
      <c r="I65" s="15">
        <v>8.4514519297127999E-2</v>
      </c>
    </row>
    <row r="66" spans="1:9" x14ac:dyDescent="0.35">
      <c r="A66" s="14">
        <v>45797</v>
      </c>
      <c r="B66" t="s">
        <v>438</v>
      </c>
      <c r="C66" t="s">
        <v>345</v>
      </c>
      <c r="D66" s="1">
        <v>18360</v>
      </c>
      <c r="E66" s="1">
        <v>7584</v>
      </c>
      <c r="F66" s="2">
        <v>0.41307189542483702</v>
      </c>
      <c r="G66" s="1">
        <v>737</v>
      </c>
      <c r="H66" s="2">
        <v>9.7178270042194106E-2</v>
      </c>
      <c r="I66" s="15">
        <v>4.0141612200435703E-2</v>
      </c>
    </row>
    <row r="67" spans="1:9" x14ac:dyDescent="0.35">
      <c r="A67" s="14">
        <v>45798</v>
      </c>
      <c r="B67" t="s">
        <v>439</v>
      </c>
      <c r="C67" t="s">
        <v>7</v>
      </c>
      <c r="D67" s="1">
        <v>1391</v>
      </c>
      <c r="E67" s="1">
        <v>987</v>
      </c>
      <c r="F67" s="2">
        <v>0.70956146657081198</v>
      </c>
      <c r="G67" s="1">
        <v>38</v>
      </c>
      <c r="H67" s="2">
        <v>3.8500506585612999E-2</v>
      </c>
      <c r="I67" s="15">
        <v>2.7318475916606799E-2</v>
      </c>
    </row>
    <row r="68" spans="1:9" x14ac:dyDescent="0.35">
      <c r="A68" s="14">
        <v>45798</v>
      </c>
      <c r="B68" t="s">
        <v>439</v>
      </c>
      <c r="C68" t="s">
        <v>8</v>
      </c>
      <c r="D68" s="1">
        <v>77</v>
      </c>
      <c r="E68" s="1">
        <v>54</v>
      </c>
      <c r="F68" s="2">
        <v>0.70129870129870098</v>
      </c>
      <c r="G68" s="1">
        <v>1</v>
      </c>
      <c r="H68" s="2">
        <v>1.85185185185185E-2</v>
      </c>
      <c r="I68" s="15">
        <v>1.2987012987013E-2</v>
      </c>
    </row>
    <row r="69" spans="1:9" x14ac:dyDescent="0.35">
      <c r="A69" s="14">
        <v>45798</v>
      </c>
      <c r="B69" t="s">
        <v>440</v>
      </c>
      <c r="C69" t="s">
        <v>7</v>
      </c>
      <c r="D69" s="1">
        <v>910967</v>
      </c>
      <c r="E69" s="1">
        <v>325683</v>
      </c>
      <c r="F69" s="2">
        <v>0.357513499391306</v>
      </c>
      <c r="G69" s="1">
        <v>1354</v>
      </c>
      <c r="H69" s="2">
        <v>4.1574168746910303E-3</v>
      </c>
      <c r="I69" s="15">
        <v>1.4863326552992601E-3</v>
      </c>
    </row>
    <row r="70" spans="1:9" x14ac:dyDescent="0.35">
      <c r="A70" s="14">
        <v>45798</v>
      </c>
      <c r="B70" t="s">
        <v>440</v>
      </c>
      <c r="C70" t="s">
        <v>8</v>
      </c>
      <c r="D70" s="1">
        <v>63920</v>
      </c>
      <c r="E70" s="1">
        <v>24588</v>
      </c>
      <c r="F70" s="2">
        <v>0.38466833541927398</v>
      </c>
      <c r="G70" s="1">
        <v>79</v>
      </c>
      <c r="H70" s="2">
        <v>3.2129494062144099E-3</v>
      </c>
      <c r="I70" s="15">
        <v>1.23591989987484E-3</v>
      </c>
    </row>
    <row r="71" spans="1:9" x14ac:dyDescent="0.35">
      <c r="A71" s="14">
        <v>45798</v>
      </c>
      <c r="B71" t="s">
        <v>441</v>
      </c>
      <c r="C71" t="s">
        <v>7</v>
      </c>
      <c r="D71" s="1">
        <v>133080</v>
      </c>
      <c r="E71" s="1">
        <v>45978</v>
      </c>
      <c r="F71" s="2">
        <v>0.34549143372407598</v>
      </c>
      <c r="G71" s="1">
        <v>164</v>
      </c>
      <c r="H71" s="2">
        <v>3.5669233111488099E-3</v>
      </c>
      <c r="I71" s="15">
        <v>1.23234144875263E-3</v>
      </c>
    </row>
    <row r="72" spans="1:9" x14ac:dyDescent="0.35">
      <c r="A72" s="14">
        <v>45798</v>
      </c>
      <c r="B72" t="s">
        <v>442</v>
      </c>
      <c r="C72" t="s">
        <v>7</v>
      </c>
      <c r="D72" s="1">
        <v>957</v>
      </c>
      <c r="E72" s="1">
        <v>383</v>
      </c>
      <c r="F72" s="2">
        <v>0.40020898641588298</v>
      </c>
      <c r="G72" s="1">
        <v>16</v>
      </c>
      <c r="H72" s="2">
        <v>4.1775456919060101E-2</v>
      </c>
      <c r="I72" s="15">
        <v>1.67189132706374E-2</v>
      </c>
    </row>
    <row r="73" spans="1:9" x14ac:dyDescent="0.35">
      <c r="A73" s="14">
        <v>45799</v>
      </c>
      <c r="B73" t="s">
        <v>443</v>
      </c>
      <c r="C73" t="s">
        <v>7</v>
      </c>
      <c r="D73" s="1">
        <v>198667</v>
      </c>
      <c r="E73" s="1">
        <v>78910</v>
      </c>
      <c r="F73" s="2">
        <v>0.397197320138725</v>
      </c>
      <c r="G73" s="1">
        <v>315</v>
      </c>
      <c r="H73" s="2">
        <v>3.9918894943606602E-3</v>
      </c>
      <c r="I73" s="15">
        <v>1.5855678094499801E-3</v>
      </c>
    </row>
    <row r="74" spans="1:9" x14ac:dyDescent="0.35">
      <c r="A74" s="14">
        <v>45799</v>
      </c>
      <c r="B74" t="s">
        <v>443</v>
      </c>
      <c r="C74" t="s">
        <v>8</v>
      </c>
      <c r="D74" s="1">
        <v>11916</v>
      </c>
      <c r="E74" s="1">
        <v>5288</v>
      </c>
      <c r="F74" s="2">
        <v>0.44377307821416601</v>
      </c>
      <c r="G74" s="1">
        <v>16</v>
      </c>
      <c r="H74" s="2">
        <v>3.0257186081694399E-3</v>
      </c>
      <c r="I74" s="15">
        <v>1.3427324605572301E-3</v>
      </c>
    </row>
    <row r="75" spans="1:9" x14ac:dyDescent="0.35">
      <c r="A75" s="14">
        <v>45799</v>
      </c>
      <c r="B75" t="s">
        <v>444</v>
      </c>
      <c r="C75" t="s">
        <v>110</v>
      </c>
      <c r="D75" s="1">
        <v>27311</v>
      </c>
      <c r="E75" s="1">
        <v>8924</v>
      </c>
      <c r="F75" s="2">
        <v>0.32675478744828101</v>
      </c>
      <c r="G75" s="1">
        <v>36</v>
      </c>
      <c r="H75" s="2">
        <v>4.0340654415060503E-3</v>
      </c>
      <c r="I75" s="15">
        <v>1.31815019589177E-3</v>
      </c>
    </row>
    <row r="76" spans="1:9" x14ac:dyDescent="0.35">
      <c r="A76" s="14">
        <v>45799</v>
      </c>
      <c r="B76" t="s">
        <v>444</v>
      </c>
      <c r="C76" t="s">
        <v>90</v>
      </c>
      <c r="D76" s="1">
        <v>518282</v>
      </c>
      <c r="E76" s="1">
        <v>166339</v>
      </c>
      <c r="F76" s="2">
        <v>0.32094303873181002</v>
      </c>
      <c r="G76" s="1">
        <v>587</v>
      </c>
      <c r="H76" s="2">
        <v>3.52893789189547E-3</v>
      </c>
      <c r="I76" s="15">
        <v>1.13258805052076E-3</v>
      </c>
    </row>
    <row r="77" spans="1:9" x14ac:dyDescent="0.35">
      <c r="A77" s="14">
        <v>45799</v>
      </c>
      <c r="B77" t="s">
        <v>444</v>
      </c>
      <c r="C77" t="s">
        <v>111</v>
      </c>
      <c r="D77" s="1">
        <v>2044</v>
      </c>
      <c r="E77" s="1">
        <v>725</v>
      </c>
      <c r="F77" s="2">
        <v>0.35469667318982401</v>
      </c>
      <c r="G77" s="1">
        <v>4</v>
      </c>
      <c r="H77" s="2">
        <v>5.5172413793103401E-3</v>
      </c>
      <c r="I77" s="15">
        <v>1.95694716242661E-3</v>
      </c>
    </row>
    <row r="78" spans="1:9" x14ac:dyDescent="0.35">
      <c r="A78" s="14">
        <v>45799</v>
      </c>
      <c r="B78" t="s">
        <v>444</v>
      </c>
      <c r="C78" t="s">
        <v>91</v>
      </c>
      <c r="D78" s="1">
        <v>37480</v>
      </c>
      <c r="E78" s="1">
        <v>13513</v>
      </c>
      <c r="F78" s="2">
        <v>0.360538954108858</v>
      </c>
      <c r="G78" s="1">
        <v>46</v>
      </c>
      <c r="H78" s="2">
        <v>3.4041293569155601E-3</v>
      </c>
      <c r="I78" s="15">
        <v>1.2273212379936001E-3</v>
      </c>
    </row>
    <row r="79" spans="1:9" ht="16" thickBot="1" x14ac:dyDescent="0.4">
      <c r="A79" s="22" t="s">
        <v>13</v>
      </c>
      <c r="B79" s="4"/>
      <c r="C79" s="4"/>
      <c r="D79" s="19">
        <f>SUM(D48:D78)</f>
        <v>12976438</v>
      </c>
      <c r="E79" s="19">
        <f>SUM(E48:E78)</f>
        <v>4663880</v>
      </c>
      <c r="F79" s="20">
        <f>AVERAGE(F48:F78)</f>
        <v>0.42886445495311554</v>
      </c>
      <c r="G79" s="19">
        <f>SUM(G48:G78)</f>
        <v>43199</v>
      </c>
      <c r="H79" s="20">
        <f>AVERAGE(H48:H78)</f>
        <v>2.5115373931956606E-2</v>
      </c>
      <c r="I79" s="21">
        <f>AVERAGE(I48:I78)</f>
        <v>1.2065420882728111E-2</v>
      </c>
    </row>
    <row r="80" spans="1:9" ht="3" customHeight="1" x14ac:dyDescent="0.35"/>
    <row r="85" spans="3:9" x14ac:dyDescent="0.35">
      <c r="C85" s="1"/>
      <c r="D85" s="1"/>
      <c r="E85" s="3"/>
      <c r="G85" s="3"/>
      <c r="H85" s="3"/>
    </row>
    <row r="86" spans="3:9" x14ac:dyDescent="0.35">
      <c r="C86" s="1"/>
      <c r="D86" s="1"/>
      <c r="E86" s="3"/>
      <c r="G86" s="3"/>
      <c r="H86" s="3"/>
    </row>
    <row r="87" spans="3:9" x14ac:dyDescent="0.35">
      <c r="C87" s="1"/>
      <c r="D87" s="1"/>
      <c r="E87" s="3"/>
      <c r="G87" s="3"/>
      <c r="H87" s="3"/>
    </row>
    <row r="88" spans="3:9" x14ac:dyDescent="0.35">
      <c r="D88" s="1"/>
      <c r="E88" s="1"/>
      <c r="F88" s="3"/>
      <c r="H88" s="3"/>
      <c r="I88" s="3"/>
    </row>
    <row r="89" spans="3:9" x14ac:dyDescent="0.35">
      <c r="D89" s="1"/>
      <c r="E89" s="1"/>
      <c r="F89" s="3"/>
      <c r="H89" s="3"/>
      <c r="I89" s="3"/>
    </row>
    <row r="90" spans="3:9" x14ac:dyDescent="0.35">
      <c r="D90" s="1"/>
      <c r="E90" s="1"/>
      <c r="F90" s="3"/>
      <c r="H90" s="3"/>
      <c r="I90" s="3"/>
    </row>
    <row r="91" spans="3:9" x14ac:dyDescent="0.35">
      <c r="D91" s="1"/>
      <c r="E91" s="1"/>
      <c r="F91" s="3"/>
      <c r="H91" s="3"/>
      <c r="I91" s="3"/>
    </row>
  </sheetData>
  <mergeCells count="2">
    <mergeCell ref="A38:I38"/>
    <mergeCell ref="A46:I46"/>
  </mergeCells>
  <pageMargins left="0.7" right="0.7" top="0.75" bottom="0.75" header="0.3" footer="0.3"/>
  <ignoredErrors>
    <ignoredError sqref="F79:G79 F45:G45 F37:G37" formula="1"/>
  </ignoredErrors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B75B-0DED-4505-9872-7E39608551D1}">
  <sheetPr>
    <tabColor theme="4" tint="0.39997558519241921"/>
  </sheetPr>
  <dimension ref="A1:Q1130"/>
  <sheetViews>
    <sheetView showGridLines="0" tabSelected="1" zoomScaleNormal="100" workbookViewId="0">
      <pane ySplit="1" topLeftCell="A530" activePane="bottomLeft" state="frozen"/>
      <selection pane="bottomLeft" activeCell="A535" sqref="A535"/>
    </sheetView>
  </sheetViews>
  <sheetFormatPr defaultRowHeight="14.5" x14ac:dyDescent="0.35"/>
  <cols>
    <col min="1" max="1" width="12.81640625" style="30" bestFit="1" customWidth="1"/>
    <col min="2" max="2" width="105.81640625" bestFit="1" customWidth="1"/>
    <col min="3" max="3" width="44.6328125" bestFit="1" customWidth="1"/>
    <col min="4" max="4" width="14" customWidth="1"/>
    <col min="5" max="5" width="16.453125" bestFit="1" customWidth="1"/>
    <col min="6" max="6" width="20.54296875" bestFit="1" customWidth="1"/>
    <col min="7" max="7" width="15.6328125" bestFit="1" customWidth="1"/>
    <col min="8" max="9" width="7" bestFit="1" customWidth="1"/>
    <col min="10" max="10" width="8.6328125" style="30" customWidth="1"/>
  </cols>
  <sheetData>
    <row r="1" spans="1:10" ht="15.5" x14ac:dyDescent="0.35">
      <c r="A1" s="81" t="s">
        <v>9</v>
      </c>
      <c r="B1" s="82" t="s">
        <v>0</v>
      </c>
      <c r="C1" s="82" t="s">
        <v>10</v>
      </c>
      <c r="D1" s="82" t="s">
        <v>1</v>
      </c>
      <c r="E1" s="82" t="s">
        <v>2</v>
      </c>
      <c r="F1" s="82" t="s">
        <v>3</v>
      </c>
      <c r="G1" s="82" t="s">
        <v>4</v>
      </c>
      <c r="H1" s="82" t="s">
        <v>5</v>
      </c>
      <c r="I1" s="82" t="s">
        <v>6</v>
      </c>
      <c r="J1" s="83" t="s">
        <v>22</v>
      </c>
    </row>
    <row r="2" spans="1:10" x14ac:dyDescent="0.35">
      <c r="A2" s="38">
        <v>45658</v>
      </c>
      <c r="B2" s="31" t="s">
        <v>50</v>
      </c>
      <c r="C2" s="31" t="s">
        <v>8</v>
      </c>
      <c r="D2" s="32">
        <v>16232</v>
      </c>
      <c r="E2" s="32">
        <v>8158</v>
      </c>
      <c r="F2" s="33">
        <v>0.50258748151798904</v>
      </c>
      <c r="G2" s="32">
        <v>166</v>
      </c>
      <c r="H2" s="33">
        <v>2.0348124540328499E-2</v>
      </c>
      <c r="I2" s="33">
        <v>1.02267126663381E-2</v>
      </c>
      <c r="J2" s="77" t="s">
        <v>23</v>
      </c>
    </row>
    <row r="3" spans="1:10" x14ac:dyDescent="0.35">
      <c r="A3" s="38">
        <v>45659</v>
      </c>
      <c r="B3" s="31" t="s">
        <v>44</v>
      </c>
      <c r="C3" s="31" t="s">
        <v>17</v>
      </c>
      <c r="D3" s="32">
        <v>564205</v>
      </c>
      <c r="E3" s="32">
        <v>181571</v>
      </c>
      <c r="F3" s="34">
        <v>0.32179999999999997</v>
      </c>
      <c r="G3" s="31">
        <v>665</v>
      </c>
      <c r="H3" s="34">
        <v>3.7000000000000002E-3</v>
      </c>
      <c r="I3" s="34">
        <v>1.1999999999999999E-3</v>
      </c>
      <c r="J3" s="77" t="s">
        <v>23</v>
      </c>
    </row>
    <row r="4" spans="1:10" x14ac:dyDescent="0.35">
      <c r="A4" s="38">
        <v>45659</v>
      </c>
      <c r="B4" s="31" t="s">
        <v>46</v>
      </c>
      <c r="C4" s="31" t="s">
        <v>18</v>
      </c>
      <c r="D4" s="32">
        <v>39847</v>
      </c>
      <c r="E4" s="32">
        <v>11679</v>
      </c>
      <c r="F4" s="34">
        <v>0.29310000000000003</v>
      </c>
      <c r="G4" s="31">
        <v>74</v>
      </c>
      <c r="H4" s="34">
        <v>6.3E-3</v>
      </c>
      <c r="I4" s="34">
        <v>1.9E-3</v>
      </c>
      <c r="J4" s="77" t="s">
        <v>23</v>
      </c>
    </row>
    <row r="5" spans="1:10" x14ac:dyDescent="0.35">
      <c r="A5" s="38">
        <v>45659</v>
      </c>
      <c r="B5" s="31" t="s">
        <v>48</v>
      </c>
      <c r="C5" s="31" t="s">
        <v>17</v>
      </c>
      <c r="D5" s="32">
        <v>750841</v>
      </c>
      <c r="E5" s="32">
        <v>267233</v>
      </c>
      <c r="F5" s="34">
        <v>0.35589999999999999</v>
      </c>
      <c r="G5" s="32">
        <v>1012</v>
      </c>
      <c r="H5" s="34">
        <v>3.8E-3</v>
      </c>
      <c r="I5" s="34">
        <v>1.2999999999999999E-3</v>
      </c>
      <c r="J5" s="77" t="s">
        <v>23</v>
      </c>
    </row>
    <row r="6" spans="1:10" x14ac:dyDescent="0.35">
      <c r="A6" s="38">
        <v>45659</v>
      </c>
      <c r="B6" s="31" t="s">
        <v>49</v>
      </c>
      <c r="C6" s="31" t="s">
        <v>18</v>
      </c>
      <c r="D6" s="32">
        <v>45838</v>
      </c>
      <c r="E6" s="32">
        <v>15276</v>
      </c>
      <c r="F6" s="34">
        <v>0.33329999999999999</v>
      </c>
      <c r="G6" s="31">
        <v>67</v>
      </c>
      <c r="H6" s="34">
        <v>4.4000000000000003E-3</v>
      </c>
      <c r="I6" s="34">
        <v>1.5E-3</v>
      </c>
      <c r="J6" s="77" t="s">
        <v>23</v>
      </c>
    </row>
    <row r="7" spans="1:10" x14ac:dyDescent="0.35">
      <c r="A7" s="38">
        <v>45659</v>
      </c>
      <c r="B7" s="31" t="s">
        <v>51</v>
      </c>
      <c r="C7" s="31" t="s">
        <v>45</v>
      </c>
      <c r="D7" s="32">
        <v>683385</v>
      </c>
      <c r="E7" s="32">
        <v>229955</v>
      </c>
      <c r="F7" s="34">
        <v>0.33650000000000002</v>
      </c>
      <c r="G7" s="31">
        <v>787</v>
      </c>
      <c r="H7" s="34">
        <v>3.3999999999999998E-3</v>
      </c>
      <c r="I7" s="34">
        <v>1.1999999999999999E-3</v>
      </c>
      <c r="J7" s="77" t="s">
        <v>23</v>
      </c>
    </row>
    <row r="8" spans="1:10" x14ac:dyDescent="0.35">
      <c r="A8" s="38">
        <v>45659</v>
      </c>
      <c r="B8" s="31" t="s">
        <v>52</v>
      </c>
      <c r="C8" s="31" t="s">
        <v>47</v>
      </c>
      <c r="D8" s="32">
        <v>36026</v>
      </c>
      <c r="E8" s="32">
        <v>11604</v>
      </c>
      <c r="F8" s="34">
        <v>0.3221</v>
      </c>
      <c r="G8" s="31">
        <v>74</v>
      </c>
      <c r="H8" s="34">
        <v>6.4000000000000003E-3</v>
      </c>
      <c r="I8" s="34">
        <v>2.0999999999999999E-3</v>
      </c>
      <c r="J8" s="77" t="s">
        <v>23</v>
      </c>
    </row>
    <row r="9" spans="1:10" x14ac:dyDescent="0.35">
      <c r="A9" s="38">
        <v>45659</v>
      </c>
      <c r="B9" s="31" t="s">
        <v>53</v>
      </c>
      <c r="C9" s="31" t="s">
        <v>54</v>
      </c>
      <c r="D9" s="32">
        <v>626910</v>
      </c>
      <c r="E9" s="32">
        <v>255285</v>
      </c>
      <c r="F9" s="34">
        <v>0.40720000000000001</v>
      </c>
      <c r="G9" s="32">
        <v>1280</v>
      </c>
      <c r="H9" s="34">
        <v>5.0000000000000001E-3</v>
      </c>
      <c r="I9" s="34">
        <v>2E-3</v>
      </c>
      <c r="J9" s="77" t="s">
        <v>23</v>
      </c>
    </row>
    <row r="10" spans="1:10" x14ac:dyDescent="0.35">
      <c r="A10" s="38">
        <v>45659</v>
      </c>
      <c r="B10" s="31" t="s">
        <v>55</v>
      </c>
      <c r="C10" s="31" t="s">
        <v>47</v>
      </c>
      <c r="D10" s="32">
        <v>36081</v>
      </c>
      <c r="E10" s="32">
        <v>14799</v>
      </c>
      <c r="F10" s="34">
        <v>0.41020000000000001</v>
      </c>
      <c r="G10" s="31">
        <v>103</v>
      </c>
      <c r="H10" s="34">
        <v>7.0000000000000001E-3</v>
      </c>
      <c r="I10" s="34">
        <v>2.8999999999999998E-3</v>
      </c>
      <c r="J10" s="77" t="s">
        <v>23</v>
      </c>
    </row>
    <row r="11" spans="1:10" x14ac:dyDescent="0.35">
      <c r="A11" s="38">
        <v>45659</v>
      </c>
      <c r="B11" s="31" t="s">
        <v>56</v>
      </c>
      <c r="C11" s="31" t="s">
        <v>7</v>
      </c>
      <c r="D11" s="32">
        <v>57789</v>
      </c>
      <c r="E11" s="32">
        <v>19285</v>
      </c>
      <c r="F11" s="33">
        <v>0.33371402862136401</v>
      </c>
      <c r="G11" s="32">
        <v>400</v>
      </c>
      <c r="H11" s="33">
        <v>2.0741508944775701E-2</v>
      </c>
      <c r="I11" s="33">
        <v>6.9217325096471603E-3</v>
      </c>
      <c r="J11" s="77" t="s">
        <v>24</v>
      </c>
    </row>
    <row r="12" spans="1:10" x14ac:dyDescent="0.35">
      <c r="A12" s="38">
        <v>45659</v>
      </c>
      <c r="B12" s="31" t="s">
        <v>57</v>
      </c>
      <c r="C12" s="31" t="s">
        <v>7</v>
      </c>
      <c r="D12" s="32">
        <v>218356</v>
      </c>
      <c r="E12" s="32">
        <v>75890</v>
      </c>
      <c r="F12" s="33">
        <v>0.34755170455586298</v>
      </c>
      <c r="G12" s="32">
        <v>1882</v>
      </c>
      <c r="H12" s="33">
        <v>2.47990512584003E-2</v>
      </c>
      <c r="I12" s="33">
        <v>8.6189525362252491E-3</v>
      </c>
      <c r="J12" s="77" t="s">
        <v>23</v>
      </c>
    </row>
    <row r="13" spans="1:10" x14ac:dyDescent="0.35">
      <c r="A13" s="38">
        <v>45659</v>
      </c>
      <c r="B13" s="31" t="s">
        <v>57</v>
      </c>
      <c r="C13" s="31" t="s">
        <v>8</v>
      </c>
      <c r="D13" s="32">
        <v>12118</v>
      </c>
      <c r="E13" s="32">
        <v>4542</v>
      </c>
      <c r="F13" s="33">
        <v>0.374814325796336</v>
      </c>
      <c r="G13" s="32">
        <v>144</v>
      </c>
      <c r="H13" s="33">
        <v>3.1704095112285301E-2</v>
      </c>
      <c r="I13" s="33">
        <v>1.1883149034494099E-2</v>
      </c>
      <c r="J13" s="77" t="s">
        <v>23</v>
      </c>
    </row>
    <row r="14" spans="1:10" x14ac:dyDescent="0.35">
      <c r="A14" s="38">
        <v>45659</v>
      </c>
      <c r="B14" s="31" t="s">
        <v>58</v>
      </c>
      <c r="C14" s="31" t="s">
        <v>7</v>
      </c>
      <c r="D14" s="32">
        <v>262648</v>
      </c>
      <c r="E14" s="32">
        <v>93723</v>
      </c>
      <c r="F14" s="33">
        <v>0.356838810879961</v>
      </c>
      <c r="G14" s="32">
        <v>1651</v>
      </c>
      <c r="H14" s="33">
        <v>1.7615739999786599E-2</v>
      </c>
      <c r="I14" s="33">
        <v>6.2859797142944202E-3</v>
      </c>
      <c r="J14" s="77" t="s">
        <v>23</v>
      </c>
    </row>
    <row r="15" spans="1:10" x14ac:dyDescent="0.35">
      <c r="A15" s="38">
        <v>45659</v>
      </c>
      <c r="B15" s="31" t="s">
        <v>58</v>
      </c>
      <c r="C15" s="31" t="s">
        <v>8</v>
      </c>
      <c r="D15" s="32">
        <v>746</v>
      </c>
      <c r="E15" s="32">
        <v>348</v>
      </c>
      <c r="F15" s="33">
        <v>0.46648793565683599</v>
      </c>
      <c r="G15" s="32">
        <v>10</v>
      </c>
      <c r="H15" s="33">
        <v>2.8735632183908E-2</v>
      </c>
      <c r="I15" s="33">
        <v>1.34048257372654E-2</v>
      </c>
      <c r="J15" s="77" t="s">
        <v>23</v>
      </c>
    </row>
    <row r="16" spans="1:10" x14ac:dyDescent="0.35">
      <c r="A16" s="38">
        <v>45660</v>
      </c>
      <c r="B16" s="31" t="s">
        <v>67</v>
      </c>
      <c r="C16" s="31" t="s">
        <v>7</v>
      </c>
      <c r="D16" s="32">
        <v>4665943</v>
      </c>
      <c r="E16" s="32">
        <v>1239070</v>
      </c>
      <c r="F16" s="33">
        <v>0.26555618017622601</v>
      </c>
      <c r="G16" s="32">
        <v>27026</v>
      </c>
      <c r="H16" s="33">
        <v>2.18115199302703E-2</v>
      </c>
      <c r="I16" s="33">
        <v>5.7921839165202002E-3</v>
      </c>
      <c r="J16" s="77" t="s">
        <v>23</v>
      </c>
    </row>
    <row r="17" spans="1:17" x14ac:dyDescent="0.35">
      <c r="A17" s="38">
        <v>45660</v>
      </c>
      <c r="B17" s="31" t="s">
        <v>67</v>
      </c>
      <c r="C17" s="31" t="s">
        <v>8</v>
      </c>
      <c r="D17" s="32">
        <v>299126</v>
      </c>
      <c r="E17" s="32">
        <v>84480</v>
      </c>
      <c r="F17" s="33">
        <v>0.28242279173325002</v>
      </c>
      <c r="G17" s="32">
        <v>1968</v>
      </c>
      <c r="H17" s="33">
        <v>2.3295454545454501E-2</v>
      </c>
      <c r="I17" s="33">
        <v>6.5791673074222902E-3</v>
      </c>
      <c r="J17" s="77" t="s">
        <v>23</v>
      </c>
    </row>
    <row r="18" spans="1:17" x14ac:dyDescent="0.35">
      <c r="A18" s="38">
        <v>45664</v>
      </c>
      <c r="B18" s="31" t="s">
        <v>68</v>
      </c>
      <c r="C18" s="31" t="s">
        <v>7</v>
      </c>
      <c r="D18" s="32">
        <v>1404175</v>
      </c>
      <c r="E18" s="32">
        <v>389075</v>
      </c>
      <c r="F18" s="33">
        <v>0.27708440899460501</v>
      </c>
      <c r="G18" s="32">
        <v>9979</v>
      </c>
      <c r="H18" s="33">
        <v>2.5648011308873599E-2</v>
      </c>
      <c r="I18" s="33">
        <v>7.1066640554062E-3</v>
      </c>
      <c r="J18" s="77" t="s">
        <v>23</v>
      </c>
    </row>
    <row r="19" spans="1:17" x14ac:dyDescent="0.35">
      <c r="A19" s="38">
        <v>45664</v>
      </c>
      <c r="B19" s="31" t="s">
        <v>68</v>
      </c>
      <c r="C19" s="31" t="s">
        <v>8</v>
      </c>
      <c r="D19" s="32">
        <v>90045</v>
      </c>
      <c r="E19" s="32">
        <v>29405</v>
      </c>
      <c r="F19" s="33">
        <v>0.32655894275084701</v>
      </c>
      <c r="G19" s="32">
        <v>890</v>
      </c>
      <c r="H19" s="33">
        <v>3.0266961401122301E-2</v>
      </c>
      <c r="I19" s="33">
        <v>9.8839469154311695E-3</v>
      </c>
      <c r="J19" s="77" t="s">
        <v>23</v>
      </c>
    </row>
    <row r="20" spans="1:17" x14ac:dyDescent="0.35">
      <c r="A20" s="38">
        <v>45665</v>
      </c>
      <c r="B20" s="31" t="s">
        <v>69</v>
      </c>
      <c r="C20" s="31" t="s">
        <v>7</v>
      </c>
      <c r="D20" s="32">
        <v>494630</v>
      </c>
      <c r="E20" s="32">
        <v>197047</v>
      </c>
      <c r="F20" s="33">
        <v>0.39837252087418901</v>
      </c>
      <c r="G20" s="32">
        <v>2090</v>
      </c>
      <c r="H20" s="33">
        <v>1.06066065456465E-2</v>
      </c>
      <c r="I20" s="33">
        <v>4.2253805875098601E-3</v>
      </c>
      <c r="J20" s="77" t="s">
        <v>23</v>
      </c>
    </row>
    <row r="21" spans="1:17" x14ac:dyDescent="0.35">
      <c r="A21" s="38">
        <v>45665</v>
      </c>
      <c r="B21" s="31" t="s">
        <v>69</v>
      </c>
      <c r="C21" s="31" t="s">
        <v>8</v>
      </c>
      <c r="D21" s="32">
        <v>30499</v>
      </c>
      <c r="E21" s="32">
        <v>12033</v>
      </c>
      <c r="F21" s="33">
        <v>0.39453752582051899</v>
      </c>
      <c r="G21" s="32">
        <v>161</v>
      </c>
      <c r="H21" s="33">
        <v>1.3379872018615501E-2</v>
      </c>
      <c r="I21" s="33">
        <v>5.2788616020197398E-3</v>
      </c>
      <c r="J21" s="77" t="s">
        <v>23</v>
      </c>
    </row>
    <row r="22" spans="1:17" x14ac:dyDescent="0.35">
      <c r="A22" s="38">
        <v>45665</v>
      </c>
      <c r="B22" s="31" t="s">
        <v>70</v>
      </c>
      <c r="C22" s="31" t="s">
        <v>7</v>
      </c>
      <c r="D22" s="32">
        <v>255343</v>
      </c>
      <c r="E22" s="32">
        <v>111119</v>
      </c>
      <c r="F22" s="33">
        <v>0.435175430695183</v>
      </c>
      <c r="G22" s="32">
        <v>897</v>
      </c>
      <c r="H22" s="33">
        <v>8.0724268576930994E-3</v>
      </c>
      <c r="I22" s="33">
        <v>3.5129218345519601E-3</v>
      </c>
      <c r="J22" s="77" t="s">
        <v>23</v>
      </c>
    </row>
    <row r="23" spans="1:17" x14ac:dyDescent="0.35">
      <c r="A23" s="38">
        <v>45666</v>
      </c>
      <c r="B23" s="31" t="s">
        <v>44</v>
      </c>
      <c r="C23" s="31" t="s">
        <v>20</v>
      </c>
      <c r="D23" s="32">
        <v>552758</v>
      </c>
      <c r="E23" s="32">
        <v>189020</v>
      </c>
      <c r="F23" s="34">
        <v>0.34200000000000003</v>
      </c>
      <c r="G23" s="31">
        <v>582</v>
      </c>
      <c r="H23" s="34">
        <v>3.0999999999999999E-3</v>
      </c>
      <c r="I23" s="34">
        <v>1.1000000000000001E-3</v>
      </c>
      <c r="J23" s="77" t="s">
        <v>23</v>
      </c>
    </row>
    <row r="24" spans="1:17" x14ac:dyDescent="0.35">
      <c r="A24" s="38">
        <v>45666</v>
      </c>
      <c r="B24" s="31" t="s">
        <v>46</v>
      </c>
      <c r="C24" s="31" t="s">
        <v>21</v>
      </c>
      <c r="D24" s="32">
        <v>38832</v>
      </c>
      <c r="E24" s="32">
        <v>12505</v>
      </c>
      <c r="F24" s="34">
        <v>0.32200000000000001</v>
      </c>
      <c r="G24" s="31">
        <v>46</v>
      </c>
      <c r="H24" s="34">
        <v>3.7000000000000002E-3</v>
      </c>
      <c r="I24" s="34">
        <v>1.1999999999999999E-3</v>
      </c>
      <c r="J24" s="77" t="s">
        <v>23</v>
      </c>
    </row>
    <row r="25" spans="1:17" x14ac:dyDescent="0.35">
      <c r="A25" s="38">
        <v>45666</v>
      </c>
      <c r="B25" s="31" t="s">
        <v>48</v>
      </c>
      <c r="C25" s="31" t="s">
        <v>20</v>
      </c>
      <c r="D25" s="32">
        <v>739478</v>
      </c>
      <c r="E25" s="32">
        <v>277070</v>
      </c>
      <c r="F25" s="34">
        <v>0.37469999999999998</v>
      </c>
      <c r="G25" s="31">
        <v>858</v>
      </c>
      <c r="H25" s="34">
        <v>3.0999999999999999E-3</v>
      </c>
      <c r="I25" s="34">
        <v>1.1999999999999999E-3</v>
      </c>
      <c r="J25" s="77" t="s">
        <v>23</v>
      </c>
      <c r="L25" s="1"/>
      <c r="M25" s="1"/>
      <c r="N25" s="2"/>
      <c r="O25" s="1"/>
      <c r="P25" s="2"/>
      <c r="Q25" s="2"/>
    </row>
    <row r="26" spans="1:17" x14ac:dyDescent="0.35">
      <c r="A26" s="38">
        <v>45666</v>
      </c>
      <c r="B26" s="31" t="s">
        <v>49</v>
      </c>
      <c r="C26" s="31" t="s">
        <v>21</v>
      </c>
      <c r="D26" s="32">
        <v>44894</v>
      </c>
      <c r="E26" s="32">
        <v>16380</v>
      </c>
      <c r="F26" s="34">
        <v>0.3649</v>
      </c>
      <c r="G26" s="31">
        <v>60</v>
      </c>
      <c r="H26" s="34">
        <v>3.7000000000000002E-3</v>
      </c>
      <c r="I26" s="34">
        <v>1.2999999999999999E-3</v>
      </c>
      <c r="J26" s="77" t="s">
        <v>23</v>
      </c>
    </row>
    <row r="27" spans="1:17" x14ac:dyDescent="0.35">
      <c r="A27" s="38">
        <v>45666</v>
      </c>
      <c r="B27" s="31" t="s">
        <v>51</v>
      </c>
      <c r="C27" s="31" t="s">
        <v>17</v>
      </c>
      <c r="D27" s="32">
        <v>665632</v>
      </c>
      <c r="E27" s="32">
        <v>233333</v>
      </c>
      <c r="F27" s="34">
        <v>0.35049999999999998</v>
      </c>
      <c r="G27" s="31">
        <v>799</v>
      </c>
      <c r="H27" s="34">
        <v>3.3999999999999998E-3</v>
      </c>
      <c r="I27" s="34">
        <v>1.1999999999999999E-3</v>
      </c>
      <c r="J27" s="77" t="s">
        <v>23</v>
      </c>
    </row>
    <row r="28" spans="1:17" x14ac:dyDescent="0.35">
      <c r="A28" s="38">
        <v>45666</v>
      </c>
      <c r="B28" s="31" t="s">
        <v>52</v>
      </c>
      <c r="C28" s="31" t="s">
        <v>18</v>
      </c>
      <c r="D28" s="32">
        <v>34968</v>
      </c>
      <c r="E28" s="32">
        <v>12204</v>
      </c>
      <c r="F28" s="34">
        <v>0.34899999999999998</v>
      </c>
      <c r="G28" s="31">
        <v>57</v>
      </c>
      <c r="H28" s="34">
        <v>4.7000000000000002E-3</v>
      </c>
      <c r="I28" s="34">
        <v>1.6000000000000001E-3</v>
      </c>
      <c r="J28" s="77" t="s">
        <v>23</v>
      </c>
    </row>
    <row r="29" spans="1:17" x14ac:dyDescent="0.35">
      <c r="A29" s="38">
        <v>45666</v>
      </c>
      <c r="B29" s="31" t="s">
        <v>53</v>
      </c>
      <c r="C29" s="31" t="s">
        <v>17</v>
      </c>
      <c r="D29" s="32">
        <v>613383</v>
      </c>
      <c r="E29" s="32">
        <v>256841</v>
      </c>
      <c r="F29" s="34">
        <v>0.41870000000000002</v>
      </c>
      <c r="G29" s="31">
        <v>934</v>
      </c>
      <c r="H29" s="34">
        <v>3.5999999999999999E-3</v>
      </c>
      <c r="I29" s="34">
        <v>1.5E-3</v>
      </c>
      <c r="J29" s="77" t="s">
        <v>23</v>
      </c>
    </row>
    <row r="30" spans="1:17" x14ac:dyDescent="0.35">
      <c r="A30" s="38">
        <v>45666</v>
      </c>
      <c r="B30" s="31" t="s">
        <v>55</v>
      </c>
      <c r="C30" s="31" t="s">
        <v>18</v>
      </c>
      <c r="D30" s="32">
        <v>35327</v>
      </c>
      <c r="E30" s="32">
        <v>15281</v>
      </c>
      <c r="F30" s="34">
        <v>0.43259999999999998</v>
      </c>
      <c r="G30" s="31">
        <v>74</v>
      </c>
      <c r="H30" s="34">
        <v>4.7999999999999996E-3</v>
      </c>
      <c r="I30" s="34">
        <v>2.0999999999999999E-3</v>
      </c>
      <c r="J30" s="77" t="s">
        <v>23</v>
      </c>
    </row>
    <row r="31" spans="1:17" x14ac:dyDescent="0.35">
      <c r="A31" s="38">
        <v>45666</v>
      </c>
      <c r="B31" s="31" t="s">
        <v>71</v>
      </c>
      <c r="C31" s="31" t="s">
        <v>7</v>
      </c>
      <c r="D31" s="32">
        <v>220973</v>
      </c>
      <c r="E31" s="32">
        <v>99575</v>
      </c>
      <c r="F31" s="33">
        <v>0.45062066406302997</v>
      </c>
      <c r="G31" s="32">
        <v>1964</v>
      </c>
      <c r="H31" s="33">
        <v>1.9723826261611899E-2</v>
      </c>
      <c r="I31" s="33">
        <v>8.8879636878713697E-3</v>
      </c>
      <c r="J31" s="77" t="s">
        <v>23</v>
      </c>
    </row>
    <row r="32" spans="1:17" x14ac:dyDescent="0.35">
      <c r="A32" s="38">
        <v>45666</v>
      </c>
      <c r="B32" s="31" t="s">
        <v>71</v>
      </c>
      <c r="C32" s="31" t="s">
        <v>8</v>
      </c>
      <c r="D32" s="32">
        <v>13371</v>
      </c>
      <c r="E32" s="32">
        <v>6366</v>
      </c>
      <c r="F32" s="33">
        <v>0.476105003365492</v>
      </c>
      <c r="G32" s="32">
        <v>256</v>
      </c>
      <c r="H32" s="33">
        <v>4.0213634935595301E-2</v>
      </c>
      <c r="I32" s="33">
        <v>1.9145912796350299E-2</v>
      </c>
      <c r="J32" s="77" t="s">
        <v>23</v>
      </c>
    </row>
    <row r="33" spans="1:10" x14ac:dyDescent="0.35">
      <c r="A33" s="38">
        <v>45666</v>
      </c>
      <c r="B33" s="31" t="s">
        <v>72</v>
      </c>
      <c r="C33" s="31" t="s">
        <v>7</v>
      </c>
      <c r="D33" s="32">
        <v>1315014</v>
      </c>
      <c r="E33" s="32">
        <v>445010</v>
      </c>
      <c r="F33" s="33">
        <v>0.33840704357520102</v>
      </c>
      <c r="G33" s="32">
        <v>3380</v>
      </c>
      <c r="H33" s="33">
        <v>7.59533493629357E-3</v>
      </c>
      <c r="I33" s="33">
        <v>2.5703148407545499E-3</v>
      </c>
      <c r="J33" s="77" t="s">
        <v>23</v>
      </c>
    </row>
    <row r="34" spans="1:10" x14ac:dyDescent="0.35">
      <c r="A34" s="38">
        <v>45667</v>
      </c>
      <c r="B34" s="31" t="s">
        <v>77</v>
      </c>
      <c r="C34" s="31" t="s">
        <v>7</v>
      </c>
      <c r="D34" s="32">
        <v>279094</v>
      </c>
      <c r="E34" s="32">
        <v>108599</v>
      </c>
      <c r="F34" s="33">
        <v>0.38911262872007302</v>
      </c>
      <c r="G34" s="32">
        <v>1288</v>
      </c>
      <c r="H34" s="33">
        <v>1.1860146041860401E-2</v>
      </c>
      <c r="I34" s="33">
        <v>4.61493260335228E-3</v>
      </c>
      <c r="J34" s="85" t="s">
        <v>24</v>
      </c>
    </row>
    <row r="35" spans="1:10" x14ac:dyDescent="0.35">
      <c r="A35" s="38">
        <v>45667</v>
      </c>
      <c r="B35" s="31" t="s">
        <v>77</v>
      </c>
      <c r="C35" s="31" t="s">
        <v>8</v>
      </c>
      <c r="D35" s="32">
        <v>827</v>
      </c>
      <c r="E35" s="32">
        <v>401</v>
      </c>
      <c r="F35" s="33">
        <v>0.48488512696493402</v>
      </c>
      <c r="G35" s="32">
        <v>20</v>
      </c>
      <c r="H35" s="33">
        <v>4.9875311720698298E-2</v>
      </c>
      <c r="I35" s="33">
        <v>2.4183796856106402E-2</v>
      </c>
      <c r="J35" s="85" t="s">
        <v>24</v>
      </c>
    </row>
    <row r="36" spans="1:10" x14ac:dyDescent="0.35">
      <c r="A36" s="38">
        <v>45667</v>
      </c>
      <c r="B36" s="31" t="s">
        <v>78</v>
      </c>
      <c r="C36" s="31" t="s">
        <v>7</v>
      </c>
      <c r="D36" s="32">
        <v>5243648</v>
      </c>
      <c r="E36" s="32">
        <v>1504180</v>
      </c>
      <c r="F36" s="33">
        <v>0.28685754650197698</v>
      </c>
      <c r="G36" s="32">
        <v>24988</v>
      </c>
      <c r="H36" s="33">
        <v>1.66123735191267E-2</v>
      </c>
      <c r="I36" s="33">
        <v>4.7653847092711003E-3</v>
      </c>
      <c r="J36" s="85" t="s">
        <v>23</v>
      </c>
    </row>
    <row r="37" spans="1:10" x14ac:dyDescent="0.35">
      <c r="A37" s="38">
        <v>45667</v>
      </c>
      <c r="B37" s="31" t="s">
        <v>78</v>
      </c>
      <c r="C37" s="31" t="s">
        <v>8</v>
      </c>
      <c r="D37" s="32">
        <v>337539</v>
      </c>
      <c r="E37" s="32">
        <v>96525</v>
      </c>
      <c r="F37" s="33">
        <v>0.28596695492965302</v>
      </c>
      <c r="G37" s="32">
        <v>1895</v>
      </c>
      <c r="H37" s="33">
        <v>1.9632219632219599E-2</v>
      </c>
      <c r="I37" s="33">
        <v>5.6141660667359903E-3</v>
      </c>
      <c r="J37" s="85" t="s">
        <v>23</v>
      </c>
    </row>
    <row r="38" spans="1:10" x14ac:dyDescent="0.35">
      <c r="A38" s="38">
        <v>45669</v>
      </c>
      <c r="B38" s="31" t="s">
        <v>79</v>
      </c>
      <c r="C38" s="31" t="s">
        <v>7</v>
      </c>
      <c r="D38" s="32">
        <v>6720624</v>
      </c>
      <c r="E38" s="32">
        <v>2571311</v>
      </c>
      <c r="F38" s="33">
        <v>0.38260003832977402</v>
      </c>
      <c r="G38" s="32">
        <v>120459</v>
      </c>
      <c r="H38" s="33">
        <v>4.6847308629722299E-2</v>
      </c>
      <c r="I38" s="33">
        <v>1.7923782077378499E-2</v>
      </c>
      <c r="J38" s="85" t="s">
        <v>101</v>
      </c>
    </row>
    <row r="39" spans="1:10" x14ac:dyDescent="0.35">
      <c r="A39" s="38">
        <v>45669</v>
      </c>
      <c r="B39" s="31" t="s">
        <v>79</v>
      </c>
      <c r="C39" s="31" t="s">
        <v>8</v>
      </c>
      <c r="D39" s="32">
        <v>432113</v>
      </c>
      <c r="E39" s="32">
        <v>165909</v>
      </c>
      <c r="F39" s="33">
        <v>0.383948180221377</v>
      </c>
      <c r="G39" s="32">
        <v>9993</v>
      </c>
      <c r="H39" s="33">
        <v>6.0231813825651397E-2</v>
      </c>
      <c r="I39" s="33">
        <v>2.31258953097917E-2</v>
      </c>
      <c r="J39" s="85" t="s">
        <v>101</v>
      </c>
    </row>
    <row r="40" spans="1:10" x14ac:dyDescent="0.35">
      <c r="A40" s="38">
        <v>45670</v>
      </c>
      <c r="B40" s="31" t="s">
        <v>80</v>
      </c>
      <c r="C40" s="31" t="s">
        <v>7</v>
      </c>
      <c r="D40" s="32">
        <v>3338620</v>
      </c>
      <c r="E40" s="32">
        <v>1337346</v>
      </c>
      <c r="F40" s="33">
        <v>0.40056849836159902</v>
      </c>
      <c r="G40" s="32">
        <v>21166</v>
      </c>
      <c r="H40" s="33">
        <v>1.5826869037631201E-2</v>
      </c>
      <c r="I40" s="33">
        <v>6.3397451641696301E-3</v>
      </c>
      <c r="J40" s="85" t="s">
        <v>101</v>
      </c>
    </row>
    <row r="41" spans="1:10" x14ac:dyDescent="0.35">
      <c r="A41" s="38">
        <v>45670</v>
      </c>
      <c r="B41" s="31" t="s">
        <v>80</v>
      </c>
      <c r="C41" s="31" t="s">
        <v>8</v>
      </c>
      <c r="D41" s="32">
        <v>170855</v>
      </c>
      <c r="E41" s="32">
        <v>72238</v>
      </c>
      <c r="F41" s="33">
        <v>0.42280296157560499</v>
      </c>
      <c r="G41" s="32">
        <v>1936</v>
      </c>
      <c r="H41" s="33">
        <v>2.6800299011600501E-2</v>
      </c>
      <c r="I41" s="33">
        <v>1.13312457932165E-2</v>
      </c>
      <c r="J41" s="85" t="s">
        <v>101</v>
      </c>
    </row>
    <row r="42" spans="1:10" x14ac:dyDescent="0.35">
      <c r="A42" s="38">
        <v>45670</v>
      </c>
      <c r="B42" s="31" t="s">
        <v>81</v>
      </c>
      <c r="C42" s="31" t="s">
        <v>7</v>
      </c>
      <c r="D42" s="32">
        <v>2900</v>
      </c>
      <c r="E42" s="32">
        <v>1320</v>
      </c>
      <c r="F42" s="33">
        <v>0.45517241379310303</v>
      </c>
      <c r="G42" s="32">
        <v>216</v>
      </c>
      <c r="H42" s="33">
        <v>0.163636363636364</v>
      </c>
      <c r="I42" s="33">
        <v>7.4482758620689593E-2</v>
      </c>
      <c r="J42" s="85" t="s">
        <v>102</v>
      </c>
    </row>
    <row r="43" spans="1:10" x14ac:dyDescent="0.35">
      <c r="A43" s="38">
        <v>45671</v>
      </c>
      <c r="B43" s="31" t="s">
        <v>82</v>
      </c>
      <c r="C43" s="31" t="s">
        <v>7</v>
      </c>
      <c r="D43" s="32">
        <v>1478481</v>
      </c>
      <c r="E43" s="32">
        <v>479256</v>
      </c>
      <c r="F43" s="33">
        <v>0.32415431784378701</v>
      </c>
      <c r="G43" s="32">
        <v>10042</v>
      </c>
      <c r="H43" s="33">
        <v>2.09533109653296E-2</v>
      </c>
      <c r="I43" s="33">
        <v>6.7921062225351596E-3</v>
      </c>
      <c r="J43" s="85" t="s">
        <v>23</v>
      </c>
    </row>
    <row r="44" spans="1:10" x14ac:dyDescent="0.35">
      <c r="A44" s="38">
        <v>45671</v>
      </c>
      <c r="B44" s="31" t="s">
        <v>82</v>
      </c>
      <c r="C44" s="31" t="s">
        <v>8</v>
      </c>
      <c r="D44" s="32">
        <v>94699</v>
      </c>
      <c r="E44" s="32">
        <v>30685</v>
      </c>
      <c r="F44" s="33">
        <v>0.32402665286856203</v>
      </c>
      <c r="G44" s="32">
        <v>806</v>
      </c>
      <c r="H44" s="33">
        <v>2.6266905654228401E-2</v>
      </c>
      <c r="I44" s="33">
        <v>8.5111775203539596E-3</v>
      </c>
      <c r="J44" s="85" t="s">
        <v>23</v>
      </c>
    </row>
    <row r="45" spans="1:10" x14ac:dyDescent="0.35">
      <c r="A45" s="38">
        <v>45671</v>
      </c>
      <c r="B45" s="31" t="s">
        <v>83</v>
      </c>
      <c r="C45" s="31" t="s">
        <v>7</v>
      </c>
      <c r="D45" s="32">
        <v>55524</v>
      </c>
      <c r="E45" s="32">
        <v>29651</v>
      </c>
      <c r="F45" s="33">
        <v>0.53402132411209602</v>
      </c>
      <c r="G45" s="32">
        <v>1111</v>
      </c>
      <c r="H45" s="33">
        <v>3.7469225321237101E-2</v>
      </c>
      <c r="I45" s="33">
        <v>2.0009365319501499E-2</v>
      </c>
      <c r="J45" s="85" t="s">
        <v>23</v>
      </c>
    </row>
    <row r="46" spans="1:10" x14ac:dyDescent="0.35">
      <c r="A46" s="38">
        <v>45671</v>
      </c>
      <c r="B46" s="31" t="s">
        <v>83</v>
      </c>
      <c r="C46" s="31" t="s">
        <v>8</v>
      </c>
      <c r="D46" s="32">
        <v>2367</v>
      </c>
      <c r="E46" s="32">
        <v>1305</v>
      </c>
      <c r="F46" s="33">
        <v>0.55133079847908795</v>
      </c>
      <c r="G46" s="32">
        <v>58</v>
      </c>
      <c r="H46" s="33">
        <v>4.4444444444444398E-2</v>
      </c>
      <c r="I46" s="33">
        <v>2.4503591043514999E-2</v>
      </c>
      <c r="J46" s="85" t="s">
        <v>23</v>
      </c>
    </row>
    <row r="47" spans="1:10" x14ac:dyDescent="0.35">
      <c r="A47" s="38">
        <v>45672</v>
      </c>
      <c r="B47" s="31" t="s">
        <v>84</v>
      </c>
      <c r="C47" s="31" t="s">
        <v>85</v>
      </c>
      <c r="D47" s="32">
        <v>13209</v>
      </c>
      <c r="E47" s="32">
        <v>3438</v>
      </c>
      <c r="F47" s="33">
        <v>0.260277083806496</v>
      </c>
      <c r="G47" s="32">
        <v>589</v>
      </c>
      <c r="H47" s="33">
        <v>0.171320535194881</v>
      </c>
      <c r="I47" s="33">
        <v>4.4590809296691701E-2</v>
      </c>
      <c r="J47" s="85" t="s">
        <v>25</v>
      </c>
    </row>
    <row r="48" spans="1:10" x14ac:dyDescent="0.35">
      <c r="A48" s="38">
        <v>45672</v>
      </c>
      <c r="B48" s="31" t="s">
        <v>86</v>
      </c>
      <c r="C48" s="31" t="s">
        <v>87</v>
      </c>
      <c r="D48" s="32">
        <v>3350</v>
      </c>
      <c r="E48" s="32">
        <v>436</v>
      </c>
      <c r="F48" s="33">
        <v>0.13014925373134301</v>
      </c>
      <c r="G48" s="32">
        <v>88</v>
      </c>
      <c r="H48" s="33">
        <v>0.201834862385321</v>
      </c>
      <c r="I48" s="33">
        <v>2.6268656716417899E-2</v>
      </c>
      <c r="J48" s="85" t="s">
        <v>25</v>
      </c>
    </row>
    <row r="49" spans="1:10" x14ac:dyDescent="0.35">
      <c r="A49" s="38">
        <v>45672</v>
      </c>
      <c r="B49" s="31" t="s">
        <v>88</v>
      </c>
      <c r="C49" s="31" t="s">
        <v>7</v>
      </c>
      <c r="D49" s="32">
        <v>381611</v>
      </c>
      <c r="E49" s="32">
        <v>135920</v>
      </c>
      <c r="F49" s="33">
        <v>0.35617421929661403</v>
      </c>
      <c r="G49" s="32">
        <v>1256</v>
      </c>
      <c r="H49" s="33">
        <v>9.2407298410829893E-3</v>
      </c>
      <c r="I49" s="33">
        <v>3.2913097368786502E-3</v>
      </c>
      <c r="J49" s="85" t="s">
        <v>23</v>
      </c>
    </row>
    <row r="50" spans="1:10" x14ac:dyDescent="0.35">
      <c r="A50" s="38">
        <v>45672</v>
      </c>
      <c r="B50" s="31" t="s">
        <v>88</v>
      </c>
      <c r="C50" s="31" t="s">
        <v>8</v>
      </c>
      <c r="D50" s="32">
        <v>17287</v>
      </c>
      <c r="E50" s="32">
        <v>6519</v>
      </c>
      <c r="F50" s="33">
        <v>0.37710418233354498</v>
      </c>
      <c r="G50" s="32">
        <v>95</v>
      </c>
      <c r="H50" s="33">
        <v>1.45727872373063E-2</v>
      </c>
      <c r="I50" s="33">
        <v>5.4954590154451298E-3</v>
      </c>
      <c r="J50" s="85" t="s">
        <v>23</v>
      </c>
    </row>
    <row r="51" spans="1:10" x14ac:dyDescent="0.35">
      <c r="A51" s="38">
        <v>45672</v>
      </c>
      <c r="B51" s="31" t="s">
        <v>89</v>
      </c>
      <c r="C51" s="31" t="s">
        <v>90</v>
      </c>
      <c r="D51" s="32">
        <v>152366</v>
      </c>
      <c r="E51" s="32">
        <v>68865</v>
      </c>
      <c r="F51" s="33">
        <v>0.45197091214575402</v>
      </c>
      <c r="G51" s="32">
        <v>944</v>
      </c>
      <c r="H51" s="33">
        <v>1.37079793799463E-2</v>
      </c>
      <c r="I51" s="33">
        <v>6.1956079440295096E-3</v>
      </c>
      <c r="J51" s="85" t="s">
        <v>23</v>
      </c>
    </row>
    <row r="52" spans="1:10" x14ac:dyDescent="0.35">
      <c r="A52" s="38">
        <v>45672</v>
      </c>
      <c r="B52" s="31" t="s">
        <v>89</v>
      </c>
      <c r="C52" s="31" t="s">
        <v>91</v>
      </c>
      <c r="D52" s="32">
        <v>696</v>
      </c>
      <c r="E52" s="32">
        <v>308</v>
      </c>
      <c r="F52" s="33">
        <v>0.44252873563218398</v>
      </c>
      <c r="G52" s="32">
        <v>7</v>
      </c>
      <c r="H52" s="33">
        <v>2.27272727272727E-2</v>
      </c>
      <c r="I52" s="33">
        <v>1.00574712643678E-2</v>
      </c>
      <c r="J52" s="85" t="s">
        <v>23</v>
      </c>
    </row>
    <row r="53" spans="1:10" x14ac:dyDescent="0.35">
      <c r="A53" s="38">
        <v>45673</v>
      </c>
      <c r="B53" s="31" t="s">
        <v>51</v>
      </c>
      <c r="C53" s="31" t="s">
        <v>20</v>
      </c>
      <c r="D53" s="32">
        <v>654297</v>
      </c>
      <c r="E53" s="32">
        <v>228368</v>
      </c>
      <c r="F53" s="34">
        <v>0.34899999999999998</v>
      </c>
      <c r="G53" s="31">
        <v>684</v>
      </c>
      <c r="H53" s="34">
        <v>3.0000000000000001E-3</v>
      </c>
      <c r="I53" s="34">
        <v>1E-3</v>
      </c>
      <c r="J53" s="85" t="s">
        <v>23</v>
      </c>
    </row>
    <row r="54" spans="1:10" x14ac:dyDescent="0.35">
      <c r="A54" s="38">
        <v>45673</v>
      </c>
      <c r="B54" s="31" t="s">
        <v>52</v>
      </c>
      <c r="C54" s="31" t="s">
        <v>21</v>
      </c>
      <c r="D54" s="32">
        <v>34510</v>
      </c>
      <c r="E54" s="32">
        <v>12016</v>
      </c>
      <c r="F54" s="34">
        <v>0.34820000000000001</v>
      </c>
      <c r="G54" s="31">
        <v>39</v>
      </c>
      <c r="H54" s="34">
        <v>3.2000000000000002E-3</v>
      </c>
      <c r="I54" s="34">
        <v>1.1000000000000001E-3</v>
      </c>
      <c r="J54" s="85" t="s">
        <v>23</v>
      </c>
    </row>
    <row r="55" spans="1:10" x14ac:dyDescent="0.35">
      <c r="A55" s="38">
        <v>45673</v>
      </c>
      <c r="B55" s="31" t="s">
        <v>94</v>
      </c>
      <c r="C55" s="31" t="s">
        <v>95</v>
      </c>
      <c r="D55" s="32">
        <v>611676</v>
      </c>
      <c r="E55" s="32">
        <v>237928</v>
      </c>
      <c r="F55" s="34">
        <v>0.38900000000000001</v>
      </c>
      <c r="G55" s="31">
        <v>887</v>
      </c>
      <c r="H55" s="34">
        <v>3.7000000000000002E-3</v>
      </c>
      <c r="I55" s="34">
        <v>1.5E-3</v>
      </c>
      <c r="J55" s="85" t="s">
        <v>23</v>
      </c>
    </row>
    <row r="56" spans="1:10" x14ac:dyDescent="0.35">
      <c r="A56" s="38">
        <v>45673</v>
      </c>
      <c r="B56" s="31" t="s">
        <v>96</v>
      </c>
      <c r="C56" s="31" t="s">
        <v>100</v>
      </c>
      <c r="D56" s="32">
        <v>38068</v>
      </c>
      <c r="E56" s="32">
        <v>15333</v>
      </c>
      <c r="F56" s="34">
        <v>0.40279999999999999</v>
      </c>
      <c r="G56" s="31">
        <v>64</v>
      </c>
      <c r="H56" s="34">
        <v>4.1999999999999997E-3</v>
      </c>
      <c r="I56" s="34">
        <v>1.6999999999999999E-3</v>
      </c>
      <c r="J56" s="85" t="s">
        <v>23</v>
      </c>
    </row>
    <row r="57" spans="1:10" x14ac:dyDescent="0.35">
      <c r="A57" s="38">
        <v>45673</v>
      </c>
      <c r="B57" s="31" t="s">
        <v>53</v>
      </c>
      <c r="C57" s="31" t="s">
        <v>20</v>
      </c>
      <c r="D57" s="32">
        <v>600988</v>
      </c>
      <c r="E57" s="32">
        <v>251180</v>
      </c>
      <c r="F57" s="34">
        <v>0.41789999999999999</v>
      </c>
      <c r="G57" s="31">
        <v>864</v>
      </c>
      <c r="H57" s="34">
        <v>3.3999999999999998E-3</v>
      </c>
      <c r="I57" s="34">
        <v>1.4E-3</v>
      </c>
      <c r="J57" s="85" t="s">
        <v>23</v>
      </c>
    </row>
    <row r="58" spans="1:10" x14ac:dyDescent="0.35">
      <c r="A58" s="38">
        <v>45673</v>
      </c>
      <c r="B58" s="31" t="s">
        <v>55</v>
      </c>
      <c r="C58" s="31" t="s">
        <v>21</v>
      </c>
      <c r="D58" s="32">
        <v>34737</v>
      </c>
      <c r="E58" s="32">
        <v>15017</v>
      </c>
      <c r="F58" s="34">
        <v>0.43230000000000002</v>
      </c>
      <c r="G58" s="31">
        <v>73</v>
      </c>
      <c r="H58" s="34">
        <v>4.8999999999999998E-3</v>
      </c>
      <c r="I58" s="34">
        <v>2.0999999999999999E-3</v>
      </c>
      <c r="J58" s="85" t="s">
        <v>23</v>
      </c>
    </row>
    <row r="59" spans="1:10" x14ac:dyDescent="0.35">
      <c r="A59" s="38">
        <v>45673</v>
      </c>
      <c r="B59" s="31" t="s">
        <v>99</v>
      </c>
      <c r="C59" s="31" t="s">
        <v>7</v>
      </c>
      <c r="D59" s="32">
        <v>3345798</v>
      </c>
      <c r="E59" s="32">
        <v>1290522</v>
      </c>
      <c r="F59" s="33">
        <v>0.38571426009579801</v>
      </c>
      <c r="G59" s="32">
        <v>18849</v>
      </c>
      <c r="H59" s="33">
        <v>1.46057176863316E-2</v>
      </c>
      <c r="I59" s="33">
        <v>5.6336335905514904E-3</v>
      </c>
      <c r="J59" s="85" t="s">
        <v>101</v>
      </c>
    </row>
    <row r="60" spans="1:10" x14ac:dyDescent="0.35">
      <c r="A60" s="38">
        <v>45673</v>
      </c>
      <c r="B60" s="31" t="s">
        <v>99</v>
      </c>
      <c r="C60" s="31" t="s">
        <v>8</v>
      </c>
      <c r="D60" s="32">
        <v>171221</v>
      </c>
      <c r="E60" s="32">
        <v>70439</v>
      </c>
      <c r="F60" s="33">
        <v>0.411392294169524</v>
      </c>
      <c r="G60" s="32">
        <v>1759</v>
      </c>
      <c r="H60" s="33">
        <v>2.4971961555388399E-2</v>
      </c>
      <c r="I60" s="33">
        <v>1.02732725541844E-2</v>
      </c>
      <c r="J60" s="85" t="s">
        <v>101</v>
      </c>
    </row>
    <row r="61" spans="1:10" x14ac:dyDescent="0.35">
      <c r="A61" s="38">
        <v>45674</v>
      </c>
      <c r="B61" s="31" t="s">
        <v>135</v>
      </c>
      <c r="C61" s="31" t="s">
        <v>7</v>
      </c>
      <c r="D61" s="32">
        <v>4693984</v>
      </c>
      <c r="E61" s="32">
        <v>1223203</v>
      </c>
      <c r="F61" s="33">
        <v>0.26058951202219699</v>
      </c>
      <c r="G61" s="32">
        <v>29380</v>
      </c>
      <c r="H61" s="33">
        <v>2.4018907736491801E-2</v>
      </c>
      <c r="I61" s="33">
        <v>6.2590754463585701E-3</v>
      </c>
      <c r="J61" s="85" t="s">
        <v>23</v>
      </c>
    </row>
    <row r="62" spans="1:10" x14ac:dyDescent="0.35">
      <c r="A62" s="38">
        <v>45674</v>
      </c>
      <c r="B62" s="31" t="s">
        <v>135</v>
      </c>
      <c r="C62" s="31" t="s">
        <v>8</v>
      </c>
      <c r="D62" s="32">
        <v>310931</v>
      </c>
      <c r="E62" s="32">
        <v>87836</v>
      </c>
      <c r="F62" s="33">
        <v>0.282493543583625</v>
      </c>
      <c r="G62" s="32">
        <v>2333</v>
      </c>
      <c r="H62" s="33">
        <v>2.65608634272963E-2</v>
      </c>
      <c r="I62" s="33">
        <v>7.5032724302176402E-3</v>
      </c>
      <c r="J62" s="85" t="s">
        <v>23</v>
      </c>
    </row>
    <row r="63" spans="1:10" x14ac:dyDescent="0.35">
      <c r="A63" s="38">
        <v>45674</v>
      </c>
      <c r="B63" s="31" t="s">
        <v>136</v>
      </c>
      <c r="C63" s="31" t="s">
        <v>7</v>
      </c>
      <c r="D63" s="32">
        <v>1888566</v>
      </c>
      <c r="E63" s="32">
        <v>705386</v>
      </c>
      <c r="F63" s="33">
        <v>0.37350349418553502</v>
      </c>
      <c r="G63" s="32">
        <v>6144</v>
      </c>
      <c r="H63" s="33">
        <v>8.71012466932998E-3</v>
      </c>
      <c r="I63" s="33">
        <v>3.2532619987863799E-3</v>
      </c>
      <c r="J63" s="85" t="s">
        <v>23</v>
      </c>
    </row>
    <row r="64" spans="1:10" x14ac:dyDescent="0.35">
      <c r="A64" s="38">
        <v>45674</v>
      </c>
      <c r="B64" s="31" t="s">
        <v>136</v>
      </c>
      <c r="C64" s="31" t="s">
        <v>8</v>
      </c>
      <c r="D64" s="32">
        <v>108263</v>
      </c>
      <c r="E64" s="32">
        <v>42617</v>
      </c>
      <c r="F64" s="33">
        <v>0.39364325762264102</v>
      </c>
      <c r="G64" s="32">
        <v>588</v>
      </c>
      <c r="H64" s="33">
        <v>1.37973109322571E-2</v>
      </c>
      <c r="I64" s="33">
        <v>5.4312184218061601E-3</v>
      </c>
      <c r="J64" s="85" t="s">
        <v>23</v>
      </c>
    </row>
    <row r="65" spans="1:10" x14ac:dyDescent="0.35">
      <c r="A65" s="38">
        <v>45674</v>
      </c>
      <c r="B65" s="31" t="s">
        <v>137</v>
      </c>
      <c r="C65" s="31" t="s">
        <v>7</v>
      </c>
      <c r="D65" s="32">
        <v>12611</v>
      </c>
      <c r="E65" s="32">
        <v>6227</v>
      </c>
      <c r="F65" s="33">
        <v>0.49377527555308898</v>
      </c>
      <c r="G65" s="32">
        <v>843</v>
      </c>
      <c r="H65" s="33">
        <v>0.13537819174562399</v>
      </c>
      <c r="I65" s="33">
        <v>6.6846403933074297E-2</v>
      </c>
      <c r="J65" s="85" t="s">
        <v>121</v>
      </c>
    </row>
    <row r="66" spans="1:10" x14ac:dyDescent="0.35">
      <c r="A66" s="38">
        <v>45674</v>
      </c>
      <c r="B66" s="31" t="s">
        <v>138</v>
      </c>
      <c r="C66" s="31" t="s">
        <v>110</v>
      </c>
      <c r="D66" s="32">
        <v>15901</v>
      </c>
      <c r="E66" s="32">
        <v>7020</v>
      </c>
      <c r="F66" s="33">
        <v>0.44148166781963399</v>
      </c>
      <c r="G66" s="32">
        <v>56</v>
      </c>
      <c r="H66" s="33">
        <v>7.9772079772079795E-3</v>
      </c>
      <c r="I66" s="33">
        <v>3.5217910823218701E-3</v>
      </c>
      <c r="J66" s="85" t="s">
        <v>23</v>
      </c>
    </row>
    <row r="67" spans="1:10" x14ac:dyDescent="0.35">
      <c r="A67" s="38">
        <v>45674</v>
      </c>
      <c r="B67" s="31" t="s">
        <v>138</v>
      </c>
      <c r="C67" s="31" t="s">
        <v>90</v>
      </c>
      <c r="D67" s="32">
        <v>302241</v>
      </c>
      <c r="E67" s="32">
        <v>133114</v>
      </c>
      <c r="F67" s="33">
        <v>0.440423370753802</v>
      </c>
      <c r="G67" s="32">
        <v>853</v>
      </c>
      <c r="H67" s="33">
        <v>6.4080412278197602E-3</v>
      </c>
      <c r="I67" s="33">
        <v>2.82225111748572E-3</v>
      </c>
      <c r="J67" s="85" t="s">
        <v>23</v>
      </c>
    </row>
    <row r="68" spans="1:10" x14ac:dyDescent="0.35">
      <c r="A68" s="38">
        <v>45674</v>
      </c>
      <c r="B68" s="31" t="s">
        <v>138</v>
      </c>
      <c r="C68" s="31" t="s">
        <v>111</v>
      </c>
      <c r="D68" s="32">
        <v>909</v>
      </c>
      <c r="E68" s="32">
        <v>391</v>
      </c>
      <c r="F68" s="33">
        <v>0.43014301430142998</v>
      </c>
      <c r="G68" s="32">
        <v>3</v>
      </c>
      <c r="H68" s="33">
        <v>7.6726342710997401E-3</v>
      </c>
      <c r="I68" s="33">
        <v>3.3003300330032999E-3</v>
      </c>
      <c r="J68" s="85" t="s">
        <v>23</v>
      </c>
    </row>
    <row r="69" spans="1:10" x14ac:dyDescent="0.35">
      <c r="A69" s="38">
        <v>45674</v>
      </c>
      <c r="B69" s="31" t="s">
        <v>138</v>
      </c>
      <c r="C69" s="31" t="s">
        <v>91</v>
      </c>
      <c r="D69" s="32">
        <v>17039</v>
      </c>
      <c r="E69" s="32">
        <v>7725</v>
      </c>
      <c r="F69" s="33">
        <v>0.45337167674159301</v>
      </c>
      <c r="G69" s="32">
        <v>65</v>
      </c>
      <c r="H69" s="33">
        <v>8.4142394822006496E-3</v>
      </c>
      <c r="I69" s="33">
        <v>3.81477786255062E-3</v>
      </c>
      <c r="J69" s="85" t="s">
        <v>23</v>
      </c>
    </row>
    <row r="70" spans="1:10" x14ac:dyDescent="0.35">
      <c r="A70" s="38">
        <v>45675</v>
      </c>
      <c r="B70" s="31" t="s">
        <v>139</v>
      </c>
      <c r="C70" s="31" t="s">
        <v>7</v>
      </c>
      <c r="D70" s="32">
        <v>40966</v>
      </c>
      <c r="E70" s="32">
        <v>15229</v>
      </c>
      <c r="F70" s="33">
        <v>0.37174730264121503</v>
      </c>
      <c r="G70" s="32">
        <v>763</v>
      </c>
      <c r="H70" s="33">
        <v>5.0101779499638899E-2</v>
      </c>
      <c r="I70" s="33">
        <v>1.8625201386515602E-2</v>
      </c>
      <c r="J70" s="85" t="s">
        <v>101</v>
      </c>
    </row>
    <row r="71" spans="1:10" x14ac:dyDescent="0.35">
      <c r="A71" s="38">
        <v>45675</v>
      </c>
      <c r="B71" s="31" t="s">
        <v>140</v>
      </c>
      <c r="C71" s="31" t="s">
        <v>7</v>
      </c>
      <c r="D71" s="32">
        <v>1394778</v>
      </c>
      <c r="E71" s="32">
        <v>516690</v>
      </c>
      <c r="F71" s="33">
        <v>0.37044604947884202</v>
      </c>
      <c r="G71" s="32">
        <v>7908</v>
      </c>
      <c r="H71" s="33">
        <v>1.53051152528595E-2</v>
      </c>
      <c r="I71" s="33">
        <v>5.6697194822401802E-3</v>
      </c>
      <c r="J71" s="85" t="s">
        <v>23</v>
      </c>
    </row>
    <row r="72" spans="1:10" x14ac:dyDescent="0.35">
      <c r="A72" s="38">
        <v>45675</v>
      </c>
      <c r="B72" s="31" t="s">
        <v>140</v>
      </c>
      <c r="C72" s="31" t="s">
        <v>8</v>
      </c>
      <c r="D72" s="32">
        <v>102985</v>
      </c>
      <c r="E72" s="32">
        <v>32646</v>
      </c>
      <c r="F72" s="33">
        <v>0.31699762101276902</v>
      </c>
      <c r="G72" s="32">
        <v>805</v>
      </c>
      <c r="H72" s="33">
        <v>2.4658457391410898E-2</v>
      </c>
      <c r="I72" s="33">
        <v>7.8166723309219793E-3</v>
      </c>
      <c r="J72" s="85" t="s">
        <v>23</v>
      </c>
    </row>
    <row r="73" spans="1:10" x14ac:dyDescent="0.35">
      <c r="A73" s="38">
        <v>45676</v>
      </c>
      <c r="B73" s="31" t="s">
        <v>141</v>
      </c>
      <c r="C73" s="31" t="s">
        <v>7</v>
      </c>
      <c r="D73" s="32">
        <v>6693078</v>
      </c>
      <c r="E73" s="32">
        <v>2494912</v>
      </c>
      <c r="F73" s="33">
        <v>0.37276003656314799</v>
      </c>
      <c r="G73" s="32">
        <v>75311</v>
      </c>
      <c r="H73" s="33">
        <v>3.01858342097838E-2</v>
      </c>
      <c r="I73" s="33">
        <v>1.12520726637281E-2</v>
      </c>
      <c r="J73" s="85" t="s">
        <v>101</v>
      </c>
    </row>
    <row r="74" spans="1:10" x14ac:dyDescent="0.35">
      <c r="A74" s="38">
        <v>45676</v>
      </c>
      <c r="B74" s="31" t="s">
        <v>141</v>
      </c>
      <c r="C74" s="31" t="s">
        <v>8</v>
      </c>
      <c r="D74" s="32">
        <v>431034</v>
      </c>
      <c r="E74" s="32">
        <v>156979</v>
      </c>
      <c r="F74" s="33">
        <v>0.36419168789468997</v>
      </c>
      <c r="G74" s="32">
        <v>6425</v>
      </c>
      <c r="H74" s="33">
        <v>4.0929041464144902E-2</v>
      </c>
      <c r="I74" s="33">
        <v>1.49060166947387E-2</v>
      </c>
      <c r="J74" s="85" t="s">
        <v>101</v>
      </c>
    </row>
    <row r="75" spans="1:10" x14ac:dyDescent="0.35">
      <c r="A75" s="38">
        <v>45677</v>
      </c>
      <c r="B75" s="31" t="s">
        <v>142</v>
      </c>
      <c r="C75" s="31" t="s">
        <v>7</v>
      </c>
      <c r="D75" s="32">
        <v>800294</v>
      </c>
      <c r="E75" s="32">
        <v>334333</v>
      </c>
      <c r="F75" s="33">
        <v>0.41776272219959198</v>
      </c>
      <c r="G75" s="32">
        <v>4935</v>
      </c>
      <c r="H75" s="33">
        <v>1.47607325630434E-2</v>
      </c>
      <c r="I75" s="33">
        <v>6.1664838171971801E-3</v>
      </c>
      <c r="J75" s="85" t="s">
        <v>101</v>
      </c>
    </row>
    <row r="76" spans="1:10" x14ac:dyDescent="0.35">
      <c r="A76" s="38">
        <v>45677</v>
      </c>
      <c r="B76" s="31" t="s">
        <v>142</v>
      </c>
      <c r="C76" s="31" t="s">
        <v>8</v>
      </c>
      <c r="D76" s="32">
        <v>48547</v>
      </c>
      <c r="E76" s="32">
        <v>21104</v>
      </c>
      <c r="F76" s="33">
        <v>0.43471275259027298</v>
      </c>
      <c r="G76" s="32">
        <v>396</v>
      </c>
      <c r="H76" s="33">
        <v>1.87642153146323E-2</v>
      </c>
      <c r="I76" s="33">
        <v>8.1570436896203705E-3</v>
      </c>
      <c r="J76" s="85" t="s">
        <v>101</v>
      </c>
    </row>
    <row r="77" spans="1:10" x14ac:dyDescent="0.35">
      <c r="A77" s="38">
        <v>45678</v>
      </c>
      <c r="B77" s="31" t="s">
        <v>143</v>
      </c>
      <c r="C77" s="31" t="s">
        <v>7</v>
      </c>
      <c r="D77" s="32">
        <v>1499658</v>
      </c>
      <c r="E77" s="32">
        <v>483034</v>
      </c>
      <c r="F77" s="33">
        <v>0.32209610457851101</v>
      </c>
      <c r="G77" s="32">
        <v>12225</v>
      </c>
      <c r="H77" s="33">
        <v>2.53087774359569E-2</v>
      </c>
      <c r="I77" s="33">
        <v>8.1518586237662206E-3</v>
      </c>
      <c r="J77" s="85" t="s">
        <v>23</v>
      </c>
    </row>
    <row r="78" spans="1:10" x14ac:dyDescent="0.35">
      <c r="A78" s="38">
        <v>45678</v>
      </c>
      <c r="B78" s="31" t="s">
        <v>143</v>
      </c>
      <c r="C78" s="31" t="s">
        <v>8</v>
      </c>
      <c r="D78" s="32">
        <v>95396</v>
      </c>
      <c r="E78" s="32">
        <v>30866</v>
      </c>
      <c r="F78" s="33">
        <v>0.32355654325128902</v>
      </c>
      <c r="G78" s="32">
        <v>909</v>
      </c>
      <c r="H78" s="33">
        <v>2.9449880127000599E-2</v>
      </c>
      <c r="I78" s="33">
        <v>9.5287014130571498E-3</v>
      </c>
      <c r="J78" s="85" t="s">
        <v>23</v>
      </c>
    </row>
    <row r="79" spans="1:10" x14ac:dyDescent="0.35">
      <c r="A79" s="38">
        <v>45679</v>
      </c>
      <c r="B79" s="31" t="s">
        <v>144</v>
      </c>
      <c r="C79" s="31" t="s">
        <v>7</v>
      </c>
      <c r="D79" s="32">
        <v>216166</v>
      </c>
      <c r="E79" s="32">
        <v>73254</v>
      </c>
      <c r="F79" s="33">
        <v>0.33887845452106302</v>
      </c>
      <c r="G79" s="32">
        <v>555</v>
      </c>
      <c r="H79" s="33">
        <v>7.5763780817429804E-3</v>
      </c>
      <c r="I79" s="33">
        <v>2.56747129520831E-3</v>
      </c>
      <c r="J79" s="85" t="s">
        <v>23</v>
      </c>
    </row>
    <row r="80" spans="1:10" x14ac:dyDescent="0.35">
      <c r="A80" s="38">
        <v>45680</v>
      </c>
      <c r="B80" s="31" t="s">
        <v>94</v>
      </c>
      <c r="C80" s="31" t="s">
        <v>17</v>
      </c>
      <c r="D80" s="32">
        <v>560534</v>
      </c>
      <c r="E80" s="32">
        <v>221017</v>
      </c>
      <c r="F80" s="34">
        <v>0.39429999999999998</v>
      </c>
      <c r="G80" s="31">
        <v>650</v>
      </c>
      <c r="H80" s="34">
        <v>2.8999999999999998E-3</v>
      </c>
      <c r="I80" s="34">
        <v>1.1999999999999999E-3</v>
      </c>
      <c r="J80" s="85" t="s">
        <v>23</v>
      </c>
    </row>
    <row r="81" spans="1:10" x14ac:dyDescent="0.35">
      <c r="A81" s="38">
        <v>45680</v>
      </c>
      <c r="B81" s="31" t="s">
        <v>96</v>
      </c>
      <c r="C81" s="31" t="s">
        <v>18</v>
      </c>
      <c r="D81" s="32">
        <v>34936</v>
      </c>
      <c r="E81" s="32">
        <v>14206</v>
      </c>
      <c r="F81" s="34">
        <v>0.40660000000000002</v>
      </c>
      <c r="G81" s="31">
        <v>52</v>
      </c>
      <c r="H81" s="34">
        <v>3.7000000000000002E-3</v>
      </c>
      <c r="I81" s="34">
        <v>1.5E-3</v>
      </c>
      <c r="J81" s="85" t="s">
        <v>23</v>
      </c>
    </row>
    <row r="82" spans="1:10" x14ac:dyDescent="0.35">
      <c r="A82" s="38">
        <v>45680</v>
      </c>
      <c r="B82" s="31" t="s">
        <v>145</v>
      </c>
      <c r="C82" s="31" t="s">
        <v>7</v>
      </c>
      <c r="D82" s="32">
        <v>240618</v>
      </c>
      <c r="E82" s="32">
        <v>94883</v>
      </c>
      <c r="F82" s="33">
        <v>0.39433043246972399</v>
      </c>
      <c r="G82" s="32">
        <v>8635</v>
      </c>
      <c r="H82" s="33">
        <v>9.1006818924359495E-2</v>
      </c>
      <c r="I82" s="33">
        <v>3.5886758264136502E-2</v>
      </c>
      <c r="J82" s="85" t="s">
        <v>102</v>
      </c>
    </row>
    <row r="83" spans="1:10" x14ac:dyDescent="0.35">
      <c r="A83" s="38">
        <v>45680</v>
      </c>
      <c r="B83" s="31" t="s">
        <v>145</v>
      </c>
      <c r="C83" s="31" t="s">
        <v>8</v>
      </c>
      <c r="D83" s="32">
        <v>67080</v>
      </c>
      <c r="E83" s="32">
        <v>27195</v>
      </c>
      <c r="F83" s="33">
        <v>0.40541144901609999</v>
      </c>
      <c r="G83" s="32">
        <v>3185</v>
      </c>
      <c r="H83" s="33">
        <v>0.117117117117117</v>
      </c>
      <c r="I83" s="33">
        <v>4.7480620155038802E-2</v>
      </c>
      <c r="J83" s="85" t="s">
        <v>102</v>
      </c>
    </row>
    <row r="84" spans="1:10" x14ac:dyDescent="0.35">
      <c r="A84" s="38">
        <v>45681</v>
      </c>
      <c r="B84" s="31" t="s">
        <v>127</v>
      </c>
      <c r="C84" s="31" t="s">
        <v>7</v>
      </c>
      <c r="D84" s="32">
        <v>4934395</v>
      </c>
      <c r="E84" s="32">
        <v>1522488</v>
      </c>
      <c r="F84" s="33">
        <v>0.30854603249233198</v>
      </c>
      <c r="G84" s="32">
        <v>18886</v>
      </c>
      <c r="H84" s="33">
        <v>1.2404695472148199E-2</v>
      </c>
      <c r="I84" s="33">
        <v>3.8274195722069301E-3</v>
      </c>
      <c r="J84" s="85" t="s">
        <v>23</v>
      </c>
    </row>
    <row r="85" spans="1:10" x14ac:dyDescent="0.35">
      <c r="A85" s="38">
        <v>45681</v>
      </c>
      <c r="B85" s="31" t="s">
        <v>127</v>
      </c>
      <c r="C85" s="31" t="s">
        <v>8</v>
      </c>
      <c r="D85" s="32">
        <v>316834</v>
      </c>
      <c r="E85" s="32">
        <v>100067</v>
      </c>
      <c r="F85" s="33">
        <v>0.31583415921271102</v>
      </c>
      <c r="G85" s="32">
        <v>1452</v>
      </c>
      <c r="H85" s="33">
        <v>1.45102781136638E-2</v>
      </c>
      <c r="I85" s="33">
        <v>4.5828414879716204E-3</v>
      </c>
      <c r="J85" s="85" t="s">
        <v>23</v>
      </c>
    </row>
    <row r="86" spans="1:10" x14ac:dyDescent="0.35">
      <c r="A86" s="38">
        <v>45683</v>
      </c>
      <c r="B86" s="31" t="s">
        <v>123</v>
      </c>
      <c r="C86" s="31" t="s">
        <v>7</v>
      </c>
      <c r="D86" s="32">
        <v>39017</v>
      </c>
      <c r="E86" s="32">
        <v>13415</v>
      </c>
      <c r="F86" s="33">
        <v>0.34382448676218103</v>
      </c>
      <c r="G86" s="32">
        <v>484</v>
      </c>
      <c r="H86" s="33">
        <v>3.6079016026835602E-2</v>
      </c>
      <c r="I86" s="33">
        <v>1.2404849168311201E-2</v>
      </c>
      <c r="J86" s="85" t="s">
        <v>101</v>
      </c>
    </row>
    <row r="87" spans="1:10" x14ac:dyDescent="0.35">
      <c r="A87" s="38">
        <v>45685</v>
      </c>
      <c r="B87" s="31" t="s">
        <v>128</v>
      </c>
      <c r="C87" s="31" t="s">
        <v>7</v>
      </c>
      <c r="D87" s="32">
        <v>1417902</v>
      </c>
      <c r="E87" s="32">
        <v>464643</v>
      </c>
      <c r="F87" s="33">
        <v>0.32769754186114403</v>
      </c>
      <c r="G87" s="32">
        <v>10894</v>
      </c>
      <c r="H87" s="33">
        <v>2.3445957433986999E-2</v>
      </c>
      <c r="I87" s="33">
        <v>7.6831826176985401E-3</v>
      </c>
      <c r="J87" s="85" t="s">
        <v>23</v>
      </c>
    </row>
    <row r="88" spans="1:10" x14ac:dyDescent="0.35">
      <c r="A88" s="38">
        <v>45685</v>
      </c>
      <c r="B88" s="31" t="s">
        <v>128</v>
      </c>
      <c r="C88" s="31" t="s">
        <v>8</v>
      </c>
      <c r="D88" s="32">
        <v>90189</v>
      </c>
      <c r="E88" s="32">
        <v>28347</v>
      </c>
      <c r="F88" s="33">
        <v>0.314306622758873</v>
      </c>
      <c r="G88" s="32">
        <v>961</v>
      </c>
      <c r="H88" s="33">
        <v>3.3901294669629899E-2</v>
      </c>
      <c r="I88" s="33">
        <v>1.0655401434764801E-2</v>
      </c>
      <c r="J88" s="85" t="s">
        <v>23</v>
      </c>
    </row>
    <row r="89" spans="1:10" x14ac:dyDescent="0.35">
      <c r="A89" s="38">
        <v>45686</v>
      </c>
      <c r="B89" s="31" t="s">
        <v>129</v>
      </c>
      <c r="C89" s="31" t="s">
        <v>7</v>
      </c>
      <c r="D89" s="32">
        <v>104634</v>
      </c>
      <c r="E89" s="32">
        <v>38708</v>
      </c>
      <c r="F89" s="33">
        <v>0.36993711413116198</v>
      </c>
      <c r="G89" s="32">
        <v>421</v>
      </c>
      <c r="H89" s="33">
        <v>1.08763046398677E-2</v>
      </c>
      <c r="I89" s="33">
        <v>4.0235487508840304E-3</v>
      </c>
      <c r="J89" s="85" t="s">
        <v>23</v>
      </c>
    </row>
    <row r="90" spans="1:10" x14ac:dyDescent="0.35">
      <c r="A90" s="38">
        <v>45686</v>
      </c>
      <c r="B90" s="31" t="s">
        <v>132</v>
      </c>
      <c r="C90" s="31" t="s">
        <v>7</v>
      </c>
      <c r="D90" s="32">
        <v>573303</v>
      </c>
      <c r="E90" s="32">
        <v>201613</v>
      </c>
      <c r="F90" s="33">
        <v>0.35166918714885498</v>
      </c>
      <c r="G90" s="32">
        <v>3137</v>
      </c>
      <c r="H90" s="33">
        <v>1.5559512531434E-2</v>
      </c>
      <c r="I90" s="33">
        <v>5.47180112436181E-3</v>
      </c>
      <c r="J90" s="85" t="s">
        <v>23</v>
      </c>
    </row>
    <row r="91" spans="1:10" x14ac:dyDescent="0.35">
      <c r="A91" s="38">
        <v>45687</v>
      </c>
      <c r="B91" s="31" t="s">
        <v>94</v>
      </c>
      <c r="C91" s="31" t="s">
        <v>124</v>
      </c>
      <c r="D91" s="32">
        <v>553429</v>
      </c>
      <c r="E91" s="32">
        <v>218466</v>
      </c>
      <c r="F91" s="34">
        <v>0.3947</v>
      </c>
      <c r="G91" s="31">
        <v>593</v>
      </c>
      <c r="H91" s="34">
        <v>2.7000000000000001E-3</v>
      </c>
      <c r="I91" s="34">
        <v>1.1000000000000001E-3</v>
      </c>
      <c r="J91" s="85" t="s">
        <v>23</v>
      </c>
    </row>
    <row r="92" spans="1:10" x14ac:dyDescent="0.35">
      <c r="A92" s="38">
        <v>45687</v>
      </c>
      <c r="B92" s="31" t="s">
        <v>96</v>
      </c>
      <c r="C92" s="31" t="s">
        <v>125</v>
      </c>
      <c r="D92" s="32">
        <v>34506</v>
      </c>
      <c r="E92" s="32">
        <v>14531</v>
      </c>
      <c r="F92" s="34">
        <v>0.42109999999999997</v>
      </c>
      <c r="G92" s="31">
        <v>46</v>
      </c>
      <c r="H92" s="34">
        <v>3.2000000000000002E-3</v>
      </c>
      <c r="I92" s="34">
        <v>1.2999999999999999E-3</v>
      </c>
      <c r="J92" s="85" t="s">
        <v>23</v>
      </c>
    </row>
    <row r="93" spans="1:10" x14ac:dyDescent="0.35">
      <c r="A93" s="38">
        <v>45687</v>
      </c>
      <c r="B93" s="31" t="s">
        <v>126</v>
      </c>
      <c r="C93" s="31" t="s">
        <v>87</v>
      </c>
      <c r="D93" s="32">
        <v>3463</v>
      </c>
      <c r="E93" s="32">
        <v>239</v>
      </c>
      <c r="F93" s="33">
        <v>6.9015304649148096E-2</v>
      </c>
      <c r="G93" s="32">
        <v>46</v>
      </c>
      <c r="H93" s="33">
        <v>0.19246861924686201</v>
      </c>
      <c r="I93" s="33">
        <v>1.32832803927231E-2</v>
      </c>
      <c r="J93" s="85" t="s">
        <v>25</v>
      </c>
    </row>
    <row r="94" spans="1:10" x14ac:dyDescent="0.35">
      <c r="A94" s="38">
        <v>45687</v>
      </c>
      <c r="B94" s="31" t="s">
        <v>130</v>
      </c>
      <c r="C94" s="31" t="s">
        <v>85</v>
      </c>
      <c r="D94" s="32">
        <v>15084</v>
      </c>
      <c r="E94" s="32">
        <v>3091</v>
      </c>
      <c r="F94" s="33">
        <v>0.20491911959692399</v>
      </c>
      <c r="G94" s="32">
        <v>146</v>
      </c>
      <c r="H94" s="33">
        <v>4.7233904885150398E-2</v>
      </c>
      <c r="I94" s="33">
        <v>9.6791302041898692E-3</v>
      </c>
      <c r="J94" s="85" t="s">
        <v>25</v>
      </c>
    </row>
    <row r="95" spans="1:10" x14ac:dyDescent="0.35">
      <c r="A95" s="38">
        <v>45687</v>
      </c>
      <c r="B95" s="31" t="s">
        <v>131</v>
      </c>
      <c r="C95" s="31" t="s">
        <v>110</v>
      </c>
      <c r="D95" s="32">
        <v>3032</v>
      </c>
      <c r="E95" s="32">
        <v>1338</v>
      </c>
      <c r="F95" s="33">
        <v>0.441292875989446</v>
      </c>
      <c r="G95" s="32">
        <v>27</v>
      </c>
      <c r="H95" s="33">
        <v>2.0179372197309399E-2</v>
      </c>
      <c r="I95" s="33">
        <v>8.9050131926121396E-3</v>
      </c>
      <c r="J95" s="85" t="s">
        <v>23</v>
      </c>
    </row>
    <row r="96" spans="1:10" x14ac:dyDescent="0.35">
      <c r="A96" s="38">
        <v>45687</v>
      </c>
      <c r="B96" s="31" t="s">
        <v>131</v>
      </c>
      <c r="C96" s="31" t="s">
        <v>90</v>
      </c>
      <c r="D96" s="32">
        <v>57884</v>
      </c>
      <c r="E96" s="32">
        <v>25836</v>
      </c>
      <c r="F96" s="33">
        <v>0.446340957777624</v>
      </c>
      <c r="G96" s="32">
        <v>504</v>
      </c>
      <c r="H96" s="33">
        <v>1.9507663725034801E-2</v>
      </c>
      <c r="I96" s="33">
        <v>8.7070693110358702E-3</v>
      </c>
      <c r="J96" s="85" t="s">
        <v>23</v>
      </c>
    </row>
    <row r="97" spans="1:10" x14ac:dyDescent="0.35">
      <c r="A97" s="38">
        <v>45688</v>
      </c>
      <c r="B97" s="31" t="s">
        <v>146</v>
      </c>
      <c r="C97" s="31" t="s">
        <v>7</v>
      </c>
      <c r="D97" s="32">
        <v>4920292</v>
      </c>
      <c r="E97" s="32">
        <v>1506533</v>
      </c>
      <c r="F97" s="33">
        <v>0.306187722192098</v>
      </c>
      <c r="G97" s="32">
        <v>17022</v>
      </c>
      <c r="H97" s="33">
        <v>1.1298790003272399E-2</v>
      </c>
      <c r="I97" s="33">
        <v>3.4595507746288199E-3</v>
      </c>
      <c r="J97" s="85" t="s">
        <v>23</v>
      </c>
    </row>
    <row r="98" spans="1:10" x14ac:dyDescent="0.35">
      <c r="A98" s="38">
        <v>45688</v>
      </c>
      <c r="B98" s="31" t="s">
        <v>147</v>
      </c>
      <c r="C98" s="31" t="s">
        <v>8</v>
      </c>
      <c r="D98" s="32">
        <v>316184</v>
      </c>
      <c r="E98" s="32">
        <v>101501</v>
      </c>
      <c r="F98" s="33">
        <v>0.32101877387850097</v>
      </c>
      <c r="G98" s="32">
        <v>1254</v>
      </c>
      <c r="H98" s="33">
        <v>1.23545580831716E-2</v>
      </c>
      <c r="I98" s="33">
        <v>3.9660450876704703E-3</v>
      </c>
      <c r="J98" s="85" t="s">
        <v>23</v>
      </c>
    </row>
    <row r="99" spans="1:10" x14ac:dyDescent="0.35">
      <c r="A99" s="38">
        <v>45689</v>
      </c>
      <c r="B99" s="31" t="s">
        <v>148</v>
      </c>
      <c r="C99" s="31" t="s">
        <v>7</v>
      </c>
      <c r="D99" s="32">
        <v>71910</v>
      </c>
      <c r="E99" s="32">
        <v>30629</v>
      </c>
      <c r="F99" s="33">
        <v>0.42593519677374497</v>
      </c>
      <c r="G99" s="32">
        <v>1946</v>
      </c>
      <c r="H99" s="33">
        <v>6.3534558751509998E-2</v>
      </c>
      <c r="I99" s="33">
        <v>2.7061604783757499E-2</v>
      </c>
      <c r="J99" s="85" t="s">
        <v>23</v>
      </c>
    </row>
    <row r="100" spans="1:10" x14ac:dyDescent="0.35">
      <c r="A100" s="38">
        <v>45689</v>
      </c>
      <c r="B100" s="31" t="s">
        <v>149</v>
      </c>
      <c r="C100" s="31" t="s">
        <v>8</v>
      </c>
      <c r="D100" s="32">
        <v>7881</v>
      </c>
      <c r="E100" s="32">
        <v>3858</v>
      </c>
      <c r="F100" s="33">
        <v>0.48953178530643299</v>
      </c>
      <c r="G100" s="32">
        <v>251</v>
      </c>
      <c r="H100" s="33">
        <v>6.5059616381544796E-2</v>
      </c>
      <c r="I100" s="33">
        <v>3.1848750158609301E-2</v>
      </c>
      <c r="J100" s="85" t="s">
        <v>23</v>
      </c>
    </row>
    <row r="101" spans="1:10" x14ac:dyDescent="0.35">
      <c r="A101" s="38">
        <v>45689</v>
      </c>
      <c r="B101" s="31" t="s">
        <v>150</v>
      </c>
      <c r="C101" s="31" t="s">
        <v>7</v>
      </c>
      <c r="D101" s="32">
        <v>306558</v>
      </c>
      <c r="E101" s="32">
        <v>121310</v>
      </c>
      <c r="F101" s="33">
        <v>0.39571630817006898</v>
      </c>
      <c r="G101" s="32">
        <v>1616</v>
      </c>
      <c r="H101" s="33">
        <v>1.33212430961998E-2</v>
      </c>
      <c r="I101" s="33">
        <v>5.2714331382642098E-3</v>
      </c>
      <c r="J101" s="85" t="s">
        <v>24</v>
      </c>
    </row>
    <row r="102" spans="1:10" x14ac:dyDescent="0.35">
      <c r="A102" s="38">
        <v>45689</v>
      </c>
      <c r="B102" s="31" t="s">
        <v>150</v>
      </c>
      <c r="C102" s="31" t="s">
        <v>8</v>
      </c>
      <c r="D102" s="32">
        <v>941</v>
      </c>
      <c r="E102" s="32">
        <v>460</v>
      </c>
      <c r="F102" s="33">
        <v>0.48884165781083999</v>
      </c>
      <c r="G102" s="32">
        <v>14</v>
      </c>
      <c r="H102" s="33">
        <v>3.0434782608695699E-2</v>
      </c>
      <c r="I102" s="33">
        <v>1.4877789585547301E-2</v>
      </c>
      <c r="J102" s="85" t="s">
        <v>24</v>
      </c>
    </row>
    <row r="103" spans="1:10" x14ac:dyDescent="0.35">
      <c r="A103" s="38">
        <v>45690</v>
      </c>
      <c r="B103" s="31" t="s">
        <v>151</v>
      </c>
      <c r="C103" s="31" t="s">
        <v>7</v>
      </c>
      <c r="D103" s="32">
        <v>306535</v>
      </c>
      <c r="E103" s="32">
        <v>117747</v>
      </c>
      <c r="F103" s="33">
        <v>0.38412253086923198</v>
      </c>
      <c r="G103" s="32">
        <v>1585</v>
      </c>
      <c r="H103" s="33">
        <v>1.34610648254308E-2</v>
      </c>
      <c r="I103" s="33">
        <v>5.1706982889392697E-3</v>
      </c>
      <c r="J103" s="85" t="s">
        <v>24</v>
      </c>
    </row>
    <row r="104" spans="1:10" x14ac:dyDescent="0.35">
      <c r="A104" s="38">
        <v>45690</v>
      </c>
      <c r="B104" s="31" t="s">
        <v>151</v>
      </c>
      <c r="C104" s="31" t="s">
        <v>8</v>
      </c>
      <c r="D104" s="32">
        <v>940</v>
      </c>
      <c r="E104" s="32">
        <v>450</v>
      </c>
      <c r="F104" s="33">
        <v>0.47872340425531901</v>
      </c>
      <c r="G104" s="32">
        <v>24</v>
      </c>
      <c r="H104" s="33">
        <v>5.3333333333333302E-2</v>
      </c>
      <c r="I104" s="33">
        <v>2.5531914893616999E-2</v>
      </c>
      <c r="J104" s="85" t="s">
        <v>24</v>
      </c>
    </row>
    <row r="105" spans="1:10" x14ac:dyDescent="0.35">
      <c r="A105" s="38">
        <v>45690</v>
      </c>
      <c r="B105" s="31" t="s">
        <v>152</v>
      </c>
      <c r="C105" s="31" t="s">
        <v>7</v>
      </c>
      <c r="D105" s="32">
        <v>81500</v>
      </c>
      <c r="E105" s="32">
        <v>31119</v>
      </c>
      <c r="F105" s="33">
        <v>0.38182822085889601</v>
      </c>
      <c r="G105" s="32">
        <v>539</v>
      </c>
      <c r="H105" s="33">
        <v>1.7320607988688601E-2</v>
      </c>
      <c r="I105" s="33">
        <v>6.6134969325153401E-3</v>
      </c>
      <c r="J105" s="85" t="s">
        <v>24</v>
      </c>
    </row>
    <row r="106" spans="1:10" x14ac:dyDescent="0.35">
      <c r="A106" s="38">
        <v>45692</v>
      </c>
      <c r="B106" s="31" t="s">
        <v>153</v>
      </c>
      <c r="C106" s="31" t="s">
        <v>7</v>
      </c>
      <c r="D106" s="32">
        <v>1418857</v>
      </c>
      <c r="E106" s="32">
        <v>462968</v>
      </c>
      <c r="F106" s="33">
        <v>0.326296448479304</v>
      </c>
      <c r="G106" s="32">
        <v>13593</v>
      </c>
      <c r="H106" s="33">
        <v>2.9360560557101099E-2</v>
      </c>
      <c r="I106" s="33">
        <v>9.5802466351436397E-3</v>
      </c>
      <c r="J106" s="85" t="s">
        <v>23</v>
      </c>
    </row>
    <row r="107" spans="1:10" x14ac:dyDescent="0.35">
      <c r="A107" s="38">
        <v>45692</v>
      </c>
      <c r="B107" s="31" t="s">
        <v>154</v>
      </c>
      <c r="C107" s="31" t="s">
        <v>8</v>
      </c>
      <c r="D107" s="32">
        <v>90425</v>
      </c>
      <c r="E107" s="32">
        <v>29166</v>
      </c>
      <c r="F107" s="33">
        <v>0.32254354437379001</v>
      </c>
      <c r="G107" s="32">
        <v>893</v>
      </c>
      <c r="H107" s="33">
        <v>3.0617842693547299E-2</v>
      </c>
      <c r="I107" s="33">
        <v>9.8755875034559001E-3</v>
      </c>
      <c r="J107" s="85" t="s">
        <v>23</v>
      </c>
    </row>
    <row r="108" spans="1:10" x14ac:dyDescent="0.35">
      <c r="A108" s="38">
        <v>45693</v>
      </c>
      <c r="B108" s="31" t="s">
        <v>155</v>
      </c>
      <c r="C108" s="31" t="s">
        <v>7</v>
      </c>
      <c r="D108" s="32">
        <v>3404977</v>
      </c>
      <c r="E108" s="32">
        <v>1362040</v>
      </c>
      <c r="F108" s="33">
        <v>0.40001444943681003</v>
      </c>
      <c r="G108" s="32">
        <v>25596</v>
      </c>
      <c r="H108" s="33">
        <v>1.8792399635840399E-2</v>
      </c>
      <c r="I108" s="33">
        <v>7.51723139392718E-3</v>
      </c>
      <c r="J108" s="85" t="s">
        <v>101</v>
      </c>
    </row>
    <row r="109" spans="1:10" x14ac:dyDescent="0.35">
      <c r="A109" s="38">
        <v>45693</v>
      </c>
      <c r="B109" s="31" t="s">
        <v>156</v>
      </c>
      <c r="C109" s="31" t="s">
        <v>8</v>
      </c>
      <c r="D109" s="32">
        <v>172551</v>
      </c>
      <c r="E109" s="32">
        <v>72949</v>
      </c>
      <c r="F109" s="33">
        <v>0.42276776141546601</v>
      </c>
      <c r="G109" s="32">
        <v>1477</v>
      </c>
      <c r="H109" s="33">
        <v>2.0247021892006702E-2</v>
      </c>
      <c r="I109" s="33">
        <v>8.5597881206136203E-3</v>
      </c>
      <c r="J109" s="85" t="s">
        <v>101</v>
      </c>
    </row>
    <row r="110" spans="1:10" x14ac:dyDescent="0.35">
      <c r="A110" s="38">
        <v>45693</v>
      </c>
      <c r="B110" s="31" t="s">
        <v>157</v>
      </c>
      <c r="C110" s="31" t="s">
        <v>7</v>
      </c>
      <c r="D110" s="32">
        <v>523557</v>
      </c>
      <c r="E110" s="32">
        <v>194602</v>
      </c>
      <c r="F110" s="33">
        <v>0.37169209847256401</v>
      </c>
      <c r="G110" s="32">
        <v>1152</v>
      </c>
      <c r="H110" s="33">
        <v>5.9197747196842801E-3</v>
      </c>
      <c r="I110" s="33">
        <v>2.20033348804428E-3</v>
      </c>
      <c r="J110" s="85" t="s">
        <v>23</v>
      </c>
    </row>
    <row r="111" spans="1:10" x14ac:dyDescent="0.35">
      <c r="A111" s="38">
        <v>45693</v>
      </c>
      <c r="B111" s="31" t="s">
        <v>158</v>
      </c>
      <c r="C111" s="31" t="s">
        <v>8</v>
      </c>
      <c r="D111" s="32">
        <v>28035</v>
      </c>
      <c r="E111" s="32">
        <v>10239</v>
      </c>
      <c r="F111" s="33">
        <v>0.36522204387372897</v>
      </c>
      <c r="G111" s="32">
        <v>81</v>
      </c>
      <c r="H111" s="33">
        <v>7.9109288016407792E-3</v>
      </c>
      <c r="I111" s="33">
        <v>2.8892455858748E-3</v>
      </c>
      <c r="J111" s="85" t="s">
        <v>23</v>
      </c>
    </row>
    <row r="112" spans="1:10" x14ac:dyDescent="0.35">
      <c r="A112" s="38">
        <v>45694</v>
      </c>
      <c r="B112" s="31" t="s">
        <v>159</v>
      </c>
      <c r="C112" s="31" t="s">
        <v>7</v>
      </c>
      <c r="D112" s="32">
        <v>557268</v>
      </c>
      <c r="E112" s="32">
        <v>143884</v>
      </c>
      <c r="F112" s="33">
        <v>0.25819533868802802</v>
      </c>
      <c r="G112" s="32">
        <v>1653</v>
      </c>
      <c r="H112" s="33">
        <v>1.1488421228211599E-2</v>
      </c>
      <c r="I112" s="33">
        <v>2.96625681000883E-3</v>
      </c>
      <c r="J112" s="85" t="s">
        <v>23</v>
      </c>
    </row>
    <row r="113" spans="1:10" x14ac:dyDescent="0.35">
      <c r="A113" s="38">
        <v>45694</v>
      </c>
      <c r="B113" s="31" t="s">
        <v>160</v>
      </c>
      <c r="C113" s="31" t="s">
        <v>85</v>
      </c>
      <c r="D113" s="32">
        <v>66</v>
      </c>
      <c r="E113" s="32">
        <v>24</v>
      </c>
      <c r="F113" s="33">
        <v>0.36363636363636398</v>
      </c>
      <c r="G113" s="32">
        <v>3</v>
      </c>
      <c r="H113" s="33">
        <v>0.125</v>
      </c>
      <c r="I113" s="33">
        <v>4.5454545454545497E-2</v>
      </c>
      <c r="J113" s="85" t="s">
        <v>25</v>
      </c>
    </row>
    <row r="114" spans="1:10" x14ac:dyDescent="0.35">
      <c r="A114" s="38">
        <v>45694</v>
      </c>
      <c r="B114" s="31" t="s">
        <v>161</v>
      </c>
      <c r="C114" s="31" t="s">
        <v>87</v>
      </c>
      <c r="D114" s="32">
        <v>3</v>
      </c>
      <c r="E114" s="32">
        <v>1</v>
      </c>
      <c r="F114" s="33">
        <v>0.33333333333333298</v>
      </c>
      <c r="G114" s="32">
        <v>0</v>
      </c>
      <c r="H114" s="33">
        <v>0</v>
      </c>
      <c r="I114" s="33">
        <v>0</v>
      </c>
      <c r="J114" s="85" t="s">
        <v>25</v>
      </c>
    </row>
    <row r="115" spans="1:10" x14ac:dyDescent="0.35">
      <c r="A115" s="38">
        <v>45694</v>
      </c>
      <c r="B115" s="31" t="s">
        <v>162</v>
      </c>
      <c r="C115" s="31" t="s">
        <v>7</v>
      </c>
      <c r="D115" s="32">
        <v>305371</v>
      </c>
      <c r="E115" s="32">
        <v>111686</v>
      </c>
      <c r="F115" s="33">
        <v>0.36573872437133798</v>
      </c>
      <c r="G115" s="32">
        <v>754</v>
      </c>
      <c r="H115" s="33">
        <v>6.75106996400623E-3</v>
      </c>
      <c r="I115" s="33">
        <v>2.4691277167773001E-3</v>
      </c>
      <c r="J115" s="85" t="s">
        <v>25</v>
      </c>
    </row>
    <row r="116" spans="1:10" x14ac:dyDescent="0.35">
      <c r="A116" s="38">
        <v>45694</v>
      </c>
      <c r="B116" s="31" t="s">
        <v>163</v>
      </c>
      <c r="C116" s="31" t="s">
        <v>7</v>
      </c>
      <c r="D116" s="32">
        <v>88603</v>
      </c>
      <c r="E116" s="32">
        <v>36559</v>
      </c>
      <c r="F116" s="33">
        <v>0.41261582564924398</v>
      </c>
      <c r="G116" s="32">
        <v>464</v>
      </c>
      <c r="H116" s="33">
        <v>1.2691813233403499E-2</v>
      </c>
      <c r="I116" s="33">
        <v>5.2368429962868102E-3</v>
      </c>
      <c r="J116" s="85" t="s">
        <v>23</v>
      </c>
    </row>
    <row r="117" spans="1:10" x14ac:dyDescent="0.35">
      <c r="A117" s="38">
        <v>45694</v>
      </c>
      <c r="B117" s="31" t="s">
        <v>164</v>
      </c>
      <c r="C117" s="31" t="s">
        <v>110</v>
      </c>
      <c r="D117" s="32">
        <v>13950</v>
      </c>
      <c r="E117" s="32">
        <v>4926</v>
      </c>
      <c r="F117" s="33">
        <v>0.353118279569892</v>
      </c>
      <c r="G117" s="32">
        <v>19</v>
      </c>
      <c r="H117" s="33">
        <v>3.8570848558668299E-3</v>
      </c>
      <c r="I117" s="33">
        <v>1.3620071684587801E-3</v>
      </c>
      <c r="J117" s="85" t="s">
        <v>23</v>
      </c>
    </row>
    <row r="118" spans="1:10" x14ac:dyDescent="0.35">
      <c r="A118" s="38">
        <v>45694</v>
      </c>
      <c r="B118" s="31" t="s">
        <v>164</v>
      </c>
      <c r="C118" s="31" t="s">
        <v>90</v>
      </c>
      <c r="D118" s="32">
        <v>263977</v>
      </c>
      <c r="E118" s="32">
        <v>94009</v>
      </c>
      <c r="F118" s="33">
        <v>0.35612572307435902</v>
      </c>
      <c r="G118" s="32">
        <v>602</v>
      </c>
      <c r="H118" s="33">
        <v>6.4036422044697902E-3</v>
      </c>
      <c r="I118" s="33">
        <v>2.2805017103762798E-3</v>
      </c>
      <c r="J118" s="85" t="s">
        <v>23</v>
      </c>
    </row>
    <row r="119" spans="1:10" x14ac:dyDescent="0.35">
      <c r="A119" s="38">
        <v>45694</v>
      </c>
      <c r="B119" s="31" t="s">
        <v>164</v>
      </c>
      <c r="C119" s="31" t="s">
        <v>111</v>
      </c>
      <c r="D119" s="32">
        <v>737</v>
      </c>
      <c r="E119" s="32">
        <v>263</v>
      </c>
      <c r="F119" s="33">
        <v>0.35685210312075999</v>
      </c>
      <c r="G119" s="32">
        <v>2</v>
      </c>
      <c r="H119" s="33">
        <v>7.6045627376425898E-3</v>
      </c>
      <c r="I119" s="33">
        <v>2.7137042062415199E-3</v>
      </c>
      <c r="J119" s="85" t="s">
        <v>23</v>
      </c>
    </row>
    <row r="120" spans="1:10" x14ac:dyDescent="0.35">
      <c r="A120" s="38">
        <v>45694</v>
      </c>
      <c r="B120" s="31" t="s">
        <v>164</v>
      </c>
      <c r="C120" s="31" t="s">
        <v>91</v>
      </c>
      <c r="D120" s="32">
        <v>14676</v>
      </c>
      <c r="E120" s="32">
        <v>5144</v>
      </c>
      <c r="F120" s="33">
        <v>0.35050422458435498</v>
      </c>
      <c r="G120" s="32">
        <v>49</v>
      </c>
      <c r="H120" s="33">
        <v>9.5256609642301697E-3</v>
      </c>
      <c r="I120" s="33">
        <v>3.33878440992096E-3</v>
      </c>
      <c r="J120" s="85" t="s">
        <v>23</v>
      </c>
    </row>
    <row r="121" spans="1:10" x14ac:dyDescent="0.35">
      <c r="A121" s="38">
        <v>45695</v>
      </c>
      <c r="B121" s="31" t="s">
        <v>174</v>
      </c>
      <c r="C121" s="31" t="s">
        <v>7</v>
      </c>
      <c r="D121" s="32">
        <v>3928373</v>
      </c>
      <c r="E121" s="32">
        <v>1462468</v>
      </c>
      <c r="F121" s="33">
        <v>0.37228338551354501</v>
      </c>
      <c r="G121" s="32">
        <v>9979</v>
      </c>
      <c r="H121" s="33">
        <v>6.8233971615105403E-3</v>
      </c>
      <c r="I121" s="33">
        <v>2.5402373959906598E-3</v>
      </c>
      <c r="J121" s="85" t="s">
        <v>25</v>
      </c>
    </row>
    <row r="122" spans="1:10" x14ac:dyDescent="0.35">
      <c r="A122" s="38">
        <v>45695</v>
      </c>
      <c r="B122" s="31" t="s">
        <v>174</v>
      </c>
      <c r="C122" s="31" t="s">
        <v>8</v>
      </c>
      <c r="D122" s="32">
        <v>259918</v>
      </c>
      <c r="E122" s="32">
        <v>95925</v>
      </c>
      <c r="F122" s="33">
        <v>0.369058703129448</v>
      </c>
      <c r="G122" s="32">
        <v>782</v>
      </c>
      <c r="H122" s="33">
        <v>8.1522022413343803E-3</v>
      </c>
      <c r="I122" s="33">
        <v>3.00864118683585E-3</v>
      </c>
      <c r="J122" s="85" t="s">
        <v>25</v>
      </c>
    </row>
    <row r="123" spans="1:10" x14ac:dyDescent="0.35">
      <c r="A123" s="38">
        <v>45695</v>
      </c>
      <c r="B123" s="31" t="s">
        <v>165</v>
      </c>
      <c r="C123" s="31" t="s">
        <v>7</v>
      </c>
      <c r="D123" s="32">
        <v>4910944</v>
      </c>
      <c r="E123" s="32">
        <v>1523057</v>
      </c>
      <c r="F123" s="33">
        <v>0.31013528152632203</v>
      </c>
      <c r="G123" s="32">
        <v>18507</v>
      </c>
      <c r="H123" s="33">
        <v>1.2151219553831499E-2</v>
      </c>
      <c r="I123" s="33">
        <v>3.7685218972156901E-3</v>
      </c>
      <c r="J123" s="85" t="s">
        <v>23</v>
      </c>
    </row>
    <row r="124" spans="1:10" x14ac:dyDescent="0.35">
      <c r="A124" s="38">
        <v>45695</v>
      </c>
      <c r="B124" s="31" t="s">
        <v>165</v>
      </c>
      <c r="C124" s="31" t="s">
        <v>8</v>
      </c>
      <c r="D124" s="32">
        <v>315572</v>
      </c>
      <c r="E124" s="32">
        <v>88329</v>
      </c>
      <c r="F124" s="33">
        <v>0.27990125866680199</v>
      </c>
      <c r="G124" s="32">
        <v>1373</v>
      </c>
      <c r="H124" s="33">
        <v>1.5544158770052901E-2</v>
      </c>
      <c r="I124" s="33">
        <v>4.3508296046544104E-3</v>
      </c>
      <c r="J124" s="85" t="s">
        <v>23</v>
      </c>
    </row>
    <row r="125" spans="1:10" x14ac:dyDescent="0.35">
      <c r="A125" s="38">
        <v>45697</v>
      </c>
      <c r="B125" s="31" t="s">
        <v>166</v>
      </c>
      <c r="C125" s="31" t="s">
        <v>7</v>
      </c>
      <c r="D125" s="32">
        <v>6333099</v>
      </c>
      <c r="E125" s="32">
        <v>2298407</v>
      </c>
      <c r="F125" s="33">
        <v>0.36291979645352102</v>
      </c>
      <c r="G125" s="32">
        <v>57106</v>
      </c>
      <c r="H125" s="33">
        <v>2.4845904141433599E-2</v>
      </c>
      <c r="I125" s="33">
        <v>9.0170704737127898E-3</v>
      </c>
      <c r="J125" s="85" t="s">
        <v>101</v>
      </c>
    </row>
    <row r="126" spans="1:10" x14ac:dyDescent="0.35">
      <c r="A126" s="38">
        <v>45697</v>
      </c>
      <c r="B126" s="31" t="s">
        <v>166</v>
      </c>
      <c r="C126" s="31" t="s">
        <v>8</v>
      </c>
      <c r="D126" s="32">
        <v>405806</v>
      </c>
      <c r="E126" s="32">
        <v>145119</v>
      </c>
      <c r="F126" s="33">
        <v>0.357606836764365</v>
      </c>
      <c r="G126" s="32">
        <v>4983</v>
      </c>
      <c r="H126" s="33">
        <v>3.4337336944163098E-2</v>
      </c>
      <c r="I126" s="33">
        <v>1.22792664475143E-2</v>
      </c>
      <c r="J126" s="85" t="s">
        <v>101</v>
      </c>
    </row>
    <row r="127" spans="1:10" x14ac:dyDescent="0.35">
      <c r="A127" s="38">
        <v>45698</v>
      </c>
      <c r="B127" s="31" t="s">
        <v>167</v>
      </c>
      <c r="C127" s="31" t="s">
        <v>7</v>
      </c>
      <c r="D127" s="32">
        <v>298554</v>
      </c>
      <c r="E127" s="32">
        <v>109292</v>
      </c>
      <c r="F127" s="33">
        <v>0.36607112951090898</v>
      </c>
      <c r="G127" s="32">
        <v>832</v>
      </c>
      <c r="H127" s="33">
        <v>7.6126340445778302E-3</v>
      </c>
      <c r="I127" s="33">
        <v>2.7867655432518099E-3</v>
      </c>
      <c r="J127" s="85" t="s">
        <v>24</v>
      </c>
    </row>
    <row r="128" spans="1:10" x14ac:dyDescent="0.35">
      <c r="A128" s="38">
        <v>45698</v>
      </c>
      <c r="B128" s="31" t="s">
        <v>167</v>
      </c>
      <c r="C128" s="31" t="s">
        <v>8</v>
      </c>
      <c r="D128" s="32">
        <v>935</v>
      </c>
      <c r="E128" s="32">
        <v>411</v>
      </c>
      <c r="F128" s="33">
        <v>0.43957219251336899</v>
      </c>
      <c r="G128" s="32">
        <v>5</v>
      </c>
      <c r="H128" s="33">
        <v>1.21654501216545E-2</v>
      </c>
      <c r="I128" s="33">
        <v>5.3475935828877002E-3</v>
      </c>
      <c r="J128" s="85" t="s">
        <v>24</v>
      </c>
    </row>
    <row r="129" spans="1:10" x14ac:dyDescent="0.35">
      <c r="A129" s="38">
        <v>45699</v>
      </c>
      <c r="B129" s="31" t="s">
        <v>168</v>
      </c>
      <c r="C129" s="31" t="s">
        <v>7</v>
      </c>
      <c r="D129" s="32">
        <v>1415756</v>
      </c>
      <c r="E129" s="32">
        <v>458168</v>
      </c>
      <c r="F129" s="33">
        <v>0.323620736906642</v>
      </c>
      <c r="G129" s="32">
        <v>10134</v>
      </c>
      <c r="H129" s="33">
        <v>2.21185242094603E-2</v>
      </c>
      <c r="I129" s="33">
        <v>7.1580131039529404E-3</v>
      </c>
      <c r="J129" s="85" t="s">
        <v>23</v>
      </c>
    </row>
    <row r="130" spans="1:10" x14ac:dyDescent="0.35">
      <c r="A130" s="38">
        <v>45699</v>
      </c>
      <c r="B130" s="31" t="s">
        <v>168</v>
      </c>
      <c r="C130" s="31" t="s">
        <v>8</v>
      </c>
      <c r="D130" s="32">
        <v>90084</v>
      </c>
      <c r="E130" s="32">
        <v>28517</v>
      </c>
      <c r="F130" s="33">
        <v>0.31656009946272401</v>
      </c>
      <c r="G130" s="32">
        <v>677</v>
      </c>
      <c r="H130" s="33">
        <v>2.3740225128870501E-2</v>
      </c>
      <c r="I130" s="33">
        <v>7.5152080280627004E-3</v>
      </c>
      <c r="J130" s="85" t="s">
        <v>23</v>
      </c>
    </row>
    <row r="131" spans="1:10" x14ac:dyDescent="0.35">
      <c r="A131" s="38">
        <v>45699</v>
      </c>
      <c r="B131" s="31" t="s">
        <v>169</v>
      </c>
      <c r="C131" s="31" t="s">
        <v>85</v>
      </c>
      <c r="D131" s="32">
        <v>15741</v>
      </c>
      <c r="E131" s="32">
        <v>4821</v>
      </c>
      <c r="F131" s="33">
        <v>0.30627024966647598</v>
      </c>
      <c r="G131" s="32">
        <v>347</v>
      </c>
      <c r="H131" s="33">
        <v>7.1976768305330799E-2</v>
      </c>
      <c r="I131" s="33">
        <v>2.2044342799059799E-2</v>
      </c>
      <c r="J131" s="85" t="s">
        <v>25</v>
      </c>
    </row>
    <row r="132" spans="1:10" x14ac:dyDescent="0.35">
      <c r="A132" s="38">
        <v>45700</v>
      </c>
      <c r="B132" s="31" t="s">
        <v>170</v>
      </c>
      <c r="C132" s="31" t="s">
        <v>87</v>
      </c>
      <c r="D132" s="32">
        <v>753</v>
      </c>
      <c r="E132" s="32">
        <v>177</v>
      </c>
      <c r="F132" s="33">
        <v>0.23505976095617501</v>
      </c>
      <c r="G132" s="32">
        <v>14</v>
      </c>
      <c r="H132" s="33">
        <v>7.9096045197740106E-2</v>
      </c>
      <c r="I132" s="33">
        <v>1.8592297476759601E-2</v>
      </c>
      <c r="J132" s="85" t="s">
        <v>25</v>
      </c>
    </row>
    <row r="133" spans="1:10" x14ac:dyDescent="0.35">
      <c r="A133" s="38">
        <v>45700</v>
      </c>
      <c r="B133" s="31" t="s">
        <v>171</v>
      </c>
      <c r="C133" s="31" t="s">
        <v>85</v>
      </c>
      <c r="D133" s="32">
        <v>778</v>
      </c>
      <c r="E133" s="32">
        <v>217</v>
      </c>
      <c r="F133" s="33">
        <v>0.27892030848329002</v>
      </c>
      <c r="G133" s="32">
        <v>27</v>
      </c>
      <c r="H133" s="33">
        <v>0.124423963133641</v>
      </c>
      <c r="I133" s="33">
        <v>3.4704370179948603E-2</v>
      </c>
      <c r="J133" s="85" t="s">
        <v>25</v>
      </c>
    </row>
    <row r="134" spans="1:10" x14ac:dyDescent="0.35">
      <c r="A134" s="38">
        <v>45700</v>
      </c>
      <c r="B134" s="31" t="s">
        <v>172</v>
      </c>
      <c r="C134" s="31" t="s">
        <v>7</v>
      </c>
      <c r="D134" s="32">
        <v>6319884</v>
      </c>
      <c r="E134" s="32">
        <v>2080185</v>
      </c>
      <c r="F134" s="33">
        <v>0.32914923754929698</v>
      </c>
      <c r="G134" s="32">
        <v>30831</v>
      </c>
      <c r="H134" s="33">
        <v>1.48212779151854E-2</v>
      </c>
      <c r="I134" s="33">
        <v>4.8784123252895101E-3</v>
      </c>
      <c r="J134" s="85" t="s">
        <v>23</v>
      </c>
    </row>
    <row r="135" spans="1:10" x14ac:dyDescent="0.35">
      <c r="A135" s="38">
        <v>45700</v>
      </c>
      <c r="B135" s="31" t="s">
        <v>172</v>
      </c>
      <c r="C135" s="31" t="s">
        <v>8</v>
      </c>
      <c r="D135" s="32">
        <v>404826</v>
      </c>
      <c r="E135" s="32">
        <v>132482</v>
      </c>
      <c r="F135" s="33">
        <v>0.32725664853542002</v>
      </c>
      <c r="G135" s="32">
        <v>2820</v>
      </c>
      <c r="H135" s="33">
        <v>2.1285910538790202E-2</v>
      </c>
      <c r="I135" s="33">
        <v>6.9659557439492497E-3</v>
      </c>
      <c r="J135" s="85" t="s">
        <v>23</v>
      </c>
    </row>
    <row r="136" spans="1:10" x14ac:dyDescent="0.35">
      <c r="A136" s="38">
        <v>45701</v>
      </c>
      <c r="B136" s="31" t="s">
        <v>173</v>
      </c>
      <c r="C136" s="31" t="s">
        <v>110</v>
      </c>
      <c r="D136" s="32">
        <v>55891</v>
      </c>
      <c r="E136" s="32">
        <v>20513</v>
      </c>
      <c r="F136" s="33">
        <v>0.36701794564419998</v>
      </c>
      <c r="G136" s="32">
        <v>144</v>
      </c>
      <c r="H136" s="33">
        <v>7.0199385755374596E-3</v>
      </c>
      <c r="I136" s="33">
        <v>2.5764434345422302E-3</v>
      </c>
      <c r="J136" s="85" t="s">
        <v>23</v>
      </c>
    </row>
    <row r="137" spans="1:10" x14ac:dyDescent="0.35">
      <c r="A137" s="38">
        <v>45701</v>
      </c>
      <c r="B137" s="31" t="s">
        <v>173</v>
      </c>
      <c r="C137" s="31" t="s">
        <v>90</v>
      </c>
      <c r="D137" s="32">
        <v>1061925</v>
      </c>
      <c r="E137" s="32">
        <v>390221</v>
      </c>
      <c r="F137" s="33">
        <v>0.367465687313134</v>
      </c>
      <c r="G137" s="32">
        <v>2521</v>
      </c>
      <c r="H137" s="33">
        <v>6.4604416471691697E-3</v>
      </c>
      <c r="I137" s="33">
        <v>2.3739906302234098E-3</v>
      </c>
      <c r="J137" s="85" t="s">
        <v>23</v>
      </c>
    </row>
    <row r="138" spans="1:10" x14ac:dyDescent="0.35">
      <c r="A138" s="38">
        <v>45701</v>
      </c>
      <c r="B138" s="31" t="s">
        <v>173</v>
      </c>
      <c r="C138" s="31" t="s">
        <v>111</v>
      </c>
      <c r="D138" s="32">
        <v>3071</v>
      </c>
      <c r="E138" s="32">
        <v>1132</v>
      </c>
      <c r="F138" s="33">
        <v>0.36860957342885098</v>
      </c>
      <c r="G138" s="32">
        <v>4</v>
      </c>
      <c r="H138" s="33">
        <v>3.53356890459364E-3</v>
      </c>
      <c r="I138" s="33">
        <v>1.3025073266037101E-3</v>
      </c>
      <c r="J138" s="85" t="s">
        <v>23</v>
      </c>
    </row>
    <row r="139" spans="1:10" x14ac:dyDescent="0.35">
      <c r="A139" s="38">
        <v>45701</v>
      </c>
      <c r="B139" s="31" t="s">
        <v>173</v>
      </c>
      <c r="C139" s="31" t="s">
        <v>91</v>
      </c>
      <c r="D139" s="32">
        <v>57922</v>
      </c>
      <c r="E139" s="32">
        <v>21792</v>
      </c>
      <c r="F139" s="33">
        <v>0.37623010255170702</v>
      </c>
      <c r="G139" s="32">
        <v>193</v>
      </c>
      <c r="H139" s="33">
        <v>8.8564610866372993E-3</v>
      </c>
      <c r="I139" s="33">
        <v>3.3320672628707601E-3</v>
      </c>
      <c r="J139" s="85" t="s">
        <v>23</v>
      </c>
    </row>
    <row r="140" spans="1:10" x14ac:dyDescent="0.35">
      <c r="A140" s="96">
        <v>45702</v>
      </c>
      <c r="B140" s="97" t="s">
        <v>176</v>
      </c>
      <c r="C140" s="97" t="s">
        <v>7</v>
      </c>
      <c r="D140" s="98">
        <v>4891874</v>
      </c>
      <c r="E140" s="98">
        <v>1456040</v>
      </c>
      <c r="F140" s="99">
        <v>0.29764462453448298</v>
      </c>
      <c r="G140" s="98">
        <v>13733</v>
      </c>
      <c r="H140" s="99">
        <v>9.4317463805939396E-3</v>
      </c>
      <c r="I140" s="99">
        <v>2.80730861015635E-3</v>
      </c>
      <c r="J140" s="100" t="s">
        <v>23</v>
      </c>
    </row>
    <row r="141" spans="1:10" x14ac:dyDescent="0.35">
      <c r="A141" s="96">
        <v>45702</v>
      </c>
      <c r="B141" s="97" t="s">
        <v>176</v>
      </c>
      <c r="C141" s="97" t="s">
        <v>8</v>
      </c>
      <c r="D141" s="98">
        <v>314209</v>
      </c>
      <c r="E141" s="98">
        <v>88000</v>
      </c>
      <c r="F141" s="99">
        <v>0.28006836214112302</v>
      </c>
      <c r="G141" s="98">
        <v>1024</v>
      </c>
      <c r="H141" s="99">
        <v>1.1636363636363599E-2</v>
      </c>
      <c r="I141" s="99">
        <v>3.2589773049148799E-3</v>
      </c>
      <c r="J141" s="100" t="s">
        <v>23</v>
      </c>
    </row>
    <row r="142" spans="1:10" x14ac:dyDescent="0.35">
      <c r="A142" s="96">
        <v>45702</v>
      </c>
      <c r="B142" s="97" t="s">
        <v>177</v>
      </c>
      <c r="C142" s="97" t="s">
        <v>7</v>
      </c>
      <c r="D142" s="98">
        <v>307988</v>
      </c>
      <c r="E142" s="98">
        <v>118255</v>
      </c>
      <c r="F142" s="99">
        <v>0.383959764666156</v>
      </c>
      <c r="G142" s="98">
        <v>1335</v>
      </c>
      <c r="H142" s="99">
        <v>1.1289163248911299E-2</v>
      </c>
      <c r="I142" s="99">
        <v>4.3345844643297802E-3</v>
      </c>
      <c r="J142" s="100" t="s">
        <v>24</v>
      </c>
    </row>
    <row r="143" spans="1:10" x14ac:dyDescent="0.35">
      <c r="A143" s="96">
        <v>45702</v>
      </c>
      <c r="B143" s="97" t="s">
        <v>177</v>
      </c>
      <c r="C143" s="97" t="s">
        <v>8</v>
      </c>
      <c r="D143" s="98">
        <v>963</v>
      </c>
      <c r="E143" s="98">
        <v>443</v>
      </c>
      <c r="F143" s="99">
        <v>0.46002076843198297</v>
      </c>
      <c r="G143" s="98">
        <v>16</v>
      </c>
      <c r="H143" s="99">
        <v>3.6117381489841997E-2</v>
      </c>
      <c r="I143" s="99">
        <v>1.66147455867082E-2</v>
      </c>
      <c r="J143" s="100" t="s">
        <v>24</v>
      </c>
    </row>
    <row r="144" spans="1:10" x14ac:dyDescent="0.35">
      <c r="A144" s="96">
        <v>45702</v>
      </c>
      <c r="B144" s="97" t="s">
        <v>178</v>
      </c>
      <c r="C144" s="97" t="s">
        <v>179</v>
      </c>
      <c r="D144" s="98">
        <v>118376</v>
      </c>
      <c r="E144" s="98">
        <v>53887</v>
      </c>
      <c r="F144" s="99">
        <v>0.45521896330337203</v>
      </c>
      <c r="G144" s="98">
        <v>856</v>
      </c>
      <c r="H144" s="99">
        <v>1.5885092879544201E-2</v>
      </c>
      <c r="I144" s="99">
        <v>7.23119551260391E-3</v>
      </c>
      <c r="J144" s="100" t="s">
        <v>24</v>
      </c>
    </row>
    <row r="145" spans="1:10" x14ac:dyDescent="0.35">
      <c r="A145" s="96">
        <v>45702</v>
      </c>
      <c r="B145" s="97" t="s">
        <v>178</v>
      </c>
      <c r="C145" s="97" t="s">
        <v>180</v>
      </c>
      <c r="D145" s="98">
        <v>72382</v>
      </c>
      <c r="E145" s="98">
        <v>32657</v>
      </c>
      <c r="F145" s="99">
        <v>0.45117570666740298</v>
      </c>
      <c r="G145" s="98">
        <v>528</v>
      </c>
      <c r="H145" s="99">
        <v>1.6168049729001401E-2</v>
      </c>
      <c r="I145" s="99">
        <v>7.2946312619159501E-3</v>
      </c>
      <c r="J145" s="100" t="s">
        <v>24</v>
      </c>
    </row>
    <row r="146" spans="1:10" x14ac:dyDescent="0.35">
      <c r="A146" s="96">
        <v>45702</v>
      </c>
      <c r="B146" s="97" t="s">
        <v>178</v>
      </c>
      <c r="C146" s="97" t="s">
        <v>181</v>
      </c>
      <c r="D146" s="98">
        <v>32582</v>
      </c>
      <c r="E146" s="98">
        <v>15802</v>
      </c>
      <c r="F146" s="99">
        <v>0.48499171321588602</v>
      </c>
      <c r="G146" s="98">
        <v>328</v>
      </c>
      <c r="H146" s="99">
        <v>2.0756866219465899E-2</v>
      </c>
      <c r="I146" s="99">
        <v>1.0066908108771699E-2</v>
      </c>
      <c r="J146" s="100" t="s">
        <v>24</v>
      </c>
    </row>
    <row r="147" spans="1:10" x14ac:dyDescent="0.35">
      <c r="A147" s="96">
        <v>45702</v>
      </c>
      <c r="B147" s="97" t="s">
        <v>182</v>
      </c>
      <c r="C147" s="97" t="s">
        <v>7</v>
      </c>
      <c r="D147" s="98">
        <v>1975</v>
      </c>
      <c r="E147" s="98">
        <v>963</v>
      </c>
      <c r="F147" s="99">
        <v>0.487594936708861</v>
      </c>
      <c r="G147" s="98">
        <v>169</v>
      </c>
      <c r="H147" s="99">
        <v>0.17549325025960499</v>
      </c>
      <c r="I147" s="99">
        <v>8.5569620253164599E-2</v>
      </c>
      <c r="J147" s="100" t="s">
        <v>102</v>
      </c>
    </row>
    <row r="148" spans="1:10" x14ac:dyDescent="0.35">
      <c r="A148" s="96">
        <v>45703</v>
      </c>
      <c r="B148" s="97" t="s">
        <v>183</v>
      </c>
      <c r="C148" s="97" t="s">
        <v>7</v>
      </c>
      <c r="D148" s="98">
        <v>1322482</v>
      </c>
      <c r="E148" s="98">
        <v>437391</v>
      </c>
      <c r="F148" s="99">
        <v>0.33073493627890599</v>
      </c>
      <c r="G148" s="98">
        <v>6670</v>
      </c>
      <c r="H148" s="99">
        <v>1.5249513593100899E-2</v>
      </c>
      <c r="I148" s="99">
        <v>5.0435469064985397E-3</v>
      </c>
      <c r="J148" s="100" t="s">
        <v>23</v>
      </c>
    </row>
    <row r="149" spans="1:10" x14ac:dyDescent="0.35">
      <c r="A149" s="96">
        <v>45703</v>
      </c>
      <c r="B149" s="97" t="s">
        <v>183</v>
      </c>
      <c r="C149" s="97" t="s">
        <v>8</v>
      </c>
      <c r="D149" s="98">
        <v>96669</v>
      </c>
      <c r="E149" s="98">
        <v>28904</v>
      </c>
      <c r="F149" s="99">
        <v>0.29899967931808502</v>
      </c>
      <c r="G149" s="98">
        <v>654</v>
      </c>
      <c r="H149" s="99">
        <v>2.26266260725159E-2</v>
      </c>
      <c r="I149" s="99">
        <v>6.7653539397324897E-3</v>
      </c>
      <c r="J149" s="100" t="s">
        <v>23</v>
      </c>
    </row>
    <row r="150" spans="1:10" x14ac:dyDescent="0.35">
      <c r="A150" s="96">
        <v>45703</v>
      </c>
      <c r="B150" s="97" t="s">
        <v>184</v>
      </c>
      <c r="C150" s="97" t="s">
        <v>7</v>
      </c>
      <c r="D150" s="98">
        <v>82072</v>
      </c>
      <c r="E150" s="98">
        <v>30942</v>
      </c>
      <c r="F150" s="99">
        <v>0.377010429866459</v>
      </c>
      <c r="G150" s="98">
        <v>337</v>
      </c>
      <c r="H150" s="99">
        <v>1.08913450972788E-2</v>
      </c>
      <c r="I150" s="99">
        <v>4.1061506969490196E-3</v>
      </c>
      <c r="J150" s="100" t="s">
        <v>24</v>
      </c>
    </row>
    <row r="151" spans="1:10" x14ac:dyDescent="0.35">
      <c r="A151" s="96">
        <v>45703</v>
      </c>
      <c r="B151" s="97" t="s">
        <v>185</v>
      </c>
      <c r="C151" s="97" t="s">
        <v>7</v>
      </c>
      <c r="D151" s="98">
        <v>1265</v>
      </c>
      <c r="E151" s="98">
        <v>596</v>
      </c>
      <c r="F151" s="99">
        <v>0.47114624505928898</v>
      </c>
      <c r="G151" s="98">
        <v>30</v>
      </c>
      <c r="H151" s="99">
        <v>5.0335570469798703E-2</v>
      </c>
      <c r="I151" s="99">
        <v>2.3715415019762799E-2</v>
      </c>
      <c r="J151" s="100" t="s">
        <v>23</v>
      </c>
    </row>
    <row r="152" spans="1:10" x14ac:dyDescent="0.35">
      <c r="A152" s="96">
        <v>45703</v>
      </c>
      <c r="B152" s="97" t="s">
        <v>185</v>
      </c>
      <c r="C152" s="97" t="s">
        <v>8</v>
      </c>
      <c r="D152" s="98">
        <v>468</v>
      </c>
      <c r="E152" s="98">
        <v>195</v>
      </c>
      <c r="F152" s="99">
        <v>0.41666666666666702</v>
      </c>
      <c r="G152" s="98">
        <v>11</v>
      </c>
      <c r="H152" s="99">
        <v>5.6410256410256397E-2</v>
      </c>
      <c r="I152" s="99">
        <v>2.3504273504273501E-2</v>
      </c>
      <c r="J152" s="100" t="s">
        <v>23</v>
      </c>
    </row>
    <row r="153" spans="1:10" x14ac:dyDescent="0.35">
      <c r="A153" s="96">
        <v>45706</v>
      </c>
      <c r="B153" s="97" t="s">
        <v>186</v>
      </c>
      <c r="C153" s="97" t="s">
        <v>7</v>
      </c>
      <c r="D153" s="98">
        <v>1409465</v>
      </c>
      <c r="E153" s="98">
        <v>377602</v>
      </c>
      <c r="F153" s="99">
        <v>0.26790448858254701</v>
      </c>
      <c r="G153" s="98">
        <v>8133</v>
      </c>
      <c r="H153" s="99">
        <v>2.1538551172928098E-2</v>
      </c>
      <c r="I153" s="99">
        <v>5.7702745367923299E-3</v>
      </c>
      <c r="J153" s="100" t="s">
        <v>23</v>
      </c>
    </row>
    <row r="154" spans="1:10" x14ac:dyDescent="0.35">
      <c r="A154" s="96">
        <v>45706</v>
      </c>
      <c r="B154" s="97" t="s">
        <v>186</v>
      </c>
      <c r="C154" s="97" t="s">
        <v>8</v>
      </c>
      <c r="D154" s="98">
        <v>89705</v>
      </c>
      <c r="E154" s="98">
        <v>28519</v>
      </c>
      <c r="F154" s="99">
        <v>0.31791984839195098</v>
      </c>
      <c r="G154" s="98">
        <v>751</v>
      </c>
      <c r="H154" s="99">
        <v>2.6333321645219E-2</v>
      </c>
      <c r="I154" s="99">
        <v>8.3718856251045106E-3</v>
      </c>
      <c r="J154" s="100" t="s">
        <v>23</v>
      </c>
    </row>
    <row r="155" spans="1:10" x14ac:dyDescent="0.35">
      <c r="A155" s="96">
        <v>45707</v>
      </c>
      <c r="B155" s="97" t="s">
        <v>187</v>
      </c>
      <c r="C155" s="97" t="s">
        <v>7</v>
      </c>
      <c r="D155" s="98">
        <v>80911</v>
      </c>
      <c r="E155" s="98">
        <v>30112</v>
      </c>
      <c r="F155" s="99">
        <v>0.37216200516616998</v>
      </c>
      <c r="G155" s="98">
        <v>316</v>
      </c>
      <c r="H155" s="99">
        <v>1.0494155154091399E-2</v>
      </c>
      <c r="I155" s="99">
        <v>3.9055258246715502E-3</v>
      </c>
      <c r="J155" s="100" t="s">
        <v>23</v>
      </c>
    </row>
    <row r="156" spans="1:10" x14ac:dyDescent="0.35">
      <c r="A156" s="96">
        <v>45707</v>
      </c>
      <c r="B156" s="97" t="s">
        <v>187</v>
      </c>
      <c r="C156" s="97" t="s">
        <v>8</v>
      </c>
      <c r="D156" s="98">
        <v>3616</v>
      </c>
      <c r="E156" s="98">
        <v>1349</v>
      </c>
      <c r="F156" s="99">
        <v>0.37306415929203501</v>
      </c>
      <c r="G156" s="98">
        <v>19</v>
      </c>
      <c r="H156" s="99">
        <v>1.4084507042253501E-2</v>
      </c>
      <c r="I156" s="99">
        <v>5.2544247787610597E-3</v>
      </c>
      <c r="J156" s="100" t="s">
        <v>23</v>
      </c>
    </row>
    <row r="157" spans="1:10" x14ac:dyDescent="0.35">
      <c r="A157" s="96">
        <v>45707</v>
      </c>
      <c r="B157" s="97" t="s">
        <v>188</v>
      </c>
      <c r="C157" s="97" t="s">
        <v>7</v>
      </c>
      <c r="D157" s="98">
        <v>252040</v>
      </c>
      <c r="E157" s="98">
        <v>92713</v>
      </c>
      <c r="F157" s="99">
        <v>0.36785034121568</v>
      </c>
      <c r="G157" s="98">
        <v>1193</v>
      </c>
      <c r="H157" s="99">
        <v>1.28676668859815E-2</v>
      </c>
      <c r="I157" s="99">
        <v>4.7333756546579899E-3</v>
      </c>
      <c r="J157" s="100" t="s">
        <v>23</v>
      </c>
    </row>
    <row r="158" spans="1:10" x14ac:dyDescent="0.35">
      <c r="A158" s="96">
        <v>45707</v>
      </c>
      <c r="B158" s="97" t="s">
        <v>189</v>
      </c>
      <c r="C158" s="97" t="s">
        <v>7</v>
      </c>
      <c r="D158" s="98">
        <v>97509</v>
      </c>
      <c r="E158" s="98">
        <v>40774</v>
      </c>
      <c r="F158" s="99">
        <v>0.41815627275431</v>
      </c>
      <c r="G158" s="98">
        <v>339</v>
      </c>
      <c r="H158" s="99">
        <v>8.31412174424879E-3</v>
      </c>
      <c r="I158" s="99">
        <v>3.4766021598006298E-3</v>
      </c>
      <c r="J158" s="100" t="s">
        <v>23</v>
      </c>
    </row>
    <row r="159" spans="1:10" x14ac:dyDescent="0.35">
      <c r="A159" s="96">
        <v>45708</v>
      </c>
      <c r="B159" s="97" t="s">
        <v>190</v>
      </c>
      <c r="C159" s="97" t="s">
        <v>197</v>
      </c>
      <c r="D159" s="98">
        <v>1188583</v>
      </c>
      <c r="E159" s="98">
        <v>415304</v>
      </c>
      <c r="F159" s="101">
        <v>0.34939999999999999</v>
      </c>
      <c r="G159" s="98">
        <v>1074</v>
      </c>
      <c r="H159" s="101">
        <v>2.5999999999999999E-3</v>
      </c>
      <c r="I159" s="101">
        <v>8.9999999999999998E-4</v>
      </c>
      <c r="J159" s="100" t="s">
        <v>23</v>
      </c>
    </row>
    <row r="160" spans="1:10" x14ac:dyDescent="0.35">
      <c r="A160" s="96">
        <v>45708</v>
      </c>
      <c r="B160" s="97" t="s">
        <v>191</v>
      </c>
      <c r="C160" s="97" t="s">
        <v>198</v>
      </c>
      <c r="D160" s="98">
        <v>72103</v>
      </c>
      <c r="E160" s="98">
        <v>24739</v>
      </c>
      <c r="F160" s="101">
        <v>0.34310000000000002</v>
      </c>
      <c r="G160" s="97">
        <v>77</v>
      </c>
      <c r="H160" s="101">
        <v>3.0999999999999999E-3</v>
      </c>
      <c r="I160" s="101">
        <v>1.1000000000000001E-3</v>
      </c>
      <c r="J160" s="100" t="s">
        <v>23</v>
      </c>
    </row>
    <row r="161" spans="1:10" x14ac:dyDescent="0.35">
      <c r="A161" s="96">
        <v>45708</v>
      </c>
      <c r="B161" s="97" t="s">
        <v>192</v>
      </c>
      <c r="C161" s="97" t="s">
        <v>197</v>
      </c>
      <c r="D161" s="98">
        <v>691386</v>
      </c>
      <c r="E161" s="98">
        <v>262016</v>
      </c>
      <c r="F161" s="101">
        <v>0.379</v>
      </c>
      <c r="G161" s="97">
        <v>717</v>
      </c>
      <c r="H161" s="101">
        <v>2.7000000000000001E-3</v>
      </c>
      <c r="I161" s="101">
        <v>1E-3</v>
      </c>
      <c r="J161" s="100" t="s">
        <v>23</v>
      </c>
    </row>
    <row r="162" spans="1:10" x14ac:dyDescent="0.35">
      <c r="A162" s="96">
        <v>45708</v>
      </c>
      <c r="B162" s="97" t="s">
        <v>193</v>
      </c>
      <c r="C162" s="97" t="s">
        <v>198</v>
      </c>
      <c r="D162" s="98">
        <v>44292</v>
      </c>
      <c r="E162" s="98">
        <v>16339</v>
      </c>
      <c r="F162" s="101">
        <v>0.36890000000000001</v>
      </c>
      <c r="G162" s="97">
        <v>55</v>
      </c>
      <c r="H162" s="101">
        <v>3.3999999999999998E-3</v>
      </c>
      <c r="I162" s="101">
        <v>1.1999999999999999E-3</v>
      </c>
      <c r="J162" s="100" t="s">
        <v>23</v>
      </c>
    </row>
    <row r="163" spans="1:10" x14ac:dyDescent="0.35">
      <c r="A163" s="96">
        <v>45708</v>
      </c>
      <c r="B163" s="97" t="s">
        <v>194</v>
      </c>
      <c r="C163" s="97" t="s">
        <v>197</v>
      </c>
      <c r="D163" s="98">
        <v>234956</v>
      </c>
      <c r="E163" s="98">
        <v>93771</v>
      </c>
      <c r="F163" s="101">
        <v>0.39910000000000001</v>
      </c>
      <c r="G163" s="97">
        <v>271</v>
      </c>
      <c r="H163" s="101">
        <v>2.8999999999999998E-3</v>
      </c>
      <c r="I163" s="101">
        <v>1.1999999999999999E-3</v>
      </c>
      <c r="J163" s="100" t="s">
        <v>23</v>
      </c>
    </row>
    <row r="164" spans="1:10" x14ac:dyDescent="0.35">
      <c r="A164" s="96">
        <v>45708</v>
      </c>
      <c r="B164" s="97" t="s">
        <v>195</v>
      </c>
      <c r="C164" s="97" t="s">
        <v>7</v>
      </c>
      <c r="D164" s="98">
        <v>43101</v>
      </c>
      <c r="E164" s="98">
        <v>13393</v>
      </c>
      <c r="F164" s="99">
        <v>0.31073524976218603</v>
      </c>
      <c r="G164" s="98">
        <v>206</v>
      </c>
      <c r="H164" s="99">
        <v>1.53811692675278E-2</v>
      </c>
      <c r="I164" s="99">
        <v>4.7794714739797196E-3</v>
      </c>
      <c r="J164" s="100" t="s">
        <v>23</v>
      </c>
    </row>
    <row r="165" spans="1:10" x14ac:dyDescent="0.35">
      <c r="A165" s="96">
        <v>45708</v>
      </c>
      <c r="B165" s="97" t="s">
        <v>195</v>
      </c>
      <c r="C165" s="97" t="s">
        <v>8</v>
      </c>
      <c r="D165" s="98">
        <v>567</v>
      </c>
      <c r="E165" s="98">
        <v>191</v>
      </c>
      <c r="F165" s="99">
        <v>0.33686067019400401</v>
      </c>
      <c r="G165" s="98">
        <v>6</v>
      </c>
      <c r="H165" s="99">
        <v>3.1413612565444997E-2</v>
      </c>
      <c r="I165" s="99">
        <v>1.0582010582010601E-2</v>
      </c>
      <c r="J165" s="100" t="s">
        <v>23</v>
      </c>
    </row>
    <row r="166" spans="1:10" x14ac:dyDescent="0.35">
      <c r="A166" s="96">
        <v>45708</v>
      </c>
      <c r="B166" s="97" t="s">
        <v>196</v>
      </c>
      <c r="C166" s="97" t="s">
        <v>7</v>
      </c>
      <c r="D166" s="98">
        <v>121636</v>
      </c>
      <c r="E166" s="98">
        <v>42444</v>
      </c>
      <c r="F166" s="99">
        <v>0.34894274721299601</v>
      </c>
      <c r="G166" s="98">
        <v>520</v>
      </c>
      <c r="H166" s="99">
        <v>1.2251437187824E-2</v>
      </c>
      <c r="I166" s="99">
        <v>4.2750501496267596E-3</v>
      </c>
      <c r="J166" s="100" t="s">
        <v>23</v>
      </c>
    </row>
    <row r="167" spans="1:10" x14ac:dyDescent="0.35">
      <c r="A167" s="96">
        <v>45708</v>
      </c>
      <c r="B167" s="97" t="s">
        <v>196</v>
      </c>
      <c r="C167" s="97" t="s">
        <v>8</v>
      </c>
      <c r="D167" s="98">
        <v>131629</v>
      </c>
      <c r="E167" s="98">
        <v>41629</v>
      </c>
      <c r="F167" s="99">
        <v>0.316260094659991</v>
      </c>
      <c r="G167" s="98">
        <v>645</v>
      </c>
      <c r="H167" s="99">
        <v>1.54940065819501E-2</v>
      </c>
      <c r="I167" s="99">
        <v>4.9001359882700603E-3</v>
      </c>
      <c r="J167" s="100" t="s">
        <v>23</v>
      </c>
    </row>
    <row r="168" spans="1:10" x14ac:dyDescent="0.35">
      <c r="A168" s="38">
        <v>45709</v>
      </c>
      <c r="B168" s="31" t="s">
        <v>200</v>
      </c>
      <c r="C168" s="31" t="s">
        <v>7</v>
      </c>
      <c r="D168" s="32">
        <v>4891406</v>
      </c>
      <c r="E168" s="32">
        <v>1480360</v>
      </c>
      <c r="F168" s="33">
        <v>0.302645088140302</v>
      </c>
      <c r="G168" s="32">
        <v>13785</v>
      </c>
      <c r="H168" s="33">
        <v>9.3119241265638107E-3</v>
      </c>
      <c r="I168" s="33">
        <v>2.8182080980397001E-3</v>
      </c>
      <c r="J168" s="85" t="s">
        <v>23</v>
      </c>
    </row>
    <row r="169" spans="1:10" x14ac:dyDescent="0.35">
      <c r="A169" s="38">
        <v>45709</v>
      </c>
      <c r="B169" s="31" t="s">
        <v>200</v>
      </c>
      <c r="C169" s="31" t="s">
        <v>8</v>
      </c>
      <c r="D169" s="32">
        <v>313726</v>
      </c>
      <c r="E169" s="32">
        <v>88614</v>
      </c>
      <c r="F169" s="33">
        <v>0.28245666600791802</v>
      </c>
      <c r="G169" s="32">
        <v>1076</v>
      </c>
      <c r="H169" s="33">
        <v>1.2142550838468E-2</v>
      </c>
      <c r="I169" s="33">
        <v>3.42974442666531E-3</v>
      </c>
      <c r="J169" s="85" t="s">
        <v>23</v>
      </c>
    </row>
    <row r="170" spans="1:10" x14ac:dyDescent="0.35">
      <c r="A170" s="38">
        <v>45709</v>
      </c>
      <c r="B170" s="31" t="s">
        <v>201</v>
      </c>
      <c r="C170" s="31" t="s">
        <v>7</v>
      </c>
      <c r="D170" s="32">
        <v>66402</v>
      </c>
      <c r="E170" s="32">
        <v>27492</v>
      </c>
      <c r="F170" s="33">
        <v>0.41402367398572298</v>
      </c>
      <c r="G170" s="32">
        <v>2973</v>
      </c>
      <c r="H170" s="33">
        <v>0.108140549978175</v>
      </c>
      <c r="I170" s="33">
        <v>4.4772747808800903E-2</v>
      </c>
      <c r="J170" s="85" t="s">
        <v>102</v>
      </c>
    </row>
    <row r="171" spans="1:10" x14ac:dyDescent="0.35">
      <c r="A171" s="38">
        <v>45709</v>
      </c>
      <c r="B171" s="31" t="s">
        <v>201</v>
      </c>
      <c r="C171" s="31" t="s">
        <v>8</v>
      </c>
      <c r="D171" s="32">
        <v>2273</v>
      </c>
      <c r="E171" s="32">
        <v>979</v>
      </c>
      <c r="F171" s="33">
        <v>0.43070831500220003</v>
      </c>
      <c r="G171" s="32">
        <v>146</v>
      </c>
      <c r="H171" s="33">
        <v>0.14913176710929499</v>
      </c>
      <c r="I171" s="33">
        <v>6.4232292124944995E-2</v>
      </c>
      <c r="J171" s="85" t="s">
        <v>102</v>
      </c>
    </row>
    <row r="172" spans="1:10" x14ac:dyDescent="0.35">
      <c r="A172" s="38">
        <v>45712</v>
      </c>
      <c r="B172" s="31" t="s">
        <v>202</v>
      </c>
      <c r="C172" s="31" t="s">
        <v>7</v>
      </c>
      <c r="D172" s="32">
        <v>61517</v>
      </c>
      <c r="E172" s="32">
        <v>20946</v>
      </c>
      <c r="F172" s="33">
        <v>0.34049124632215499</v>
      </c>
      <c r="G172" s="32">
        <v>337</v>
      </c>
      <c r="H172" s="33">
        <v>1.60889907380884E-2</v>
      </c>
      <c r="I172" s="33">
        <v>5.4781605084773298E-3</v>
      </c>
      <c r="J172" s="85" t="s">
        <v>23</v>
      </c>
    </row>
    <row r="173" spans="1:10" x14ac:dyDescent="0.35">
      <c r="A173" s="38">
        <v>45712</v>
      </c>
      <c r="B173" s="31" t="s">
        <v>202</v>
      </c>
      <c r="C173" s="31" t="s">
        <v>8</v>
      </c>
      <c r="D173" s="32">
        <v>64</v>
      </c>
      <c r="E173" s="32">
        <v>21</v>
      </c>
      <c r="F173" s="33">
        <v>0.328125</v>
      </c>
      <c r="G173" s="32">
        <v>1</v>
      </c>
      <c r="H173" s="33">
        <v>4.7619047619047603E-2</v>
      </c>
      <c r="I173" s="33">
        <v>1.5625E-2</v>
      </c>
      <c r="J173" s="85" t="s">
        <v>23</v>
      </c>
    </row>
    <row r="174" spans="1:10" x14ac:dyDescent="0.35">
      <c r="A174" s="38">
        <v>45712</v>
      </c>
      <c r="B174" s="31" t="s">
        <v>203</v>
      </c>
      <c r="C174" s="31" t="s">
        <v>7</v>
      </c>
      <c r="D174" s="32">
        <v>842126</v>
      </c>
      <c r="E174" s="32">
        <v>304631</v>
      </c>
      <c r="F174" s="33">
        <v>0.36174040464253598</v>
      </c>
      <c r="G174" s="32">
        <v>3506</v>
      </c>
      <c r="H174" s="33">
        <v>1.1509005977723899E-2</v>
      </c>
      <c r="I174" s="33">
        <v>4.1632724794151898E-3</v>
      </c>
      <c r="J174" s="85" t="s">
        <v>23</v>
      </c>
    </row>
    <row r="175" spans="1:10" x14ac:dyDescent="0.35">
      <c r="A175" s="38">
        <v>45712</v>
      </c>
      <c r="B175" s="31" t="s">
        <v>204</v>
      </c>
      <c r="C175" s="31" t="s">
        <v>8</v>
      </c>
      <c r="D175" s="32">
        <v>1970</v>
      </c>
      <c r="E175" s="32">
        <v>666</v>
      </c>
      <c r="F175" s="33">
        <v>0.33807106598984799</v>
      </c>
      <c r="G175" s="32">
        <v>7</v>
      </c>
      <c r="H175" s="33">
        <v>1.0510510510510499E-2</v>
      </c>
      <c r="I175" s="33">
        <v>3.5532994923857899E-3</v>
      </c>
      <c r="J175" s="85" t="s">
        <v>23</v>
      </c>
    </row>
    <row r="176" spans="1:10" x14ac:dyDescent="0.35">
      <c r="A176" s="38">
        <v>45713</v>
      </c>
      <c r="B176" s="31" t="s">
        <v>205</v>
      </c>
      <c r="C176" s="31" t="s">
        <v>7</v>
      </c>
      <c r="D176" s="32">
        <v>1415420</v>
      </c>
      <c r="E176" s="32">
        <v>389148</v>
      </c>
      <c r="F176" s="33">
        <v>0.27493464837292098</v>
      </c>
      <c r="G176" s="32">
        <v>9137</v>
      </c>
      <c r="H176" s="33">
        <v>2.34794988025122E-2</v>
      </c>
      <c r="I176" s="33">
        <v>6.4553277472411E-3</v>
      </c>
      <c r="J176" s="85" t="s">
        <v>23</v>
      </c>
    </row>
    <row r="177" spans="1:10" x14ac:dyDescent="0.35">
      <c r="A177" s="38">
        <v>45713</v>
      </c>
      <c r="B177" s="31" t="s">
        <v>205</v>
      </c>
      <c r="C177" s="31" t="s">
        <v>8</v>
      </c>
      <c r="D177" s="32">
        <v>89678</v>
      </c>
      <c r="E177" s="32">
        <v>29581</v>
      </c>
      <c r="F177" s="33">
        <v>0.329857936171636</v>
      </c>
      <c r="G177" s="32">
        <v>834</v>
      </c>
      <c r="H177" s="33">
        <v>2.8193773029985499E-2</v>
      </c>
      <c r="I177" s="33">
        <v>9.2999397845625505E-3</v>
      </c>
      <c r="J177" s="85" t="s">
        <v>23</v>
      </c>
    </row>
    <row r="178" spans="1:10" x14ac:dyDescent="0.35">
      <c r="A178" s="38">
        <v>45713</v>
      </c>
      <c r="B178" s="31" t="s">
        <v>206</v>
      </c>
      <c r="C178" s="31" t="s">
        <v>85</v>
      </c>
      <c r="D178" s="32">
        <v>1338</v>
      </c>
      <c r="E178" s="32">
        <v>422</v>
      </c>
      <c r="F178" s="33">
        <v>0.315396113602392</v>
      </c>
      <c r="G178" s="32">
        <v>59</v>
      </c>
      <c r="H178" s="33">
        <v>0.139810426540284</v>
      </c>
      <c r="I178" s="33">
        <v>4.4095665171898397E-2</v>
      </c>
      <c r="J178" s="85" t="s">
        <v>25</v>
      </c>
    </row>
    <row r="179" spans="1:10" x14ac:dyDescent="0.35">
      <c r="A179" s="38">
        <v>45713</v>
      </c>
      <c r="B179" s="31" t="s">
        <v>207</v>
      </c>
      <c r="C179" s="31" t="s">
        <v>87</v>
      </c>
      <c r="D179" s="32">
        <v>421</v>
      </c>
      <c r="E179" s="32">
        <v>133</v>
      </c>
      <c r="F179" s="33">
        <v>0.315914489311164</v>
      </c>
      <c r="G179" s="32">
        <v>8</v>
      </c>
      <c r="H179" s="33">
        <v>6.01503759398496E-2</v>
      </c>
      <c r="I179" s="33">
        <v>1.9002375296912101E-2</v>
      </c>
      <c r="J179" s="85" t="s">
        <v>25</v>
      </c>
    </row>
    <row r="180" spans="1:10" x14ac:dyDescent="0.35">
      <c r="A180" s="38">
        <v>45713</v>
      </c>
      <c r="B180" s="31" t="s">
        <v>208</v>
      </c>
      <c r="C180" s="31" t="s">
        <v>85</v>
      </c>
      <c r="D180" s="32">
        <v>120</v>
      </c>
      <c r="E180" s="32">
        <v>50</v>
      </c>
      <c r="F180" s="33">
        <v>0.41666666666666702</v>
      </c>
      <c r="G180" s="32">
        <v>7</v>
      </c>
      <c r="H180" s="33">
        <v>0.14000000000000001</v>
      </c>
      <c r="I180" s="33">
        <v>5.83333333333333E-2</v>
      </c>
      <c r="J180" s="85" t="s">
        <v>25</v>
      </c>
    </row>
    <row r="181" spans="1:10" x14ac:dyDescent="0.35">
      <c r="A181" s="38">
        <v>45713</v>
      </c>
      <c r="B181" s="31" t="s">
        <v>209</v>
      </c>
      <c r="C181" s="31" t="s">
        <v>87</v>
      </c>
      <c r="D181" s="32">
        <v>7</v>
      </c>
      <c r="E181" s="32">
        <v>2</v>
      </c>
      <c r="F181" s="33">
        <v>0.28571428571428598</v>
      </c>
      <c r="G181" s="32">
        <v>0</v>
      </c>
      <c r="H181" s="33">
        <v>0</v>
      </c>
      <c r="I181" s="33">
        <v>0</v>
      </c>
      <c r="J181" s="85" t="s">
        <v>25</v>
      </c>
    </row>
    <row r="182" spans="1:10" x14ac:dyDescent="0.35">
      <c r="A182" s="38">
        <v>45714</v>
      </c>
      <c r="B182" s="31" t="s">
        <v>210</v>
      </c>
      <c r="C182" s="31" t="s">
        <v>85</v>
      </c>
      <c r="D182" s="32">
        <v>15001</v>
      </c>
      <c r="E182" s="32">
        <v>2289</v>
      </c>
      <c r="F182" s="33">
        <v>0.152589827344844</v>
      </c>
      <c r="G182" s="32">
        <v>193</v>
      </c>
      <c r="H182" s="33">
        <v>8.4316295325469595E-2</v>
      </c>
      <c r="I182" s="33">
        <v>1.28658089460703E-2</v>
      </c>
      <c r="J182" s="85" t="s">
        <v>25</v>
      </c>
    </row>
    <row r="183" spans="1:10" x14ac:dyDescent="0.35">
      <c r="A183" s="38">
        <v>45714</v>
      </c>
      <c r="B183" s="31" t="s">
        <v>211</v>
      </c>
      <c r="C183" s="31" t="s">
        <v>87</v>
      </c>
      <c r="D183" s="32">
        <v>3476</v>
      </c>
      <c r="E183" s="32">
        <v>420</v>
      </c>
      <c r="F183" s="33">
        <v>0.120828538550058</v>
      </c>
      <c r="G183" s="32">
        <v>81</v>
      </c>
      <c r="H183" s="33">
        <v>0.192857142857143</v>
      </c>
      <c r="I183" s="33">
        <v>2.3302646720368199E-2</v>
      </c>
      <c r="J183" s="85" t="s">
        <v>25</v>
      </c>
    </row>
    <row r="184" spans="1:10" x14ac:dyDescent="0.35">
      <c r="A184" s="38">
        <v>45714</v>
      </c>
      <c r="B184" s="31" t="s">
        <v>212</v>
      </c>
      <c r="C184" s="31" t="s">
        <v>7</v>
      </c>
      <c r="D184" s="32">
        <v>402769</v>
      </c>
      <c r="E184" s="32">
        <v>146783</v>
      </c>
      <c r="F184" s="33">
        <v>0.36443470078382401</v>
      </c>
      <c r="G184" s="32">
        <v>1639</v>
      </c>
      <c r="H184" s="33">
        <v>1.11661432182201E-2</v>
      </c>
      <c r="I184" s="33">
        <v>4.0693300626413699E-3</v>
      </c>
      <c r="J184" s="85" t="s">
        <v>23</v>
      </c>
    </row>
    <row r="185" spans="1:10" x14ac:dyDescent="0.35">
      <c r="A185" s="38">
        <v>45715</v>
      </c>
      <c r="B185" s="31" t="s">
        <v>190</v>
      </c>
      <c r="C185" s="31" t="s">
        <v>17</v>
      </c>
      <c r="D185" s="32">
        <v>1133234</v>
      </c>
      <c r="E185" s="32">
        <v>403183</v>
      </c>
      <c r="F185" s="34">
        <v>0.35580000000000001</v>
      </c>
      <c r="G185" s="31">
        <v>957</v>
      </c>
      <c r="H185" s="34">
        <v>2.3999999999999998E-3</v>
      </c>
      <c r="I185" s="34">
        <v>8.0000000000000004E-4</v>
      </c>
      <c r="J185" s="85" t="s">
        <v>23</v>
      </c>
    </row>
    <row r="186" spans="1:10" x14ac:dyDescent="0.35">
      <c r="A186" s="38">
        <v>45715</v>
      </c>
      <c r="B186" s="31" t="s">
        <v>191</v>
      </c>
      <c r="C186" s="31" t="s">
        <v>18</v>
      </c>
      <c r="D186" s="32">
        <v>68514</v>
      </c>
      <c r="E186" s="32">
        <v>23772</v>
      </c>
      <c r="F186" s="34">
        <v>0.34699999999999998</v>
      </c>
      <c r="G186" s="31">
        <v>61</v>
      </c>
      <c r="H186" s="34">
        <v>2.5999999999999999E-3</v>
      </c>
      <c r="I186" s="34">
        <v>8.9999999999999998E-4</v>
      </c>
      <c r="J186" s="85" t="s">
        <v>23</v>
      </c>
    </row>
    <row r="187" spans="1:10" x14ac:dyDescent="0.35">
      <c r="A187" s="38">
        <v>45715</v>
      </c>
      <c r="B187" s="31" t="s">
        <v>192</v>
      </c>
      <c r="C187" s="31" t="s">
        <v>17</v>
      </c>
      <c r="D187" s="32">
        <v>660312</v>
      </c>
      <c r="E187" s="32">
        <v>256738</v>
      </c>
      <c r="F187" s="34">
        <v>0.38879999999999998</v>
      </c>
      <c r="G187" s="31">
        <v>582</v>
      </c>
      <c r="H187" s="34">
        <v>2.3E-3</v>
      </c>
      <c r="I187" s="34">
        <v>8.9999999999999998E-4</v>
      </c>
      <c r="J187" s="85" t="s">
        <v>23</v>
      </c>
    </row>
    <row r="188" spans="1:10" x14ac:dyDescent="0.35">
      <c r="A188" s="38">
        <v>45715</v>
      </c>
      <c r="B188" s="31" t="s">
        <v>193</v>
      </c>
      <c r="C188" s="31" t="s">
        <v>18</v>
      </c>
      <c r="D188" s="32">
        <v>42145</v>
      </c>
      <c r="E188" s="32">
        <v>16096</v>
      </c>
      <c r="F188" s="34">
        <v>0.38190000000000002</v>
      </c>
      <c r="G188" s="31">
        <v>56</v>
      </c>
      <c r="H188" s="34">
        <v>3.5000000000000001E-3</v>
      </c>
      <c r="I188" s="34">
        <v>1.2999999999999999E-3</v>
      </c>
      <c r="J188" s="85" t="s">
        <v>23</v>
      </c>
    </row>
    <row r="189" spans="1:10" x14ac:dyDescent="0.35">
      <c r="A189" s="38">
        <v>45715</v>
      </c>
      <c r="B189" s="31" t="s">
        <v>194</v>
      </c>
      <c r="C189" s="31" t="s">
        <v>17</v>
      </c>
      <c r="D189" s="32">
        <v>221003</v>
      </c>
      <c r="E189" s="32">
        <v>88177</v>
      </c>
      <c r="F189" s="34">
        <v>0.39900000000000002</v>
      </c>
      <c r="G189" s="31">
        <v>195</v>
      </c>
      <c r="H189" s="34">
        <v>2.2000000000000001E-3</v>
      </c>
      <c r="I189" s="34">
        <v>8.9999999999999998E-4</v>
      </c>
      <c r="J189" s="85" t="s">
        <v>23</v>
      </c>
    </row>
    <row r="190" spans="1:10" x14ac:dyDescent="0.35">
      <c r="A190" s="38">
        <v>45715</v>
      </c>
      <c r="B190" s="31" t="s">
        <v>213</v>
      </c>
      <c r="C190" s="31" t="s">
        <v>110</v>
      </c>
      <c r="D190" s="32">
        <v>13141</v>
      </c>
      <c r="E190" s="32">
        <v>4956</v>
      </c>
      <c r="F190" s="33">
        <v>0.37714024807853302</v>
      </c>
      <c r="G190" s="32">
        <v>97</v>
      </c>
      <c r="H190" s="33">
        <v>1.9572235673930599E-2</v>
      </c>
      <c r="I190" s="33">
        <v>7.3814778175176898E-3</v>
      </c>
      <c r="J190" s="85" t="s">
        <v>101</v>
      </c>
    </row>
    <row r="191" spans="1:10" x14ac:dyDescent="0.35">
      <c r="A191" s="38">
        <v>45715</v>
      </c>
      <c r="B191" s="31" t="s">
        <v>213</v>
      </c>
      <c r="C191" s="31" t="s">
        <v>90</v>
      </c>
      <c r="D191" s="32">
        <v>118048</v>
      </c>
      <c r="E191" s="32">
        <v>44363</v>
      </c>
      <c r="F191" s="33">
        <v>0.375804757386826</v>
      </c>
      <c r="G191" s="32">
        <v>742</v>
      </c>
      <c r="H191" s="33">
        <v>1.67256497531727E-2</v>
      </c>
      <c r="I191" s="33">
        <v>6.2855787476280801E-3</v>
      </c>
      <c r="J191" s="85" t="s">
        <v>101</v>
      </c>
    </row>
    <row r="192" spans="1:10" x14ac:dyDescent="0.35">
      <c r="A192" s="38">
        <v>45715</v>
      </c>
      <c r="B192" s="31" t="s">
        <v>213</v>
      </c>
      <c r="C192" s="31" t="s">
        <v>111</v>
      </c>
      <c r="D192" s="32">
        <v>7763</v>
      </c>
      <c r="E192" s="32">
        <v>3109</v>
      </c>
      <c r="F192" s="33">
        <v>0.40048950148138601</v>
      </c>
      <c r="G192" s="32">
        <v>67</v>
      </c>
      <c r="H192" s="33">
        <v>2.1550337729173401E-2</v>
      </c>
      <c r="I192" s="33">
        <v>8.6306840139121505E-3</v>
      </c>
      <c r="J192" s="85" t="s">
        <v>101</v>
      </c>
    </row>
    <row r="193" spans="1:10" x14ac:dyDescent="0.35">
      <c r="A193" s="38">
        <v>45715</v>
      </c>
      <c r="B193" s="31" t="s">
        <v>214</v>
      </c>
      <c r="C193" s="31" t="s">
        <v>91</v>
      </c>
      <c r="D193" s="32">
        <v>68699</v>
      </c>
      <c r="E193" s="32">
        <v>27985</v>
      </c>
      <c r="F193" s="33">
        <v>0.407356730083407</v>
      </c>
      <c r="G193" s="32">
        <v>657</v>
      </c>
      <c r="H193" s="33">
        <v>2.3476862604966901E-2</v>
      </c>
      <c r="I193" s="33">
        <v>9.5634579833767594E-3</v>
      </c>
      <c r="J193" s="85" t="s">
        <v>101</v>
      </c>
    </row>
    <row r="194" spans="1:10" x14ac:dyDescent="0.35">
      <c r="A194" s="96">
        <v>45716</v>
      </c>
      <c r="B194" s="97" t="s">
        <v>217</v>
      </c>
      <c r="C194" s="97" t="s">
        <v>7</v>
      </c>
      <c r="D194" s="98">
        <v>4888477</v>
      </c>
      <c r="E194" s="98">
        <v>1494473</v>
      </c>
      <c r="F194" s="99">
        <v>0.30571341544615999</v>
      </c>
      <c r="G194" s="98">
        <v>16699</v>
      </c>
      <c r="H194" s="99">
        <v>1.11738385370629E-2</v>
      </c>
      <c r="I194" s="99">
        <v>3.4159923428094298E-3</v>
      </c>
      <c r="J194" s="103" t="s">
        <v>23</v>
      </c>
    </row>
    <row r="195" spans="1:10" x14ac:dyDescent="0.35">
      <c r="A195" s="96">
        <v>45716</v>
      </c>
      <c r="B195" s="97" t="s">
        <v>217</v>
      </c>
      <c r="C195" s="97" t="s">
        <v>8</v>
      </c>
      <c r="D195" s="98">
        <v>313098</v>
      </c>
      <c r="E195" s="98">
        <v>99744</v>
      </c>
      <c r="F195" s="99">
        <v>0.31857118218576902</v>
      </c>
      <c r="G195" s="98">
        <v>1273</v>
      </c>
      <c r="H195" s="99">
        <v>1.27626724414501E-2</v>
      </c>
      <c r="I195" s="99">
        <v>4.0658196475225001E-3</v>
      </c>
      <c r="J195" s="103" t="s">
        <v>23</v>
      </c>
    </row>
    <row r="196" spans="1:10" x14ac:dyDescent="0.35">
      <c r="A196" s="96">
        <v>45716</v>
      </c>
      <c r="B196" s="97" t="s">
        <v>218</v>
      </c>
      <c r="C196" s="97" t="s">
        <v>7</v>
      </c>
      <c r="D196" s="98">
        <v>6322390</v>
      </c>
      <c r="E196" s="98">
        <v>2299096</v>
      </c>
      <c r="F196" s="99">
        <v>0.36364349557683101</v>
      </c>
      <c r="G196" s="98">
        <v>17578</v>
      </c>
      <c r="H196" s="99">
        <v>7.6456137542755898E-3</v>
      </c>
      <c r="I196" s="99">
        <v>2.78027771143507E-3</v>
      </c>
      <c r="J196" s="103" t="s">
        <v>23</v>
      </c>
    </row>
    <row r="197" spans="1:10" x14ac:dyDescent="0.35">
      <c r="A197" s="96">
        <v>45716</v>
      </c>
      <c r="B197" s="97" t="s">
        <v>218</v>
      </c>
      <c r="C197" s="97" t="s">
        <v>8</v>
      </c>
      <c r="D197" s="98">
        <v>403349</v>
      </c>
      <c r="E197" s="98">
        <v>144477</v>
      </c>
      <c r="F197" s="99">
        <v>0.35819352471432903</v>
      </c>
      <c r="G197" s="98">
        <v>1341</v>
      </c>
      <c r="H197" s="99">
        <v>9.2817541892481203E-3</v>
      </c>
      <c r="I197" s="99">
        <v>3.3246642485787702E-3</v>
      </c>
      <c r="J197" s="103" t="s">
        <v>23</v>
      </c>
    </row>
    <row r="198" spans="1:10" x14ac:dyDescent="0.35">
      <c r="A198" s="96">
        <v>45716</v>
      </c>
      <c r="B198" s="97" t="s">
        <v>219</v>
      </c>
      <c r="C198" s="97" t="s">
        <v>111</v>
      </c>
      <c r="D198" s="98">
        <v>2368</v>
      </c>
      <c r="E198" s="98">
        <v>947</v>
      </c>
      <c r="F198" s="99">
        <v>0.39991554054054101</v>
      </c>
      <c r="G198" s="98">
        <v>13</v>
      </c>
      <c r="H198" s="99">
        <v>1.3727560718057001E-2</v>
      </c>
      <c r="I198" s="99">
        <v>5.4898648648648704E-3</v>
      </c>
      <c r="J198" s="103" t="s">
        <v>23</v>
      </c>
    </row>
    <row r="199" spans="1:10" x14ac:dyDescent="0.35">
      <c r="A199" s="96">
        <v>45716</v>
      </c>
      <c r="B199" s="97" t="s">
        <v>219</v>
      </c>
      <c r="C199" s="97" t="s">
        <v>91</v>
      </c>
      <c r="D199" s="98">
        <v>20937</v>
      </c>
      <c r="E199" s="98">
        <v>8686</v>
      </c>
      <c r="F199" s="99">
        <v>0.41486363853465202</v>
      </c>
      <c r="G199" s="98">
        <v>82</v>
      </c>
      <c r="H199" s="99">
        <v>9.4404789316140901E-3</v>
      </c>
      <c r="I199" s="99">
        <v>3.9165114390791404E-3</v>
      </c>
      <c r="J199" s="103" t="s">
        <v>23</v>
      </c>
    </row>
    <row r="200" spans="1:10" x14ac:dyDescent="0.35">
      <c r="A200" s="96">
        <v>45717</v>
      </c>
      <c r="B200" s="97" t="s">
        <v>220</v>
      </c>
      <c r="C200" s="97" t="s">
        <v>7</v>
      </c>
      <c r="D200" s="98">
        <v>66578</v>
      </c>
      <c r="E200" s="98">
        <v>28912</v>
      </c>
      <c r="F200" s="99">
        <v>0.43425756255820203</v>
      </c>
      <c r="G200" s="98">
        <v>1596</v>
      </c>
      <c r="H200" s="99">
        <v>5.5201992252351999E-2</v>
      </c>
      <c r="I200" s="99">
        <v>2.3971882603863098E-2</v>
      </c>
      <c r="J200" s="103" t="s">
        <v>23</v>
      </c>
    </row>
    <row r="201" spans="1:10" x14ac:dyDescent="0.35">
      <c r="A201" s="96">
        <v>45717</v>
      </c>
      <c r="B201" s="97" t="s">
        <v>220</v>
      </c>
      <c r="C201" s="97" t="s">
        <v>8</v>
      </c>
      <c r="D201" s="98">
        <v>7505</v>
      </c>
      <c r="E201" s="98">
        <v>3652</v>
      </c>
      <c r="F201" s="99">
        <v>0.48660892738174499</v>
      </c>
      <c r="G201" s="98">
        <v>277</v>
      </c>
      <c r="H201" s="99">
        <v>7.5848849945235497E-2</v>
      </c>
      <c r="I201" s="99">
        <v>3.6908727514989997E-2</v>
      </c>
      <c r="J201" s="103" t="s">
        <v>23</v>
      </c>
    </row>
    <row r="202" spans="1:10" x14ac:dyDescent="0.35">
      <c r="A202" s="96">
        <v>45717</v>
      </c>
      <c r="B202" s="97" t="s">
        <v>221</v>
      </c>
      <c r="C202" s="97" t="s">
        <v>7</v>
      </c>
      <c r="D202" s="98">
        <v>291199</v>
      </c>
      <c r="E202" s="98">
        <v>114260</v>
      </c>
      <c r="F202" s="99">
        <v>0.39237772107733898</v>
      </c>
      <c r="G202" s="98">
        <v>1266</v>
      </c>
      <c r="H202" s="99">
        <v>1.10799929984246E-2</v>
      </c>
      <c r="I202" s="99">
        <v>4.3475424022747303E-3</v>
      </c>
      <c r="J202" s="103" t="s">
        <v>24</v>
      </c>
    </row>
    <row r="203" spans="1:10" x14ac:dyDescent="0.35">
      <c r="A203" s="96">
        <v>45717</v>
      </c>
      <c r="B203" s="97" t="s">
        <v>221</v>
      </c>
      <c r="C203" s="97" t="s">
        <v>8</v>
      </c>
      <c r="D203" s="98">
        <v>954</v>
      </c>
      <c r="E203" s="98">
        <v>438</v>
      </c>
      <c r="F203" s="99">
        <v>0.45911949685534598</v>
      </c>
      <c r="G203" s="98">
        <v>13</v>
      </c>
      <c r="H203" s="99">
        <v>2.96803652968037E-2</v>
      </c>
      <c r="I203" s="99">
        <v>1.3626834381551401E-2</v>
      </c>
      <c r="J203" s="103" t="s">
        <v>24</v>
      </c>
    </row>
    <row r="204" spans="1:10" x14ac:dyDescent="0.35">
      <c r="A204" s="96">
        <v>45718</v>
      </c>
      <c r="B204" s="97" t="s">
        <v>222</v>
      </c>
      <c r="C204" s="97" t="s">
        <v>7</v>
      </c>
      <c r="D204" s="98">
        <v>77948</v>
      </c>
      <c r="E204" s="98">
        <v>27318</v>
      </c>
      <c r="F204" s="99">
        <v>0.35046441217221702</v>
      </c>
      <c r="G204" s="98">
        <v>531</v>
      </c>
      <c r="H204" s="99">
        <v>1.9437733362618101E-2</v>
      </c>
      <c r="I204" s="99">
        <v>6.81223379689023E-3</v>
      </c>
      <c r="J204" s="103" t="s">
        <v>24</v>
      </c>
    </row>
    <row r="205" spans="1:10" x14ac:dyDescent="0.35">
      <c r="A205" s="96">
        <v>45719</v>
      </c>
      <c r="B205" s="97" t="s">
        <v>223</v>
      </c>
      <c r="C205" s="97" t="s">
        <v>7</v>
      </c>
      <c r="D205" s="98">
        <v>201000</v>
      </c>
      <c r="E205" s="98">
        <v>97531</v>
      </c>
      <c r="F205" s="99">
        <v>0.48522885572139302</v>
      </c>
      <c r="G205" s="98">
        <v>1309</v>
      </c>
      <c r="H205" s="99">
        <v>1.34213737170746E-2</v>
      </c>
      <c r="I205" s="99">
        <v>6.5124378109452704E-3</v>
      </c>
      <c r="J205" s="103" t="s">
        <v>23</v>
      </c>
    </row>
    <row r="206" spans="1:10" x14ac:dyDescent="0.35">
      <c r="A206" s="96">
        <v>45719</v>
      </c>
      <c r="B206" s="97" t="s">
        <v>223</v>
      </c>
      <c r="C206" s="97" t="s">
        <v>8</v>
      </c>
      <c r="D206" s="98">
        <v>12312</v>
      </c>
      <c r="E206" s="98">
        <v>5865</v>
      </c>
      <c r="F206" s="99">
        <v>0.47636452241715399</v>
      </c>
      <c r="G206" s="98">
        <v>136</v>
      </c>
      <c r="H206" s="99">
        <v>2.3188405797101401E-2</v>
      </c>
      <c r="I206" s="99">
        <v>1.10461338531514E-2</v>
      </c>
      <c r="J206" s="103" t="s">
        <v>23</v>
      </c>
    </row>
    <row r="207" spans="1:10" x14ac:dyDescent="0.35">
      <c r="A207" s="96">
        <v>45719</v>
      </c>
      <c r="B207" s="97" t="s">
        <v>224</v>
      </c>
      <c r="C207" s="97" t="s">
        <v>7</v>
      </c>
      <c r="D207" s="98">
        <v>248474</v>
      </c>
      <c r="E207" s="98">
        <v>93600</v>
      </c>
      <c r="F207" s="99">
        <v>0.37669937297262501</v>
      </c>
      <c r="G207" s="98">
        <v>1090</v>
      </c>
      <c r="H207" s="99">
        <v>1.16452991452991E-2</v>
      </c>
      <c r="I207" s="99">
        <v>4.38677688611283E-3</v>
      </c>
      <c r="J207" s="103" t="s">
        <v>23</v>
      </c>
    </row>
    <row r="208" spans="1:10" x14ac:dyDescent="0.35">
      <c r="A208" s="96">
        <v>45719</v>
      </c>
      <c r="B208" s="97" t="s">
        <v>224</v>
      </c>
      <c r="C208" s="97" t="s">
        <v>8</v>
      </c>
      <c r="D208" s="98">
        <v>158</v>
      </c>
      <c r="E208" s="98">
        <v>50</v>
      </c>
      <c r="F208" s="99">
        <v>0.316455696202532</v>
      </c>
      <c r="G208" s="98">
        <v>1</v>
      </c>
      <c r="H208" s="99">
        <v>0.02</v>
      </c>
      <c r="I208" s="99">
        <v>6.3291139240506302E-3</v>
      </c>
      <c r="J208" s="103" t="s">
        <v>23</v>
      </c>
    </row>
    <row r="209" spans="1:10" x14ac:dyDescent="0.35">
      <c r="A209" s="96">
        <v>45719</v>
      </c>
      <c r="B209" s="97" t="s">
        <v>225</v>
      </c>
      <c r="C209" s="97" t="s">
        <v>7</v>
      </c>
      <c r="D209" s="98">
        <v>11635</v>
      </c>
      <c r="E209" s="98">
        <v>3616</v>
      </c>
      <c r="F209" s="99">
        <v>0.31078642028362702</v>
      </c>
      <c r="G209" s="98">
        <v>64</v>
      </c>
      <c r="H209" s="99">
        <v>1.7699115044247801E-2</v>
      </c>
      <c r="I209" s="99">
        <v>5.5006446067898604E-3</v>
      </c>
      <c r="J209" s="103" t="s">
        <v>23</v>
      </c>
    </row>
    <row r="210" spans="1:10" x14ac:dyDescent="0.35">
      <c r="A210" s="96">
        <v>45719</v>
      </c>
      <c r="B210" s="97" t="s">
        <v>225</v>
      </c>
      <c r="C210" s="97" t="s">
        <v>8</v>
      </c>
      <c r="D210" s="98">
        <v>19</v>
      </c>
      <c r="E210" s="98">
        <v>8</v>
      </c>
      <c r="F210" s="99">
        <v>0.42105263157894701</v>
      </c>
      <c r="G210" s="98">
        <v>0</v>
      </c>
      <c r="H210" s="99">
        <v>0</v>
      </c>
      <c r="I210" s="99">
        <v>0</v>
      </c>
      <c r="J210" s="103" t="s">
        <v>23</v>
      </c>
    </row>
    <row r="211" spans="1:10" x14ac:dyDescent="0.35">
      <c r="A211" s="96">
        <v>45720</v>
      </c>
      <c r="B211" s="97" t="s">
        <v>226</v>
      </c>
      <c r="C211" s="97" t="s">
        <v>7</v>
      </c>
      <c r="D211" s="98">
        <v>1413544</v>
      </c>
      <c r="E211" s="98">
        <v>366546</v>
      </c>
      <c r="F211" s="99">
        <v>0.25930993304771599</v>
      </c>
      <c r="G211" s="98">
        <v>8977</v>
      </c>
      <c r="H211" s="99">
        <v>2.4490786968074899E-2</v>
      </c>
      <c r="I211" s="99">
        <v>6.3507043289773796E-3</v>
      </c>
      <c r="J211" s="103" t="s">
        <v>23</v>
      </c>
    </row>
    <row r="212" spans="1:10" x14ac:dyDescent="0.35">
      <c r="A212" s="96">
        <v>45720</v>
      </c>
      <c r="B212" s="97" t="s">
        <v>226</v>
      </c>
      <c r="C212" s="97" t="s">
        <v>8</v>
      </c>
      <c r="D212" s="98">
        <v>89050</v>
      </c>
      <c r="E212" s="98">
        <v>27040</v>
      </c>
      <c r="F212" s="99">
        <v>0.303649635036496</v>
      </c>
      <c r="G212" s="98">
        <v>868</v>
      </c>
      <c r="H212" s="99">
        <v>3.2100591715976297E-2</v>
      </c>
      <c r="I212" s="99">
        <v>9.7473329590117893E-3</v>
      </c>
      <c r="J212" s="103" t="s">
        <v>23</v>
      </c>
    </row>
    <row r="213" spans="1:10" x14ac:dyDescent="0.35">
      <c r="A213" s="96">
        <v>45721</v>
      </c>
      <c r="B213" s="97" t="s">
        <v>227</v>
      </c>
      <c r="C213" s="97" t="s">
        <v>85</v>
      </c>
      <c r="D213" s="98">
        <v>14992</v>
      </c>
      <c r="E213" s="98">
        <v>3549</v>
      </c>
      <c r="F213" s="99">
        <v>0.23672625400213401</v>
      </c>
      <c r="G213" s="98">
        <v>206</v>
      </c>
      <c r="H213" s="99">
        <v>5.8044519582981097E-2</v>
      </c>
      <c r="I213" s="99">
        <v>1.37406616862327E-2</v>
      </c>
      <c r="J213" s="103" t="s">
        <v>25</v>
      </c>
    </row>
    <row r="214" spans="1:10" x14ac:dyDescent="0.35">
      <c r="A214" s="96">
        <v>45721</v>
      </c>
      <c r="B214" s="97" t="s">
        <v>228</v>
      </c>
      <c r="C214" s="97" t="s">
        <v>87</v>
      </c>
      <c r="D214" s="98">
        <v>3486</v>
      </c>
      <c r="E214" s="98">
        <v>434</v>
      </c>
      <c r="F214" s="99">
        <v>0.12449799196787099</v>
      </c>
      <c r="G214" s="98">
        <v>69</v>
      </c>
      <c r="H214" s="99">
        <v>0.15898617511520699</v>
      </c>
      <c r="I214" s="99">
        <v>1.9793459552495701E-2</v>
      </c>
      <c r="J214" s="103" t="s">
        <v>25</v>
      </c>
    </row>
    <row r="215" spans="1:10" x14ac:dyDescent="0.35">
      <c r="A215" s="96">
        <v>45721</v>
      </c>
      <c r="B215" s="97" t="s">
        <v>229</v>
      </c>
      <c r="C215" s="97" t="s">
        <v>7</v>
      </c>
      <c r="D215" s="98">
        <v>156973</v>
      </c>
      <c r="E215" s="98">
        <v>63600</v>
      </c>
      <c r="F215" s="99">
        <v>0.40516521949634599</v>
      </c>
      <c r="G215" s="98">
        <v>889</v>
      </c>
      <c r="H215" s="99">
        <v>1.3977987421383601E-2</v>
      </c>
      <c r="I215" s="99">
        <v>5.6633943417020802E-3</v>
      </c>
      <c r="J215" s="103" t="s">
        <v>23</v>
      </c>
    </row>
    <row r="216" spans="1:10" x14ac:dyDescent="0.35">
      <c r="A216" s="96">
        <v>45721</v>
      </c>
      <c r="B216" s="97" t="s">
        <v>229</v>
      </c>
      <c r="C216" s="97" t="s">
        <v>8</v>
      </c>
      <c r="D216" s="98">
        <v>1497</v>
      </c>
      <c r="E216" s="98">
        <v>559</v>
      </c>
      <c r="F216" s="99">
        <v>0.37341349365397503</v>
      </c>
      <c r="G216" s="98">
        <v>9</v>
      </c>
      <c r="H216" s="99">
        <v>1.6100178890876601E-2</v>
      </c>
      <c r="I216" s="99">
        <v>6.0120240480961897E-3</v>
      </c>
      <c r="J216" s="103" t="s">
        <v>23</v>
      </c>
    </row>
    <row r="217" spans="1:10" x14ac:dyDescent="0.35">
      <c r="A217" s="96">
        <v>45721</v>
      </c>
      <c r="B217" s="97" t="s">
        <v>230</v>
      </c>
      <c r="C217" s="97" t="s">
        <v>7</v>
      </c>
      <c r="D217" s="98">
        <v>130850</v>
      </c>
      <c r="E217" s="98">
        <v>54530</v>
      </c>
      <c r="F217" s="99">
        <v>0.41673672143675999</v>
      </c>
      <c r="G217" s="98">
        <v>503</v>
      </c>
      <c r="H217" s="99">
        <v>9.2242802127269399E-3</v>
      </c>
      <c r="I217" s="99">
        <v>3.8440962934657998E-3</v>
      </c>
      <c r="J217" s="103" t="s">
        <v>23</v>
      </c>
    </row>
    <row r="218" spans="1:10" x14ac:dyDescent="0.35">
      <c r="A218" s="96">
        <v>45721</v>
      </c>
      <c r="B218" s="97" t="s">
        <v>230</v>
      </c>
      <c r="C218" s="97" t="s">
        <v>8</v>
      </c>
      <c r="D218" s="98">
        <v>3983</v>
      </c>
      <c r="E218" s="98">
        <v>1861</v>
      </c>
      <c r="F218" s="99">
        <v>0.467235751945769</v>
      </c>
      <c r="G218" s="98">
        <v>25</v>
      </c>
      <c r="H218" s="99">
        <v>1.3433637829124099E-2</v>
      </c>
      <c r="I218" s="99">
        <v>6.2766758724579503E-3</v>
      </c>
      <c r="J218" s="103" t="s">
        <v>23</v>
      </c>
    </row>
    <row r="219" spans="1:10" x14ac:dyDescent="0.35">
      <c r="A219" s="96">
        <v>45722</v>
      </c>
      <c r="B219" s="97" t="s">
        <v>231</v>
      </c>
      <c r="C219" s="97" t="s">
        <v>7</v>
      </c>
      <c r="D219" s="98">
        <v>952721</v>
      </c>
      <c r="E219" s="98">
        <v>329770</v>
      </c>
      <c r="F219" s="99">
        <v>0.34613491252948098</v>
      </c>
      <c r="G219" s="98">
        <v>1922</v>
      </c>
      <c r="H219" s="99">
        <v>5.82830457591655E-3</v>
      </c>
      <c r="I219" s="99">
        <v>2.0173796945800499E-3</v>
      </c>
      <c r="J219" s="103" t="s">
        <v>23</v>
      </c>
    </row>
    <row r="220" spans="1:10" x14ac:dyDescent="0.35">
      <c r="A220" s="96">
        <v>45722</v>
      </c>
      <c r="B220" s="97" t="s">
        <v>190</v>
      </c>
      <c r="C220" s="97" t="s">
        <v>233</v>
      </c>
      <c r="D220" s="98">
        <v>1121985</v>
      </c>
      <c r="E220" s="98">
        <v>377566</v>
      </c>
      <c r="F220" s="101">
        <v>0.33650000000000002</v>
      </c>
      <c r="G220" s="97">
        <v>997</v>
      </c>
      <c r="H220" s="101">
        <v>2.5999999999999999E-3</v>
      </c>
      <c r="I220" s="101">
        <v>8.9999999999999998E-4</v>
      </c>
      <c r="J220" s="103" t="s">
        <v>23</v>
      </c>
    </row>
    <row r="221" spans="1:10" x14ac:dyDescent="0.35">
      <c r="A221" s="96">
        <v>45722</v>
      </c>
      <c r="B221" s="97" t="s">
        <v>191</v>
      </c>
      <c r="C221" s="97" t="s">
        <v>234</v>
      </c>
      <c r="D221" s="98">
        <v>67386</v>
      </c>
      <c r="E221" s="98">
        <v>22169</v>
      </c>
      <c r="F221" s="101">
        <v>0.32900000000000001</v>
      </c>
      <c r="G221" s="97">
        <v>79</v>
      </c>
      <c r="H221" s="101">
        <v>3.5999999999999999E-3</v>
      </c>
      <c r="I221" s="101">
        <v>1.1999999999999999E-3</v>
      </c>
      <c r="J221" s="103" t="s">
        <v>23</v>
      </c>
    </row>
    <row r="222" spans="1:10" x14ac:dyDescent="0.35">
      <c r="A222" s="96">
        <v>45722</v>
      </c>
      <c r="B222" s="97" t="s">
        <v>192</v>
      </c>
      <c r="C222" s="97" t="s">
        <v>233</v>
      </c>
      <c r="D222" s="98">
        <v>650248</v>
      </c>
      <c r="E222" s="98">
        <v>237129</v>
      </c>
      <c r="F222" s="101">
        <v>0.36470000000000002</v>
      </c>
      <c r="G222" s="97">
        <v>597</v>
      </c>
      <c r="H222" s="101">
        <v>2.5000000000000001E-3</v>
      </c>
      <c r="I222" s="101">
        <v>8.9999999999999998E-4</v>
      </c>
      <c r="J222" s="103" t="s">
        <v>23</v>
      </c>
    </row>
    <row r="223" spans="1:10" x14ac:dyDescent="0.35">
      <c r="A223" s="96">
        <v>45722</v>
      </c>
      <c r="B223" s="97" t="s">
        <v>193</v>
      </c>
      <c r="C223" s="97" t="s">
        <v>234</v>
      </c>
      <c r="D223" s="98">
        <v>41138</v>
      </c>
      <c r="E223" s="98">
        <v>14951</v>
      </c>
      <c r="F223" s="101">
        <v>0.3634</v>
      </c>
      <c r="G223" s="97">
        <v>51</v>
      </c>
      <c r="H223" s="101">
        <v>3.3999999999999998E-3</v>
      </c>
      <c r="I223" s="101">
        <v>1.1999999999999999E-3</v>
      </c>
      <c r="J223" s="103" t="s">
        <v>23</v>
      </c>
    </row>
    <row r="224" spans="1:10" x14ac:dyDescent="0.35">
      <c r="A224" s="96">
        <v>45722</v>
      </c>
      <c r="B224" s="97" t="s">
        <v>194</v>
      </c>
      <c r="C224" s="97" t="s">
        <v>233</v>
      </c>
      <c r="D224" s="98">
        <v>217429</v>
      </c>
      <c r="E224" s="98">
        <v>82094</v>
      </c>
      <c r="F224" s="101">
        <v>0.37759999999999999</v>
      </c>
      <c r="G224" s="97">
        <v>229</v>
      </c>
      <c r="H224" s="101">
        <v>2.8E-3</v>
      </c>
      <c r="I224" s="101">
        <v>1.1000000000000001E-3</v>
      </c>
      <c r="J224" s="103" t="s">
        <v>23</v>
      </c>
    </row>
    <row r="225" spans="1:10" x14ac:dyDescent="0.35">
      <c r="A225" s="38">
        <v>45723</v>
      </c>
      <c r="B225" s="31" t="s">
        <v>236</v>
      </c>
      <c r="C225" s="31" t="s">
        <v>7</v>
      </c>
      <c r="D225" s="32">
        <v>4874278</v>
      </c>
      <c r="E225" s="32">
        <v>1427111</v>
      </c>
      <c r="F225" s="33">
        <v>0.29278408002169798</v>
      </c>
      <c r="G225" s="32">
        <v>16689</v>
      </c>
      <c r="H225" s="33">
        <v>1.16942550369242E-2</v>
      </c>
      <c r="I225" s="33">
        <v>3.4238917025249701E-3</v>
      </c>
      <c r="J225" s="77" t="s">
        <v>23</v>
      </c>
    </row>
    <row r="226" spans="1:10" x14ac:dyDescent="0.35">
      <c r="A226" s="38">
        <v>45723</v>
      </c>
      <c r="B226" s="31" t="s">
        <v>236</v>
      </c>
      <c r="C226" s="31" t="s">
        <v>8</v>
      </c>
      <c r="D226" s="32">
        <v>311330</v>
      </c>
      <c r="E226" s="32">
        <v>84008</v>
      </c>
      <c r="F226" s="33">
        <v>0.26983586548035798</v>
      </c>
      <c r="G226" s="32">
        <v>1267</v>
      </c>
      <c r="H226" s="33">
        <v>1.50818969621941E-2</v>
      </c>
      <c r="I226" s="33">
        <v>4.0696367198792298E-3</v>
      </c>
      <c r="J226" s="77" t="s">
        <v>23</v>
      </c>
    </row>
    <row r="227" spans="1:10" x14ac:dyDescent="0.35">
      <c r="A227" s="38">
        <v>45723</v>
      </c>
      <c r="B227" s="31" t="s">
        <v>237</v>
      </c>
      <c r="C227" s="31" t="s">
        <v>110</v>
      </c>
      <c r="D227" s="32">
        <v>3103</v>
      </c>
      <c r="E227" s="32">
        <v>1206</v>
      </c>
      <c r="F227" s="33">
        <v>0.38865613922011</v>
      </c>
      <c r="G227" s="32">
        <v>11</v>
      </c>
      <c r="H227" s="33">
        <v>9.1210613598673301E-3</v>
      </c>
      <c r="I227" s="33">
        <v>3.5449564937157598E-3</v>
      </c>
      <c r="J227" s="77" t="s">
        <v>23</v>
      </c>
    </row>
    <row r="228" spans="1:10" x14ac:dyDescent="0.35">
      <c r="A228" s="38">
        <v>45723</v>
      </c>
      <c r="B228" s="31" t="s">
        <v>237</v>
      </c>
      <c r="C228" s="31" t="s">
        <v>90</v>
      </c>
      <c r="D228" s="32">
        <v>59962</v>
      </c>
      <c r="E228" s="32">
        <v>23494</v>
      </c>
      <c r="F228" s="33">
        <v>0.39181481605016499</v>
      </c>
      <c r="G228" s="32">
        <v>139</v>
      </c>
      <c r="H228" s="33">
        <v>5.9164041883033999E-3</v>
      </c>
      <c r="I228" s="33">
        <v>2.31813481871852E-3</v>
      </c>
      <c r="J228" s="77" t="s">
        <v>23</v>
      </c>
    </row>
    <row r="229" spans="1:10" x14ac:dyDescent="0.35">
      <c r="A229" s="38">
        <v>45723</v>
      </c>
      <c r="B229" s="31" t="s">
        <v>237</v>
      </c>
      <c r="C229" s="31" t="s">
        <v>111</v>
      </c>
      <c r="D229" s="32">
        <v>164</v>
      </c>
      <c r="E229" s="32">
        <v>62</v>
      </c>
      <c r="F229" s="33">
        <v>0.37804878048780499</v>
      </c>
      <c r="G229" s="32">
        <v>2</v>
      </c>
      <c r="H229" s="33">
        <v>3.2258064516128997E-2</v>
      </c>
      <c r="I229" s="33">
        <v>1.21951219512195E-2</v>
      </c>
      <c r="J229" s="77" t="s">
        <v>23</v>
      </c>
    </row>
    <row r="230" spans="1:10" x14ac:dyDescent="0.35">
      <c r="A230" s="38">
        <v>45723</v>
      </c>
      <c r="B230" s="31" t="s">
        <v>237</v>
      </c>
      <c r="C230" s="31" t="s">
        <v>91</v>
      </c>
      <c r="D230" s="32">
        <v>3529</v>
      </c>
      <c r="E230" s="32">
        <v>1427</v>
      </c>
      <c r="F230" s="33">
        <v>0.40436384244828599</v>
      </c>
      <c r="G230" s="32">
        <v>8</v>
      </c>
      <c r="H230" s="33">
        <v>5.6061667834618103E-3</v>
      </c>
      <c r="I230" s="33">
        <v>2.2669311419665598E-3</v>
      </c>
      <c r="J230" s="77" t="s">
        <v>23</v>
      </c>
    </row>
    <row r="231" spans="1:10" x14ac:dyDescent="0.35">
      <c r="A231" s="38">
        <v>45723</v>
      </c>
      <c r="B231" s="31" t="s">
        <v>238</v>
      </c>
      <c r="C231" s="31" t="s">
        <v>110</v>
      </c>
      <c r="D231" s="32">
        <v>73412</v>
      </c>
      <c r="E231" s="32">
        <v>28216</v>
      </c>
      <c r="F231" s="33">
        <v>0.38435133220726903</v>
      </c>
      <c r="G231" s="32">
        <v>494</v>
      </c>
      <c r="H231" s="33">
        <v>1.7507796994612999E-2</v>
      </c>
      <c r="I231" s="33">
        <v>6.7291450988939102E-3</v>
      </c>
      <c r="J231" s="77" t="s">
        <v>101</v>
      </c>
    </row>
    <row r="232" spans="1:10" x14ac:dyDescent="0.35">
      <c r="A232" s="38">
        <v>45723</v>
      </c>
      <c r="B232" s="31" t="s">
        <v>238</v>
      </c>
      <c r="C232" s="31" t="s">
        <v>90</v>
      </c>
      <c r="D232" s="32">
        <v>663193</v>
      </c>
      <c r="E232" s="32">
        <v>257599</v>
      </c>
      <c r="F232" s="33">
        <v>0.38842237478381098</v>
      </c>
      <c r="G232" s="32">
        <v>4288</v>
      </c>
      <c r="H232" s="33">
        <v>1.66460273525907E-2</v>
      </c>
      <c r="I232" s="33">
        <v>6.4656894750095397E-3</v>
      </c>
      <c r="J232" s="77" t="s">
        <v>101</v>
      </c>
    </row>
    <row r="233" spans="1:10" x14ac:dyDescent="0.35">
      <c r="A233" s="38">
        <v>45723</v>
      </c>
      <c r="B233" s="31" t="s">
        <v>238</v>
      </c>
      <c r="C233" s="31" t="s">
        <v>111</v>
      </c>
      <c r="D233" s="32">
        <v>179</v>
      </c>
      <c r="E233" s="32">
        <v>82</v>
      </c>
      <c r="F233" s="33">
        <v>0.458100558659218</v>
      </c>
      <c r="G233" s="32">
        <v>1</v>
      </c>
      <c r="H233" s="33">
        <v>1.21951219512195E-2</v>
      </c>
      <c r="I233" s="33">
        <v>5.5865921787709499E-3</v>
      </c>
      <c r="J233" s="77" t="s">
        <v>101</v>
      </c>
    </row>
    <row r="234" spans="1:10" x14ac:dyDescent="0.35">
      <c r="A234" s="38">
        <v>45723</v>
      </c>
      <c r="B234" s="31" t="s">
        <v>238</v>
      </c>
      <c r="C234" s="31" t="s">
        <v>91</v>
      </c>
      <c r="D234" s="32">
        <v>1645</v>
      </c>
      <c r="E234" s="32">
        <v>640</v>
      </c>
      <c r="F234" s="33">
        <v>0.38905775075987797</v>
      </c>
      <c r="G234" s="32">
        <v>14</v>
      </c>
      <c r="H234" s="33">
        <v>2.1874999999999999E-2</v>
      </c>
      <c r="I234" s="33">
        <v>8.5106382978723406E-3</v>
      </c>
      <c r="J234" s="77" t="s">
        <v>101</v>
      </c>
    </row>
    <row r="235" spans="1:10" x14ac:dyDescent="0.35">
      <c r="A235" s="38">
        <v>45724</v>
      </c>
      <c r="B235" s="31" t="s">
        <v>239</v>
      </c>
      <c r="C235" s="31" t="s">
        <v>7</v>
      </c>
      <c r="D235" s="32">
        <v>1376</v>
      </c>
      <c r="E235" s="32">
        <v>647</v>
      </c>
      <c r="F235" s="33">
        <v>0.47020348837209303</v>
      </c>
      <c r="G235" s="32">
        <v>35</v>
      </c>
      <c r="H235" s="33">
        <v>5.4095826893353897E-2</v>
      </c>
      <c r="I235" s="33">
        <v>2.54360465116279E-2</v>
      </c>
      <c r="J235" s="77" t="s">
        <v>23</v>
      </c>
    </row>
    <row r="236" spans="1:10" x14ac:dyDescent="0.35">
      <c r="A236" s="38">
        <v>45724</v>
      </c>
      <c r="B236" s="31" t="s">
        <v>239</v>
      </c>
      <c r="C236" s="31" t="s">
        <v>8</v>
      </c>
      <c r="D236" s="32">
        <v>481</v>
      </c>
      <c r="E236" s="32">
        <v>199</v>
      </c>
      <c r="F236" s="33">
        <v>0.41372141372141402</v>
      </c>
      <c r="G236" s="32">
        <v>17</v>
      </c>
      <c r="H236" s="33">
        <v>8.5427135678391997E-2</v>
      </c>
      <c r="I236" s="33">
        <v>3.5343035343035303E-2</v>
      </c>
      <c r="J236" s="77" t="s">
        <v>23</v>
      </c>
    </row>
    <row r="237" spans="1:10" x14ac:dyDescent="0.35">
      <c r="A237" s="38">
        <v>45725</v>
      </c>
      <c r="B237" s="31" t="s">
        <v>240</v>
      </c>
      <c r="C237" s="31" t="s">
        <v>7</v>
      </c>
      <c r="D237" s="32">
        <v>248668</v>
      </c>
      <c r="E237" s="32">
        <v>93924</v>
      </c>
      <c r="F237" s="33">
        <v>0.37770843051779901</v>
      </c>
      <c r="G237" s="32">
        <v>898</v>
      </c>
      <c r="H237" s="33">
        <v>9.5609215961841507E-3</v>
      </c>
      <c r="I237" s="33">
        <v>3.6112406903984402E-3</v>
      </c>
      <c r="J237" s="77" t="s">
        <v>24</v>
      </c>
    </row>
    <row r="238" spans="1:10" x14ac:dyDescent="0.35">
      <c r="A238" s="38">
        <v>45725</v>
      </c>
      <c r="B238" s="31" t="s">
        <v>240</v>
      </c>
      <c r="C238" s="31" t="s">
        <v>8</v>
      </c>
      <c r="D238" s="32">
        <v>725</v>
      </c>
      <c r="E238" s="32">
        <v>310</v>
      </c>
      <c r="F238" s="33">
        <v>0.42758620689655202</v>
      </c>
      <c r="G238" s="32">
        <v>5</v>
      </c>
      <c r="H238" s="33">
        <v>1.6129032258064498E-2</v>
      </c>
      <c r="I238" s="33">
        <v>6.8965517241379301E-3</v>
      </c>
      <c r="J238" s="77" t="s">
        <v>24</v>
      </c>
    </row>
    <row r="239" spans="1:10" x14ac:dyDescent="0.35">
      <c r="A239" s="38">
        <v>45726</v>
      </c>
      <c r="B239" s="31" t="s">
        <v>241</v>
      </c>
      <c r="C239" s="31" t="s">
        <v>7</v>
      </c>
      <c r="D239" s="32">
        <v>1033885</v>
      </c>
      <c r="E239" s="32">
        <v>401124</v>
      </c>
      <c r="F239" s="33">
        <v>0.38797738626636402</v>
      </c>
      <c r="G239" s="32">
        <v>5087</v>
      </c>
      <c r="H239" s="33">
        <v>1.2681863962265999E-2</v>
      </c>
      <c r="I239" s="33">
        <v>4.9202764330655699E-3</v>
      </c>
      <c r="J239" s="77" t="s">
        <v>23</v>
      </c>
    </row>
    <row r="240" spans="1:10" x14ac:dyDescent="0.35">
      <c r="A240" s="38">
        <v>45726</v>
      </c>
      <c r="B240" s="31" t="s">
        <v>241</v>
      </c>
      <c r="C240" s="31" t="s">
        <v>8</v>
      </c>
      <c r="D240" s="32">
        <v>64468</v>
      </c>
      <c r="E240" s="32">
        <v>24177</v>
      </c>
      <c r="F240" s="33">
        <v>0.37502326735744901</v>
      </c>
      <c r="G240" s="32">
        <v>376</v>
      </c>
      <c r="H240" s="33">
        <v>1.55519708814162E-2</v>
      </c>
      <c r="I240" s="33">
        <v>5.8323509337966104E-3</v>
      </c>
      <c r="J240" s="77" t="s">
        <v>23</v>
      </c>
    </row>
    <row r="241" spans="1:10" x14ac:dyDescent="0.35">
      <c r="A241" s="38">
        <v>45726</v>
      </c>
      <c r="B241" s="31" t="s">
        <v>242</v>
      </c>
      <c r="C241" s="31" t="s">
        <v>7</v>
      </c>
      <c r="D241" s="32">
        <v>189339</v>
      </c>
      <c r="E241" s="32">
        <v>72213</v>
      </c>
      <c r="F241" s="33">
        <v>0.38139527514141303</v>
      </c>
      <c r="G241" s="32">
        <v>758</v>
      </c>
      <c r="H241" s="33">
        <v>1.04967249664188E-2</v>
      </c>
      <c r="I241" s="33">
        <v>4.0034013066510303E-3</v>
      </c>
      <c r="J241" s="77" t="s">
        <v>23</v>
      </c>
    </row>
    <row r="242" spans="1:10" x14ac:dyDescent="0.35">
      <c r="A242" s="38">
        <v>45726</v>
      </c>
      <c r="B242" s="31" t="s">
        <v>242</v>
      </c>
      <c r="C242" s="31" t="s">
        <v>8</v>
      </c>
      <c r="D242" s="32">
        <v>139</v>
      </c>
      <c r="E242" s="32">
        <v>54</v>
      </c>
      <c r="F242" s="33">
        <v>0.388489208633094</v>
      </c>
      <c r="G242" s="32">
        <v>2</v>
      </c>
      <c r="H242" s="33">
        <v>3.7037037037037E-2</v>
      </c>
      <c r="I242" s="33">
        <v>1.4388489208633099E-2</v>
      </c>
      <c r="J242" s="77" t="s">
        <v>23</v>
      </c>
    </row>
    <row r="243" spans="1:10" x14ac:dyDescent="0.35">
      <c r="A243" s="38">
        <v>45727</v>
      </c>
      <c r="B243" s="31" t="s">
        <v>243</v>
      </c>
      <c r="C243" s="31" t="s">
        <v>7</v>
      </c>
      <c r="D243" s="32">
        <v>1431161</v>
      </c>
      <c r="E243" s="32">
        <v>375053</v>
      </c>
      <c r="F243" s="33">
        <v>0.26206206010365002</v>
      </c>
      <c r="G243" s="32">
        <v>9340</v>
      </c>
      <c r="H243" s="33">
        <v>2.49031470218876E-2</v>
      </c>
      <c r="I243" s="33">
        <v>6.5261700116199398E-3</v>
      </c>
      <c r="J243" s="77" t="s">
        <v>23</v>
      </c>
    </row>
    <row r="244" spans="1:10" x14ac:dyDescent="0.35">
      <c r="A244" s="38">
        <v>45727</v>
      </c>
      <c r="B244" s="31" t="s">
        <v>243</v>
      </c>
      <c r="C244" s="31" t="s">
        <v>8</v>
      </c>
      <c r="D244" s="32">
        <v>90009</v>
      </c>
      <c r="E244" s="32">
        <v>28325</v>
      </c>
      <c r="F244" s="33">
        <v>0.31469075314690798</v>
      </c>
      <c r="G244" s="32">
        <v>744</v>
      </c>
      <c r="H244" s="33">
        <v>2.62665489849956E-2</v>
      </c>
      <c r="I244" s="33">
        <v>8.2658400826583992E-3</v>
      </c>
      <c r="J244" s="77" t="s">
        <v>23</v>
      </c>
    </row>
    <row r="245" spans="1:10" x14ac:dyDescent="0.35">
      <c r="A245" s="38">
        <v>45727</v>
      </c>
      <c r="B245" s="31" t="s">
        <v>244</v>
      </c>
      <c r="C245" s="31" t="s">
        <v>7</v>
      </c>
      <c r="D245" s="32">
        <v>289819</v>
      </c>
      <c r="E245" s="32">
        <v>107537</v>
      </c>
      <c r="F245" s="33">
        <v>0.37104882702652298</v>
      </c>
      <c r="G245" s="32">
        <v>926</v>
      </c>
      <c r="H245" s="33">
        <v>8.6109897058686807E-3</v>
      </c>
      <c r="I245" s="33">
        <v>3.1950976299000402E-3</v>
      </c>
      <c r="J245" s="77" t="s">
        <v>24</v>
      </c>
    </row>
    <row r="246" spans="1:10" x14ac:dyDescent="0.35">
      <c r="A246" s="38">
        <v>45727</v>
      </c>
      <c r="B246" s="31" t="s">
        <v>244</v>
      </c>
      <c r="C246" s="31" t="s">
        <v>8</v>
      </c>
      <c r="D246" s="32">
        <v>1036</v>
      </c>
      <c r="E246" s="32">
        <v>433</v>
      </c>
      <c r="F246" s="33">
        <v>0.41795366795366801</v>
      </c>
      <c r="G246" s="32">
        <v>10</v>
      </c>
      <c r="H246" s="33">
        <v>2.3094688221709E-2</v>
      </c>
      <c r="I246" s="33">
        <v>9.6525096525096506E-3</v>
      </c>
      <c r="J246" s="77" t="s">
        <v>24</v>
      </c>
    </row>
    <row r="247" spans="1:10" x14ac:dyDescent="0.35">
      <c r="A247" s="38">
        <v>45727</v>
      </c>
      <c r="B247" s="31" t="s">
        <v>245</v>
      </c>
      <c r="C247" s="31" t="s">
        <v>246</v>
      </c>
      <c r="D247" s="32">
        <v>305</v>
      </c>
      <c r="E247" s="32">
        <v>118</v>
      </c>
      <c r="F247" s="33">
        <v>0.38688524590163897</v>
      </c>
      <c r="G247" s="32">
        <v>17</v>
      </c>
      <c r="H247" s="33">
        <v>0.144067796610169</v>
      </c>
      <c r="I247" s="33">
        <v>5.5737704918032802E-2</v>
      </c>
      <c r="J247" s="77" t="s">
        <v>102</v>
      </c>
    </row>
    <row r="248" spans="1:10" x14ac:dyDescent="0.35">
      <c r="A248" s="38">
        <v>45727</v>
      </c>
      <c r="B248" s="31" t="s">
        <v>245</v>
      </c>
      <c r="C248" s="31" t="s">
        <v>247</v>
      </c>
      <c r="D248" s="32">
        <v>294</v>
      </c>
      <c r="E248" s="32">
        <v>111</v>
      </c>
      <c r="F248" s="33">
        <v>0.37755102040816302</v>
      </c>
      <c r="G248" s="32">
        <v>10</v>
      </c>
      <c r="H248" s="33">
        <v>9.00900900900901E-2</v>
      </c>
      <c r="I248" s="33">
        <v>3.4013605442176902E-2</v>
      </c>
      <c r="J248" s="77" t="s">
        <v>102</v>
      </c>
    </row>
    <row r="249" spans="1:10" x14ac:dyDescent="0.35">
      <c r="A249" s="38">
        <v>45727</v>
      </c>
      <c r="B249" s="31" t="s">
        <v>245</v>
      </c>
      <c r="C249" s="31" t="s">
        <v>248</v>
      </c>
      <c r="D249" s="32">
        <v>306</v>
      </c>
      <c r="E249" s="32">
        <v>136</v>
      </c>
      <c r="F249" s="33">
        <v>0.44444444444444398</v>
      </c>
      <c r="G249" s="32">
        <v>15</v>
      </c>
      <c r="H249" s="33">
        <v>0.110294117647059</v>
      </c>
      <c r="I249" s="33">
        <v>4.9019607843137303E-2</v>
      </c>
      <c r="J249" s="77" t="s">
        <v>102</v>
      </c>
    </row>
    <row r="250" spans="1:10" x14ac:dyDescent="0.35">
      <c r="A250" s="38">
        <v>45728</v>
      </c>
      <c r="B250" s="31" t="s">
        <v>249</v>
      </c>
      <c r="C250" s="31" t="s">
        <v>7</v>
      </c>
      <c r="D250" s="32">
        <v>79280</v>
      </c>
      <c r="E250" s="32">
        <v>22934</v>
      </c>
      <c r="F250" s="33">
        <v>0.28927850655903098</v>
      </c>
      <c r="G250" s="32">
        <v>248</v>
      </c>
      <c r="H250" s="33">
        <v>1.0813639138397099E-2</v>
      </c>
      <c r="I250" s="33">
        <v>3.1281533804238099E-3</v>
      </c>
      <c r="J250" s="77" t="s">
        <v>24</v>
      </c>
    </row>
    <row r="251" spans="1:10" x14ac:dyDescent="0.35">
      <c r="A251" s="38">
        <v>45728</v>
      </c>
      <c r="B251" s="31" t="s">
        <v>250</v>
      </c>
      <c r="C251" s="31" t="s">
        <v>7</v>
      </c>
      <c r="D251" s="32">
        <v>178655</v>
      </c>
      <c r="E251" s="32">
        <v>66671</v>
      </c>
      <c r="F251" s="33">
        <v>0.373182950379223</v>
      </c>
      <c r="G251" s="32">
        <v>564</v>
      </c>
      <c r="H251" s="33">
        <v>8.4594501357411808E-3</v>
      </c>
      <c r="I251" s="33">
        <v>3.1569225602418099E-3</v>
      </c>
      <c r="J251" s="77" t="s">
        <v>23</v>
      </c>
    </row>
    <row r="252" spans="1:10" x14ac:dyDescent="0.35">
      <c r="A252" s="38">
        <v>45728</v>
      </c>
      <c r="B252" s="31" t="s">
        <v>250</v>
      </c>
      <c r="C252" s="31" t="s">
        <v>8</v>
      </c>
      <c r="D252" s="32">
        <v>7154</v>
      </c>
      <c r="E252" s="32">
        <v>2734</v>
      </c>
      <c r="F252" s="33">
        <v>0.38216382443388303</v>
      </c>
      <c r="G252" s="32">
        <v>27</v>
      </c>
      <c r="H252" s="33">
        <v>9.8756400877834695E-3</v>
      </c>
      <c r="I252" s="33">
        <v>3.7741123846799E-3</v>
      </c>
      <c r="J252" s="77" t="s">
        <v>23</v>
      </c>
    </row>
    <row r="253" spans="1:10" x14ac:dyDescent="0.35">
      <c r="A253" s="38">
        <v>45728</v>
      </c>
      <c r="B253" s="31" t="s">
        <v>251</v>
      </c>
      <c r="C253" s="31" t="s">
        <v>7</v>
      </c>
      <c r="D253" s="32">
        <v>310458</v>
      </c>
      <c r="E253" s="32">
        <v>115191</v>
      </c>
      <c r="F253" s="33">
        <v>0.371035695649653</v>
      </c>
      <c r="G253" s="32">
        <v>1168</v>
      </c>
      <c r="H253" s="33">
        <v>1.0139681051471E-2</v>
      </c>
      <c r="I253" s="33">
        <v>3.7621836125981598E-3</v>
      </c>
      <c r="J253" s="77" t="s">
        <v>23</v>
      </c>
    </row>
    <row r="254" spans="1:10" x14ac:dyDescent="0.35">
      <c r="A254" s="38">
        <v>45729</v>
      </c>
      <c r="B254" s="31" t="s">
        <v>252</v>
      </c>
      <c r="C254" s="31" t="s">
        <v>54</v>
      </c>
      <c r="D254" s="32">
        <v>210607</v>
      </c>
      <c r="E254" s="32">
        <v>77503</v>
      </c>
      <c r="F254" s="34">
        <v>0.36799999999999999</v>
      </c>
      <c r="G254" s="31">
        <v>242</v>
      </c>
      <c r="H254" s="34">
        <v>3.0999999999999999E-3</v>
      </c>
      <c r="I254" s="34">
        <v>1.1000000000000001E-3</v>
      </c>
      <c r="J254" s="77" t="s">
        <v>23</v>
      </c>
    </row>
    <row r="255" spans="1:10" x14ac:dyDescent="0.35">
      <c r="A255" s="38">
        <v>45729</v>
      </c>
      <c r="B255" s="31" t="s">
        <v>253</v>
      </c>
      <c r="C255" s="31" t="s">
        <v>47</v>
      </c>
      <c r="D255" s="32">
        <v>11712</v>
      </c>
      <c r="E255" s="32">
        <v>4565</v>
      </c>
      <c r="F255" s="34">
        <v>0.38979999999999998</v>
      </c>
      <c r="G255" s="31">
        <v>12</v>
      </c>
      <c r="H255" s="34">
        <v>2.5999999999999999E-3</v>
      </c>
      <c r="I255" s="34">
        <v>1E-3</v>
      </c>
      <c r="J255" s="77" t="s">
        <v>23</v>
      </c>
    </row>
    <row r="256" spans="1:10" x14ac:dyDescent="0.35">
      <c r="A256" s="38">
        <v>45729</v>
      </c>
      <c r="B256" s="31" t="s">
        <v>254</v>
      </c>
      <c r="C256" s="31" t="s">
        <v>110</v>
      </c>
      <c r="D256" s="32">
        <v>20646</v>
      </c>
      <c r="E256" s="32">
        <v>7393</v>
      </c>
      <c r="F256" s="33">
        <v>0.35808389034195498</v>
      </c>
      <c r="G256" s="32">
        <v>40</v>
      </c>
      <c r="H256" s="33">
        <v>5.4105234681455401E-3</v>
      </c>
      <c r="I256" s="33">
        <v>1.93742129226E-3</v>
      </c>
      <c r="J256" s="77" t="s">
        <v>23</v>
      </c>
    </row>
    <row r="257" spans="1:10" x14ac:dyDescent="0.35">
      <c r="A257" s="38">
        <v>45729</v>
      </c>
      <c r="B257" s="31" t="s">
        <v>254</v>
      </c>
      <c r="C257" s="31" t="s">
        <v>90</v>
      </c>
      <c r="D257" s="32">
        <v>388216</v>
      </c>
      <c r="E257" s="32">
        <v>138542</v>
      </c>
      <c r="F257" s="33">
        <v>0.35686834133575102</v>
      </c>
      <c r="G257" s="32">
        <v>787</v>
      </c>
      <c r="H257" s="33">
        <v>5.6805878361796402E-3</v>
      </c>
      <c r="I257" s="33">
        <v>2.0272219589094701E-3</v>
      </c>
      <c r="J257" s="77" t="s">
        <v>23</v>
      </c>
    </row>
    <row r="258" spans="1:10" x14ac:dyDescent="0.35">
      <c r="A258" s="38">
        <v>45729</v>
      </c>
      <c r="B258" s="31" t="s">
        <v>254</v>
      </c>
      <c r="C258" s="31" t="s">
        <v>111</v>
      </c>
      <c r="D258" s="32">
        <v>996</v>
      </c>
      <c r="E258" s="32">
        <v>341</v>
      </c>
      <c r="F258" s="33">
        <v>0.34236947791164701</v>
      </c>
      <c r="G258" s="32">
        <v>2</v>
      </c>
      <c r="H258" s="33">
        <v>5.8651026392961903E-3</v>
      </c>
      <c r="I258" s="33">
        <v>2.0080321285140599E-3</v>
      </c>
      <c r="J258" s="77" t="s">
        <v>23</v>
      </c>
    </row>
    <row r="259" spans="1:10" x14ac:dyDescent="0.35">
      <c r="A259" s="38">
        <v>45729</v>
      </c>
      <c r="B259" s="31" t="s">
        <v>254</v>
      </c>
      <c r="C259" s="31" t="s">
        <v>91</v>
      </c>
      <c r="D259" s="32">
        <v>18679</v>
      </c>
      <c r="E259" s="32">
        <v>6625</v>
      </c>
      <c r="F259" s="33">
        <v>0.35467637453825201</v>
      </c>
      <c r="G259" s="32">
        <v>49</v>
      </c>
      <c r="H259" s="33">
        <v>7.3962264150943396E-3</v>
      </c>
      <c r="I259" s="33">
        <v>2.6232667701697101E-3</v>
      </c>
      <c r="J259" s="77" t="s">
        <v>23</v>
      </c>
    </row>
    <row r="260" spans="1:10" x14ac:dyDescent="0.35">
      <c r="A260" s="38">
        <v>45729</v>
      </c>
      <c r="B260" s="31" t="s">
        <v>255</v>
      </c>
      <c r="C260" s="31" t="s">
        <v>110</v>
      </c>
      <c r="D260" s="32">
        <v>18288</v>
      </c>
      <c r="E260" s="32">
        <v>7630</v>
      </c>
      <c r="F260" s="33">
        <v>0.41721347331583603</v>
      </c>
      <c r="G260" s="32">
        <v>94</v>
      </c>
      <c r="H260" s="33">
        <v>1.23197903014417E-2</v>
      </c>
      <c r="I260" s="33">
        <v>5.1399825021872297E-3</v>
      </c>
      <c r="J260" s="77" t="s">
        <v>23</v>
      </c>
    </row>
    <row r="261" spans="1:10" x14ac:dyDescent="0.35">
      <c r="A261" s="38">
        <v>45729</v>
      </c>
      <c r="B261" s="31" t="s">
        <v>255</v>
      </c>
      <c r="C261" s="31" t="s">
        <v>90</v>
      </c>
      <c r="D261" s="32">
        <v>347337</v>
      </c>
      <c r="E261" s="32">
        <v>145621</v>
      </c>
      <c r="F261" s="33">
        <v>0.41924989275545099</v>
      </c>
      <c r="G261" s="32">
        <v>1844</v>
      </c>
      <c r="H261" s="33">
        <v>1.2663008769339601E-2</v>
      </c>
      <c r="I261" s="33">
        <v>5.3089650685069498E-3</v>
      </c>
      <c r="J261" s="77" t="s">
        <v>23</v>
      </c>
    </row>
    <row r="262" spans="1:10" x14ac:dyDescent="0.35">
      <c r="A262" s="38">
        <v>45729</v>
      </c>
      <c r="B262" s="31" t="s">
        <v>255</v>
      </c>
      <c r="C262" s="31" t="s">
        <v>111</v>
      </c>
      <c r="D262" s="32">
        <v>1422</v>
      </c>
      <c r="E262" s="32">
        <v>655</v>
      </c>
      <c r="F262" s="33">
        <v>0.46061884669479602</v>
      </c>
      <c r="G262" s="32">
        <v>7</v>
      </c>
      <c r="H262" s="33">
        <v>1.0687022900763401E-2</v>
      </c>
      <c r="I262" s="33">
        <v>4.92264416315049E-3</v>
      </c>
      <c r="J262" s="77" t="s">
        <v>23</v>
      </c>
    </row>
    <row r="263" spans="1:10" x14ac:dyDescent="0.35">
      <c r="A263" s="38">
        <v>45729</v>
      </c>
      <c r="B263" s="31" t="s">
        <v>255</v>
      </c>
      <c r="C263" s="31" t="s">
        <v>91</v>
      </c>
      <c r="D263" s="32">
        <v>26504</v>
      </c>
      <c r="E263" s="32">
        <v>11946</v>
      </c>
      <c r="F263" s="33">
        <v>0.45072441895562898</v>
      </c>
      <c r="G263" s="32">
        <v>180</v>
      </c>
      <c r="H263" s="33">
        <v>1.5067805123053699E-2</v>
      </c>
      <c r="I263" s="33">
        <v>6.7914277090250497E-3</v>
      </c>
      <c r="J263" s="77" t="s">
        <v>23</v>
      </c>
    </row>
    <row r="264" spans="1:10" x14ac:dyDescent="0.35">
      <c r="A264" s="38">
        <v>45729</v>
      </c>
      <c r="B264" s="31" t="s">
        <v>256</v>
      </c>
      <c r="C264" s="31" t="s">
        <v>7</v>
      </c>
      <c r="D264" s="32">
        <v>125949</v>
      </c>
      <c r="E264" s="32">
        <v>57219</v>
      </c>
      <c r="F264" s="33">
        <v>0.45430293213919898</v>
      </c>
      <c r="G264" s="32">
        <v>1032</v>
      </c>
      <c r="H264" s="33">
        <v>1.8035967073874101E-2</v>
      </c>
      <c r="I264" s="33">
        <v>8.1937927256270394E-3</v>
      </c>
      <c r="J264" s="77" t="s">
        <v>23</v>
      </c>
    </row>
    <row r="265" spans="1:10" x14ac:dyDescent="0.35">
      <c r="A265" s="38">
        <v>45729</v>
      </c>
      <c r="B265" s="31" t="s">
        <v>256</v>
      </c>
      <c r="C265" s="31" t="s">
        <v>8</v>
      </c>
      <c r="D265" s="32">
        <v>6097</v>
      </c>
      <c r="E265" s="32">
        <v>3028</v>
      </c>
      <c r="F265" s="33">
        <v>0.49663769066754099</v>
      </c>
      <c r="G265" s="32">
        <v>105</v>
      </c>
      <c r="H265" s="33">
        <v>3.4676354029062099E-2</v>
      </c>
      <c r="I265" s="33">
        <v>1.7221584385763499E-2</v>
      </c>
      <c r="J265" s="77" t="s">
        <v>23</v>
      </c>
    </row>
    <row r="266" spans="1:10" x14ac:dyDescent="0.35">
      <c r="A266" s="38">
        <v>45729</v>
      </c>
      <c r="B266" s="31" t="s">
        <v>257</v>
      </c>
      <c r="C266" s="31" t="s">
        <v>110</v>
      </c>
      <c r="D266" s="32">
        <v>958</v>
      </c>
      <c r="E266" s="32">
        <v>327</v>
      </c>
      <c r="F266" s="33">
        <v>0.34133611691023003</v>
      </c>
      <c r="G266" s="32">
        <v>11</v>
      </c>
      <c r="H266" s="33">
        <v>3.3639143730886799E-2</v>
      </c>
      <c r="I266" s="33">
        <v>1.1482254697286001E-2</v>
      </c>
      <c r="J266" s="77" t="s">
        <v>101</v>
      </c>
    </row>
    <row r="267" spans="1:10" x14ac:dyDescent="0.35">
      <c r="A267" s="38">
        <v>45729</v>
      </c>
      <c r="B267" s="31" t="s">
        <v>257</v>
      </c>
      <c r="C267" s="31" t="s">
        <v>90</v>
      </c>
      <c r="D267" s="32">
        <v>8419</v>
      </c>
      <c r="E267" s="32">
        <v>2759</v>
      </c>
      <c r="F267" s="33">
        <v>0.32771112958783699</v>
      </c>
      <c r="G267" s="32">
        <v>54</v>
      </c>
      <c r="H267" s="33">
        <v>1.9572308807539001E-2</v>
      </c>
      <c r="I267" s="33">
        <v>6.41406342796057E-3</v>
      </c>
      <c r="J267" s="77" t="s">
        <v>101</v>
      </c>
    </row>
    <row r="268" spans="1:10" x14ac:dyDescent="0.35">
      <c r="A268" s="38">
        <v>45729</v>
      </c>
      <c r="B268" s="31" t="s">
        <v>257</v>
      </c>
      <c r="C268" s="31" t="s">
        <v>111</v>
      </c>
      <c r="D268" s="32">
        <v>1</v>
      </c>
      <c r="E268" s="32">
        <v>1</v>
      </c>
      <c r="F268" s="33">
        <v>1</v>
      </c>
      <c r="G268" s="32">
        <v>0</v>
      </c>
      <c r="H268" s="33">
        <v>0</v>
      </c>
      <c r="I268" s="33">
        <v>0</v>
      </c>
      <c r="J268" s="77" t="s">
        <v>101</v>
      </c>
    </row>
    <row r="269" spans="1:10" x14ac:dyDescent="0.35">
      <c r="A269" s="38">
        <v>45729</v>
      </c>
      <c r="B269" s="31" t="s">
        <v>257</v>
      </c>
      <c r="C269" s="31" t="s">
        <v>91</v>
      </c>
      <c r="D269" s="32">
        <v>17</v>
      </c>
      <c r="E269" s="32">
        <v>4</v>
      </c>
      <c r="F269" s="33">
        <v>0.23529411764705899</v>
      </c>
      <c r="G269" s="32">
        <v>0</v>
      </c>
      <c r="H269" s="33">
        <v>0</v>
      </c>
      <c r="I269" s="33">
        <v>0</v>
      </c>
      <c r="J269" s="77" t="s">
        <v>101</v>
      </c>
    </row>
    <row r="270" spans="1:10" x14ac:dyDescent="0.35">
      <c r="A270" s="38">
        <v>45730</v>
      </c>
      <c r="B270" s="31" t="s">
        <v>258</v>
      </c>
      <c r="C270" s="31" t="s">
        <v>7</v>
      </c>
      <c r="D270" s="32">
        <v>4239834</v>
      </c>
      <c r="E270" s="32">
        <v>1177810</v>
      </c>
      <c r="F270" s="33">
        <v>0.27779625334388103</v>
      </c>
      <c r="G270" s="32">
        <v>14775</v>
      </c>
      <c r="H270" s="33">
        <v>1.2544468123041899E-2</v>
      </c>
      <c r="I270" s="33">
        <v>3.4848062447727902E-3</v>
      </c>
      <c r="J270" s="85" t="s">
        <v>23</v>
      </c>
    </row>
    <row r="271" spans="1:10" x14ac:dyDescent="0.35">
      <c r="A271" s="38">
        <v>45730</v>
      </c>
      <c r="B271" s="31" t="s">
        <v>258</v>
      </c>
      <c r="C271" s="31" t="s">
        <v>8</v>
      </c>
      <c r="D271" s="32">
        <v>271643</v>
      </c>
      <c r="E271" s="32">
        <v>73997</v>
      </c>
      <c r="F271" s="33">
        <v>0.27240532610816398</v>
      </c>
      <c r="G271" s="32">
        <v>1088</v>
      </c>
      <c r="H271" s="33">
        <v>1.4703298782383099E-2</v>
      </c>
      <c r="I271" s="33">
        <v>4.0052568996808303E-3</v>
      </c>
      <c r="J271" s="85" t="s">
        <v>23</v>
      </c>
    </row>
    <row r="272" spans="1:10" x14ac:dyDescent="0.35">
      <c r="A272" s="38">
        <v>45731</v>
      </c>
      <c r="B272" s="31" t="s">
        <v>259</v>
      </c>
      <c r="C272" s="31" t="s">
        <v>7</v>
      </c>
      <c r="D272" s="32">
        <v>1140406</v>
      </c>
      <c r="E272" s="32">
        <v>390843</v>
      </c>
      <c r="F272" s="33">
        <v>0.34272267946678597</v>
      </c>
      <c r="G272" s="32">
        <v>5324</v>
      </c>
      <c r="H272" s="33">
        <v>1.3621837924691E-2</v>
      </c>
      <c r="I272" s="33">
        <v>4.6685127928123796E-3</v>
      </c>
      <c r="J272" s="85" t="s">
        <v>23</v>
      </c>
    </row>
    <row r="273" spans="1:10" x14ac:dyDescent="0.35">
      <c r="A273" s="38">
        <v>45731</v>
      </c>
      <c r="B273" s="31" t="s">
        <v>259</v>
      </c>
      <c r="C273" s="31" t="s">
        <v>8</v>
      </c>
      <c r="D273" s="32">
        <v>82559</v>
      </c>
      <c r="E273" s="32">
        <v>28221</v>
      </c>
      <c r="F273" s="33">
        <v>0.34182826826875301</v>
      </c>
      <c r="G273" s="32">
        <v>476</v>
      </c>
      <c r="H273" s="33">
        <v>1.6866872187378201E-2</v>
      </c>
      <c r="I273" s="33">
        <v>5.7655737109218903E-3</v>
      </c>
      <c r="J273" s="85" t="s">
        <v>23</v>
      </c>
    </row>
    <row r="274" spans="1:10" x14ac:dyDescent="0.35">
      <c r="A274" s="38">
        <v>45733</v>
      </c>
      <c r="B274" s="31" t="s">
        <v>260</v>
      </c>
      <c r="C274" s="31" t="s">
        <v>7</v>
      </c>
      <c r="D274" s="32">
        <v>52135</v>
      </c>
      <c r="E274" s="32">
        <v>19537</v>
      </c>
      <c r="F274" s="33">
        <v>0.37473865925002398</v>
      </c>
      <c r="G274" s="32">
        <v>240</v>
      </c>
      <c r="H274" s="33">
        <v>1.2284383477504201E-2</v>
      </c>
      <c r="I274" s="33">
        <v>4.6034333940730802E-3</v>
      </c>
      <c r="J274" s="85" t="s">
        <v>23</v>
      </c>
    </row>
    <row r="275" spans="1:10" x14ac:dyDescent="0.35">
      <c r="A275" s="38">
        <v>45733</v>
      </c>
      <c r="B275" s="31" t="s">
        <v>260</v>
      </c>
      <c r="C275" s="31" t="s">
        <v>8</v>
      </c>
      <c r="D275" s="32">
        <v>52</v>
      </c>
      <c r="E275" s="32">
        <v>15</v>
      </c>
      <c r="F275" s="33">
        <v>0.28846153846153799</v>
      </c>
      <c r="G275" s="32">
        <v>0</v>
      </c>
      <c r="H275" s="33">
        <v>0</v>
      </c>
      <c r="I275" s="33">
        <v>0</v>
      </c>
      <c r="J275" s="85" t="s">
        <v>23</v>
      </c>
    </row>
    <row r="276" spans="1:10" x14ac:dyDescent="0.35">
      <c r="A276" s="38">
        <v>45733</v>
      </c>
      <c r="B276" s="31" t="s">
        <v>261</v>
      </c>
      <c r="C276" s="31" t="s">
        <v>7</v>
      </c>
      <c r="D276" s="32">
        <v>23474</v>
      </c>
      <c r="E276" s="32">
        <v>8173</v>
      </c>
      <c r="F276" s="33">
        <v>0.34817244611059001</v>
      </c>
      <c r="G276" s="32">
        <v>66</v>
      </c>
      <c r="H276" s="33">
        <v>8.0753701211305502E-3</v>
      </c>
      <c r="I276" s="33">
        <v>2.8116213683224002E-3</v>
      </c>
      <c r="J276" s="85" t="s">
        <v>23</v>
      </c>
    </row>
    <row r="277" spans="1:10" x14ac:dyDescent="0.35">
      <c r="A277" s="38">
        <v>45733</v>
      </c>
      <c r="B277" s="31" t="s">
        <v>261</v>
      </c>
      <c r="C277" s="31" t="s">
        <v>8</v>
      </c>
      <c r="D277" s="32">
        <v>11</v>
      </c>
      <c r="E277" s="32">
        <v>2</v>
      </c>
      <c r="F277" s="33">
        <v>0.18181818181818199</v>
      </c>
      <c r="G277" s="32">
        <v>0</v>
      </c>
      <c r="H277" s="33">
        <v>0</v>
      </c>
      <c r="I277" s="33">
        <v>0</v>
      </c>
      <c r="J277" s="85" t="s">
        <v>23</v>
      </c>
    </row>
    <row r="278" spans="1:10" x14ac:dyDescent="0.35">
      <c r="A278" s="38">
        <v>45734</v>
      </c>
      <c r="B278" s="31" t="s">
        <v>262</v>
      </c>
      <c r="C278" s="31" t="s">
        <v>7</v>
      </c>
      <c r="D278" s="32">
        <v>1408469</v>
      </c>
      <c r="E278" s="32">
        <v>375159</v>
      </c>
      <c r="F278" s="33">
        <v>0.26635942999100398</v>
      </c>
      <c r="G278" s="32">
        <v>10258</v>
      </c>
      <c r="H278" s="33">
        <v>2.7343073203628301E-2</v>
      </c>
      <c r="I278" s="33">
        <v>7.2830853927207499E-3</v>
      </c>
      <c r="J278" s="85" t="s">
        <v>23</v>
      </c>
    </row>
    <row r="279" spans="1:10" x14ac:dyDescent="0.35">
      <c r="A279" s="38">
        <v>45734</v>
      </c>
      <c r="B279" s="31" t="s">
        <v>262</v>
      </c>
      <c r="C279" s="31" t="s">
        <v>8</v>
      </c>
      <c r="D279" s="32">
        <v>88992</v>
      </c>
      <c r="E279" s="32">
        <v>28273</v>
      </c>
      <c r="F279" s="33">
        <v>0.317702714850773</v>
      </c>
      <c r="G279" s="32">
        <v>954</v>
      </c>
      <c r="H279" s="33">
        <v>3.3742439783539101E-2</v>
      </c>
      <c r="I279" s="33">
        <v>1.07200647249191E-2</v>
      </c>
      <c r="J279" s="85" t="s">
        <v>23</v>
      </c>
    </row>
    <row r="280" spans="1:10" x14ac:dyDescent="0.35">
      <c r="A280" s="38">
        <v>45735</v>
      </c>
      <c r="B280" s="31" t="s">
        <v>263</v>
      </c>
      <c r="C280" s="31" t="s">
        <v>110</v>
      </c>
      <c r="D280" s="32">
        <v>4803</v>
      </c>
      <c r="E280" s="32">
        <v>1621</v>
      </c>
      <c r="F280" s="33">
        <v>0.33749739745992102</v>
      </c>
      <c r="G280" s="32">
        <v>15</v>
      </c>
      <c r="H280" s="33">
        <v>9.2535471930906797E-3</v>
      </c>
      <c r="I280" s="33">
        <v>3.1230480949406602E-3</v>
      </c>
      <c r="J280" s="85" t="s">
        <v>23</v>
      </c>
    </row>
    <row r="281" spans="1:10" x14ac:dyDescent="0.35">
      <c r="A281" s="38">
        <v>45735</v>
      </c>
      <c r="B281" s="31" t="s">
        <v>263</v>
      </c>
      <c r="C281" s="31" t="s">
        <v>90</v>
      </c>
      <c r="D281" s="32">
        <v>89739</v>
      </c>
      <c r="E281" s="32">
        <v>29732</v>
      </c>
      <c r="F281" s="33">
        <v>0.331316373037364</v>
      </c>
      <c r="G281" s="32">
        <v>179</v>
      </c>
      <c r="H281" s="33">
        <v>6.0204493475043697E-3</v>
      </c>
      <c r="I281" s="33">
        <v>1.9946734418703101E-3</v>
      </c>
      <c r="J281" s="85" t="s">
        <v>23</v>
      </c>
    </row>
    <row r="282" spans="1:10" x14ac:dyDescent="0.35">
      <c r="A282" s="38">
        <v>45735</v>
      </c>
      <c r="B282" s="31" t="s">
        <v>263</v>
      </c>
      <c r="C282" s="31" t="s">
        <v>111</v>
      </c>
      <c r="D282" s="32">
        <v>252</v>
      </c>
      <c r="E282" s="32">
        <v>75</v>
      </c>
      <c r="F282" s="33">
        <v>0.297619047619048</v>
      </c>
      <c r="G282" s="32">
        <v>2</v>
      </c>
      <c r="H282" s="33">
        <v>2.66666666666667E-2</v>
      </c>
      <c r="I282" s="33">
        <v>7.9365079365079395E-3</v>
      </c>
      <c r="J282" s="85" t="s">
        <v>23</v>
      </c>
    </row>
    <row r="283" spans="1:10" x14ac:dyDescent="0.35">
      <c r="A283" s="38">
        <v>45735</v>
      </c>
      <c r="B283" s="31" t="s">
        <v>263</v>
      </c>
      <c r="C283" s="31" t="s">
        <v>91</v>
      </c>
      <c r="D283" s="32">
        <v>5052</v>
      </c>
      <c r="E283" s="32">
        <v>1565</v>
      </c>
      <c r="F283" s="33">
        <v>0.30977830562153602</v>
      </c>
      <c r="G283" s="32">
        <v>14</v>
      </c>
      <c r="H283" s="33">
        <v>8.9456869009584706E-3</v>
      </c>
      <c r="I283" s="33">
        <v>2.7711797307996798E-3</v>
      </c>
      <c r="J283" s="85" t="s">
        <v>23</v>
      </c>
    </row>
    <row r="284" spans="1:10" x14ac:dyDescent="0.35">
      <c r="A284" s="38">
        <v>45736</v>
      </c>
      <c r="B284" s="31" t="s">
        <v>252</v>
      </c>
      <c r="C284" s="31" t="s">
        <v>17</v>
      </c>
      <c r="D284" s="32">
        <v>207500</v>
      </c>
      <c r="E284" s="32">
        <v>78408</v>
      </c>
      <c r="F284" s="34">
        <v>0.37790000000000001</v>
      </c>
      <c r="G284" s="31">
        <v>201</v>
      </c>
      <c r="H284" s="34">
        <v>2.5999999999999999E-3</v>
      </c>
      <c r="I284" s="34">
        <v>1E-3</v>
      </c>
      <c r="J284" s="85" t="s">
        <v>23</v>
      </c>
    </row>
    <row r="285" spans="1:10" x14ac:dyDescent="0.35">
      <c r="A285" s="38">
        <v>45736</v>
      </c>
      <c r="B285" s="31" t="s">
        <v>253</v>
      </c>
      <c r="C285" s="31" t="s">
        <v>18</v>
      </c>
      <c r="D285" s="32">
        <v>11573</v>
      </c>
      <c r="E285" s="32">
        <v>4678</v>
      </c>
      <c r="F285" s="34">
        <v>0.4042</v>
      </c>
      <c r="G285" s="31">
        <v>11</v>
      </c>
      <c r="H285" s="34">
        <v>2.3999999999999998E-3</v>
      </c>
      <c r="I285" s="34">
        <v>1E-3</v>
      </c>
      <c r="J285" s="85" t="s">
        <v>23</v>
      </c>
    </row>
    <row r="286" spans="1:10" x14ac:dyDescent="0.35">
      <c r="A286" s="38">
        <v>45736</v>
      </c>
      <c r="B286" s="31" t="s">
        <v>264</v>
      </c>
      <c r="C286" s="31" t="s">
        <v>110</v>
      </c>
      <c r="D286" s="32">
        <v>4285</v>
      </c>
      <c r="E286" s="32">
        <v>1831</v>
      </c>
      <c r="F286" s="33">
        <v>0.42730455075846002</v>
      </c>
      <c r="G286" s="32">
        <v>25</v>
      </c>
      <c r="H286" s="33">
        <v>1.36537411250683E-2</v>
      </c>
      <c r="I286" s="33">
        <v>5.8343057176195997E-3</v>
      </c>
      <c r="J286" s="85" t="s">
        <v>23</v>
      </c>
    </row>
    <row r="287" spans="1:10" x14ac:dyDescent="0.35">
      <c r="A287" s="38">
        <v>45736</v>
      </c>
      <c r="B287" s="31" t="s">
        <v>264</v>
      </c>
      <c r="C287" s="31" t="s">
        <v>90</v>
      </c>
      <c r="D287" s="32">
        <v>81857</v>
      </c>
      <c r="E287" s="32">
        <v>35539</v>
      </c>
      <c r="F287" s="33">
        <v>0.43415957095911201</v>
      </c>
      <c r="G287" s="32">
        <v>602</v>
      </c>
      <c r="H287" s="33">
        <v>1.6939137285798701E-2</v>
      </c>
      <c r="I287" s="33">
        <v>7.3542885764198498E-3</v>
      </c>
      <c r="J287" s="85" t="s">
        <v>23</v>
      </c>
    </row>
    <row r="288" spans="1:10" x14ac:dyDescent="0.35">
      <c r="A288" s="38">
        <v>45736</v>
      </c>
      <c r="B288" s="31" t="s">
        <v>264</v>
      </c>
      <c r="C288" s="31" t="s">
        <v>111</v>
      </c>
      <c r="D288" s="32">
        <v>301</v>
      </c>
      <c r="E288" s="32">
        <v>137</v>
      </c>
      <c r="F288" s="33">
        <v>0.45514950166113</v>
      </c>
      <c r="G288" s="32">
        <v>3</v>
      </c>
      <c r="H288" s="33">
        <v>2.18978102189781E-2</v>
      </c>
      <c r="I288" s="33">
        <v>9.9667774086378697E-3</v>
      </c>
      <c r="J288" s="85" t="s">
        <v>23</v>
      </c>
    </row>
    <row r="289" spans="1:10" x14ac:dyDescent="0.35">
      <c r="A289" s="38">
        <v>45736</v>
      </c>
      <c r="B289" s="31" t="s">
        <v>264</v>
      </c>
      <c r="C289" s="31" t="s">
        <v>91</v>
      </c>
      <c r="D289" s="32">
        <v>5669</v>
      </c>
      <c r="E289" s="32">
        <v>2767</v>
      </c>
      <c r="F289" s="33">
        <v>0.48809313811959798</v>
      </c>
      <c r="G289" s="32">
        <v>72</v>
      </c>
      <c r="H289" s="33">
        <v>2.60209613299602E-2</v>
      </c>
      <c r="I289" s="33">
        <v>1.2700652672428999E-2</v>
      </c>
      <c r="J289" s="85" t="s">
        <v>23</v>
      </c>
    </row>
    <row r="290" spans="1:10" x14ac:dyDescent="0.35">
      <c r="A290" s="38">
        <v>45736</v>
      </c>
      <c r="B290" s="31" t="s">
        <v>265</v>
      </c>
      <c r="C290" s="31" t="s">
        <v>110</v>
      </c>
      <c r="D290" s="32">
        <v>7899</v>
      </c>
      <c r="E290" s="32">
        <v>3175</v>
      </c>
      <c r="F290" s="33">
        <v>0.40194961387517403</v>
      </c>
      <c r="G290" s="32">
        <v>64</v>
      </c>
      <c r="H290" s="33">
        <v>2.0157480314960601E-2</v>
      </c>
      <c r="I290" s="33">
        <v>8.1022914292948507E-3</v>
      </c>
      <c r="J290" s="85" t="s">
        <v>101</v>
      </c>
    </row>
    <row r="291" spans="1:10" x14ac:dyDescent="0.35">
      <c r="A291" s="38">
        <v>45736</v>
      </c>
      <c r="B291" s="31" t="s">
        <v>265</v>
      </c>
      <c r="C291" s="31" t="s">
        <v>90</v>
      </c>
      <c r="D291" s="32">
        <v>70009</v>
      </c>
      <c r="E291" s="32">
        <v>28430</v>
      </c>
      <c r="F291" s="33">
        <v>0.40609064548843699</v>
      </c>
      <c r="G291" s="32">
        <v>628</v>
      </c>
      <c r="H291" s="33">
        <v>2.2089342244108301E-2</v>
      </c>
      <c r="I291" s="33">
        <v>8.9702752503249602E-3</v>
      </c>
      <c r="J291" s="85" t="s">
        <v>101</v>
      </c>
    </row>
    <row r="292" spans="1:10" x14ac:dyDescent="0.35">
      <c r="A292" s="38">
        <v>45736</v>
      </c>
      <c r="B292" s="31" t="s">
        <v>265</v>
      </c>
      <c r="C292" s="31" t="s">
        <v>111</v>
      </c>
      <c r="D292" s="32">
        <v>5</v>
      </c>
      <c r="E292" s="32">
        <v>2</v>
      </c>
      <c r="F292" s="33">
        <v>0.4</v>
      </c>
      <c r="G292" s="32">
        <v>0</v>
      </c>
      <c r="H292" s="33">
        <v>0</v>
      </c>
      <c r="I292" s="33">
        <v>0</v>
      </c>
      <c r="J292" s="85" t="s">
        <v>101</v>
      </c>
    </row>
    <row r="293" spans="1:10" x14ac:dyDescent="0.35">
      <c r="A293" s="38">
        <v>45736</v>
      </c>
      <c r="B293" s="31" t="s">
        <v>265</v>
      </c>
      <c r="C293" s="31" t="s">
        <v>91</v>
      </c>
      <c r="D293" s="32">
        <v>59</v>
      </c>
      <c r="E293" s="32">
        <v>29</v>
      </c>
      <c r="F293" s="33">
        <v>0.49152542372881403</v>
      </c>
      <c r="G293" s="32">
        <v>1</v>
      </c>
      <c r="H293" s="33">
        <v>3.4482758620689703E-2</v>
      </c>
      <c r="I293" s="33">
        <v>1.6949152542372899E-2</v>
      </c>
      <c r="J293" s="85" t="s">
        <v>101</v>
      </c>
    </row>
    <row r="294" spans="1:10" x14ac:dyDescent="0.35">
      <c r="A294" s="38">
        <v>45737</v>
      </c>
      <c r="B294" s="31" t="s">
        <v>267</v>
      </c>
      <c r="C294" s="31" t="s">
        <v>7</v>
      </c>
      <c r="D294" s="32">
        <v>4814305</v>
      </c>
      <c r="E294" s="32">
        <v>1440945</v>
      </c>
      <c r="F294" s="33">
        <v>0.29930488409022699</v>
      </c>
      <c r="G294" s="32">
        <v>17607</v>
      </c>
      <c r="H294" s="33">
        <v>1.22190645722078E-2</v>
      </c>
      <c r="I294" s="33">
        <v>3.6572257054756602E-3</v>
      </c>
      <c r="J294" s="77" t="s">
        <v>23</v>
      </c>
    </row>
    <row r="295" spans="1:10" x14ac:dyDescent="0.35">
      <c r="A295" s="38">
        <v>45737</v>
      </c>
      <c r="B295" s="31" t="s">
        <v>267</v>
      </c>
      <c r="C295" s="31" t="s">
        <v>8</v>
      </c>
      <c r="D295" s="32">
        <v>312062</v>
      </c>
      <c r="E295" s="32">
        <v>92594</v>
      </c>
      <c r="F295" s="33">
        <v>0.29671667809601898</v>
      </c>
      <c r="G295" s="32">
        <v>1138</v>
      </c>
      <c r="H295" s="33">
        <v>1.2290213188759501E-2</v>
      </c>
      <c r="I295" s="33">
        <v>3.6467112304606102E-3</v>
      </c>
      <c r="J295" s="77" t="s">
        <v>23</v>
      </c>
    </row>
    <row r="296" spans="1:10" x14ac:dyDescent="0.35">
      <c r="A296" s="38">
        <v>45737</v>
      </c>
      <c r="B296" s="31" t="s">
        <v>268</v>
      </c>
      <c r="C296" s="31" t="s">
        <v>269</v>
      </c>
      <c r="D296" s="32">
        <v>80118</v>
      </c>
      <c r="E296" s="32">
        <v>23400</v>
      </c>
      <c r="F296" s="33">
        <v>0.29206919793304897</v>
      </c>
      <c r="G296" s="32">
        <v>407</v>
      </c>
      <c r="H296" s="33">
        <v>1.7393162393162399E-2</v>
      </c>
      <c r="I296" s="33">
        <v>5.0800069896902098E-3</v>
      </c>
      <c r="J296" s="77" t="s">
        <v>24</v>
      </c>
    </row>
    <row r="297" spans="1:10" x14ac:dyDescent="0.35">
      <c r="A297" s="38">
        <v>45737</v>
      </c>
      <c r="B297" s="31" t="s">
        <v>270</v>
      </c>
      <c r="C297" s="31" t="s">
        <v>7</v>
      </c>
      <c r="D297" s="32">
        <v>681980</v>
      </c>
      <c r="E297" s="32">
        <v>260963</v>
      </c>
      <c r="F297" s="33">
        <v>0.382654916566468</v>
      </c>
      <c r="G297" s="32">
        <v>3193</v>
      </c>
      <c r="H297" s="33">
        <v>1.22354510026326E-2</v>
      </c>
      <c r="I297" s="33">
        <v>4.68195548256547E-3</v>
      </c>
      <c r="J297" s="77" t="s">
        <v>101</v>
      </c>
    </row>
    <row r="298" spans="1:10" x14ac:dyDescent="0.35">
      <c r="A298" s="38">
        <v>45737</v>
      </c>
      <c r="B298" s="31" t="s">
        <v>270</v>
      </c>
      <c r="C298" s="31" t="s">
        <v>8</v>
      </c>
      <c r="D298" s="32">
        <v>48494</v>
      </c>
      <c r="E298" s="32">
        <v>18104</v>
      </c>
      <c r="F298" s="33">
        <v>0.37332453499402002</v>
      </c>
      <c r="G298" s="32">
        <v>397</v>
      </c>
      <c r="H298" s="33">
        <v>2.19288555015466E-2</v>
      </c>
      <c r="I298" s="33">
        <v>8.18657978306595E-3</v>
      </c>
      <c r="J298" s="77" t="s">
        <v>101</v>
      </c>
    </row>
    <row r="299" spans="1:10" x14ac:dyDescent="0.35">
      <c r="A299" s="38">
        <v>45737</v>
      </c>
      <c r="B299" s="31" t="s">
        <v>271</v>
      </c>
      <c r="C299" s="31" t="s">
        <v>7</v>
      </c>
      <c r="D299" s="32">
        <v>134031</v>
      </c>
      <c r="E299" s="32">
        <v>52768</v>
      </c>
      <c r="F299" s="33">
        <v>0.39369996493348602</v>
      </c>
      <c r="G299" s="32">
        <v>644</v>
      </c>
      <c r="H299" s="33">
        <v>1.22043662825955E-2</v>
      </c>
      <c r="I299" s="33">
        <v>4.8048585774932697E-3</v>
      </c>
      <c r="J299" s="77" t="s">
        <v>101</v>
      </c>
    </row>
    <row r="300" spans="1:10" x14ac:dyDescent="0.35">
      <c r="A300" s="38">
        <v>45740</v>
      </c>
      <c r="B300" s="31" t="s">
        <v>272</v>
      </c>
      <c r="C300" s="31" t="s">
        <v>7</v>
      </c>
      <c r="D300" s="32">
        <v>130253</v>
      </c>
      <c r="E300" s="32">
        <v>55574</v>
      </c>
      <c r="F300" s="33">
        <v>0.42666195788196798</v>
      </c>
      <c r="G300" s="32">
        <v>1545</v>
      </c>
      <c r="H300" s="33">
        <v>2.7800770144312099E-2</v>
      </c>
      <c r="I300" s="33">
        <v>1.1861531020398801E-2</v>
      </c>
      <c r="J300" s="77" t="s">
        <v>23</v>
      </c>
    </row>
    <row r="301" spans="1:10" x14ac:dyDescent="0.35">
      <c r="A301" s="38">
        <v>45740</v>
      </c>
      <c r="B301" s="31" t="s">
        <v>273</v>
      </c>
      <c r="C301" s="31" t="s">
        <v>246</v>
      </c>
      <c r="D301" s="32">
        <v>77</v>
      </c>
      <c r="E301" s="32">
        <v>33</v>
      </c>
      <c r="F301" s="33">
        <v>0.42857142857142899</v>
      </c>
      <c r="G301" s="32">
        <v>5</v>
      </c>
      <c r="H301" s="33">
        <v>0.15151515151515199</v>
      </c>
      <c r="I301" s="33">
        <v>6.4935064935064901E-2</v>
      </c>
      <c r="J301" s="77" t="s">
        <v>102</v>
      </c>
    </row>
    <row r="302" spans="1:10" x14ac:dyDescent="0.35">
      <c r="A302" s="38">
        <v>45740</v>
      </c>
      <c r="B302" s="31" t="s">
        <v>273</v>
      </c>
      <c r="C302" s="31" t="s">
        <v>247</v>
      </c>
      <c r="D302" s="32">
        <v>54</v>
      </c>
      <c r="E302" s="32">
        <v>23</v>
      </c>
      <c r="F302" s="33">
        <v>0.42592592592592599</v>
      </c>
      <c r="G302" s="32">
        <v>3</v>
      </c>
      <c r="H302" s="33">
        <v>0.13043478260869601</v>
      </c>
      <c r="I302" s="33">
        <v>5.5555555555555601E-2</v>
      </c>
      <c r="J302" s="77" t="s">
        <v>102</v>
      </c>
    </row>
    <row r="303" spans="1:10" x14ac:dyDescent="0.35">
      <c r="A303" s="38">
        <v>45740</v>
      </c>
      <c r="B303" s="31" t="s">
        <v>273</v>
      </c>
      <c r="C303" s="31" t="s">
        <v>248</v>
      </c>
      <c r="D303" s="32">
        <v>77</v>
      </c>
      <c r="E303" s="32">
        <v>30</v>
      </c>
      <c r="F303" s="33">
        <v>0.38961038961039002</v>
      </c>
      <c r="G303" s="32">
        <v>5</v>
      </c>
      <c r="H303" s="33">
        <v>0.16666666666666699</v>
      </c>
      <c r="I303" s="33">
        <v>6.4935064935064901E-2</v>
      </c>
      <c r="J303" s="77" t="s">
        <v>102</v>
      </c>
    </row>
    <row r="304" spans="1:10" x14ac:dyDescent="0.35">
      <c r="A304" s="38">
        <v>45741</v>
      </c>
      <c r="B304" s="31" t="s">
        <v>274</v>
      </c>
      <c r="C304" s="31" t="s">
        <v>7</v>
      </c>
      <c r="D304" s="32">
        <v>1409424</v>
      </c>
      <c r="E304" s="32">
        <v>376503</v>
      </c>
      <c r="F304" s="33">
        <v>0.26713253073595999</v>
      </c>
      <c r="G304" s="32">
        <v>10983</v>
      </c>
      <c r="H304" s="33">
        <v>2.9171082302133101E-2</v>
      </c>
      <c r="I304" s="33">
        <v>7.7925450396757797E-3</v>
      </c>
      <c r="J304" s="77" t="s">
        <v>23</v>
      </c>
    </row>
    <row r="305" spans="1:10" x14ac:dyDescent="0.35">
      <c r="A305" s="38">
        <v>45741</v>
      </c>
      <c r="B305" s="31" t="s">
        <v>274</v>
      </c>
      <c r="C305" s="31" t="s">
        <v>8</v>
      </c>
      <c r="D305" s="32">
        <v>88971</v>
      </c>
      <c r="E305" s="32">
        <v>28180</v>
      </c>
      <c r="F305" s="33">
        <v>0.31673241842847699</v>
      </c>
      <c r="G305" s="32">
        <v>987</v>
      </c>
      <c r="H305" s="33">
        <v>3.5024840312278198E-2</v>
      </c>
      <c r="I305" s="33">
        <v>1.10935023771791E-2</v>
      </c>
      <c r="J305" s="77" t="s">
        <v>23</v>
      </c>
    </row>
    <row r="306" spans="1:10" x14ac:dyDescent="0.35">
      <c r="A306" s="38">
        <v>45742</v>
      </c>
      <c r="B306" s="31" t="s">
        <v>275</v>
      </c>
      <c r="C306" s="31" t="s">
        <v>85</v>
      </c>
      <c r="D306" s="32">
        <v>1412</v>
      </c>
      <c r="E306" s="32">
        <v>419</v>
      </c>
      <c r="F306" s="33">
        <v>0.29674220963172798</v>
      </c>
      <c r="G306" s="32">
        <v>39</v>
      </c>
      <c r="H306" s="33">
        <v>9.3078758949880699E-2</v>
      </c>
      <c r="I306" s="33">
        <v>2.7620396600566598E-2</v>
      </c>
      <c r="J306" s="77" t="s">
        <v>25</v>
      </c>
    </row>
    <row r="307" spans="1:10" x14ac:dyDescent="0.35">
      <c r="A307" s="38">
        <v>45742</v>
      </c>
      <c r="B307" s="31" t="s">
        <v>276</v>
      </c>
      <c r="C307" s="31" t="s">
        <v>87</v>
      </c>
      <c r="D307" s="32">
        <v>55</v>
      </c>
      <c r="E307" s="32">
        <v>12</v>
      </c>
      <c r="F307" s="33">
        <v>0.218181818181818</v>
      </c>
      <c r="G307" s="32">
        <v>1</v>
      </c>
      <c r="H307" s="33">
        <v>8.3333333333333301E-2</v>
      </c>
      <c r="I307" s="33">
        <v>1.8181818181818198E-2</v>
      </c>
      <c r="J307" s="77" t="s">
        <v>25</v>
      </c>
    </row>
    <row r="308" spans="1:10" x14ac:dyDescent="0.35">
      <c r="A308" s="38">
        <v>45742</v>
      </c>
      <c r="B308" s="31" t="s">
        <v>277</v>
      </c>
      <c r="C308" s="31" t="s">
        <v>7</v>
      </c>
      <c r="D308" s="32">
        <v>8867</v>
      </c>
      <c r="E308" s="32">
        <v>4419</v>
      </c>
      <c r="F308" s="33">
        <v>0.49836472313070901</v>
      </c>
      <c r="G308" s="32">
        <v>168</v>
      </c>
      <c r="H308" s="33">
        <v>3.8017651052274302E-2</v>
      </c>
      <c r="I308" s="33">
        <v>1.8946656140746601E-2</v>
      </c>
      <c r="J308" s="77" t="s">
        <v>23</v>
      </c>
    </row>
    <row r="309" spans="1:10" x14ac:dyDescent="0.35">
      <c r="A309" s="38">
        <v>45742</v>
      </c>
      <c r="B309" s="31" t="s">
        <v>278</v>
      </c>
      <c r="C309" s="31" t="s">
        <v>7</v>
      </c>
      <c r="D309" s="32">
        <v>790</v>
      </c>
      <c r="E309" s="32">
        <v>391</v>
      </c>
      <c r="F309" s="33">
        <v>0.49493670886075902</v>
      </c>
      <c r="G309" s="32">
        <v>13</v>
      </c>
      <c r="H309" s="33">
        <v>3.32480818414322E-2</v>
      </c>
      <c r="I309" s="33">
        <v>1.6455696202531601E-2</v>
      </c>
      <c r="J309" s="77" t="s">
        <v>23</v>
      </c>
    </row>
    <row r="310" spans="1:10" x14ac:dyDescent="0.35">
      <c r="A310" s="38">
        <v>45743</v>
      </c>
      <c r="B310" s="31" t="s">
        <v>279</v>
      </c>
      <c r="C310" s="31" t="s">
        <v>100</v>
      </c>
      <c r="D310" s="32">
        <v>847740</v>
      </c>
      <c r="E310" s="32">
        <v>330128</v>
      </c>
      <c r="F310" s="34">
        <v>0.38940000000000002</v>
      </c>
      <c r="G310" s="31">
        <v>979</v>
      </c>
      <c r="H310" s="34">
        <v>3.0000000000000001E-3</v>
      </c>
      <c r="I310" s="34">
        <v>1.1999999999999999E-3</v>
      </c>
      <c r="J310" s="77" t="s">
        <v>23</v>
      </c>
    </row>
    <row r="311" spans="1:10" x14ac:dyDescent="0.35">
      <c r="A311" s="38">
        <v>45743</v>
      </c>
      <c r="B311" s="31" t="s">
        <v>280</v>
      </c>
      <c r="C311" s="31" t="s">
        <v>97</v>
      </c>
      <c r="D311" s="32">
        <v>51890</v>
      </c>
      <c r="E311" s="32">
        <v>19527</v>
      </c>
      <c r="F311" s="34">
        <v>0.37630000000000002</v>
      </c>
      <c r="G311" s="31">
        <v>85</v>
      </c>
      <c r="H311" s="34">
        <v>4.4000000000000003E-3</v>
      </c>
      <c r="I311" s="34">
        <v>1.6000000000000001E-3</v>
      </c>
      <c r="J311" s="77" t="s">
        <v>23</v>
      </c>
    </row>
    <row r="312" spans="1:10" x14ac:dyDescent="0.35">
      <c r="A312" s="38">
        <v>45743</v>
      </c>
      <c r="B312" s="31" t="s">
        <v>252</v>
      </c>
      <c r="C312" s="31" t="s">
        <v>92</v>
      </c>
      <c r="D312" s="32">
        <v>196989</v>
      </c>
      <c r="E312" s="32">
        <v>73598</v>
      </c>
      <c r="F312" s="34">
        <v>0.37359999999999999</v>
      </c>
      <c r="G312" s="31">
        <v>216</v>
      </c>
      <c r="H312" s="34">
        <v>2.8999999999999998E-3</v>
      </c>
      <c r="I312" s="34">
        <v>1.1000000000000001E-3</v>
      </c>
      <c r="J312" s="77" t="s">
        <v>23</v>
      </c>
    </row>
    <row r="313" spans="1:10" x14ac:dyDescent="0.35">
      <c r="A313" s="38">
        <v>45743</v>
      </c>
      <c r="B313" s="31" t="s">
        <v>253</v>
      </c>
      <c r="C313" s="31" t="s">
        <v>93</v>
      </c>
      <c r="D313" s="32">
        <v>10976</v>
      </c>
      <c r="E313" s="32">
        <v>4477</v>
      </c>
      <c r="F313" s="34">
        <v>0.40789999999999998</v>
      </c>
      <c r="G313" s="31">
        <v>12</v>
      </c>
      <c r="H313" s="34">
        <v>2.7000000000000001E-3</v>
      </c>
      <c r="I313" s="34">
        <v>1.1000000000000001E-3</v>
      </c>
      <c r="J313" s="77" t="s">
        <v>23</v>
      </c>
    </row>
    <row r="314" spans="1:10" x14ac:dyDescent="0.35">
      <c r="A314" s="38">
        <v>45743</v>
      </c>
      <c r="B314" s="31" t="s">
        <v>281</v>
      </c>
      <c r="C314" s="31" t="s">
        <v>110</v>
      </c>
      <c r="D314" s="32">
        <v>15838</v>
      </c>
      <c r="E314" s="32">
        <v>5868</v>
      </c>
      <c r="F314" s="33">
        <v>0.37050132592499102</v>
      </c>
      <c r="G314" s="32">
        <v>35</v>
      </c>
      <c r="H314" s="33">
        <v>5.9645535105657798E-3</v>
      </c>
      <c r="I314" s="33">
        <v>2.20987498421518E-3</v>
      </c>
      <c r="J314" s="77" t="s">
        <v>23</v>
      </c>
    </row>
    <row r="315" spans="1:10" x14ac:dyDescent="0.35">
      <c r="A315" s="38">
        <v>45743</v>
      </c>
      <c r="B315" s="31" t="s">
        <v>281</v>
      </c>
      <c r="C315" s="31" t="s">
        <v>90</v>
      </c>
      <c r="D315" s="32">
        <v>302289</v>
      </c>
      <c r="E315" s="32">
        <v>110835</v>
      </c>
      <c r="F315" s="33">
        <v>0.36665244186854301</v>
      </c>
      <c r="G315" s="32">
        <v>926</v>
      </c>
      <c r="H315" s="33">
        <v>8.3547615825325904E-3</v>
      </c>
      <c r="I315" s="33">
        <v>3.0632937354650698E-3</v>
      </c>
      <c r="J315" s="77" t="s">
        <v>23</v>
      </c>
    </row>
    <row r="316" spans="1:10" x14ac:dyDescent="0.35">
      <c r="A316" s="38">
        <v>45743</v>
      </c>
      <c r="B316" s="31" t="s">
        <v>281</v>
      </c>
      <c r="C316" s="31" t="s">
        <v>111</v>
      </c>
      <c r="D316" s="32">
        <v>879</v>
      </c>
      <c r="E316" s="32">
        <v>332</v>
      </c>
      <c r="F316" s="33">
        <v>0.377701934015927</v>
      </c>
      <c r="G316" s="32">
        <v>5</v>
      </c>
      <c r="H316" s="33">
        <v>1.5060240963855401E-2</v>
      </c>
      <c r="I316" s="33">
        <v>5.6882821387940798E-3</v>
      </c>
      <c r="J316" s="77" t="s">
        <v>23</v>
      </c>
    </row>
    <row r="317" spans="1:10" x14ac:dyDescent="0.35">
      <c r="A317" s="38">
        <v>45743</v>
      </c>
      <c r="B317" s="31" t="s">
        <v>281</v>
      </c>
      <c r="C317" s="31" t="s">
        <v>91</v>
      </c>
      <c r="D317" s="32">
        <v>17072</v>
      </c>
      <c r="E317" s="32">
        <v>6149</v>
      </c>
      <c r="F317" s="33">
        <v>0.36018041237113402</v>
      </c>
      <c r="G317" s="32">
        <v>57</v>
      </c>
      <c r="H317" s="33">
        <v>9.2697999674743892E-3</v>
      </c>
      <c r="I317" s="33">
        <v>3.3388003748828499E-3</v>
      </c>
      <c r="J317" s="77" t="s">
        <v>23</v>
      </c>
    </row>
    <row r="318" spans="1:10" x14ac:dyDescent="0.35">
      <c r="A318" s="38">
        <v>45743</v>
      </c>
      <c r="B318" s="31" t="s">
        <v>282</v>
      </c>
      <c r="C318" s="31" t="s">
        <v>283</v>
      </c>
      <c r="D318" s="32">
        <v>178293</v>
      </c>
      <c r="E318" s="32">
        <v>65406</v>
      </c>
      <c r="F318" s="33">
        <v>0.36684558563712499</v>
      </c>
      <c r="G318" s="32">
        <v>1247</v>
      </c>
      <c r="H318" s="33">
        <v>1.9065529156346499E-2</v>
      </c>
      <c r="I318" s="33">
        <v>6.9941052088416302E-3</v>
      </c>
      <c r="J318" s="77" t="s">
        <v>23</v>
      </c>
    </row>
    <row r="319" spans="1:10" x14ac:dyDescent="0.35">
      <c r="A319" s="38">
        <v>45743</v>
      </c>
      <c r="B319" s="31" t="s">
        <v>282</v>
      </c>
      <c r="C319" s="31" t="s">
        <v>284</v>
      </c>
      <c r="D319" s="32">
        <v>178996</v>
      </c>
      <c r="E319" s="32">
        <v>71635</v>
      </c>
      <c r="F319" s="33">
        <v>0.40020447384299102</v>
      </c>
      <c r="G319" s="32">
        <v>746</v>
      </c>
      <c r="H319" s="33">
        <v>1.04139038179661E-2</v>
      </c>
      <c r="I319" s="33">
        <v>4.1676908981206299E-3</v>
      </c>
      <c r="J319" s="77" t="s">
        <v>23</v>
      </c>
    </row>
    <row r="320" spans="1:10" x14ac:dyDescent="0.35">
      <c r="A320" s="38">
        <v>45744</v>
      </c>
      <c r="B320" s="31" t="s">
        <v>286</v>
      </c>
      <c r="C320" s="31" t="s">
        <v>7</v>
      </c>
      <c r="D320" s="32">
        <v>4875832</v>
      </c>
      <c r="E320" s="32">
        <v>1452897</v>
      </c>
      <c r="F320" s="33">
        <v>0.297979298712507</v>
      </c>
      <c r="G320" s="32">
        <v>16693</v>
      </c>
      <c r="H320" s="33">
        <v>1.1489458647103001E-2</v>
      </c>
      <c r="I320" s="33">
        <v>3.4236208302501001E-3</v>
      </c>
      <c r="J320" s="77" t="s">
        <v>23</v>
      </c>
    </row>
    <row r="321" spans="1:10" x14ac:dyDescent="0.35">
      <c r="A321" s="38">
        <v>45744</v>
      </c>
      <c r="B321" s="31" t="s">
        <v>286</v>
      </c>
      <c r="C321" s="31" t="s">
        <v>8</v>
      </c>
      <c r="D321" s="32">
        <v>312201</v>
      </c>
      <c r="E321" s="32">
        <v>97596</v>
      </c>
      <c r="F321" s="33">
        <v>0.31260630170947601</v>
      </c>
      <c r="G321" s="32">
        <v>1311</v>
      </c>
      <c r="H321" s="33">
        <v>1.3432927578999099E-2</v>
      </c>
      <c r="I321" s="33">
        <v>4.1992178116021404E-3</v>
      </c>
      <c r="J321" s="77" t="s">
        <v>23</v>
      </c>
    </row>
    <row r="322" spans="1:10" x14ac:dyDescent="0.35">
      <c r="A322" s="38">
        <v>45744</v>
      </c>
      <c r="B322" s="31" t="s">
        <v>287</v>
      </c>
      <c r="C322" s="31" t="s">
        <v>246</v>
      </c>
      <c r="D322" s="32">
        <v>291</v>
      </c>
      <c r="E322" s="32">
        <v>114</v>
      </c>
      <c r="F322" s="33">
        <v>0.39175257731958801</v>
      </c>
      <c r="G322" s="32">
        <v>9</v>
      </c>
      <c r="H322" s="33">
        <v>7.8947368421052599E-2</v>
      </c>
      <c r="I322" s="33">
        <v>3.09278350515464E-2</v>
      </c>
      <c r="J322" s="77" t="s">
        <v>102</v>
      </c>
    </row>
    <row r="323" spans="1:10" x14ac:dyDescent="0.35">
      <c r="A323" s="38">
        <v>45744</v>
      </c>
      <c r="B323" s="31" t="s">
        <v>287</v>
      </c>
      <c r="C323" s="31" t="s">
        <v>247</v>
      </c>
      <c r="D323" s="32">
        <v>261</v>
      </c>
      <c r="E323" s="32">
        <v>107</v>
      </c>
      <c r="F323" s="33">
        <v>0.40996168582375497</v>
      </c>
      <c r="G323" s="32">
        <v>6</v>
      </c>
      <c r="H323" s="33">
        <v>5.60747663551402E-2</v>
      </c>
      <c r="I323" s="33">
        <v>2.2988505747126398E-2</v>
      </c>
      <c r="J323" s="77" t="s">
        <v>102</v>
      </c>
    </row>
    <row r="324" spans="1:10" x14ac:dyDescent="0.35">
      <c r="A324" s="38">
        <v>45744</v>
      </c>
      <c r="B324" s="31" t="s">
        <v>287</v>
      </c>
      <c r="C324" s="31" t="s">
        <v>248</v>
      </c>
      <c r="D324" s="32">
        <v>271</v>
      </c>
      <c r="E324" s="32">
        <v>103</v>
      </c>
      <c r="F324" s="33">
        <v>0.38007380073800701</v>
      </c>
      <c r="G324" s="32">
        <v>7</v>
      </c>
      <c r="H324" s="33">
        <v>6.7961165048543701E-2</v>
      </c>
      <c r="I324" s="33">
        <v>2.5830258302582999E-2</v>
      </c>
      <c r="J324" s="77" t="s">
        <v>102</v>
      </c>
    </row>
    <row r="325" spans="1:10" x14ac:dyDescent="0.35">
      <c r="A325" s="38">
        <v>45748</v>
      </c>
      <c r="B325" s="31" t="s">
        <v>288</v>
      </c>
      <c r="C325" s="31" t="s">
        <v>7</v>
      </c>
      <c r="D325" s="32">
        <v>1405612</v>
      </c>
      <c r="E325" s="32">
        <v>449535</v>
      </c>
      <c r="F325" s="33">
        <v>0.31981442958654299</v>
      </c>
      <c r="G325" s="32">
        <v>8195</v>
      </c>
      <c r="H325" s="33">
        <v>1.8229948724793402E-2</v>
      </c>
      <c r="I325" s="33">
        <v>5.8302006528117298E-3</v>
      </c>
      <c r="J325" s="77" t="s">
        <v>23</v>
      </c>
    </row>
    <row r="326" spans="1:10" x14ac:dyDescent="0.35">
      <c r="A326" s="38">
        <v>45748</v>
      </c>
      <c r="B326" s="31" t="s">
        <v>288</v>
      </c>
      <c r="C326" s="31" t="s">
        <v>8</v>
      </c>
      <c r="D326" s="32">
        <v>88710</v>
      </c>
      <c r="E326" s="32">
        <v>29567</v>
      </c>
      <c r="F326" s="33">
        <v>0.33329951527448998</v>
      </c>
      <c r="G326" s="32">
        <v>783</v>
      </c>
      <c r="H326" s="33">
        <v>2.64822268069131E-2</v>
      </c>
      <c r="I326" s="33">
        <v>8.8265133581332395E-3</v>
      </c>
      <c r="J326" s="77" t="s">
        <v>23</v>
      </c>
    </row>
    <row r="327" spans="1:10" x14ac:dyDescent="0.35">
      <c r="A327" s="38">
        <v>45748</v>
      </c>
      <c r="B327" s="31" t="s">
        <v>289</v>
      </c>
      <c r="C327" s="31" t="s">
        <v>7</v>
      </c>
      <c r="D327" s="32">
        <v>293901</v>
      </c>
      <c r="E327" s="32">
        <v>114179</v>
      </c>
      <c r="F327" s="33">
        <v>0.388494765244079</v>
      </c>
      <c r="G327" s="32">
        <v>1671</v>
      </c>
      <c r="H327" s="33">
        <v>1.46349153522101E-2</v>
      </c>
      <c r="I327" s="33">
        <v>5.6855880041238403E-3</v>
      </c>
      <c r="J327" s="77" t="s">
        <v>24</v>
      </c>
    </row>
    <row r="328" spans="1:10" x14ac:dyDescent="0.35">
      <c r="A328" s="38">
        <v>45748</v>
      </c>
      <c r="B328" s="31" t="s">
        <v>289</v>
      </c>
      <c r="C328" s="31" t="s">
        <v>8</v>
      </c>
      <c r="D328" s="32">
        <v>1110</v>
      </c>
      <c r="E328" s="32">
        <v>501</v>
      </c>
      <c r="F328" s="33">
        <v>0.45135135135135102</v>
      </c>
      <c r="G328" s="32">
        <v>12</v>
      </c>
      <c r="H328" s="33">
        <v>2.39520958083832E-2</v>
      </c>
      <c r="I328" s="33">
        <v>1.0810810810810799E-2</v>
      </c>
      <c r="J328" s="77" t="s">
        <v>24</v>
      </c>
    </row>
    <row r="329" spans="1:10" x14ac:dyDescent="0.35">
      <c r="A329" s="38">
        <v>45748</v>
      </c>
      <c r="B329" s="31" t="s">
        <v>290</v>
      </c>
      <c r="C329" s="31" t="s">
        <v>7</v>
      </c>
      <c r="D329" s="32">
        <v>79940</v>
      </c>
      <c r="E329" s="32">
        <v>19339</v>
      </c>
      <c r="F329" s="33">
        <v>0.24191893920440299</v>
      </c>
      <c r="G329" s="32">
        <v>431</v>
      </c>
      <c r="H329" s="33">
        <v>2.2286571177413499E-2</v>
      </c>
      <c r="I329" s="33">
        <v>5.3915436577433098E-3</v>
      </c>
      <c r="J329" s="77" t="s">
        <v>24</v>
      </c>
    </row>
    <row r="330" spans="1:10" x14ac:dyDescent="0.35">
      <c r="A330" s="38">
        <v>45749</v>
      </c>
      <c r="B330" s="31" t="s">
        <v>291</v>
      </c>
      <c r="C330" s="31" t="s">
        <v>7</v>
      </c>
      <c r="D330" s="32">
        <v>65796</v>
      </c>
      <c r="E330" s="32">
        <v>22525</v>
      </c>
      <c r="F330" s="33">
        <v>0.34234603927290402</v>
      </c>
      <c r="G330" s="32">
        <v>855</v>
      </c>
      <c r="H330" s="33">
        <v>3.7957824639289699E-2</v>
      </c>
      <c r="I330" s="33">
        <v>1.29947109246763E-2</v>
      </c>
      <c r="J330" s="77" t="s">
        <v>23</v>
      </c>
    </row>
    <row r="331" spans="1:10" x14ac:dyDescent="0.35">
      <c r="A331" s="38">
        <v>45749</v>
      </c>
      <c r="B331" s="31" t="s">
        <v>291</v>
      </c>
      <c r="C331" s="31" t="s">
        <v>8</v>
      </c>
      <c r="D331" s="32">
        <v>3971</v>
      </c>
      <c r="E331" s="32">
        <v>1627</v>
      </c>
      <c r="F331" s="33">
        <v>0.40972047343238499</v>
      </c>
      <c r="G331" s="32">
        <v>62</v>
      </c>
      <c r="H331" s="33">
        <v>3.8106945298094601E-2</v>
      </c>
      <c r="I331" s="33">
        <v>1.5613195668597301E-2</v>
      </c>
      <c r="J331" s="77" t="s">
        <v>23</v>
      </c>
    </row>
    <row r="332" spans="1:10" x14ac:dyDescent="0.35">
      <c r="A332" s="38">
        <v>45749</v>
      </c>
      <c r="B332" s="31" t="s">
        <v>292</v>
      </c>
      <c r="C332" s="31" t="s">
        <v>85</v>
      </c>
      <c r="D332" s="32">
        <v>427</v>
      </c>
      <c r="E332" s="32">
        <v>158</v>
      </c>
      <c r="F332" s="33">
        <v>0.37002341920374698</v>
      </c>
      <c r="G332" s="32">
        <v>22</v>
      </c>
      <c r="H332" s="33">
        <v>0.139240506329114</v>
      </c>
      <c r="I332" s="33">
        <v>5.15222482435597E-2</v>
      </c>
      <c r="J332" s="77" t="s">
        <v>25</v>
      </c>
    </row>
    <row r="333" spans="1:10" x14ac:dyDescent="0.35">
      <c r="A333" s="38">
        <v>45749</v>
      </c>
      <c r="B333" s="31" t="s">
        <v>294</v>
      </c>
      <c r="C333" s="31" t="s">
        <v>87</v>
      </c>
      <c r="D333" s="32">
        <v>42</v>
      </c>
      <c r="E333" s="32">
        <v>13</v>
      </c>
      <c r="F333" s="33">
        <v>0.30952380952380998</v>
      </c>
      <c r="G333" s="32">
        <v>3</v>
      </c>
      <c r="H333" s="33">
        <v>0.230769230769231</v>
      </c>
      <c r="I333" s="33">
        <v>7.1428571428571397E-2</v>
      </c>
      <c r="J333" s="77" t="s">
        <v>25</v>
      </c>
    </row>
    <row r="334" spans="1:10" x14ac:dyDescent="0.35">
      <c r="A334" s="38">
        <v>45749</v>
      </c>
      <c r="B334" s="31" t="s">
        <v>293</v>
      </c>
      <c r="C334" s="31" t="s">
        <v>7</v>
      </c>
      <c r="D334" s="32">
        <v>32473</v>
      </c>
      <c r="E334" s="32">
        <v>12851</v>
      </c>
      <c r="F334" s="33">
        <v>0.39574415668401403</v>
      </c>
      <c r="G334" s="32">
        <v>438</v>
      </c>
      <c r="H334" s="33">
        <v>3.4082950743132799E-2</v>
      </c>
      <c r="I334" s="33">
        <v>1.34881285991439E-2</v>
      </c>
      <c r="J334" s="77" t="s">
        <v>23</v>
      </c>
    </row>
    <row r="335" spans="1:10" x14ac:dyDescent="0.35">
      <c r="A335" s="38">
        <v>45750</v>
      </c>
      <c r="B335" s="31" t="s">
        <v>279</v>
      </c>
      <c r="C335" s="31" t="s">
        <v>17</v>
      </c>
      <c r="D335" s="32">
        <v>837994</v>
      </c>
      <c r="E335" s="32">
        <v>322139</v>
      </c>
      <c r="F335" s="34">
        <v>0.38440000000000002</v>
      </c>
      <c r="G335" s="31">
        <v>819</v>
      </c>
      <c r="H335" s="34">
        <v>2.5000000000000001E-3</v>
      </c>
      <c r="I335" s="34">
        <v>1E-3</v>
      </c>
      <c r="J335" s="77" t="s">
        <v>23</v>
      </c>
    </row>
    <row r="336" spans="1:10" x14ac:dyDescent="0.35">
      <c r="A336" s="38">
        <v>45750</v>
      </c>
      <c r="B336" s="31" t="s">
        <v>280</v>
      </c>
      <c r="C336" s="31" t="s">
        <v>18</v>
      </c>
      <c r="D336" s="32">
        <v>51188</v>
      </c>
      <c r="E336" s="32">
        <v>18876</v>
      </c>
      <c r="F336" s="34">
        <v>0.36880000000000002</v>
      </c>
      <c r="G336" s="31">
        <v>73</v>
      </c>
      <c r="H336" s="34">
        <v>3.8999999999999998E-3</v>
      </c>
      <c r="I336" s="34">
        <v>1.4E-3</v>
      </c>
      <c r="J336" s="77" t="s">
        <v>23</v>
      </c>
    </row>
    <row r="337" spans="1:10" x14ac:dyDescent="0.35">
      <c r="A337" s="38">
        <v>45750</v>
      </c>
      <c r="B337" s="31" t="s">
        <v>295</v>
      </c>
      <c r="C337" s="31" t="s">
        <v>296</v>
      </c>
      <c r="D337" s="32">
        <v>329884</v>
      </c>
      <c r="E337" s="32">
        <v>121950</v>
      </c>
      <c r="F337" s="34">
        <v>0.36969999999999997</v>
      </c>
      <c r="G337" s="31">
        <v>309</v>
      </c>
      <c r="H337" s="34">
        <v>2.5000000000000001E-3</v>
      </c>
      <c r="I337" s="34">
        <v>8.9999999999999998E-4</v>
      </c>
      <c r="J337" s="77" t="s">
        <v>23</v>
      </c>
    </row>
    <row r="338" spans="1:10" x14ac:dyDescent="0.35">
      <c r="A338" s="38">
        <v>45750</v>
      </c>
      <c r="B338" s="31" t="s">
        <v>297</v>
      </c>
      <c r="C338" s="31" t="s">
        <v>298</v>
      </c>
      <c r="D338" s="32">
        <v>23110</v>
      </c>
      <c r="E338" s="32">
        <v>8419</v>
      </c>
      <c r="F338" s="34">
        <v>0.36430000000000001</v>
      </c>
      <c r="G338" s="31">
        <v>28</v>
      </c>
      <c r="H338" s="34">
        <v>3.3E-3</v>
      </c>
      <c r="I338" s="34">
        <v>1.1999999999999999E-3</v>
      </c>
      <c r="J338" s="77" t="s">
        <v>23</v>
      </c>
    </row>
    <row r="339" spans="1:10" x14ac:dyDescent="0.35">
      <c r="A339" s="38">
        <v>45750</v>
      </c>
      <c r="B339" s="31" t="s">
        <v>299</v>
      </c>
      <c r="C339" s="31" t="s">
        <v>283</v>
      </c>
      <c r="D339" s="32">
        <v>55125</v>
      </c>
      <c r="E339" s="32">
        <v>17242</v>
      </c>
      <c r="F339" s="33">
        <v>0.31278004535147402</v>
      </c>
      <c r="G339" s="32">
        <v>120</v>
      </c>
      <c r="H339" s="33">
        <v>6.9597494490198399E-3</v>
      </c>
      <c r="I339" s="33">
        <v>2.1768707482993201E-3</v>
      </c>
      <c r="J339" s="77" t="s">
        <v>23</v>
      </c>
    </row>
    <row r="340" spans="1:10" x14ac:dyDescent="0.35">
      <c r="A340" s="38">
        <v>45750</v>
      </c>
      <c r="B340" s="31" t="s">
        <v>299</v>
      </c>
      <c r="C340" s="31" t="s">
        <v>284</v>
      </c>
      <c r="D340" s="32">
        <v>54920</v>
      </c>
      <c r="E340" s="32">
        <v>17340</v>
      </c>
      <c r="F340" s="33">
        <v>0.31573197378004397</v>
      </c>
      <c r="G340" s="32">
        <v>111</v>
      </c>
      <c r="H340" s="33">
        <v>6.4013840830449802E-3</v>
      </c>
      <c r="I340" s="33">
        <v>2.02112163146395E-3</v>
      </c>
      <c r="J340" s="77" t="s">
        <v>23</v>
      </c>
    </row>
    <row r="341" spans="1:10" x14ac:dyDescent="0.35">
      <c r="A341" s="38">
        <v>45751</v>
      </c>
      <c r="B341" s="31" t="s">
        <v>302</v>
      </c>
      <c r="C341" s="31" t="s">
        <v>7</v>
      </c>
      <c r="D341" s="32">
        <v>4876028</v>
      </c>
      <c r="E341" s="32">
        <v>1373587</v>
      </c>
      <c r="F341" s="33">
        <v>0.28170203288414303</v>
      </c>
      <c r="G341" s="32">
        <v>16810</v>
      </c>
      <c r="H341" s="33">
        <v>1.22380307909146E-2</v>
      </c>
      <c r="I341" s="33">
        <v>3.4474781522993701E-3</v>
      </c>
      <c r="J341" s="85" t="s">
        <v>23</v>
      </c>
    </row>
    <row r="342" spans="1:10" x14ac:dyDescent="0.35">
      <c r="A342" s="38">
        <v>45751</v>
      </c>
      <c r="B342" s="31" t="s">
        <v>302</v>
      </c>
      <c r="C342" s="31" t="s">
        <v>8</v>
      </c>
      <c r="D342" s="32">
        <v>312138</v>
      </c>
      <c r="E342" s="32">
        <v>85575</v>
      </c>
      <c r="F342" s="33">
        <v>0.27415758414547398</v>
      </c>
      <c r="G342" s="32">
        <v>1299</v>
      </c>
      <c r="H342" s="33">
        <v>1.51796669588081E-2</v>
      </c>
      <c r="I342" s="33">
        <v>4.1616208215596896E-3</v>
      </c>
      <c r="J342" s="85" t="s">
        <v>23</v>
      </c>
    </row>
    <row r="343" spans="1:10" x14ac:dyDescent="0.35">
      <c r="A343" s="38">
        <v>45751</v>
      </c>
      <c r="B343" s="31" t="s">
        <v>303</v>
      </c>
      <c r="C343" s="31" t="s">
        <v>7</v>
      </c>
      <c r="D343" s="32">
        <v>13613</v>
      </c>
      <c r="E343" s="32">
        <v>5819</v>
      </c>
      <c r="F343" s="33">
        <v>0.42745904649966898</v>
      </c>
      <c r="G343" s="32">
        <v>59</v>
      </c>
      <c r="H343" s="33">
        <v>1.0139199175116E-2</v>
      </c>
      <c r="I343" s="33">
        <v>4.3340924116653202E-3</v>
      </c>
      <c r="J343" s="85" t="s">
        <v>101</v>
      </c>
    </row>
    <row r="344" spans="1:10" x14ac:dyDescent="0.35">
      <c r="A344" s="38">
        <v>45751</v>
      </c>
      <c r="B344" s="31" t="s">
        <v>303</v>
      </c>
      <c r="C344" s="31" t="s">
        <v>8</v>
      </c>
      <c r="D344" s="32">
        <v>2593</v>
      </c>
      <c r="E344" s="32">
        <v>1344</v>
      </c>
      <c r="F344" s="33">
        <v>0.51831854994215198</v>
      </c>
      <c r="G344" s="32">
        <v>9</v>
      </c>
      <c r="H344" s="33">
        <v>6.6964285714285702E-3</v>
      </c>
      <c r="I344" s="33">
        <v>3.4708831469340501E-3</v>
      </c>
      <c r="J344" s="85" t="s">
        <v>101</v>
      </c>
    </row>
    <row r="345" spans="1:10" x14ac:dyDescent="0.35">
      <c r="A345" s="38">
        <v>45751</v>
      </c>
      <c r="B345" s="31" t="s">
        <v>304</v>
      </c>
      <c r="C345" s="31" t="s">
        <v>7</v>
      </c>
      <c r="D345" s="32">
        <v>8041</v>
      </c>
      <c r="E345" s="32">
        <v>2738</v>
      </c>
      <c r="F345" s="33">
        <v>0.34050491232433799</v>
      </c>
      <c r="G345" s="32">
        <v>17</v>
      </c>
      <c r="H345" s="33">
        <v>6.2089116143170201E-3</v>
      </c>
      <c r="I345" s="33">
        <v>2.1141649048625798E-3</v>
      </c>
      <c r="J345" s="85" t="s">
        <v>25</v>
      </c>
    </row>
    <row r="346" spans="1:10" x14ac:dyDescent="0.35">
      <c r="A346" s="38">
        <v>45752</v>
      </c>
      <c r="B346" s="31" t="s">
        <v>305</v>
      </c>
      <c r="C346" s="31" t="s">
        <v>7</v>
      </c>
      <c r="D346" s="32">
        <v>65188</v>
      </c>
      <c r="E346" s="32">
        <v>27858</v>
      </c>
      <c r="F346" s="33">
        <v>0.427348591765356</v>
      </c>
      <c r="G346" s="32">
        <v>1544</v>
      </c>
      <c r="H346" s="33">
        <v>5.54239356737741E-2</v>
      </c>
      <c r="I346" s="33">
        <v>2.3685340860280998E-2</v>
      </c>
      <c r="J346" s="85" t="s">
        <v>23</v>
      </c>
    </row>
    <row r="347" spans="1:10" x14ac:dyDescent="0.35">
      <c r="A347" s="38">
        <v>45752</v>
      </c>
      <c r="B347" s="31" t="s">
        <v>305</v>
      </c>
      <c r="C347" s="31" t="s">
        <v>8</v>
      </c>
      <c r="D347" s="32">
        <v>7284</v>
      </c>
      <c r="E347" s="32">
        <v>3725</v>
      </c>
      <c r="F347" s="33">
        <v>0.51139483800109797</v>
      </c>
      <c r="G347" s="32">
        <v>293</v>
      </c>
      <c r="H347" s="33">
        <v>7.8657718120805395E-2</v>
      </c>
      <c r="I347" s="33">
        <v>4.0225151015925303E-2</v>
      </c>
      <c r="J347" s="85" t="s">
        <v>23</v>
      </c>
    </row>
    <row r="348" spans="1:10" x14ac:dyDescent="0.35">
      <c r="A348" s="38">
        <v>45752</v>
      </c>
      <c r="B348" s="31" t="s">
        <v>306</v>
      </c>
      <c r="C348" s="31" t="s">
        <v>7</v>
      </c>
      <c r="D348" s="32">
        <v>13804</v>
      </c>
      <c r="E348" s="32">
        <v>6308</v>
      </c>
      <c r="F348" s="33">
        <v>0.45696899449434902</v>
      </c>
      <c r="G348" s="32">
        <v>162</v>
      </c>
      <c r="H348" s="33">
        <v>2.5681674064679801E-2</v>
      </c>
      <c r="I348" s="33">
        <v>1.17357287742683E-2</v>
      </c>
      <c r="J348" s="85" t="s">
        <v>23</v>
      </c>
    </row>
    <row r="349" spans="1:10" x14ac:dyDescent="0.35">
      <c r="A349" s="38">
        <v>45752</v>
      </c>
      <c r="B349" s="31" t="s">
        <v>306</v>
      </c>
      <c r="C349" s="31" t="s">
        <v>8</v>
      </c>
      <c r="D349" s="32">
        <v>30369</v>
      </c>
      <c r="E349" s="32">
        <v>14567</v>
      </c>
      <c r="F349" s="33">
        <v>0.47966676545161202</v>
      </c>
      <c r="G349" s="32">
        <v>263</v>
      </c>
      <c r="H349" s="33">
        <v>1.8054506761859001E-2</v>
      </c>
      <c r="I349" s="33">
        <v>8.6601468602851596E-3</v>
      </c>
      <c r="J349" s="85" t="s">
        <v>23</v>
      </c>
    </row>
    <row r="350" spans="1:10" x14ac:dyDescent="0.35">
      <c r="A350" s="38">
        <v>45754</v>
      </c>
      <c r="B350" s="31" t="s">
        <v>307</v>
      </c>
      <c r="C350" s="31" t="s">
        <v>7</v>
      </c>
      <c r="D350" s="32">
        <v>20835</v>
      </c>
      <c r="E350" s="32">
        <v>7671</v>
      </c>
      <c r="F350" s="33">
        <v>0.36817854571634301</v>
      </c>
      <c r="G350" s="32">
        <v>97</v>
      </c>
      <c r="H350" s="33">
        <v>1.26450267240256E-2</v>
      </c>
      <c r="I350" s="33">
        <v>4.6556275497960202E-3</v>
      </c>
      <c r="J350" s="85" t="s">
        <v>23</v>
      </c>
    </row>
    <row r="351" spans="1:10" x14ac:dyDescent="0.35">
      <c r="A351" s="38">
        <v>45754</v>
      </c>
      <c r="B351" s="31" t="s">
        <v>307</v>
      </c>
      <c r="C351" s="31" t="s">
        <v>8</v>
      </c>
      <c r="D351" s="32">
        <v>15</v>
      </c>
      <c r="E351" s="32">
        <v>5</v>
      </c>
      <c r="F351" s="33">
        <v>0.33333333333333298</v>
      </c>
      <c r="G351" s="32">
        <v>0</v>
      </c>
      <c r="H351" s="33">
        <v>0</v>
      </c>
      <c r="I351" s="33">
        <v>0</v>
      </c>
      <c r="J351" s="85" t="s">
        <v>23</v>
      </c>
    </row>
    <row r="352" spans="1:10" x14ac:dyDescent="0.35">
      <c r="A352" s="38">
        <v>45754</v>
      </c>
      <c r="B352" s="31" t="s">
        <v>308</v>
      </c>
      <c r="C352" s="31" t="s">
        <v>309</v>
      </c>
      <c r="D352" s="32">
        <v>37122</v>
      </c>
      <c r="E352" s="32">
        <v>15255</v>
      </c>
      <c r="F352" s="33">
        <v>0.41094229836754498</v>
      </c>
      <c r="G352" s="32">
        <v>132</v>
      </c>
      <c r="H352" s="33">
        <v>8.6529006882989194E-3</v>
      </c>
      <c r="I352" s="33">
        <v>3.55584289639567E-3</v>
      </c>
      <c r="J352" s="85" t="s">
        <v>23</v>
      </c>
    </row>
    <row r="353" spans="1:10" x14ac:dyDescent="0.35">
      <c r="A353" s="38">
        <v>45754</v>
      </c>
      <c r="B353" s="31" t="s">
        <v>308</v>
      </c>
      <c r="C353" s="31" t="s">
        <v>90</v>
      </c>
      <c r="D353" s="32">
        <v>103878</v>
      </c>
      <c r="E353" s="32">
        <v>51032</v>
      </c>
      <c r="F353" s="33">
        <v>0.49126860355416901</v>
      </c>
      <c r="G353" s="32">
        <v>288</v>
      </c>
      <c r="H353" s="33">
        <v>5.6435177927574897E-3</v>
      </c>
      <c r="I353" s="33">
        <v>2.7724831051810801E-3</v>
      </c>
      <c r="J353" s="85" t="s">
        <v>23</v>
      </c>
    </row>
    <row r="354" spans="1:10" x14ac:dyDescent="0.35">
      <c r="A354" s="38">
        <v>45754</v>
      </c>
      <c r="B354" s="31" t="s">
        <v>308</v>
      </c>
      <c r="C354" s="31" t="s">
        <v>310</v>
      </c>
      <c r="D354" s="32">
        <v>2396</v>
      </c>
      <c r="E354" s="32">
        <v>1137</v>
      </c>
      <c r="F354" s="33">
        <v>0.474540901502504</v>
      </c>
      <c r="G354" s="32">
        <v>9</v>
      </c>
      <c r="H354" s="33">
        <v>7.9155672823219003E-3</v>
      </c>
      <c r="I354" s="33">
        <v>3.7562604340567601E-3</v>
      </c>
      <c r="J354" s="85" t="s">
        <v>23</v>
      </c>
    </row>
    <row r="355" spans="1:10" x14ac:dyDescent="0.35">
      <c r="A355" s="38">
        <v>45754</v>
      </c>
      <c r="B355" s="31" t="s">
        <v>308</v>
      </c>
      <c r="C355" s="31" t="s">
        <v>91</v>
      </c>
      <c r="D355" s="32">
        <v>6728</v>
      </c>
      <c r="E355" s="32">
        <v>3582</v>
      </c>
      <c r="F355" s="33">
        <v>0.53240190249702701</v>
      </c>
      <c r="G355" s="32">
        <v>23</v>
      </c>
      <c r="H355" s="33">
        <v>6.4209938581797901E-3</v>
      </c>
      <c r="I355" s="33">
        <v>3.4185493460166501E-3</v>
      </c>
      <c r="J355" s="85" t="s">
        <v>23</v>
      </c>
    </row>
    <row r="356" spans="1:10" x14ac:dyDescent="0.35">
      <c r="A356" s="38">
        <v>45755</v>
      </c>
      <c r="B356" s="31" t="s">
        <v>311</v>
      </c>
      <c r="C356" s="31" t="s">
        <v>7</v>
      </c>
      <c r="D356" s="32">
        <v>1402800</v>
      </c>
      <c r="E356" s="32">
        <v>453285</v>
      </c>
      <c r="F356" s="33">
        <v>0.32312874251496998</v>
      </c>
      <c r="G356" s="32">
        <v>8855</v>
      </c>
      <c r="H356" s="33">
        <v>1.9535171029264199E-2</v>
      </c>
      <c r="I356" s="33">
        <v>6.312375249501E-3</v>
      </c>
      <c r="J356" s="85" t="s">
        <v>23</v>
      </c>
    </row>
    <row r="357" spans="1:10" x14ac:dyDescent="0.35">
      <c r="A357" s="38">
        <v>45755</v>
      </c>
      <c r="B357" s="31" t="s">
        <v>311</v>
      </c>
      <c r="C357" s="31" t="s">
        <v>8</v>
      </c>
      <c r="D357" s="32">
        <v>88505</v>
      </c>
      <c r="E357" s="32">
        <v>29451</v>
      </c>
      <c r="F357" s="33">
        <v>0.33276086096830698</v>
      </c>
      <c r="G357" s="32">
        <v>825</v>
      </c>
      <c r="H357" s="33">
        <v>2.8012631150045798E-2</v>
      </c>
      <c r="I357" s="33">
        <v>9.3215072594768703E-3</v>
      </c>
      <c r="J357" s="85" t="s">
        <v>23</v>
      </c>
    </row>
    <row r="358" spans="1:10" x14ac:dyDescent="0.35">
      <c r="A358" s="38">
        <v>45755</v>
      </c>
      <c r="B358" s="31" t="s">
        <v>312</v>
      </c>
      <c r="C358" s="31" t="s">
        <v>7</v>
      </c>
      <c r="D358" s="32">
        <v>68936</v>
      </c>
      <c r="E358" s="32">
        <v>31170</v>
      </c>
      <c r="F358" s="33">
        <v>0.45215852384820698</v>
      </c>
      <c r="G358" s="32">
        <v>940</v>
      </c>
      <c r="H358" s="33">
        <v>3.0157202438241899E-2</v>
      </c>
      <c r="I358" s="33">
        <v>1.3635836137866999E-2</v>
      </c>
      <c r="J358" s="85" t="s">
        <v>121</v>
      </c>
    </row>
    <row r="359" spans="1:10" x14ac:dyDescent="0.35">
      <c r="A359" s="38">
        <v>45755</v>
      </c>
      <c r="B359" s="31" t="s">
        <v>312</v>
      </c>
      <c r="C359" s="31" t="s">
        <v>8</v>
      </c>
      <c r="D359" s="32">
        <v>3049</v>
      </c>
      <c r="E359" s="32">
        <v>1416</v>
      </c>
      <c r="F359" s="33">
        <v>0.46441456215152499</v>
      </c>
      <c r="G359" s="32">
        <v>51</v>
      </c>
      <c r="H359" s="33">
        <v>3.6016949152542402E-2</v>
      </c>
      <c r="I359" s="33">
        <v>1.6726795670711701E-2</v>
      </c>
      <c r="J359" s="85" t="s">
        <v>121</v>
      </c>
    </row>
    <row r="360" spans="1:10" x14ac:dyDescent="0.35">
      <c r="A360" s="38">
        <v>45756</v>
      </c>
      <c r="B360" s="31" t="s">
        <v>313</v>
      </c>
      <c r="C360" s="31" t="s">
        <v>7</v>
      </c>
      <c r="D360" s="32">
        <v>157254</v>
      </c>
      <c r="E360" s="32">
        <v>54823</v>
      </c>
      <c r="F360" s="33">
        <v>0.34862706195072901</v>
      </c>
      <c r="G360" s="32">
        <v>281</v>
      </c>
      <c r="H360" s="33">
        <v>5.1255859766886199E-3</v>
      </c>
      <c r="I360" s="33">
        <v>1.7869179798288099E-3</v>
      </c>
      <c r="J360" s="85" t="s">
        <v>23</v>
      </c>
    </row>
    <row r="361" spans="1:10" x14ac:dyDescent="0.35">
      <c r="A361" s="38">
        <v>45756</v>
      </c>
      <c r="B361" s="31" t="s">
        <v>313</v>
      </c>
      <c r="C361" s="31" t="s">
        <v>8</v>
      </c>
      <c r="D361" s="32">
        <v>12940</v>
      </c>
      <c r="E361" s="32">
        <v>5120</v>
      </c>
      <c r="F361" s="33">
        <v>0.39567233384853201</v>
      </c>
      <c r="G361" s="32">
        <v>21</v>
      </c>
      <c r="H361" s="33">
        <v>4.1015625000000002E-3</v>
      </c>
      <c r="I361" s="33">
        <v>1.6228748068006201E-3</v>
      </c>
      <c r="J361" s="85" t="s">
        <v>23</v>
      </c>
    </row>
    <row r="362" spans="1:10" x14ac:dyDescent="0.35">
      <c r="A362" s="38">
        <v>45756</v>
      </c>
      <c r="B362" s="31" t="s">
        <v>314</v>
      </c>
      <c r="C362" s="31" t="s">
        <v>7</v>
      </c>
      <c r="D362" s="32">
        <v>134266</v>
      </c>
      <c r="E362" s="32">
        <v>54998</v>
      </c>
      <c r="F362" s="33">
        <v>0.40961971012765702</v>
      </c>
      <c r="G362" s="32">
        <v>1453</v>
      </c>
      <c r="H362" s="33">
        <v>2.64191425142732E-2</v>
      </c>
      <c r="I362" s="33">
        <v>1.08218014985179E-2</v>
      </c>
      <c r="J362" s="85" t="s">
        <v>23</v>
      </c>
    </row>
    <row r="363" spans="1:10" x14ac:dyDescent="0.35">
      <c r="A363" s="38">
        <v>45756</v>
      </c>
      <c r="B363" s="31" t="s">
        <v>314</v>
      </c>
      <c r="C363" s="31" t="s">
        <v>8</v>
      </c>
      <c r="D363" s="32">
        <v>2787</v>
      </c>
      <c r="E363" s="32">
        <v>1167</v>
      </c>
      <c r="F363" s="33">
        <v>0.41872981700753498</v>
      </c>
      <c r="G363" s="32">
        <v>26</v>
      </c>
      <c r="H363" s="33">
        <v>2.2279348757497899E-2</v>
      </c>
      <c r="I363" s="33">
        <v>9.3290276282741308E-3</v>
      </c>
      <c r="J363" s="85" t="s">
        <v>23</v>
      </c>
    </row>
    <row r="364" spans="1:10" x14ac:dyDescent="0.35">
      <c r="A364" s="38">
        <v>45757</v>
      </c>
      <c r="B364" s="31" t="s">
        <v>315</v>
      </c>
      <c r="C364" s="31" t="s">
        <v>316</v>
      </c>
      <c r="D364" s="32">
        <v>56865</v>
      </c>
      <c r="E364" s="32">
        <v>22642</v>
      </c>
      <c r="F364" s="33">
        <v>0.39817110700782599</v>
      </c>
      <c r="G364" s="32">
        <v>521</v>
      </c>
      <c r="H364" s="33">
        <v>2.3010334776079899E-2</v>
      </c>
      <c r="I364" s="33">
        <v>9.1620504704123806E-3</v>
      </c>
      <c r="J364" s="85" t="s">
        <v>23</v>
      </c>
    </row>
    <row r="365" spans="1:10" x14ac:dyDescent="0.35">
      <c r="A365" s="38">
        <v>45757</v>
      </c>
      <c r="B365" s="31" t="s">
        <v>315</v>
      </c>
      <c r="C365" s="31" t="s">
        <v>317</v>
      </c>
      <c r="D365" s="32">
        <v>3335</v>
      </c>
      <c r="E365" s="32">
        <v>1282</v>
      </c>
      <c r="F365" s="33">
        <v>0.38440779610194897</v>
      </c>
      <c r="G365" s="32">
        <v>24</v>
      </c>
      <c r="H365" s="33">
        <v>1.8720748829953199E-2</v>
      </c>
      <c r="I365" s="33">
        <v>7.1964017991004497E-3</v>
      </c>
      <c r="J365" s="85" t="s">
        <v>23</v>
      </c>
    </row>
    <row r="366" spans="1:10" x14ac:dyDescent="0.35">
      <c r="A366" s="38">
        <v>45757</v>
      </c>
      <c r="B366" s="31" t="s">
        <v>315</v>
      </c>
      <c r="C366" s="31" t="s">
        <v>318</v>
      </c>
      <c r="D366" s="32">
        <v>56118</v>
      </c>
      <c r="E366" s="32">
        <v>22299</v>
      </c>
      <c r="F366" s="33">
        <v>0.39735913610606199</v>
      </c>
      <c r="G366" s="32">
        <v>365</v>
      </c>
      <c r="H366" s="33">
        <v>1.6368447015561199E-2</v>
      </c>
      <c r="I366" s="33">
        <v>6.5041519655012698E-3</v>
      </c>
      <c r="J366" s="85" t="s">
        <v>23</v>
      </c>
    </row>
    <row r="367" spans="1:10" x14ac:dyDescent="0.35">
      <c r="A367" s="38">
        <v>45757</v>
      </c>
      <c r="B367" s="31" t="s">
        <v>315</v>
      </c>
      <c r="C367" s="31" t="s">
        <v>319</v>
      </c>
      <c r="D367" s="32">
        <v>3509</v>
      </c>
      <c r="E367" s="32">
        <v>1321</v>
      </c>
      <c r="F367" s="33">
        <v>0.37646053006554597</v>
      </c>
      <c r="G367" s="32">
        <v>22</v>
      </c>
      <c r="H367" s="33">
        <v>1.6654049962149899E-2</v>
      </c>
      <c r="I367" s="33">
        <v>6.2695924764890297E-3</v>
      </c>
      <c r="J367" s="85" t="s">
        <v>23</v>
      </c>
    </row>
    <row r="368" spans="1:10" x14ac:dyDescent="0.35">
      <c r="A368" s="38">
        <v>45757</v>
      </c>
      <c r="B368" s="31" t="s">
        <v>315</v>
      </c>
      <c r="C368" s="31" t="s">
        <v>320</v>
      </c>
      <c r="D368" s="32">
        <v>56724</v>
      </c>
      <c r="E368" s="32">
        <v>22445</v>
      </c>
      <c r="F368" s="33">
        <v>0.39568789225019402</v>
      </c>
      <c r="G368" s="32">
        <v>349</v>
      </c>
      <c r="H368" s="33">
        <v>1.5549120071285401E-2</v>
      </c>
      <c r="I368" s="33">
        <v>6.1525985473520903E-3</v>
      </c>
      <c r="J368" s="85" t="s">
        <v>23</v>
      </c>
    </row>
    <row r="369" spans="1:10" x14ac:dyDescent="0.35">
      <c r="A369" s="38">
        <v>45757</v>
      </c>
      <c r="B369" s="31" t="s">
        <v>315</v>
      </c>
      <c r="C369" s="31" t="s">
        <v>321</v>
      </c>
      <c r="D369" s="32">
        <v>3404</v>
      </c>
      <c r="E369" s="32">
        <v>1258</v>
      </c>
      <c r="F369" s="33">
        <v>0.36956521739130399</v>
      </c>
      <c r="G369" s="32">
        <v>14</v>
      </c>
      <c r="H369" s="33">
        <v>1.1128775834658201E-2</v>
      </c>
      <c r="I369" s="33">
        <v>4.1128084606345504E-3</v>
      </c>
      <c r="J369" s="85" t="s">
        <v>23</v>
      </c>
    </row>
    <row r="370" spans="1:10" x14ac:dyDescent="0.35">
      <c r="A370" s="38">
        <v>45757</v>
      </c>
      <c r="B370" s="31" t="s">
        <v>322</v>
      </c>
      <c r="C370" s="31" t="s">
        <v>197</v>
      </c>
      <c r="D370" s="32">
        <v>317606</v>
      </c>
      <c r="E370" s="32">
        <v>110527</v>
      </c>
      <c r="F370" s="34">
        <v>0.34799999999999998</v>
      </c>
      <c r="G370" s="31">
        <v>282</v>
      </c>
      <c r="H370" s="34">
        <v>2.5999999999999999E-3</v>
      </c>
      <c r="I370" s="34">
        <v>8.9999999999999998E-4</v>
      </c>
      <c r="J370" s="85" t="s">
        <v>23</v>
      </c>
    </row>
    <row r="371" spans="1:10" x14ac:dyDescent="0.35">
      <c r="A371" s="38">
        <v>45757</v>
      </c>
      <c r="B371" s="31" t="s">
        <v>323</v>
      </c>
      <c r="C371" s="31" t="s">
        <v>198</v>
      </c>
      <c r="D371" s="32">
        <v>8725</v>
      </c>
      <c r="E371" s="32">
        <v>2834</v>
      </c>
      <c r="F371" s="34">
        <v>0.32479999999999998</v>
      </c>
      <c r="G371" s="31">
        <v>14</v>
      </c>
      <c r="H371" s="34">
        <v>4.8999999999999998E-3</v>
      </c>
      <c r="I371" s="34">
        <v>1.6000000000000001E-3</v>
      </c>
      <c r="J371" s="85" t="s">
        <v>23</v>
      </c>
    </row>
    <row r="372" spans="1:10" x14ac:dyDescent="0.35">
      <c r="A372" s="38">
        <v>45757</v>
      </c>
      <c r="B372" s="31" t="s">
        <v>295</v>
      </c>
      <c r="C372" s="31" t="s">
        <v>17</v>
      </c>
      <c r="D372" s="32">
        <v>319208</v>
      </c>
      <c r="E372" s="32">
        <v>117433</v>
      </c>
      <c r="F372" s="34">
        <v>0.3679</v>
      </c>
      <c r="G372" s="31">
        <v>316</v>
      </c>
      <c r="H372" s="34">
        <v>2.7000000000000001E-3</v>
      </c>
      <c r="I372" s="34">
        <v>1E-3</v>
      </c>
      <c r="J372" s="85" t="s">
        <v>23</v>
      </c>
    </row>
    <row r="373" spans="1:10" x14ac:dyDescent="0.35">
      <c r="A373" s="38">
        <v>45757</v>
      </c>
      <c r="B373" s="31" t="s">
        <v>297</v>
      </c>
      <c r="C373" s="31" t="s">
        <v>18</v>
      </c>
      <c r="D373" s="32">
        <v>22423</v>
      </c>
      <c r="E373" s="32">
        <v>8072</v>
      </c>
      <c r="F373" s="34">
        <v>0.36</v>
      </c>
      <c r="G373" s="31">
        <v>28</v>
      </c>
      <c r="H373" s="34">
        <v>3.5000000000000001E-3</v>
      </c>
      <c r="I373" s="34">
        <v>1.1999999999999999E-3</v>
      </c>
      <c r="J373" s="85" t="s">
        <v>23</v>
      </c>
    </row>
    <row r="374" spans="1:10" x14ac:dyDescent="0.35">
      <c r="A374" s="38">
        <v>45757</v>
      </c>
      <c r="B374" s="31" t="s">
        <v>324</v>
      </c>
      <c r="C374" s="31" t="s">
        <v>7</v>
      </c>
      <c r="D374" s="32">
        <v>882910</v>
      </c>
      <c r="E374" s="32">
        <v>303763</v>
      </c>
      <c r="F374" s="33">
        <v>0.344047524662763</v>
      </c>
      <c r="G374" s="32">
        <v>1543</v>
      </c>
      <c r="H374" s="33">
        <v>5.07961799165797E-3</v>
      </c>
      <c r="I374" s="33">
        <v>1.74762999626236E-3</v>
      </c>
      <c r="J374" s="85" t="s">
        <v>23</v>
      </c>
    </row>
    <row r="375" spans="1:10" x14ac:dyDescent="0.35">
      <c r="A375" s="38">
        <v>45757</v>
      </c>
      <c r="B375" s="31" t="s">
        <v>325</v>
      </c>
      <c r="C375" s="31" t="s">
        <v>283</v>
      </c>
      <c r="D375" s="32">
        <v>40019</v>
      </c>
      <c r="E375" s="32">
        <v>13324</v>
      </c>
      <c r="F375" s="33">
        <v>0.33294185262000497</v>
      </c>
      <c r="G375" s="32">
        <v>230</v>
      </c>
      <c r="H375" s="33">
        <v>1.7262083458420899E-2</v>
      </c>
      <c r="I375" s="33">
        <v>5.7472700467278001E-3</v>
      </c>
      <c r="J375" s="85" t="s">
        <v>23</v>
      </c>
    </row>
    <row r="376" spans="1:10" x14ac:dyDescent="0.35">
      <c r="A376" s="38">
        <v>45757</v>
      </c>
      <c r="B376" s="31" t="s">
        <v>325</v>
      </c>
      <c r="C376" s="31" t="s">
        <v>284</v>
      </c>
      <c r="D376" s="32">
        <v>39888</v>
      </c>
      <c r="E376" s="32">
        <v>13462</v>
      </c>
      <c r="F376" s="33">
        <v>0.33749498596069</v>
      </c>
      <c r="G376" s="32">
        <v>138</v>
      </c>
      <c r="H376" s="33">
        <v>1.02510771059278E-2</v>
      </c>
      <c r="I376" s="33">
        <v>3.45968712394705E-3</v>
      </c>
      <c r="J376" s="85" t="s">
        <v>23</v>
      </c>
    </row>
    <row r="377" spans="1:10" x14ac:dyDescent="0.35">
      <c r="A377" s="38">
        <v>45757</v>
      </c>
      <c r="B377" s="31" t="s">
        <v>325</v>
      </c>
      <c r="C377" s="31" t="s">
        <v>326</v>
      </c>
      <c r="D377" s="32">
        <v>2953</v>
      </c>
      <c r="E377" s="32">
        <v>911</v>
      </c>
      <c r="F377" s="33">
        <v>0.308499830680664</v>
      </c>
      <c r="G377" s="32">
        <v>7</v>
      </c>
      <c r="H377" s="33">
        <v>7.6838638858397401E-3</v>
      </c>
      <c r="I377" s="33">
        <v>2.37047070775483E-3</v>
      </c>
      <c r="J377" s="85" t="s">
        <v>23</v>
      </c>
    </row>
    <row r="378" spans="1:10" x14ac:dyDescent="0.35">
      <c r="A378" s="38">
        <v>45757</v>
      </c>
      <c r="B378" s="31" t="s">
        <v>327</v>
      </c>
      <c r="C378" s="31" t="s">
        <v>7</v>
      </c>
      <c r="D378" s="32">
        <v>672</v>
      </c>
      <c r="E378" s="32">
        <v>320</v>
      </c>
      <c r="F378" s="33">
        <v>0.476190476190476</v>
      </c>
      <c r="G378" s="32">
        <v>1</v>
      </c>
      <c r="H378" s="33">
        <v>3.1250000000000002E-3</v>
      </c>
      <c r="I378" s="33">
        <v>1.48809523809524E-3</v>
      </c>
      <c r="J378" s="85" t="s">
        <v>23</v>
      </c>
    </row>
    <row r="379" spans="1:10" x14ac:dyDescent="0.35">
      <c r="A379" s="38">
        <v>45757</v>
      </c>
      <c r="B379" s="31" t="s">
        <v>327</v>
      </c>
      <c r="C379" s="31" t="s">
        <v>8</v>
      </c>
      <c r="D379" s="32">
        <v>90</v>
      </c>
      <c r="E379" s="32">
        <v>53</v>
      </c>
      <c r="F379" s="33">
        <v>0.58888888888888902</v>
      </c>
      <c r="G379" s="32">
        <v>0</v>
      </c>
      <c r="H379" s="33">
        <v>0</v>
      </c>
      <c r="I379" s="33">
        <v>0</v>
      </c>
      <c r="J379" s="85" t="s">
        <v>23</v>
      </c>
    </row>
    <row r="380" spans="1:10" x14ac:dyDescent="0.35">
      <c r="A380" s="38">
        <v>45758</v>
      </c>
      <c r="B380" s="31" t="s">
        <v>329</v>
      </c>
      <c r="C380" s="31" t="s">
        <v>7</v>
      </c>
      <c r="D380" s="32">
        <v>3229028</v>
      </c>
      <c r="E380" s="32">
        <v>926526</v>
      </c>
      <c r="F380" s="33">
        <v>0.28693650225392903</v>
      </c>
      <c r="G380" s="32">
        <v>10030</v>
      </c>
      <c r="H380" s="33">
        <v>1.08253842849526E-2</v>
      </c>
      <c r="I380" s="33">
        <v>3.1061979022789501E-3</v>
      </c>
      <c r="J380" s="77" t="s">
        <v>23</v>
      </c>
    </row>
    <row r="381" spans="1:10" x14ac:dyDescent="0.35">
      <c r="A381" s="38">
        <v>45758</v>
      </c>
      <c r="B381" s="31" t="s">
        <v>329</v>
      </c>
      <c r="C381" s="31" t="s">
        <v>330</v>
      </c>
      <c r="D381" s="32">
        <v>146248</v>
      </c>
      <c r="E381" s="32">
        <v>51209</v>
      </c>
      <c r="F381" s="33">
        <v>0.35015179694765097</v>
      </c>
      <c r="G381" s="32">
        <v>560</v>
      </c>
      <c r="H381" s="33">
        <v>1.0935577730477101E-2</v>
      </c>
      <c r="I381" s="33">
        <v>3.8291121929872498E-3</v>
      </c>
      <c r="J381" s="77" t="s">
        <v>23</v>
      </c>
    </row>
    <row r="382" spans="1:10" x14ac:dyDescent="0.35">
      <c r="A382" s="38">
        <v>45758</v>
      </c>
      <c r="B382" s="31" t="s">
        <v>329</v>
      </c>
      <c r="C382" s="31" t="s">
        <v>331</v>
      </c>
      <c r="D382" s="32">
        <v>676305</v>
      </c>
      <c r="E382" s="32">
        <v>207470</v>
      </c>
      <c r="F382" s="33">
        <v>0.30676987453885501</v>
      </c>
      <c r="G382" s="32">
        <v>2254</v>
      </c>
      <c r="H382" s="33">
        <v>1.0864221333204801E-2</v>
      </c>
      <c r="I382" s="33">
        <v>3.3328158153495802E-3</v>
      </c>
      <c r="J382" s="77" t="s">
        <v>23</v>
      </c>
    </row>
    <row r="383" spans="1:10" x14ac:dyDescent="0.35">
      <c r="A383" s="38">
        <v>45758</v>
      </c>
      <c r="B383" s="31" t="s">
        <v>329</v>
      </c>
      <c r="C383" s="31" t="s">
        <v>332</v>
      </c>
      <c r="D383" s="32">
        <v>146338</v>
      </c>
      <c r="E383" s="32">
        <v>49914</v>
      </c>
      <c r="F383" s="33">
        <v>0.34108707239404701</v>
      </c>
      <c r="G383" s="32">
        <v>560</v>
      </c>
      <c r="H383" s="33">
        <v>1.1219297191168799E-2</v>
      </c>
      <c r="I383" s="33">
        <v>3.8267572332545199E-3</v>
      </c>
      <c r="J383" s="77" t="s">
        <v>23</v>
      </c>
    </row>
    <row r="384" spans="1:10" x14ac:dyDescent="0.35">
      <c r="A384" s="38">
        <v>45758</v>
      </c>
      <c r="B384" s="31" t="s">
        <v>329</v>
      </c>
      <c r="C384" s="31" t="s">
        <v>333</v>
      </c>
      <c r="D384" s="32">
        <v>676968</v>
      </c>
      <c r="E384" s="32">
        <v>204644</v>
      </c>
      <c r="F384" s="33">
        <v>0.30229493860862</v>
      </c>
      <c r="G384" s="32">
        <v>2111</v>
      </c>
      <c r="H384" s="33">
        <v>1.03154746779774E-2</v>
      </c>
      <c r="I384" s="33">
        <v>3.1183157844979401E-3</v>
      </c>
      <c r="J384" s="77" t="s">
        <v>23</v>
      </c>
    </row>
    <row r="385" spans="1:10" x14ac:dyDescent="0.35">
      <c r="A385" s="38">
        <v>45758</v>
      </c>
      <c r="B385" s="31" t="s">
        <v>329</v>
      </c>
      <c r="C385" s="31" t="s">
        <v>8</v>
      </c>
      <c r="D385" s="32">
        <v>222619</v>
      </c>
      <c r="E385" s="32">
        <v>65853</v>
      </c>
      <c r="F385" s="33">
        <v>0.29581033065461598</v>
      </c>
      <c r="G385" s="32">
        <v>810</v>
      </c>
      <c r="H385" s="33">
        <v>1.230012300123E-2</v>
      </c>
      <c r="I385" s="33">
        <v>3.6385034520863002E-3</v>
      </c>
      <c r="J385" s="77" t="s">
        <v>23</v>
      </c>
    </row>
    <row r="386" spans="1:10" x14ac:dyDescent="0.35">
      <c r="A386" s="38">
        <v>45758</v>
      </c>
      <c r="B386" s="31" t="s">
        <v>334</v>
      </c>
      <c r="C386" s="31" t="s">
        <v>335</v>
      </c>
      <c r="D386" s="32">
        <v>79069</v>
      </c>
      <c r="E386" s="32">
        <v>22748</v>
      </c>
      <c r="F386" s="33">
        <v>0.28769808648142797</v>
      </c>
      <c r="G386" s="32">
        <v>333</v>
      </c>
      <c r="H386" s="33">
        <v>1.4638649551608899E-2</v>
      </c>
      <c r="I386" s="33">
        <v>4.2115114646701004E-3</v>
      </c>
      <c r="J386" s="77" t="s">
        <v>24</v>
      </c>
    </row>
    <row r="387" spans="1:10" x14ac:dyDescent="0.35">
      <c r="A387" s="38">
        <v>45758</v>
      </c>
      <c r="B387" s="31" t="s">
        <v>336</v>
      </c>
      <c r="C387" s="31" t="s">
        <v>7</v>
      </c>
      <c r="D387" s="32">
        <v>6193738</v>
      </c>
      <c r="E387" s="32">
        <v>2177703</v>
      </c>
      <c r="F387" s="33">
        <v>0.35159753286303003</v>
      </c>
      <c r="G387" s="32">
        <v>18348</v>
      </c>
      <c r="H387" s="33">
        <v>8.4253913412434996E-3</v>
      </c>
      <c r="I387" s="33">
        <v>2.9623468089867498E-3</v>
      </c>
      <c r="J387" s="77" t="s">
        <v>25</v>
      </c>
    </row>
    <row r="388" spans="1:10" x14ac:dyDescent="0.35">
      <c r="A388" s="38">
        <v>45758</v>
      </c>
      <c r="B388" s="31" t="s">
        <v>336</v>
      </c>
      <c r="C388" s="31" t="s">
        <v>8</v>
      </c>
      <c r="D388" s="32">
        <v>400776</v>
      </c>
      <c r="E388" s="32">
        <v>140965</v>
      </c>
      <c r="F388" s="33">
        <v>0.35173014352156801</v>
      </c>
      <c r="G388" s="32">
        <v>1909</v>
      </c>
      <c r="H388" s="33">
        <v>1.35423686730749E-2</v>
      </c>
      <c r="I388" s="33">
        <v>4.7632592770026202E-3</v>
      </c>
      <c r="J388" s="77" t="s">
        <v>25</v>
      </c>
    </row>
    <row r="389" spans="1:10" x14ac:dyDescent="0.35">
      <c r="A389" s="38">
        <v>45759</v>
      </c>
      <c r="B389" s="31" t="s">
        <v>337</v>
      </c>
      <c r="C389" s="31" t="s">
        <v>7</v>
      </c>
      <c r="D389" s="32">
        <v>1268683</v>
      </c>
      <c r="E389" s="32">
        <v>480590</v>
      </c>
      <c r="F389" s="33">
        <v>0.37881015194496998</v>
      </c>
      <c r="G389" s="32">
        <v>4274</v>
      </c>
      <c r="H389" s="33">
        <v>8.8932353981564308E-3</v>
      </c>
      <c r="I389" s="33">
        <v>3.3688478524580199E-3</v>
      </c>
      <c r="J389" s="77" t="s">
        <v>23</v>
      </c>
    </row>
    <row r="390" spans="1:10" x14ac:dyDescent="0.35">
      <c r="A390" s="38">
        <v>45759</v>
      </c>
      <c r="B390" s="31" t="s">
        <v>337</v>
      </c>
      <c r="C390" s="31" t="s">
        <v>8</v>
      </c>
      <c r="D390" s="32">
        <v>70465</v>
      </c>
      <c r="E390" s="32">
        <v>25988</v>
      </c>
      <c r="F390" s="33">
        <v>0.36880720925282101</v>
      </c>
      <c r="G390" s="32">
        <v>249</v>
      </c>
      <c r="H390" s="33">
        <v>9.5813452362628893E-3</v>
      </c>
      <c r="I390" s="33">
        <v>3.5336691974739202E-3</v>
      </c>
      <c r="J390" s="77" t="s">
        <v>23</v>
      </c>
    </row>
    <row r="391" spans="1:10" x14ac:dyDescent="0.35">
      <c r="A391" s="38">
        <v>45761</v>
      </c>
      <c r="B391" s="31" t="s">
        <v>338</v>
      </c>
      <c r="C391" s="31" t="s">
        <v>7</v>
      </c>
      <c r="D391" s="32">
        <v>677663</v>
      </c>
      <c r="E391" s="32">
        <v>258223</v>
      </c>
      <c r="F391" s="33">
        <v>0.38104928260802201</v>
      </c>
      <c r="G391" s="32">
        <v>4684</v>
      </c>
      <c r="H391" s="33">
        <v>1.8139360165438399E-2</v>
      </c>
      <c r="I391" s="33">
        <v>6.9119901780088297E-3</v>
      </c>
      <c r="J391" s="77" t="s">
        <v>101</v>
      </c>
    </row>
    <row r="392" spans="1:10" x14ac:dyDescent="0.35">
      <c r="A392" s="38">
        <v>45761</v>
      </c>
      <c r="B392" s="31" t="s">
        <v>338</v>
      </c>
      <c r="C392" s="31" t="s">
        <v>8</v>
      </c>
      <c r="D392" s="32">
        <v>48327</v>
      </c>
      <c r="E392" s="32">
        <v>18198</v>
      </c>
      <c r="F392" s="33">
        <v>0.37655968713141702</v>
      </c>
      <c r="G392" s="32">
        <v>551</v>
      </c>
      <c r="H392" s="33">
        <v>3.0278052533245399E-2</v>
      </c>
      <c r="I392" s="33">
        <v>1.14014939888675E-2</v>
      </c>
      <c r="J392" s="77" t="s">
        <v>101</v>
      </c>
    </row>
    <row r="393" spans="1:10" x14ac:dyDescent="0.35">
      <c r="A393" s="38">
        <v>45761</v>
      </c>
      <c r="B393" s="31" t="s">
        <v>339</v>
      </c>
      <c r="C393" s="31" t="s">
        <v>7</v>
      </c>
      <c r="D393" s="32">
        <v>133630</v>
      </c>
      <c r="E393" s="32">
        <v>52495</v>
      </c>
      <c r="F393" s="33">
        <v>0.39283843448327499</v>
      </c>
      <c r="G393" s="32">
        <v>827</v>
      </c>
      <c r="H393" s="33">
        <v>1.5753881322030702E-2</v>
      </c>
      <c r="I393" s="33">
        <v>6.1887300755818298E-3</v>
      </c>
      <c r="J393" s="77" t="s">
        <v>101</v>
      </c>
    </row>
    <row r="394" spans="1:10" x14ac:dyDescent="0.35">
      <c r="A394" s="38">
        <v>45761</v>
      </c>
      <c r="B394" s="31" t="s">
        <v>340</v>
      </c>
      <c r="C394" s="31" t="s">
        <v>7</v>
      </c>
      <c r="D394" s="32">
        <v>41044</v>
      </c>
      <c r="E394" s="32">
        <v>11694</v>
      </c>
      <c r="F394" s="33">
        <v>0.284913751096384</v>
      </c>
      <c r="G394" s="32">
        <v>114</v>
      </c>
      <c r="H394" s="33">
        <v>9.7485890200102593E-3</v>
      </c>
      <c r="I394" s="33">
        <v>2.7775070655881502E-3</v>
      </c>
      <c r="J394" s="77" t="s">
        <v>25</v>
      </c>
    </row>
    <row r="395" spans="1:10" x14ac:dyDescent="0.35">
      <c r="A395" s="38">
        <v>45762</v>
      </c>
      <c r="B395" s="31" t="s">
        <v>341</v>
      </c>
      <c r="C395" s="31" t="s">
        <v>7</v>
      </c>
      <c r="D395" s="32">
        <v>611507</v>
      </c>
      <c r="E395" s="32">
        <v>192135</v>
      </c>
      <c r="F395" s="33">
        <v>0.314199183329054</v>
      </c>
      <c r="G395" s="32">
        <v>4432</v>
      </c>
      <c r="H395" s="33">
        <v>2.3067114268613201E-2</v>
      </c>
      <c r="I395" s="33">
        <v>7.2476684649562502E-3</v>
      </c>
      <c r="J395" s="77" t="s">
        <v>23</v>
      </c>
    </row>
    <row r="396" spans="1:10" x14ac:dyDescent="0.35">
      <c r="A396" s="38">
        <v>45762</v>
      </c>
      <c r="B396" s="31" t="s">
        <v>341</v>
      </c>
      <c r="C396" s="31" t="s">
        <v>330</v>
      </c>
      <c r="D396" s="32">
        <v>201642</v>
      </c>
      <c r="E396" s="32">
        <v>69787</v>
      </c>
      <c r="F396" s="33">
        <v>0.34609357177572098</v>
      </c>
      <c r="G396" s="32">
        <v>2126</v>
      </c>
      <c r="H396" s="33">
        <v>3.0464126556522E-2</v>
      </c>
      <c r="I396" s="33">
        <v>1.05434383709743E-2</v>
      </c>
      <c r="J396" s="77" t="s">
        <v>23</v>
      </c>
    </row>
    <row r="397" spans="1:10" x14ac:dyDescent="0.35">
      <c r="A397" s="38">
        <v>45762</v>
      </c>
      <c r="B397" s="31" t="s">
        <v>341</v>
      </c>
      <c r="C397" s="31" t="s">
        <v>331</v>
      </c>
      <c r="D397" s="32">
        <v>189078</v>
      </c>
      <c r="E397" s="32">
        <v>58537</v>
      </c>
      <c r="F397" s="33">
        <v>0.309591808671554</v>
      </c>
      <c r="G397" s="32">
        <v>1056</v>
      </c>
      <c r="H397" s="33">
        <v>1.8039872217571799E-2</v>
      </c>
      <c r="I397" s="33">
        <v>5.58499666804176E-3</v>
      </c>
      <c r="J397" s="77" t="s">
        <v>23</v>
      </c>
    </row>
    <row r="398" spans="1:10" x14ac:dyDescent="0.35">
      <c r="A398" s="38">
        <v>45762</v>
      </c>
      <c r="B398" s="31" t="s">
        <v>341</v>
      </c>
      <c r="C398" s="31" t="s">
        <v>332</v>
      </c>
      <c r="D398" s="32">
        <v>201284</v>
      </c>
      <c r="E398" s="32">
        <v>69465</v>
      </c>
      <c r="F398" s="33">
        <v>0.34510939766697801</v>
      </c>
      <c r="G398" s="32">
        <v>1962</v>
      </c>
      <c r="H398" s="33">
        <v>2.8244439645864799E-2</v>
      </c>
      <c r="I398" s="33">
        <v>9.7474215536257208E-3</v>
      </c>
      <c r="J398" s="77" t="s">
        <v>23</v>
      </c>
    </row>
    <row r="399" spans="1:10" x14ac:dyDescent="0.35">
      <c r="A399" s="38">
        <v>45762</v>
      </c>
      <c r="B399" s="31" t="s">
        <v>341</v>
      </c>
      <c r="C399" s="31" t="s">
        <v>333</v>
      </c>
      <c r="D399" s="32">
        <v>189490</v>
      </c>
      <c r="E399" s="32">
        <v>58742</v>
      </c>
      <c r="F399" s="33">
        <v>0.310000527732334</v>
      </c>
      <c r="G399" s="32">
        <v>992</v>
      </c>
      <c r="H399" s="33">
        <v>1.6887405944639299E-2</v>
      </c>
      <c r="I399" s="33">
        <v>5.2351047548683301E-3</v>
      </c>
      <c r="J399" s="77" t="s">
        <v>23</v>
      </c>
    </row>
    <row r="400" spans="1:10" x14ac:dyDescent="0.35">
      <c r="A400" s="38">
        <v>45762</v>
      </c>
      <c r="B400" s="31" t="s">
        <v>341</v>
      </c>
      <c r="C400" s="31" t="s">
        <v>8</v>
      </c>
      <c r="D400" s="32">
        <v>38577</v>
      </c>
      <c r="E400" s="32">
        <v>12931</v>
      </c>
      <c r="F400" s="33">
        <v>0.335199730409311</v>
      </c>
      <c r="G400" s="32">
        <v>413</v>
      </c>
      <c r="H400" s="33">
        <v>3.1938751836671601E-2</v>
      </c>
      <c r="I400" s="33">
        <v>1.0705861005262199E-2</v>
      </c>
      <c r="J400" s="77" t="s">
        <v>23</v>
      </c>
    </row>
    <row r="401" spans="1:10" x14ac:dyDescent="0.35">
      <c r="A401" s="38">
        <v>45762</v>
      </c>
      <c r="B401" s="31" t="s">
        <v>342</v>
      </c>
      <c r="C401" s="31" t="s">
        <v>7</v>
      </c>
      <c r="D401" s="32">
        <v>140804</v>
      </c>
      <c r="E401" s="32">
        <v>55713</v>
      </c>
      <c r="F401" s="33">
        <v>0.39567767961137501</v>
      </c>
      <c r="G401" s="32">
        <v>503</v>
      </c>
      <c r="H401" s="33">
        <v>9.0284134762084294E-3</v>
      </c>
      <c r="I401" s="33">
        <v>3.5723416948382101E-3</v>
      </c>
      <c r="J401" s="77" t="s">
        <v>25</v>
      </c>
    </row>
    <row r="402" spans="1:10" x14ac:dyDescent="0.35">
      <c r="A402" s="38">
        <v>45762</v>
      </c>
      <c r="B402" s="31" t="s">
        <v>342</v>
      </c>
      <c r="C402" s="31" t="s">
        <v>8</v>
      </c>
      <c r="D402" s="32">
        <v>643</v>
      </c>
      <c r="E402" s="32">
        <v>272</v>
      </c>
      <c r="F402" s="33">
        <v>0.42301710730948699</v>
      </c>
      <c r="G402" s="32">
        <v>7</v>
      </c>
      <c r="H402" s="33">
        <v>2.5735294117647099E-2</v>
      </c>
      <c r="I402" s="33">
        <v>1.08864696734059E-2</v>
      </c>
      <c r="J402" s="77" t="s">
        <v>25</v>
      </c>
    </row>
    <row r="403" spans="1:10" x14ac:dyDescent="0.35">
      <c r="A403" s="38">
        <v>45762</v>
      </c>
      <c r="B403" s="31" t="s">
        <v>343</v>
      </c>
      <c r="C403" s="31" t="s">
        <v>344</v>
      </c>
      <c r="D403" s="32">
        <v>47144</v>
      </c>
      <c r="E403" s="32">
        <v>22313</v>
      </c>
      <c r="F403" s="33">
        <v>0.47329458679789599</v>
      </c>
      <c r="G403" s="32">
        <v>4506</v>
      </c>
      <c r="H403" s="33">
        <v>0.201945054452561</v>
      </c>
      <c r="I403" s="33">
        <v>9.5579501103003603E-2</v>
      </c>
      <c r="J403" s="77" t="s">
        <v>102</v>
      </c>
    </row>
    <row r="404" spans="1:10" x14ac:dyDescent="0.35">
      <c r="A404" s="38">
        <v>45762</v>
      </c>
      <c r="B404" s="31" t="s">
        <v>343</v>
      </c>
      <c r="C404" s="31" t="s">
        <v>345</v>
      </c>
      <c r="D404" s="32">
        <v>45860</v>
      </c>
      <c r="E404" s="32">
        <v>19806</v>
      </c>
      <c r="F404" s="33">
        <v>0.431879633667684</v>
      </c>
      <c r="G404" s="32">
        <v>2132</v>
      </c>
      <c r="H404" s="33">
        <v>0.10764414823790799</v>
      </c>
      <c r="I404" s="33">
        <v>4.64893153074575E-2</v>
      </c>
      <c r="J404" s="77" t="s">
        <v>102</v>
      </c>
    </row>
    <row r="405" spans="1:10" x14ac:dyDescent="0.35">
      <c r="A405" s="38">
        <v>45763</v>
      </c>
      <c r="B405" s="31" t="s">
        <v>346</v>
      </c>
      <c r="C405" s="31" t="s">
        <v>7</v>
      </c>
      <c r="D405" s="32">
        <v>198114</v>
      </c>
      <c r="E405" s="32">
        <v>87747</v>
      </c>
      <c r="F405" s="33">
        <v>0.442911656924801</v>
      </c>
      <c r="G405" s="32">
        <v>1395</v>
      </c>
      <c r="H405" s="33">
        <v>1.5897979418099801E-2</v>
      </c>
      <c r="I405" s="33">
        <v>7.0414004058269499E-3</v>
      </c>
      <c r="J405" s="77" t="s">
        <v>23</v>
      </c>
    </row>
    <row r="406" spans="1:10" x14ac:dyDescent="0.35">
      <c r="A406" s="38">
        <v>45763</v>
      </c>
      <c r="B406" s="31" t="s">
        <v>346</v>
      </c>
      <c r="C406" s="31" t="s">
        <v>8</v>
      </c>
      <c r="D406" s="32">
        <v>12189</v>
      </c>
      <c r="E406" s="32">
        <v>5925</v>
      </c>
      <c r="F406" s="33">
        <v>0.48609401919763701</v>
      </c>
      <c r="G406" s="32">
        <v>177</v>
      </c>
      <c r="H406" s="33">
        <v>2.9873417721519E-2</v>
      </c>
      <c r="I406" s="33">
        <v>1.4521289687423101E-2</v>
      </c>
      <c r="J406" s="77" t="s">
        <v>23</v>
      </c>
    </row>
    <row r="407" spans="1:10" x14ac:dyDescent="0.35">
      <c r="A407" s="38">
        <v>45763</v>
      </c>
      <c r="B407" s="31" t="s">
        <v>347</v>
      </c>
      <c r="C407" s="31" t="s">
        <v>7</v>
      </c>
      <c r="D407" s="32">
        <v>258150</v>
      </c>
      <c r="E407" s="32">
        <v>116032</v>
      </c>
      <c r="F407" s="33">
        <v>0.44947511136935903</v>
      </c>
      <c r="G407" s="32">
        <v>2051</v>
      </c>
      <c r="H407" s="33">
        <v>1.7676158301158301E-2</v>
      </c>
      <c r="I407" s="33">
        <v>7.9449932209955491E-3</v>
      </c>
      <c r="J407" s="77" t="s">
        <v>23</v>
      </c>
    </row>
    <row r="408" spans="1:10" x14ac:dyDescent="0.35">
      <c r="A408" s="38">
        <v>45763</v>
      </c>
      <c r="B408" s="31" t="s">
        <v>347</v>
      </c>
      <c r="C408" s="31" t="s">
        <v>8</v>
      </c>
      <c r="D408" s="32">
        <v>6292</v>
      </c>
      <c r="E408" s="32">
        <v>2697</v>
      </c>
      <c r="F408" s="33">
        <v>0.428639542275906</v>
      </c>
      <c r="G408" s="32">
        <v>37</v>
      </c>
      <c r="H408" s="33">
        <v>1.37189469781238E-2</v>
      </c>
      <c r="I408" s="33">
        <v>5.8804831532104302E-3</v>
      </c>
      <c r="J408" s="77" t="s">
        <v>23</v>
      </c>
    </row>
    <row r="409" spans="1:10" x14ac:dyDescent="0.35">
      <c r="A409" s="38">
        <v>45764</v>
      </c>
      <c r="B409" s="31" t="s">
        <v>322</v>
      </c>
      <c r="C409" s="31" t="s">
        <v>351</v>
      </c>
      <c r="D409" s="32">
        <v>294423</v>
      </c>
      <c r="E409" s="32">
        <v>100647</v>
      </c>
      <c r="F409" s="34">
        <v>0.34179999999999999</v>
      </c>
      <c r="G409" s="31">
        <v>260</v>
      </c>
      <c r="H409" s="34">
        <v>2.5999999999999999E-3</v>
      </c>
      <c r="I409" s="34">
        <v>8.9999999999999998E-4</v>
      </c>
      <c r="J409" s="77" t="s">
        <v>23</v>
      </c>
    </row>
    <row r="410" spans="1:10" x14ac:dyDescent="0.35">
      <c r="A410" s="38">
        <v>45764</v>
      </c>
      <c r="B410" s="31" t="s">
        <v>323</v>
      </c>
      <c r="C410" s="31" t="s">
        <v>352</v>
      </c>
      <c r="D410" s="32">
        <v>8266</v>
      </c>
      <c r="E410" s="32">
        <v>2589</v>
      </c>
      <c r="F410" s="34">
        <v>0.31319999999999998</v>
      </c>
      <c r="G410" s="31">
        <v>6</v>
      </c>
      <c r="H410" s="34">
        <v>2.3E-3</v>
      </c>
      <c r="I410" s="34">
        <v>6.9999999999999999E-4</v>
      </c>
      <c r="J410" s="77" t="s">
        <v>23</v>
      </c>
    </row>
    <row r="411" spans="1:10" x14ac:dyDescent="0.35">
      <c r="A411" s="38">
        <v>45764</v>
      </c>
      <c r="B411" s="31" t="s">
        <v>295</v>
      </c>
      <c r="C411" s="31" t="s">
        <v>349</v>
      </c>
      <c r="D411" s="32">
        <v>307668</v>
      </c>
      <c r="E411" s="32">
        <v>110317</v>
      </c>
      <c r="F411" s="34">
        <v>0.35859999999999997</v>
      </c>
      <c r="G411" s="31">
        <v>247</v>
      </c>
      <c r="H411" s="34">
        <v>2.2000000000000001E-3</v>
      </c>
      <c r="I411" s="34">
        <v>8.0000000000000004E-4</v>
      </c>
      <c r="J411" s="77" t="s">
        <v>23</v>
      </c>
    </row>
    <row r="412" spans="1:10" x14ac:dyDescent="0.35">
      <c r="A412" s="38">
        <v>45764</v>
      </c>
      <c r="B412" s="31" t="s">
        <v>297</v>
      </c>
      <c r="C412" s="31" t="s">
        <v>350</v>
      </c>
      <c r="D412" s="32">
        <v>21609</v>
      </c>
      <c r="E412" s="32">
        <v>7738</v>
      </c>
      <c r="F412" s="34">
        <v>0.35809999999999997</v>
      </c>
      <c r="G412" s="31">
        <v>26</v>
      </c>
      <c r="H412" s="34">
        <v>3.3999999999999998E-3</v>
      </c>
      <c r="I412" s="34">
        <v>1.1999999999999999E-3</v>
      </c>
      <c r="J412" s="77" t="s">
        <v>23</v>
      </c>
    </row>
    <row r="413" spans="1:10" x14ac:dyDescent="0.35">
      <c r="A413" s="38">
        <v>45764</v>
      </c>
      <c r="B413" s="31" t="s">
        <v>348</v>
      </c>
      <c r="C413" s="31" t="s">
        <v>7</v>
      </c>
      <c r="D413" s="32">
        <v>4289282</v>
      </c>
      <c r="E413" s="32">
        <v>1451423</v>
      </c>
      <c r="F413" s="33">
        <v>0.338383673537902</v>
      </c>
      <c r="G413" s="32">
        <v>15103</v>
      </c>
      <c r="H413" s="33">
        <v>1.0405650179169E-2</v>
      </c>
      <c r="I413" s="33">
        <v>3.5211021331775301E-3</v>
      </c>
      <c r="J413" s="77" t="s">
        <v>23</v>
      </c>
    </row>
    <row r="414" spans="1:10" x14ac:dyDescent="0.35">
      <c r="A414" s="172">
        <v>45765</v>
      </c>
      <c r="B414" s="173" t="s">
        <v>354</v>
      </c>
      <c r="C414" s="173" t="s">
        <v>7</v>
      </c>
      <c r="D414" s="174">
        <v>4889373</v>
      </c>
      <c r="E414" s="174">
        <v>1387408</v>
      </c>
      <c r="F414" s="175">
        <v>0.28375990132068102</v>
      </c>
      <c r="G414" s="174">
        <v>15695</v>
      </c>
      <c r="H414" s="175">
        <v>1.13124617992689E-2</v>
      </c>
      <c r="I414" s="175">
        <v>3.2100230438545001E-3</v>
      </c>
      <c r="J414" s="176" t="s">
        <v>23</v>
      </c>
    </row>
    <row r="415" spans="1:10" x14ac:dyDescent="0.35">
      <c r="A415" s="172">
        <v>45765</v>
      </c>
      <c r="B415" s="173" t="s">
        <v>354</v>
      </c>
      <c r="C415" s="173" t="s">
        <v>8</v>
      </c>
      <c r="D415" s="174">
        <v>313708</v>
      </c>
      <c r="E415" s="174">
        <v>85504</v>
      </c>
      <c r="F415" s="175">
        <v>0.272559195175131</v>
      </c>
      <c r="G415" s="174">
        <v>1205</v>
      </c>
      <c r="H415" s="175">
        <v>1.4092907934131701E-2</v>
      </c>
      <c r="I415" s="175">
        <v>3.8411516442041602E-3</v>
      </c>
      <c r="J415" s="176" t="s">
        <v>23</v>
      </c>
    </row>
    <row r="416" spans="1:10" x14ac:dyDescent="0.35">
      <c r="A416" s="172">
        <v>45766</v>
      </c>
      <c r="B416" s="173" t="s">
        <v>355</v>
      </c>
      <c r="C416" s="173" t="s">
        <v>7</v>
      </c>
      <c r="D416" s="174">
        <v>1307844</v>
      </c>
      <c r="E416" s="174">
        <v>426581</v>
      </c>
      <c r="F416" s="175">
        <v>0.326171164144959</v>
      </c>
      <c r="G416" s="174">
        <v>5777</v>
      </c>
      <c r="H416" s="175">
        <v>1.35425628426958E-2</v>
      </c>
      <c r="I416" s="175">
        <v>4.4171934879083403E-3</v>
      </c>
      <c r="J416" s="176" t="s">
        <v>23</v>
      </c>
    </row>
    <row r="417" spans="1:10" x14ac:dyDescent="0.35">
      <c r="A417" s="172">
        <v>45766</v>
      </c>
      <c r="B417" s="173" t="s">
        <v>355</v>
      </c>
      <c r="C417" s="173" t="s">
        <v>8</v>
      </c>
      <c r="D417" s="174">
        <v>94880</v>
      </c>
      <c r="E417" s="174">
        <v>30340</v>
      </c>
      <c r="F417" s="175">
        <v>0.31977234401349097</v>
      </c>
      <c r="G417" s="174">
        <v>653</v>
      </c>
      <c r="H417" s="175">
        <v>2.1522742254449601E-2</v>
      </c>
      <c r="I417" s="175">
        <v>6.8823777403035401E-3</v>
      </c>
      <c r="J417" s="176" t="s">
        <v>23</v>
      </c>
    </row>
    <row r="418" spans="1:10" x14ac:dyDescent="0.35">
      <c r="A418" s="172">
        <v>45767</v>
      </c>
      <c r="B418" s="173" t="s">
        <v>356</v>
      </c>
      <c r="C418" s="173" t="s">
        <v>7</v>
      </c>
      <c r="D418" s="174">
        <v>6300058</v>
      </c>
      <c r="E418" s="174">
        <v>2321486</v>
      </c>
      <c r="F418" s="175">
        <v>0.36848644885491499</v>
      </c>
      <c r="G418" s="174">
        <v>79485</v>
      </c>
      <c r="H418" s="175">
        <v>3.4238845291334898E-2</v>
      </c>
      <c r="I418" s="175">
        <v>1.2616550514296899E-2</v>
      </c>
      <c r="J418" s="176" t="s">
        <v>23</v>
      </c>
    </row>
    <row r="419" spans="1:10" x14ac:dyDescent="0.35">
      <c r="A419" s="172">
        <v>45767</v>
      </c>
      <c r="B419" s="173" t="s">
        <v>356</v>
      </c>
      <c r="C419" s="173" t="s">
        <v>8</v>
      </c>
      <c r="D419" s="174">
        <v>402703</v>
      </c>
      <c r="E419" s="174">
        <v>149134</v>
      </c>
      <c r="F419" s="175">
        <v>0.370332478278036</v>
      </c>
      <c r="G419" s="174">
        <v>6473</v>
      </c>
      <c r="H419" s="175">
        <v>4.3403918623519798E-2</v>
      </c>
      <c r="I419" s="175">
        <v>1.6073880750826299E-2</v>
      </c>
      <c r="J419" s="176" t="s">
        <v>23</v>
      </c>
    </row>
    <row r="420" spans="1:10" x14ac:dyDescent="0.35">
      <c r="A420" s="172">
        <v>45768</v>
      </c>
      <c r="B420" s="173" t="s">
        <v>357</v>
      </c>
      <c r="C420" s="173" t="s">
        <v>7</v>
      </c>
      <c r="D420" s="174">
        <v>2031236</v>
      </c>
      <c r="E420" s="174">
        <v>747226</v>
      </c>
      <c r="F420" s="175">
        <v>0.36786764314929399</v>
      </c>
      <c r="G420" s="174">
        <v>6120</v>
      </c>
      <c r="H420" s="175">
        <v>8.1902931643170907E-3</v>
      </c>
      <c r="I420" s="175">
        <v>3.0129438430591001E-3</v>
      </c>
      <c r="J420" s="176" t="s">
        <v>23</v>
      </c>
    </row>
    <row r="421" spans="1:10" x14ac:dyDescent="0.35">
      <c r="A421" s="172">
        <v>45769</v>
      </c>
      <c r="B421" s="173" t="s">
        <v>358</v>
      </c>
      <c r="C421" s="173" t="s">
        <v>7</v>
      </c>
      <c r="D421" s="174">
        <v>616275</v>
      </c>
      <c r="E421" s="174">
        <v>192938</v>
      </c>
      <c r="F421" s="175">
        <v>0.31307127499898602</v>
      </c>
      <c r="G421" s="174">
        <v>5686</v>
      </c>
      <c r="H421" s="175">
        <v>2.9470607138044301E-2</v>
      </c>
      <c r="I421" s="175">
        <v>9.2264005517017599E-3</v>
      </c>
      <c r="J421" s="176" t="s">
        <v>23</v>
      </c>
    </row>
    <row r="422" spans="1:10" x14ac:dyDescent="0.35">
      <c r="A422" s="172">
        <v>45769</v>
      </c>
      <c r="B422" s="173" t="s">
        <v>358</v>
      </c>
      <c r="C422" s="173" t="s">
        <v>330</v>
      </c>
      <c r="D422" s="174">
        <v>203379</v>
      </c>
      <c r="E422" s="174">
        <v>69800</v>
      </c>
      <c r="F422" s="175">
        <v>0.34320160881900302</v>
      </c>
      <c r="G422" s="174">
        <v>2418</v>
      </c>
      <c r="H422" s="175">
        <v>3.4641833810888201E-2</v>
      </c>
      <c r="I422" s="175">
        <v>1.18891330963374E-2</v>
      </c>
      <c r="J422" s="176" t="s">
        <v>23</v>
      </c>
    </row>
    <row r="423" spans="1:10" x14ac:dyDescent="0.35">
      <c r="A423" s="172">
        <v>45769</v>
      </c>
      <c r="B423" s="173" t="s">
        <v>358</v>
      </c>
      <c r="C423" s="173" t="s">
        <v>331</v>
      </c>
      <c r="D423" s="174">
        <v>191048</v>
      </c>
      <c r="E423" s="174">
        <v>58715</v>
      </c>
      <c r="F423" s="175">
        <v>0.30733114191198002</v>
      </c>
      <c r="G423" s="174">
        <v>1326</v>
      </c>
      <c r="H423" s="175">
        <v>2.25836668653666E-2</v>
      </c>
      <c r="I423" s="175">
        <v>6.9406641262928703E-3</v>
      </c>
      <c r="J423" s="176" t="s">
        <v>23</v>
      </c>
    </row>
    <row r="424" spans="1:10" x14ac:dyDescent="0.35">
      <c r="A424" s="172">
        <v>45769</v>
      </c>
      <c r="B424" s="173" t="s">
        <v>358</v>
      </c>
      <c r="C424" s="173" t="s">
        <v>332</v>
      </c>
      <c r="D424" s="174">
        <v>201934</v>
      </c>
      <c r="E424" s="174">
        <v>69276</v>
      </c>
      <c r="F424" s="175">
        <v>0.34306258480493601</v>
      </c>
      <c r="G424" s="174">
        <v>2363</v>
      </c>
      <c r="H424" s="175">
        <v>3.4109937063340798E-2</v>
      </c>
      <c r="I424" s="175">
        <v>1.1701843176483401E-2</v>
      </c>
      <c r="J424" s="176" t="s">
        <v>23</v>
      </c>
    </row>
    <row r="425" spans="1:10" x14ac:dyDescent="0.35">
      <c r="A425" s="172">
        <v>45769</v>
      </c>
      <c r="B425" s="173" t="s">
        <v>358</v>
      </c>
      <c r="C425" s="173" t="s">
        <v>333</v>
      </c>
      <c r="D425" s="174">
        <v>190675</v>
      </c>
      <c r="E425" s="174">
        <v>58907</v>
      </c>
      <c r="F425" s="175">
        <v>0.30893929461125003</v>
      </c>
      <c r="G425" s="174">
        <v>1256</v>
      </c>
      <c r="H425" s="175">
        <v>2.1321744444633101E-2</v>
      </c>
      <c r="I425" s="175">
        <v>6.5871246886062699E-3</v>
      </c>
      <c r="J425" s="176" t="s">
        <v>23</v>
      </c>
    </row>
    <row r="426" spans="1:10" x14ac:dyDescent="0.35">
      <c r="A426" s="172">
        <v>45769</v>
      </c>
      <c r="B426" s="173" t="s">
        <v>358</v>
      </c>
      <c r="C426" s="173" t="s">
        <v>8</v>
      </c>
      <c r="D426" s="174">
        <v>38843</v>
      </c>
      <c r="E426" s="174">
        <v>11812</v>
      </c>
      <c r="F426" s="175">
        <v>0.304095976108951</v>
      </c>
      <c r="G426" s="174">
        <v>496</v>
      </c>
      <c r="H426" s="175">
        <v>4.1991195394514097E-2</v>
      </c>
      <c r="I426" s="175">
        <v>1.2769353551476501E-2</v>
      </c>
      <c r="J426" s="176" t="s">
        <v>23</v>
      </c>
    </row>
    <row r="427" spans="1:10" x14ac:dyDescent="0.35">
      <c r="A427" s="172">
        <v>45770</v>
      </c>
      <c r="B427" s="173" t="s">
        <v>359</v>
      </c>
      <c r="C427" s="173" t="s">
        <v>85</v>
      </c>
      <c r="D427" s="174">
        <v>632</v>
      </c>
      <c r="E427" s="174">
        <v>162</v>
      </c>
      <c r="F427" s="175">
        <v>0.256329113924051</v>
      </c>
      <c r="G427" s="174">
        <v>6</v>
      </c>
      <c r="H427" s="175">
        <v>3.7037037037037E-2</v>
      </c>
      <c r="I427" s="175">
        <v>9.4936708860759497E-3</v>
      </c>
      <c r="J427" s="176" t="s">
        <v>25</v>
      </c>
    </row>
    <row r="428" spans="1:10" x14ac:dyDescent="0.35">
      <c r="A428" s="172">
        <v>45770</v>
      </c>
      <c r="B428" s="173" t="s">
        <v>360</v>
      </c>
      <c r="C428" s="173" t="s">
        <v>87</v>
      </c>
      <c r="D428" s="174">
        <v>136</v>
      </c>
      <c r="E428" s="174">
        <v>40</v>
      </c>
      <c r="F428" s="175">
        <v>0.29411764705882398</v>
      </c>
      <c r="G428" s="174">
        <v>3</v>
      </c>
      <c r="H428" s="175">
        <v>7.4999999999999997E-2</v>
      </c>
      <c r="I428" s="175">
        <v>2.2058823529411801E-2</v>
      </c>
      <c r="J428" s="176" t="s">
        <v>25</v>
      </c>
    </row>
    <row r="429" spans="1:10" x14ac:dyDescent="0.35">
      <c r="A429" s="172">
        <v>45771</v>
      </c>
      <c r="B429" s="173" t="s">
        <v>361</v>
      </c>
      <c r="C429" s="173" t="s">
        <v>316</v>
      </c>
      <c r="D429" s="174">
        <v>89574</v>
      </c>
      <c r="E429" s="174">
        <v>30170</v>
      </c>
      <c r="F429" s="175">
        <v>0.33681648692700999</v>
      </c>
      <c r="G429" s="174">
        <v>604</v>
      </c>
      <c r="H429" s="175">
        <v>2.0019887305270101E-2</v>
      </c>
      <c r="I429" s="175">
        <v>6.7430281108357302E-3</v>
      </c>
      <c r="J429" s="176" t="s">
        <v>23</v>
      </c>
    </row>
    <row r="430" spans="1:10" x14ac:dyDescent="0.35">
      <c r="A430" s="172">
        <v>45771</v>
      </c>
      <c r="B430" s="173" t="s">
        <v>361</v>
      </c>
      <c r="C430" s="173" t="s">
        <v>317</v>
      </c>
      <c r="D430" s="174">
        <v>4890</v>
      </c>
      <c r="E430" s="174">
        <v>1570</v>
      </c>
      <c r="F430" s="175">
        <v>0.32106339468302703</v>
      </c>
      <c r="G430" s="174">
        <v>23</v>
      </c>
      <c r="H430" s="175">
        <v>1.46496815286624E-2</v>
      </c>
      <c r="I430" s="175">
        <v>4.7034764826175898E-3</v>
      </c>
      <c r="J430" s="176" t="s">
        <v>23</v>
      </c>
    </row>
    <row r="431" spans="1:10" x14ac:dyDescent="0.35">
      <c r="A431" s="172">
        <v>45771</v>
      </c>
      <c r="B431" s="173" t="s">
        <v>361</v>
      </c>
      <c r="C431" s="173" t="s">
        <v>318</v>
      </c>
      <c r="D431" s="174">
        <v>88824</v>
      </c>
      <c r="E431" s="174">
        <v>33622</v>
      </c>
      <c r="F431" s="175">
        <v>0.37852382239034499</v>
      </c>
      <c r="G431" s="174">
        <v>468</v>
      </c>
      <c r="H431" s="175">
        <v>1.39194574980667E-2</v>
      </c>
      <c r="I431" s="175">
        <v>5.2688462577681703E-3</v>
      </c>
      <c r="J431" s="176" t="s">
        <v>23</v>
      </c>
    </row>
    <row r="432" spans="1:10" x14ac:dyDescent="0.35">
      <c r="A432" s="172">
        <v>45771</v>
      </c>
      <c r="B432" s="173" t="s">
        <v>361</v>
      </c>
      <c r="C432" s="173" t="s">
        <v>319</v>
      </c>
      <c r="D432" s="174">
        <v>5394</v>
      </c>
      <c r="E432" s="174">
        <v>2036</v>
      </c>
      <c r="F432" s="175">
        <v>0.37745643307378601</v>
      </c>
      <c r="G432" s="174">
        <v>18</v>
      </c>
      <c r="H432" s="175">
        <v>8.8408644400785903E-3</v>
      </c>
      <c r="I432" s="175">
        <v>3.3370411568409298E-3</v>
      </c>
      <c r="J432" s="176" t="s">
        <v>23</v>
      </c>
    </row>
    <row r="433" spans="1:10" x14ac:dyDescent="0.35">
      <c r="A433" s="172">
        <v>45771</v>
      </c>
      <c r="B433" s="173" t="s">
        <v>361</v>
      </c>
      <c r="C433" s="173" t="s">
        <v>320</v>
      </c>
      <c r="D433" s="174">
        <v>86310</v>
      </c>
      <c r="E433" s="174">
        <v>33360</v>
      </c>
      <c r="F433" s="175">
        <v>0.38651372957942298</v>
      </c>
      <c r="G433" s="174">
        <v>425</v>
      </c>
      <c r="H433" s="175">
        <v>1.27398081534772E-2</v>
      </c>
      <c r="I433" s="175">
        <v>4.9241107635268197E-3</v>
      </c>
      <c r="J433" s="176" t="s">
        <v>23</v>
      </c>
    </row>
    <row r="434" spans="1:10" x14ac:dyDescent="0.35">
      <c r="A434" s="172">
        <v>45771</v>
      </c>
      <c r="B434" s="173" t="s">
        <v>361</v>
      </c>
      <c r="C434" s="173" t="s">
        <v>321</v>
      </c>
      <c r="D434" s="174">
        <v>5267</v>
      </c>
      <c r="E434" s="174">
        <v>1949</v>
      </c>
      <c r="F434" s="175">
        <v>0.370039870894247</v>
      </c>
      <c r="G434" s="174">
        <v>25</v>
      </c>
      <c r="H434" s="175">
        <v>1.2827090815803001E-2</v>
      </c>
      <c r="I434" s="175">
        <v>4.74653502942852E-3</v>
      </c>
      <c r="J434" s="176" t="s">
        <v>23</v>
      </c>
    </row>
    <row r="435" spans="1:10" x14ac:dyDescent="0.35">
      <c r="A435" s="172">
        <v>45771</v>
      </c>
      <c r="B435" s="173" t="s">
        <v>362</v>
      </c>
      <c r="C435" s="173" t="s">
        <v>316</v>
      </c>
      <c r="D435" s="174">
        <v>57614</v>
      </c>
      <c r="E435" s="174">
        <v>22327</v>
      </c>
      <c r="F435" s="175">
        <v>0.38752733710556497</v>
      </c>
      <c r="G435" s="174">
        <v>406</v>
      </c>
      <c r="H435" s="175">
        <v>1.81842612084024E-2</v>
      </c>
      <c r="I435" s="175">
        <v>7.0468983233241897E-3</v>
      </c>
      <c r="J435" s="176" t="s">
        <v>23</v>
      </c>
    </row>
    <row r="436" spans="1:10" x14ac:dyDescent="0.35">
      <c r="A436" s="172">
        <v>45771</v>
      </c>
      <c r="B436" s="173" t="s">
        <v>362</v>
      </c>
      <c r="C436" s="173" t="s">
        <v>317</v>
      </c>
      <c r="D436" s="174">
        <v>3391</v>
      </c>
      <c r="E436" s="174">
        <v>1335</v>
      </c>
      <c r="F436" s="175">
        <v>0.39368917723385399</v>
      </c>
      <c r="G436" s="174">
        <v>16</v>
      </c>
      <c r="H436" s="175">
        <v>1.1985018726591801E-2</v>
      </c>
      <c r="I436" s="175">
        <v>4.7183721616042501E-3</v>
      </c>
      <c r="J436" s="176" t="s">
        <v>23</v>
      </c>
    </row>
    <row r="437" spans="1:10" x14ac:dyDescent="0.35">
      <c r="A437" s="172">
        <v>45771</v>
      </c>
      <c r="B437" s="173" t="s">
        <v>362</v>
      </c>
      <c r="C437" s="173" t="s">
        <v>318</v>
      </c>
      <c r="D437" s="174">
        <v>56515</v>
      </c>
      <c r="E437" s="174">
        <v>21617</v>
      </c>
      <c r="F437" s="175">
        <v>0.38250022118021798</v>
      </c>
      <c r="G437" s="174">
        <v>301</v>
      </c>
      <c r="H437" s="175">
        <v>1.3924226303372301E-2</v>
      </c>
      <c r="I437" s="175">
        <v>5.3260196408033301E-3</v>
      </c>
      <c r="J437" s="176" t="s">
        <v>23</v>
      </c>
    </row>
    <row r="438" spans="1:10" x14ac:dyDescent="0.35">
      <c r="A438" s="172">
        <v>45771</v>
      </c>
      <c r="B438" s="173" t="s">
        <v>362</v>
      </c>
      <c r="C438" s="173" t="s">
        <v>319</v>
      </c>
      <c r="D438" s="174">
        <v>3556</v>
      </c>
      <c r="E438" s="174">
        <v>1319</v>
      </c>
      <c r="F438" s="175">
        <v>0.37092238470191202</v>
      </c>
      <c r="G438" s="174">
        <v>14</v>
      </c>
      <c r="H438" s="175">
        <v>1.06141015921152E-2</v>
      </c>
      <c r="I438" s="175">
        <v>3.9370078740157497E-3</v>
      </c>
      <c r="J438" s="176" t="s">
        <v>23</v>
      </c>
    </row>
    <row r="439" spans="1:10" x14ac:dyDescent="0.35">
      <c r="A439" s="172">
        <v>45771</v>
      </c>
      <c r="B439" s="173" t="s">
        <v>362</v>
      </c>
      <c r="C439" s="173" t="s">
        <v>320</v>
      </c>
      <c r="D439" s="174">
        <v>57501</v>
      </c>
      <c r="E439" s="174">
        <v>22113</v>
      </c>
      <c r="F439" s="175">
        <v>0.38456722491782802</v>
      </c>
      <c r="G439" s="174">
        <v>243</v>
      </c>
      <c r="H439" s="175">
        <v>1.0989010989011E-2</v>
      </c>
      <c r="I439" s="175">
        <v>4.2260134606354697E-3</v>
      </c>
      <c r="J439" s="176" t="s">
        <v>23</v>
      </c>
    </row>
    <row r="440" spans="1:10" x14ac:dyDescent="0.35">
      <c r="A440" s="172">
        <v>45771</v>
      </c>
      <c r="B440" s="173" t="s">
        <v>362</v>
      </c>
      <c r="C440" s="173" t="s">
        <v>321</v>
      </c>
      <c r="D440" s="174">
        <v>3493</v>
      </c>
      <c r="E440" s="174">
        <v>1341</v>
      </c>
      <c r="F440" s="175">
        <v>0.38391067849985699</v>
      </c>
      <c r="G440" s="174">
        <v>15</v>
      </c>
      <c r="H440" s="175">
        <v>1.11856823266219E-2</v>
      </c>
      <c r="I440" s="175">
        <v>4.2943028914972804E-3</v>
      </c>
      <c r="J440" s="176" t="s">
        <v>23</v>
      </c>
    </row>
    <row r="441" spans="1:10" x14ac:dyDescent="0.35">
      <c r="A441" s="172">
        <v>45771</v>
      </c>
      <c r="B441" s="173" t="s">
        <v>322</v>
      </c>
      <c r="C441" s="173" t="s">
        <v>367</v>
      </c>
      <c r="D441" s="174">
        <v>281984</v>
      </c>
      <c r="E441" s="174">
        <v>96400</v>
      </c>
      <c r="F441" s="177">
        <v>0.34189999999999998</v>
      </c>
      <c r="G441" s="173">
        <v>247</v>
      </c>
      <c r="H441" s="177">
        <v>2.5999999999999999E-3</v>
      </c>
      <c r="I441" s="177">
        <v>8.9999999999999998E-4</v>
      </c>
      <c r="J441" s="176" t="s">
        <v>23</v>
      </c>
    </row>
    <row r="442" spans="1:10" x14ac:dyDescent="0.35">
      <c r="A442" s="172">
        <v>45771</v>
      </c>
      <c r="B442" s="173" t="s">
        <v>323</v>
      </c>
      <c r="C442" s="173" t="s">
        <v>21</v>
      </c>
      <c r="D442" s="174">
        <v>8048</v>
      </c>
      <c r="E442" s="174">
        <v>2599</v>
      </c>
      <c r="F442" s="177">
        <v>0.32290000000000002</v>
      </c>
      <c r="G442" s="173">
        <v>9</v>
      </c>
      <c r="H442" s="177">
        <v>3.5000000000000001E-3</v>
      </c>
      <c r="I442" s="177">
        <v>1.1000000000000001E-3</v>
      </c>
      <c r="J442" s="176" t="s">
        <v>23</v>
      </c>
    </row>
    <row r="443" spans="1:10" x14ac:dyDescent="0.35">
      <c r="A443" s="172">
        <v>45771</v>
      </c>
      <c r="B443" s="173" t="s">
        <v>363</v>
      </c>
      <c r="C443" s="173" t="s">
        <v>197</v>
      </c>
      <c r="D443" s="174">
        <v>19005</v>
      </c>
      <c r="E443" s="174">
        <v>6564</v>
      </c>
      <c r="F443" s="177">
        <v>0.34539999999999998</v>
      </c>
      <c r="G443" s="173">
        <v>36</v>
      </c>
      <c r="H443" s="177">
        <v>5.4999999999999997E-3</v>
      </c>
      <c r="I443" s="177">
        <v>1.9E-3</v>
      </c>
      <c r="J443" s="176" t="s">
        <v>23</v>
      </c>
    </row>
    <row r="444" spans="1:10" x14ac:dyDescent="0.35">
      <c r="A444" s="172">
        <v>45771</v>
      </c>
      <c r="B444" s="173" t="s">
        <v>364</v>
      </c>
      <c r="C444" s="173" t="s">
        <v>198</v>
      </c>
      <c r="D444" s="173">
        <v>464</v>
      </c>
      <c r="E444" s="173">
        <v>144</v>
      </c>
      <c r="F444" s="177">
        <v>0.31030000000000002</v>
      </c>
      <c r="G444" s="173">
        <v>0</v>
      </c>
      <c r="H444" s="177">
        <v>0</v>
      </c>
      <c r="I444" s="177">
        <v>0</v>
      </c>
      <c r="J444" s="176" t="s">
        <v>23</v>
      </c>
    </row>
    <row r="445" spans="1:10" x14ac:dyDescent="0.35">
      <c r="A445" s="172">
        <v>45771</v>
      </c>
      <c r="B445" s="173" t="s">
        <v>365</v>
      </c>
      <c r="C445" s="173" t="s">
        <v>110</v>
      </c>
      <c r="D445" s="174">
        <v>16011</v>
      </c>
      <c r="E445" s="174">
        <v>5618</v>
      </c>
      <c r="F445" s="175">
        <v>0.35088376740990601</v>
      </c>
      <c r="G445" s="174">
        <v>60</v>
      </c>
      <c r="H445" s="175">
        <v>1.0679957280170901E-2</v>
      </c>
      <c r="I445" s="175">
        <v>3.7474236462432101E-3</v>
      </c>
      <c r="J445" s="176" t="s">
        <v>23</v>
      </c>
    </row>
    <row r="446" spans="1:10" x14ac:dyDescent="0.35">
      <c r="A446" s="172">
        <v>45771</v>
      </c>
      <c r="B446" s="173" t="s">
        <v>365</v>
      </c>
      <c r="C446" s="173" t="s">
        <v>90</v>
      </c>
      <c r="D446" s="174">
        <v>305765</v>
      </c>
      <c r="E446" s="174">
        <v>108451</v>
      </c>
      <c r="F446" s="175">
        <v>0.35468742334799602</v>
      </c>
      <c r="G446" s="174">
        <v>901</v>
      </c>
      <c r="H446" s="175">
        <v>8.3078994200145705E-3</v>
      </c>
      <c r="I446" s="175">
        <v>2.9467074387192799E-3</v>
      </c>
      <c r="J446" s="176" t="s">
        <v>23</v>
      </c>
    </row>
    <row r="447" spans="1:10" x14ac:dyDescent="0.35">
      <c r="A447" s="172">
        <v>45771</v>
      </c>
      <c r="B447" s="173" t="s">
        <v>365</v>
      </c>
      <c r="C447" s="173" t="s">
        <v>111</v>
      </c>
      <c r="D447" s="174">
        <v>734</v>
      </c>
      <c r="E447" s="174">
        <v>277</v>
      </c>
      <c r="F447" s="175">
        <v>0.37738419618528601</v>
      </c>
      <c r="G447" s="174">
        <v>4</v>
      </c>
      <c r="H447" s="175">
        <v>1.4440433212996401E-2</v>
      </c>
      <c r="I447" s="175">
        <v>5.4495912806539499E-3</v>
      </c>
      <c r="J447" s="176" t="s">
        <v>23</v>
      </c>
    </row>
    <row r="448" spans="1:10" x14ac:dyDescent="0.35">
      <c r="A448" s="172">
        <v>45771</v>
      </c>
      <c r="B448" s="173" t="s">
        <v>365</v>
      </c>
      <c r="C448" s="173" t="s">
        <v>91</v>
      </c>
      <c r="D448" s="174">
        <v>14650</v>
      </c>
      <c r="E448" s="174">
        <v>5199</v>
      </c>
      <c r="F448" s="175">
        <v>0.35488054607508501</v>
      </c>
      <c r="G448" s="174">
        <v>95</v>
      </c>
      <c r="H448" s="175">
        <v>1.82727447586074E-2</v>
      </c>
      <c r="I448" s="175">
        <v>6.4846416382252602E-3</v>
      </c>
      <c r="J448" s="176" t="s">
        <v>23</v>
      </c>
    </row>
    <row r="449" spans="1:10" x14ac:dyDescent="0.35">
      <c r="A449" s="38">
        <v>45772</v>
      </c>
      <c r="B449" s="31" t="s">
        <v>369</v>
      </c>
      <c r="C449" s="31" t="s">
        <v>7</v>
      </c>
      <c r="D449" s="32">
        <v>4891895</v>
      </c>
      <c r="E449" s="32">
        <v>1498544</v>
      </c>
      <c r="F449" s="33">
        <v>0.30633200426419599</v>
      </c>
      <c r="G449" s="32">
        <v>14473</v>
      </c>
      <c r="H449" s="33">
        <v>9.6580414055243008E-3</v>
      </c>
      <c r="I449" s="33">
        <v>2.9585671810208498E-3</v>
      </c>
      <c r="J449" s="85" t="s">
        <v>23</v>
      </c>
    </row>
    <row r="450" spans="1:10" x14ac:dyDescent="0.35">
      <c r="A450" s="38">
        <v>45772</v>
      </c>
      <c r="B450" s="31" t="s">
        <v>369</v>
      </c>
      <c r="C450" s="31" t="s">
        <v>8</v>
      </c>
      <c r="D450" s="32">
        <v>314157</v>
      </c>
      <c r="E450" s="32">
        <v>109501</v>
      </c>
      <c r="F450" s="33">
        <v>0.348555021852131</v>
      </c>
      <c r="G450" s="32">
        <v>1376</v>
      </c>
      <c r="H450" s="33">
        <v>1.2566095286801001E-2</v>
      </c>
      <c r="I450" s="33">
        <v>4.3799756172868999E-3</v>
      </c>
      <c r="J450" s="85" t="s">
        <v>23</v>
      </c>
    </row>
    <row r="451" spans="1:10" x14ac:dyDescent="0.35">
      <c r="A451" s="38">
        <v>45774</v>
      </c>
      <c r="B451" s="31" t="s">
        <v>370</v>
      </c>
      <c r="C451" s="31" t="s">
        <v>7</v>
      </c>
      <c r="D451" s="32">
        <v>6317953</v>
      </c>
      <c r="E451" s="32">
        <v>2334023</v>
      </c>
      <c r="F451" s="33">
        <v>0.36942709133797003</v>
      </c>
      <c r="G451" s="32">
        <v>48019</v>
      </c>
      <c r="H451" s="33">
        <v>2.0573490492595801E-2</v>
      </c>
      <c r="I451" s="33">
        <v>7.6004047513490497E-3</v>
      </c>
      <c r="J451" s="85" t="s">
        <v>101</v>
      </c>
    </row>
    <row r="452" spans="1:10" x14ac:dyDescent="0.35">
      <c r="A452" s="38">
        <v>45774</v>
      </c>
      <c r="B452" s="31" t="s">
        <v>370</v>
      </c>
      <c r="C452" s="31" t="s">
        <v>8</v>
      </c>
      <c r="D452" s="32">
        <v>403588</v>
      </c>
      <c r="E452" s="32">
        <v>147033</v>
      </c>
      <c r="F452" s="33">
        <v>0.36431459805544297</v>
      </c>
      <c r="G452" s="32">
        <v>4389</v>
      </c>
      <c r="H452" s="33">
        <v>2.9850441737569101E-2</v>
      </c>
      <c r="I452" s="33">
        <v>1.08749516833999E-2</v>
      </c>
      <c r="J452" s="85" t="s">
        <v>101</v>
      </c>
    </row>
    <row r="453" spans="1:10" x14ac:dyDescent="0.35">
      <c r="A453" s="38">
        <v>45775</v>
      </c>
      <c r="B453" s="31" t="s">
        <v>371</v>
      </c>
      <c r="C453" s="31" t="s">
        <v>7</v>
      </c>
      <c r="D453" s="32">
        <v>935434</v>
      </c>
      <c r="E453" s="32">
        <v>402090</v>
      </c>
      <c r="F453" s="33">
        <v>0.429843259919994</v>
      </c>
      <c r="G453" s="32">
        <v>4476</v>
      </c>
      <c r="H453" s="33">
        <v>1.11318361560845E-2</v>
      </c>
      <c r="I453" s="33">
        <v>4.7849447422265998E-3</v>
      </c>
      <c r="J453" s="85" t="s">
        <v>23</v>
      </c>
    </row>
    <row r="454" spans="1:10" x14ac:dyDescent="0.35">
      <c r="A454" s="38">
        <v>45775</v>
      </c>
      <c r="B454" s="31" t="s">
        <v>371</v>
      </c>
      <c r="C454" s="31" t="s">
        <v>8</v>
      </c>
      <c r="D454" s="32">
        <v>56188</v>
      </c>
      <c r="E454" s="32">
        <v>25460</v>
      </c>
      <c r="F454" s="33">
        <v>0.45312166298853801</v>
      </c>
      <c r="G454" s="32">
        <v>420</v>
      </c>
      <c r="H454" s="33">
        <v>1.6496465043205E-2</v>
      </c>
      <c r="I454" s="33">
        <v>7.4749056738093499E-3</v>
      </c>
      <c r="J454" s="85" t="s">
        <v>23</v>
      </c>
    </row>
    <row r="455" spans="1:10" x14ac:dyDescent="0.35">
      <c r="A455" s="38">
        <v>45775</v>
      </c>
      <c r="B455" s="31" t="s">
        <v>372</v>
      </c>
      <c r="C455" s="31" t="s">
        <v>7</v>
      </c>
      <c r="D455" s="32">
        <v>4396</v>
      </c>
      <c r="E455" s="32">
        <v>1611</v>
      </c>
      <c r="F455" s="33">
        <v>0.36646951774340297</v>
      </c>
      <c r="G455" s="32">
        <v>97</v>
      </c>
      <c r="H455" s="33">
        <v>6.02110490378647E-2</v>
      </c>
      <c r="I455" s="33">
        <v>2.2065514103730699E-2</v>
      </c>
      <c r="J455" s="85" t="s">
        <v>24</v>
      </c>
    </row>
    <row r="456" spans="1:10" x14ac:dyDescent="0.35">
      <c r="A456" s="38">
        <v>45775</v>
      </c>
      <c r="B456" s="31" t="s">
        <v>373</v>
      </c>
      <c r="C456" s="31" t="s">
        <v>7</v>
      </c>
      <c r="D456" s="32">
        <v>2958</v>
      </c>
      <c r="E456" s="32">
        <v>1457</v>
      </c>
      <c r="F456" s="33">
        <v>0.492562542258283</v>
      </c>
      <c r="G456" s="32">
        <v>79</v>
      </c>
      <c r="H456" s="33">
        <v>5.42210020590254E-2</v>
      </c>
      <c r="I456" s="33">
        <v>2.67072346179851E-2</v>
      </c>
      <c r="J456" s="85" t="s">
        <v>24</v>
      </c>
    </row>
    <row r="457" spans="1:10" x14ac:dyDescent="0.35">
      <c r="A457" s="38">
        <v>45775</v>
      </c>
      <c r="B457" s="31" t="s">
        <v>373</v>
      </c>
      <c r="C457" s="31" t="s">
        <v>8</v>
      </c>
      <c r="D457" s="32">
        <v>603</v>
      </c>
      <c r="E457" s="32">
        <v>280</v>
      </c>
      <c r="F457" s="33">
        <v>0.46434494195688197</v>
      </c>
      <c r="G457" s="32">
        <v>17</v>
      </c>
      <c r="H457" s="33">
        <v>6.07142857142857E-2</v>
      </c>
      <c r="I457" s="33">
        <v>2.81923714759536E-2</v>
      </c>
      <c r="J457" s="85" t="s">
        <v>24</v>
      </c>
    </row>
    <row r="458" spans="1:10" x14ac:dyDescent="0.35">
      <c r="A458" s="38">
        <v>45776</v>
      </c>
      <c r="B458" s="31" t="s">
        <v>374</v>
      </c>
      <c r="C458" s="31" t="s">
        <v>7</v>
      </c>
      <c r="D458" s="32">
        <v>621340</v>
      </c>
      <c r="E458" s="32">
        <v>201950</v>
      </c>
      <c r="F458" s="33">
        <v>0.32502333665947802</v>
      </c>
      <c r="G458" s="32">
        <v>5489</v>
      </c>
      <c r="H458" s="33">
        <v>2.7179995048279299E-2</v>
      </c>
      <c r="I458" s="33">
        <v>8.8341326809798192E-3</v>
      </c>
      <c r="J458" s="85" t="s">
        <v>23</v>
      </c>
    </row>
    <row r="459" spans="1:10" x14ac:dyDescent="0.35">
      <c r="A459" s="38">
        <v>45776</v>
      </c>
      <c r="B459" s="31" t="s">
        <v>374</v>
      </c>
      <c r="C459" s="31" t="s">
        <v>330</v>
      </c>
      <c r="D459" s="32">
        <v>206970</v>
      </c>
      <c r="E459" s="32">
        <v>73573</v>
      </c>
      <c r="F459" s="33">
        <v>0.35547663912644301</v>
      </c>
      <c r="G459" s="32">
        <v>2331</v>
      </c>
      <c r="H459" s="33">
        <v>3.1682818425237499E-2</v>
      </c>
      <c r="I459" s="33">
        <v>1.12625018118568E-2</v>
      </c>
      <c r="J459" s="85" t="s">
        <v>23</v>
      </c>
    </row>
    <row r="460" spans="1:10" x14ac:dyDescent="0.35">
      <c r="A460" s="38">
        <v>45776</v>
      </c>
      <c r="B460" s="31" t="s">
        <v>374</v>
      </c>
      <c r="C460" s="31" t="s">
        <v>331</v>
      </c>
      <c r="D460" s="32">
        <v>191818</v>
      </c>
      <c r="E460" s="32">
        <v>61626</v>
      </c>
      <c r="F460" s="33">
        <v>0.32127329030643598</v>
      </c>
      <c r="G460" s="32">
        <v>1238</v>
      </c>
      <c r="H460" s="33">
        <v>2.0088923506312299E-2</v>
      </c>
      <c r="I460" s="33">
        <v>6.4540345535872602E-3</v>
      </c>
      <c r="J460" s="85" t="s">
        <v>23</v>
      </c>
    </row>
    <row r="461" spans="1:10" x14ac:dyDescent="0.35">
      <c r="A461" s="38">
        <v>45776</v>
      </c>
      <c r="B461" s="31" t="s">
        <v>374</v>
      </c>
      <c r="C461" s="31" t="s">
        <v>332</v>
      </c>
      <c r="D461" s="32">
        <v>205902</v>
      </c>
      <c r="E461" s="32">
        <v>73620</v>
      </c>
      <c r="F461" s="33">
        <v>0.35754873677769</v>
      </c>
      <c r="G461" s="32">
        <v>2192</v>
      </c>
      <c r="H461" s="33">
        <v>2.97745177940777E-2</v>
      </c>
      <c r="I461" s="33">
        <v>1.06458412254373E-2</v>
      </c>
      <c r="J461" s="85" t="s">
        <v>23</v>
      </c>
    </row>
    <row r="462" spans="1:10" x14ac:dyDescent="0.35">
      <c r="A462" s="38">
        <v>45776</v>
      </c>
      <c r="B462" s="31" t="s">
        <v>374</v>
      </c>
      <c r="C462" s="31" t="s">
        <v>333</v>
      </c>
      <c r="D462" s="32">
        <v>192035</v>
      </c>
      <c r="E462" s="32">
        <v>61493</v>
      </c>
      <c r="F462" s="33">
        <v>0.32021766865415202</v>
      </c>
      <c r="G462" s="32">
        <v>1290</v>
      </c>
      <c r="H462" s="33">
        <v>2.0977997495649901E-2</v>
      </c>
      <c r="I462" s="33">
        <v>6.7175254510896502E-3</v>
      </c>
      <c r="J462" s="85" t="s">
        <v>23</v>
      </c>
    </row>
    <row r="463" spans="1:10" x14ac:dyDescent="0.35">
      <c r="A463" s="38">
        <v>45776</v>
      </c>
      <c r="B463" s="31" t="s">
        <v>374</v>
      </c>
      <c r="C463" s="31" t="s">
        <v>8</v>
      </c>
      <c r="D463" s="32">
        <v>38937</v>
      </c>
      <c r="E463" s="32">
        <v>12254</v>
      </c>
      <c r="F463" s="33">
        <v>0.31471351156997202</v>
      </c>
      <c r="G463" s="32">
        <v>405</v>
      </c>
      <c r="H463" s="33">
        <v>3.30504325118329E-2</v>
      </c>
      <c r="I463" s="33">
        <v>1.04014176747053E-2</v>
      </c>
      <c r="J463" s="85" t="s">
        <v>23</v>
      </c>
    </row>
    <row r="464" spans="1:10" x14ac:dyDescent="0.35">
      <c r="A464" s="38">
        <v>45777</v>
      </c>
      <c r="B464" s="31" t="s">
        <v>375</v>
      </c>
      <c r="C464" s="31" t="s">
        <v>7</v>
      </c>
      <c r="D464" s="32">
        <v>2300</v>
      </c>
      <c r="E464" s="32">
        <v>1390</v>
      </c>
      <c r="F464" s="33">
        <v>0.60434782608695603</v>
      </c>
      <c r="G464" s="32">
        <v>139</v>
      </c>
      <c r="H464" s="33">
        <v>0.1</v>
      </c>
      <c r="I464" s="33">
        <v>6.04347826086956E-2</v>
      </c>
      <c r="J464" s="85" t="s">
        <v>23</v>
      </c>
    </row>
    <row r="465" spans="1:10" x14ac:dyDescent="0.35">
      <c r="A465" s="38">
        <v>45777</v>
      </c>
      <c r="B465" s="31" t="s">
        <v>375</v>
      </c>
      <c r="C465" s="31" t="s">
        <v>8</v>
      </c>
      <c r="D465" s="32">
        <v>329</v>
      </c>
      <c r="E465" s="32">
        <v>225</v>
      </c>
      <c r="F465" s="33">
        <v>0.68389057750759896</v>
      </c>
      <c r="G465" s="32">
        <v>26</v>
      </c>
      <c r="H465" s="33">
        <v>0.11555555555555599</v>
      </c>
      <c r="I465" s="33">
        <v>7.9027355623100301E-2</v>
      </c>
      <c r="J465" s="85" t="s">
        <v>23</v>
      </c>
    </row>
    <row r="466" spans="1:10" x14ac:dyDescent="0.35">
      <c r="A466" s="38">
        <v>45777</v>
      </c>
      <c r="B466" s="31" t="s">
        <v>376</v>
      </c>
      <c r="C466" s="31" t="s">
        <v>110</v>
      </c>
      <c r="D466" s="32">
        <v>47226</v>
      </c>
      <c r="E466" s="32">
        <v>19220</v>
      </c>
      <c r="F466" s="33">
        <v>0.40697920636937301</v>
      </c>
      <c r="G466" s="32">
        <v>104</v>
      </c>
      <c r="H466" s="33">
        <v>5.4110301768990603E-3</v>
      </c>
      <c r="I466" s="33">
        <v>2.20217676703511E-3</v>
      </c>
      <c r="J466" s="85" t="s">
        <v>23</v>
      </c>
    </row>
    <row r="467" spans="1:10" x14ac:dyDescent="0.35">
      <c r="A467" s="38">
        <v>45777</v>
      </c>
      <c r="B467" s="31" t="s">
        <v>376</v>
      </c>
      <c r="C467" s="31" t="s">
        <v>90</v>
      </c>
      <c r="D467" s="32">
        <v>900121</v>
      </c>
      <c r="E467" s="32">
        <v>367724</v>
      </c>
      <c r="F467" s="33">
        <v>0.40852729799660298</v>
      </c>
      <c r="G467" s="32">
        <v>1772</v>
      </c>
      <c r="H467" s="33">
        <v>4.8188315149405503E-3</v>
      </c>
      <c r="I467" s="33">
        <v>1.9686242182995399E-3</v>
      </c>
      <c r="J467" s="85" t="s">
        <v>23</v>
      </c>
    </row>
    <row r="468" spans="1:10" x14ac:dyDescent="0.35">
      <c r="A468" s="38">
        <v>45777</v>
      </c>
      <c r="B468" s="31" t="s">
        <v>376</v>
      </c>
      <c r="C468" s="31" t="s">
        <v>111</v>
      </c>
      <c r="D468" s="32">
        <v>3112</v>
      </c>
      <c r="E468" s="32">
        <v>1361</v>
      </c>
      <c r="F468" s="33">
        <v>0.43733933161953698</v>
      </c>
      <c r="G468" s="32">
        <v>4</v>
      </c>
      <c r="H468" s="33">
        <v>2.9390154298310099E-3</v>
      </c>
      <c r="I468" s="33">
        <v>1.2853470437018E-3</v>
      </c>
      <c r="J468" s="85" t="s">
        <v>23</v>
      </c>
    </row>
    <row r="469" spans="1:10" x14ac:dyDescent="0.35">
      <c r="A469" s="38">
        <v>45777</v>
      </c>
      <c r="B469" s="31" t="s">
        <v>376</v>
      </c>
      <c r="C469" s="31" t="s">
        <v>91</v>
      </c>
      <c r="D469" s="32">
        <v>57095</v>
      </c>
      <c r="E469" s="32">
        <v>24719</v>
      </c>
      <c r="F469" s="33">
        <v>0.43294509151414301</v>
      </c>
      <c r="G469" s="32">
        <v>167</v>
      </c>
      <c r="H469" s="33">
        <v>6.7559367288320699E-3</v>
      </c>
      <c r="I469" s="33">
        <v>2.9249496453279599E-3</v>
      </c>
      <c r="J469" s="85" t="s">
        <v>23</v>
      </c>
    </row>
    <row r="470" spans="1:10" x14ac:dyDescent="0.35">
      <c r="A470" s="38">
        <v>45778</v>
      </c>
      <c r="B470" s="31" t="s">
        <v>363</v>
      </c>
      <c r="C470" s="31" t="s">
        <v>17</v>
      </c>
      <c r="D470" s="32">
        <v>17498</v>
      </c>
      <c r="E470" s="32">
        <v>6471</v>
      </c>
      <c r="F470" s="34">
        <v>0.36980000000000002</v>
      </c>
      <c r="G470" s="31">
        <v>24</v>
      </c>
      <c r="H470" s="34">
        <v>3.7000000000000002E-3</v>
      </c>
      <c r="I470" s="34">
        <v>1.4E-3</v>
      </c>
      <c r="J470" s="85" t="s">
        <v>23</v>
      </c>
    </row>
    <row r="471" spans="1:10" x14ac:dyDescent="0.35">
      <c r="A471" s="38">
        <v>45778</v>
      </c>
      <c r="B471" s="31" t="s">
        <v>364</v>
      </c>
      <c r="C471" s="31" t="s">
        <v>18</v>
      </c>
      <c r="D471" s="31">
        <v>436</v>
      </c>
      <c r="E471" s="31">
        <v>135</v>
      </c>
      <c r="F471" s="34">
        <v>0.30959999999999999</v>
      </c>
      <c r="G471" s="31">
        <v>1</v>
      </c>
      <c r="H471" s="34">
        <v>7.4000000000000003E-3</v>
      </c>
      <c r="I471" s="34">
        <v>2.3E-3</v>
      </c>
      <c r="J471" s="85" t="s">
        <v>23</v>
      </c>
    </row>
    <row r="472" spans="1:10" x14ac:dyDescent="0.35">
      <c r="A472" s="38">
        <v>45778</v>
      </c>
      <c r="B472" s="31" t="s">
        <v>377</v>
      </c>
      <c r="C472" s="31" t="s">
        <v>7</v>
      </c>
      <c r="D472" s="32">
        <v>82426</v>
      </c>
      <c r="E472" s="32">
        <v>23608</v>
      </c>
      <c r="F472" s="33">
        <v>0.286414480867687</v>
      </c>
      <c r="G472" s="32">
        <v>297</v>
      </c>
      <c r="H472" s="33">
        <v>1.2580481192816E-2</v>
      </c>
      <c r="I472" s="33">
        <v>3.6032319899060999E-3</v>
      </c>
      <c r="J472" s="85" t="s">
        <v>24</v>
      </c>
    </row>
    <row r="473" spans="1:10" x14ac:dyDescent="0.35">
      <c r="A473" s="38">
        <v>45778</v>
      </c>
      <c r="B473" s="31" t="s">
        <v>378</v>
      </c>
      <c r="C473" s="31" t="s">
        <v>110</v>
      </c>
      <c r="D473" s="32">
        <v>8403</v>
      </c>
      <c r="E473" s="32">
        <v>3425</v>
      </c>
      <c r="F473" s="33">
        <v>0.40759252647863897</v>
      </c>
      <c r="G473" s="32">
        <v>41</v>
      </c>
      <c r="H473" s="33">
        <v>1.1970802919708E-2</v>
      </c>
      <c r="I473" s="33">
        <v>4.8792098060216598E-3</v>
      </c>
      <c r="J473" s="85" t="s">
        <v>23</v>
      </c>
    </row>
    <row r="474" spans="1:10" x14ac:dyDescent="0.35">
      <c r="A474" s="38">
        <v>45778</v>
      </c>
      <c r="B474" s="31" t="s">
        <v>378</v>
      </c>
      <c r="C474" s="31" t="s">
        <v>90</v>
      </c>
      <c r="D474" s="32">
        <v>159027</v>
      </c>
      <c r="E474" s="32">
        <v>62878</v>
      </c>
      <c r="F474" s="33">
        <v>0.39539197746294702</v>
      </c>
      <c r="G474" s="32">
        <v>496</v>
      </c>
      <c r="H474" s="33">
        <v>7.8882916123286396E-3</v>
      </c>
      <c r="I474" s="33">
        <v>3.11896721940299E-3</v>
      </c>
      <c r="J474" s="85" t="s">
        <v>23</v>
      </c>
    </row>
    <row r="475" spans="1:10" x14ac:dyDescent="0.35">
      <c r="A475" s="38">
        <v>45778</v>
      </c>
      <c r="B475" s="31" t="s">
        <v>378</v>
      </c>
      <c r="C475" s="31" t="s">
        <v>111</v>
      </c>
      <c r="D475" s="32">
        <v>474</v>
      </c>
      <c r="E475" s="32">
        <v>192</v>
      </c>
      <c r="F475" s="33">
        <v>0.405063291139241</v>
      </c>
      <c r="G475" s="32">
        <v>2</v>
      </c>
      <c r="H475" s="33">
        <v>1.0416666666666701E-2</v>
      </c>
      <c r="I475" s="33">
        <v>4.2194092827004199E-3</v>
      </c>
      <c r="J475" s="85" t="s">
        <v>23</v>
      </c>
    </row>
    <row r="476" spans="1:10" x14ac:dyDescent="0.35">
      <c r="A476" s="38">
        <v>45778</v>
      </c>
      <c r="B476" s="31" t="s">
        <v>378</v>
      </c>
      <c r="C476" s="31" t="s">
        <v>91</v>
      </c>
      <c r="D476" s="32">
        <v>9091</v>
      </c>
      <c r="E476" s="32">
        <v>3549</v>
      </c>
      <c r="F476" s="33">
        <v>0.39038609613903902</v>
      </c>
      <c r="G476" s="32">
        <v>30</v>
      </c>
      <c r="H476" s="33">
        <v>8.4530853761623E-3</v>
      </c>
      <c r="I476" s="33">
        <v>3.2999670003299999E-3</v>
      </c>
      <c r="J476" s="85" t="s">
        <v>23</v>
      </c>
    </row>
    <row r="477" spans="1:10" x14ac:dyDescent="0.35">
      <c r="A477" s="38">
        <v>45778</v>
      </c>
      <c r="B477" s="31" t="s">
        <v>379</v>
      </c>
      <c r="C477" s="31" t="s">
        <v>85</v>
      </c>
      <c r="D477" s="32">
        <v>5547</v>
      </c>
      <c r="E477" s="32">
        <v>1547</v>
      </c>
      <c r="F477" s="33">
        <v>0.278889489814314</v>
      </c>
      <c r="G477" s="32">
        <v>96</v>
      </c>
      <c r="H477" s="33">
        <v>6.2055591467356203E-2</v>
      </c>
      <c r="I477" s="33">
        <v>1.7306652244456499E-2</v>
      </c>
      <c r="J477" s="85" t="s">
        <v>25</v>
      </c>
    </row>
    <row r="478" spans="1:10" x14ac:dyDescent="0.35">
      <c r="A478" s="38">
        <v>45778</v>
      </c>
      <c r="B478" s="31" t="s">
        <v>380</v>
      </c>
      <c r="C478" s="31" t="s">
        <v>87</v>
      </c>
      <c r="D478" s="32">
        <v>581</v>
      </c>
      <c r="E478" s="32">
        <v>159</v>
      </c>
      <c r="F478" s="33">
        <v>0.27366609294320099</v>
      </c>
      <c r="G478" s="32">
        <v>10</v>
      </c>
      <c r="H478" s="33">
        <v>6.2893081761006303E-2</v>
      </c>
      <c r="I478" s="33">
        <v>1.7211703958691899E-2</v>
      </c>
      <c r="J478" s="85" t="s">
        <v>25</v>
      </c>
    </row>
    <row r="479" spans="1:10" x14ac:dyDescent="0.35">
      <c r="A479" s="38">
        <v>45779</v>
      </c>
      <c r="B479" s="31" t="s">
        <v>383</v>
      </c>
      <c r="C479" s="31" t="s">
        <v>7</v>
      </c>
      <c r="D479" s="32">
        <v>3240075</v>
      </c>
      <c r="E479" s="32">
        <v>961598</v>
      </c>
      <c r="F479" s="33">
        <v>0.29678263620440898</v>
      </c>
      <c r="G479" s="32">
        <v>9143</v>
      </c>
      <c r="H479" s="33">
        <v>9.5081312565126006E-3</v>
      </c>
      <c r="I479" s="33">
        <v>2.8218482596853501E-3</v>
      </c>
      <c r="J479" s="85" t="s">
        <v>23</v>
      </c>
    </row>
    <row r="480" spans="1:10" x14ac:dyDescent="0.35">
      <c r="A480" s="38">
        <v>45779</v>
      </c>
      <c r="B480" s="31" t="s">
        <v>383</v>
      </c>
      <c r="C480" s="31" t="s">
        <v>330</v>
      </c>
      <c r="D480" s="32">
        <v>147097</v>
      </c>
      <c r="E480" s="32">
        <v>52430</v>
      </c>
      <c r="F480" s="33">
        <v>0.356431470390287</v>
      </c>
      <c r="G480" s="32">
        <v>562</v>
      </c>
      <c r="H480" s="33">
        <v>1.07190539767309E-2</v>
      </c>
      <c r="I480" s="33">
        <v>3.82060817011904E-3</v>
      </c>
      <c r="J480" s="85" t="s">
        <v>23</v>
      </c>
    </row>
    <row r="481" spans="1:10" x14ac:dyDescent="0.35">
      <c r="A481" s="38">
        <v>45779</v>
      </c>
      <c r="B481" s="31" t="s">
        <v>383</v>
      </c>
      <c r="C481" s="31" t="s">
        <v>331</v>
      </c>
      <c r="D481" s="32">
        <v>677255</v>
      </c>
      <c r="E481" s="32">
        <v>210171</v>
      </c>
      <c r="F481" s="33">
        <v>0.31032771998730202</v>
      </c>
      <c r="G481" s="32">
        <v>1912</v>
      </c>
      <c r="H481" s="33">
        <v>9.0973540593136098E-3</v>
      </c>
      <c r="I481" s="33">
        <v>2.8231611431440199E-3</v>
      </c>
      <c r="J481" s="85" t="s">
        <v>23</v>
      </c>
    </row>
    <row r="482" spans="1:10" x14ac:dyDescent="0.35">
      <c r="A482" s="38">
        <v>45779</v>
      </c>
      <c r="B482" s="31" t="s">
        <v>383</v>
      </c>
      <c r="C482" s="31" t="s">
        <v>332</v>
      </c>
      <c r="D482" s="32">
        <v>147445</v>
      </c>
      <c r="E482" s="32">
        <v>53064</v>
      </c>
      <c r="F482" s="33">
        <v>0.35989012852250002</v>
      </c>
      <c r="G482" s="32">
        <v>572</v>
      </c>
      <c r="H482" s="33">
        <v>1.07794361525705E-2</v>
      </c>
      <c r="I482" s="33">
        <v>3.8794126623486699E-3</v>
      </c>
      <c r="J482" s="85" t="s">
        <v>23</v>
      </c>
    </row>
    <row r="483" spans="1:10" x14ac:dyDescent="0.35">
      <c r="A483" s="38">
        <v>45779</v>
      </c>
      <c r="B483" s="31" t="s">
        <v>383</v>
      </c>
      <c r="C483" s="31" t="s">
        <v>333</v>
      </c>
      <c r="D483" s="32">
        <v>677146</v>
      </c>
      <c r="E483" s="32">
        <v>212682</v>
      </c>
      <c r="F483" s="33">
        <v>0.31408588398956799</v>
      </c>
      <c r="G483" s="32">
        <v>1958</v>
      </c>
      <c r="H483" s="33">
        <v>9.2062327794547698E-3</v>
      </c>
      <c r="I483" s="33">
        <v>2.8915477607487899E-3</v>
      </c>
      <c r="J483" s="85" t="s">
        <v>23</v>
      </c>
    </row>
    <row r="484" spans="1:10" x14ac:dyDescent="0.35">
      <c r="A484" s="38">
        <v>45779</v>
      </c>
      <c r="B484" s="31" t="s">
        <v>383</v>
      </c>
      <c r="C484" s="31" t="s">
        <v>8</v>
      </c>
      <c r="D484" s="32">
        <v>223761</v>
      </c>
      <c r="E484" s="32">
        <v>66842</v>
      </c>
      <c r="F484" s="33">
        <v>0.29872050982968401</v>
      </c>
      <c r="G484" s="32">
        <v>639</v>
      </c>
      <c r="H484" s="33">
        <v>9.5598575745788599E-3</v>
      </c>
      <c r="I484" s="33">
        <v>2.8557255285773702E-3</v>
      </c>
      <c r="J484" s="85" t="s">
        <v>23</v>
      </c>
    </row>
    <row r="485" spans="1:10" x14ac:dyDescent="0.35">
      <c r="A485" s="38">
        <v>45779</v>
      </c>
      <c r="B485" s="31" t="s">
        <v>386</v>
      </c>
      <c r="C485" s="31" t="s">
        <v>7</v>
      </c>
      <c r="D485" s="32">
        <v>303363</v>
      </c>
      <c r="E485" s="32">
        <v>115227</v>
      </c>
      <c r="F485" s="33">
        <v>0.37983208235678101</v>
      </c>
      <c r="G485" s="32">
        <v>1267</v>
      </c>
      <c r="H485" s="33">
        <v>1.0995686774801E-2</v>
      </c>
      <c r="I485" s="33">
        <v>4.1765146046155903E-3</v>
      </c>
      <c r="J485" s="85" t="s">
        <v>24</v>
      </c>
    </row>
    <row r="486" spans="1:10" x14ac:dyDescent="0.35">
      <c r="A486" s="38">
        <v>45779</v>
      </c>
      <c r="B486" s="31" t="s">
        <v>386</v>
      </c>
      <c r="C486" s="31" t="s">
        <v>8</v>
      </c>
      <c r="D486" s="32">
        <v>1250</v>
      </c>
      <c r="E486" s="32">
        <v>529</v>
      </c>
      <c r="F486" s="33">
        <v>0.42320000000000002</v>
      </c>
      <c r="G486" s="32">
        <v>11</v>
      </c>
      <c r="H486" s="33">
        <v>2.0793950850661599E-2</v>
      </c>
      <c r="I486" s="33">
        <v>8.8000000000000005E-3</v>
      </c>
      <c r="J486" s="85" t="s">
        <v>24</v>
      </c>
    </row>
    <row r="487" spans="1:10" x14ac:dyDescent="0.35">
      <c r="A487" s="38">
        <v>45779</v>
      </c>
      <c r="B487" s="31" t="s">
        <v>388</v>
      </c>
      <c r="C487" s="31" t="s">
        <v>7</v>
      </c>
      <c r="D487" s="32">
        <v>1313071</v>
      </c>
      <c r="E487" s="32">
        <v>486706</v>
      </c>
      <c r="F487" s="33">
        <v>0.37066236326900798</v>
      </c>
      <c r="G487" s="32">
        <v>4259</v>
      </c>
      <c r="H487" s="33">
        <v>8.7506626176788397E-3</v>
      </c>
      <c r="I487" s="33">
        <v>3.2435412860386099E-3</v>
      </c>
      <c r="J487" s="85" t="s">
        <v>25</v>
      </c>
    </row>
    <row r="488" spans="1:10" x14ac:dyDescent="0.35">
      <c r="A488" s="38">
        <v>45779</v>
      </c>
      <c r="B488" s="31" t="s">
        <v>388</v>
      </c>
      <c r="C488" s="31" t="s">
        <v>8</v>
      </c>
      <c r="D488" s="32">
        <v>94765</v>
      </c>
      <c r="E488" s="32">
        <v>34236</v>
      </c>
      <c r="F488" s="33">
        <v>0.36127262174853603</v>
      </c>
      <c r="G488" s="32">
        <v>585</v>
      </c>
      <c r="H488" s="33">
        <v>1.7087276550998901E-2</v>
      </c>
      <c r="I488" s="33">
        <v>6.1731651981216697E-3</v>
      </c>
      <c r="J488" s="85" t="s">
        <v>25</v>
      </c>
    </row>
    <row r="489" spans="1:10" x14ac:dyDescent="0.35">
      <c r="A489" s="38">
        <v>45780</v>
      </c>
      <c r="B489" s="31" t="s">
        <v>385</v>
      </c>
      <c r="C489" s="31" t="s">
        <v>7</v>
      </c>
      <c r="D489" s="32">
        <v>64515</v>
      </c>
      <c r="E489" s="32">
        <v>24010</v>
      </c>
      <c r="F489" s="33">
        <v>0.37216151282647397</v>
      </c>
      <c r="G489" s="32">
        <v>1830</v>
      </c>
      <c r="H489" s="33">
        <v>7.6218242399000394E-2</v>
      </c>
      <c r="I489" s="33">
        <v>2.83654963961869E-2</v>
      </c>
      <c r="J489" s="85" t="s">
        <v>23</v>
      </c>
    </row>
    <row r="490" spans="1:10" x14ac:dyDescent="0.35">
      <c r="A490" s="38">
        <v>45780</v>
      </c>
      <c r="B490" s="31" t="s">
        <v>385</v>
      </c>
      <c r="C490" s="31" t="s">
        <v>8</v>
      </c>
      <c r="D490" s="32">
        <v>7100</v>
      </c>
      <c r="E490" s="32">
        <v>3099</v>
      </c>
      <c r="F490" s="33">
        <v>0.43647887323943702</v>
      </c>
      <c r="G490" s="32">
        <v>297</v>
      </c>
      <c r="H490" s="33">
        <v>9.5837366892546003E-2</v>
      </c>
      <c r="I490" s="33">
        <v>4.1830985915493002E-2</v>
      </c>
      <c r="J490" s="85" t="s">
        <v>23</v>
      </c>
    </row>
    <row r="491" spans="1:10" x14ac:dyDescent="0.35">
      <c r="A491" s="38">
        <v>45782</v>
      </c>
      <c r="B491" s="31" t="s">
        <v>390</v>
      </c>
      <c r="C491" s="31" t="s">
        <v>7</v>
      </c>
      <c r="D491" s="32">
        <v>1957734</v>
      </c>
      <c r="E491" s="32">
        <v>796960</v>
      </c>
      <c r="F491" s="33">
        <v>0.40708288255707897</v>
      </c>
      <c r="G491" s="32">
        <v>9566</v>
      </c>
      <c r="H491" s="33">
        <v>1.20031118249348E-2</v>
      </c>
      <c r="I491" s="33">
        <v>4.8862613613494003E-3</v>
      </c>
      <c r="J491" s="85" t="s">
        <v>23</v>
      </c>
    </row>
    <row r="492" spans="1:10" x14ac:dyDescent="0.35">
      <c r="A492" s="38">
        <v>45782</v>
      </c>
      <c r="B492" s="31" t="s">
        <v>390</v>
      </c>
      <c r="C492" s="31" t="s">
        <v>8</v>
      </c>
      <c r="D492" s="32">
        <v>91080</v>
      </c>
      <c r="E492" s="32">
        <v>38571</v>
      </c>
      <c r="F492" s="33">
        <v>0.42348484848484802</v>
      </c>
      <c r="G492" s="32">
        <v>877</v>
      </c>
      <c r="H492" s="33">
        <v>2.2737289673589001E-2</v>
      </c>
      <c r="I492" s="33">
        <v>9.6288976723759301E-3</v>
      </c>
      <c r="J492" s="85" t="s">
        <v>23</v>
      </c>
    </row>
    <row r="493" spans="1:10" x14ac:dyDescent="0.35">
      <c r="A493" s="38">
        <v>45783</v>
      </c>
      <c r="B493" s="31" t="s">
        <v>384</v>
      </c>
      <c r="C493" s="31" t="s">
        <v>7</v>
      </c>
      <c r="D493" s="32">
        <v>1424176</v>
      </c>
      <c r="E493" s="32">
        <v>468410</v>
      </c>
      <c r="F493" s="33">
        <v>0.32889895630877097</v>
      </c>
      <c r="G493" s="32">
        <v>6227</v>
      </c>
      <c r="H493" s="33">
        <v>1.3293909182126799E-2</v>
      </c>
      <c r="I493" s="33">
        <v>4.3723528552650796E-3</v>
      </c>
      <c r="J493" s="85" t="s">
        <v>23</v>
      </c>
    </row>
    <row r="494" spans="1:10" x14ac:dyDescent="0.35">
      <c r="A494" s="38">
        <v>45783</v>
      </c>
      <c r="B494" s="31" t="s">
        <v>384</v>
      </c>
      <c r="C494" s="31" t="s">
        <v>8</v>
      </c>
      <c r="D494" s="32">
        <v>89175</v>
      </c>
      <c r="E494" s="32">
        <v>30291</v>
      </c>
      <c r="F494" s="33">
        <v>0.339680403700589</v>
      </c>
      <c r="G494" s="32">
        <v>587</v>
      </c>
      <c r="H494" s="33">
        <v>1.9378693341256501E-2</v>
      </c>
      <c r="I494" s="33">
        <v>6.58256237734791E-3</v>
      </c>
      <c r="J494" s="85" t="s">
        <v>23</v>
      </c>
    </row>
    <row r="495" spans="1:10" x14ac:dyDescent="0.35">
      <c r="A495" s="38">
        <v>45783</v>
      </c>
      <c r="B495" s="31" t="s">
        <v>387</v>
      </c>
      <c r="C495" s="31" t="s">
        <v>7</v>
      </c>
      <c r="D495" s="32">
        <v>138366</v>
      </c>
      <c r="E495" s="32">
        <v>54162</v>
      </c>
      <c r="F495" s="33">
        <v>0.39144009366462901</v>
      </c>
      <c r="G495" s="32">
        <v>384</v>
      </c>
      <c r="H495" s="33">
        <v>7.0898415863520498E-3</v>
      </c>
      <c r="I495" s="33">
        <v>2.7752482546290298E-3</v>
      </c>
      <c r="J495" s="85" t="s">
        <v>25</v>
      </c>
    </row>
    <row r="496" spans="1:10" x14ac:dyDescent="0.35">
      <c r="A496" s="38">
        <v>45783</v>
      </c>
      <c r="B496" s="31" t="s">
        <v>387</v>
      </c>
      <c r="C496" s="31" t="s">
        <v>8</v>
      </c>
      <c r="D496" s="32">
        <v>670</v>
      </c>
      <c r="E496" s="32">
        <v>288</v>
      </c>
      <c r="F496" s="33">
        <v>0.42985074626865699</v>
      </c>
      <c r="G496" s="32">
        <v>7</v>
      </c>
      <c r="H496" s="33">
        <v>2.4305555555555601E-2</v>
      </c>
      <c r="I496" s="33">
        <v>1.04477611940299E-2</v>
      </c>
      <c r="J496" s="85" t="s">
        <v>25</v>
      </c>
    </row>
    <row r="497" spans="1:10" x14ac:dyDescent="0.35">
      <c r="A497" s="38">
        <v>45784</v>
      </c>
      <c r="B497" s="31" t="s">
        <v>389</v>
      </c>
      <c r="C497" s="31" t="s">
        <v>7</v>
      </c>
      <c r="D497" s="32">
        <v>1206728</v>
      </c>
      <c r="E497" s="32">
        <v>481497</v>
      </c>
      <c r="F497" s="33">
        <v>0.399010381792749</v>
      </c>
      <c r="G497" s="32">
        <v>3963</v>
      </c>
      <c r="H497" s="33">
        <v>8.2305808758933105E-3</v>
      </c>
      <c r="I497" s="33">
        <v>3.2840872176662802E-3</v>
      </c>
      <c r="J497" s="85" t="s">
        <v>23</v>
      </c>
    </row>
    <row r="498" spans="1:10" x14ac:dyDescent="0.35">
      <c r="A498" s="38">
        <v>45784</v>
      </c>
      <c r="B498" s="31" t="s">
        <v>389</v>
      </c>
      <c r="C498" s="31" t="s">
        <v>8</v>
      </c>
      <c r="D498" s="32">
        <v>71569</v>
      </c>
      <c r="E498" s="32">
        <v>27520</v>
      </c>
      <c r="F498" s="33">
        <v>0.384524025765345</v>
      </c>
      <c r="G498" s="32">
        <v>285</v>
      </c>
      <c r="H498" s="33">
        <v>1.03561046511628E-2</v>
      </c>
      <c r="I498" s="33">
        <v>3.9821710517123302E-3</v>
      </c>
      <c r="J498" s="85" t="s">
        <v>23</v>
      </c>
    </row>
    <row r="499" spans="1:10" x14ac:dyDescent="0.35">
      <c r="A499" s="38">
        <v>45785</v>
      </c>
      <c r="B499" s="31" t="s">
        <v>381</v>
      </c>
      <c r="C499" s="31" t="s">
        <v>197</v>
      </c>
      <c r="D499" s="32">
        <v>244217</v>
      </c>
      <c r="E499" s="32">
        <v>82424</v>
      </c>
      <c r="F499" s="33">
        <v>0.337503122223269</v>
      </c>
      <c r="G499" s="32">
        <v>235</v>
      </c>
      <c r="H499" s="33">
        <v>2.85111132679802E-3</v>
      </c>
      <c r="I499" s="33">
        <v>9.6225897460045797E-4</v>
      </c>
      <c r="J499" s="85" t="s">
        <v>23</v>
      </c>
    </row>
    <row r="500" spans="1:10" x14ac:dyDescent="0.35">
      <c r="A500" s="38">
        <v>45785</v>
      </c>
      <c r="B500" s="31" t="s">
        <v>382</v>
      </c>
      <c r="C500" s="31" t="s">
        <v>198</v>
      </c>
      <c r="D500" s="32">
        <v>16175</v>
      </c>
      <c r="E500" s="32">
        <v>5141</v>
      </c>
      <c r="F500" s="33">
        <v>0.31783616692426597</v>
      </c>
      <c r="G500" s="32">
        <v>15</v>
      </c>
      <c r="H500" s="33">
        <v>2.9177202878817301E-3</v>
      </c>
      <c r="I500" s="33">
        <v>9.2735703245749597E-4</v>
      </c>
      <c r="J500" s="85" t="s">
        <v>23</v>
      </c>
    </row>
    <row r="501" spans="1:10" x14ac:dyDescent="0.35">
      <c r="A501" s="38">
        <v>45785</v>
      </c>
      <c r="B501" s="31" t="s">
        <v>363</v>
      </c>
      <c r="C501" s="31" t="s">
        <v>20</v>
      </c>
      <c r="D501" s="32">
        <v>6525</v>
      </c>
      <c r="E501" s="32">
        <v>2677</v>
      </c>
      <c r="F501" s="33">
        <v>0.41026819923371599</v>
      </c>
      <c r="G501" s="32">
        <v>12</v>
      </c>
      <c r="H501" s="33">
        <v>4.48262980948823E-3</v>
      </c>
      <c r="I501" s="33">
        <v>1.8390804597701101E-3</v>
      </c>
      <c r="J501" s="85" t="s">
        <v>23</v>
      </c>
    </row>
    <row r="502" spans="1:10" x14ac:dyDescent="0.35">
      <c r="A502" s="38">
        <v>45785</v>
      </c>
      <c r="B502" s="31" t="s">
        <v>364</v>
      </c>
      <c r="C502" s="31" t="s">
        <v>21</v>
      </c>
      <c r="D502" s="32">
        <v>285</v>
      </c>
      <c r="E502" s="32">
        <v>85</v>
      </c>
      <c r="F502" s="33">
        <v>0.29824561403508798</v>
      </c>
      <c r="G502" s="32">
        <v>0</v>
      </c>
      <c r="H502" s="33">
        <v>0</v>
      </c>
      <c r="I502" s="33">
        <v>0</v>
      </c>
      <c r="J502" s="85" t="s">
        <v>23</v>
      </c>
    </row>
    <row r="503" spans="1:10" x14ac:dyDescent="0.35">
      <c r="A503" s="38">
        <v>45785</v>
      </c>
      <c r="B503" s="31" t="s">
        <v>391</v>
      </c>
      <c r="C503" s="31" t="s">
        <v>7</v>
      </c>
      <c r="D503" s="32">
        <v>358451</v>
      </c>
      <c r="E503" s="32">
        <v>153965</v>
      </c>
      <c r="F503" s="33">
        <v>0.42952872219633897</v>
      </c>
      <c r="G503" s="32">
        <v>1346</v>
      </c>
      <c r="H503" s="33">
        <v>8.7422466144903097E-3</v>
      </c>
      <c r="I503" s="33">
        <v>3.7550460174472899E-3</v>
      </c>
      <c r="J503" s="85" t="s">
        <v>23</v>
      </c>
    </row>
    <row r="504" spans="1:10" x14ac:dyDescent="0.35">
      <c r="A504" s="38">
        <v>45785</v>
      </c>
      <c r="B504" s="31" t="s">
        <v>391</v>
      </c>
      <c r="C504" s="31" t="s">
        <v>8</v>
      </c>
      <c r="D504" s="32">
        <v>18736</v>
      </c>
      <c r="E504" s="32">
        <v>8113</v>
      </c>
      <c r="F504" s="33">
        <v>0.43301665243381698</v>
      </c>
      <c r="G504" s="32">
        <v>108</v>
      </c>
      <c r="H504" s="33">
        <v>1.3311968445704399E-2</v>
      </c>
      <c r="I504" s="33">
        <v>5.7643040136635404E-3</v>
      </c>
      <c r="J504" s="85" t="s">
        <v>23</v>
      </c>
    </row>
    <row r="505" spans="1:10" x14ac:dyDescent="0.35">
      <c r="A505" s="38">
        <v>45785</v>
      </c>
      <c r="B505" s="31" t="s">
        <v>392</v>
      </c>
      <c r="C505" s="31" t="s">
        <v>393</v>
      </c>
      <c r="D505" s="32">
        <v>201581</v>
      </c>
      <c r="E505" s="32">
        <v>70465</v>
      </c>
      <c r="F505" s="33">
        <v>0.349561714645726</v>
      </c>
      <c r="G505" s="32">
        <v>226</v>
      </c>
      <c r="H505" s="33">
        <v>3.2072660185907902E-3</v>
      </c>
      <c r="I505" s="33">
        <v>1.1211374087835701E-3</v>
      </c>
      <c r="J505" s="85" t="s">
        <v>23</v>
      </c>
    </row>
    <row r="506" spans="1:10" x14ac:dyDescent="0.35">
      <c r="A506" s="38">
        <v>45785</v>
      </c>
      <c r="B506" s="31" t="s">
        <v>392</v>
      </c>
      <c r="C506" s="31" t="s">
        <v>394</v>
      </c>
      <c r="D506" s="32">
        <v>1353859</v>
      </c>
      <c r="E506" s="32">
        <v>477768</v>
      </c>
      <c r="F506" s="33">
        <v>0.35289346970400898</v>
      </c>
      <c r="G506" s="32">
        <v>1628</v>
      </c>
      <c r="H506" s="33">
        <v>3.4075115955861401E-3</v>
      </c>
      <c r="I506" s="33">
        <v>1.20248859002304E-3</v>
      </c>
      <c r="J506" s="85" t="s">
        <v>23</v>
      </c>
    </row>
    <row r="507" spans="1:10" x14ac:dyDescent="0.35">
      <c r="A507" s="38">
        <v>45785</v>
      </c>
      <c r="B507" s="31" t="s">
        <v>392</v>
      </c>
      <c r="C507" s="31" t="s">
        <v>395</v>
      </c>
      <c r="D507" s="32">
        <v>205889</v>
      </c>
      <c r="E507" s="32">
        <v>77025</v>
      </c>
      <c r="F507" s="33">
        <v>0.37410935018383701</v>
      </c>
      <c r="G507" s="32">
        <v>286</v>
      </c>
      <c r="H507" s="33">
        <v>3.7130801687763702E-3</v>
      </c>
      <c r="I507" s="33">
        <v>1.3890980091214201E-3</v>
      </c>
      <c r="J507" s="85" t="s">
        <v>23</v>
      </c>
    </row>
    <row r="508" spans="1:10" x14ac:dyDescent="0.35">
      <c r="A508" s="38">
        <v>45786</v>
      </c>
      <c r="B508" s="31" t="s">
        <v>396</v>
      </c>
      <c r="C508" s="31" t="s">
        <v>7</v>
      </c>
      <c r="D508" s="32">
        <v>913242</v>
      </c>
      <c r="E508" s="32">
        <v>286334</v>
      </c>
      <c r="F508" s="33">
        <v>0.31353573313535699</v>
      </c>
      <c r="G508" s="32">
        <v>1680</v>
      </c>
      <c r="H508" s="33">
        <v>5.8672738829478903E-3</v>
      </c>
      <c r="I508" s="33">
        <v>1.839600018396E-3</v>
      </c>
      <c r="J508" s="85" t="s">
        <v>23</v>
      </c>
    </row>
    <row r="509" spans="1:10" x14ac:dyDescent="0.35">
      <c r="A509" s="38">
        <v>45786</v>
      </c>
      <c r="B509" s="31" t="s">
        <v>397</v>
      </c>
      <c r="C509" s="31" t="s">
        <v>7</v>
      </c>
      <c r="D509" s="32">
        <v>4889430</v>
      </c>
      <c r="E509" s="32">
        <v>1357495</v>
      </c>
      <c r="F509" s="33">
        <v>0.27763870226181803</v>
      </c>
      <c r="G509" s="32">
        <v>10415</v>
      </c>
      <c r="H509" s="33">
        <v>7.6722197871815397E-3</v>
      </c>
      <c r="I509" s="33">
        <v>2.1301051451805201E-3</v>
      </c>
      <c r="J509" s="85" t="s">
        <v>23</v>
      </c>
    </row>
    <row r="510" spans="1:10" x14ac:dyDescent="0.35">
      <c r="A510" s="38">
        <v>45786</v>
      </c>
      <c r="B510" s="31" t="s">
        <v>397</v>
      </c>
      <c r="C510" s="31" t="s">
        <v>8</v>
      </c>
      <c r="D510" s="32">
        <v>314149</v>
      </c>
      <c r="E510" s="32">
        <v>87395</v>
      </c>
      <c r="F510" s="33">
        <v>0.27819601526664101</v>
      </c>
      <c r="G510" s="32">
        <v>710</v>
      </c>
      <c r="H510" s="33">
        <v>8.1240345557526197E-3</v>
      </c>
      <c r="I510" s="33">
        <v>2.2600740412988701E-3</v>
      </c>
      <c r="J510" s="85" t="s">
        <v>23</v>
      </c>
    </row>
    <row r="511" spans="1:10" x14ac:dyDescent="0.35">
      <c r="A511" s="38">
        <v>45787</v>
      </c>
      <c r="B511" s="31" t="s">
        <v>398</v>
      </c>
      <c r="C511" s="31" t="s">
        <v>399</v>
      </c>
      <c r="D511" s="32">
        <v>92391</v>
      </c>
      <c r="E511" s="32">
        <v>40960</v>
      </c>
      <c r="F511" s="33">
        <v>0.44333322509768303</v>
      </c>
      <c r="G511" s="32">
        <v>2257</v>
      </c>
      <c r="H511" s="33">
        <v>5.5102539062499997E-2</v>
      </c>
      <c r="I511" s="33">
        <v>2.4428786353649201E-2</v>
      </c>
      <c r="J511" s="85" t="s">
        <v>121</v>
      </c>
    </row>
    <row r="512" spans="1:10" x14ac:dyDescent="0.35">
      <c r="A512" s="38">
        <v>45787</v>
      </c>
      <c r="B512" s="31" t="s">
        <v>398</v>
      </c>
      <c r="C512" s="31" t="s">
        <v>400</v>
      </c>
      <c r="D512" s="32">
        <v>3273904</v>
      </c>
      <c r="E512" s="32">
        <v>1230601</v>
      </c>
      <c r="F512" s="33">
        <v>0.375881821824953</v>
      </c>
      <c r="G512" s="32">
        <v>15047</v>
      </c>
      <c r="H512" s="33">
        <v>1.2227358827109701E-2</v>
      </c>
      <c r="I512" s="33">
        <v>4.5960419120414002E-3</v>
      </c>
      <c r="J512" s="85" t="s">
        <v>121</v>
      </c>
    </row>
    <row r="513" spans="1:10" x14ac:dyDescent="0.35">
      <c r="A513" s="38">
        <v>45787</v>
      </c>
      <c r="B513" s="31" t="s">
        <v>398</v>
      </c>
      <c r="C513" s="31" t="s">
        <v>401</v>
      </c>
      <c r="D513" s="32">
        <v>3947</v>
      </c>
      <c r="E513" s="32">
        <v>1743</v>
      </c>
      <c r="F513" s="33">
        <v>0.441601216113504</v>
      </c>
      <c r="G513" s="32">
        <v>83</v>
      </c>
      <c r="H513" s="33">
        <v>4.7619047619047603E-2</v>
      </c>
      <c r="I513" s="33">
        <v>2.1028629338738301E-2</v>
      </c>
      <c r="J513" s="85" t="s">
        <v>121</v>
      </c>
    </row>
    <row r="514" spans="1:10" x14ac:dyDescent="0.35">
      <c r="A514" s="38">
        <v>45787</v>
      </c>
      <c r="B514" s="31" t="s">
        <v>398</v>
      </c>
      <c r="C514" s="31" t="s">
        <v>402</v>
      </c>
      <c r="D514" s="32">
        <v>166031</v>
      </c>
      <c r="E514" s="32">
        <v>67003</v>
      </c>
      <c r="F514" s="33">
        <v>0.403557167035072</v>
      </c>
      <c r="G514" s="32">
        <v>1447</v>
      </c>
      <c r="H514" s="33">
        <v>2.1596047938152001E-2</v>
      </c>
      <c r="I514" s="33">
        <v>8.7152399250742304E-3</v>
      </c>
      <c r="J514" s="85" t="s">
        <v>121</v>
      </c>
    </row>
    <row r="515" spans="1:10" x14ac:dyDescent="0.35">
      <c r="A515" s="38">
        <v>45789</v>
      </c>
      <c r="B515" s="31" t="s">
        <v>403</v>
      </c>
      <c r="C515" s="31" t="s">
        <v>7</v>
      </c>
      <c r="D515" s="32">
        <v>4763</v>
      </c>
      <c r="E515" s="32">
        <v>1759</v>
      </c>
      <c r="F515" s="33">
        <v>0.36930505983623801</v>
      </c>
      <c r="G515" s="32">
        <v>90</v>
      </c>
      <c r="H515" s="33">
        <v>5.1165434906196697E-2</v>
      </c>
      <c r="I515" s="33">
        <v>1.8895653999580101E-2</v>
      </c>
      <c r="J515" s="85" t="s">
        <v>24</v>
      </c>
    </row>
    <row r="516" spans="1:10" x14ac:dyDescent="0.35">
      <c r="A516" s="38">
        <v>45789</v>
      </c>
      <c r="B516" s="31" t="s">
        <v>404</v>
      </c>
      <c r="C516" s="31" t="s">
        <v>7</v>
      </c>
      <c r="D516" s="32">
        <v>1959484</v>
      </c>
      <c r="E516" s="32">
        <v>789090</v>
      </c>
      <c r="F516" s="33">
        <v>0.40270295649262799</v>
      </c>
      <c r="G516" s="32">
        <v>9275</v>
      </c>
      <c r="H516" s="33">
        <v>1.1754045799591901E-2</v>
      </c>
      <c r="I516" s="33">
        <v>4.7333889942454202E-3</v>
      </c>
      <c r="J516" s="85" t="s">
        <v>23</v>
      </c>
    </row>
    <row r="517" spans="1:10" x14ac:dyDescent="0.35">
      <c r="A517" s="38">
        <v>45789</v>
      </c>
      <c r="B517" s="31" t="s">
        <v>404</v>
      </c>
      <c r="C517" s="31" t="s">
        <v>8</v>
      </c>
      <c r="D517" s="32">
        <v>91090</v>
      </c>
      <c r="E517" s="32">
        <v>37670</v>
      </c>
      <c r="F517" s="33">
        <v>0.41354704138763898</v>
      </c>
      <c r="G517" s="32">
        <v>664</v>
      </c>
      <c r="H517" s="33">
        <v>1.7626758693920899E-2</v>
      </c>
      <c r="I517" s="33">
        <v>7.2894939071248199E-3</v>
      </c>
      <c r="J517" s="85" t="s">
        <v>23</v>
      </c>
    </row>
    <row r="518" spans="1:10" x14ac:dyDescent="0.35">
      <c r="A518" s="38">
        <v>45789</v>
      </c>
      <c r="B518" s="31" t="s">
        <v>405</v>
      </c>
      <c r="C518" s="31" t="s">
        <v>7</v>
      </c>
      <c r="D518" s="32">
        <v>3163</v>
      </c>
      <c r="E518" s="32">
        <v>1476</v>
      </c>
      <c r="F518" s="33">
        <v>0.466645589630098</v>
      </c>
      <c r="G518" s="32">
        <v>39</v>
      </c>
      <c r="H518" s="33">
        <v>2.6422764227642299E-2</v>
      </c>
      <c r="I518" s="33">
        <v>1.23300663926652E-2</v>
      </c>
      <c r="J518" s="85" t="s">
        <v>24</v>
      </c>
    </row>
    <row r="519" spans="1:10" x14ac:dyDescent="0.35">
      <c r="A519" s="38">
        <v>45789</v>
      </c>
      <c r="B519" s="31" t="s">
        <v>405</v>
      </c>
      <c r="C519" s="31" t="s">
        <v>8</v>
      </c>
      <c r="D519" s="32">
        <v>642</v>
      </c>
      <c r="E519" s="32">
        <v>298</v>
      </c>
      <c r="F519" s="33">
        <v>0.46417445482865999</v>
      </c>
      <c r="G519" s="32">
        <v>14</v>
      </c>
      <c r="H519" s="33">
        <v>4.6979865771812103E-2</v>
      </c>
      <c r="I519" s="33">
        <v>2.1806853582554499E-2</v>
      </c>
      <c r="J519" s="85" t="s">
        <v>24</v>
      </c>
    </row>
    <row r="520" spans="1:10" x14ac:dyDescent="0.35">
      <c r="A520" s="38">
        <v>45790</v>
      </c>
      <c r="B520" s="31" t="s">
        <v>406</v>
      </c>
      <c r="C520" s="31" t="s">
        <v>7</v>
      </c>
      <c r="D520" s="32">
        <v>1425636</v>
      </c>
      <c r="E520" s="32">
        <v>458599</v>
      </c>
      <c r="F520" s="33">
        <v>0.321680288657133</v>
      </c>
      <c r="G520" s="32">
        <v>6821</v>
      </c>
      <c r="H520" s="33">
        <v>1.4873560561623599E-2</v>
      </c>
      <c r="I520" s="33">
        <v>4.7845312548224104E-3</v>
      </c>
      <c r="J520" s="85" t="s">
        <v>23</v>
      </c>
    </row>
    <row r="521" spans="1:10" x14ac:dyDescent="0.35">
      <c r="A521" s="38">
        <v>45790</v>
      </c>
      <c r="B521" s="31" t="s">
        <v>406</v>
      </c>
      <c r="C521" s="31" t="s">
        <v>8</v>
      </c>
      <c r="D521" s="32">
        <v>89133</v>
      </c>
      <c r="E521" s="32">
        <v>30698</v>
      </c>
      <c r="F521" s="33">
        <v>0.34440667317379597</v>
      </c>
      <c r="G521" s="32">
        <v>624</v>
      </c>
      <c r="H521" s="33">
        <v>2.03270571372728E-2</v>
      </c>
      <c r="I521" s="33">
        <v>7.0007741240618003E-3</v>
      </c>
      <c r="J521" s="85" t="s">
        <v>23</v>
      </c>
    </row>
    <row r="522" spans="1:10" x14ac:dyDescent="0.35">
      <c r="A522" s="38">
        <v>45790</v>
      </c>
      <c r="B522" s="31" t="s">
        <v>407</v>
      </c>
      <c r="C522" s="31" t="s">
        <v>7</v>
      </c>
      <c r="D522" s="32">
        <v>772552</v>
      </c>
      <c r="E522" s="32">
        <v>250952</v>
      </c>
      <c r="F522" s="33">
        <v>0.32483509200675198</v>
      </c>
      <c r="G522" s="32">
        <v>1005</v>
      </c>
      <c r="H522" s="33">
        <v>4.0047499123338302E-3</v>
      </c>
      <c r="I522" s="33">
        <v>1.3008833062369901E-3</v>
      </c>
      <c r="J522" s="85" t="s">
        <v>23</v>
      </c>
    </row>
    <row r="523" spans="1:10" x14ac:dyDescent="0.35">
      <c r="A523" s="38">
        <v>45790</v>
      </c>
      <c r="B523" s="31" t="s">
        <v>407</v>
      </c>
      <c r="C523" s="31" t="s">
        <v>8</v>
      </c>
      <c r="D523" s="32">
        <v>43220</v>
      </c>
      <c r="E523" s="32">
        <v>15949</v>
      </c>
      <c r="F523" s="33">
        <v>0.36901897269782502</v>
      </c>
      <c r="G523" s="32">
        <v>209</v>
      </c>
      <c r="H523" s="33">
        <v>1.3104269860179299E-2</v>
      </c>
      <c r="I523" s="33">
        <v>4.8357242017584498E-3</v>
      </c>
      <c r="J523" s="85" t="s">
        <v>23</v>
      </c>
    </row>
    <row r="524" spans="1:10" x14ac:dyDescent="0.35">
      <c r="A524" s="38">
        <v>45791</v>
      </c>
      <c r="B524" s="31" t="s">
        <v>408</v>
      </c>
      <c r="C524" s="31" t="s">
        <v>7</v>
      </c>
      <c r="D524" s="32">
        <v>2618</v>
      </c>
      <c r="E524" s="32">
        <v>1587</v>
      </c>
      <c r="F524" s="33">
        <v>0.60618792971734103</v>
      </c>
      <c r="G524" s="32">
        <v>18</v>
      </c>
      <c r="H524" s="33">
        <v>1.13421550094518E-2</v>
      </c>
      <c r="I524" s="33">
        <v>6.8754774637127597E-3</v>
      </c>
      <c r="J524" s="85" t="s">
        <v>23</v>
      </c>
    </row>
    <row r="525" spans="1:10" x14ac:dyDescent="0.35">
      <c r="A525" s="38">
        <v>45791</v>
      </c>
      <c r="B525" s="31" t="s">
        <v>408</v>
      </c>
      <c r="C525" s="31" t="s">
        <v>8</v>
      </c>
      <c r="D525" s="32">
        <v>482</v>
      </c>
      <c r="E525" s="32">
        <v>307</v>
      </c>
      <c r="F525" s="33">
        <v>0.63692946058091304</v>
      </c>
      <c r="G525" s="32">
        <v>2</v>
      </c>
      <c r="H525" s="33">
        <v>6.5146579804560298E-3</v>
      </c>
      <c r="I525" s="33">
        <v>4.1493775933610002E-3</v>
      </c>
      <c r="J525" s="85" t="s">
        <v>23</v>
      </c>
    </row>
    <row r="526" spans="1:10" x14ac:dyDescent="0.35">
      <c r="A526" s="38">
        <v>45791</v>
      </c>
      <c r="B526" s="31" t="s">
        <v>409</v>
      </c>
      <c r="C526" s="31" t="s">
        <v>7</v>
      </c>
      <c r="D526" s="32">
        <v>42261</v>
      </c>
      <c r="E526" s="32">
        <v>15173</v>
      </c>
      <c r="F526" s="33">
        <v>0.35903078488440898</v>
      </c>
      <c r="G526" s="32">
        <v>144</v>
      </c>
      <c r="H526" s="33">
        <v>9.4905424108613998E-3</v>
      </c>
      <c r="I526" s="33">
        <v>3.4073968907503398E-3</v>
      </c>
      <c r="J526" s="85" t="s">
        <v>25</v>
      </c>
    </row>
    <row r="527" spans="1:10" x14ac:dyDescent="0.35">
      <c r="A527" s="38">
        <v>45791</v>
      </c>
      <c r="B527" s="31" t="s">
        <v>410</v>
      </c>
      <c r="C527" s="31" t="s">
        <v>7</v>
      </c>
      <c r="D527" s="32">
        <v>20034</v>
      </c>
      <c r="E527" s="32">
        <v>8005</v>
      </c>
      <c r="F527" s="33">
        <v>0.39957072975940899</v>
      </c>
      <c r="G527" s="32">
        <v>22</v>
      </c>
      <c r="H527" s="33">
        <v>2.74828232354778E-3</v>
      </c>
      <c r="I527" s="33">
        <v>1.0981331736048699E-3</v>
      </c>
      <c r="J527" s="85" t="s">
        <v>23</v>
      </c>
    </row>
    <row r="528" spans="1:10" x14ac:dyDescent="0.35">
      <c r="A528" s="38">
        <v>45792</v>
      </c>
      <c r="B528" s="31" t="s">
        <v>411</v>
      </c>
      <c r="C528" s="31" t="s">
        <v>412</v>
      </c>
      <c r="D528" s="32">
        <v>318025</v>
      </c>
      <c r="E528" s="32">
        <v>125434</v>
      </c>
      <c r="F528" s="33">
        <v>0.394415533370018</v>
      </c>
      <c r="G528" s="32">
        <v>2027</v>
      </c>
      <c r="H528" s="33">
        <v>1.6159892852017799E-2</v>
      </c>
      <c r="I528" s="33">
        <v>6.3737127584309397E-3</v>
      </c>
      <c r="J528" s="85" t="s">
        <v>23</v>
      </c>
    </row>
    <row r="529" spans="1:10" x14ac:dyDescent="0.35">
      <c r="A529" s="38">
        <v>45792</v>
      </c>
      <c r="B529" s="31" t="s">
        <v>411</v>
      </c>
      <c r="C529" s="31" t="s">
        <v>413</v>
      </c>
      <c r="D529" s="32">
        <v>611814</v>
      </c>
      <c r="E529" s="32">
        <v>234707</v>
      </c>
      <c r="F529" s="33">
        <v>0.38362476177400301</v>
      </c>
      <c r="G529" s="32">
        <v>3768</v>
      </c>
      <c r="H529" s="33">
        <v>1.60540588904464E-2</v>
      </c>
      <c r="I529" s="33">
        <v>6.1587345173533103E-3</v>
      </c>
      <c r="J529" s="85" t="s">
        <v>23</v>
      </c>
    </row>
    <row r="530" spans="1:10" x14ac:dyDescent="0.35">
      <c r="A530" s="38">
        <v>45792</v>
      </c>
      <c r="B530" s="31" t="s">
        <v>411</v>
      </c>
      <c r="C530" s="31" t="s">
        <v>414</v>
      </c>
      <c r="D530" s="32">
        <v>810834</v>
      </c>
      <c r="E530" s="32">
        <v>291439</v>
      </c>
      <c r="F530" s="33">
        <v>0.35943115360234001</v>
      </c>
      <c r="G530" s="32">
        <v>3753</v>
      </c>
      <c r="H530" s="33">
        <v>1.28774803646732E-2</v>
      </c>
      <c r="I530" s="33">
        <v>4.6285676229659801E-3</v>
      </c>
      <c r="J530" s="85" t="s">
        <v>23</v>
      </c>
    </row>
    <row r="531" spans="1:10" x14ac:dyDescent="0.35">
      <c r="A531" s="38">
        <v>45792</v>
      </c>
      <c r="B531" s="31" t="s">
        <v>411</v>
      </c>
      <c r="C531" s="31" t="s">
        <v>415</v>
      </c>
      <c r="D531" s="32">
        <v>15407</v>
      </c>
      <c r="E531" s="32">
        <v>6450</v>
      </c>
      <c r="F531" s="33">
        <v>0.418640877523204</v>
      </c>
      <c r="G531" s="32">
        <v>177</v>
      </c>
      <c r="H531" s="33">
        <v>2.7441860465116302E-2</v>
      </c>
      <c r="I531" s="33">
        <v>1.14882845459856E-2</v>
      </c>
      <c r="J531" s="85" t="s">
        <v>23</v>
      </c>
    </row>
    <row r="532" spans="1:10" x14ac:dyDescent="0.35">
      <c r="A532" s="38">
        <v>45792</v>
      </c>
      <c r="B532" s="31" t="s">
        <v>411</v>
      </c>
      <c r="C532" s="31" t="s">
        <v>416</v>
      </c>
      <c r="D532" s="32">
        <v>34247</v>
      </c>
      <c r="E532" s="32">
        <v>13880</v>
      </c>
      <c r="F532" s="33">
        <v>0.40529097439191802</v>
      </c>
      <c r="G532" s="32">
        <v>367</v>
      </c>
      <c r="H532" s="33">
        <v>2.64409221902017E-2</v>
      </c>
      <c r="I532" s="33">
        <v>1.0716267118287701E-2</v>
      </c>
      <c r="J532" s="85" t="s">
        <v>23</v>
      </c>
    </row>
    <row r="533" spans="1:10" x14ac:dyDescent="0.35">
      <c r="A533" s="38">
        <v>45792</v>
      </c>
      <c r="B533" s="31" t="s">
        <v>411</v>
      </c>
      <c r="C533" s="31" t="s">
        <v>417</v>
      </c>
      <c r="D533" s="32">
        <v>43130</v>
      </c>
      <c r="E533" s="32">
        <v>16177</v>
      </c>
      <c r="F533" s="33">
        <v>0.37507535358219302</v>
      </c>
      <c r="G533" s="32">
        <v>356</v>
      </c>
      <c r="H533" s="33">
        <v>2.2006552512826901E-2</v>
      </c>
      <c r="I533" s="33">
        <v>8.2541154648736407E-3</v>
      </c>
      <c r="J533" s="85" t="s">
        <v>23</v>
      </c>
    </row>
    <row r="534" spans="1:10" x14ac:dyDescent="0.35">
      <c r="A534" s="38">
        <v>45792</v>
      </c>
      <c r="B534" s="31" t="s">
        <v>418</v>
      </c>
      <c r="C534" s="31" t="s">
        <v>7</v>
      </c>
      <c r="D534" s="32">
        <v>239</v>
      </c>
      <c r="E534" s="32">
        <v>94</v>
      </c>
      <c r="F534" s="33">
        <v>0.39330543933054402</v>
      </c>
      <c r="G534" s="32">
        <v>3</v>
      </c>
      <c r="H534" s="33">
        <v>3.1914893617021302E-2</v>
      </c>
      <c r="I534" s="33">
        <v>1.2552301255230099E-2</v>
      </c>
      <c r="J534" s="85" t="s">
        <v>102</v>
      </c>
    </row>
    <row r="535" spans="1:10" x14ac:dyDescent="0.35">
      <c r="A535" s="39">
        <v>45793</v>
      </c>
      <c r="B535" s="35" t="s">
        <v>422</v>
      </c>
      <c r="C535" s="35" t="s">
        <v>7</v>
      </c>
      <c r="D535" s="36">
        <v>4892473</v>
      </c>
      <c r="E535" s="36">
        <v>1345229</v>
      </c>
      <c r="F535" s="37">
        <v>0.27495890115285299</v>
      </c>
      <c r="G535" s="36">
        <v>12586</v>
      </c>
      <c r="H535" s="37">
        <v>9.3560278584538404E-3</v>
      </c>
      <c r="I535" s="37">
        <v>2.5725231391159399E-3</v>
      </c>
      <c r="J535" s="107" t="s">
        <v>23</v>
      </c>
    </row>
    <row r="536" spans="1:10" x14ac:dyDescent="0.35">
      <c r="A536" s="39">
        <v>45793</v>
      </c>
      <c r="B536" s="35" t="s">
        <v>422</v>
      </c>
      <c r="C536" s="35" t="s">
        <v>8</v>
      </c>
      <c r="D536" s="36">
        <v>314306</v>
      </c>
      <c r="E536" s="36">
        <v>98856</v>
      </c>
      <c r="F536" s="37">
        <v>0.31452151724752297</v>
      </c>
      <c r="G536" s="36">
        <v>1041</v>
      </c>
      <c r="H536" s="37">
        <v>1.05304685603302E-2</v>
      </c>
      <c r="I536" s="37">
        <v>3.31205894892239E-3</v>
      </c>
      <c r="J536" s="107" t="s">
        <v>23</v>
      </c>
    </row>
    <row r="537" spans="1:10" x14ac:dyDescent="0.35">
      <c r="A537" s="39">
        <v>45793</v>
      </c>
      <c r="B537" s="35" t="s">
        <v>423</v>
      </c>
      <c r="C537" s="35" t="s">
        <v>7</v>
      </c>
      <c r="D537" s="36">
        <v>6332875</v>
      </c>
      <c r="E537" s="36">
        <v>2226924</v>
      </c>
      <c r="F537" s="37">
        <v>0.35164502694273903</v>
      </c>
      <c r="G537" s="36">
        <v>17234</v>
      </c>
      <c r="H537" s="37">
        <v>7.73892598041065E-3</v>
      </c>
      <c r="I537" s="37">
        <v>2.7213548348893699E-3</v>
      </c>
      <c r="J537" s="107" t="s">
        <v>25</v>
      </c>
    </row>
    <row r="538" spans="1:10" x14ac:dyDescent="0.35">
      <c r="A538" s="39">
        <v>45793</v>
      </c>
      <c r="B538" s="35" t="s">
        <v>423</v>
      </c>
      <c r="C538" s="35" t="s">
        <v>8</v>
      </c>
      <c r="D538" s="36">
        <v>403995</v>
      </c>
      <c r="E538" s="36">
        <v>140646</v>
      </c>
      <c r="F538" s="37">
        <v>0.348137972004604</v>
      </c>
      <c r="G538" s="36">
        <v>1375</v>
      </c>
      <c r="H538" s="37">
        <v>9.7763178476458594E-3</v>
      </c>
      <c r="I538" s="37">
        <v>3.4035074691518498E-3</v>
      </c>
      <c r="J538" s="107" t="s">
        <v>25</v>
      </c>
    </row>
    <row r="539" spans="1:10" x14ac:dyDescent="0.35">
      <c r="A539" s="39">
        <v>45793</v>
      </c>
      <c r="B539" s="35" t="s">
        <v>424</v>
      </c>
      <c r="C539" s="35" t="s">
        <v>7</v>
      </c>
      <c r="D539" s="36">
        <v>2116</v>
      </c>
      <c r="E539" s="36">
        <v>987</v>
      </c>
      <c r="F539" s="37">
        <v>0.46644612476370501</v>
      </c>
      <c r="G539" s="36">
        <v>28</v>
      </c>
      <c r="H539" s="37">
        <v>2.8368794326241099E-2</v>
      </c>
      <c r="I539" s="37">
        <v>1.32325141776938E-2</v>
      </c>
      <c r="J539" s="107" t="s">
        <v>23</v>
      </c>
    </row>
    <row r="540" spans="1:10" x14ac:dyDescent="0.35">
      <c r="A540" s="39">
        <v>45793</v>
      </c>
      <c r="B540" s="35" t="s">
        <v>424</v>
      </c>
      <c r="C540" s="35" t="s">
        <v>8</v>
      </c>
      <c r="D540" s="36">
        <v>505</v>
      </c>
      <c r="E540" s="36">
        <v>212</v>
      </c>
      <c r="F540" s="37">
        <v>0.41980198019802001</v>
      </c>
      <c r="G540" s="36">
        <v>8</v>
      </c>
      <c r="H540" s="37">
        <v>3.77358490566038E-2</v>
      </c>
      <c r="I540" s="37">
        <v>1.58415841584158E-2</v>
      </c>
      <c r="J540" s="107" t="s">
        <v>23</v>
      </c>
    </row>
    <row r="541" spans="1:10" x14ac:dyDescent="0.35">
      <c r="A541" s="39">
        <v>45794</v>
      </c>
      <c r="B541" s="35" t="s">
        <v>425</v>
      </c>
      <c r="C541" s="35" t="s">
        <v>7</v>
      </c>
      <c r="D541" s="36">
        <v>1304403</v>
      </c>
      <c r="E541" s="36">
        <v>475281</v>
      </c>
      <c r="F541" s="37">
        <v>0.36436668728912802</v>
      </c>
      <c r="G541" s="36">
        <v>5901</v>
      </c>
      <c r="H541" s="37">
        <v>1.2415812961174499E-2</v>
      </c>
      <c r="I541" s="37">
        <v>4.5239086386645797E-3</v>
      </c>
      <c r="J541" s="107" t="s">
        <v>23</v>
      </c>
    </row>
    <row r="542" spans="1:10" x14ac:dyDescent="0.35">
      <c r="A542" s="39">
        <v>45794</v>
      </c>
      <c r="B542" s="35" t="s">
        <v>425</v>
      </c>
      <c r="C542" s="35" t="s">
        <v>8</v>
      </c>
      <c r="D542" s="36">
        <v>94501</v>
      </c>
      <c r="E542" s="36">
        <v>31951</v>
      </c>
      <c r="F542" s="37">
        <v>0.33810224230431402</v>
      </c>
      <c r="G542" s="36">
        <v>683</v>
      </c>
      <c r="H542" s="37">
        <v>2.1376482739194399E-2</v>
      </c>
      <c r="I542" s="37">
        <v>7.2274367467010901E-3</v>
      </c>
      <c r="J542" s="107" t="s">
        <v>23</v>
      </c>
    </row>
    <row r="543" spans="1:10" x14ac:dyDescent="0.35">
      <c r="A543" s="39">
        <v>45794</v>
      </c>
      <c r="B543" s="35" t="s">
        <v>411</v>
      </c>
      <c r="C543" s="35" t="s">
        <v>426</v>
      </c>
      <c r="D543" s="36">
        <v>312216</v>
      </c>
      <c r="E543" s="36">
        <v>131048</v>
      </c>
      <c r="F543" s="37">
        <v>0.419735055218182</v>
      </c>
      <c r="G543" s="36">
        <v>1915</v>
      </c>
      <c r="H543" s="37">
        <v>1.4612966241377199E-2</v>
      </c>
      <c r="I543" s="37">
        <v>6.1335741922259003E-3</v>
      </c>
      <c r="J543" s="107" t="s">
        <v>23</v>
      </c>
    </row>
    <row r="544" spans="1:10" x14ac:dyDescent="0.35">
      <c r="A544" s="39">
        <v>45794</v>
      </c>
      <c r="B544" s="35" t="s">
        <v>411</v>
      </c>
      <c r="C544" s="35" t="s">
        <v>427</v>
      </c>
      <c r="D544" s="36">
        <v>609412</v>
      </c>
      <c r="E544" s="36">
        <v>247932</v>
      </c>
      <c r="F544" s="37">
        <v>0.40683806685788898</v>
      </c>
      <c r="G544" s="36">
        <v>3906</v>
      </c>
      <c r="H544" s="37">
        <v>1.5754319732830001E-2</v>
      </c>
      <c r="I544" s="37">
        <v>6.4094569847656397E-3</v>
      </c>
      <c r="J544" s="107" t="s">
        <v>23</v>
      </c>
    </row>
    <row r="545" spans="1:10" x14ac:dyDescent="0.35">
      <c r="A545" s="39">
        <v>45794</v>
      </c>
      <c r="B545" s="35" t="s">
        <v>411</v>
      </c>
      <c r="C545" s="35" t="s">
        <v>428</v>
      </c>
      <c r="D545" s="36">
        <v>809883</v>
      </c>
      <c r="E545" s="36">
        <v>309581</v>
      </c>
      <c r="F545" s="37">
        <v>0.38225397989586202</v>
      </c>
      <c r="G545" s="36">
        <v>4016</v>
      </c>
      <c r="H545" s="37">
        <v>1.29723723355115E-2</v>
      </c>
      <c r="I545" s="37">
        <v>4.9587409539402598E-3</v>
      </c>
      <c r="J545" s="107" t="s">
        <v>23</v>
      </c>
    </row>
    <row r="546" spans="1:10" x14ac:dyDescent="0.35">
      <c r="A546" s="39">
        <v>45794</v>
      </c>
      <c r="B546" s="35" t="s">
        <v>411</v>
      </c>
      <c r="C546" s="35" t="s">
        <v>429</v>
      </c>
      <c r="D546" s="36">
        <v>15141</v>
      </c>
      <c r="E546" s="36">
        <v>6718</v>
      </c>
      <c r="F546" s="37">
        <v>0.44369592497193</v>
      </c>
      <c r="G546" s="36">
        <v>181</v>
      </c>
      <c r="H546" s="37">
        <v>2.69425424233403E-2</v>
      </c>
      <c r="I546" s="37">
        <v>1.1954296281619399E-2</v>
      </c>
      <c r="J546" s="107" t="s">
        <v>23</v>
      </c>
    </row>
    <row r="547" spans="1:10" x14ac:dyDescent="0.35">
      <c r="A547" s="39">
        <v>45794</v>
      </c>
      <c r="B547" s="35" t="s">
        <v>411</v>
      </c>
      <c r="C547" s="35" t="s">
        <v>430</v>
      </c>
      <c r="D547" s="36">
        <v>34120</v>
      </c>
      <c r="E547" s="36">
        <v>14682</v>
      </c>
      <c r="F547" s="37">
        <v>0.43030480656506398</v>
      </c>
      <c r="G547" s="36">
        <v>412</v>
      </c>
      <c r="H547" s="37">
        <v>2.8061571992916499E-2</v>
      </c>
      <c r="I547" s="37">
        <v>1.20750293083236E-2</v>
      </c>
      <c r="J547" s="107" t="s">
        <v>23</v>
      </c>
    </row>
    <row r="548" spans="1:10" x14ac:dyDescent="0.35">
      <c r="A548" s="39">
        <v>45794</v>
      </c>
      <c r="B548" s="35" t="s">
        <v>411</v>
      </c>
      <c r="C548" s="35" t="s">
        <v>431</v>
      </c>
      <c r="D548" s="36">
        <v>43069</v>
      </c>
      <c r="E548" s="36">
        <v>17157</v>
      </c>
      <c r="F548" s="37">
        <v>0.398360769927326</v>
      </c>
      <c r="G548" s="36">
        <v>402</v>
      </c>
      <c r="H548" s="37">
        <v>2.3430669697499601E-2</v>
      </c>
      <c r="I548" s="37">
        <v>9.33385962060879E-3</v>
      </c>
      <c r="J548" s="107" t="s">
        <v>23</v>
      </c>
    </row>
    <row r="549" spans="1:10" x14ac:dyDescent="0.35">
      <c r="A549" s="39">
        <v>45794</v>
      </c>
      <c r="B549" s="35" t="s">
        <v>432</v>
      </c>
      <c r="C549" s="35" t="s">
        <v>433</v>
      </c>
      <c r="D549" s="36">
        <v>905</v>
      </c>
      <c r="E549" s="36">
        <v>787</v>
      </c>
      <c r="F549" s="37">
        <v>0.869613259668508</v>
      </c>
      <c r="G549" s="36">
        <v>52</v>
      </c>
      <c r="H549" s="37">
        <v>6.6073697585768698E-2</v>
      </c>
      <c r="I549" s="37">
        <v>5.7458563535911597E-2</v>
      </c>
      <c r="J549" s="107" t="s">
        <v>23</v>
      </c>
    </row>
    <row r="550" spans="1:10" x14ac:dyDescent="0.35">
      <c r="A550" s="39">
        <v>45795</v>
      </c>
      <c r="B550" s="35" t="s">
        <v>434</v>
      </c>
      <c r="C550" s="35" t="s">
        <v>7</v>
      </c>
      <c r="D550" s="36">
        <v>125729</v>
      </c>
      <c r="E550" s="36">
        <v>55350</v>
      </c>
      <c r="F550" s="37">
        <v>0.440232563688568</v>
      </c>
      <c r="G550" s="36">
        <v>825</v>
      </c>
      <c r="H550" s="37">
        <v>1.4905149051490501E-2</v>
      </c>
      <c r="I550" s="37">
        <v>6.5617319790979003E-3</v>
      </c>
      <c r="J550" s="107" t="s">
        <v>101</v>
      </c>
    </row>
    <row r="551" spans="1:10" x14ac:dyDescent="0.35">
      <c r="A551" s="39">
        <v>45795</v>
      </c>
      <c r="B551" s="35" t="s">
        <v>434</v>
      </c>
      <c r="C551" s="35" t="s">
        <v>8</v>
      </c>
      <c r="D551" s="36">
        <v>5718</v>
      </c>
      <c r="E551" s="36">
        <v>2656</v>
      </c>
      <c r="F551" s="37">
        <v>0.46449807625043699</v>
      </c>
      <c r="G551" s="36">
        <v>37</v>
      </c>
      <c r="H551" s="37">
        <v>1.39307228915663E-2</v>
      </c>
      <c r="I551" s="37">
        <v>6.4707939839104599E-3</v>
      </c>
      <c r="J551" s="107" t="s">
        <v>101</v>
      </c>
    </row>
    <row r="552" spans="1:10" x14ac:dyDescent="0.35">
      <c r="A552" s="39">
        <v>45796</v>
      </c>
      <c r="B552" s="35" t="s">
        <v>435</v>
      </c>
      <c r="C552" s="35" t="s">
        <v>7</v>
      </c>
      <c r="D552" s="36">
        <v>938463</v>
      </c>
      <c r="E552" s="36">
        <v>314473</v>
      </c>
      <c r="F552" s="37">
        <v>0.335093658460696</v>
      </c>
      <c r="G552" s="36">
        <v>1238</v>
      </c>
      <c r="H552" s="37">
        <v>3.9367449669764996E-3</v>
      </c>
      <c r="I552" s="37">
        <v>1.3191782734108899E-3</v>
      </c>
      <c r="J552" s="107" t="s">
        <v>23</v>
      </c>
    </row>
    <row r="553" spans="1:10" x14ac:dyDescent="0.35">
      <c r="A553" s="39">
        <v>45796</v>
      </c>
      <c r="B553" s="35" t="s">
        <v>436</v>
      </c>
      <c r="C553" s="35" t="s">
        <v>7</v>
      </c>
      <c r="D553" s="36">
        <v>98</v>
      </c>
      <c r="E553" s="36">
        <v>44</v>
      </c>
      <c r="F553" s="37">
        <v>0.44897959183673503</v>
      </c>
      <c r="G553" s="36">
        <v>1</v>
      </c>
      <c r="H553" s="37">
        <v>2.27272727272727E-2</v>
      </c>
      <c r="I553" s="37">
        <v>1.02040816326531E-2</v>
      </c>
      <c r="J553" s="107" t="s">
        <v>102</v>
      </c>
    </row>
    <row r="554" spans="1:10" x14ac:dyDescent="0.35">
      <c r="A554" s="39">
        <v>45797</v>
      </c>
      <c r="B554" s="35" t="s">
        <v>437</v>
      </c>
      <c r="C554" s="35" t="s">
        <v>7</v>
      </c>
      <c r="D554" s="36">
        <v>1421607</v>
      </c>
      <c r="E554" s="36">
        <v>458871</v>
      </c>
      <c r="F554" s="37">
        <v>0.32278330087007201</v>
      </c>
      <c r="G554" s="36">
        <v>7697</v>
      </c>
      <c r="H554" s="37">
        <v>1.67737773796993E-2</v>
      </c>
      <c r="I554" s="37">
        <v>5.4142952306790804E-3</v>
      </c>
      <c r="J554" s="107" t="s">
        <v>23</v>
      </c>
    </row>
    <row r="555" spans="1:10" x14ac:dyDescent="0.35">
      <c r="A555" s="39">
        <v>45797</v>
      </c>
      <c r="B555" s="35" t="s">
        <v>437</v>
      </c>
      <c r="C555" s="35" t="s">
        <v>8</v>
      </c>
      <c r="D555" s="36">
        <v>88779</v>
      </c>
      <c r="E555" s="36">
        <v>31210</v>
      </c>
      <c r="F555" s="37">
        <v>0.35154710010250201</v>
      </c>
      <c r="G555" s="36">
        <v>911</v>
      </c>
      <c r="H555" s="37">
        <v>2.9189362383851301E-2</v>
      </c>
      <c r="I555" s="37">
        <v>1.0261435699884001E-2</v>
      </c>
      <c r="J555" s="107" t="s">
        <v>23</v>
      </c>
    </row>
    <row r="556" spans="1:10" x14ac:dyDescent="0.35">
      <c r="A556" s="39">
        <v>45797</v>
      </c>
      <c r="B556" s="35" t="s">
        <v>438</v>
      </c>
      <c r="C556" s="35" t="s">
        <v>344</v>
      </c>
      <c r="D556" s="36">
        <v>18837</v>
      </c>
      <c r="E556" s="36">
        <v>8495</v>
      </c>
      <c r="F556" s="37">
        <v>0.45097414662632102</v>
      </c>
      <c r="G556" s="36">
        <v>1592</v>
      </c>
      <c r="H556" s="37">
        <v>0.187404355503237</v>
      </c>
      <c r="I556" s="37">
        <v>8.4514519297127999E-2</v>
      </c>
      <c r="J556" s="107" t="s">
        <v>102</v>
      </c>
    </row>
    <row r="557" spans="1:10" x14ac:dyDescent="0.35">
      <c r="A557" s="39">
        <v>45797</v>
      </c>
      <c r="B557" s="35" t="s">
        <v>438</v>
      </c>
      <c r="C557" s="35" t="s">
        <v>345</v>
      </c>
      <c r="D557" s="36">
        <v>18360</v>
      </c>
      <c r="E557" s="36">
        <v>7584</v>
      </c>
      <c r="F557" s="37">
        <v>0.41307189542483702</v>
      </c>
      <c r="G557" s="36">
        <v>737</v>
      </c>
      <c r="H557" s="37">
        <v>9.7178270042194106E-2</v>
      </c>
      <c r="I557" s="37">
        <v>4.0141612200435703E-2</v>
      </c>
      <c r="J557" s="107" t="s">
        <v>102</v>
      </c>
    </row>
    <row r="558" spans="1:10" x14ac:dyDescent="0.35">
      <c r="A558" s="39">
        <v>45798</v>
      </c>
      <c r="B558" s="35" t="s">
        <v>439</v>
      </c>
      <c r="C558" s="35" t="s">
        <v>7</v>
      </c>
      <c r="D558" s="36">
        <v>1391</v>
      </c>
      <c r="E558" s="36">
        <v>987</v>
      </c>
      <c r="F558" s="37">
        <v>0.70956146657081198</v>
      </c>
      <c r="G558" s="36">
        <v>38</v>
      </c>
      <c r="H558" s="37">
        <v>3.8500506585612999E-2</v>
      </c>
      <c r="I558" s="37">
        <v>2.7318475916606799E-2</v>
      </c>
      <c r="J558" s="171" t="s">
        <v>121</v>
      </c>
    </row>
    <row r="559" spans="1:10" x14ac:dyDescent="0.35">
      <c r="A559" s="39">
        <v>45798</v>
      </c>
      <c r="B559" s="35" t="s">
        <v>439</v>
      </c>
      <c r="C559" s="35" t="s">
        <v>8</v>
      </c>
      <c r="D559" s="36">
        <v>77</v>
      </c>
      <c r="E559" s="36">
        <v>54</v>
      </c>
      <c r="F559" s="37">
        <v>0.70129870129870098</v>
      </c>
      <c r="G559" s="36">
        <v>1</v>
      </c>
      <c r="H559" s="37">
        <v>1.85185185185185E-2</v>
      </c>
      <c r="I559" s="37">
        <v>1.2987012987013E-2</v>
      </c>
      <c r="J559" s="171" t="s">
        <v>121</v>
      </c>
    </row>
    <row r="560" spans="1:10" x14ac:dyDescent="0.35">
      <c r="A560" s="39">
        <v>45798</v>
      </c>
      <c r="B560" s="35" t="s">
        <v>440</v>
      </c>
      <c r="C560" s="35" t="s">
        <v>7</v>
      </c>
      <c r="D560" s="36">
        <v>910967</v>
      </c>
      <c r="E560" s="36">
        <v>325683</v>
      </c>
      <c r="F560" s="37">
        <v>0.357513499391306</v>
      </c>
      <c r="G560" s="36">
        <v>1354</v>
      </c>
      <c r="H560" s="37">
        <v>4.1574168746910303E-3</v>
      </c>
      <c r="I560" s="37">
        <v>1.4863326552992601E-3</v>
      </c>
      <c r="J560" s="107" t="s">
        <v>23</v>
      </c>
    </row>
    <row r="561" spans="1:10" x14ac:dyDescent="0.35">
      <c r="A561" s="39">
        <v>45798</v>
      </c>
      <c r="B561" s="35" t="s">
        <v>440</v>
      </c>
      <c r="C561" s="35" t="s">
        <v>8</v>
      </c>
      <c r="D561" s="36">
        <v>63920</v>
      </c>
      <c r="E561" s="36">
        <v>24588</v>
      </c>
      <c r="F561" s="37">
        <v>0.38466833541927398</v>
      </c>
      <c r="G561" s="36">
        <v>79</v>
      </c>
      <c r="H561" s="37">
        <v>3.2129494062144099E-3</v>
      </c>
      <c r="I561" s="37">
        <v>1.23591989987484E-3</v>
      </c>
      <c r="J561" s="107" t="s">
        <v>23</v>
      </c>
    </row>
    <row r="562" spans="1:10" x14ac:dyDescent="0.35">
      <c r="A562" s="39">
        <v>45798</v>
      </c>
      <c r="B562" s="35" t="s">
        <v>441</v>
      </c>
      <c r="C562" s="35" t="s">
        <v>7</v>
      </c>
      <c r="D562" s="36">
        <v>133080</v>
      </c>
      <c r="E562" s="36">
        <v>45978</v>
      </c>
      <c r="F562" s="37">
        <v>0.34549143372407598</v>
      </c>
      <c r="G562" s="36">
        <v>164</v>
      </c>
      <c r="H562" s="37">
        <v>3.5669233111488099E-3</v>
      </c>
      <c r="I562" s="37">
        <v>1.23234144875263E-3</v>
      </c>
      <c r="J562" s="107" t="s">
        <v>23</v>
      </c>
    </row>
    <row r="563" spans="1:10" x14ac:dyDescent="0.35">
      <c r="A563" s="39">
        <v>45798</v>
      </c>
      <c r="B563" s="35" t="s">
        <v>442</v>
      </c>
      <c r="C563" s="35" t="s">
        <v>7</v>
      </c>
      <c r="D563" s="36">
        <v>957</v>
      </c>
      <c r="E563" s="36">
        <v>383</v>
      </c>
      <c r="F563" s="37">
        <v>0.40020898641588298</v>
      </c>
      <c r="G563" s="36">
        <v>16</v>
      </c>
      <c r="H563" s="37">
        <v>4.1775456919060101E-2</v>
      </c>
      <c r="I563" s="37">
        <v>1.67189132706374E-2</v>
      </c>
      <c r="J563" s="107" t="s">
        <v>102</v>
      </c>
    </row>
    <row r="564" spans="1:10" x14ac:dyDescent="0.35">
      <c r="A564" s="39">
        <v>45799</v>
      </c>
      <c r="B564" s="35" t="s">
        <v>443</v>
      </c>
      <c r="C564" s="35" t="s">
        <v>7</v>
      </c>
      <c r="D564" s="36">
        <v>198667</v>
      </c>
      <c r="E564" s="36">
        <v>78910</v>
      </c>
      <c r="F564" s="37">
        <v>0.397197320138725</v>
      </c>
      <c r="G564" s="36">
        <v>315</v>
      </c>
      <c r="H564" s="37">
        <v>3.9918894943606602E-3</v>
      </c>
      <c r="I564" s="37">
        <v>1.5855678094499801E-3</v>
      </c>
      <c r="J564" s="107" t="s">
        <v>23</v>
      </c>
    </row>
    <row r="565" spans="1:10" x14ac:dyDescent="0.35">
      <c r="A565" s="39">
        <v>45799</v>
      </c>
      <c r="B565" s="35" t="s">
        <v>443</v>
      </c>
      <c r="C565" s="35" t="s">
        <v>8</v>
      </c>
      <c r="D565" s="36">
        <v>11916</v>
      </c>
      <c r="E565" s="36">
        <v>5288</v>
      </c>
      <c r="F565" s="37">
        <v>0.44377307821416601</v>
      </c>
      <c r="G565" s="36">
        <v>16</v>
      </c>
      <c r="H565" s="37">
        <v>3.0257186081694399E-3</v>
      </c>
      <c r="I565" s="37">
        <v>1.3427324605572301E-3</v>
      </c>
      <c r="J565" s="107" t="s">
        <v>23</v>
      </c>
    </row>
    <row r="566" spans="1:10" x14ac:dyDescent="0.35">
      <c r="A566" s="39">
        <v>45799</v>
      </c>
      <c r="B566" s="35" t="s">
        <v>444</v>
      </c>
      <c r="C566" s="35" t="s">
        <v>110</v>
      </c>
      <c r="D566" s="36">
        <v>27311</v>
      </c>
      <c r="E566" s="36">
        <v>8924</v>
      </c>
      <c r="F566" s="37">
        <v>0.32675478744828101</v>
      </c>
      <c r="G566" s="36">
        <v>36</v>
      </c>
      <c r="H566" s="37">
        <v>4.0340654415060503E-3</v>
      </c>
      <c r="I566" s="37">
        <v>1.31815019589177E-3</v>
      </c>
      <c r="J566" s="107" t="s">
        <v>23</v>
      </c>
    </row>
    <row r="567" spans="1:10" x14ac:dyDescent="0.35">
      <c r="A567" s="39">
        <v>45799</v>
      </c>
      <c r="B567" s="35" t="s">
        <v>444</v>
      </c>
      <c r="C567" s="35" t="s">
        <v>90</v>
      </c>
      <c r="D567" s="36">
        <v>518282</v>
      </c>
      <c r="E567" s="36">
        <v>166339</v>
      </c>
      <c r="F567" s="37">
        <v>0.32094303873181002</v>
      </c>
      <c r="G567" s="36">
        <v>587</v>
      </c>
      <c r="H567" s="37">
        <v>3.52893789189547E-3</v>
      </c>
      <c r="I567" s="37">
        <v>1.13258805052076E-3</v>
      </c>
      <c r="J567" s="107" t="s">
        <v>23</v>
      </c>
    </row>
    <row r="568" spans="1:10" x14ac:dyDescent="0.35">
      <c r="A568" s="39">
        <v>45799</v>
      </c>
      <c r="B568" s="35" t="s">
        <v>444</v>
      </c>
      <c r="C568" s="35" t="s">
        <v>111</v>
      </c>
      <c r="D568" s="36">
        <v>2044</v>
      </c>
      <c r="E568" s="36">
        <v>725</v>
      </c>
      <c r="F568" s="37">
        <v>0.35469667318982401</v>
      </c>
      <c r="G568" s="36">
        <v>4</v>
      </c>
      <c r="H568" s="37">
        <v>5.5172413793103401E-3</v>
      </c>
      <c r="I568" s="37">
        <v>1.95694716242661E-3</v>
      </c>
      <c r="J568" s="107" t="s">
        <v>23</v>
      </c>
    </row>
    <row r="569" spans="1:10" x14ac:dyDescent="0.35">
      <c r="A569" s="39">
        <v>45799</v>
      </c>
      <c r="B569" s="35" t="s">
        <v>444</v>
      </c>
      <c r="C569" s="35" t="s">
        <v>91</v>
      </c>
      <c r="D569" s="36">
        <v>37480</v>
      </c>
      <c r="E569" s="36">
        <v>13513</v>
      </c>
      <c r="F569" s="37">
        <v>0.360538954108858</v>
      </c>
      <c r="G569" s="36">
        <v>46</v>
      </c>
      <c r="H569" s="37">
        <v>3.4041293569155601E-3</v>
      </c>
      <c r="I569" s="37">
        <v>1.2273212379936001E-3</v>
      </c>
      <c r="J569" s="107" t="s">
        <v>23</v>
      </c>
    </row>
    <row r="570" spans="1:10" ht="16" thickBot="1" x14ac:dyDescent="0.4">
      <c r="A570" s="130" t="s">
        <v>26</v>
      </c>
      <c r="B570" s="131"/>
      <c r="C570" s="132"/>
      <c r="D570" s="73">
        <f>SUBTOTAL(9,D2:D569)</f>
        <v>296128186</v>
      </c>
      <c r="E570" s="73">
        <f>SUBTOTAL(9,E2:E569)</f>
        <v>99472138</v>
      </c>
      <c r="F570" s="74">
        <f>_xlfn.AGGREGATE(1,7,F2:F569)</f>
        <v>0.37371547669599042</v>
      </c>
      <c r="G570" s="73">
        <f>SUBTOTAL(9,G2:G569)</f>
        <v>1504886</v>
      </c>
      <c r="H570" s="74">
        <f>_xlfn.AGGREGATE(1,7,H2:H569)</f>
        <v>2.4787972830040923E-2</v>
      </c>
      <c r="I570" s="74">
        <f>_xlfn.AGGREGATE(1,7,I2:I569)</f>
        <v>9.2616355940430359E-3</v>
      </c>
    </row>
    <row r="1130" ht="15" customHeight="1" x14ac:dyDescent="0.35"/>
  </sheetData>
  <autoFilter ref="A1:J569" xr:uid="{44D9B75B-0DED-4505-9872-7E39608551D1}"/>
  <mergeCells count="1">
    <mergeCell ref="A570:C570"/>
  </mergeCells>
  <pageMargins left="0.7" right="0.7" top="0.75" bottom="0.75" header="0.3" footer="0.3"/>
  <pageSetup orientation="portrait" r:id="rId1"/>
  <ignoredErrors>
    <ignoredError sqref="F570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F307-52D7-48D6-AB97-D5F2AD442100}">
  <sheetPr>
    <tabColor theme="7"/>
  </sheetPr>
  <dimension ref="A1:Q72"/>
  <sheetViews>
    <sheetView showGridLines="0" zoomScale="150" zoomScaleNormal="150" workbookViewId="0">
      <pane ySplit="1" topLeftCell="A2" activePane="bottomLeft" state="frozen"/>
      <selection pane="bottomLeft" activeCell="A22" sqref="A22"/>
    </sheetView>
  </sheetViews>
  <sheetFormatPr defaultRowHeight="14.5" x14ac:dyDescent="0.35"/>
  <cols>
    <col min="1" max="1" width="23.36328125" bestFit="1" customWidth="1"/>
    <col min="2" max="7" width="19.6328125" customWidth="1"/>
    <col min="10" max="10" width="11" bestFit="1" customWidth="1"/>
    <col min="11" max="11" width="9.90625" bestFit="1" customWidth="1"/>
    <col min="14" max="14" width="17" customWidth="1"/>
  </cols>
  <sheetData>
    <row r="1" spans="1:7" ht="15" thickBot="1" x14ac:dyDescent="0.4">
      <c r="A1" s="110" t="s">
        <v>104</v>
      </c>
      <c r="B1" s="111" t="s">
        <v>14</v>
      </c>
      <c r="C1" s="111" t="s">
        <v>2</v>
      </c>
      <c r="D1" s="112" t="s">
        <v>15</v>
      </c>
      <c r="E1" s="111" t="s">
        <v>4</v>
      </c>
      <c r="F1" s="112" t="s">
        <v>5</v>
      </c>
      <c r="G1" s="113" t="s">
        <v>6</v>
      </c>
    </row>
    <row r="2" spans="1:7" x14ac:dyDescent="0.35">
      <c r="A2" s="114" t="s">
        <v>105</v>
      </c>
      <c r="B2" s="115">
        <v>3351022</v>
      </c>
      <c r="C2" s="115">
        <v>1189348</v>
      </c>
      <c r="D2" s="116">
        <v>0.36870000000000003</v>
      </c>
      <c r="E2" s="115">
        <v>8315</v>
      </c>
      <c r="F2" s="116">
        <v>1.3100000000000001E-2</v>
      </c>
      <c r="G2" s="117">
        <v>5.1000000000000004E-3</v>
      </c>
    </row>
    <row r="3" spans="1:7" x14ac:dyDescent="0.35">
      <c r="A3" s="90" t="s">
        <v>73</v>
      </c>
      <c r="B3" s="86">
        <v>11514391</v>
      </c>
      <c r="C3" s="86">
        <v>3625814</v>
      </c>
      <c r="D3" s="87">
        <v>0.36662447289158573</v>
      </c>
      <c r="E3" s="86">
        <v>52021</v>
      </c>
      <c r="F3" s="87">
        <v>1.2817424930065366E-2</v>
      </c>
      <c r="G3" s="91">
        <v>4.676850974657646E-3</v>
      </c>
    </row>
    <row r="4" spans="1:7" x14ac:dyDescent="0.35">
      <c r="A4" s="92" t="s">
        <v>103</v>
      </c>
      <c r="B4" s="88">
        <v>24217105</v>
      </c>
      <c r="C4" s="88">
        <v>8735015</v>
      </c>
      <c r="D4" s="89">
        <v>0.38444290310788459</v>
      </c>
      <c r="E4" s="88">
        <v>220176</v>
      </c>
      <c r="F4" s="89">
        <v>3.8364386572134972E-2</v>
      </c>
      <c r="G4" s="93">
        <v>1.306682101574755E-2</v>
      </c>
    </row>
    <row r="5" spans="1:7" x14ac:dyDescent="0.35">
      <c r="A5" s="90" t="s">
        <v>122</v>
      </c>
      <c r="B5" s="86">
        <v>19576515</v>
      </c>
      <c r="C5" s="86">
        <v>6729867</v>
      </c>
      <c r="D5" s="87">
        <v>0.38274852038264184</v>
      </c>
      <c r="E5" s="86">
        <v>163019</v>
      </c>
      <c r="F5" s="87">
        <v>3.0900072558739909E-2</v>
      </c>
      <c r="G5" s="91">
        <v>1.2246130527903201E-2</v>
      </c>
    </row>
    <row r="6" spans="1:7" x14ac:dyDescent="0.35">
      <c r="A6" s="94" t="s">
        <v>133</v>
      </c>
      <c r="B6" s="86">
        <v>8143672</v>
      </c>
      <c r="C6" s="86">
        <v>2632782</v>
      </c>
      <c r="D6" s="87">
        <v>0.33147564633695381</v>
      </c>
      <c r="E6" s="86">
        <v>37597</v>
      </c>
      <c r="F6" s="87">
        <v>3.3235893764763297E-2</v>
      </c>
      <c r="G6" s="91">
        <v>7.0479644043661476E-3</v>
      </c>
    </row>
    <row r="7" spans="1:7" x14ac:dyDescent="0.35">
      <c r="A7" s="94" t="s">
        <v>134</v>
      </c>
      <c r="B7" s="86">
        <v>12895794</v>
      </c>
      <c r="C7" s="86">
        <v>4442067</v>
      </c>
      <c r="D7" s="87">
        <v>0.37627341092476957</v>
      </c>
      <c r="E7" s="86">
        <v>70589</v>
      </c>
      <c r="F7" s="87">
        <v>2.4012055773312422E-2</v>
      </c>
      <c r="G7" s="91">
        <v>9.5935619518010256E-3</v>
      </c>
    </row>
    <row r="8" spans="1:7" x14ac:dyDescent="0.35">
      <c r="A8" s="94" t="s">
        <v>175</v>
      </c>
      <c r="B8" s="86">
        <v>25879832</v>
      </c>
      <c r="C8" s="86">
        <v>8861233</v>
      </c>
      <c r="D8" s="87">
        <v>0.33966889129348404</v>
      </c>
      <c r="E8" s="86">
        <v>141279</v>
      </c>
      <c r="F8" s="87">
        <v>2.6577127769553385E-2</v>
      </c>
      <c r="G8" s="91">
        <v>8.1338176022803018E-3</v>
      </c>
    </row>
    <row r="9" spans="1:7" x14ac:dyDescent="0.35">
      <c r="A9" s="95" t="s">
        <v>199</v>
      </c>
      <c r="B9" s="88">
        <v>11704804</v>
      </c>
      <c r="C9" s="88">
        <v>3744970</v>
      </c>
      <c r="D9" s="89">
        <v>0.37373530978894803</v>
      </c>
      <c r="E9" s="88">
        <v>40013</v>
      </c>
      <c r="F9" s="89">
        <v>2.2684420526205253E-2</v>
      </c>
      <c r="G9" s="93">
        <v>9.348623855123462E-3</v>
      </c>
    </row>
    <row r="10" spans="1:7" x14ac:dyDescent="0.35">
      <c r="A10" s="94" t="s">
        <v>215</v>
      </c>
      <c r="B10" s="86">
        <v>10440573</v>
      </c>
      <c r="C10" s="86">
        <v>3360916</v>
      </c>
      <c r="D10" s="87">
        <v>0.33876499629379331</v>
      </c>
      <c r="E10" s="86">
        <v>37203</v>
      </c>
      <c r="F10" s="87">
        <v>4.3798195706637684E-2</v>
      </c>
      <c r="G10" s="91">
        <v>1.3775321175545819E-2</v>
      </c>
    </row>
    <row r="11" spans="1:7" x14ac:dyDescent="0.35">
      <c r="A11" s="95" t="s">
        <v>232</v>
      </c>
      <c r="B11" s="88">
        <v>17733683</v>
      </c>
      <c r="C11" s="88">
        <v>6004471</v>
      </c>
      <c r="D11" s="89">
        <v>0.36691568804309532</v>
      </c>
      <c r="E11" s="88">
        <v>58690</v>
      </c>
      <c r="F11" s="89">
        <v>2.2203919627197793E-2</v>
      </c>
      <c r="G11" s="93">
        <v>7.134876993933191E-3</v>
      </c>
    </row>
    <row r="12" spans="1:7" x14ac:dyDescent="0.35">
      <c r="A12" s="94" t="s">
        <v>235</v>
      </c>
      <c r="B12" s="86">
        <v>11104201</v>
      </c>
      <c r="C12" s="86">
        <v>3599895</v>
      </c>
      <c r="D12" s="87">
        <v>0.39401608701850543</v>
      </c>
      <c r="E12" s="86">
        <v>47619</v>
      </c>
      <c r="F12" s="87">
        <v>2.3160265293517408E-2</v>
      </c>
      <c r="G12" s="91">
        <v>9.154326541716799E-3</v>
      </c>
    </row>
    <row r="13" spans="1:7" x14ac:dyDescent="0.35">
      <c r="A13" s="94" t="s">
        <v>266</v>
      </c>
      <c r="B13" s="86">
        <v>7796578</v>
      </c>
      <c r="C13" s="86">
        <v>2290019</v>
      </c>
      <c r="D13" s="87">
        <v>0.3572745444165954</v>
      </c>
      <c r="E13" s="86">
        <v>34998</v>
      </c>
      <c r="F13" s="87">
        <v>1.4596221868795023E-2</v>
      </c>
      <c r="G13" s="91">
        <v>5.4602294720600348E-3</v>
      </c>
    </row>
    <row r="14" spans="1:7" x14ac:dyDescent="0.35">
      <c r="A14" s="94" t="s">
        <v>285</v>
      </c>
      <c r="B14" s="86">
        <v>9511932</v>
      </c>
      <c r="C14" s="86">
        <v>3042313</v>
      </c>
      <c r="D14" s="87">
        <v>0.36884294081665925</v>
      </c>
      <c r="E14" s="86">
        <v>41443</v>
      </c>
      <c r="F14" s="87">
        <v>3.6834270025607845E-2</v>
      </c>
      <c r="G14" s="91">
        <v>1.3765277542218178E-2</v>
      </c>
    </row>
    <row r="15" spans="1:7" x14ac:dyDescent="0.35">
      <c r="A15" s="94" t="s">
        <v>300</v>
      </c>
      <c r="B15" s="104">
        <v>8513059</v>
      </c>
      <c r="C15" s="104">
        <v>2707078</v>
      </c>
      <c r="D15" s="105">
        <v>0.35572964677202745</v>
      </c>
      <c r="E15" s="104">
        <v>31958</v>
      </c>
      <c r="F15" s="105">
        <v>3.9962382630070424E-2</v>
      </c>
      <c r="G15" s="106">
        <v>1.4174235308144897E-2</v>
      </c>
    </row>
    <row r="16" spans="1:7" x14ac:dyDescent="0.35">
      <c r="A16" s="94" t="s">
        <v>328</v>
      </c>
      <c r="B16" s="104">
        <v>9185018</v>
      </c>
      <c r="C16" s="104">
        <v>2873579</v>
      </c>
      <c r="D16" s="105">
        <v>0.39958240386725496</v>
      </c>
      <c r="E16" s="104">
        <v>37311</v>
      </c>
      <c r="F16" s="105">
        <v>1.5377917705830116E-2</v>
      </c>
      <c r="G16" s="106">
        <v>6.3708016241738981E-3</v>
      </c>
    </row>
    <row r="17" spans="1:14" x14ac:dyDescent="0.35">
      <c r="A17" s="94" t="s">
        <v>353</v>
      </c>
      <c r="B17" s="104">
        <v>21072923</v>
      </c>
      <c r="C17" s="104">
        <v>7139036</v>
      </c>
      <c r="D17" s="105">
        <v>0.36053888308993037</v>
      </c>
      <c r="E17" s="104">
        <v>85045</v>
      </c>
      <c r="F17" s="105">
        <v>2.3133168376834091E-2</v>
      </c>
      <c r="G17" s="106">
        <v>9.2668366319458711E-3</v>
      </c>
    </row>
    <row r="18" spans="1:14" x14ac:dyDescent="0.35">
      <c r="A18" s="90" t="s">
        <v>366</v>
      </c>
      <c r="B18" s="86">
        <v>17891714</v>
      </c>
      <c r="C18" s="86">
        <v>6007340</v>
      </c>
      <c r="D18" s="87">
        <v>0.34317041461085235</v>
      </c>
      <c r="E18" s="86">
        <v>132872</v>
      </c>
      <c r="F18" s="87">
        <v>1.9018282263508678E-2</v>
      </c>
      <c r="G18" s="91">
        <v>6.3577471653593872E-3</v>
      </c>
    </row>
    <row r="19" spans="1:14" x14ac:dyDescent="0.35">
      <c r="A19" s="92" t="s">
        <v>419</v>
      </c>
      <c r="B19" s="86">
        <v>15677840</v>
      </c>
      <c r="C19" s="86">
        <v>5521118</v>
      </c>
      <c r="D19" s="87">
        <v>0.38933523698034295</v>
      </c>
      <c r="E19" s="86">
        <v>89500</v>
      </c>
      <c r="F19" s="87">
        <v>2.8700525403881592E-2</v>
      </c>
      <c r="G19" s="91">
        <v>1.2484556688402933E-2</v>
      </c>
    </row>
    <row r="20" spans="1:14" x14ac:dyDescent="0.35">
      <c r="A20" s="92" t="s">
        <v>420</v>
      </c>
      <c r="B20" s="86">
        <v>14282059</v>
      </c>
      <c r="C20" s="86">
        <v>4995956</v>
      </c>
      <c r="D20" s="87">
        <v>0.36850969491333513</v>
      </c>
      <c r="E20" s="86">
        <v>48787</v>
      </c>
      <c r="F20" s="87">
        <v>1.5468340442863271E-2</v>
      </c>
      <c r="G20" s="91">
        <v>6.0207627384593716E-3</v>
      </c>
    </row>
    <row r="21" spans="1:14" x14ac:dyDescent="0.35">
      <c r="A21" s="90" t="s">
        <v>421</v>
      </c>
      <c r="B21" s="86">
        <v>15941868</v>
      </c>
      <c r="C21" s="86">
        <v>5371275</v>
      </c>
      <c r="D21" s="87">
        <v>0.39783566696155886</v>
      </c>
      <c r="E21" s="86">
        <v>61017</v>
      </c>
      <c r="F21" s="87">
        <v>2.0276234339255014E-2</v>
      </c>
      <c r="G21" s="91">
        <v>8.2843783297031279E-3</v>
      </c>
      <c r="I21" s="1"/>
      <c r="J21" s="1"/>
      <c r="K21" s="2"/>
      <c r="L21" s="1"/>
      <c r="M21" s="2"/>
      <c r="N21" s="2"/>
    </row>
    <row r="22" spans="1:14" x14ac:dyDescent="0.35">
      <c r="A22" s="120" t="s">
        <v>445</v>
      </c>
      <c r="B22" s="108">
        <v>19693603</v>
      </c>
      <c r="C22" s="108">
        <v>6598046</v>
      </c>
      <c r="D22" s="109">
        <v>0.41596025494055799</v>
      </c>
      <c r="E22" s="108">
        <v>65434</v>
      </c>
      <c r="F22" s="109">
        <v>2.412646365922827E-2</v>
      </c>
      <c r="G22" s="118">
        <v>1.1302524582376367E-2</v>
      </c>
    </row>
    <row r="23" spans="1:14" ht="15" thickBot="1" x14ac:dyDescent="0.4">
      <c r="A23" s="43" t="s">
        <v>368</v>
      </c>
      <c r="B23" s="40">
        <f>SUBTOTAL(9,B2:B22)</f>
        <v>296128186</v>
      </c>
      <c r="C23" s="40">
        <f>SUBTOTAL(9,C2:C22)</f>
        <v>99472138</v>
      </c>
      <c r="D23" s="41">
        <f>_xlfn.AGGREGATE(1,7,D2:D22)</f>
        <v>0.37048312445003695</v>
      </c>
      <c r="E23" s="40">
        <f>SUBTOTAL(9,E2:E22)</f>
        <v>1504886</v>
      </c>
      <c r="F23" s="41">
        <f>_xlfn.AGGREGATE(1,7,F2:F22)</f>
        <v>2.5159408058952466E-2</v>
      </c>
      <c r="G23" s="41">
        <f>_xlfn.AGGREGATE(1,7,G2:G22)</f>
        <v>9.1793164345675814E-3</v>
      </c>
    </row>
    <row r="39" spans="9:16" x14ac:dyDescent="0.35">
      <c r="J39" s="1"/>
      <c r="K39" s="1"/>
      <c r="L39" s="2"/>
      <c r="M39" s="1"/>
      <c r="N39" s="2"/>
      <c r="O39" s="2"/>
    </row>
    <row r="45" spans="9:16" x14ac:dyDescent="0.35">
      <c r="K45" s="1"/>
      <c r="L45" s="1"/>
      <c r="M45" s="2"/>
      <c r="N45" s="1"/>
      <c r="O45" s="2"/>
      <c r="P45" s="2"/>
    </row>
    <row r="47" spans="9:16" x14ac:dyDescent="0.35">
      <c r="I47" s="1"/>
      <c r="J47" s="1"/>
      <c r="K47" s="2"/>
      <c r="L47" s="1"/>
      <c r="M47" s="2"/>
      <c r="N47" s="2"/>
    </row>
    <row r="49" spans="8:17" x14ac:dyDescent="0.35">
      <c r="I49" s="1"/>
      <c r="J49" s="1"/>
      <c r="K49" s="2"/>
      <c r="L49" s="1"/>
      <c r="M49" s="2"/>
      <c r="N49" s="2"/>
    </row>
    <row r="52" spans="8:17" x14ac:dyDescent="0.35">
      <c r="I52" s="1"/>
      <c r="J52" s="1"/>
      <c r="K52" s="2"/>
      <c r="L52" s="1"/>
      <c r="M52" s="2"/>
      <c r="N52" s="2"/>
    </row>
    <row r="57" spans="8:17" x14ac:dyDescent="0.35">
      <c r="K57" s="1"/>
      <c r="L57" s="1"/>
      <c r="M57" s="2"/>
      <c r="N57" s="1"/>
      <c r="O57" s="2"/>
      <c r="P57" s="2"/>
    </row>
    <row r="58" spans="8:17" x14ac:dyDescent="0.35">
      <c r="J58" s="1"/>
      <c r="K58" s="1"/>
      <c r="L58" s="2"/>
      <c r="M58" s="1"/>
      <c r="N58" s="2"/>
      <c r="O58" s="2"/>
      <c r="P58" s="2"/>
      <c r="Q58" s="2"/>
    </row>
    <row r="59" spans="8:17" ht="15.5" x14ac:dyDescent="0.35">
      <c r="J59" s="17"/>
      <c r="K59" s="17"/>
      <c r="L59" s="42"/>
      <c r="M59" s="17"/>
      <c r="N59" s="42"/>
      <c r="O59" s="42"/>
    </row>
    <row r="60" spans="8:17" x14ac:dyDescent="0.35">
      <c r="H60" s="1"/>
      <c r="I60" s="1"/>
      <c r="J60" s="2"/>
      <c r="K60" s="1"/>
      <c r="L60" s="2"/>
      <c r="M60" s="2"/>
    </row>
    <row r="62" spans="8:17" x14ac:dyDescent="0.35">
      <c r="J62" s="1"/>
      <c r="K62" s="1"/>
      <c r="L62" s="2"/>
      <c r="M62" s="1"/>
      <c r="N62" s="2"/>
      <c r="O62" s="2"/>
    </row>
    <row r="63" spans="8:17" x14ac:dyDescent="0.35">
      <c r="H63" s="1"/>
      <c r="I63" s="1"/>
      <c r="J63" s="2"/>
      <c r="K63" s="1"/>
      <c r="L63" s="2"/>
      <c r="M63" s="2"/>
      <c r="N63" s="2"/>
      <c r="O63" s="2"/>
    </row>
    <row r="66" spans="9:15" x14ac:dyDescent="0.35">
      <c r="J66" s="1"/>
      <c r="K66" s="1"/>
      <c r="L66" s="2"/>
      <c r="M66" s="1"/>
      <c r="N66" s="2"/>
      <c r="O66" s="2"/>
    </row>
    <row r="67" spans="9:15" x14ac:dyDescent="0.35">
      <c r="J67" s="1"/>
      <c r="K67" s="1"/>
      <c r="L67" s="2"/>
      <c r="M67" s="1"/>
      <c r="N67" s="2"/>
      <c r="O67" s="2"/>
    </row>
    <row r="72" spans="9:15" x14ac:dyDescent="0.35">
      <c r="I72" s="1"/>
      <c r="J72" s="1"/>
      <c r="K72" s="2"/>
      <c r="L72" s="1"/>
      <c r="M72" s="2"/>
      <c r="N72" s="2"/>
    </row>
  </sheetData>
  <phoneticPr fontId="6" type="noConversion"/>
  <pageMargins left="0.7" right="0.7" top="0.75" bottom="0.75" header="0.3" footer="0.3"/>
  <pageSetup orientation="portrait" r:id="rId1"/>
  <ignoredErrors>
    <ignoredError sqref="D23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C4FD-2B55-4256-99A4-F5B773E24811}">
  <sheetPr>
    <tabColor rgb="FF92D050"/>
  </sheetPr>
  <dimension ref="B1:V27"/>
  <sheetViews>
    <sheetView showGridLines="0" topLeftCell="A4" zoomScale="90" zoomScaleNormal="90" workbookViewId="0">
      <selection activeCell="B24" sqref="B24"/>
    </sheetView>
  </sheetViews>
  <sheetFormatPr defaultColWidth="12.453125" defaultRowHeight="14.5" x14ac:dyDescent="0.35"/>
  <cols>
    <col min="1" max="1" width="7.1796875" customWidth="1"/>
    <col min="2" max="2" width="17.08984375" bestFit="1" customWidth="1"/>
    <col min="3" max="3" width="10.54296875" customWidth="1"/>
    <col min="4" max="4" width="18" customWidth="1"/>
    <col min="6" max="7" width="13.90625" customWidth="1"/>
    <col min="9" max="9" width="23.6328125" customWidth="1"/>
    <col min="10" max="10" width="15.54296875" bestFit="1" customWidth="1"/>
    <col min="11" max="11" width="11.08984375" customWidth="1"/>
    <col min="12" max="12" width="15.26953125" customWidth="1"/>
  </cols>
  <sheetData>
    <row r="1" spans="2:12" ht="22" customHeight="1" thickBot="1" x14ac:dyDescent="0.4"/>
    <row r="2" spans="2:12" ht="26.5" thickBot="1" x14ac:dyDescent="0.65">
      <c r="B2" s="136" t="s">
        <v>447</v>
      </c>
      <c r="C2" s="137"/>
      <c r="D2" s="137"/>
      <c r="E2" s="137"/>
      <c r="F2" s="137"/>
      <c r="G2" s="138"/>
      <c r="J2" s="139" t="s">
        <v>446</v>
      </c>
      <c r="K2" s="140"/>
      <c r="L2" s="141"/>
    </row>
    <row r="3" spans="2:12" ht="26.5" thickBot="1" x14ac:dyDescent="0.65">
      <c r="B3" s="142" t="s">
        <v>27</v>
      </c>
      <c r="C3" s="143"/>
      <c r="D3" s="143"/>
      <c r="E3" s="143"/>
      <c r="F3" s="143"/>
      <c r="G3" s="144"/>
      <c r="J3" s="75" t="s">
        <v>28</v>
      </c>
      <c r="K3" s="75" t="s">
        <v>42</v>
      </c>
      <c r="L3" s="75" t="s">
        <v>29</v>
      </c>
    </row>
    <row r="4" spans="2:12" ht="21.5" thickBot="1" x14ac:dyDescent="0.55000000000000004">
      <c r="B4" s="44" t="s">
        <v>1</v>
      </c>
      <c r="C4" s="45" t="s">
        <v>30</v>
      </c>
      <c r="D4" s="46" t="s">
        <v>15</v>
      </c>
      <c r="E4" s="47" t="s">
        <v>30</v>
      </c>
      <c r="F4" s="48" t="s">
        <v>5</v>
      </c>
      <c r="G4" s="49" t="s">
        <v>30</v>
      </c>
      <c r="J4" s="78">
        <v>15941868</v>
      </c>
      <c r="K4" s="79">
        <v>0.39779999999999999</v>
      </c>
      <c r="L4" s="79">
        <v>2.0299999999999999E-2</v>
      </c>
    </row>
    <row r="5" spans="2:12" ht="21.5" thickBot="1" x14ac:dyDescent="0.4">
      <c r="B5" s="59">
        <v>19693603</v>
      </c>
      <c r="C5" s="58">
        <f>(B5-J4)/J4</f>
        <v>0.23533848103622487</v>
      </c>
      <c r="D5" s="67">
        <v>0.41599999999999998</v>
      </c>
      <c r="E5" s="58">
        <f>(D5-K4)/K4</f>
        <v>4.5751633986928088E-2</v>
      </c>
      <c r="F5" s="67">
        <v>2.41E-2</v>
      </c>
      <c r="G5" s="58">
        <f>(F5-L4)/L4</f>
        <v>0.18719211822660106</v>
      </c>
    </row>
    <row r="7" spans="2:12" ht="15" thickBot="1" x14ac:dyDescent="0.4"/>
    <row r="8" spans="2:12" ht="26.5" thickBot="1" x14ac:dyDescent="0.65">
      <c r="B8" s="145" t="s">
        <v>31</v>
      </c>
      <c r="C8" s="146"/>
      <c r="D8" s="146"/>
      <c r="E8" s="146"/>
      <c r="F8" s="146"/>
      <c r="G8" s="147"/>
      <c r="J8" s="71" t="s">
        <v>32</v>
      </c>
      <c r="K8" s="71" t="s">
        <v>33</v>
      </c>
      <c r="L8" s="71" t="s">
        <v>34</v>
      </c>
    </row>
    <row r="9" spans="2:12" ht="21.5" thickBot="1" x14ac:dyDescent="0.55000000000000004">
      <c r="B9" s="50" t="s">
        <v>35</v>
      </c>
      <c r="C9" s="51" t="s">
        <v>30</v>
      </c>
      <c r="D9" s="52" t="s">
        <v>36</v>
      </c>
      <c r="E9" s="53" t="s">
        <v>30</v>
      </c>
      <c r="F9" s="54" t="s">
        <v>37</v>
      </c>
      <c r="G9" s="55" t="s">
        <v>30</v>
      </c>
      <c r="J9" s="80">
        <v>43299</v>
      </c>
      <c r="K9" s="78">
        <v>1386</v>
      </c>
      <c r="L9" s="78">
        <v>3118</v>
      </c>
    </row>
    <row r="10" spans="2:12" ht="21.5" thickBot="1" x14ac:dyDescent="0.4">
      <c r="B10" s="57">
        <v>78790</v>
      </c>
      <c r="C10" s="58">
        <f>(B10-J9)/J9</f>
        <v>0.81967250975773109</v>
      </c>
      <c r="D10" s="59">
        <v>2305</v>
      </c>
      <c r="E10" s="58">
        <f>(D10-K9)/K9</f>
        <v>0.66305916305916301</v>
      </c>
      <c r="F10" s="59">
        <v>5583</v>
      </c>
      <c r="G10" s="58">
        <f>(F10-L9)/L9</f>
        <v>0.79057087876844134</v>
      </c>
    </row>
    <row r="11" spans="2:12" ht="15" thickBot="1" x14ac:dyDescent="0.4">
      <c r="B11" s="60"/>
      <c r="C11" s="60"/>
      <c r="D11" s="60"/>
      <c r="E11" s="60"/>
      <c r="F11" s="60"/>
      <c r="G11" s="60"/>
    </row>
    <row r="12" spans="2:12" ht="26.5" thickBot="1" x14ac:dyDescent="0.4">
      <c r="B12" s="148" t="s">
        <v>38</v>
      </c>
      <c r="C12" s="149"/>
      <c r="D12" s="149"/>
      <c r="E12" s="149"/>
      <c r="F12" s="149"/>
      <c r="G12" s="150"/>
    </row>
    <row r="13" spans="2:12" ht="21.5" thickBot="1" x14ac:dyDescent="0.4">
      <c r="B13" s="61" t="s">
        <v>35</v>
      </c>
      <c r="C13" s="62" t="s">
        <v>30</v>
      </c>
      <c r="D13" s="63" t="s">
        <v>36</v>
      </c>
      <c r="E13" s="64" t="s">
        <v>30</v>
      </c>
      <c r="F13" s="65" t="s">
        <v>37</v>
      </c>
      <c r="G13" s="66" t="s">
        <v>30</v>
      </c>
    </row>
    <row r="14" spans="2:12" ht="21.5" thickBot="1" x14ac:dyDescent="0.4">
      <c r="B14" s="133" t="s">
        <v>39</v>
      </c>
      <c r="C14" s="134"/>
      <c r="D14" s="134"/>
      <c r="E14" s="134"/>
      <c r="F14" s="134"/>
      <c r="G14" s="135"/>
      <c r="J14" s="76" t="s">
        <v>32</v>
      </c>
      <c r="K14" s="76" t="s">
        <v>33</v>
      </c>
      <c r="L14" s="76" t="s">
        <v>34</v>
      </c>
    </row>
    <row r="15" spans="2:12" ht="21.5" thickBot="1" x14ac:dyDescent="0.4">
      <c r="B15" s="57">
        <v>10270</v>
      </c>
      <c r="C15" s="58">
        <f>(B15-J15)/J15</f>
        <v>1.1837125239209016</v>
      </c>
      <c r="D15" s="59">
        <v>264</v>
      </c>
      <c r="E15" s="58">
        <f>(D15-K15)/K15</f>
        <v>1.1818181818181819</v>
      </c>
      <c r="F15" s="59">
        <v>655</v>
      </c>
      <c r="G15" s="58">
        <f>(F15-L15)/L15</f>
        <v>1.2508591065292096</v>
      </c>
      <c r="J15" s="80">
        <v>4703</v>
      </c>
      <c r="K15" s="78">
        <v>121</v>
      </c>
      <c r="L15" s="78">
        <v>291</v>
      </c>
    </row>
    <row r="16" spans="2:12" ht="21.5" thickBot="1" x14ac:dyDescent="0.4">
      <c r="B16" s="156" t="s">
        <v>40</v>
      </c>
      <c r="C16" s="157"/>
      <c r="D16" s="157"/>
      <c r="E16" s="157"/>
      <c r="F16" s="157"/>
      <c r="G16" s="158"/>
      <c r="J16" s="68" t="s">
        <v>32</v>
      </c>
      <c r="K16" s="68" t="s">
        <v>33</v>
      </c>
      <c r="L16" s="68" t="s">
        <v>34</v>
      </c>
    </row>
    <row r="17" spans="2:22" ht="21.5" thickBot="1" x14ac:dyDescent="0.4">
      <c r="B17" s="57">
        <v>5938</v>
      </c>
      <c r="C17" s="58">
        <f>(B17-J17)/J17</f>
        <v>2.0624033006704487</v>
      </c>
      <c r="D17" s="59">
        <v>185</v>
      </c>
      <c r="E17" s="58">
        <f>(D17-K17)/K17</f>
        <v>1.3417721518987342</v>
      </c>
      <c r="F17" s="59">
        <v>446</v>
      </c>
      <c r="G17" s="58">
        <f>(F17-L17)/L17</f>
        <v>1.7875000000000001</v>
      </c>
      <c r="J17" s="80">
        <v>1939</v>
      </c>
      <c r="K17" s="78">
        <v>79</v>
      </c>
      <c r="L17" s="78">
        <v>160</v>
      </c>
      <c r="M17" s="56"/>
      <c r="N17" s="56"/>
      <c r="O17" s="56"/>
    </row>
    <row r="18" spans="2:22" ht="21.5" thickBot="1" x14ac:dyDescent="0.4">
      <c r="B18" s="159" t="s">
        <v>449</v>
      </c>
      <c r="C18" s="160"/>
      <c r="D18" s="160"/>
      <c r="E18" s="160"/>
      <c r="F18" s="160"/>
      <c r="G18" s="161"/>
      <c r="J18" s="69" t="s">
        <v>32</v>
      </c>
      <c r="K18" s="69" t="s">
        <v>33</v>
      </c>
      <c r="L18" s="69" t="s">
        <v>34</v>
      </c>
    </row>
    <row r="19" spans="2:22" ht="21.5" thickBot="1" x14ac:dyDescent="0.4">
      <c r="B19" s="57">
        <v>0</v>
      </c>
      <c r="C19" s="58">
        <f>(B19-J19)/J19</f>
        <v>-1</v>
      </c>
      <c r="D19" s="59">
        <v>0</v>
      </c>
      <c r="E19" s="58">
        <f>(D19-K19)/K19</f>
        <v>-1</v>
      </c>
      <c r="F19" s="59">
        <v>0</v>
      </c>
      <c r="G19" s="58">
        <f>(F19-L19)/L19</f>
        <v>-1</v>
      </c>
      <c r="J19" s="80">
        <v>2334</v>
      </c>
      <c r="K19" s="78">
        <v>80</v>
      </c>
      <c r="L19" s="78">
        <v>169</v>
      </c>
      <c r="M19" s="56"/>
      <c r="N19" s="56"/>
      <c r="O19" s="56"/>
    </row>
    <row r="20" spans="2:22" ht="21.5" thickBot="1" x14ac:dyDescent="0.4">
      <c r="B20" s="162" t="s">
        <v>41</v>
      </c>
      <c r="C20" s="163"/>
      <c r="D20" s="163"/>
      <c r="E20" s="163"/>
      <c r="F20" s="163"/>
      <c r="G20" s="164"/>
      <c r="J20" s="70" t="s">
        <v>32</v>
      </c>
      <c r="K20" s="70" t="s">
        <v>33</v>
      </c>
      <c r="L20" s="70" t="s">
        <v>34</v>
      </c>
    </row>
    <row r="21" spans="2:22" ht="21.5" thickBot="1" x14ac:dyDescent="0.4">
      <c r="B21" s="57">
        <v>9416</v>
      </c>
      <c r="C21" s="58">
        <f>(B21-J21)/J21</f>
        <v>0.62344827586206897</v>
      </c>
      <c r="D21" s="59">
        <v>233</v>
      </c>
      <c r="E21" s="58">
        <f>(D21-K21)/K21</f>
        <v>0.58503401360544216</v>
      </c>
      <c r="F21" s="59">
        <v>613</v>
      </c>
      <c r="G21" s="58">
        <f>(F21-L21)/L21</f>
        <v>0.63903743315508021</v>
      </c>
      <c r="J21" s="80">
        <v>5800</v>
      </c>
      <c r="K21" s="78">
        <v>147</v>
      </c>
      <c r="L21" s="78">
        <v>374</v>
      </c>
    </row>
    <row r="22" spans="2:22" s="72" customFormat="1" ht="36.5" customHeight="1" x14ac:dyDescent="0.35">
      <c r="B22" s="155" t="s">
        <v>448</v>
      </c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</row>
    <row r="23" spans="2:22" s="72" customFormat="1" ht="16" customHeight="1" x14ac:dyDescent="0.35">
      <c r="B23" s="155" t="s">
        <v>450</v>
      </c>
      <c r="C23" s="155"/>
      <c r="D23" s="155"/>
      <c r="E23" s="155"/>
      <c r="F23" s="155"/>
      <c r="G23" s="155"/>
      <c r="H23" s="119"/>
      <c r="I23" s="119"/>
      <c r="J23" s="119"/>
      <c r="K23" s="119"/>
      <c r="L23" s="119"/>
      <c r="M23" s="119"/>
      <c r="N23" s="119"/>
      <c r="O23" s="119"/>
    </row>
    <row r="24" spans="2:22" s="72" customFormat="1" ht="14.4" customHeight="1" thickBot="1" x14ac:dyDescent="0.4"/>
    <row r="25" spans="2:22" ht="26.5" thickBot="1" x14ac:dyDescent="0.65">
      <c r="B25" s="145" t="s">
        <v>301</v>
      </c>
      <c r="C25" s="146"/>
      <c r="D25" s="146"/>
      <c r="E25" s="146"/>
      <c r="F25" s="146"/>
      <c r="G25" s="147"/>
      <c r="Q25" s="1"/>
      <c r="R25" s="1"/>
      <c r="S25" s="2"/>
      <c r="T25" s="1"/>
      <c r="U25" s="2"/>
      <c r="V25" s="2"/>
    </row>
    <row r="26" spans="2:22" ht="21" x14ac:dyDescent="0.5">
      <c r="B26" s="165" t="s">
        <v>74</v>
      </c>
      <c r="C26" s="166"/>
      <c r="D26" s="167" t="s">
        <v>75</v>
      </c>
      <c r="E26" s="168"/>
      <c r="F26" s="169" t="s">
        <v>76</v>
      </c>
      <c r="G26" s="170"/>
      <c r="I26" s="84"/>
    </row>
    <row r="27" spans="2:22" ht="21.5" thickBot="1" x14ac:dyDescent="0.4">
      <c r="B27" s="151">
        <v>1256459</v>
      </c>
      <c r="C27" s="152"/>
      <c r="D27" s="153">
        <v>45746</v>
      </c>
      <c r="E27" s="154"/>
      <c r="F27" s="153">
        <v>110886</v>
      </c>
      <c r="G27" s="154"/>
    </row>
  </sheetData>
  <mergeCells count="19">
    <mergeCell ref="J22:O22"/>
    <mergeCell ref="B25:G25"/>
    <mergeCell ref="B26:C26"/>
    <mergeCell ref="D26:E26"/>
    <mergeCell ref="F26:G26"/>
    <mergeCell ref="B23:G23"/>
    <mergeCell ref="B27:C27"/>
    <mergeCell ref="D27:E27"/>
    <mergeCell ref="F27:G27"/>
    <mergeCell ref="B22:I22"/>
    <mergeCell ref="B16:G16"/>
    <mergeCell ref="B18:G18"/>
    <mergeCell ref="B20:G20"/>
    <mergeCell ref="B14:G14"/>
    <mergeCell ref="B2:G2"/>
    <mergeCell ref="J2:L2"/>
    <mergeCell ref="B3:G3"/>
    <mergeCell ref="B8:G8"/>
    <mergeCell ref="B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Week of Dec 27, 2024 - Jan 2</vt:lpstr>
      <vt:lpstr>Week of Jan 3-9</vt:lpstr>
      <vt:lpstr>Week of Jan 10-16</vt:lpstr>
      <vt:lpstr>Week of Jan 17-23</vt:lpstr>
      <vt:lpstr>Week of Jan 24-30</vt:lpstr>
      <vt:lpstr>Week of Jan 31-Feb 6</vt:lpstr>
      <vt:lpstr>Week of Feb 7-Feb 13</vt:lpstr>
      <vt:lpstr>Week of Feb 14-Feb 20</vt:lpstr>
      <vt:lpstr>Week of Feb 21-Feb 27</vt:lpstr>
      <vt:lpstr>Week of Feb 28-Mar 6</vt:lpstr>
      <vt:lpstr>Week of Mar 7-Mar 13</vt:lpstr>
      <vt:lpstr>Week of Mar 14-Mar 20</vt:lpstr>
      <vt:lpstr>Week of Mar 21-Mar 27</vt:lpstr>
      <vt:lpstr>Week of Mar 28-Apr 3</vt:lpstr>
      <vt:lpstr>Week of Apr 4-Apr 10</vt:lpstr>
      <vt:lpstr>Week of Apr 11-Apr 17</vt:lpstr>
      <vt:lpstr>Week of Apr 18-Apr 24</vt:lpstr>
      <vt:lpstr>Week of Apr 25-May 1</vt:lpstr>
      <vt:lpstr>Week of May 2-May 8</vt:lpstr>
      <vt:lpstr>Week of May 9-May 15</vt:lpstr>
      <vt:lpstr>Week of May 16-May 22</vt:lpstr>
      <vt:lpstr>YTD - All AJO Emails</vt:lpstr>
      <vt:lpstr>YTD - Weekly Metrics</vt:lpstr>
      <vt:lpstr>WOW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Patrick Dixon</cp:lastModifiedBy>
  <dcterms:created xsi:type="dcterms:W3CDTF">2016-07-06T08:22:49Z</dcterms:created>
  <dcterms:modified xsi:type="dcterms:W3CDTF">2025-05-28T13:54:44Z</dcterms:modified>
</cp:coreProperties>
</file>