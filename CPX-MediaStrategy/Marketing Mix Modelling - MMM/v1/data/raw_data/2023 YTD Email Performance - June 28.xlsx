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patrick_dixon_cineplex_com/Documents/Desktop/"/>
    </mc:Choice>
  </mc:AlternateContent>
  <xr:revisionPtr revIDLastSave="6" documentId="8_{CEAF9845-D6AD-47D5-B6D1-3DAE4B814453}" xr6:coauthVersionLast="47" xr6:coauthVersionMax="47" xr10:uidLastSave="{668F25C3-D992-465C-A105-BED2F617EFFA}"/>
  <bookViews>
    <workbookView xWindow="-108" yWindow="-108" windowWidth="23256" windowHeight="12576" xr2:uid="{8D1B6A21-D081-4C79-A261-CAB1077DD8E0}"/>
  </bookViews>
  <sheets>
    <sheet name="All Email Performance" sheetId="1" r:id="rId1"/>
    <sheet name="Consolidated View" sheetId="3" r:id="rId2"/>
    <sheet name="Weekly View" sheetId="4" r:id="rId3"/>
    <sheet name="Friday What's On" sheetId="11" r:id="rId4"/>
    <sheet name="Tuesday Deals" sheetId="9" r:id="rId5"/>
    <sheet name="Store Newsletter" sheetId="12" r:id="rId6"/>
    <sheet name="Theatrical" sheetId="14" r:id="rId7"/>
    <sheet name="Store" sheetId="15" r:id="rId8"/>
    <sheet name="Scene+ Offer Only" sheetId="19" r:id="rId9"/>
    <sheet name="BM&amp;P" sheetId="18" r:id="rId10"/>
    <sheet name="Other" sheetId="21" r:id="rId11"/>
    <sheet name="LBE" sheetId="16" r:id="rId12"/>
    <sheet name="CineClub" sheetId="20" r:id="rId13"/>
    <sheet name="Survey" sheetId="17" r:id="rId14"/>
    <sheet name="Revenue" sheetId="24" r:id="rId15"/>
    <sheet name="List Sheet" sheetId="2" state="hidden" r:id="rId16"/>
  </sheets>
  <definedNames>
    <definedName name="_xlnm._FilterDatabase" localSheetId="0" hidden="1">'All Email Performance'!$A$1:$N$1</definedName>
    <definedName name="_xlnm._FilterDatabase" localSheetId="1" hidden="1">'Consolidated View'!$A$1:$M$1</definedName>
    <definedName name="_xlnm._FilterDatabase" localSheetId="14" hidden="1">Revenue!$R$4:$R$4</definedName>
    <definedName name="_xlnm._FilterDatabase" localSheetId="6" hidden="1">Theatrical!$A$1:$O$1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01" i="1" l="1"/>
  <c r="J801" i="1"/>
  <c r="E801" i="1"/>
  <c r="H801" i="1"/>
  <c r="F5" i="24" l="1"/>
  <c r="J5" i="24"/>
  <c r="K5" i="24"/>
  <c r="Q5" i="24"/>
  <c r="F6" i="24"/>
  <c r="J6" i="24"/>
  <c r="K6" i="24"/>
  <c r="Q6" i="24"/>
  <c r="F7" i="24"/>
  <c r="J7" i="24"/>
  <c r="K7" i="24"/>
  <c r="Q7" i="24"/>
  <c r="F8" i="24"/>
  <c r="J8" i="24"/>
  <c r="K8" i="24"/>
  <c r="Q8" i="24"/>
  <c r="F9" i="24"/>
  <c r="J9" i="24"/>
  <c r="K9" i="24"/>
  <c r="Q9" i="24"/>
  <c r="F10" i="24"/>
  <c r="J10" i="24"/>
  <c r="K10" i="24"/>
  <c r="Q10" i="24"/>
  <c r="F11" i="24"/>
  <c r="J11" i="24"/>
  <c r="K11" i="24"/>
  <c r="Q11" i="24"/>
  <c r="F12" i="24"/>
  <c r="J12" i="24"/>
  <c r="K12" i="24"/>
  <c r="Q12" i="24"/>
  <c r="F13" i="24"/>
  <c r="J13" i="24"/>
  <c r="K13" i="24"/>
  <c r="Q13" i="24"/>
  <c r="F14" i="24"/>
  <c r="J14" i="24"/>
  <c r="K14" i="24"/>
  <c r="Q14" i="24"/>
  <c r="F15" i="24"/>
  <c r="J15" i="24"/>
  <c r="K15" i="24"/>
  <c r="Q15" i="24"/>
  <c r="F16" i="24"/>
  <c r="J16" i="24"/>
  <c r="K16" i="24"/>
  <c r="Q16" i="24"/>
  <c r="F17" i="24"/>
  <c r="J17" i="24"/>
  <c r="K17" i="24"/>
  <c r="Q17" i="24"/>
  <c r="F18" i="24"/>
  <c r="J18" i="24"/>
  <c r="K18" i="24"/>
  <c r="Q18" i="24"/>
  <c r="F19" i="24"/>
  <c r="J19" i="24"/>
  <c r="K19" i="24"/>
  <c r="Q19" i="24"/>
  <c r="F20" i="24"/>
  <c r="J20" i="24"/>
  <c r="K20" i="24"/>
  <c r="Q20" i="24"/>
  <c r="F21" i="24"/>
  <c r="J21" i="24"/>
  <c r="K21" i="24"/>
  <c r="Q21" i="24"/>
  <c r="F22" i="24"/>
  <c r="J22" i="24"/>
  <c r="K22" i="24"/>
  <c r="Q22" i="24"/>
  <c r="F23" i="24"/>
  <c r="J23" i="24"/>
  <c r="K23" i="24"/>
  <c r="Q23" i="24"/>
  <c r="F24" i="24"/>
  <c r="J24" i="24"/>
  <c r="K24" i="24"/>
  <c r="Q24" i="24"/>
  <c r="F25" i="24"/>
  <c r="J25" i="24"/>
  <c r="K25" i="24"/>
  <c r="Q25" i="24"/>
  <c r="F26" i="24"/>
  <c r="J26" i="24"/>
  <c r="K26" i="24"/>
  <c r="Q26" i="24"/>
  <c r="F27" i="24"/>
  <c r="J27" i="24"/>
  <c r="K27" i="24"/>
  <c r="Q27" i="24"/>
  <c r="F28" i="24"/>
  <c r="J28" i="24"/>
  <c r="K28" i="24"/>
  <c r="Q28" i="24"/>
  <c r="F29" i="24"/>
  <c r="J29" i="24"/>
  <c r="K29" i="24"/>
  <c r="Q29" i="24"/>
  <c r="F30" i="24"/>
  <c r="J30" i="24"/>
  <c r="K30" i="24"/>
  <c r="Q30" i="24"/>
  <c r="F31" i="24"/>
  <c r="J31" i="24"/>
  <c r="K31" i="24"/>
  <c r="Q31" i="24"/>
  <c r="F32" i="24"/>
  <c r="J32" i="24"/>
  <c r="K32" i="24"/>
  <c r="Q32" i="24"/>
  <c r="F33" i="24"/>
  <c r="J33" i="24"/>
  <c r="K33" i="24"/>
  <c r="Q33" i="24"/>
  <c r="F34" i="24"/>
  <c r="J34" i="24"/>
  <c r="K34" i="24"/>
  <c r="Q34" i="24"/>
  <c r="F35" i="24"/>
  <c r="J35" i="24"/>
  <c r="K35" i="24"/>
  <c r="Q35" i="24"/>
  <c r="F36" i="24"/>
  <c r="J36" i="24"/>
  <c r="K36" i="24"/>
  <c r="Q36" i="24"/>
  <c r="F37" i="24"/>
  <c r="J37" i="24"/>
  <c r="K37" i="24"/>
  <c r="Q37" i="24"/>
  <c r="F38" i="24"/>
  <c r="J38" i="24"/>
  <c r="K38" i="24"/>
  <c r="Q38" i="24"/>
  <c r="F39" i="24"/>
  <c r="J39" i="24"/>
  <c r="K39" i="24"/>
  <c r="Q39" i="24"/>
  <c r="F40" i="24"/>
  <c r="J40" i="24"/>
  <c r="K40" i="24"/>
  <c r="Q40" i="24"/>
  <c r="F41" i="24"/>
  <c r="J41" i="24"/>
  <c r="K41" i="24"/>
  <c r="Q41" i="24"/>
  <c r="F42" i="24"/>
  <c r="J42" i="24"/>
  <c r="K42" i="24"/>
  <c r="Q42" i="24"/>
  <c r="F43" i="24"/>
  <c r="J43" i="24"/>
  <c r="K43" i="24"/>
  <c r="Q43" i="24"/>
  <c r="F44" i="24"/>
  <c r="J44" i="24"/>
  <c r="K44" i="24"/>
  <c r="F45" i="24"/>
  <c r="J45" i="24"/>
  <c r="K45" i="24"/>
  <c r="Q45" i="24"/>
  <c r="F46" i="24"/>
  <c r="J46" i="24"/>
  <c r="K46" i="24"/>
  <c r="Q46" i="24"/>
  <c r="F47" i="24"/>
  <c r="J47" i="24"/>
  <c r="K47" i="24"/>
  <c r="Q47" i="24"/>
  <c r="F48" i="24"/>
  <c r="J48" i="24"/>
  <c r="K48" i="24"/>
  <c r="Q48" i="24"/>
  <c r="F49" i="24"/>
  <c r="J49" i="24"/>
  <c r="K49" i="24"/>
  <c r="Q49" i="24"/>
  <c r="F50" i="24"/>
  <c r="J50" i="24"/>
  <c r="K50" i="24"/>
  <c r="Q50" i="24"/>
  <c r="F51" i="24"/>
  <c r="J51" i="24"/>
  <c r="K51" i="24"/>
  <c r="Q51" i="24"/>
  <c r="F52" i="24"/>
  <c r="J52" i="24"/>
  <c r="K52" i="24"/>
  <c r="Q52" i="24"/>
  <c r="F53" i="24"/>
  <c r="J53" i="24"/>
  <c r="K53" i="24"/>
  <c r="Q53" i="24"/>
  <c r="F54" i="24"/>
  <c r="J54" i="24"/>
  <c r="K54" i="24"/>
  <c r="F55" i="24"/>
  <c r="J55" i="24"/>
  <c r="K55" i="24"/>
  <c r="Q55" i="24"/>
  <c r="F56" i="24"/>
  <c r="J56" i="24"/>
  <c r="K56" i="24"/>
  <c r="Q56" i="24"/>
  <c r="D57" i="24"/>
  <c r="E57" i="24"/>
  <c r="F57" i="24"/>
  <c r="G57" i="24"/>
  <c r="J57" i="24"/>
  <c r="K57" i="24"/>
  <c r="Q57" i="24"/>
  <c r="J58" i="24"/>
  <c r="K58" i="24"/>
  <c r="Q58" i="24"/>
  <c r="J59" i="24"/>
  <c r="K59" i="24"/>
  <c r="J60" i="24"/>
  <c r="K60" i="24"/>
  <c r="Q60" i="24"/>
  <c r="J61" i="24"/>
  <c r="K61" i="24"/>
  <c r="Q61" i="24"/>
  <c r="J62" i="24"/>
  <c r="K62" i="24"/>
  <c r="Q62" i="24"/>
  <c r="J63" i="24"/>
  <c r="K63" i="24"/>
  <c r="Q63" i="24"/>
  <c r="J64" i="24"/>
  <c r="K64" i="24"/>
  <c r="Q64" i="24"/>
  <c r="J65" i="24"/>
  <c r="K65" i="24"/>
  <c r="Q65" i="24"/>
  <c r="J66" i="24"/>
  <c r="K66" i="24"/>
  <c r="Q66" i="24"/>
  <c r="J67" i="24"/>
  <c r="K67" i="24"/>
  <c r="Q67" i="24"/>
  <c r="J68" i="24"/>
  <c r="K68" i="24"/>
  <c r="Q68" i="24"/>
  <c r="J69" i="24"/>
  <c r="K69" i="24"/>
  <c r="Q69" i="24"/>
  <c r="J70" i="24"/>
  <c r="K70" i="24"/>
  <c r="Q70" i="24"/>
  <c r="J71" i="24"/>
  <c r="K71" i="24"/>
  <c r="J72" i="24"/>
  <c r="K72" i="24"/>
  <c r="Q72" i="24"/>
  <c r="J73" i="24"/>
  <c r="K73" i="24"/>
  <c r="Q73" i="24"/>
  <c r="J74" i="24"/>
  <c r="K74" i="24"/>
  <c r="Q74" i="24"/>
  <c r="J75" i="24"/>
  <c r="K75" i="24"/>
  <c r="Q75" i="24"/>
  <c r="J76" i="24"/>
  <c r="K76" i="24"/>
  <c r="Q76" i="24"/>
  <c r="J77" i="24"/>
  <c r="K77" i="24"/>
  <c r="Q77" i="24"/>
  <c r="J78" i="24"/>
  <c r="K78" i="24"/>
  <c r="Q78" i="24"/>
  <c r="J79" i="24"/>
  <c r="K79" i="24"/>
  <c r="Q79" i="24"/>
  <c r="J80" i="24"/>
  <c r="K80" i="24"/>
  <c r="Q80" i="24"/>
  <c r="J81" i="24"/>
  <c r="K81" i="24"/>
  <c r="Q81" i="24"/>
  <c r="J82" i="24"/>
  <c r="K82" i="24"/>
  <c r="Q82" i="24"/>
  <c r="J83" i="24"/>
  <c r="K83" i="24"/>
  <c r="Q83" i="24"/>
  <c r="J84" i="24"/>
  <c r="K84" i="24"/>
  <c r="Q84" i="24"/>
  <c r="J85" i="24"/>
  <c r="K85" i="24"/>
  <c r="Q85" i="24"/>
  <c r="J86" i="24"/>
  <c r="K86" i="24"/>
  <c r="Q86" i="24"/>
  <c r="J87" i="24"/>
  <c r="K87" i="24"/>
  <c r="Q87" i="24"/>
  <c r="J88" i="24"/>
  <c r="K88" i="24"/>
  <c r="Q88" i="24"/>
  <c r="J89" i="24"/>
  <c r="K89" i="24"/>
  <c r="Q89" i="24"/>
  <c r="J90" i="24"/>
  <c r="K90" i="24"/>
  <c r="Q90" i="24"/>
  <c r="J91" i="24"/>
  <c r="K91" i="24"/>
  <c r="Q91" i="24"/>
  <c r="J92" i="24"/>
  <c r="K92" i="24"/>
  <c r="Q92" i="24"/>
  <c r="J93" i="24"/>
  <c r="K93" i="24"/>
  <c r="Q93" i="24"/>
  <c r="J94" i="24"/>
  <c r="K94" i="24"/>
  <c r="Q94" i="24"/>
  <c r="J95" i="24"/>
  <c r="K95" i="24"/>
  <c r="Q95" i="24"/>
  <c r="J96" i="24"/>
  <c r="K96" i="24"/>
  <c r="Q96" i="24"/>
  <c r="J97" i="24"/>
  <c r="K97" i="24"/>
  <c r="Q97" i="24"/>
  <c r="J98" i="24"/>
  <c r="K98" i="24"/>
  <c r="Q98" i="24"/>
  <c r="J99" i="24"/>
  <c r="K99" i="24"/>
  <c r="Q99" i="24"/>
  <c r="J100" i="24"/>
  <c r="K100" i="24"/>
  <c r="Q100" i="24"/>
  <c r="J101" i="24"/>
  <c r="K101" i="24"/>
  <c r="Q101" i="24"/>
  <c r="J102" i="24"/>
  <c r="K102" i="24"/>
  <c r="Q102" i="24"/>
  <c r="J103" i="24"/>
  <c r="K103" i="24"/>
  <c r="Q103" i="24"/>
  <c r="J104" i="24"/>
  <c r="K104" i="24"/>
  <c r="Q104" i="24"/>
  <c r="J105" i="24"/>
  <c r="K105" i="24"/>
  <c r="Q105" i="24"/>
  <c r="J106" i="24"/>
  <c r="K106" i="24"/>
  <c r="Q106" i="24"/>
  <c r="J107" i="24"/>
  <c r="K107" i="24"/>
  <c r="Q107" i="24"/>
  <c r="J108" i="24"/>
  <c r="K108" i="24"/>
  <c r="Q108" i="24"/>
  <c r="J109" i="24"/>
  <c r="K109" i="24"/>
  <c r="Q109" i="24"/>
  <c r="J110" i="24"/>
  <c r="K110" i="24"/>
  <c r="Q110" i="24"/>
  <c r="J111" i="24"/>
  <c r="K111" i="24"/>
  <c r="Q111" i="24"/>
  <c r="J112" i="24"/>
  <c r="K112" i="24"/>
  <c r="Q112" i="24"/>
  <c r="J113" i="24"/>
  <c r="K113" i="24"/>
  <c r="Q113" i="24"/>
  <c r="J114" i="24"/>
  <c r="K114" i="24"/>
  <c r="Q114" i="24"/>
  <c r="J115" i="24"/>
  <c r="K115" i="24"/>
  <c r="Q115" i="24"/>
  <c r="J116" i="24"/>
  <c r="K116" i="24"/>
  <c r="Q116" i="24"/>
  <c r="J117" i="24"/>
  <c r="K117" i="24"/>
  <c r="J118" i="24"/>
  <c r="K118" i="24"/>
  <c r="Q118" i="24"/>
  <c r="J119" i="24"/>
  <c r="K119" i="24"/>
  <c r="Q119" i="24"/>
  <c r="J120" i="24"/>
  <c r="K120" i="24"/>
  <c r="Q120" i="24"/>
  <c r="J121" i="24"/>
  <c r="K121" i="24"/>
  <c r="Q121" i="24"/>
  <c r="J122" i="24"/>
  <c r="K122" i="24"/>
  <c r="Q122" i="24"/>
  <c r="J123" i="24"/>
  <c r="K123" i="24"/>
  <c r="Q123" i="24"/>
  <c r="J124" i="24"/>
  <c r="K124" i="24"/>
  <c r="Q124" i="24"/>
  <c r="J125" i="24"/>
  <c r="K125" i="24"/>
  <c r="Q125" i="24"/>
  <c r="J126" i="24"/>
  <c r="K126" i="24"/>
  <c r="Q126" i="24"/>
  <c r="J127" i="24"/>
  <c r="K127" i="24"/>
  <c r="Q127" i="24"/>
  <c r="J128" i="24"/>
  <c r="K128" i="24"/>
  <c r="Q128" i="24"/>
  <c r="J129" i="24"/>
  <c r="K129" i="24"/>
  <c r="Q129" i="24"/>
  <c r="J130" i="24"/>
  <c r="K130" i="24"/>
  <c r="Q130" i="24"/>
  <c r="J131" i="24"/>
  <c r="K131" i="24"/>
  <c r="Q131" i="24"/>
  <c r="J132" i="24"/>
  <c r="K132" i="24"/>
  <c r="Q132" i="24"/>
  <c r="J133" i="24"/>
  <c r="K133" i="24"/>
  <c r="Q133" i="24"/>
  <c r="J134" i="24"/>
  <c r="K134" i="24"/>
  <c r="Q134" i="24"/>
  <c r="J135" i="24"/>
  <c r="K135" i="24"/>
  <c r="Q135" i="24"/>
  <c r="J136" i="24"/>
  <c r="K136" i="24"/>
  <c r="Q136" i="24"/>
  <c r="J137" i="24"/>
  <c r="K137" i="24"/>
  <c r="Q137" i="24"/>
  <c r="J138" i="24"/>
  <c r="K138" i="24"/>
  <c r="Q138" i="24"/>
  <c r="J139" i="24"/>
  <c r="K139" i="24"/>
  <c r="Q139" i="24"/>
  <c r="J140" i="24"/>
  <c r="K140" i="24"/>
  <c r="Q140" i="24"/>
  <c r="J141" i="24"/>
  <c r="K141" i="24"/>
  <c r="Q141" i="24"/>
  <c r="J142" i="24"/>
  <c r="K142" i="24"/>
  <c r="Q142" i="24"/>
  <c r="J143" i="24"/>
  <c r="K143" i="24"/>
  <c r="Q143" i="24"/>
  <c r="J144" i="24"/>
  <c r="K144" i="24"/>
  <c r="Q144" i="24"/>
  <c r="J145" i="24"/>
  <c r="K145" i="24"/>
  <c r="Q145" i="24"/>
  <c r="J146" i="24"/>
  <c r="K146" i="24"/>
  <c r="Q146" i="24"/>
  <c r="J147" i="24"/>
  <c r="K147" i="24"/>
  <c r="J148" i="24"/>
  <c r="K148" i="24"/>
  <c r="Q148" i="24"/>
  <c r="J149" i="24"/>
  <c r="K149" i="24"/>
  <c r="Q149" i="24"/>
  <c r="J150" i="24"/>
  <c r="K150" i="24"/>
  <c r="Q150" i="24"/>
  <c r="J151" i="24"/>
  <c r="K151" i="24"/>
  <c r="Q151" i="24"/>
  <c r="J152" i="24"/>
  <c r="K152" i="24"/>
  <c r="Q152" i="24"/>
  <c r="J153" i="24"/>
  <c r="K153" i="24"/>
  <c r="Q153" i="24"/>
  <c r="J154" i="24"/>
  <c r="K154" i="24"/>
  <c r="Q154" i="24"/>
  <c r="J155" i="24"/>
  <c r="K155" i="24"/>
  <c r="Q155" i="24"/>
  <c r="J156" i="24"/>
  <c r="K156" i="24"/>
  <c r="Q156" i="24"/>
  <c r="J157" i="24"/>
  <c r="K157" i="24"/>
  <c r="Q157" i="24"/>
  <c r="J158" i="24"/>
  <c r="K158" i="24"/>
  <c r="Q158" i="24"/>
  <c r="J159" i="24"/>
  <c r="K159" i="24"/>
  <c r="Q159" i="24"/>
  <c r="J160" i="24"/>
  <c r="K160" i="24"/>
  <c r="Q160" i="24"/>
  <c r="J161" i="24"/>
  <c r="K161" i="24"/>
  <c r="Q161" i="24"/>
  <c r="J162" i="24"/>
  <c r="K162" i="24"/>
  <c r="Q162" i="24"/>
  <c r="J163" i="24"/>
  <c r="K163" i="24"/>
  <c r="Q163" i="24"/>
  <c r="J164" i="24"/>
  <c r="K164" i="24"/>
  <c r="Q164" i="24"/>
  <c r="J165" i="24"/>
  <c r="K165" i="24"/>
  <c r="Q165" i="24"/>
  <c r="J166" i="24"/>
  <c r="K166" i="24"/>
  <c r="Q166" i="24"/>
  <c r="J167" i="24"/>
  <c r="K167" i="24"/>
  <c r="Q167" i="24"/>
  <c r="J168" i="24"/>
  <c r="K168" i="24"/>
  <c r="Q168" i="24"/>
  <c r="J169" i="24"/>
  <c r="K169" i="24"/>
  <c r="Q169" i="24"/>
  <c r="J170" i="24"/>
  <c r="K170" i="24"/>
  <c r="Q170" i="24"/>
  <c r="J171" i="24"/>
  <c r="K171" i="24"/>
  <c r="Q171" i="24"/>
  <c r="J172" i="24"/>
  <c r="K172" i="24"/>
  <c r="Q172" i="24"/>
  <c r="J173" i="24"/>
  <c r="K173" i="24"/>
  <c r="Q173" i="24"/>
  <c r="J174" i="24"/>
  <c r="K174" i="24"/>
  <c r="Q174" i="24"/>
  <c r="J175" i="24"/>
  <c r="K175" i="24"/>
  <c r="Q175" i="24"/>
  <c r="J176" i="24"/>
  <c r="K176" i="24"/>
  <c r="Q176" i="24"/>
  <c r="J177" i="24"/>
  <c r="K177" i="24"/>
  <c r="Q177" i="24"/>
  <c r="J178" i="24"/>
  <c r="K178" i="24"/>
  <c r="Q178" i="24"/>
  <c r="J179" i="24"/>
  <c r="K179" i="24"/>
  <c r="J180" i="24"/>
  <c r="K180" i="24"/>
  <c r="Q180" i="24"/>
  <c r="J181" i="24"/>
  <c r="K181" i="24"/>
  <c r="Q181" i="24"/>
  <c r="J182" i="24"/>
  <c r="K182" i="24"/>
  <c r="Q182" i="24"/>
  <c r="J183" i="24"/>
  <c r="K183" i="24"/>
  <c r="Q183" i="24"/>
  <c r="J184" i="24"/>
  <c r="K184" i="24"/>
  <c r="Q184" i="24"/>
  <c r="J185" i="24"/>
  <c r="K185" i="24"/>
  <c r="Q185" i="24"/>
  <c r="J186" i="24"/>
  <c r="K186" i="24"/>
  <c r="Q186" i="24"/>
  <c r="J187" i="24"/>
  <c r="K187" i="24"/>
  <c r="Q187" i="24"/>
  <c r="J188" i="24"/>
  <c r="K188" i="24"/>
  <c r="Q188" i="24"/>
  <c r="J189" i="24"/>
  <c r="K189" i="24"/>
  <c r="Q189" i="24"/>
  <c r="J190" i="24"/>
  <c r="K190" i="24"/>
  <c r="Q190" i="24"/>
  <c r="J191" i="24"/>
  <c r="K191" i="24"/>
  <c r="Q191" i="24"/>
  <c r="J192" i="24"/>
  <c r="K192" i="24"/>
  <c r="Q192" i="24"/>
  <c r="J193" i="24"/>
  <c r="K193" i="24"/>
  <c r="Q193" i="24"/>
  <c r="J194" i="24"/>
  <c r="K194" i="24"/>
  <c r="Q194" i="24"/>
  <c r="J195" i="24"/>
  <c r="K195" i="24"/>
  <c r="Q195" i="24"/>
  <c r="J196" i="24"/>
  <c r="K196" i="24"/>
  <c r="Q196" i="24"/>
  <c r="J197" i="24"/>
  <c r="K197" i="24"/>
  <c r="Q197" i="24"/>
  <c r="J198" i="24"/>
  <c r="K198" i="24"/>
  <c r="Q198" i="24"/>
  <c r="J199" i="24"/>
  <c r="K199" i="24"/>
  <c r="J200" i="24"/>
  <c r="K200" i="24"/>
  <c r="Q200" i="24"/>
  <c r="J201" i="24"/>
  <c r="K201" i="24"/>
  <c r="Q201" i="24"/>
  <c r="J202" i="24"/>
  <c r="K202" i="24"/>
  <c r="Q202" i="24"/>
  <c r="J203" i="24"/>
  <c r="K203" i="24"/>
  <c r="Q203" i="24"/>
  <c r="J204" i="24"/>
  <c r="K204" i="24"/>
  <c r="Q204" i="24"/>
  <c r="J205" i="24"/>
  <c r="K205" i="24"/>
  <c r="Q205" i="24"/>
  <c r="J206" i="24"/>
  <c r="K206" i="24"/>
  <c r="Q206" i="24"/>
  <c r="J207" i="24"/>
  <c r="K207" i="24"/>
  <c r="Q207" i="24"/>
  <c r="J208" i="24"/>
  <c r="K208" i="24"/>
  <c r="Q208" i="24"/>
  <c r="J75" i="12" l="1"/>
  <c r="J72" i="12"/>
  <c r="J69" i="12"/>
  <c r="J66" i="12"/>
  <c r="H75" i="12"/>
  <c r="H72" i="12"/>
  <c r="H69" i="12"/>
  <c r="H66" i="12"/>
  <c r="G75" i="12"/>
  <c r="G72" i="12"/>
  <c r="G69" i="12"/>
  <c r="G66" i="12"/>
  <c r="M33" i="17"/>
  <c r="J33" i="17"/>
  <c r="H33" i="17"/>
  <c r="G33" i="17"/>
  <c r="E33" i="17"/>
  <c r="N31" i="17"/>
  <c r="L31" i="17"/>
  <c r="K31" i="17"/>
  <c r="I31" i="17"/>
  <c r="F31" i="17"/>
  <c r="N30" i="17"/>
  <c r="L30" i="17"/>
  <c r="K30" i="17"/>
  <c r="I30" i="17"/>
  <c r="F30" i="17"/>
  <c r="N29" i="17"/>
  <c r="L29" i="17"/>
  <c r="K29" i="17"/>
  <c r="I29" i="17"/>
  <c r="F29" i="17"/>
  <c r="M26" i="20"/>
  <c r="J26" i="20"/>
  <c r="H26" i="20"/>
  <c r="G26" i="20"/>
  <c r="E26" i="20"/>
  <c r="N24" i="20"/>
  <c r="L24" i="20"/>
  <c r="K24" i="20"/>
  <c r="I24" i="20"/>
  <c r="F24" i="20"/>
  <c r="N23" i="20"/>
  <c r="L23" i="20"/>
  <c r="K23" i="20"/>
  <c r="I23" i="20"/>
  <c r="F23" i="20"/>
  <c r="N22" i="20"/>
  <c r="L22" i="20"/>
  <c r="K22" i="20"/>
  <c r="I22" i="20"/>
  <c r="F22" i="20"/>
  <c r="N21" i="20"/>
  <c r="L21" i="20"/>
  <c r="K21" i="20"/>
  <c r="I21" i="20"/>
  <c r="F21" i="20"/>
  <c r="M40" i="21"/>
  <c r="J40" i="21"/>
  <c r="H40" i="21"/>
  <c r="G40" i="21"/>
  <c r="E40" i="21"/>
  <c r="N38" i="21"/>
  <c r="L38" i="21"/>
  <c r="K38" i="21"/>
  <c r="I38" i="21"/>
  <c r="F38" i="21"/>
  <c r="N37" i="21"/>
  <c r="L37" i="21"/>
  <c r="K37" i="21"/>
  <c r="I37" i="21"/>
  <c r="F37" i="21"/>
  <c r="M14" i="18"/>
  <c r="J14" i="18"/>
  <c r="H14" i="18"/>
  <c r="G14" i="18"/>
  <c r="E14" i="18"/>
  <c r="N12" i="18"/>
  <c r="L12" i="18"/>
  <c r="K12" i="18"/>
  <c r="I12" i="18"/>
  <c r="F12" i="18"/>
  <c r="N11" i="18"/>
  <c r="L11" i="18"/>
  <c r="K11" i="18"/>
  <c r="I11" i="18"/>
  <c r="F11" i="18"/>
  <c r="M117" i="15"/>
  <c r="J117" i="15"/>
  <c r="H117" i="15"/>
  <c r="G117" i="15"/>
  <c r="E117" i="15"/>
  <c r="N115" i="15"/>
  <c r="L115" i="15"/>
  <c r="K115" i="15"/>
  <c r="I115" i="15"/>
  <c r="F115" i="15"/>
  <c r="N114" i="15"/>
  <c r="L114" i="15"/>
  <c r="K114" i="15"/>
  <c r="I114" i="15"/>
  <c r="F114" i="15"/>
  <c r="N113" i="15"/>
  <c r="L113" i="15"/>
  <c r="K113" i="15"/>
  <c r="I113" i="15"/>
  <c r="F113" i="15"/>
  <c r="M511" i="14"/>
  <c r="J511" i="14"/>
  <c r="H511" i="14"/>
  <c r="G511" i="14"/>
  <c r="E511" i="14"/>
  <c r="N509" i="14"/>
  <c r="L509" i="14"/>
  <c r="K509" i="14"/>
  <c r="I509" i="14"/>
  <c r="F509" i="14"/>
  <c r="N508" i="14"/>
  <c r="L508" i="14"/>
  <c r="K508" i="14"/>
  <c r="I508" i="14"/>
  <c r="F508" i="14"/>
  <c r="N507" i="14"/>
  <c r="L507" i="14"/>
  <c r="K507" i="14"/>
  <c r="I507" i="14"/>
  <c r="F507" i="14"/>
  <c r="N506" i="14"/>
  <c r="L506" i="14"/>
  <c r="K506" i="14"/>
  <c r="I506" i="14"/>
  <c r="F506" i="14"/>
  <c r="N505" i="14"/>
  <c r="L505" i="14"/>
  <c r="K505" i="14"/>
  <c r="I505" i="14"/>
  <c r="F505" i="14"/>
  <c r="N504" i="14"/>
  <c r="L504" i="14"/>
  <c r="K504" i="14"/>
  <c r="I504" i="14"/>
  <c r="F504" i="14"/>
  <c r="N503" i="14"/>
  <c r="L503" i="14"/>
  <c r="K503" i="14"/>
  <c r="I503" i="14"/>
  <c r="F503" i="14"/>
  <c r="N502" i="14"/>
  <c r="L502" i="14"/>
  <c r="K502" i="14"/>
  <c r="I502" i="14"/>
  <c r="F502" i="14"/>
  <c r="N501" i="14"/>
  <c r="L501" i="14"/>
  <c r="K501" i="14"/>
  <c r="I501" i="14"/>
  <c r="F501" i="14"/>
  <c r="N500" i="14"/>
  <c r="L500" i="14"/>
  <c r="K500" i="14"/>
  <c r="I500" i="14"/>
  <c r="F500" i="14"/>
  <c r="N499" i="14"/>
  <c r="L499" i="14"/>
  <c r="K499" i="14"/>
  <c r="I499" i="14"/>
  <c r="F499" i="14"/>
  <c r="N498" i="14"/>
  <c r="L498" i="14"/>
  <c r="K498" i="14"/>
  <c r="I498" i="14"/>
  <c r="F498" i="14"/>
  <c r="N497" i="14"/>
  <c r="L497" i="14"/>
  <c r="K497" i="14"/>
  <c r="I497" i="14"/>
  <c r="F497" i="14"/>
  <c r="N496" i="14"/>
  <c r="L496" i="14"/>
  <c r="K496" i="14"/>
  <c r="I496" i="14"/>
  <c r="F496" i="14"/>
  <c r="N495" i="14"/>
  <c r="L495" i="14"/>
  <c r="K495" i="14"/>
  <c r="I495" i="14"/>
  <c r="F495" i="14"/>
  <c r="N494" i="14"/>
  <c r="L494" i="14"/>
  <c r="K494" i="14"/>
  <c r="I494" i="14"/>
  <c r="F494" i="14"/>
  <c r="M75" i="12"/>
  <c r="M72" i="12"/>
  <c r="M69" i="12"/>
  <c r="M66" i="12"/>
  <c r="E75" i="12"/>
  <c r="E72" i="12"/>
  <c r="E69" i="12"/>
  <c r="E66" i="12"/>
  <c r="N64" i="12"/>
  <c r="L64" i="12"/>
  <c r="K64" i="12"/>
  <c r="I64" i="12"/>
  <c r="F64" i="12"/>
  <c r="N63" i="12"/>
  <c r="L63" i="12"/>
  <c r="K63" i="12"/>
  <c r="I63" i="12"/>
  <c r="F63" i="12"/>
  <c r="N62" i="12"/>
  <c r="L62" i="12"/>
  <c r="K62" i="12"/>
  <c r="I62" i="12"/>
  <c r="F62" i="12"/>
  <c r="M105" i="9"/>
  <c r="J105" i="9"/>
  <c r="H105" i="9"/>
  <c r="G105" i="9"/>
  <c r="E105" i="9"/>
  <c r="N103" i="9"/>
  <c r="L103" i="9"/>
  <c r="K103" i="9"/>
  <c r="I103" i="9"/>
  <c r="F103" i="9"/>
  <c r="N102" i="9"/>
  <c r="L102" i="9"/>
  <c r="K102" i="9"/>
  <c r="I102" i="9"/>
  <c r="F102" i="9"/>
  <c r="N101" i="9"/>
  <c r="L101" i="9"/>
  <c r="K101" i="9"/>
  <c r="I101" i="9"/>
  <c r="F101" i="9"/>
  <c r="N100" i="9"/>
  <c r="L100" i="9"/>
  <c r="K100" i="9"/>
  <c r="I100" i="9"/>
  <c r="F100" i="9"/>
  <c r="M103" i="11"/>
  <c r="J103" i="11"/>
  <c r="H103" i="11"/>
  <c r="G103" i="11"/>
  <c r="E103" i="11"/>
  <c r="N101" i="11"/>
  <c r="L101" i="11"/>
  <c r="K101" i="11"/>
  <c r="I101" i="11"/>
  <c r="F101" i="11"/>
  <c r="N100" i="11"/>
  <c r="L100" i="11"/>
  <c r="K100" i="11"/>
  <c r="I100" i="11"/>
  <c r="F100" i="11"/>
  <c r="N99" i="11"/>
  <c r="L99" i="11"/>
  <c r="K99" i="11"/>
  <c r="I99" i="11"/>
  <c r="F99" i="11"/>
  <c r="N98" i="11"/>
  <c r="L98" i="11"/>
  <c r="K98" i="11"/>
  <c r="I98" i="11"/>
  <c r="F98" i="11"/>
  <c r="I27" i="4"/>
  <c r="F27" i="4"/>
  <c r="D27" i="4"/>
  <c r="C27" i="4"/>
  <c r="J26" i="4"/>
  <c r="K26" i="4"/>
  <c r="G26" i="4"/>
  <c r="H26" i="4"/>
  <c r="E26" i="4"/>
  <c r="L546" i="3"/>
  <c r="L545" i="3"/>
  <c r="L544" i="3"/>
  <c r="L543" i="3"/>
  <c r="M543" i="3" s="1"/>
  <c r="L542" i="3"/>
  <c r="L541" i="3"/>
  <c r="L540" i="3"/>
  <c r="L539" i="3"/>
  <c r="L538" i="3"/>
  <c r="L537" i="3"/>
  <c r="L536" i="3"/>
  <c r="L535" i="3"/>
  <c r="M535" i="3" s="1"/>
  <c r="L534" i="3"/>
  <c r="L533" i="3"/>
  <c r="L532" i="3"/>
  <c r="L531" i="3"/>
  <c r="L530" i="3"/>
  <c r="L529" i="3"/>
  <c r="L528" i="3"/>
  <c r="L527" i="3"/>
  <c r="L526" i="3"/>
  <c r="M526" i="3" s="1"/>
  <c r="L525" i="3"/>
  <c r="I546" i="3"/>
  <c r="K546" i="3" s="1"/>
  <c r="I545" i="3"/>
  <c r="I544" i="3"/>
  <c r="I543" i="3"/>
  <c r="I542" i="3"/>
  <c r="I541" i="3"/>
  <c r="I540" i="3"/>
  <c r="I539" i="3"/>
  <c r="K539" i="3" s="1"/>
  <c r="I538" i="3"/>
  <c r="I537" i="3"/>
  <c r="I536" i="3"/>
  <c r="I535" i="3"/>
  <c r="I534" i="3"/>
  <c r="I533" i="3"/>
  <c r="I532" i="3"/>
  <c r="I531" i="3"/>
  <c r="J531" i="3" s="1"/>
  <c r="I530" i="3"/>
  <c r="K530" i="3" s="1"/>
  <c r="I529" i="3"/>
  <c r="J529" i="3" s="1"/>
  <c r="I528" i="3"/>
  <c r="I527" i="3"/>
  <c r="I526" i="3"/>
  <c r="I525" i="3"/>
  <c r="J525" i="3" s="1"/>
  <c r="G546" i="3"/>
  <c r="G545" i="3"/>
  <c r="G544" i="3"/>
  <c r="H544" i="3" s="1"/>
  <c r="G543" i="3"/>
  <c r="H543" i="3" s="1"/>
  <c r="G542" i="3"/>
  <c r="G541" i="3"/>
  <c r="G540" i="3"/>
  <c r="G539" i="3"/>
  <c r="G538" i="3"/>
  <c r="G537" i="3"/>
  <c r="K537" i="3" s="1"/>
  <c r="G536" i="3"/>
  <c r="H536" i="3" s="1"/>
  <c r="G535" i="3"/>
  <c r="G534" i="3"/>
  <c r="G533" i="3"/>
  <c r="G532" i="3"/>
  <c r="G531" i="3"/>
  <c r="G530" i="3"/>
  <c r="H530" i="3" s="1"/>
  <c r="G529" i="3"/>
  <c r="K529" i="3" s="1"/>
  <c r="G528" i="3"/>
  <c r="G527" i="3"/>
  <c r="G526" i="3"/>
  <c r="G525" i="3"/>
  <c r="F546" i="3"/>
  <c r="F545" i="3"/>
  <c r="F544" i="3"/>
  <c r="E544" i="3" s="1"/>
  <c r="F543" i="3"/>
  <c r="E543" i="3" s="1"/>
  <c r="F542" i="3"/>
  <c r="E542" i="3" s="1"/>
  <c r="F541" i="3"/>
  <c r="F540" i="3"/>
  <c r="F539" i="3"/>
  <c r="F538" i="3"/>
  <c r="F537" i="3"/>
  <c r="F536" i="3"/>
  <c r="E536" i="3" s="1"/>
  <c r="F535" i="3"/>
  <c r="E535" i="3" s="1"/>
  <c r="F534" i="3"/>
  <c r="F533" i="3"/>
  <c r="F532" i="3"/>
  <c r="F531" i="3"/>
  <c r="F530" i="3"/>
  <c r="F529" i="3"/>
  <c r="F528" i="3"/>
  <c r="F527" i="3"/>
  <c r="E527" i="3" s="1"/>
  <c r="F526" i="3"/>
  <c r="E526" i="3" s="1"/>
  <c r="F525" i="3"/>
  <c r="D544" i="3"/>
  <c r="D545" i="3"/>
  <c r="D546" i="3"/>
  <c r="D543" i="3"/>
  <c r="D542" i="3"/>
  <c r="M542" i="3" s="1"/>
  <c r="D541" i="3"/>
  <c r="E541" i="3" s="1"/>
  <c r="D534" i="3"/>
  <c r="H534" i="3" s="1"/>
  <c r="D535" i="3"/>
  <c r="D536" i="3"/>
  <c r="D537" i="3"/>
  <c r="M537" i="3" s="1"/>
  <c r="D538" i="3"/>
  <c r="M538" i="3" s="1"/>
  <c r="D539" i="3"/>
  <c r="D540" i="3"/>
  <c r="D533" i="3"/>
  <c r="J533" i="3" s="1"/>
  <c r="D532" i="3"/>
  <c r="E532" i="3" s="1"/>
  <c r="D531" i="3"/>
  <c r="D530" i="3"/>
  <c r="D529" i="3"/>
  <c r="D528" i="3"/>
  <c r="J528" i="3" s="1"/>
  <c r="D527" i="3"/>
  <c r="D526" i="3"/>
  <c r="J526" i="3" s="1"/>
  <c r="D525" i="3"/>
  <c r="E525" i="3" s="1"/>
  <c r="M530" i="3"/>
  <c r="M536" i="3"/>
  <c r="M546" i="3"/>
  <c r="H527" i="3"/>
  <c r="M527" i="3"/>
  <c r="E529" i="3"/>
  <c r="M529" i="3"/>
  <c r="K533" i="3"/>
  <c r="H535" i="3"/>
  <c r="K535" i="3"/>
  <c r="E537" i="3"/>
  <c r="J537" i="3"/>
  <c r="K538" i="3"/>
  <c r="J542" i="3"/>
  <c r="J544" i="3"/>
  <c r="E545" i="3"/>
  <c r="K545" i="3"/>
  <c r="J545" i="3"/>
  <c r="M545" i="3"/>
  <c r="E546" i="3"/>
  <c r="M541" i="3" l="1"/>
  <c r="J532" i="3"/>
  <c r="M534" i="3"/>
  <c r="J534" i="3"/>
  <c r="M528" i="3"/>
  <c r="M544" i="3"/>
  <c r="M533" i="3"/>
  <c r="E533" i="3"/>
  <c r="H533" i="3"/>
  <c r="K527" i="3"/>
  <c r="K543" i="3"/>
  <c r="E534" i="3"/>
  <c r="M525" i="3"/>
  <c r="J541" i="3"/>
  <c r="J530" i="3"/>
  <c r="H542" i="3"/>
  <c r="M539" i="3"/>
  <c r="K540" i="3"/>
  <c r="K541" i="3"/>
  <c r="K531" i="3"/>
  <c r="K532" i="3"/>
  <c r="K525" i="3"/>
  <c r="K526" i="3"/>
  <c r="K534" i="3"/>
  <c r="H525" i="3"/>
  <c r="K542" i="3"/>
  <c r="H526" i="3"/>
  <c r="E531" i="3"/>
  <c r="E540" i="3"/>
  <c r="H541" i="3"/>
  <c r="E539" i="3"/>
  <c r="H539" i="3"/>
  <c r="H532" i="3"/>
  <c r="H531" i="3"/>
  <c r="J540" i="3"/>
  <c r="J539" i="3"/>
  <c r="E530" i="3"/>
  <c r="M540" i="3"/>
  <c r="H540" i="3"/>
  <c r="H538" i="3"/>
  <c r="M531" i="3"/>
  <c r="H528" i="3"/>
  <c r="J546" i="3"/>
  <c r="E538" i="3"/>
  <c r="M532" i="3"/>
  <c r="E528" i="3"/>
  <c r="J538" i="3"/>
  <c r="H546" i="3"/>
  <c r="J536" i="3"/>
  <c r="H545" i="3"/>
  <c r="J543" i="3"/>
  <c r="H537" i="3"/>
  <c r="J535" i="3"/>
  <c r="H529" i="3"/>
  <c r="J527" i="3"/>
  <c r="K544" i="3"/>
  <c r="K536" i="3"/>
  <c r="K528" i="3"/>
  <c r="M804" i="1"/>
  <c r="J804" i="1"/>
  <c r="H804" i="1"/>
  <c r="G804" i="1"/>
  <c r="E804" i="1"/>
  <c r="G801" i="1"/>
  <c r="F770" i="1"/>
  <c r="I770" i="1"/>
  <c r="K770" i="1"/>
  <c r="L770" i="1"/>
  <c r="N770" i="1"/>
  <c r="F771" i="1"/>
  <c r="I771" i="1"/>
  <c r="K771" i="1"/>
  <c r="L771" i="1"/>
  <c r="N771" i="1"/>
  <c r="F772" i="1"/>
  <c r="I772" i="1"/>
  <c r="K772" i="1"/>
  <c r="L772" i="1"/>
  <c r="N772" i="1"/>
  <c r="F773" i="1"/>
  <c r="I773" i="1"/>
  <c r="K773" i="1"/>
  <c r="L773" i="1"/>
  <c r="N773" i="1"/>
  <c r="F774" i="1"/>
  <c r="I774" i="1"/>
  <c r="K774" i="1"/>
  <c r="L774" i="1"/>
  <c r="N774" i="1"/>
  <c r="F775" i="1"/>
  <c r="I775" i="1"/>
  <c r="K775" i="1"/>
  <c r="L775" i="1"/>
  <c r="N775" i="1"/>
  <c r="F776" i="1"/>
  <c r="I776" i="1"/>
  <c r="K776" i="1"/>
  <c r="L776" i="1"/>
  <c r="N776" i="1"/>
  <c r="F777" i="1"/>
  <c r="I777" i="1"/>
  <c r="K777" i="1"/>
  <c r="L777" i="1"/>
  <c r="N777" i="1"/>
  <c r="F778" i="1"/>
  <c r="I778" i="1"/>
  <c r="K778" i="1"/>
  <c r="L778" i="1"/>
  <c r="N778" i="1"/>
  <c r="F779" i="1"/>
  <c r="I779" i="1"/>
  <c r="K779" i="1"/>
  <c r="L779" i="1"/>
  <c r="N779" i="1"/>
  <c r="F780" i="1"/>
  <c r="I780" i="1"/>
  <c r="K780" i="1"/>
  <c r="L780" i="1"/>
  <c r="N780" i="1"/>
  <c r="F781" i="1"/>
  <c r="I781" i="1"/>
  <c r="K781" i="1"/>
  <c r="L781" i="1"/>
  <c r="N781" i="1"/>
  <c r="F782" i="1"/>
  <c r="I782" i="1"/>
  <c r="K782" i="1"/>
  <c r="L782" i="1"/>
  <c r="N782" i="1"/>
  <c r="F783" i="1"/>
  <c r="I783" i="1"/>
  <c r="K783" i="1"/>
  <c r="L783" i="1"/>
  <c r="N783" i="1"/>
  <c r="F784" i="1"/>
  <c r="I784" i="1"/>
  <c r="K784" i="1"/>
  <c r="L784" i="1"/>
  <c r="N784" i="1"/>
  <c r="F785" i="1"/>
  <c r="I785" i="1"/>
  <c r="K785" i="1"/>
  <c r="L785" i="1"/>
  <c r="N785" i="1"/>
  <c r="F786" i="1"/>
  <c r="I786" i="1"/>
  <c r="K786" i="1"/>
  <c r="L786" i="1"/>
  <c r="N786" i="1"/>
  <c r="F787" i="1"/>
  <c r="I787" i="1"/>
  <c r="K787" i="1"/>
  <c r="L787" i="1"/>
  <c r="N787" i="1"/>
  <c r="F788" i="1"/>
  <c r="I788" i="1"/>
  <c r="K788" i="1"/>
  <c r="L788" i="1"/>
  <c r="N788" i="1"/>
  <c r="F789" i="1"/>
  <c r="I789" i="1"/>
  <c r="K789" i="1"/>
  <c r="L789" i="1"/>
  <c r="N789" i="1"/>
  <c r="F790" i="1"/>
  <c r="I790" i="1"/>
  <c r="K790" i="1"/>
  <c r="L790" i="1"/>
  <c r="N790" i="1"/>
  <c r="F791" i="1"/>
  <c r="I791" i="1"/>
  <c r="K791" i="1"/>
  <c r="L791" i="1"/>
  <c r="N791" i="1"/>
  <c r="F792" i="1"/>
  <c r="I792" i="1"/>
  <c r="K792" i="1"/>
  <c r="L792" i="1"/>
  <c r="N792" i="1"/>
  <c r="F793" i="1"/>
  <c r="I793" i="1"/>
  <c r="K793" i="1"/>
  <c r="L793" i="1"/>
  <c r="N793" i="1"/>
  <c r="F794" i="1"/>
  <c r="I794" i="1"/>
  <c r="K794" i="1"/>
  <c r="L794" i="1"/>
  <c r="N794" i="1"/>
  <c r="F795" i="1"/>
  <c r="I795" i="1"/>
  <c r="K795" i="1"/>
  <c r="L795" i="1"/>
  <c r="N795" i="1"/>
  <c r="F796" i="1"/>
  <c r="I796" i="1"/>
  <c r="K796" i="1"/>
  <c r="L796" i="1"/>
  <c r="N796" i="1"/>
  <c r="F797" i="1"/>
  <c r="I797" i="1"/>
  <c r="K797" i="1"/>
  <c r="L797" i="1"/>
  <c r="N797" i="1"/>
  <c r="F798" i="1"/>
  <c r="I798" i="1"/>
  <c r="K798" i="1"/>
  <c r="L798" i="1"/>
  <c r="N798" i="1"/>
  <c r="F769" i="1"/>
  <c r="I769" i="1"/>
  <c r="K769" i="1"/>
  <c r="L769" i="1"/>
  <c r="N769" i="1"/>
  <c r="N20" i="20"/>
  <c r="L20" i="20"/>
  <c r="K20" i="20"/>
  <c r="I20" i="20"/>
  <c r="F20" i="20"/>
  <c r="N19" i="20"/>
  <c r="L19" i="20"/>
  <c r="K19" i="20"/>
  <c r="I19" i="20"/>
  <c r="F19" i="20"/>
  <c r="N18" i="20"/>
  <c r="L18" i="20"/>
  <c r="K18" i="20"/>
  <c r="I18" i="20"/>
  <c r="F18" i="20"/>
  <c r="N17" i="20"/>
  <c r="L17" i="20"/>
  <c r="K17" i="20"/>
  <c r="I17" i="20"/>
  <c r="F17" i="20"/>
  <c r="N36" i="21"/>
  <c r="L36" i="21"/>
  <c r="K36" i="21"/>
  <c r="I36" i="21"/>
  <c r="F36" i="21"/>
  <c r="N112" i="15"/>
  <c r="L112" i="15"/>
  <c r="K112" i="15"/>
  <c r="I112" i="15"/>
  <c r="F112" i="15"/>
  <c r="N111" i="15"/>
  <c r="L111" i="15"/>
  <c r="K111" i="15"/>
  <c r="I111" i="15"/>
  <c r="F111" i="15"/>
  <c r="N110" i="15"/>
  <c r="L110" i="15"/>
  <c r="K110" i="15"/>
  <c r="I110" i="15"/>
  <c r="F110" i="15"/>
  <c r="N109" i="15"/>
  <c r="L109" i="15"/>
  <c r="K109" i="15"/>
  <c r="I109" i="15"/>
  <c r="F109" i="15"/>
  <c r="N108" i="15"/>
  <c r="L108" i="15"/>
  <c r="K108" i="15"/>
  <c r="I108" i="15"/>
  <c r="F108" i="15"/>
  <c r="N107" i="15"/>
  <c r="L107" i="15"/>
  <c r="K107" i="15"/>
  <c r="I107" i="15"/>
  <c r="F107" i="15"/>
  <c r="N106" i="15"/>
  <c r="L106" i="15"/>
  <c r="K106" i="15"/>
  <c r="I106" i="15"/>
  <c r="F106" i="15"/>
  <c r="N105" i="15"/>
  <c r="L105" i="15"/>
  <c r="K105" i="15"/>
  <c r="I105" i="15"/>
  <c r="F105" i="15"/>
  <c r="N104" i="15"/>
  <c r="L104" i="15"/>
  <c r="K104" i="15"/>
  <c r="I104" i="15"/>
  <c r="F104" i="15"/>
  <c r="N103" i="15"/>
  <c r="L103" i="15"/>
  <c r="K103" i="15"/>
  <c r="I103" i="15"/>
  <c r="F103" i="15"/>
  <c r="N493" i="14"/>
  <c r="L493" i="14"/>
  <c r="K493" i="14"/>
  <c r="I493" i="14"/>
  <c r="F493" i="14"/>
  <c r="N492" i="14"/>
  <c r="L492" i="14"/>
  <c r="K492" i="14"/>
  <c r="I492" i="14"/>
  <c r="F492" i="14"/>
  <c r="N491" i="14"/>
  <c r="L491" i="14"/>
  <c r="K491" i="14"/>
  <c r="I491" i="14"/>
  <c r="F491" i="14"/>
  <c r="N490" i="14"/>
  <c r="L490" i="14"/>
  <c r="K490" i="14"/>
  <c r="I490" i="14"/>
  <c r="F490" i="14"/>
  <c r="N489" i="14"/>
  <c r="L489" i="14"/>
  <c r="K489" i="14"/>
  <c r="I489" i="14"/>
  <c r="F489" i="14"/>
  <c r="N488" i="14"/>
  <c r="L488" i="14"/>
  <c r="K488" i="14"/>
  <c r="I488" i="14"/>
  <c r="F488" i="14"/>
  <c r="N487" i="14"/>
  <c r="L487" i="14"/>
  <c r="K487" i="14"/>
  <c r="I487" i="14"/>
  <c r="F487" i="14"/>
  <c r="N486" i="14"/>
  <c r="L486" i="14"/>
  <c r="K486" i="14"/>
  <c r="I486" i="14"/>
  <c r="F486" i="14"/>
  <c r="N485" i="14"/>
  <c r="L485" i="14"/>
  <c r="K485" i="14"/>
  <c r="I485" i="14"/>
  <c r="F485" i="14"/>
  <c r="N484" i="14"/>
  <c r="L484" i="14"/>
  <c r="K484" i="14"/>
  <c r="I484" i="14"/>
  <c r="F484" i="14"/>
  <c r="N483" i="14"/>
  <c r="L483" i="14"/>
  <c r="K483" i="14"/>
  <c r="I483" i="14"/>
  <c r="F483" i="14"/>
  <c r="N482" i="14"/>
  <c r="L482" i="14"/>
  <c r="K482" i="14"/>
  <c r="I482" i="14"/>
  <c r="F482" i="14"/>
  <c r="N481" i="14"/>
  <c r="L481" i="14"/>
  <c r="K481" i="14"/>
  <c r="I481" i="14"/>
  <c r="F481" i="14"/>
  <c r="N480" i="14"/>
  <c r="L480" i="14"/>
  <c r="K480" i="14"/>
  <c r="I480" i="14"/>
  <c r="F480" i="14"/>
  <c r="N479" i="14"/>
  <c r="L479" i="14"/>
  <c r="K479" i="14"/>
  <c r="I479" i="14"/>
  <c r="F479" i="14"/>
  <c r="N478" i="14"/>
  <c r="L478" i="14"/>
  <c r="K478" i="14"/>
  <c r="I478" i="14"/>
  <c r="F478" i="14"/>
  <c r="N477" i="14"/>
  <c r="L477" i="14"/>
  <c r="K477" i="14"/>
  <c r="I477" i="14"/>
  <c r="F477" i="14"/>
  <c r="N476" i="14"/>
  <c r="L476" i="14"/>
  <c r="K476" i="14"/>
  <c r="I476" i="14"/>
  <c r="F476" i="14"/>
  <c r="N475" i="14"/>
  <c r="L475" i="14"/>
  <c r="K475" i="14"/>
  <c r="I475" i="14"/>
  <c r="F475" i="14"/>
  <c r="N474" i="14"/>
  <c r="L474" i="14"/>
  <c r="K474" i="14"/>
  <c r="I474" i="14"/>
  <c r="F474" i="14"/>
  <c r="N473" i="14"/>
  <c r="L473" i="14"/>
  <c r="K473" i="14"/>
  <c r="I473" i="14"/>
  <c r="F473" i="14"/>
  <c r="N472" i="14"/>
  <c r="L472" i="14"/>
  <c r="K472" i="14"/>
  <c r="I472" i="14"/>
  <c r="F472" i="14"/>
  <c r="N471" i="14"/>
  <c r="L471" i="14"/>
  <c r="K471" i="14"/>
  <c r="I471" i="14"/>
  <c r="F471" i="14"/>
  <c r="N470" i="14"/>
  <c r="L470" i="14"/>
  <c r="K470" i="14"/>
  <c r="I470" i="14"/>
  <c r="F470" i="14"/>
  <c r="N469" i="14"/>
  <c r="L469" i="14"/>
  <c r="K469" i="14"/>
  <c r="I469" i="14"/>
  <c r="F469" i="14"/>
  <c r="N468" i="14"/>
  <c r="L468" i="14"/>
  <c r="K468" i="14"/>
  <c r="I468" i="14"/>
  <c r="F468" i="14"/>
  <c r="N467" i="14"/>
  <c r="L467" i="14"/>
  <c r="K467" i="14"/>
  <c r="I467" i="14"/>
  <c r="F467" i="14"/>
  <c r="N466" i="14"/>
  <c r="L466" i="14"/>
  <c r="K466" i="14"/>
  <c r="I466" i="14"/>
  <c r="F466" i="14"/>
  <c r="N61" i="12"/>
  <c r="L61" i="12"/>
  <c r="K61" i="12"/>
  <c r="I61" i="12"/>
  <c r="F61" i="12"/>
  <c r="N60" i="12"/>
  <c r="L60" i="12"/>
  <c r="K60" i="12"/>
  <c r="I60" i="12"/>
  <c r="F60" i="12"/>
  <c r="N99" i="9"/>
  <c r="L99" i="9"/>
  <c r="K99" i="9"/>
  <c r="I99" i="9"/>
  <c r="F99" i="9"/>
  <c r="N98" i="9"/>
  <c r="L98" i="9"/>
  <c r="K98" i="9"/>
  <c r="I98" i="9"/>
  <c r="F98" i="9"/>
  <c r="N97" i="9"/>
  <c r="L97" i="9"/>
  <c r="K97" i="9"/>
  <c r="I97" i="9"/>
  <c r="F97" i="9"/>
  <c r="N96" i="9"/>
  <c r="L96" i="9"/>
  <c r="K96" i="9"/>
  <c r="I96" i="9"/>
  <c r="F96" i="9"/>
  <c r="N97" i="11"/>
  <c r="L97" i="11"/>
  <c r="K97" i="11"/>
  <c r="I97" i="11"/>
  <c r="F97" i="11"/>
  <c r="N96" i="11"/>
  <c r="L96" i="11"/>
  <c r="K96" i="11"/>
  <c r="I96" i="11"/>
  <c r="F96" i="11"/>
  <c r="N95" i="11"/>
  <c r="L95" i="11"/>
  <c r="K95" i="11"/>
  <c r="I95" i="11"/>
  <c r="F95" i="11"/>
  <c r="N94" i="11"/>
  <c r="L94" i="11"/>
  <c r="K94" i="11"/>
  <c r="I94" i="11"/>
  <c r="F94" i="11"/>
  <c r="J25" i="4"/>
  <c r="K25" i="4"/>
  <c r="G25" i="4"/>
  <c r="H25" i="4"/>
  <c r="E25" i="4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I524" i="3"/>
  <c r="I523" i="3"/>
  <c r="I522" i="3"/>
  <c r="I521" i="3"/>
  <c r="J521" i="3" s="1"/>
  <c r="I520" i="3"/>
  <c r="I519" i="3"/>
  <c r="I518" i="3"/>
  <c r="I517" i="3"/>
  <c r="I516" i="3"/>
  <c r="I515" i="3"/>
  <c r="I514" i="3"/>
  <c r="I513" i="3"/>
  <c r="K513" i="3" s="1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D522" i="3"/>
  <c r="D523" i="3"/>
  <c r="J523" i="3" s="1"/>
  <c r="D524" i="3"/>
  <c r="D521" i="3"/>
  <c r="D520" i="3"/>
  <c r="D519" i="3"/>
  <c r="M519" i="3" s="1"/>
  <c r="D518" i="3"/>
  <c r="M518" i="3" s="1"/>
  <c r="D517" i="3"/>
  <c r="D516" i="3"/>
  <c r="E516" i="3" s="1"/>
  <c r="D515" i="3"/>
  <c r="J515" i="3" s="1"/>
  <c r="D514" i="3"/>
  <c r="D513" i="3"/>
  <c r="D510" i="3"/>
  <c r="H510" i="3" s="1"/>
  <c r="D511" i="3"/>
  <c r="D512" i="3"/>
  <c r="D509" i="3"/>
  <c r="M509" i="3" s="1"/>
  <c r="D508" i="3"/>
  <c r="D507" i="3"/>
  <c r="J507" i="3" s="1"/>
  <c r="D500" i="3"/>
  <c r="D501" i="3"/>
  <c r="D502" i="3"/>
  <c r="H502" i="3" s="1"/>
  <c r="D503" i="3"/>
  <c r="M503" i="3" s="1"/>
  <c r="D504" i="3"/>
  <c r="D505" i="3"/>
  <c r="D506" i="3"/>
  <c r="J506" i="3" s="1"/>
  <c r="D499" i="3"/>
  <c r="D498" i="3"/>
  <c r="D497" i="3"/>
  <c r="D496" i="3"/>
  <c r="D495" i="3"/>
  <c r="M495" i="3" s="1"/>
  <c r="M524" i="3"/>
  <c r="J498" i="3"/>
  <c r="H498" i="3"/>
  <c r="E524" i="3"/>
  <c r="F727" i="1"/>
  <c r="I727" i="1"/>
  <c r="K727" i="1"/>
  <c r="L727" i="1"/>
  <c r="N727" i="1"/>
  <c r="F728" i="1"/>
  <c r="I728" i="1"/>
  <c r="K728" i="1"/>
  <c r="L728" i="1"/>
  <c r="N728" i="1"/>
  <c r="F729" i="1"/>
  <c r="I729" i="1"/>
  <c r="K729" i="1"/>
  <c r="L729" i="1"/>
  <c r="N729" i="1"/>
  <c r="F730" i="1"/>
  <c r="I730" i="1"/>
  <c r="K730" i="1"/>
  <c r="L730" i="1"/>
  <c r="N730" i="1"/>
  <c r="F731" i="1"/>
  <c r="I731" i="1"/>
  <c r="K731" i="1"/>
  <c r="L731" i="1"/>
  <c r="N731" i="1"/>
  <c r="F732" i="1"/>
  <c r="I732" i="1"/>
  <c r="K732" i="1"/>
  <c r="L732" i="1"/>
  <c r="N732" i="1"/>
  <c r="F733" i="1"/>
  <c r="I733" i="1"/>
  <c r="K733" i="1"/>
  <c r="L733" i="1"/>
  <c r="N733" i="1"/>
  <c r="F734" i="1"/>
  <c r="I734" i="1"/>
  <c r="K734" i="1"/>
  <c r="L734" i="1"/>
  <c r="N734" i="1"/>
  <c r="F735" i="1"/>
  <c r="I735" i="1"/>
  <c r="K735" i="1"/>
  <c r="L735" i="1"/>
  <c r="N735" i="1"/>
  <c r="F736" i="1"/>
  <c r="I736" i="1"/>
  <c r="K736" i="1"/>
  <c r="L736" i="1"/>
  <c r="N736" i="1"/>
  <c r="F737" i="1"/>
  <c r="I737" i="1"/>
  <c r="K737" i="1"/>
  <c r="L737" i="1"/>
  <c r="N737" i="1"/>
  <c r="F738" i="1"/>
  <c r="I738" i="1"/>
  <c r="K738" i="1"/>
  <c r="L738" i="1"/>
  <c r="N738" i="1"/>
  <c r="F739" i="1"/>
  <c r="I739" i="1"/>
  <c r="K739" i="1"/>
  <c r="L739" i="1"/>
  <c r="N739" i="1"/>
  <c r="F740" i="1"/>
  <c r="I740" i="1"/>
  <c r="K740" i="1"/>
  <c r="L740" i="1"/>
  <c r="N740" i="1"/>
  <c r="F741" i="1"/>
  <c r="I741" i="1"/>
  <c r="K741" i="1"/>
  <c r="L741" i="1"/>
  <c r="N741" i="1"/>
  <c r="F742" i="1"/>
  <c r="I742" i="1"/>
  <c r="K742" i="1"/>
  <c r="L742" i="1"/>
  <c r="N742" i="1"/>
  <c r="F743" i="1"/>
  <c r="I743" i="1"/>
  <c r="K743" i="1"/>
  <c r="L743" i="1"/>
  <c r="N743" i="1"/>
  <c r="F744" i="1"/>
  <c r="I744" i="1"/>
  <c r="K744" i="1"/>
  <c r="L744" i="1"/>
  <c r="N744" i="1"/>
  <c r="F745" i="1"/>
  <c r="I745" i="1"/>
  <c r="K745" i="1"/>
  <c r="L745" i="1"/>
  <c r="N745" i="1"/>
  <c r="F746" i="1"/>
  <c r="I746" i="1"/>
  <c r="K746" i="1"/>
  <c r="L746" i="1"/>
  <c r="N746" i="1"/>
  <c r="F747" i="1"/>
  <c r="I747" i="1"/>
  <c r="K747" i="1"/>
  <c r="L747" i="1"/>
  <c r="N747" i="1"/>
  <c r="F748" i="1"/>
  <c r="I748" i="1"/>
  <c r="K748" i="1"/>
  <c r="L748" i="1"/>
  <c r="N748" i="1"/>
  <c r="F749" i="1"/>
  <c r="I749" i="1"/>
  <c r="K749" i="1"/>
  <c r="L749" i="1"/>
  <c r="N749" i="1"/>
  <c r="F750" i="1"/>
  <c r="I750" i="1"/>
  <c r="K750" i="1"/>
  <c r="L750" i="1"/>
  <c r="N750" i="1"/>
  <c r="F751" i="1"/>
  <c r="I751" i="1"/>
  <c r="K751" i="1"/>
  <c r="L751" i="1"/>
  <c r="N751" i="1"/>
  <c r="F752" i="1"/>
  <c r="I752" i="1"/>
  <c r="K752" i="1"/>
  <c r="L752" i="1"/>
  <c r="N752" i="1"/>
  <c r="F753" i="1"/>
  <c r="I753" i="1"/>
  <c r="K753" i="1"/>
  <c r="L753" i="1"/>
  <c r="N753" i="1"/>
  <c r="F754" i="1"/>
  <c r="I754" i="1"/>
  <c r="K754" i="1"/>
  <c r="L754" i="1"/>
  <c r="N754" i="1"/>
  <c r="F755" i="1"/>
  <c r="I755" i="1"/>
  <c r="K755" i="1"/>
  <c r="L755" i="1"/>
  <c r="N755" i="1"/>
  <c r="F756" i="1"/>
  <c r="I756" i="1"/>
  <c r="K756" i="1"/>
  <c r="L756" i="1"/>
  <c r="N756" i="1"/>
  <c r="F757" i="1"/>
  <c r="I757" i="1"/>
  <c r="K757" i="1"/>
  <c r="L757" i="1"/>
  <c r="N757" i="1"/>
  <c r="F758" i="1"/>
  <c r="I758" i="1"/>
  <c r="K758" i="1"/>
  <c r="L758" i="1"/>
  <c r="N758" i="1"/>
  <c r="F759" i="1"/>
  <c r="I759" i="1"/>
  <c r="K759" i="1"/>
  <c r="L759" i="1"/>
  <c r="N759" i="1"/>
  <c r="F760" i="1"/>
  <c r="I760" i="1"/>
  <c r="K760" i="1"/>
  <c r="L760" i="1"/>
  <c r="N760" i="1"/>
  <c r="F761" i="1"/>
  <c r="I761" i="1"/>
  <c r="K761" i="1"/>
  <c r="L761" i="1"/>
  <c r="N761" i="1"/>
  <c r="F762" i="1"/>
  <c r="I762" i="1"/>
  <c r="K762" i="1"/>
  <c r="L762" i="1"/>
  <c r="N762" i="1"/>
  <c r="F763" i="1"/>
  <c r="I763" i="1"/>
  <c r="K763" i="1"/>
  <c r="L763" i="1"/>
  <c r="N763" i="1"/>
  <c r="F764" i="1"/>
  <c r="I764" i="1"/>
  <c r="K764" i="1"/>
  <c r="L764" i="1"/>
  <c r="N764" i="1"/>
  <c r="F765" i="1"/>
  <c r="I765" i="1"/>
  <c r="K765" i="1"/>
  <c r="L765" i="1"/>
  <c r="N765" i="1"/>
  <c r="F766" i="1"/>
  <c r="I766" i="1"/>
  <c r="K766" i="1"/>
  <c r="L766" i="1"/>
  <c r="N766" i="1"/>
  <c r="F767" i="1"/>
  <c r="I767" i="1"/>
  <c r="K767" i="1"/>
  <c r="L767" i="1"/>
  <c r="N767" i="1"/>
  <c r="F768" i="1"/>
  <c r="I768" i="1"/>
  <c r="K768" i="1"/>
  <c r="L768" i="1"/>
  <c r="N768" i="1"/>
  <c r="F726" i="1"/>
  <c r="I726" i="1"/>
  <c r="K726" i="1"/>
  <c r="L726" i="1"/>
  <c r="N726" i="1"/>
  <c r="N28" i="17"/>
  <c r="L28" i="17"/>
  <c r="K28" i="17"/>
  <c r="I28" i="17"/>
  <c r="F28" i="17"/>
  <c r="N27" i="17"/>
  <c r="L27" i="17"/>
  <c r="K27" i="17"/>
  <c r="I27" i="17"/>
  <c r="F27" i="17"/>
  <c r="N35" i="21"/>
  <c r="L35" i="21"/>
  <c r="K35" i="21"/>
  <c r="I35" i="21"/>
  <c r="F35" i="21"/>
  <c r="N34" i="21"/>
  <c r="L34" i="21"/>
  <c r="K34" i="21"/>
  <c r="I34" i="21"/>
  <c r="F34" i="21"/>
  <c r="N102" i="15"/>
  <c r="L102" i="15"/>
  <c r="K102" i="15"/>
  <c r="I102" i="15"/>
  <c r="F102" i="15"/>
  <c r="N101" i="15"/>
  <c r="L101" i="15"/>
  <c r="K101" i="15"/>
  <c r="I101" i="15"/>
  <c r="F101" i="15"/>
  <c r="N100" i="15"/>
  <c r="L100" i="15"/>
  <c r="K100" i="15"/>
  <c r="I100" i="15"/>
  <c r="F100" i="15"/>
  <c r="N99" i="15"/>
  <c r="L99" i="15"/>
  <c r="K99" i="15"/>
  <c r="I99" i="15"/>
  <c r="F99" i="15"/>
  <c r="N98" i="15"/>
  <c r="L98" i="15"/>
  <c r="K98" i="15"/>
  <c r="I98" i="15"/>
  <c r="F98" i="15"/>
  <c r="N97" i="15"/>
  <c r="L97" i="15"/>
  <c r="K97" i="15"/>
  <c r="I97" i="15"/>
  <c r="F97" i="15"/>
  <c r="N96" i="15"/>
  <c r="L96" i="15"/>
  <c r="K96" i="15"/>
  <c r="I96" i="15"/>
  <c r="F96" i="15"/>
  <c r="N465" i="14"/>
  <c r="L465" i="14"/>
  <c r="K465" i="14"/>
  <c r="I465" i="14"/>
  <c r="F465" i="14"/>
  <c r="N464" i="14"/>
  <c r="L464" i="14"/>
  <c r="K464" i="14"/>
  <c r="I464" i="14"/>
  <c r="F464" i="14"/>
  <c r="N463" i="14"/>
  <c r="L463" i="14"/>
  <c r="K463" i="14"/>
  <c r="I463" i="14"/>
  <c r="F463" i="14"/>
  <c r="N462" i="14"/>
  <c r="L462" i="14"/>
  <c r="K462" i="14"/>
  <c r="I462" i="14"/>
  <c r="F462" i="14"/>
  <c r="N461" i="14"/>
  <c r="L461" i="14"/>
  <c r="K461" i="14"/>
  <c r="I461" i="14"/>
  <c r="F461" i="14"/>
  <c r="N460" i="14"/>
  <c r="L460" i="14"/>
  <c r="K460" i="14"/>
  <c r="I460" i="14"/>
  <c r="F460" i="14"/>
  <c r="N459" i="14"/>
  <c r="L459" i="14"/>
  <c r="K459" i="14"/>
  <c r="I459" i="14"/>
  <c r="F459" i="14"/>
  <c r="N458" i="14"/>
  <c r="L458" i="14"/>
  <c r="K458" i="14"/>
  <c r="I458" i="14"/>
  <c r="F458" i="14"/>
  <c r="N457" i="14"/>
  <c r="L457" i="14"/>
  <c r="K457" i="14"/>
  <c r="I457" i="14"/>
  <c r="F457" i="14"/>
  <c r="N456" i="14"/>
  <c r="L456" i="14"/>
  <c r="K456" i="14"/>
  <c r="I456" i="14"/>
  <c r="F456" i="14"/>
  <c r="N455" i="14"/>
  <c r="L455" i="14"/>
  <c r="K455" i="14"/>
  <c r="I455" i="14"/>
  <c r="F455" i="14"/>
  <c r="N454" i="14"/>
  <c r="L454" i="14"/>
  <c r="K454" i="14"/>
  <c r="I454" i="14"/>
  <c r="F454" i="14"/>
  <c r="N453" i="14"/>
  <c r="L453" i="14"/>
  <c r="K453" i="14"/>
  <c r="I453" i="14"/>
  <c r="F453" i="14"/>
  <c r="N452" i="14"/>
  <c r="L452" i="14"/>
  <c r="K452" i="14"/>
  <c r="I452" i="14"/>
  <c r="F452" i="14"/>
  <c r="N59" i="12"/>
  <c r="L59" i="12"/>
  <c r="K59" i="12"/>
  <c r="I59" i="12"/>
  <c r="F59" i="12"/>
  <c r="N58" i="12"/>
  <c r="L58" i="12"/>
  <c r="K58" i="12"/>
  <c r="I58" i="12"/>
  <c r="F58" i="12"/>
  <c r="N57" i="12"/>
  <c r="L57" i="12"/>
  <c r="K57" i="12"/>
  <c r="I57" i="12"/>
  <c r="F57" i="12"/>
  <c r="N95" i="9"/>
  <c r="L95" i="9"/>
  <c r="K95" i="9"/>
  <c r="I95" i="9"/>
  <c r="F95" i="9"/>
  <c r="N94" i="9"/>
  <c r="L94" i="9"/>
  <c r="K94" i="9"/>
  <c r="I94" i="9"/>
  <c r="F94" i="9"/>
  <c r="N93" i="9"/>
  <c r="L93" i="9"/>
  <c r="K93" i="9"/>
  <c r="I93" i="9"/>
  <c r="F93" i="9"/>
  <c r="N92" i="9"/>
  <c r="L92" i="9"/>
  <c r="K92" i="9"/>
  <c r="I92" i="9"/>
  <c r="F92" i="9"/>
  <c r="N93" i="11"/>
  <c r="L93" i="11"/>
  <c r="K93" i="11"/>
  <c r="I93" i="11"/>
  <c r="F93" i="11"/>
  <c r="N92" i="11"/>
  <c r="L92" i="11"/>
  <c r="K92" i="11"/>
  <c r="I92" i="11"/>
  <c r="F92" i="11"/>
  <c r="N91" i="11"/>
  <c r="L91" i="11"/>
  <c r="K91" i="11"/>
  <c r="I91" i="11"/>
  <c r="F91" i="11"/>
  <c r="N90" i="11"/>
  <c r="L90" i="11"/>
  <c r="K90" i="11"/>
  <c r="I90" i="11"/>
  <c r="F90" i="11"/>
  <c r="J24" i="4"/>
  <c r="K24" i="4"/>
  <c r="G24" i="4"/>
  <c r="H24" i="4"/>
  <c r="E24" i="4"/>
  <c r="L494" i="3"/>
  <c r="L493" i="3"/>
  <c r="L492" i="3"/>
  <c r="L491" i="3"/>
  <c r="L490" i="3"/>
  <c r="L489" i="3"/>
  <c r="L488" i="3"/>
  <c r="L487" i="3"/>
  <c r="L486" i="3"/>
  <c r="L485" i="3"/>
  <c r="M485" i="3" s="1"/>
  <c r="L484" i="3"/>
  <c r="L483" i="3"/>
  <c r="L482" i="3"/>
  <c r="L481" i="3"/>
  <c r="L480" i="3"/>
  <c r="L479" i="3"/>
  <c r="I494" i="3"/>
  <c r="I493" i="3"/>
  <c r="I492" i="3"/>
  <c r="I491" i="3"/>
  <c r="I490" i="3"/>
  <c r="I489" i="3"/>
  <c r="I488" i="3"/>
  <c r="I487" i="3"/>
  <c r="I486" i="3"/>
  <c r="I485" i="3"/>
  <c r="J485" i="3" s="1"/>
  <c r="I484" i="3"/>
  <c r="I483" i="3"/>
  <c r="I482" i="3"/>
  <c r="I481" i="3"/>
  <c r="I480" i="3"/>
  <c r="I479" i="3"/>
  <c r="G494" i="3"/>
  <c r="H494" i="3" s="1"/>
  <c r="G493" i="3"/>
  <c r="G492" i="3"/>
  <c r="G491" i="3"/>
  <c r="G490" i="3"/>
  <c r="G489" i="3"/>
  <c r="K489" i="3" s="1"/>
  <c r="G488" i="3"/>
  <c r="G487" i="3"/>
  <c r="G486" i="3"/>
  <c r="G485" i="3"/>
  <c r="H485" i="3" s="1"/>
  <c r="G484" i="3"/>
  <c r="G483" i="3"/>
  <c r="K483" i="3" s="1"/>
  <c r="G482" i="3"/>
  <c r="G481" i="3"/>
  <c r="G480" i="3"/>
  <c r="G479" i="3"/>
  <c r="F494" i="3"/>
  <c r="E494" i="3" s="1"/>
  <c r="F493" i="3"/>
  <c r="F492" i="3"/>
  <c r="F491" i="3"/>
  <c r="F490" i="3"/>
  <c r="F489" i="3"/>
  <c r="F488" i="3"/>
  <c r="F487" i="3"/>
  <c r="F486" i="3"/>
  <c r="F485" i="3"/>
  <c r="E485" i="3" s="1"/>
  <c r="F484" i="3"/>
  <c r="F483" i="3"/>
  <c r="F482" i="3"/>
  <c r="F481" i="3"/>
  <c r="F480" i="3"/>
  <c r="F479" i="3"/>
  <c r="D492" i="3"/>
  <c r="E492" i="3" s="1"/>
  <c r="D493" i="3"/>
  <c r="E493" i="3" s="1"/>
  <c r="D494" i="3"/>
  <c r="D491" i="3"/>
  <c r="E491" i="3" s="1"/>
  <c r="D490" i="3"/>
  <c r="D489" i="3"/>
  <c r="E489" i="3" s="1"/>
  <c r="D488" i="3"/>
  <c r="D487" i="3"/>
  <c r="D486" i="3"/>
  <c r="H486" i="3" s="1"/>
  <c r="D484" i="3"/>
  <c r="E484" i="3" s="1"/>
  <c r="D485" i="3"/>
  <c r="D483" i="3"/>
  <c r="D482" i="3"/>
  <c r="D481" i="3"/>
  <c r="D480" i="3"/>
  <c r="D479" i="3"/>
  <c r="H492" i="3"/>
  <c r="K492" i="3"/>
  <c r="K701" i="1"/>
  <c r="L701" i="1"/>
  <c r="N701" i="1"/>
  <c r="K702" i="1"/>
  <c r="L702" i="1"/>
  <c r="N702" i="1"/>
  <c r="K703" i="1"/>
  <c r="L703" i="1"/>
  <c r="N703" i="1"/>
  <c r="K704" i="1"/>
  <c r="L704" i="1"/>
  <c r="N704" i="1"/>
  <c r="K705" i="1"/>
  <c r="L705" i="1"/>
  <c r="N705" i="1"/>
  <c r="K706" i="1"/>
  <c r="L706" i="1"/>
  <c r="N706" i="1"/>
  <c r="K707" i="1"/>
  <c r="L707" i="1"/>
  <c r="N707" i="1"/>
  <c r="K708" i="1"/>
  <c r="L708" i="1"/>
  <c r="N708" i="1"/>
  <c r="K709" i="1"/>
  <c r="L709" i="1"/>
  <c r="N709" i="1"/>
  <c r="K710" i="1"/>
  <c r="L710" i="1"/>
  <c r="N710" i="1"/>
  <c r="K711" i="1"/>
  <c r="L711" i="1"/>
  <c r="N711" i="1"/>
  <c r="K712" i="1"/>
  <c r="L712" i="1"/>
  <c r="N712" i="1"/>
  <c r="K713" i="1"/>
  <c r="L713" i="1"/>
  <c r="N713" i="1"/>
  <c r="K714" i="1"/>
  <c r="L714" i="1"/>
  <c r="N714" i="1"/>
  <c r="K715" i="1"/>
  <c r="L715" i="1"/>
  <c r="N715" i="1"/>
  <c r="K716" i="1"/>
  <c r="L716" i="1"/>
  <c r="N716" i="1"/>
  <c r="K717" i="1"/>
  <c r="L717" i="1"/>
  <c r="N717" i="1"/>
  <c r="K718" i="1"/>
  <c r="L718" i="1"/>
  <c r="N718" i="1"/>
  <c r="K719" i="1"/>
  <c r="L719" i="1"/>
  <c r="N719" i="1"/>
  <c r="K720" i="1"/>
  <c r="L720" i="1"/>
  <c r="N720" i="1"/>
  <c r="K721" i="1"/>
  <c r="L721" i="1"/>
  <c r="N721" i="1"/>
  <c r="K722" i="1"/>
  <c r="L722" i="1"/>
  <c r="N722" i="1"/>
  <c r="K723" i="1"/>
  <c r="L723" i="1"/>
  <c r="N723" i="1"/>
  <c r="K724" i="1"/>
  <c r="L724" i="1"/>
  <c r="N724" i="1"/>
  <c r="K725" i="1"/>
  <c r="L725" i="1"/>
  <c r="N725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M500" i="3" l="1"/>
  <c r="H514" i="3"/>
  <c r="M498" i="3"/>
  <c r="E479" i="3"/>
  <c r="E497" i="3"/>
  <c r="E505" i="3"/>
  <c r="E521" i="3"/>
  <c r="K515" i="3"/>
  <c r="J501" i="3"/>
  <c r="J509" i="3"/>
  <c r="J517" i="3"/>
  <c r="E514" i="3"/>
  <c r="H500" i="3"/>
  <c r="H524" i="3"/>
  <c r="K502" i="3"/>
  <c r="M505" i="3"/>
  <c r="M513" i="3"/>
  <c r="K493" i="3"/>
  <c r="J500" i="3"/>
  <c r="K508" i="3"/>
  <c r="K516" i="3"/>
  <c r="J524" i="3"/>
  <c r="E500" i="3"/>
  <c r="E501" i="3"/>
  <c r="K521" i="3"/>
  <c r="M499" i="3"/>
  <c r="M507" i="3"/>
  <c r="M515" i="3"/>
  <c r="M523" i="3"/>
  <c r="M514" i="3"/>
  <c r="E508" i="3"/>
  <c r="H516" i="3"/>
  <c r="K498" i="3"/>
  <c r="K506" i="3"/>
  <c r="K514" i="3"/>
  <c r="J522" i="3"/>
  <c r="M508" i="3"/>
  <c r="M516" i="3"/>
  <c r="H515" i="3"/>
  <c r="E517" i="3"/>
  <c r="H497" i="3"/>
  <c r="J499" i="3"/>
  <c r="E515" i="3"/>
  <c r="H505" i="3"/>
  <c r="K523" i="3"/>
  <c r="H522" i="3"/>
  <c r="M502" i="3"/>
  <c r="H507" i="3"/>
  <c r="M490" i="3"/>
  <c r="K522" i="3"/>
  <c r="H496" i="3"/>
  <c r="E522" i="3"/>
  <c r="J518" i="3"/>
  <c r="M504" i="3"/>
  <c r="H499" i="3"/>
  <c r="H523" i="3"/>
  <c r="H521" i="3"/>
  <c r="E507" i="3"/>
  <c r="E523" i="3"/>
  <c r="H517" i="3"/>
  <c r="J511" i="3"/>
  <c r="J519" i="3"/>
  <c r="J492" i="3"/>
  <c r="J490" i="3"/>
  <c r="E518" i="3"/>
  <c r="J508" i="3"/>
  <c r="K499" i="3"/>
  <c r="E503" i="3"/>
  <c r="E511" i="3"/>
  <c r="E519" i="3"/>
  <c r="M501" i="3"/>
  <c r="M517" i="3"/>
  <c r="K507" i="3"/>
  <c r="E504" i="3"/>
  <c r="E512" i="3"/>
  <c r="M510" i="3"/>
  <c r="J510" i="3"/>
  <c r="M512" i="3"/>
  <c r="M520" i="3"/>
  <c r="M511" i="3"/>
  <c r="J495" i="3"/>
  <c r="H501" i="3"/>
  <c r="M521" i="3"/>
  <c r="E509" i="3"/>
  <c r="K524" i="3"/>
  <c r="J502" i="3"/>
  <c r="E498" i="3"/>
  <c r="J512" i="3"/>
  <c r="M522" i="3"/>
  <c r="J503" i="3"/>
  <c r="K518" i="3"/>
  <c r="K500" i="3"/>
  <c r="E499" i="3"/>
  <c r="H495" i="3"/>
  <c r="K503" i="3"/>
  <c r="H511" i="3"/>
  <c r="K519" i="3"/>
  <c r="M497" i="3"/>
  <c r="H483" i="3"/>
  <c r="H518" i="3"/>
  <c r="H508" i="3"/>
  <c r="J516" i="3"/>
  <c r="E502" i="3"/>
  <c r="E510" i="3"/>
  <c r="H512" i="3"/>
  <c r="K501" i="3"/>
  <c r="J496" i="3"/>
  <c r="J497" i="3"/>
  <c r="K509" i="3"/>
  <c r="K517" i="3"/>
  <c r="K496" i="3"/>
  <c r="K504" i="3"/>
  <c r="K520" i="3"/>
  <c r="K510" i="3"/>
  <c r="J505" i="3"/>
  <c r="K497" i="3"/>
  <c r="K505" i="3"/>
  <c r="J504" i="3"/>
  <c r="H519" i="3"/>
  <c r="H513" i="3"/>
  <c r="H509" i="3"/>
  <c r="K512" i="3"/>
  <c r="H504" i="3"/>
  <c r="K511" i="3"/>
  <c r="K495" i="3"/>
  <c r="H520" i="3"/>
  <c r="J520" i="3"/>
  <c r="E520" i="3"/>
  <c r="J514" i="3"/>
  <c r="E513" i="3"/>
  <c r="J513" i="3"/>
  <c r="E506" i="3"/>
  <c r="H506" i="3"/>
  <c r="M506" i="3"/>
  <c r="H503" i="3"/>
  <c r="M496" i="3"/>
  <c r="E496" i="3"/>
  <c r="E495" i="3"/>
  <c r="K481" i="3"/>
  <c r="J482" i="3"/>
  <c r="K486" i="3"/>
  <c r="K494" i="3"/>
  <c r="H493" i="3"/>
  <c r="K485" i="3"/>
  <c r="J493" i="3"/>
  <c r="M493" i="3"/>
  <c r="E480" i="3"/>
  <c r="E488" i="3"/>
  <c r="H488" i="3"/>
  <c r="J480" i="3"/>
  <c r="J488" i="3"/>
  <c r="E481" i="3"/>
  <c r="J481" i="3"/>
  <c r="M481" i="3"/>
  <c r="M483" i="3"/>
  <c r="E487" i="3"/>
  <c r="H487" i="3"/>
  <c r="J479" i="3"/>
  <c r="M484" i="3"/>
  <c r="H482" i="3"/>
  <c r="H484" i="3"/>
  <c r="M492" i="3"/>
  <c r="E486" i="3"/>
  <c r="M494" i="3"/>
  <c r="J484" i="3"/>
  <c r="M479" i="3"/>
  <c r="M487" i="3"/>
  <c r="H480" i="3"/>
  <c r="M480" i="3"/>
  <c r="M488" i="3"/>
  <c r="J487" i="3"/>
  <c r="M489" i="3"/>
  <c r="K488" i="3"/>
  <c r="K482" i="3"/>
  <c r="H491" i="3"/>
  <c r="J483" i="3"/>
  <c r="M491" i="3"/>
  <c r="H481" i="3"/>
  <c r="M486" i="3"/>
  <c r="K480" i="3"/>
  <c r="E490" i="3"/>
  <c r="H490" i="3"/>
  <c r="M482" i="3"/>
  <c r="E483" i="3"/>
  <c r="J491" i="3"/>
  <c r="K479" i="3"/>
  <c r="K484" i="3"/>
  <c r="K490" i="3"/>
  <c r="H489" i="3"/>
  <c r="K491" i="3"/>
  <c r="K487" i="3"/>
  <c r="E482" i="3"/>
  <c r="J494" i="3"/>
  <c r="J489" i="3"/>
  <c r="J486" i="3"/>
  <c r="H479" i="3"/>
  <c r="N26" i="17"/>
  <c r="L26" i="17"/>
  <c r="K26" i="17"/>
  <c r="I26" i="17"/>
  <c r="F26" i="17"/>
  <c r="N25" i="17"/>
  <c r="L25" i="17"/>
  <c r="K25" i="17"/>
  <c r="I25" i="17"/>
  <c r="F25" i="17"/>
  <c r="N40" i="21"/>
  <c r="N33" i="21"/>
  <c r="L33" i="21"/>
  <c r="K33" i="21"/>
  <c r="I33" i="21"/>
  <c r="F33" i="21"/>
  <c r="M29" i="19"/>
  <c r="J29" i="19"/>
  <c r="H29" i="19"/>
  <c r="F29" i="19"/>
  <c r="G29" i="19"/>
  <c r="E29" i="19"/>
  <c r="N27" i="19"/>
  <c r="L27" i="19"/>
  <c r="K27" i="19"/>
  <c r="I27" i="19"/>
  <c r="F27" i="19"/>
  <c r="N26" i="19"/>
  <c r="L26" i="19"/>
  <c r="K26" i="19"/>
  <c r="I26" i="19"/>
  <c r="F26" i="19"/>
  <c r="N25" i="19"/>
  <c r="L25" i="19"/>
  <c r="K25" i="19"/>
  <c r="I25" i="19"/>
  <c r="F25" i="19"/>
  <c r="N95" i="15"/>
  <c r="L95" i="15"/>
  <c r="K95" i="15"/>
  <c r="I95" i="15"/>
  <c r="F95" i="15"/>
  <c r="N94" i="15"/>
  <c r="L94" i="15"/>
  <c r="K94" i="15"/>
  <c r="I94" i="15"/>
  <c r="F94" i="15"/>
  <c r="N93" i="15"/>
  <c r="L93" i="15"/>
  <c r="K93" i="15"/>
  <c r="I93" i="15"/>
  <c r="F93" i="15"/>
  <c r="N92" i="15"/>
  <c r="L92" i="15"/>
  <c r="K92" i="15"/>
  <c r="I92" i="15"/>
  <c r="F92" i="15"/>
  <c r="N451" i="14"/>
  <c r="L451" i="14"/>
  <c r="K451" i="14"/>
  <c r="I451" i="14"/>
  <c r="F451" i="14"/>
  <c r="N450" i="14"/>
  <c r="L450" i="14"/>
  <c r="K450" i="14"/>
  <c r="I450" i="14"/>
  <c r="F450" i="14"/>
  <c r="N449" i="14"/>
  <c r="L449" i="14"/>
  <c r="K449" i="14"/>
  <c r="I449" i="14"/>
  <c r="F449" i="14"/>
  <c r="N448" i="14"/>
  <c r="L448" i="14"/>
  <c r="K448" i="14"/>
  <c r="I448" i="14"/>
  <c r="F448" i="14"/>
  <c r="N447" i="14"/>
  <c r="L447" i="14"/>
  <c r="K447" i="14"/>
  <c r="I447" i="14"/>
  <c r="F447" i="14"/>
  <c r="N446" i="14"/>
  <c r="L446" i="14"/>
  <c r="K446" i="14"/>
  <c r="I446" i="14"/>
  <c r="F446" i="14"/>
  <c r="N445" i="14"/>
  <c r="L445" i="14"/>
  <c r="K445" i="14"/>
  <c r="I445" i="14"/>
  <c r="F445" i="14"/>
  <c r="N444" i="14"/>
  <c r="L444" i="14"/>
  <c r="K444" i="14"/>
  <c r="I444" i="14"/>
  <c r="F444" i="14"/>
  <c r="N443" i="14"/>
  <c r="L443" i="14"/>
  <c r="K443" i="14"/>
  <c r="I443" i="14"/>
  <c r="F443" i="14"/>
  <c r="N442" i="14"/>
  <c r="L442" i="14"/>
  <c r="K442" i="14"/>
  <c r="I442" i="14"/>
  <c r="F442" i="14"/>
  <c r="N441" i="14"/>
  <c r="L441" i="14"/>
  <c r="K441" i="14"/>
  <c r="I441" i="14"/>
  <c r="F441" i="14"/>
  <c r="N440" i="14"/>
  <c r="L440" i="14"/>
  <c r="K440" i="14"/>
  <c r="I440" i="14"/>
  <c r="F440" i="14"/>
  <c r="N439" i="14"/>
  <c r="L439" i="14"/>
  <c r="K439" i="14"/>
  <c r="I439" i="14"/>
  <c r="F439" i="14"/>
  <c r="N438" i="14"/>
  <c r="L438" i="14"/>
  <c r="K438" i="14"/>
  <c r="I438" i="14"/>
  <c r="F438" i="14"/>
  <c r="N437" i="14"/>
  <c r="L437" i="14"/>
  <c r="K437" i="14"/>
  <c r="I437" i="14"/>
  <c r="F437" i="14"/>
  <c r="N436" i="14"/>
  <c r="L436" i="14"/>
  <c r="K436" i="14"/>
  <c r="I436" i="14"/>
  <c r="F436" i="14"/>
  <c r="N435" i="14"/>
  <c r="L435" i="14"/>
  <c r="K435" i="14"/>
  <c r="I435" i="14"/>
  <c r="F435" i="14"/>
  <c r="N434" i="14"/>
  <c r="L434" i="14"/>
  <c r="K434" i="14"/>
  <c r="I434" i="14"/>
  <c r="F434" i="14"/>
  <c r="N433" i="14"/>
  <c r="L433" i="14"/>
  <c r="K433" i="14"/>
  <c r="I433" i="14"/>
  <c r="F433" i="14"/>
  <c r="N432" i="14"/>
  <c r="L432" i="14"/>
  <c r="K432" i="14"/>
  <c r="I432" i="14"/>
  <c r="F432" i="14"/>
  <c r="N431" i="14"/>
  <c r="L431" i="14"/>
  <c r="K431" i="14"/>
  <c r="I431" i="14"/>
  <c r="F431" i="14"/>
  <c r="N430" i="14"/>
  <c r="L430" i="14"/>
  <c r="K430" i="14"/>
  <c r="I430" i="14"/>
  <c r="F430" i="14"/>
  <c r="N429" i="14"/>
  <c r="L429" i="14"/>
  <c r="K429" i="14"/>
  <c r="I429" i="14"/>
  <c r="F429" i="14"/>
  <c r="N428" i="14"/>
  <c r="L428" i="14"/>
  <c r="K428" i="14"/>
  <c r="I428" i="14"/>
  <c r="F428" i="14"/>
  <c r="N427" i="14"/>
  <c r="L427" i="14"/>
  <c r="K427" i="14"/>
  <c r="I427" i="14"/>
  <c r="F427" i="14"/>
  <c r="N426" i="14"/>
  <c r="L426" i="14"/>
  <c r="K426" i="14"/>
  <c r="I426" i="14"/>
  <c r="F426" i="14"/>
  <c r="N425" i="14"/>
  <c r="L425" i="14"/>
  <c r="K425" i="14"/>
  <c r="I425" i="14"/>
  <c r="F425" i="14"/>
  <c r="N424" i="14"/>
  <c r="L424" i="14"/>
  <c r="K424" i="14"/>
  <c r="I424" i="14"/>
  <c r="F424" i="14"/>
  <c r="N56" i="12"/>
  <c r="L56" i="12"/>
  <c r="K56" i="12"/>
  <c r="I56" i="12"/>
  <c r="F56" i="12"/>
  <c r="N55" i="12"/>
  <c r="L55" i="12"/>
  <c r="K55" i="12"/>
  <c r="I55" i="12"/>
  <c r="F55" i="12"/>
  <c r="N91" i="9"/>
  <c r="L91" i="9"/>
  <c r="K91" i="9"/>
  <c r="I91" i="9"/>
  <c r="F91" i="9"/>
  <c r="N90" i="9"/>
  <c r="L90" i="9"/>
  <c r="K90" i="9"/>
  <c r="I90" i="9"/>
  <c r="F90" i="9"/>
  <c r="N89" i="9"/>
  <c r="L89" i="9"/>
  <c r="K89" i="9"/>
  <c r="I89" i="9"/>
  <c r="F89" i="9"/>
  <c r="N88" i="9"/>
  <c r="L88" i="9"/>
  <c r="K88" i="9"/>
  <c r="I88" i="9"/>
  <c r="F88" i="9"/>
  <c r="N86" i="11"/>
  <c r="N87" i="11"/>
  <c r="N88" i="11"/>
  <c r="N89" i="11"/>
  <c r="L89" i="11"/>
  <c r="K89" i="11"/>
  <c r="I89" i="11"/>
  <c r="F89" i="11"/>
  <c r="L88" i="11"/>
  <c r="K88" i="11"/>
  <c r="I88" i="11"/>
  <c r="F88" i="11"/>
  <c r="L87" i="11"/>
  <c r="K87" i="11"/>
  <c r="I87" i="11"/>
  <c r="F87" i="11"/>
  <c r="L86" i="11"/>
  <c r="K86" i="11"/>
  <c r="I86" i="11"/>
  <c r="F86" i="11"/>
  <c r="K23" i="4"/>
  <c r="J23" i="4"/>
  <c r="H23" i="4"/>
  <c r="G23" i="4"/>
  <c r="E23" i="4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N32" i="21"/>
  <c r="L32" i="21"/>
  <c r="K32" i="21"/>
  <c r="I32" i="21"/>
  <c r="F32" i="21"/>
  <c r="N31" i="21"/>
  <c r="L31" i="21"/>
  <c r="K31" i="21"/>
  <c r="I31" i="21"/>
  <c r="F31" i="21"/>
  <c r="N91" i="15"/>
  <c r="L91" i="15"/>
  <c r="K91" i="15"/>
  <c r="I91" i="15"/>
  <c r="F91" i="15"/>
  <c r="N90" i="15"/>
  <c r="L90" i="15"/>
  <c r="K90" i="15"/>
  <c r="I90" i="15"/>
  <c r="F90" i="15"/>
  <c r="N89" i="15"/>
  <c r="L89" i="15"/>
  <c r="K89" i="15"/>
  <c r="I89" i="15"/>
  <c r="F89" i="15"/>
  <c r="N88" i="15"/>
  <c r="L88" i="15"/>
  <c r="K88" i="15"/>
  <c r="I88" i="15"/>
  <c r="F88" i="15"/>
  <c r="N87" i="15"/>
  <c r="L87" i="15"/>
  <c r="K87" i="15"/>
  <c r="I87" i="15"/>
  <c r="F87" i="15"/>
  <c r="N423" i="14"/>
  <c r="L423" i="14"/>
  <c r="K423" i="14"/>
  <c r="I423" i="14"/>
  <c r="F423" i="14"/>
  <c r="N422" i="14"/>
  <c r="L422" i="14"/>
  <c r="K422" i="14"/>
  <c r="I422" i="14"/>
  <c r="F422" i="14"/>
  <c r="N421" i="14"/>
  <c r="L421" i="14"/>
  <c r="K421" i="14"/>
  <c r="I421" i="14"/>
  <c r="F421" i="14"/>
  <c r="N420" i="14"/>
  <c r="L420" i="14"/>
  <c r="K420" i="14"/>
  <c r="I420" i="14"/>
  <c r="F420" i="14"/>
  <c r="N419" i="14"/>
  <c r="L419" i="14"/>
  <c r="K419" i="14"/>
  <c r="I419" i="14"/>
  <c r="F419" i="14"/>
  <c r="N418" i="14"/>
  <c r="L418" i="14"/>
  <c r="K418" i="14"/>
  <c r="I418" i="14"/>
  <c r="F418" i="14"/>
  <c r="N417" i="14"/>
  <c r="L417" i="14"/>
  <c r="K417" i="14"/>
  <c r="I417" i="14"/>
  <c r="F417" i="14"/>
  <c r="N416" i="14"/>
  <c r="L416" i="14"/>
  <c r="K416" i="14"/>
  <c r="I416" i="14"/>
  <c r="F416" i="14"/>
  <c r="N415" i="14"/>
  <c r="L415" i="14"/>
  <c r="K415" i="14"/>
  <c r="I415" i="14"/>
  <c r="F415" i="14"/>
  <c r="N414" i="14"/>
  <c r="L414" i="14"/>
  <c r="K414" i="14"/>
  <c r="I414" i="14"/>
  <c r="F414" i="14"/>
  <c r="N413" i="14"/>
  <c r="L413" i="14"/>
  <c r="K413" i="14"/>
  <c r="I413" i="14"/>
  <c r="F413" i="14"/>
  <c r="N412" i="14"/>
  <c r="L412" i="14"/>
  <c r="K412" i="14"/>
  <c r="I412" i="14"/>
  <c r="F412" i="14"/>
  <c r="N411" i="14"/>
  <c r="L411" i="14"/>
  <c r="K411" i="14"/>
  <c r="I411" i="14"/>
  <c r="F411" i="14"/>
  <c r="N410" i="14"/>
  <c r="L410" i="14"/>
  <c r="K410" i="14"/>
  <c r="I410" i="14"/>
  <c r="F410" i="14"/>
  <c r="N54" i="12"/>
  <c r="L54" i="12"/>
  <c r="K54" i="12"/>
  <c r="I54" i="12"/>
  <c r="F54" i="12"/>
  <c r="N53" i="12"/>
  <c r="L53" i="12"/>
  <c r="K53" i="12"/>
  <c r="I53" i="12"/>
  <c r="F53" i="12"/>
  <c r="N52" i="12"/>
  <c r="L52" i="12"/>
  <c r="K52" i="12"/>
  <c r="I52" i="12"/>
  <c r="F52" i="12"/>
  <c r="N87" i="9"/>
  <c r="L87" i="9"/>
  <c r="K87" i="9"/>
  <c r="I87" i="9"/>
  <c r="F87" i="9"/>
  <c r="N86" i="9"/>
  <c r="L86" i="9"/>
  <c r="K86" i="9"/>
  <c r="I86" i="9"/>
  <c r="F86" i="9"/>
  <c r="N85" i="9"/>
  <c r="L85" i="9"/>
  <c r="K85" i="9"/>
  <c r="I85" i="9"/>
  <c r="F85" i="9"/>
  <c r="N84" i="9"/>
  <c r="L84" i="9"/>
  <c r="K84" i="9"/>
  <c r="I84" i="9"/>
  <c r="F84" i="9"/>
  <c r="N85" i="11"/>
  <c r="L85" i="11"/>
  <c r="K85" i="11"/>
  <c r="I85" i="11"/>
  <c r="F85" i="11"/>
  <c r="N84" i="11"/>
  <c r="L84" i="11"/>
  <c r="K84" i="11"/>
  <c r="I84" i="11"/>
  <c r="F84" i="11"/>
  <c r="N83" i="11"/>
  <c r="L83" i="11"/>
  <c r="K83" i="11"/>
  <c r="I83" i="11"/>
  <c r="F83" i="11"/>
  <c r="N82" i="11"/>
  <c r="L82" i="11"/>
  <c r="K82" i="11"/>
  <c r="I82" i="11"/>
  <c r="F82" i="11"/>
  <c r="I511" i="14" l="1"/>
  <c r="K511" i="14"/>
  <c r="F511" i="14"/>
  <c r="N511" i="14"/>
  <c r="L511" i="14"/>
  <c r="J22" i="4"/>
  <c r="K22" i="4"/>
  <c r="G22" i="4"/>
  <c r="H22" i="4"/>
  <c r="E22" i="4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D450" i="3"/>
  <c r="D451" i="3"/>
  <c r="D449" i="3"/>
  <c r="D448" i="3"/>
  <c r="D447" i="3"/>
  <c r="D446" i="3"/>
  <c r="D445" i="3"/>
  <c r="D444" i="3"/>
  <c r="D443" i="3"/>
  <c r="D442" i="3"/>
  <c r="D441" i="3"/>
  <c r="D440" i="3"/>
  <c r="D439" i="3"/>
  <c r="F642" i="1"/>
  <c r="I642" i="1"/>
  <c r="K642" i="1"/>
  <c r="L642" i="1"/>
  <c r="N642" i="1"/>
  <c r="F643" i="1"/>
  <c r="I643" i="1"/>
  <c r="K643" i="1"/>
  <c r="L643" i="1"/>
  <c r="N643" i="1"/>
  <c r="F644" i="1"/>
  <c r="I644" i="1"/>
  <c r="K644" i="1"/>
  <c r="L644" i="1"/>
  <c r="N644" i="1"/>
  <c r="F645" i="1"/>
  <c r="I645" i="1"/>
  <c r="K645" i="1"/>
  <c r="L645" i="1"/>
  <c r="N645" i="1"/>
  <c r="F646" i="1"/>
  <c r="I646" i="1"/>
  <c r="K646" i="1"/>
  <c r="L646" i="1"/>
  <c r="N646" i="1"/>
  <c r="F647" i="1"/>
  <c r="I647" i="1"/>
  <c r="K647" i="1"/>
  <c r="L647" i="1"/>
  <c r="N647" i="1"/>
  <c r="F648" i="1"/>
  <c r="I648" i="1"/>
  <c r="K648" i="1"/>
  <c r="L648" i="1"/>
  <c r="N648" i="1"/>
  <c r="F649" i="1"/>
  <c r="I649" i="1"/>
  <c r="K649" i="1"/>
  <c r="L649" i="1"/>
  <c r="N649" i="1"/>
  <c r="F650" i="1"/>
  <c r="I650" i="1"/>
  <c r="K650" i="1"/>
  <c r="L650" i="1"/>
  <c r="N650" i="1"/>
  <c r="F651" i="1"/>
  <c r="I651" i="1"/>
  <c r="K651" i="1"/>
  <c r="L651" i="1"/>
  <c r="N651" i="1"/>
  <c r="F652" i="1"/>
  <c r="I652" i="1"/>
  <c r="K652" i="1"/>
  <c r="L652" i="1"/>
  <c r="N652" i="1"/>
  <c r="F653" i="1"/>
  <c r="I653" i="1"/>
  <c r="K653" i="1"/>
  <c r="L653" i="1"/>
  <c r="N653" i="1"/>
  <c r="F654" i="1"/>
  <c r="I654" i="1"/>
  <c r="K654" i="1"/>
  <c r="L654" i="1"/>
  <c r="N654" i="1"/>
  <c r="F655" i="1"/>
  <c r="I655" i="1"/>
  <c r="K655" i="1"/>
  <c r="L655" i="1"/>
  <c r="N655" i="1"/>
  <c r="F656" i="1"/>
  <c r="I656" i="1"/>
  <c r="K656" i="1"/>
  <c r="L656" i="1"/>
  <c r="N656" i="1"/>
  <c r="F657" i="1"/>
  <c r="I657" i="1"/>
  <c r="K657" i="1"/>
  <c r="L657" i="1"/>
  <c r="N657" i="1"/>
  <c r="F658" i="1"/>
  <c r="I658" i="1"/>
  <c r="K658" i="1"/>
  <c r="L658" i="1"/>
  <c r="N658" i="1"/>
  <c r="F659" i="1"/>
  <c r="I659" i="1"/>
  <c r="K659" i="1"/>
  <c r="L659" i="1"/>
  <c r="N659" i="1"/>
  <c r="F660" i="1"/>
  <c r="I660" i="1"/>
  <c r="K660" i="1"/>
  <c r="L660" i="1"/>
  <c r="N660" i="1"/>
  <c r="F661" i="1"/>
  <c r="I661" i="1"/>
  <c r="K661" i="1"/>
  <c r="L661" i="1"/>
  <c r="N661" i="1"/>
  <c r="F662" i="1"/>
  <c r="I662" i="1"/>
  <c r="K662" i="1"/>
  <c r="L662" i="1"/>
  <c r="N662" i="1"/>
  <c r="N24" i="17"/>
  <c r="L24" i="17"/>
  <c r="K24" i="17"/>
  <c r="I24" i="17"/>
  <c r="F24" i="17"/>
  <c r="N23" i="17"/>
  <c r="L23" i="17"/>
  <c r="K23" i="17"/>
  <c r="I23" i="17"/>
  <c r="F23" i="17"/>
  <c r="N16" i="20"/>
  <c r="L16" i="20"/>
  <c r="K16" i="20"/>
  <c r="I16" i="20"/>
  <c r="F16" i="20"/>
  <c r="N15" i="20"/>
  <c r="L15" i="20"/>
  <c r="K15" i="20"/>
  <c r="I15" i="20"/>
  <c r="F15" i="20"/>
  <c r="N14" i="20"/>
  <c r="L14" i="20"/>
  <c r="K14" i="20"/>
  <c r="I14" i="20"/>
  <c r="F14" i="20"/>
  <c r="N13" i="20"/>
  <c r="L13" i="20"/>
  <c r="K13" i="20"/>
  <c r="I13" i="20"/>
  <c r="F13" i="20"/>
  <c r="N30" i="21"/>
  <c r="L30" i="21"/>
  <c r="K30" i="21"/>
  <c r="I30" i="21"/>
  <c r="F30" i="21"/>
  <c r="N86" i="15"/>
  <c r="L86" i="15"/>
  <c r="K86" i="15"/>
  <c r="I86" i="15"/>
  <c r="F86" i="15"/>
  <c r="N85" i="15"/>
  <c r="L85" i="15"/>
  <c r="K85" i="15"/>
  <c r="I85" i="15"/>
  <c r="F85" i="15"/>
  <c r="N84" i="15"/>
  <c r="L84" i="15"/>
  <c r="K84" i="15"/>
  <c r="I84" i="15"/>
  <c r="F84" i="15"/>
  <c r="N83" i="15"/>
  <c r="L83" i="15"/>
  <c r="K83" i="15"/>
  <c r="I83" i="15"/>
  <c r="F83" i="15"/>
  <c r="N82" i="15"/>
  <c r="L82" i="15"/>
  <c r="K82" i="15"/>
  <c r="I82" i="15"/>
  <c r="F82" i="15"/>
  <c r="N81" i="15"/>
  <c r="L81" i="15"/>
  <c r="K81" i="15"/>
  <c r="I81" i="15"/>
  <c r="F81" i="15"/>
  <c r="N409" i="14"/>
  <c r="L409" i="14"/>
  <c r="K409" i="14"/>
  <c r="I409" i="14"/>
  <c r="F409" i="14"/>
  <c r="N408" i="14"/>
  <c r="L408" i="14"/>
  <c r="K408" i="14"/>
  <c r="I408" i="14"/>
  <c r="F408" i="14"/>
  <c r="N407" i="14"/>
  <c r="L407" i="14"/>
  <c r="K407" i="14"/>
  <c r="I407" i="14"/>
  <c r="F407" i="14"/>
  <c r="N406" i="14"/>
  <c r="L406" i="14"/>
  <c r="K406" i="14"/>
  <c r="I406" i="14"/>
  <c r="F406" i="14"/>
  <c r="N405" i="14"/>
  <c r="L405" i="14"/>
  <c r="K405" i="14"/>
  <c r="I405" i="14"/>
  <c r="F405" i="14"/>
  <c r="N404" i="14"/>
  <c r="L404" i="14"/>
  <c r="K404" i="14"/>
  <c r="I404" i="14"/>
  <c r="F404" i="14"/>
  <c r="N403" i="14"/>
  <c r="L403" i="14"/>
  <c r="K403" i="14"/>
  <c r="I403" i="14"/>
  <c r="F403" i="14"/>
  <c r="N402" i="14"/>
  <c r="L402" i="14"/>
  <c r="K402" i="14"/>
  <c r="I402" i="14"/>
  <c r="F402" i="14"/>
  <c r="N401" i="14"/>
  <c r="L401" i="14"/>
  <c r="K401" i="14"/>
  <c r="I401" i="14"/>
  <c r="F401" i="14"/>
  <c r="N400" i="14"/>
  <c r="L400" i="14"/>
  <c r="K400" i="14"/>
  <c r="I400" i="14"/>
  <c r="F400" i="14"/>
  <c r="N399" i="14"/>
  <c r="L399" i="14"/>
  <c r="K399" i="14"/>
  <c r="I399" i="14"/>
  <c r="F399" i="14"/>
  <c r="N398" i="14"/>
  <c r="L398" i="14"/>
  <c r="K398" i="14"/>
  <c r="I398" i="14"/>
  <c r="F398" i="14"/>
  <c r="N397" i="14"/>
  <c r="L397" i="14"/>
  <c r="K397" i="14"/>
  <c r="I397" i="14"/>
  <c r="F397" i="14"/>
  <c r="N396" i="14"/>
  <c r="L396" i="14"/>
  <c r="K396" i="14"/>
  <c r="I396" i="14"/>
  <c r="F396" i="14"/>
  <c r="N395" i="14"/>
  <c r="L395" i="14"/>
  <c r="K395" i="14"/>
  <c r="I395" i="14"/>
  <c r="F395" i="14"/>
  <c r="N394" i="14"/>
  <c r="L394" i="14"/>
  <c r="K394" i="14"/>
  <c r="I394" i="14"/>
  <c r="F394" i="14"/>
  <c r="N393" i="14"/>
  <c r="L393" i="14"/>
  <c r="K393" i="14"/>
  <c r="I393" i="14"/>
  <c r="F393" i="14"/>
  <c r="N392" i="14"/>
  <c r="L392" i="14"/>
  <c r="K392" i="14"/>
  <c r="I392" i="14"/>
  <c r="F392" i="14"/>
  <c r="N391" i="14"/>
  <c r="L391" i="14"/>
  <c r="K391" i="14"/>
  <c r="I391" i="14"/>
  <c r="F391" i="14"/>
  <c r="N390" i="14"/>
  <c r="L390" i="14"/>
  <c r="K390" i="14"/>
  <c r="I390" i="14"/>
  <c r="F390" i="14"/>
  <c r="N389" i="14"/>
  <c r="L389" i="14"/>
  <c r="K389" i="14"/>
  <c r="I389" i="14"/>
  <c r="F389" i="14"/>
  <c r="N388" i="14"/>
  <c r="L388" i="14"/>
  <c r="K388" i="14"/>
  <c r="I388" i="14"/>
  <c r="F388" i="14"/>
  <c r="N51" i="12"/>
  <c r="L51" i="12"/>
  <c r="K51" i="12"/>
  <c r="I51" i="12"/>
  <c r="F51" i="12"/>
  <c r="N50" i="12"/>
  <c r="L50" i="12"/>
  <c r="K50" i="12"/>
  <c r="I50" i="12"/>
  <c r="F50" i="12"/>
  <c r="N83" i="9"/>
  <c r="L83" i="9"/>
  <c r="K83" i="9"/>
  <c r="I83" i="9"/>
  <c r="F83" i="9"/>
  <c r="N82" i="9"/>
  <c r="L82" i="9"/>
  <c r="K82" i="9"/>
  <c r="I82" i="9"/>
  <c r="F82" i="9"/>
  <c r="N81" i="9"/>
  <c r="L81" i="9"/>
  <c r="K81" i="9"/>
  <c r="I81" i="9"/>
  <c r="F81" i="9"/>
  <c r="N80" i="9"/>
  <c r="L80" i="9"/>
  <c r="K80" i="9"/>
  <c r="I80" i="9"/>
  <c r="F80" i="9"/>
  <c r="N81" i="11"/>
  <c r="L81" i="11"/>
  <c r="K81" i="11"/>
  <c r="I81" i="11"/>
  <c r="F81" i="11"/>
  <c r="N80" i="11"/>
  <c r="L80" i="11"/>
  <c r="K80" i="11"/>
  <c r="I80" i="11"/>
  <c r="F80" i="11"/>
  <c r="N79" i="11"/>
  <c r="L79" i="11"/>
  <c r="K79" i="11"/>
  <c r="I79" i="11"/>
  <c r="F79" i="11"/>
  <c r="N78" i="11"/>
  <c r="L78" i="11"/>
  <c r="K78" i="11"/>
  <c r="I78" i="11"/>
  <c r="F78" i="11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D416" i="3"/>
  <c r="D415" i="3"/>
  <c r="D414" i="3"/>
  <c r="D435" i="3"/>
  <c r="D436" i="3"/>
  <c r="D437" i="3"/>
  <c r="D438" i="3"/>
  <c r="D434" i="3"/>
  <c r="D433" i="3"/>
  <c r="D432" i="3"/>
  <c r="D431" i="3"/>
  <c r="D430" i="3"/>
  <c r="D429" i="3"/>
  <c r="D428" i="3"/>
  <c r="D427" i="3"/>
  <c r="D426" i="3"/>
  <c r="D423" i="3"/>
  <c r="D424" i="3"/>
  <c r="D425" i="3"/>
  <c r="D422" i="3"/>
  <c r="D421" i="3"/>
  <c r="D420" i="3"/>
  <c r="D419" i="3"/>
  <c r="D418" i="3"/>
  <c r="D417" i="3"/>
  <c r="N609" i="1"/>
  <c r="N610" i="1"/>
  <c r="N611" i="1"/>
  <c r="K609" i="1"/>
  <c r="L609" i="1"/>
  <c r="K610" i="1"/>
  <c r="L610" i="1"/>
  <c r="K611" i="1"/>
  <c r="L611" i="1"/>
  <c r="I609" i="1"/>
  <c r="I610" i="1"/>
  <c r="I611" i="1"/>
  <c r="I612" i="1"/>
  <c r="F609" i="1"/>
  <c r="F610" i="1"/>
  <c r="F607" i="1"/>
  <c r="I607" i="1"/>
  <c r="K607" i="1"/>
  <c r="L607" i="1"/>
  <c r="N607" i="1"/>
  <c r="F608" i="1"/>
  <c r="I608" i="1"/>
  <c r="K608" i="1"/>
  <c r="L608" i="1"/>
  <c r="N608" i="1"/>
  <c r="F611" i="1"/>
  <c r="F612" i="1"/>
  <c r="K612" i="1"/>
  <c r="L612" i="1"/>
  <c r="N612" i="1"/>
  <c r="F613" i="1"/>
  <c r="I613" i="1"/>
  <c r="K613" i="1"/>
  <c r="L613" i="1"/>
  <c r="N613" i="1"/>
  <c r="F614" i="1"/>
  <c r="I614" i="1"/>
  <c r="K614" i="1"/>
  <c r="L614" i="1"/>
  <c r="N614" i="1"/>
  <c r="F615" i="1"/>
  <c r="I615" i="1"/>
  <c r="K615" i="1"/>
  <c r="L615" i="1"/>
  <c r="N615" i="1"/>
  <c r="F616" i="1"/>
  <c r="I616" i="1"/>
  <c r="K616" i="1"/>
  <c r="L616" i="1"/>
  <c r="N616" i="1"/>
  <c r="F617" i="1"/>
  <c r="I617" i="1"/>
  <c r="K617" i="1"/>
  <c r="L617" i="1"/>
  <c r="N617" i="1"/>
  <c r="F618" i="1"/>
  <c r="I618" i="1"/>
  <c r="K618" i="1"/>
  <c r="L618" i="1"/>
  <c r="N618" i="1"/>
  <c r="F619" i="1"/>
  <c r="I619" i="1"/>
  <c r="K619" i="1"/>
  <c r="L619" i="1"/>
  <c r="N619" i="1"/>
  <c r="F620" i="1"/>
  <c r="I620" i="1"/>
  <c r="K620" i="1"/>
  <c r="L620" i="1"/>
  <c r="N620" i="1"/>
  <c r="F621" i="1"/>
  <c r="I621" i="1"/>
  <c r="K621" i="1"/>
  <c r="L621" i="1"/>
  <c r="N621" i="1"/>
  <c r="F622" i="1"/>
  <c r="I622" i="1"/>
  <c r="K622" i="1"/>
  <c r="L622" i="1"/>
  <c r="N622" i="1"/>
  <c r="F623" i="1"/>
  <c r="I623" i="1"/>
  <c r="K623" i="1"/>
  <c r="L623" i="1"/>
  <c r="N623" i="1"/>
  <c r="F624" i="1"/>
  <c r="I624" i="1"/>
  <c r="K624" i="1"/>
  <c r="L624" i="1"/>
  <c r="N624" i="1"/>
  <c r="F625" i="1"/>
  <c r="I625" i="1"/>
  <c r="K625" i="1"/>
  <c r="L625" i="1"/>
  <c r="N625" i="1"/>
  <c r="F626" i="1"/>
  <c r="I626" i="1"/>
  <c r="K626" i="1"/>
  <c r="L626" i="1"/>
  <c r="N626" i="1"/>
  <c r="F627" i="1"/>
  <c r="I627" i="1"/>
  <c r="K627" i="1"/>
  <c r="L627" i="1"/>
  <c r="N627" i="1"/>
  <c r="F628" i="1"/>
  <c r="I628" i="1"/>
  <c r="K628" i="1"/>
  <c r="L628" i="1"/>
  <c r="N628" i="1"/>
  <c r="F629" i="1"/>
  <c r="I629" i="1"/>
  <c r="K629" i="1"/>
  <c r="L629" i="1"/>
  <c r="N629" i="1"/>
  <c r="F630" i="1"/>
  <c r="I630" i="1"/>
  <c r="K630" i="1"/>
  <c r="L630" i="1"/>
  <c r="N630" i="1"/>
  <c r="F631" i="1"/>
  <c r="I631" i="1"/>
  <c r="K631" i="1"/>
  <c r="L631" i="1"/>
  <c r="N631" i="1"/>
  <c r="F632" i="1"/>
  <c r="I632" i="1"/>
  <c r="K632" i="1"/>
  <c r="L632" i="1"/>
  <c r="N632" i="1"/>
  <c r="F633" i="1"/>
  <c r="I633" i="1"/>
  <c r="K633" i="1"/>
  <c r="L633" i="1"/>
  <c r="N633" i="1"/>
  <c r="F634" i="1"/>
  <c r="I634" i="1"/>
  <c r="K634" i="1"/>
  <c r="L634" i="1"/>
  <c r="N634" i="1"/>
  <c r="F635" i="1"/>
  <c r="I635" i="1"/>
  <c r="K635" i="1"/>
  <c r="L635" i="1"/>
  <c r="N635" i="1"/>
  <c r="F636" i="1"/>
  <c r="I636" i="1"/>
  <c r="K636" i="1"/>
  <c r="L636" i="1"/>
  <c r="N636" i="1"/>
  <c r="F637" i="1"/>
  <c r="I637" i="1"/>
  <c r="K637" i="1"/>
  <c r="L637" i="1"/>
  <c r="N637" i="1"/>
  <c r="F638" i="1"/>
  <c r="I638" i="1"/>
  <c r="K638" i="1"/>
  <c r="L638" i="1"/>
  <c r="N638" i="1"/>
  <c r="F639" i="1"/>
  <c r="I639" i="1"/>
  <c r="K639" i="1"/>
  <c r="L639" i="1"/>
  <c r="N639" i="1"/>
  <c r="F640" i="1"/>
  <c r="I640" i="1"/>
  <c r="K640" i="1"/>
  <c r="L640" i="1"/>
  <c r="N640" i="1"/>
  <c r="F641" i="1"/>
  <c r="I641" i="1"/>
  <c r="K641" i="1"/>
  <c r="L641" i="1"/>
  <c r="N641" i="1"/>
  <c r="J21" i="4"/>
  <c r="K21" i="4"/>
  <c r="G21" i="4"/>
  <c r="H21" i="4"/>
  <c r="E21" i="4"/>
  <c r="H439" i="3" l="1"/>
  <c r="E445" i="3"/>
  <c r="E439" i="3"/>
  <c r="M436" i="3"/>
  <c r="J448" i="3"/>
  <c r="K430" i="3"/>
  <c r="E438" i="3"/>
  <c r="J437" i="3"/>
  <c r="M442" i="3"/>
  <c r="J436" i="3"/>
  <c r="M434" i="3"/>
  <c r="E431" i="3"/>
  <c r="K441" i="3"/>
  <c r="H421" i="3"/>
  <c r="M418" i="3"/>
  <c r="H442" i="3"/>
  <c r="M420" i="3"/>
  <c r="H451" i="3"/>
  <c r="J451" i="3"/>
  <c r="J429" i="3"/>
  <c r="M426" i="3"/>
  <c r="H449" i="3"/>
  <c r="K432" i="3"/>
  <c r="H430" i="3"/>
  <c r="K437" i="3"/>
  <c r="K414" i="3"/>
  <c r="J434" i="3"/>
  <c r="K451" i="3"/>
  <c r="E427" i="3"/>
  <c r="M437" i="3"/>
  <c r="J418" i="3"/>
  <c r="J442" i="3"/>
  <c r="M449" i="3"/>
  <c r="M421" i="3"/>
  <c r="K443" i="3"/>
  <c r="H444" i="3"/>
  <c r="J444" i="3"/>
  <c r="H447" i="3"/>
  <c r="M441" i="3"/>
  <c r="M414" i="3"/>
  <c r="K448" i="3"/>
  <c r="K422" i="3"/>
  <c r="K442" i="3"/>
  <c r="K428" i="3"/>
  <c r="M438" i="3"/>
  <c r="M451" i="3"/>
  <c r="H450" i="3"/>
  <c r="E415" i="3"/>
  <c r="H427" i="3"/>
  <c r="H422" i="3"/>
  <c r="K429" i="3"/>
  <c r="M446" i="3"/>
  <c r="K438" i="3"/>
  <c r="M444" i="3"/>
  <c r="E436" i="3"/>
  <c r="E446" i="3"/>
  <c r="M447" i="3"/>
  <c r="J427" i="3"/>
  <c r="H440" i="3"/>
  <c r="E447" i="3"/>
  <c r="J441" i="3"/>
  <c r="H437" i="3"/>
  <c r="M428" i="3"/>
  <c r="E420" i="3"/>
  <c r="J443" i="3"/>
  <c r="K444" i="3"/>
  <c r="K420" i="3"/>
  <c r="E442" i="3"/>
  <c r="K421" i="3"/>
  <c r="J450" i="3"/>
  <c r="H438" i="3"/>
  <c r="E450" i="3"/>
  <c r="K449" i="3"/>
  <c r="E451" i="3"/>
  <c r="M450" i="3"/>
  <c r="H441" i="3"/>
  <c r="E444" i="3"/>
  <c r="M445" i="3"/>
  <c r="E435" i="3"/>
  <c r="H443" i="3"/>
  <c r="H448" i="3"/>
  <c r="E443" i="3"/>
  <c r="M443" i="3"/>
  <c r="J445" i="3"/>
  <c r="M440" i="3"/>
  <c r="M448" i="3"/>
  <c r="K450" i="3"/>
  <c r="E441" i="3"/>
  <c r="J439" i="3"/>
  <c r="J447" i="3"/>
  <c r="E437" i="3"/>
  <c r="H445" i="3"/>
  <c r="J440" i="3"/>
  <c r="M439" i="3"/>
  <c r="K440" i="3"/>
  <c r="K446" i="3"/>
  <c r="J449" i="3"/>
  <c r="J446" i="3"/>
  <c r="K439" i="3"/>
  <c r="H446" i="3"/>
  <c r="K445" i="3"/>
  <c r="K447" i="3"/>
  <c r="E448" i="3"/>
  <c r="E449" i="3"/>
  <c r="E440" i="3"/>
  <c r="J420" i="3"/>
  <c r="J428" i="3"/>
  <c r="K436" i="3"/>
  <c r="M435" i="3"/>
  <c r="H435" i="3"/>
  <c r="H436" i="3"/>
  <c r="J435" i="3"/>
  <c r="J421" i="3"/>
  <c r="K419" i="3"/>
  <c r="J424" i="3"/>
  <c r="H428" i="3"/>
  <c r="K418" i="3"/>
  <c r="K426" i="3"/>
  <c r="K434" i="3"/>
  <c r="J425" i="3"/>
  <c r="J433" i="3"/>
  <c r="M424" i="3"/>
  <c r="K427" i="3"/>
  <c r="M417" i="3"/>
  <c r="M433" i="3"/>
  <c r="M430" i="3"/>
  <c r="M429" i="3"/>
  <c r="M415" i="3"/>
  <c r="M425" i="3"/>
  <c r="K435" i="3"/>
  <c r="H429" i="3"/>
  <c r="E422" i="3"/>
  <c r="E434" i="3"/>
  <c r="J416" i="3"/>
  <c r="M423" i="3"/>
  <c r="M431" i="3"/>
  <c r="H414" i="3"/>
  <c r="J419" i="3"/>
  <c r="E419" i="3"/>
  <c r="M427" i="3"/>
  <c r="E423" i="3"/>
  <c r="J430" i="3"/>
  <c r="J415" i="3"/>
  <c r="H420" i="3"/>
  <c r="E416" i="3"/>
  <c r="E424" i="3"/>
  <c r="E432" i="3"/>
  <c r="H415" i="3"/>
  <c r="H423" i="3"/>
  <c r="H431" i="3"/>
  <c r="E414" i="3"/>
  <c r="E430" i="3"/>
  <c r="J422" i="3"/>
  <c r="M422" i="3"/>
  <c r="E421" i="3"/>
  <c r="E429" i="3"/>
  <c r="E425" i="3"/>
  <c r="E433" i="3"/>
  <c r="K416" i="3"/>
  <c r="K424" i="3"/>
  <c r="H432" i="3"/>
  <c r="K415" i="3"/>
  <c r="J423" i="3"/>
  <c r="J431" i="3"/>
  <c r="M416" i="3"/>
  <c r="M432" i="3"/>
  <c r="K417" i="3"/>
  <c r="K425" i="3"/>
  <c r="K433" i="3"/>
  <c r="J417" i="3"/>
  <c r="H417" i="3"/>
  <c r="K431" i="3"/>
  <c r="H416" i="3"/>
  <c r="H434" i="3"/>
  <c r="H426" i="3"/>
  <c r="H433" i="3"/>
  <c r="H425" i="3"/>
  <c r="H424" i="3"/>
  <c r="H418" i="3"/>
  <c r="K423" i="3"/>
  <c r="E426" i="3"/>
  <c r="J438" i="3"/>
  <c r="J432" i="3"/>
  <c r="E428" i="3"/>
  <c r="J426" i="3"/>
  <c r="H419" i="3"/>
  <c r="M419" i="3"/>
  <c r="E418" i="3"/>
  <c r="E417" i="3"/>
  <c r="J414" i="3"/>
  <c r="N22" i="17"/>
  <c r="L22" i="17"/>
  <c r="K22" i="17"/>
  <c r="I22" i="17"/>
  <c r="F22" i="17"/>
  <c r="N12" i="20"/>
  <c r="L12" i="20"/>
  <c r="K12" i="20"/>
  <c r="I12" i="20"/>
  <c r="F12" i="20"/>
  <c r="N11" i="20"/>
  <c r="L11" i="20"/>
  <c r="K11" i="20"/>
  <c r="I11" i="20"/>
  <c r="F11" i="20"/>
  <c r="N10" i="20"/>
  <c r="L10" i="20"/>
  <c r="K10" i="20"/>
  <c r="I10" i="20"/>
  <c r="F10" i="20"/>
  <c r="N9" i="20"/>
  <c r="L9" i="20"/>
  <c r="K9" i="20"/>
  <c r="I9" i="20"/>
  <c r="F9" i="20"/>
  <c r="N29" i="21"/>
  <c r="L29" i="21"/>
  <c r="K29" i="21"/>
  <c r="I29" i="21"/>
  <c r="F29" i="21"/>
  <c r="N80" i="15"/>
  <c r="L80" i="15"/>
  <c r="K80" i="15"/>
  <c r="I80" i="15"/>
  <c r="F80" i="15"/>
  <c r="N79" i="15"/>
  <c r="L79" i="15"/>
  <c r="K79" i="15"/>
  <c r="I79" i="15"/>
  <c r="F79" i="15"/>
  <c r="N78" i="15"/>
  <c r="L78" i="15"/>
  <c r="K78" i="15"/>
  <c r="I78" i="15"/>
  <c r="F78" i="15"/>
  <c r="N387" i="14"/>
  <c r="L387" i="14"/>
  <c r="K387" i="14"/>
  <c r="I387" i="14"/>
  <c r="F387" i="14"/>
  <c r="N386" i="14"/>
  <c r="L386" i="14"/>
  <c r="K386" i="14"/>
  <c r="I386" i="14"/>
  <c r="F386" i="14"/>
  <c r="N385" i="14"/>
  <c r="L385" i="14"/>
  <c r="K385" i="14"/>
  <c r="I385" i="14"/>
  <c r="F385" i="14"/>
  <c r="N384" i="14"/>
  <c r="L384" i="14"/>
  <c r="K384" i="14"/>
  <c r="I384" i="14"/>
  <c r="F384" i="14"/>
  <c r="N383" i="14"/>
  <c r="L383" i="14"/>
  <c r="K383" i="14"/>
  <c r="I383" i="14"/>
  <c r="F383" i="14"/>
  <c r="N382" i="14"/>
  <c r="L382" i="14"/>
  <c r="K382" i="14"/>
  <c r="I382" i="14"/>
  <c r="F382" i="14"/>
  <c r="N381" i="14"/>
  <c r="L381" i="14"/>
  <c r="K381" i="14"/>
  <c r="I381" i="14"/>
  <c r="F381" i="14"/>
  <c r="N380" i="14"/>
  <c r="L380" i="14"/>
  <c r="K380" i="14"/>
  <c r="I380" i="14"/>
  <c r="F380" i="14"/>
  <c r="N379" i="14"/>
  <c r="L379" i="14"/>
  <c r="K379" i="14"/>
  <c r="I379" i="14"/>
  <c r="F379" i="14"/>
  <c r="N378" i="14"/>
  <c r="L378" i="14"/>
  <c r="K378" i="14"/>
  <c r="I378" i="14"/>
  <c r="F378" i="14"/>
  <c r="N377" i="14"/>
  <c r="L377" i="14"/>
  <c r="K377" i="14"/>
  <c r="I377" i="14"/>
  <c r="F377" i="14"/>
  <c r="N376" i="14"/>
  <c r="L376" i="14"/>
  <c r="K376" i="14"/>
  <c r="I376" i="14"/>
  <c r="F376" i="14"/>
  <c r="N375" i="14"/>
  <c r="L375" i="14"/>
  <c r="K375" i="14"/>
  <c r="I375" i="14"/>
  <c r="F375" i="14"/>
  <c r="N374" i="14"/>
  <c r="L374" i="14"/>
  <c r="K374" i="14"/>
  <c r="I374" i="14"/>
  <c r="F374" i="14"/>
  <c r="N373" i="14"/>
  <c r="L373" i="14"/>
  <c r="K373" i="14"/>
  <c r="I373" i="14"/>
  <c r="F373" i="14"/>
  <c r="N372" i="14"/>
  <c r="L372" i="14"/>
  <c r="K372" i="14"/>
  <c r="I372" i="14"/>
  <c r="F372" i="14"/>
  <c r="N371" i="14"/>
  <c r="L371" i="14"/>
  <c r="K371" i="14"/>
  <c r="I371" i="14"/>
  <c r="F371" i="14"/>
  <c r="N370" i="14"/>
  <c r="L370" i="14"/>
  <c r="K370" i="14"/>
  <c r="I370" i="14"/>
  <c r="F370" i="14"/>
  <c r="N369" i="14"/>
  <c r="L369" i="14"/>
  <c r="K369" i="14"/>
  <c r="I369" i="14"/>
  <c r="F369" i="14"/>
  <c r="N368" i="14"/>
  <c r="L368" i="14"/>
  <c r="K368" i="14"/>
  <c r="I368" i="14"/>
  <c r="F368" i="14"/>
  <c r="N367" i="14"/>
  <c r="L367" i="14"/>
  <c r="K367" i="14"/>
  <c r="I367" i="14"/>
  <c r="F367" i="14"/>
  <c r="N49" i="12"/>
  <c r="L49" i="12"/>
  <c r="K49" i="12"/>
  <c r="I49" i="12"/>
  <c r="F49" i="12"/>
  <c r="N48" i="12"/>
  <c r="L48" i="12"/>
  <c r="K48" i="12"/>
  <c r="I48" i="12"/>
  <c r="F48" i="12"/>
  <c r="N47" i="12"/>
  <c r="L47" i="12"/>
  <c r="K47" i="12"/>
  <c r="I47" i="12"/>
  <c r="F47" i="12"/>
  <c r="N79" i="9"/>
  <c r="L79" i="9"/>
  <c r="K79" i="9"/>
  <c r="I79" i="9"/>
  <c r="F79" i="9"/>
  <c r="N78" i="9"/>
  <c r="L78" i="9"/>
  <c r="K78" i="9"/>
  <c r="I78" i="9"/>
  <c r="F78" i="9"/>
  <c r="N77" i="9"/>
  <c r="L77" i="9"/>
  <c r="K77" i="9"/>
  <c r="I77" i="9"/>
  <c r="F77" i="9"/>
  <c r="N76" i="9"/>
  <c r="L76" i="9"/>
  <c r="K76" i="9"/>
  <c r="I76" i="9"/>
  <c r="F76" i="9"/>
  <c r="N77" i="11"/>
  <c r="L77" i="11"/>
  <c r="K77" i="11"/>
  <c r="I77" i="11"/>
  <c r="F77" i="11"/>
  <c r="N76" i="11"/>
  <c r="L76" i="11"/>
  <c r="K76" i="11"/>
  <c r="I76" i="11"/>
  <c r="F76" i="11"/>
  <c r="N75" i="11"/>
  <c r="L75" i="11"/>
  <c r="K75" i="11"/>
  <c r="I75" i="11"/>
  <c r="F75" i="11"/>
  <c r="N74" i="11"/>
  <c r="L74" i="11"/>
  <c r="K74" i="11"/>
  <c r="I74" i="11"/>
  <c r="F74" i="11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D411" i="3"/>
  <c r="D412" i="3"/>
  <c r="D413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E20" i="4"/>
  <c r="G20" i="4"/>
  <c r="H20" i="4"/>
  <c r="J20" i="4"/>
  <c r="K20" i="4"/>
  <c r="F576" i="1"/>
  <c r="I576" i="1"/>
  <c r="K576" i="1"/>
  <c r="L576" i="1"/>
  <c r="N576" i="1"/>
  <c r="F577" i="1"/>
  <c r="I577" i="1"/>
  <c r="K577" i="1"/>
  <c r="L577" i="1"/>
  <c r="N577" i="1"/>
  <c r="F578" i="1"/>
  <c r="I578" i="1"/>
  <c r="K578" i="1"/>
  <c r="L578" i="1"/>
  <c r="N578" i="1"/>
  <c r="F579" i="1"/>
  <c r="I579" i="1"/>
  <c r="K579" i="1"/>
  <c r="L579" i="1"/>
  <c r="N579" i="1"/>
  <c r="F580" i="1"/>
  <c r="I580" i="1"/>
  <c r="K580" i="1"/>
  <c r="L580" i="1"/>
  <c r="N580" i="1"/>
  <c r="F581" i="1"/>
  <c r="I581" i="1"/>
  <c r="K581" i="1"/>
  <c r="L581" i="1"/>
  <c r="N581" i="1"/>
  <c r="F582" i="1"/>
  <c r="I582" i="1"/>
  <c r="K582" i="1"/>
  <c r="L582" i="1"/>
  <c r="N582" i="1"/>
  <c r="F583" i="1"/>
  <c r="I583" i="1"/>
  <c r="K583" i="1"/>
  <c r="L583" i="1"/>
  <c r="N583" i="1"/>
  <c r="F584" i="1"/>
  <c r="I584" i="1"/>
  <c r="K584" i="1"/>
  <c r="L584" i="1"/>
  <c r="N584" i="1"/>
  <c r="F585" i="1"/>
  <c r="I585" i="1"/>
  <c r="K585" i="1"/>
  <c r="L585" i="1"/>
  <c r="N585" i="1"/>
  <c r="F586" i="1"/>
  <c r="I586" i="1"/>
  <c r="K586" i="1"/>
  <c r="L586" i="1"/>
  <c r="N586" i="1"/>
  <c r="F587" i="1"/>
  <c r="I587" i="1"/>
  <c r="K587" i="1"/>
  <c r="L587" i="1"/>
  <c r="N587" i="1"/>
  <c r="F588" i="1"/>
  <c r="I588" i="1"/>
  <c r="K588" i="1"/>
  <c r="L588" i="1"/>
  <c r="N588" i="1"/>
  <c r="F589" i="1"/>
  <c r="I589" i="1"/>
  <c r="K589" i="1"/>
  <c r="L589" i="1"/>
  <c r="N589" i="1"/>
  <c r="F590" i="1"/>
  <c r="I590" i="1"/>
  <c r="K590" i="1"/>
  <c r="L590" i="1"/>
  <c r="N590" i="1"/>
  <c r="F591" i="1"/>
  <c r="I591" i="1"/>
  <c r="K591" i="1"/>
  <c r="L591" i="1"/>
  <c r="N591" i="1"/>
  <c r="F592" i="1"/>
  <c r="I592" i="1"/>
  <c r="K592" i="1"/>
  <c r="L592" i="1"/>
  <c r="N592" i="1"/>
  <c r="F593" i="1"/>
  <c r="I593" i="1"/>
  <c r="K593" i="1"/>
  <c r="L593" i="1"/>
  <c r="N593" i="1"/>
  <c r="F594" i="1"/>
  <c r="I594" i="1"/>
  <c r="K594" i="1"/>
  <c r="L594" i="1"/>
  <c r="N594" i="1"/>
  <c r="F595" i="1"/>
  <c r="I595" i="1"/>
  <c r="K595" i="1"/>
  <c r="L595" i="1"/>
  <c r="N595" i="1"/>
  <c r="F596" i="1"/>
  <c r="I596" i="1"/>
  <c r="K596" i="1"/>
  <c r="L596" i="1"/>
  <c r="N596" i="1"/>
  <c r="F597" i="1"/>
  <c r="I597" i="1"/>
  <c r="K597" i="1"/>
  <c r="L597" i="1"/>
  <c r="N597" i="1"/>
  <c r="F598" i="1"/>
  <c r="I598" i="1"/>
  <c r="K598" i="1"/>
  <c r="L598" i="1"/>
  <c r="N598" i="1"/>
  <c r="F599" i="1"/>
  <c r="I599" i="1"/>
  <c r="K599" i="1"/>
  <c r="L599" i="1"/>
  <c r="N599" i="1"/>
  <c r="F600" i="1"/>
  <c r="I600" i="1"/>
  <c r="K600" i="1"/>
  <c r="L600" i="1"/>
  <c r="N600" i="1"/>
  <c r="F601" i="1"/>
  <c r="I601" i="1"/>
  <c r="K601" i="1"/>
  <c r="L601" i="1"/>
  <c r="N601" i="1"/>
  <c r="F602" i="1"/>
  <c r="I602" i="1"/>
  <c r="K602" i="1"/>
  <c r="L602" i="1"/>
  <c r="N602" i="1"/>
  <c r="F603" i="1"/>
  <c r="I603" i="1"/>
  <c r="K603" i="1"/>
  <c r="L603" i="1"/>
  <c r="N603" i="1"/>
  <c r="F604" i="1"/>
  <c r="I604" i="1"/>
  <c r="K604" i="1"/>
  <c r="L604" i="1"/>
  <c r="N604" i="1"/>
  <c r="F605" i="1"/>
  <c r="I605" i="1"/>
  <c r="K605" i="1"/>
  <c r="L605" i="1"/>
  <c r="N605" i="1"/>
  <c r="F606" i="1"/>
  <c r="I606" i="1"/>
  <c r="K606" i="1"/>
  <c r="L606" i="1"/>
  <c r="N606" i="1"/>
  <c r="N21" i="17"/>
  <c r="L21" i="17"/>
  <c r="K21" i="17"/>
  <c r="I21" i="17"/>
  <c r="F21" i="17"/>
  <c r="N20" i="17"/>
  <c r="L20" i="17"/>
  <c r="K20" i="17"/>
  <c r="I20" i="17"/>
  <c r="F20" i="17"/>
  <c r="N19" i="17"/>
  <c r="L19" i="17"/>
  <c r="K19" i="17"/>
  <c r="I19" i="17"/>
  <c r="F19" i="17"/>
  <c r="N18" i="17"/>
  <c r="L18" i="17"/>
  <c r="K18" i="17"/>
  <c r="I18" i="17"/>
  <c r="F18" i="17"/>
  <c r="M46" i="16"/>
  <c r="J46" i="16"/>
  <c r="H46" i="16"/>
  <c r="G46" i="16"/>
  <c r="E46" i="16"/>
  <c r="N43" i="16"/>
  <c r="L43" i="16"/>
  <c r="K43" i="16"/>
  <c r="I43" i="16"/>
  <c r="F43" i="16"/>
  <c r="N28" i="21"/>
  <c r="L28" i="21"/>
  <c r="K28" i="21"/>
  <c r="I28" i="21"/>
  <c r="F28" i="21"/>
  <c r="N77" i="15"/>
  <c r="L77" i="15"/>
  <c r="K77" i="15"/>
  <c r="I77" i="15"/>
  <c r="F77" i="15"/>
  <c r="N76" i="15"/>
  <c r="L76" i="15"/>
  <c r="K76" i="15"/>
  <c r="I76" i="15"/>
  <c r="F76" i="15"/>
  <c r="N75" i="15"/>
  <c r="L75" i="15"/>
  <c r="K75" i="15"/>
  <c r="I75" i="15"/>
  <c r="F75" i="15"/>
  <c r="N74" i="15"/>
  <c r="L74" i="15"/>
  <c r="K74" i="15"/>
  <c r="I74" i="15"/>
  <c r="F74" i="15"/>
  <c r="N73" i="15"/>
  <c r="L73" i="15"/>
  <c r="K73" i="15"/>
  <c r="I73" i="15"/>
  <c r="F73" i="15"/>
  <c r="N72" i="15"/>
  <c r="L72" i="15"/>
  <c r="K72" i="15"/>
  <c r="I72" i="15"/>
  <c r="F72" i="15"/>
  <c r="N366" i="14"/>
  <c r="L366" i="14"/>
  <c r="K366" i="14"/>
  <c r="I366" i="14"/>
  <c r="F366" i="14"/>
  <c r="N365" i="14"/>
  <c r="L365" i="14"/>
  <c r="K365" i="14"/>
  <c r="I365" i="14"/>
  <c r="F365" i="14"/>
  <c r="N364" i="14"/>
  <c r="L364" i="14"/>
  <c r="K364" i="14"/>
  <c r="I364" i="14"/>
  <c r="F364" i="14"/>
  <c r="N363" i="14"/>
  <c r="L363" i="14"/>
  <c r="K363" i="14"/>
  <c r="I363" i="14"/>
  <c r="F363" i="14"/>
  <c r="N362" i="14"/>
  <c r="L362" i="14"/>
  <c r="K362" i="14"/>
  <c r="I362" i="14"/>
  <c r="F362" i="14"/>
  <c r="N361" i="14"/>
  <c r="L361" i="14"/>
  <c r="K361" i="14"/>
  <c r="I361" i="14"/>
  <c r="F361" i="14"/>
  <c r="N360" i="14"/>
  <c r="L360" i="14"/>
  <c r="K360" i="14"/>
  <c r="I360" i="14"/>
  <c r="F360" i="14"/>
  <c r="N359" i="14"/>
  <c r="L359" i="14"/>
  <c r="K359" i="14"/>
  <c r="I359" i="14"/>
  <c r="F359" i="14"/>
  <c r="N358" i="14"/>
  <c r="L358" i="14"/>
  <c r="K358" i="14"/>
  <c r="I358" i="14"/>
  <c r="F358" i="14"/>
  <c r="N357" i="14"/>
  <c r="L357" i="14"/>
  <c r="K357" i="14"/>
  <c r="I357" i="14"/>
  <c r="F357" i="14"/>
  <c r="N356" i="14"/>
  <c r="L356" i="14"/>
  <c r="K356" i="14"/>
  <c r="I356" i="14"/>
  <c r="F356" i="14"/>
  <c r="N355" i="14"/>
  <c r="L355" i="14"/>
  <c r="K355" i="14"/>
  <c r="I355" i="14"/>
  <c r="F355" i="14"/>
  <c r="N354" i="14"/>
  <c r="L354" i="14"/>
  <c r="K354" i="14"/>
  <c r="I354" i="14"/>
  <c r="F354" i="14"/>
  <c r="N353" i="14"/>
  <c r="L353" i="14"/>
  <c r="K353" i="14"/>
  <c r="I353" i="14"/>
  <c r="F353" i="14"/>
  <c r="N352" i="14"/>
  <c r="L352" i="14"/>
  <c r="K352" i="14"/>
  <c r="I352" i="14"/>
  <c r="F352" i="14"/>
  <c r="N351" i="14"/>
  <c r="L351" i="14"/>
  <c r="K351" i="14"/>
  <c r="I351" i="14"/>
  <c r="F351" i="14"/>
  <c r="N350" i="14"/>
  <c r="L350" i="14"/>
  <c r="K350" i="14"/>
  <c r="I350" i="14"/>
  <c r="F350" i="14"/>
  <c r="N349" i="14"/>
  <c r="L349" i="14"/>
  <c r="K349" i="14"/>
  <c r="I349" i="14"/>
  <c r="F349" i="14"/>
  <c r="N348" i="14"/>
  <c r="L348" i="14"/>
  <c r="K348" i="14"/>
  <c r="I348" i="14"/>
  <c r="F348" i="14"/>
  <c r="N347" i="14"/>
  <c r="L347" i="14"/>
  <c r="K347" i="14"/>
  <c r="I347" i="14"/>
  <c r="F347" i="14"/>
  <c r="N346" i="14"/>
  <c r="L346" i="14"/>
  <c r="K346" i="14"/>
  <c r="I346" i="14"/>
  <c r="F346" i="14"/>
  <c r="N345" i="14"/>
  <c r="L345" i="14"/>
  <c r="K345" i="14"/>
  <c r="I345" i="14"/>
  <c r="F345" i="14"/>
  <c r="N46" i="12"/>
  <c r="L46" i="12"/>
  <c r="K46" i="12"/>
  <c r="I46" i="12"/>
  <c r="F46" i="12"/>
  <c r="N45" i="12"/>
  <c r="L45" i="12"/>
  <c r="K45" i="12"/>
  <c r="I45" i="12"/>
  <c r="F45" i="12"/>
  <c r="N75" i="9"/>
  <c r="L75" i="9"/>
  <c r="K75" i="9"/>
  <c r="I75" i="9"/>
  <c r="F75" i="9"/>
  <c r="N74" i="9"/>
  <c r="L74" i="9"/>
  <c r="K74" i="9"/>
  <c r="I74" i="9"/>
  <c r="F74" i="9"/>
  <c r="N73" i="9"/>
  <c r="L73" i="9"/>
  <c r="K73" i="9"/>
  <c r="I73" i="9"/>
  <c r="F73" i="9"/>
  <c r="N72" i="9"/>
  <c r="L72" i="9"/>
  <c r="K72" i="9"/>
  <c r="I72" i="9"/>
  <c r="F72" i="9"/>
  <c r="N73" i="11"/>
  <c r="L73" i="11"/>
  <c r="K73" i="11"/>
  <c r="I73" i="11"/>
  <c r="F73" i="11"/>
  <c r="N72" i="11"/>
  <c r="L72" i="11"/>
  <c r="K72" i="11"/>
  <c r="I72" i="11"/>
  <c r="F72" i="11"/>
  <c r="N71" i="11"/>
  <c r="L71" i="11"/>
  <c r="K71" i="11"/>
  <c r="I71" i="11"/>
  <c r="F71" i="11"/>
  <c r="N70" i="11"/>
  <c r="L70" i="11"/>
  <c r="K70" i="11"/>
  <c r="I70" i="11"/>
  <c r="F70" i="11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D394" i="3"/>
  <c r="D393" i="3"/>
  <c r="D392" i="3"/>
  <c r="D387" i="3"/>
  <c r="D388" i="3"/>
  <c r="D389" i="3"/>
  <c r="D390" i="3"/>
  <c r="D391" i="3"/>
  <c r="D386" i="3"/>
  <c r="D385" i="3"/>
  <c r="D384" i="3"/>
  <c r="D382" i="3"/>
  <c r="D383" i="3"/>
  <c r="D381" i="3"/>
  <c r="D380" i="3"/>
  <c r="D379" i="3"/>
  <c r="D378" i="3"/>
  <c r="D377" i="3"/>
  <c r="D376" i="3"/>
  <c r="D375" i="3"/>
  <c r="D374" i="3"/>
  <c r="D373" i="3"/>
  <c r="D372" i="3"/>
  <c r="D371" i="3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H377" i="3" l="1"/>
  <c r="K373" i="3"/>
  <c r="M378" i="3"/>
  <c r="J374" i="3"/>
  <c r="E394" i="3"/>
  <c r="E375" i="3"/>
  <c r="E384" i="3"/>
  <c r="M392" i="3"/>
  <c r="H393" i="3"/>
  <c r="E378" i="3"/>
  <c r="H376" i="3"/>
  <c r="E379" i="3"/>
  <c r="M385" i="3"/>
  <c r="M386" i="3"/>
  <c r="H397" i="3"/>
  <c r="K374" i="3"/>
  <c r="E412" i="3"/>
  <c r="M404" i="3"/>
  <c r="J397" i="3"/>
  <c r="H401" i="3"/>
  <c r="M371" i="3"/>
  <c r="E410" i="3"/>
  <c r="H396" i="3"/>
  <c r="H412" i="3"/>
  <c r="E397" i="3"/>
  <c r="H405" i="3"/>
  <c r="K377" i="3"/>
  <c r="J399" i="3"/>
  <c r="J407" i="3"/>
  <c r="E407" i="3"/>
  <c r="M399" i="3"/>
  <c r="E399" i="3"/>
  <c r="M403" i="3"/>
  <c r="M407" i="3"/>
  <c r="H400" i="3"/>
  <c r="H408" i="3"/>
  <c r="J408" i="3"/>
  <c r="E396" i="3"/>
  <c r="J400" i="3"/>
  <c r="M394" i="3"/>
  <c r="E398" i="3"/>
  <c r="M411" i="3"/>
  <c r="H399" i="3"/>
  <c r="H407" i="3"/>
  <c r="J396" i="3"/>
  <c r="J412" i="3"/>
  <c r="M402" i="3"/>
  <c r="J401" i="3"/>
  <c r="J409" i="3"/>
  <c r="J410" i="3"/>
  <c r="H371" i="3"/>
  <c r="J379" i="3"/>
  <c r="M379" i="3"/>
  <c r="J413" i="3"/>
  <c r="E408" i="3"/>
  <c r="H404" i="3"/>
  <c r="M412" i="3"/>
  <c r="E401" i="3"/>
  <c r="E409" i="3"/>
  <c r="H398" i="3"/>
  <c r="H406" i="3"/>
  <c r="J395" i="3"/>
  <c r="K411" i="3"/>
  <c r="M400" i="3"/>
  <c r="M408" i="3"/>
  <c r="H386" i="3"/>
  <c r="E400" i="3"/>
  <c r="J402" i="3"/>
  <c r="M397" i="3"/>
  <c r="E405" i="3"/>
  <c r="E411" i="3"/>
  <c r="E402" i="3"/>
  <c r="M401" i="3"/>
  <c r="M409" i="3"/>
  <c r="K394" i="3"/>
  <c r="J404" i="3"/>
  <c r="J405" i="3"/>
  <c r="M398" i="3"/>
  <c r="M406" i="3"/>
  <c r="E404" i="3"/>
  <c r="M396" i="3"/>
  <c r="E403" i="3"/>
  <c r="M410" i="3"/>
  <c r="J386" i="3"/>
  <c r="J403" i="3"/>
  <c r="K406" i="3"/>
  <c r="E388" i="3"/>
  <c r="M413" i="3"/>
  <c r="M405" i="3"/>
  <c r="J398" i="3"/>
  <c r="J406" i="3"/>
  <c r="M395" i="3"/>
  <c r="J378" i="3"/>
  <c r="E386" i="3"/>
  <c r="E387" i="3"/>
  <c r="E413" i="3"/>
  <c r="K403" i="3"/>
  <c r="H410" i="3"/>
  <c r="H385" i="3"/>
  <c r="J411" i="3"/>
  <c r="J376" i="3"/>
  <c r="E406" i="3"/>
  <c r="H395" i="3"/>
  <c r="H403" i="3"/>
  <c r="H411" i="3"/>
  <c r="K402" i="3"/>
  <c r="K399" i="3"/>
  <c r="H402" i="3"/>
  <c r="K410" i="3"/>
  <c r="K407" i="3"/>
  <c r="K398" i="3"/>
  <c r="H413" i="3"/>
  <c r="H409" i="3"/>
  <c r="E395" i="3"/>
  <c r="K395" i="3"/>
  <c r="K401" i="3"/>
  <c r="K409" i="3"/>
  <c r="K405" i="3"/>
  <c r="K397" i="3"/>
  <c r="K412" i="3"/>
  <c r="K408" i="3"/>
  <c r="K404" i="3"/>
  <c r="K400" i="3"/>
  <c r="K396" i="3"/>
  <c r="K413" i="3"/>
  <c r="K384" i="3"/>
  <c r="H387" i="3"/>
  <c r="E382" i="3"/>
  <c r="J382" i="3"/>
  <c r="M382" i="3"/>
  <c r="M384" i="3"/>
  <c r="J393" i="3"/>
  <c r="K386" i="3"/>
  <c r="M387" i="3"/>
  <c r="H384" i="3"/>
  <c r="K385" i="3"/>
  <c r="M377" i="3"/>
  <c r="J394" i="3"/>
  <c r="H394" i="3"/>
  <c r="K378" i="3"/>
  <c r="E393" i="3"/>
  <c r="E376" i="3"/>
  <c r="J384" i="3"/>
  <c r="E373" i="3"/>
  <c r="E389" i="3"/>
  <c r="H381" i="3"/>
  <c r="H389" i="3"/>
  <c r="K389" i="3"/>
  <c r="K393" i="3"/>
  <c r="H375" i="3"/>
  <c r="H391" i="3"/>
  <c r="J383" i="3"/>
  <c r="J391" i="3"/>
  <c r="M375" i="3"/>
  <c r="J377" i="3"/>
  <c r="K376" i="3"/>
  <c r="E385" i="3"/>
  <c r="J385" i="3"/>
  <c r="H379" i="3"/>
  <c r="K371" i="3"/>
  <c r="J387" i="3"/>
  <c r="J371" i="3"/>
  <c r="J372" i="3"/>
  <c r="M374" i="3"/>
  <c r="E391" i="3"/>
  <c r="E371" i="3"/>
  <c r="K379" i="3"/>
  <c r="E390" i="3"/>
  <c r="E372" i="3"/>
  <c r="H372" i="3"/>
  <c r="J388" i="3"/>
  <c r="M372" i="3"/>
  <c r="J373" i="3"/>
  <c r="J381" i="3"/>
  <c r="M373" i="3"/>
  <c r="K390" i="3"/>
  <c r="J375" i="3"/>
  <c r="M383" i="3"/>
  <c r="E392" i="3"/>
  <c r="K392" i="3"/>
  <c r="E374" i="3"/>
  <c r="K387" i="3"/>
  <c r="K383" i="3"/>
  <c r="E383" i="3"/>
  <c r="H383" i="3"/>
  <c r="M388" i="3"/>
  <c r="M380" i="3"/>
  <c r="M389" i="3"/>
  <c r="K380" i="3"/>
  <c r="K388" i="3"/>
  <c r="K375" i="3"/>
  <c r="K381" i="3"/>
  <c r="K382" i="3"/>
  <c r="H390" i="3"/>
  <c r="H382" i="3"/>
  <c r="K372" i="3"/>
  <c r="H388" i="3"/>
  <c r="H380" i="3"/>
  <c r="H374" i="3"/>
  <c r="H373" i="3"/>
  <c r="K391" i="3"/>
  <c r="E381" i="3"/>
  <c r="M393" i="3"/>
  <c r="H392" i="3"/>
  <c r="J392" i="3"/>
  <c r="J390" i="3"/>
  <c r="M391" i="3"/>
  <c r="J389" i="3"/>
  <c r="M390" i="3"/>
  <c r="M381" i="3"/>
  <c r="E380" i="3"/>
  <c r="J380" i="3"/>
  <c r="H378" i="3"/>
  <c r="E377" i="3"/>
  <c r="M376" i="3"/>
  <c r="J19" i="4"/>
  <c r="K19" i="4"/>
  <c r="G19" i="4"/>
  <c r="H19" i="4"/>
  <c r="E19" i="4"/>
  <c r="F288" i="14"/>
  <c r="I288" i="14"/>
  <c r="K288" i="14"/>
  <c r="L288" i="14"/>
  <c r="N288" i="14"/>
  <c r="F289" i="14"/>
  <c r="I289" i="14"/>
  <c r="K289" i="14"/>
  <c r="L289" i="14"/>
  <c r="N289" i="14"/>
  <c r="F290" i="14"/>
  <c r="I290" i="14"/>
  <c r="K290" i="14"/>
  <c r="L290" i="14"/>
  <c r="N290" i="14"/>
  <c r="F291" i="14"/>
  <c r="I291" i="14"/>
  <c r="K291" i="14"/>
  <c r="L291" i="14"/>
  <c r="N291" i="14"/>
  <c r="F119" i="14"/>
  <c r="I119" i="14"/>
  <c r="K119" i="14"/>
  <c r="L119" i="14"/>
  <c r="N119" i="14"/>
  <c r="F100" i="14"/>
  <c r="I100" i="14"/>
  <c r="K100" i="14"/>
  <c r="L100" i="14"/>
  <c r="N100" i="14"/>
  <c r="F87" i="14"/>
  <c r="I87" i="14"/>
  <c r="K87" i="14"/>
  <c r="L87" i="14"/>
  <c r="N87" i="14"/>
  <c r="F68" i="14"/>
  <c r="I68" i="14"/>
  <c r="K68" i="14"/>
  <c r="L68" i="14"/>
  <c r="N68" i="14"/>
  <c r="F220" i="14"/>
  <c r="I220" i="14"/>
  <c r="K220" i="14"/>
  <c r="L220" i="14"/>
  <c r="N220" i="14"/>
  <c r="F221" i="14"/>
  <c r="I221" i="14"/>
  <c r="K221" i="14"/>
  <c r="L221" i="14"/>
  <c r="N221" i="14"/>
  <c r="F222" i="14"/>
  <c r="I222" i="14"/>
  <c r="K222" i="14"/>
  <c r="L222" i="14"/>
  <c r="N222" i="14"/>
  <c r="F323" i="14"/>
  <c r="I323" i="14"/>
  <c r="K323" i="14"/>
  <c r="L323" i="14"/>
  <c r="N323" i="14"/>
  <c r="F324" i="14"/>
  <c r="I324" i="14"/>
  <c r="K324" i="14"/>
  <c r="L324" i="14"/>
  <c r="N324" i="14"/>
  <c r="F325" i="14"/>
  <c r="I325" i="14"/>
  <c r="K325" i="14"/>
  <c r="L325" i="14"/>
  <c r="N325" i="14"/>
  <c r="F326" i="14"/>
  <c r="I326" i="14"/>
  <c r="K326" i="14"/>
  <c r="L326" i="14"/>
  <c r="N326" i="14"/>
  <c r="N27" i="21"/>
  <c r="L27" i="21"/>
  <c r="K27" i="21"/>
  <c r="I27" i="21"/>
  <c r="F27" i="21"/>
  <c r="N26" i="21"/>
  <c r="L26" i="21"/>
  <c r="K26" i="21"/>
  <c r="I26" i="21"/>
  <c r="F26" i="21"/>
  <c r="N71" i="15"/>
  <c r="L71" i="15"/>
  <c r="K71" i="15"/>
  <c r="I71" i="15"/>
  <c r="F71" i="15"/>
  <c r="N70" i="15"/>
  <c r="L70" i="15"/>
  <c r="K70" i="15"/>
  <c r="I70" i="15"/>
  <c r="F70" i="15"/>
  <c r="N69" i="15"/>
  <c r="L69" i="15"/>
  <c r="K69" i="15"/>
  <c r="I69" i="15"/>
  <c r="F69" i="15"/>
  <c r="N68" i="15"/>
  <c r="L68" i="15"/>
  <c r="K68" i="15"/>
  <c r="I68" i="15"/>
  <c r="F68" i="15"/>
  <c r="N67" i="15"/>
  <c r="L67" i="15"/>
  <c r="K67" i="15"/>
  <c r="I67" i="15"/>
  <c r="F67" i="15"/>
  <c r="N66" i="15"/>
  <c r="L66" i="15"/>
  <c r="K66" i="15"/>
  <c r="I66" i="15"/>
  <c r="F66" i="15"/>
  <c r="N65" i="15"/>
  <c r="L65" i="15"/>
  <c r="K65" i="15"/>
  <c r="I65" i="15"/>
  <c r="F65" i="15"/>
  <c r="N344" i="14"/>
  <c r="L344" i="14"/>
  <c r="K344" i="14"/>
  <c r="I344" i="14"/>
  <c r="F344" i="14"/>
  <c r="N343" i="14"/>
  <c r="L343" i="14"/>
  <c r="K343" i="14"/>
  <c r="I343" i="14"/>
  <c r="F343" i="14"/>
  <c r="N342" i="14"/>
  <c r="L342" i="14"/>
  <c r="K342" i="14"/>
  <c r="I342" i="14"/>
  <c r="F342" i="14"/>
  <c r="N341" i="14"/>
  <c r="L341" i="14"/>
  <c r="K341" i="14"/>
  <c r="I341" i="14"/>
  <c r="F341" i="14"/>
  <c r="N340" i="14"/>
  <c r="L340" i="14"/>
  <c r="K340" i="14"/>
  <c r="I340" i="14"/>
  <c r="F340" i="14"/>
  <c r="N339" i="14"/>
  <c r="L339" i="14"/>
  <c r="K339" i="14"/>
  <c r="I339" i="14"/>
  <c r="F339" i="14"/>
  <c r="N338" i="14"/>
  <c r="L338" i="14"/>
  <c r="K338" i="14"/>
  <c r="I338" i="14"/>
  <c r="F338" i="14"/>
  <c r="N337" i="14"/>
  <c r="L337" i="14"/>
  <c r="K337" i="14"/>
  <c r="I337" i="14"/>
  <c r="F337" i="14"/>
  <c r="N336" i="14"/>
  <c r="L336" i="14"/>
  <c r="K336" i="14"/>
  <c r="I336" i="14"/>
  <c r="F336" i="14"/>
  <c r="N335" i="14"/>
  <c r="L335" i="14"/>
  <c r="K335" i="14"/>
  <c r="I335" i="14"/>
  <c r="F335" i="14"/>
  <c r="N334" i="14"/>
  <c r="L334" i="14"/>
  <c r="K334" i="14"/>
  <c r="I334" i="14"/>
  <c r="F334" i="14"/>
  <c r="N333" i="14"/>
  <c r="L333" i="14"/>
  <c r="K333" i="14"/>
  <c r="I333" i="14"/>
  <c r="F333" i="14"/>
  <c r="N332" i="14"/>
  <c r="L332" i="14"/>
  <c r="K332" i="14"/>
  <c r="I332" i="14"/>
  <c r="F332" i="14"/>
  <c r="N331" i="14"/>
  <c r="L331" i="14"/>
  <c r="K331" i="14"/>
  <c r="I331" i="14"/>
  <c r="F331" i="14"/>
  <c r="N330" i="14"/>
  <c r="L330" i="14"/>
  <c r="K330" i="14"/>
  <c r="I330" i="14"/>
  <c r="F330" i="14"/>
  <c r="N329" i="14"/>
  <c r="L329" i="14"/>
  <c r="K329" i="14"/>
  <c r="I329" i="14"/>
  <c r="F329" i="14"/>
  <c r="N328" i="14"/>
  <c r="L328" i="14"/>
  <c r="K328" i="14"/>
  <c r="I328" i="14"/>
  <c r="F328" i="14"/>
  <c r="N327" i="14"/>
  <c r="L327" i="14"/>
  <c r="K327" i="14"/>
  <c r="I327" i="14"/>
  <c r="F327" i="14"/>
  <c r="N322" i="14"/>
  <c r="L322" i="14"/>
  <c r="K322" i="14"/>
  <c r="I322" i="14"/>
  <c r="F322" i="14"/>
  <c r="N321" i="14"/>
  <c r="L321" i="14"/>
  <c r="K321" i="14"/>
  <c r="I321" i="14"/>
  <c r="F321" i="14"/>
  <c r="N320" i="14"/>
  <c r="L320" i="14"/>
  <c r="K320" i="14"/>
  <c r="I320" i="14"/>
  <c r="F320" i="14"/>
  <c r="N319" i="14"/>
  <c r="L319" i="14"/>
  <c r="K319" i="14"/>
  <c r="I319" i="14"/>
  <c r="F319" i="14"/>
  <c r="N318" i="14"/>
  <c r="L318" i="14"/>
  <c r="K318" i="14"/>
  <c r="I318" i="14"/>
  <c r="F318" i="14"/>
  <c r="N317" i="14"/>
  <c r="L317" i="14"/>
  <c r="K317" i="14"/>
  <c r="I317" i="14"/>
  <c r="F317" i="14"/>
  <c r="N316" i="14"/>
  <c r="L316" i="14"/>
  <c r="K316" i="14"/>
  <c r="I316" i="14"/>
  <c r="F316" i="14"/>
  <c r="N315" i="14"/>
  <c r="L315" i="14"/>
  <c r="K315" i="14"/>
  <c r="I315" i="14"/>
  <c r="F315" i="14"/>
  <c r="N314" i="14"/>
  <c r="L314" i="14"/>
  <c r="K314" i="14"/>
  <c r="I314" i="14"/>
  <c r="F314" i="14"/>
  <c r="N313" i="14"/>
  <c r="L313" i="14"/>
  <c r="K313" i="14"/>
  <c r="I313" i="14"/>
  <c r="F313" i="14"/>
  <c r="N312" i="14"/>
  <c r="L312" i="14"/>
  <c r="K312" i="14"/>
  <c r="I312" i="14"/>
  <c r="F312" i="14"/>
  <c r="N311" i="14"/>
  <c r="L311" i="14"/>
  <c r="K311" i="14"/>
  <c r="I311" i="14"/>
  <c r="F311" i="14"/>
  <c r="N310" i="14"/>
  <c r="L310" i="14"/>
  <c r="K310" i="14"/>
  <c r="I310" i="14"/>
  <c r="F310" i="14"/>
  <c r="N44" i="12"/>
  <c r="L44" i="12"/>
  <c r="K44" i="12"/>
  <c r="I44" i="12"/>
  <c r="F44" i="12"/>
  <c r="N43" i="12"/>
  <c r="L43" i="12"/>
  <c r="K43" i="12"/>
  <c r="I43" i="12"/>
  <c r="F43" i="12"/>
  <c r="N42" i="12"/>
  <c r="L42" i="12"/>
  <c r="K42" i="12"/>
  <c r="I42" i="12"/>
  <c r="F42" i="12"/>
  <c r="N71" i="9"/>
  <c r="L71" i="9"/>
  <c r="K71" i="9"/>
  <c r="I71" i="9"/>
  <c r="F71" i="9"/>
  <c r="N70" i="9"/>
  <c r="L70" i="9"/>
  <c r="K70" i="9"/>
  <c r="I70" i="9"/>
  <c r="F70" i="9"/>
  <c r="N69" i="9"/>
  <c r="L69" i="9"/>
  <c r="K69" i="9"/>
  <c r="I69" i="9"/>
  <c r="F69" i="9"/>
  <c r="N68" i="9"/>
  <c r="L68" i="9"/>
  <c r="K68" i="9"/>
  <c r="I68" i="9"/>
  <c r="F68" i="9"/>
  <c r="N69" i="11"/>
  <c r="L69" i="11"/>
  <c r="K69" i="11"/>
  <c r="I69" i="11"/>
  <c r="F69" i="11"/>
  <c r="N68" i="11"/>
  <c r="L68" i="11"/>
  <c r="K68" i="11"/>
  <c r="I68" i="11"/>
  <c r="F68" i="11"/>
  <c r="N67" i="11"/>
  <c r="L67" i="11"/>
  <c r="K67" i="11"/>
  <c r="I67" i="11"/>
  <c r="F67" i="11"/>
  <c r="N66" i="11"/>
  <c r="L66" i="11"/>
  <c r="K66" i="11"/>
  <c r="I66" i="11"/>
  <c r="F66" i="11"/>
  <c r="E18" i="4" l="1"/>
  <c r="G18" i="4"/>
  <c r="H18" i="4"/>
  <c r="J18" i="4"/>
  <c r="K18" i="4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D369" i="3"/>
  <c r="D370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1" i="3"/>
  <c r="D352" i="3"/>
  <c r="D346" i="3"/>
  <c r="D347" i="3"/>
  <c r="D348" i="3"/>
  <c r="D349" i="3"/>
  <c r="D350" i="3"/>
  <c r="D345" i="3"/>
  <c r="D344" i="3"/>
  <c r="D343" i="3"/>
  <c r="D342" i="3"/>
  <c r="N502" i="1"/>
  <c r="L502" i="1"/>
  <c r="K502" i="1"/>
  <c r="I502" i="1"/>
  <c r="F502" i="1"/>
  <c r="N501" i="1"/>
  <c r="L501" i="1"/>
  <c r="K501" i="1"/>
  <c r="I501" i="1"/>
  <c r="F501" i="1"/>
  <c r="N500" i="1"/>
  <c r="L500" i="1"/>
  <c r="K500" i="1"/>
  <c r="I500" i="1"/>
  <c r="F500" i="1"/>
  <c r="N499" i="1"/>
  <c r="L499" i="1"/>
  <c r="K499" i="1"/>
  <c r="I499" i="1"/>
  <c r="F499" i="1"/>
  <c r="N538" i="1"/>
  <c r="L538" i="1"/>
  <c r="K538" i="1"/>
  <c r="I538" i="1"/>
  <c r="F538" i="1"/>
  <c r="N537" i="1"/>
  <c r="L537" i="1"/>
  <c r="K537" i="1"/>
  <c r="I537" i="1"/>
  <c r="F537" i="1"/>
  <c r="N536" i="1"/>
  <c r="L536" i="1"/>
  <c r="K536" i="1"/>
  <c r="I536" i="1"/>
  <c r="F536" i="1"/>
  <c r="N535" i="1"/>
  <c r="L535" i="1"/>
  <c r="K535" i="1"/>
  <c r="I535" i="1"/>
  <c r="F535" i="1"/>
  <c r="N539" i="1"/>
  <c r="L539" i="1"/>
  <c r="K539" i="1"/>
  <c r="I539" i="1"/>
  <c r="F539" i="1"/>
  <c r="N541" i="1"/>
  <c r="L541" i="1"/>
  <c r="K541" i="1"/>
  <c r="I541" i="1"/>
  <c r="F541" i="1"/>
  <c r="N540" i="1"/>
  <c r="L540" i="1"/>
  <c r="K540" i="1"/>
  <c r="I540" i="1"/>
  <c r="F540" i="1"/>
  <c r="F532" i="1"/>
  <c r="I532" i="1"/>
  <c r="K532" i="1"/>
  <c r="L532" i="1"/>
  <c r="N532" i="1"/>
  <c r="F533" i="1"/>
  <c r="I533" i="1"/>
  <c r="K533" i="1"/>
  <c r="L533" i="1"/>
  <c r="N533" i="1"/>
  <c r="F534" i="1"/>
  <c r="I534" i="1"/>
  <c r="K534" i="1"/>
  <c r="L534" i="1"/>
  <c r="N534" i="1"/>
  <c r="F498" i="1"/>
  <c r="I498" i="1"/>
  <c r="K498" i="1"/>
  <c r="L498" i="1"/>
  <c r="N498" i="1"/>
  <c r="F503" i="1"/>
  <c r="I503" i="1"/>
  <c r="K503" i="1"/>
  <c r="L503" i="1"/>
  <c r="N503" i="1"/>
  <c r="F504" i="1"/>
  <c r="I504" i="1"/>
  <c r="K504" i="1"/>
  <c r="L504" i="1"/>
  <c r="N504" i="1"/>
  <c r="F505" i="1"/>
  <c r="I505" i="1"/>
  <c r="K505" i="1"/>
  <c r="L505" i="1"/>
  <c r="N505" i="1"/>
  <c r="F506" i="1"/>
  <c r="I506" i="1"/>
  <c r="K506" i="1"/>
  <c r="L506" i="1"/>
  <c r="N506" i="1"/>
  <c r="F507" i="1"/>
  <c r="I507" i="1"/>
  <c r="K507" i="1"/>
  <c r="L507" i="1"/>
  <c r="N507" i="1"/>
  <c r="F508" i="1"/>
  <c r="I508" i="1"/>
  <c r="K508" i="1"/>
  <c r="L508" i="1"/>
  <c r="N508" i="1"/>
  <c r="F509" i="1"/>
  <c r="I509" i="1"/>
  <c r="K509" i="1"/>
  <c r="L509" i="1"/>
  <c r="N509" i="1"/>
  <c r="F510" i="1"/>
  <c r="I510" i="1"/>
  <c r="K510" i="1"/>
  <c r="L510" i="1"/>
  <c r="N510" i="1"/>
  <c r="F511" i="1"/>
  <c r="I511" i="1"/>
  <c r="K511" i="1"/>
  <c r="L511" i="1"/>
  <c r="N511" i="1"/>
  <c r="F512" i="1"/>
  <c r="I512" i="1"/>
  <c r="K512" i="1"/>
  <c r="L512" i="1"/>
  <c r="N512" i="1"/>
  <c r="F513" i="1"/>
  <c r="I513" i="1"/>
  <c r="K513" i="1"/>
  <c r="L513" i="1"/>
  <c r="N513" i="1"/>
  <c r="F514" i="1"/>
  <c r="I514" i="1"/>
  <c r="K514" i="1"/>
  <c r="L514" i="1"/>
  <c r="N514" i="1"/>
  <c r="F515" i="1"/>
  <c r="I515" i="1"/>
  <c r="K515" i="1"/>
  <c r="L515" i="1"/>
  <c r="N515" i="1"/>
  <c r="F516" i="1"/>
  <c r="I516" i="1"/>
  <c r="K516" i="1"/>
  <c r="L516" i="1"/>
  <c r="N516" i="1"/>
  <c r="F517" i="1"/>
  <c r="I517" i="1"/>
  <c r="K517" i="1"/>
  <c r="L517" i="1"/>
  <c r="N517" i="1"/>
  <c r="F518" i="1"/>
  <c r="I518" i="1"/>
  <c r="K518" i="1"/>
  <c r="L518" i="1"/>
  <c r="N518" i="1"/>
  <c r="F519" i="1"/>
  <c r="I519" i="1"/>
  <c r="K519" i="1"/>
  <c r="L519" i="1"/>
  <c r="N519" i="1"/>
  <c r="F520" i="1"/>
  <c r="I520" i="1"/>
  <c r="K520" i="1"/>
  <c r="L520" i="1"/>
  <c r="N520" i="1"/>
  <c r="F521" i="1"/>
  <c r="I521" i="1"/>
  <c r="K521" i="1"/>
  <c r="L521" i="1"/>
  <c r="N521" i="1"/>
  <c r="F522" i="1"/>
  <c r="I522" i="1"/>
  <c r="K522" i="1"/>
  <c r="L522" i="1"/>
  <c r="N522" i="1"/>
  <c r="F523" i="1"/>
  <c r="I523" i="1"/>
  <c r="K523" i="1"/>
  <c r="L523" i="1"/>
  <c r="N523" i="1"/>
  <c r="F524" i="1"/>
  <c r="I524" i="1"/>
  <c r="K524" i="1"/>
  <c r="L524" i="1"/>
  <c r="N524" i="1"/>
  <c r="F525" i="1"/>
  <c r="I525" i="1"/>
  <c r="K525" i="1"/>
  <c r="L525" i="1"/>
  <c r="N525" i="1"/>
  <c r="F526" i="1"/>
  <c r="I526" i="1"/>
  <c r="K526" i="1"/>
  <c r="L526" i="1"/>
  <c r="N526" i="1"/>
  <c r="F527" i="1"/>
  <c r="I527" i="1"/>
  <c r="K527" i="1"/>
  <c r="L527" i="1"/>
  <c r="N527" i="1"/>
  <c r="F528" i="1"/>
  <c r="I528" i="1"/>
  <c r="K528" i="1"/>
  <c r="L528" i="1"/>
  <c r="N528" i="1"/>
  <c r="F529" i="1"/>
  <c r="I529" i="1"/>
  <c r="K529" i="1"/>
  <c r="L529" i="1"/>
  <c r="N529" i="1"/>
  <c r="F530" i="1"/>
  <c r="I530" i="1"/>
  <c r="K530" i="1"/>
  <c r="L530" i="1"/>
  <c r="N530" i="1"/>
  <c r="F531" i="1"/>
  <c r="I531" i="1"/>
  <c r="K531" i="1"/>
  <c r="L531" i="1"/>
  <c r="N531" i="1"/>
  <c r="N8" i="20"/>
  <c r="L8" i="20"/>
  <c r="K8" i="20"/>
  <c r="I8" i="20"/>
  <c r="F8" i="20"/>
  <c r="N7" i="20"/>
  <c r="L7" i="20"/>
  <c r="K7" i="20"/>
  <c r="I7" i="20"/>
  <c r="F7" i="20"/>
  <c r="N42" i="16"/>
  <c r="L42" i="16"/>
  <c r="K42" i="16"/>
  <c r="I42" i="16"/>
  <c r="F42" i="16"/>
  <c r="N25" i="21"/>
  <c r="L25" i="21"/>
  <c r="K25" i="21"/>
  <c r="I25" i="21"/>
  <c r="F25" i="21"/>
  <c r="N64" i="15"/>
  <c r="L64" i="15"/>
  <c r="K64" i="15"/>
  <c r="I64" i="15"/>
  <c r="F64" i="15"/>
  <c r="N63" i="15"/>
  <c r="L63" i="15"/>
  <c r="K63" i="15"/>
  <c r="I63" i="15"/>
  <c r="F63" i="15"/>
  <c r="N309" i="14"/>
  <c r="L309" i="14"/>
  <c r="K309" i="14"/>
  <c r="I309" i="14"/>
  <c r="F309" i="14"/>
  <c r="N308" i="14"/>
  <c r="L308" i="14"/>
  <c r="K308" i="14"/>
  <c r="I308" i="14"/>
  <c r="F308" i="14"/>
  <c r="N307" i="14"/>
  <c r="L307" i="14"/>
  <c r="K307" i="14"/>
  <c r="I307" i="14"/>
  <c r="F307" i="14"/>
  <c r="N306" i="14"/>
  <c r="L306" i="14"/>
  <c r="K306" i="14"/>
  <c r="I306" i="14"/>
  <c r="F306" i="14"/>
  <c r="N305" i="14"/>
  <c r="L305" i="14"/>
  <c r="K305" i="14"/>
  <c r="I305" i="14"/>
  <c r="F305" i="14"/>
  <c r="N304" i="14"/>
  <c r="L304" i="14"/>
  <c r="K304" i="14"/>
  <c r="I304" i="14"/>
  <c r="F304" i="14"/>
  <c r="N303" i="14"/>
  <c r="L303" i="14"/>
  <c r="K303" i="14"/>
  <c r="I303" i="14"/>
  <c r="F303" i="14"/>
  <c r="N302" i="14"/>
  <c r="L302" i="14"/>
  <c r="K302" i="14"/>
  <c r="I302" i="14"/>
  <c r="F302" i="14"/>
  <c r="N301" i="14"/>
  <c r="L301" i="14"/>
  <c r="K301" i="14"/>
  <c r="I301" i="14"/>
  <c r="F301" i="14"/>
  <c r="N300" i="14"/>
  <c r="L300" i="14"/>
  <c r="K300" i="14"/>
  <c r="I300" i="14"/>
  <c r="F300" i="14"/>
  <c r="N299" i="14"/>
  <c r="L299" i="14"/>
  <c r="K299" i="14"/>
  <c r="I299" i="14"/>
  <c r="F299" i="14"/>
  <c r="N298" i="14"/>
  <c r="L298" i="14"/>
  <c r="K298" i="14"/>
  <c r="I298" i="14"/>
  <c r="F298" i="14"/>
  <c r="N297" i="14"/>
  <c r="L297" i="14"/>
  <c r="K297" i="14"/>
  <c r="I297" i="14"/>
  <c r="F297" i="14"/>
  <c r="N296" i="14"/>
  <c r="L296" i="14"/>
  <c r="K296" i="14"/>
  <c r="I296" i="14"/>
  <c r="F296" i="14"/>
  <c r="N295" i="14"/>
  <c r="L295" i="14"/>
  <c r="K295" i="14"/>
  <c r="I295" i="14"/>
  <c r="F295" i="14"/>
  <c r="N294" i="14"/>
  <c r="L294" i="14"/>
  <c r="K294" i="14"/>
  <c r="I294" i="14"/>
  <c r="F294" i="14"/>
  <c r="N293" i="14"/>
  <c r="L293" i="14"/>
  <c r="K293" i="14"/>
  <c r="I293" i="14"/>
  <c r="F293" i="14"/>
  <c r="N292" i="14"/>
  <c r="L292" i="14"/>
  <c r="K292" i="14"/>
  <c r="I292" i="14"/>
  <c r="F292" i="14"/>
  <c r="N41" i="12"/>
  <c r="L41" i="12"/>
  <c r="K41" i="12"/>
  <c r="I41" i="12"/>
  <c r="F41" i="12"/>
  <c r="N40" i="12"/>
  <c r="L40" i="12"/>
  <c r="K40" i="12"/>
  <c r="I40" i="12"/>
  <c r="F40" i="12"/>
  <c r="N67" i="9"/>
  <c r="L67" i="9"/>
  <c r="K67" i="9"/>
  <c r="I67" i="9"/>
  <c r="F67" i="9"/>
  <c r="N66" i="9"/>
  <c r="L66" i="9"/>
  <c r="K66" i="9"/>
  <c r="I66" i="9"/>
  <c r="F66" i="9"/>
  <c r="N65" i="9"/>
  <c r="L65" i="9"/>
  <c r="K65" i="9"/>
  <c r="I65" i="9"/>
  <c r="F65" i="9"/>
  <c r="N64" i="9"/>
  <c r="L64" i="9"/>
  <c r="K64" i="9"/>
  <c r="I64" i="9"/>
  <c r="F64" i="9"/>
  <c r="N65" i="11"/>
  <c r="L65" i="11"/>
  <c r="K65" i="11"/>
  <c r="I65" i="11"/>
  <c r="F65" i="11"/>
  <c r="N64" i="11"/>
  <c r="L64" i="11"/>
  <c r="K64" i="11"/>
  <c r="I64" i="11"/>
  <c r="F64" i="11"/>
  <c r="N63" i="11"/>
  <c r="L63" i="11"/>
  <c r="K63" i="11"/>
  <c r="I63" i="11"/>
  <c r="F63" i="11"/>
  <c r="N62" i="11"/>
  <c r="L62" i="11"/>
  <c r="K62" i="11"/>
  <c r="I62" i="11"/>
  <c r="F62" i="11"/>
  <c r="M350" i="3" l="1"/>
  <c r="J364" i="3"/>
  <c r="J355" i="3"/>
  <c r="M345" i="3"/>
  <c r="H370" i="3"/>
  <c r="H354" i="3"/>
  <c r="H363" i="3"/>
  <c r="M366" i="3"/>
  <c r="M354" i="3"/>
  <c r="H349" i="3"/>
  <c r="K344" i="3"/>
  <c r="K352" i="3"/>
  <c r="K360" i="3"/>
  <c r="K368" i="3"/>
  <c r="H350" i="3"/>
  <c r="K345" i="3"/>
  <c r="K353" i="3"/>
  <c r="K369" i="3"/>
  <c r="H361" i="3"/>
  <c r="E343" i="3"/>
  <c r="M364" i="3"/>
  <c r="J357" i="3"/>
  <c r="H346" i="3"/>
  <c r="E361" i="3"/>
  <c r="H348" i="3"/>
  <c r="H356" i="3"/>
  <c r="J351" i="3"/>
  <c r="M356" i="3"/>
  <c r="E351" i="3"/>
  <c r="M368" i="3"/>
  <c r="J349" i="3"/>
  <c r="H347" i="3"/>
  <c r="E356" i="3"/>
  <c r="E360" i="3"/>
  <c r="E347" i="3"/>
  <c r="H342" i="3"/>
  <c r="H366" i="3"/>
  <c r="J353" i="3"/>
  <c r="J361" i="3"/>
  <c r="M370" i="3"/>
  <c r="E364" i="3"/>
  <c r="H359" i="3"/>
  <c r="M357" i="3"/>
  <c r="J359" i="3"/>
  <c r="E344" i="3"/>
  <c r="E357" i="3"/>
  <c r="E362" i="3"/>
  <c r="E369" i="3"/>
  <c r="E365" i="3"/>
  <c r="H344" i="3"/>
  <c r="J347" i="3"/>
  <c r="E370" i="3"/>
  <c r="E358" i="3"/>
  <c r="J348" i="3"/>
  <c r="J356" i="3"/>
  <c r="H368" i="3"/>
  <c r="M355" i="3"/>
  <c r="M363" i="3"/>
  <c r="M360" i="3"/>
  <c r="H351" i="3"/>
  <c r="H367" i="3"/>
  <c r="M349" i="3"/>
  <c r="E349" i="3"/>
  <c r="J363" i="3"/>
  <c r="M351" i="3"/>
  <c r="M343" i="3"/>
  <c r="M362" i="3"/>
  <c r="M353" i="3"/>
  <c r="H362" i="3"/>
  <c r="H355" i="3"/>
  <c r="J350" i="3"/>
  <c r="E353" i="3"/>
  <c r="J346" i="3"/>
  <c r="K356" i="3"/>
  <c r="K364" i="3"/>
  <c r="J367" i="3"/>
  <c r="M347" i="3"/>
  <c r="K349" i="3"/>
  <c r="K365" i="3"/>
  <c r="K357" i="3"/>
  <c r="E342" i="3"/>
  <c r="E352" i="3"/>
  <c r="M365" i="3"/>
  <c r="K367" i="3"/>
  <c r="K362" i="3"/>
  <c r="K358" i="3"/>
  <c r="K354" i="3"/>
  <c r="M344" i="3"/>
  <c r="J343" i="3"/>
  <c r="H358" i="3"/>
  <c r="E366" i="3"/>
  <c r="K348" i="3"/>
  <c r="E346" i="3"/>
  <c r="H343" i="3"/>
  <c r="M359" i="3"/>
  <c r="M369" i="3"/>
  <c r="M342" i="3"/>
  <c r="J369" i="3"/>
  <c r="E367" i="3"/>
  <c r="M346" i="3"/>
  <c r="J345" i="3"/>
  <c r="J365" i="3"/>
  <c r="M361" i="3"/>
  <c r="J360" i="3"/>
  <c r="E359" i="3"/>
  <c r="H352" i="3"/>
  <c r="H345" i="3"/>
  <c r="J342" i="3"/>
  <c r="E350" i="3"/>
  <c r="E354" i="3"/>
  <c r="J370" i="3"/>
  <c r="H369" i="3"/>
  <c r="J368" i="3"/>
  <c r="H360" i="3"/>
  <c r="M358" i="3"/>
  <c r="K346" i="3"/>
  <c r="M367" i="3"/>
  <c r="J366" i="3"/>
  <c r="H365" i="3"/>
  <c r="J362" i="3"/>
  <c r="K361" i="3"/>
  <c r="J358" i="3"/>
  <c r="J354" i="3"/>
  <c r="H353" i="3"/>
  <c r="K350" i="3"/>
  <c r="E345" i="3"/>
  <c r="E348" i="3"/>
  <c r="H364" i="3"/>
  <c r="E363" i="3"/>
  <c r="H357" i="3"/>
  <c r="E355" i="3"/>
  <c r="M352" i="3"/>
  <c r="J352" i="3"/>
  <c r="M348" i="3"/>
  <c r="J344" i="3"/>
  <c r="E368" i="3"/>
  <c r="K342" i="3"/>
  <c r="K370" i="3"/>
  <c r="K366" i="3"/>
  <c r="K363" i="3"/>
  <c r="K359" i="3"/>
  <c r="K355" i="3"/>
  <c r="K351" i="3"/>
  <c r="K347" i="3"/>
  <c r="K343" i="3"/>
  <c r="J17" i="4"/>
  <c r="K17" i="4"/>
  <c r="G17" i="4"/>
  <c r="H17" i="4"/>
  <c r="E17" i="4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D340" i="3"/>
  <c r="D341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F471" i="1"/>
  <c r="I471" i="1"/>
  <c r="K471" i="1"/>
  <c r="L471" i="1"/>
  <c r="N471" i="1"/>
  <c r="F472" i="1"/>
  <c r="I472" i="1"/>
  <c r="K472" i="1"/>
  <c r="L472" i="1"/>
  <c r="N472" i="1"/>
  <c r="F473" i="1"/>
  <c r="I473" i="1"/>
  <c r="K473" i="1"/>
  <c r="L473" i="1"/>
  <c r="N473" i="1"/>
  <c r="F474" i="1"/>
  <c r="I474" i="1"/>
  <c r="K474" i="1"/>
  <c r="L474" i="1"/>
  <c r="N474" i="1"/>
  <c r="F475" i="1"/>
  <c r="I475" i="1"/>
  <c r="K475" i="1"/>
  <c r="L475" i="1"/>
  <c r="N475" i="1"/>
  <c r="F476" i="1"/>
  <c r="I476" i="1"/>
  <c r="K476" i="1"/>
  <c r="L476" i="1"/>
  <c r="N476" i="1"/>
  <c r="F477" i="1"/>
  <c r="I477" i="1"/>
  <c r="K477" i="1"/>
  <c r="L477" i="1"/>
  <c r="N477" i="1"/>
  <c r="F478" i="1"/>
  <c r="I478" i="1"/>
  <c r="K478" i="1"/>
  <c r="L478" i="1"/>
  <c r="N478" i="1"/>
  <c r="F479" i="1"/>
  <c r="I479" i="1"/>
  <c r="K479" i="1"/>
  <c r="L479" i="1"/>
  <c r="N479" i="1"/>
  <c r="F480" i="1"/>
  <c r="I480" i="1"/>
  <c r="K480" i="1"/>
  <c r="L480" i="1"/>
  <c r="N480" i="1"/>
  <c r="F481" i="1"/>
  <c r="I481" i="1"/>
  <c r="K481" i="1"/>
  <c r="L481" i="1"/>
  <c r="N481" i="1"/>
  <c r="F482" i="1"/>
  <c r="I482" i="1"/>
  <c r="K482" i="1"/>
  <c r="L482" i="1"/>
  <c r="N482" i="1"/>
  <c r="F483" i="1"/>
  <c r="I483" i="1"/>
  <c r="K483" i="1"/>
  <c r="L483" i="1"/>
  <c r="N483" i="1"/>
  <c r="F484" i="1"/>
  <c r="I484" i="1"/>
  <c r="K484" i="1"/>
  <c r="L484" i="1"/>
  <c r="N484" i="1"/>
  <c r="F485" i="1"/>
  <c r="I485" i="1"/>
  <c r="K485" i="1"/>
  <c r="L485" i="1"/>
  <c r="N485" i="1"/>
  <c r="F486" i="1"/>
  <c r="I486" i="1"/>
  <c r="K486" i="1"/>
  <c r="L486" i="1"/>
  <c r="N486" i="1"/>
  <c r="F487" i="1"/>
  <c r="I487" i="1"/>
  <c r="K487" i="1"/>
  <c r="L487" i="1"/>
  <c r="N487" i="1"/>
  <c r="F488" i="1"/>
  <c r="I488" i="1"/>
  <c r="K488" i="1"/>
  <c r="L488" i="1"/>
  <c r="N488" i="1"/>
  <c r="F489" i="1"/>
  <c r="I489" i="1"/>
  <c r="K489" i="1"/>
  <c r="L489" i="1"/>
  <c r="N489" i="1"/>
  <c r="F490" i="1"/>
  <c r="I490" i="1"/>
  <c r="K490" i="1"/>
  <c r="L490" i="1"/>
  <c r="N490" i="1"/>
  <c r="F491" i="1"/>
  <c r="I491" i="1"/>
  <c r="K491" i="1"/>
  <c r="L491" i="1"/>
  <c r="N491" i="1"/>
  <c r="F492" i="1"/>
  <c r="I492" i="1"/>
  <c r="K492" i="1"/>
  <c r="L492" i="1"/>
  <c r="N492" i="1"/>
  <c r="F493" i="1"/>
  <c r="I493" i="1"/>
  <c r="K493" i="1"/>
  <c r="L493" i="1"/>
  <c r="N493" i="1"/>
  <c r="F494" i="1"/>
  <c r="I494" i="1"/>
  <c r="K494" i="1"/>
  <c r="L494" i="1"/>
  <c r="N494" i="1"/>
  <c r="F495" i="1"/>
  <c r="I495" i="1"/>
  <c r="K495" i="1"/>
  <c r="L495" i="1"/>
  <c r="N495" i="1"/>
  <c r="F496" i="1"/>
  <c r="I496" i="1"/>
  <c r="K496" i="1"/>
  <c r="L496" i="1"/>
  <c r="N496" i="1"/>
  <c r="F497" i="1"/>
  <c r="I497" i="1"/>
  <c r="K497" i="1"/>
  <c r="L497" i="1"/>
  <c r="N497" i="1"/>
  <c r="F470" i="1"/>
  <c r="I470" i="1"/>
  <c r="K470" i="1"/>
  <c r="L470" i="1"/>
  <c r="N470" i="1"/>
  <c r="N6" i="20"/>
  <c r="L6" i="20"/>
  <c r="K6" i="20"/>
  <c r="I6" i="20"/>
  <c r="F6" i="20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D325" i="3"/>
  <c r="D321" i="3"/>
  <c r="D322" i="3"/>
  <c r="D323" i="3"/>
  <c r="D324" i="3"/>
  <c r="D320" i="3"/>
  <c r="D319" i="3"/>
  <c r="D318" i="3"/>
  <c r="D310" i="3"/>
  <c r="D311" i="3"/>
  <c r="D312" i="3"/>
  <c r="D313" i="3"/>
  <c r="D314" i="3"/>
  <c r="D315" i="3"/>
  <c r="D316" i="3"/>
  <c r="D317" i="3"/>
  <c r="D309" i="3"/>
  <c r="N17" i="17"/>
  <c r="L17" i="17"/>
  <c r="K17" i="17"/>
  <c r="I17" i="17"/>
  <c r="F17" i="17"/>
  <c r="N24" i="21"/>
  <c r="L24" i="21"/>
  <c r="K24" i="21"/>
  <c r="I24" i="21"/>
  <c r="F24" i="21"/>
  <c r="N23" i="21"/>
  <c r="L23" i="21"/>
  <c r="K23" i="21"/>
  <c r="I23" i="21"/>
  <c r="F23" i="21"/>
  <c r="N62" i="15"/>
  <c r="L62" i="15"/>
  <c r="K62" i="15"/>
  <c r="I62" i="15"/>
  <c r="F62" i="15"/>
  <c r="N61" i="15"/>
  <c r="L61" i="15"/>
  <c r="K61" i="15"/>
  <c r="I61" i="15"/>
  <c r="F61" i="15"/>
  <c r="N60" i="15"/>
  <c r="L60" i="15"/>
  <c r="K60" i="15"/>
  <c r="I60" i="15"/>
  <c r="F60" i="15"/>
  <c r="N287" i="14"/>
  <c r="L287" i="14"/>
  <c r="K287" i="14"/>
  <c r="I287" i="14"/>
  <c r="F287" i="14"/>
  <c r="N286" i="14"/>
  <c r="L286" i="14"/>
  <c r="K286" i="14"/>
  <c r="I286" i="14"/>
  <c r="F286" i="14"/>
  <c r="N285" i="14"/>
  <c r="L285" i="14"/>
  <c r="K285" i="14"/>
  <c r="I285" i="14"/>
  <c r="F285" i="14"/>
  <c r="N284" i="14"/>
  <c r="L284" i="14"/>
  <c r="K284" i="14"/>
  <c r="I284" i="14"/>
  <c r="F284" i="14"/>
  <c r="N283" i="14"/>
  <c r="L283" i="14"/>
  <c r="K283" i="14"/>
  <c r="I283" i="14"/>
  <c r="F283" i="14"/>
  <c r="N282" i="14"/>
  <c r="L282" i="14"/>
  <c r="K282" i="14"/>
  <c r="I282" i="14"/>
  <c r="F282" i="14"/>
  <c r="N281" i="14"/>
  <c r="L281" i="14"/>
  <c r="K281" i="14"/>
  <c r="I281" i="14"/>
  <c r="F281" i="14"/>
  <c r="N280" i="14"/>
  <c r="L280" i="14"/>
  <c r="K280" i="14"/>
  <c r="I280" i="14"/>
  <c r="F280" i="14"/>
  <c r="N279" i="14"/>
  <c r="L279" i="14"/>
  <c r="K279" i="14"/>
  <c r="I279" i="14"/>
  <c r="F279" i="14"/>
  <c r="N278" i="14"/>
  <c r="L278" i="14"/>
  <c r="K278" i="14"/>
  <c r="I278" i="14"/>
  <c r="F278" i="14"/>
  <c r="N277" i="14"/>
  <c r="L277" i="14"/>
  <c r="K277" i="14"/>
  <c r="I277" i="14"/>
  <c r="F277" i="14"/>
  <c r="N276" i="14"/>
  <c r="L276" i="14"/>
  <c r="K276" i="14"/>
  <c r="I276" i="14"/>
  <c r="F276" i="14"/>
  <c r="N275" i="14"/>
  <c r="L275" i="14"/>
  <c r="K275" i="14"/>
  <c r="I275" i="14"/>
  <c r="F275" i="14"/>
  <c r="N274" i="14"/>
  <c r="L274" i="14"/>
  <c r="K274" i="14"/>
  <c r="I274" i="14"/>
  <c r="F274" i="14"/>
  <c r="N273" i="14"/>
  <c r="L273" i="14"/>
  <c r="K273" i="14"/>
  <c r="I273" i="14"/>
  <c r="F273" i="14"/>
  <c r="N272" i="14"/>
  <c r="L272" i="14"/>
  <c r="K272" i="14"/>
  <c r="I272" i="14"/>
  <c r="F272" i="14"/>
  <c r="N271" i="14"/>
  <c r="L271" i="14"/>
  <c r="K271" i="14"/>
  <c r="I271" i="14"/>
  <c r="F271" i="14"/>
  <c r="N39" i="12"/>
  <c r="L39" i="12"/>
  <c r="K39" i="12"/>
  <c r="I39" i="12"/>
  <c r="F39" i="12"/>
  <c r="N38" i="12"/>
  <c r="L38" i="12"/>
  <c r="K38" i="12"/>
  <c r="I38" i="12"/>
  <c r="F38" i="12"/>
  <c r="N37" i="12"/>
  <c r="L37" i="12"/>
  <c r="K37" i="12"/>
  <c r="I37" i="12"/>
  <c r="F37" i="12"/>
  <c r="N63" i="9"/>
  <c r="L63" i="9"/>
  <c r="K63" i="9"/>
  <c r="I63" i="9"/>
  <c r="F63" i="9"/>
  <c r="N62" i="9"/>
  <c r="L62" i="9"/>
  <c r="K62" i="9"/>
  <c r="I62" i="9"/>
  <c r="F62" i="9"/>
  <c r="N61" i="9"/>
  <c r="L61" i="9"/>
  <c r="K61" i="9"/>
  <c r="I61" i="9"/>
  <c r="F61" i="9"/>
  <c r="N60" i="9"/>
  <c r="L60" i="9"/>
  <c r="K60" i="9"/>
  <c r="I60" i="9"/>
  <c r="F60" i="9"/>
  <c r="N61" i="11"/>
  <c r="L61" i="11"/>
  <c r="K61" i="11"/>
  <c r="I61" i="11"/>
  <c r="F61" i="11"/>
  <c r="N60" i="11"/>
  <c r="L60" i="11"/>
  <c r="K60" i="11"/>
  <c r="I60" i="11"/>
  <c r="F60" i="11"/>
  <c r="N59" i="11"/>
  <c r="L59" i="11"/>
  <c r="K59" i="11"/>
  <c r="I59" i="11"/>
  <c r="F59" i="11"/>
  <c r="N58" i="11"/>
  <c r="L58" i="11"/>
  <c r="K58" i="11"/>
  <c r="I58" i="11"/>
  <c r="F58" i="11"/>
  <c r="J334" i="3" l="1"/>
  <c r="J333" i="3"/>
  <c r="M339" i="3"/>
  <c r="M330" i="3"/>
  <c r="E326" i="3"/>
  <c r="H332" i="3"/>
  <c r="K326" i="3"/>
  <c r="E331" i="3"/>
  <c r="E327" i="3"/>
  <c r="J329" i="3"/>
  <c r="E339" i="3"/>
  <c r="M333" i="3"/>
  <c r="E341" i="3"/>
  <c r="E340" i="3"/>
  <c r="J340" i="3"/>
  <c r="M340" i="3"/>
  <c r="K341" i="3"/>
  <c r="E333" i="3"/>
  <c r="M331" i="3"/>
  <c r="H331" i="3"/>
  <c r="H339" i="3"/>
  <c r="J331" i="3"/>
  <c r="K339" i="3"/>
  <c r="M341" i="3"/>
  <c r="J341" i="3"/>
  <c r="J339" i="3"/>
  <c r="M332" i="3"/>
  <c r="H329" i="3"/>
  <c r="H337" i="3"/>
  <c r="H330" i="3"/>
  <c r="K338" i="3"/>
  <c r="H327" i="3"/>
  <c r="H335" i="3"/>
  <c r="J335" i="3"/>
  <c r="M336" i="3"/>
  <c r="M337" i="3"/>
  <c r="E336" i="3"/>
  <c r="J328" i="3"/>
  <c r="K337" i="3"/>
  <c r="J330" i="3"/>
  <c r="J336" i="3"/>
  <c r="M335" i="3"/>
  <c r="M329" i="3"/>
  <c r="K334" i="3"/>
  <c r="M326" i="3"/>
  <c r="M334" i="3"/>
  <c r="E335" i="3"/>
  <c r="H328" i="3"/>
  <c r="H338" i="3"/>
  <c r="M338" i="3"/>
  <c r="E332" i="3"/>
  <c r="E329" i="3"/>
  <c r="M327" i="3"/>
  <c r="K329" i="3"/>
  <c r="J337" i="3"/>
  <c r="H340" i="3"/>
  <c r="J327" i="3"/>
  <c r="E328" i="3"/>
  <c r="E337" i="3"/>
  <c r="H333" i="3"/>
  <c r="H341" i="3"/>
  <c r="M328" i="3"/>
  <c r="K330" i="3"/>
  <c r="K333" i="3"/>
  <c r="H326" i="3"/>
  <c r="H336" i="3"/>
  <c r="J332" i="3"/>
  <c r="E338" i="3"/>
  <c r="K335" i="3"/>
  <c r="E334" i="3"/>
  <c r="K331" i="3"/>
  <c r="E330" i="3"/>
  <c r="K327" i="3"/>
  <c r="J338" i="3"/>
  <c r="H334" i="3"/>
  <c r="K340" i="3"/>
  <c r="K336" i="3"/>
  <c r="K332" i="3"/>
  <c r="K328" i="3"/>
  <c r="J326" i="3"/>
  <c r="J16" i="4"/>
  <c r="K16" i="4"/>
  <c r="G16" i="4"/>
  <c r="H16" i="4"/>
  <c r="E16" i="4"/>
  <c r="J325" i="3"/>
  <c r="K323" i="3"/>
  <c r="K316" i="3"/>
  <c r="H320" i="3"/>
  <c r="H314" i="3"/>
  <c r="K311" i="3"/>
  <c r="E323" i="3"/>
  <c r="E320" i="3"/>
  <c r="E314" i="3"/>
  <c r="M325" i="3"/>
  <c r="J321" i="3"/>
  <c r="H322" i="3"/>
  <c r="M324" i="3"/>
  <c r="E318" i="3"/>
  <c r="J310" i="3"/>
  <c r="J314" i="3"/>
  <c r="E317" i="3"/>
  <c r="M312" i="3"/>
  <c r="M309" i="3"/>
  <c r="D308" i="3"/>
  <c r="H308" i="3" s="1"/>
  <c r="D307" i="3"/>
  <c r="K322" i="3"/>
  <c r="H323" i="3"/>
  <c r="H324" i="3"/>
  <c r="I446" i="1"/>
  <c r="F446" i="1"/>
  <c r="K446" i="1"/>
  <c r="L446" i="1"/>
  <c r="N446" i="1"/>
  <c r="F447" i="1"/>
  <c r="I447" i="1"/>
  <c r="K447" i="1"/>
  <c r="L447" i="1"/>
  <c r="N447" i="1"/>
  <c r="F448" i="1"/>
  <c r="I448" i="1"/>
  <c r="K448" i="1"/>
  <c r="L448" i="1"/>
  <c r="N448" i="1"/>
  <c r="F449" i="1"/>
  <c r="I449" i="1"/>
  <c r="K449" i="1"/>
  <c r="L449" i="1"/>
  <c r="N449" i="1"/>
  <c r="F450" i="1"/>
  <c r="I450" i="1"/>
  <c r="K450" i="1"/>
  <c r="L450" i="1"/>
  <c r="N450" i="1"/>
  <c r="F451" i="1"/>
  <c r="I451" i="1"/>
  <c r="K451" i="1"/>
  <c r="L451" i="1"/>
  <c r="N451" i="1"/>
  <c r="F452" i="1"/>
  <c r="I452" i="1"/>
  <c r="K452" i="1"/>
  <c r="L452" i="1"/>
  <c r="N452" i="1"/>
  <c r="F454" i="1"/>
  <c r="I454" i="1"/>
  <c r="K454" i="1"/>
  <c r="L454" i="1"/>
  <c r="N454" i="1"/>
  <c r="F455" i="1"/>
  <c r="I455" i="1"/>
  <c r="K455" i="1"/>
  <c r="L455" i="1"/>
  <c r="N455" i="1"/>
  <c r="F456" i="1"/>
  <c r="I456" i="1"/>
  <c r="K456" i="1"/>
  <c r="L456" i="1"/>
  <c r="N456" i="1"/>
  <c r="F457" i="1"/>
  <c r="I457" i="1"/>
  <c r="K457" i="1"/>
  <c r="L457" i="1"/>
  <c r="N457" i="1"/>
  <c r="F458" i="1"/>
  <c r="I458" i="1"/>
  <c r="K458" i="1"/>
  <c r="L458" i="1"/>
  <c r="N458" i="1"/>
  <c r="F453" i="1"/>
  <c r="I453" i="1"/>
  <c r="K453" i="1"/>
  <c r="L453" i="1"/>
  <c r="N453" i="1"/>
  <c r="F459" i="1"/>
  <c r="I459" i="1"/>
  <c r="K459" i="1"/>
  <c r="L459" i="1"/>
  <c r="N459" i="1"/>
  <c r="F460" i="1"/>
  <c r="I460" i="1"/>
  <c r="K460" i="1"/>
  <c r="L460" i="1"/>
  <c r="N460" i="1"/>
  <c r="F461" i="1"/>
  <c r="I461" i="1"/>
  <c r="K461" i="1"/>
  <c r="L461" i="1"/>
  <c r="N461" i="1"/>
  <c r="F462" i="1"/>
  <c r="I462" i="1"/>
  <c r="K462" i="1"/>
  <c r="L462" i="1"/>
  <c r="N462" i="1"/>
  <c r="F463" i="1"/>
  <c r="I463" i="1"/>
  <c r="K463" i="1"/>
  <c r="L463" i="1"/>
  <c r="N463" i="1"/>
  <c r="F464" i="1"/>
  <c r="I464" i="1"/>
  <c r="K464" i="1"/>
  <c r="L464" i="1"/>
  <c r="N464" i="1"/>
  <c r="F465" i="1"/>
  <c r="I465" i="1"/>
  <c r="K465" i="1"/>
  <c r="L465" i="1"/>
  <c r="N465" i="1"/>
  <c r="F466" i="1"/>
  <c r="I466" i="1"/>
  <c r="K466" i="1"/>
  <c r="L466" i="1"/>
  <c r="N466" i="1"/>
  <c r="F467" i="1"/>
  <c r="I467" i="1"/>
  <c r="K467" i="1"/>
  <c r="L467" i="1"/>
  <c r="N467" i="1"/>
  <c r="F468" i="1"/>
  <c r="I468" i="1"/>
  <c r="K468" i="1"/>
  <c r="L468" i="1"/>
  <c r="N468" i="1"/>
  <c r="F469" i="1"/>
  <c r="I469" i="1"/>
  <c r="K469" i="1"/>
  <c r="L469" i="1"/>
  <c r="N469" i="1"/>
  <c r="F261" i="14"/>
  <c r="I261" i="14"/>
  <c r="K261" i="14"/>
  <c r="L261" i="14"/>
  <c r="N261" i="14"/>
  <c r="F262" i="14"/>
  <c r="I262" i="14"/>
  <c r="K262" i="14"/>
  <c r="L262" i="14"/>
  <c r="N262" i="14"/>
  <c r="J315" i="3" l="1"/>
  <c r="K310" i="3"/>
  <c r="K318" i="3"/>
  <c r="J307" i="3"/>
  <c r="E322" i="3"/>
  <c r="H319" i="3"/>
  <c r="J317" i="3"/>
  <c r="M321" i="3"/>
  <c r="J309" i="3"/>
  <c r="J312" i="3"/>
  <c r="M322" i="3"/>
  <c r="M307" i="3"/>
  <c r="H317" i="3"/>
  <c r="K315" i="3"/>
  <c r="M317" i="3"/>
  <c r="E309" i="3"/>
  <c r="H311" i="3"/>
  <c r="J308" i="3"/>
  <c r="E325" i="3"/>
  <c r="E312" i="3"/>
  <c r="H309" i="3"/>
  <c r="E307" i="3"/>
  <c r="M313" i="3"/>
  <c r="E313" i="3"/>
  <c r="J322" i="3"/>
  <c r="M311" i="3"/>
  <c r="H321" i="3"/>
  <c r="J318" i="3"/>
  <c r="E308" i="3"/>
  <c r="E310" i="3"/>
  <c r="E316" i="3"/>
  <c r="K319" i="3"/>
  <c r="E321" i="3"/>
  <c r="H318" i="3"/>
  <c r="H310" i="3"/>
  <c r="J313" i="3"/>
  <c r="J320" i="3"/>
  <c r="M308" i="3"/>
  <c r="H307" i="3"/>
  <c r="J323" i="3"/>
  <c r="E311" i="3"/>
  <c r="E319" i="3"/>
  <c r="M310" i="3"/>
  <c r="M318" i="3"/>
  <c r="M320" i="3"/>
  <c r="J319" i="3"/>
  <c r="J311" i="3"/>
  <c r="H315" i="3"/>
  <c r="H325" i="3"/>
  <c r="J324" i="3"/>
  <c r="M323" i="3"/>
  <c r="E324" i="3"/>
  <c r="M319" i="3"/>
  <c r="M315" i="3"/>
  <c r="M314" i="3"/>
  <c r="M316" i="3"/>
  <c r="H313" i="3"/>
  <c r="J316" i="3"/>
  <c r="H316" i="3"/>
  <c r="E315" i="3"/>
  <c r="H312" i="3"/>
  <c r="K307" i="3"/>
  <c r="K321" i="3"/>
  <c r="K312" i="3"/>
  <c r="K314" i="3"/>
  <c r="K324" i="3"/>
  <c r="K320" i="3"/>
  <c r="K317" i="3"/>
  <c r="K313" i="3"/>
  <c r="K308" i="3"/>
  <c r="K325" i="3"/>
  <c r="K309" i="3"/>
  <c r="N22" i="21"/>
  <c r="L22" i="21"/>
  <c r="K22" i="21"/>
  <c r="I22" i="21"/>
  <c r="F22" i="21"/>
  <c r="N10" i="18"/>
  <c r="L10" i="18"/>
  <c r="K10" i="18"/>
  <c r="I10" i="18"/>
  <c r="F10" i="18"/>
  <c r="N9" i="18"/>
  <c r="L9" i="18"/>
  <c r="K9" i="18"/>
  <c r="I9" i="18"/>
  <c r="F9" i="18"/>
  <c r="N59" i="15"/>
  <c r="L59" i="15"/>
  <c r="K59" i="15"/>
  <c r="I59" i="15"/>
  <c r="F59" i="15"/>
  <c r="N58" i="15"/>
  <c r="L58" i="15"/>
  <c r="K58" i="15"/>
  <c r="I58" i="15"/>
  <c r="F58" i="15"/>
  <c r="N270" i="14"/>
  <c r="L270" i="14"/>
  <c r="K270" i="14"/>
  <c r="I270" i="14"/>
  <c r="F270" i="14"/>
  <c r="N269" i="14"/>
  <c r="L269" i="14"/>
  <c r="K269" i="14"/>
  <c r="I269" i="14"/>
  <c r="F269" i="14"/>
  <c r="N268" i="14"/>
  <c r="L268" i="14"/>
  <c r="K268" i="14"/>
  <c r="I268" i="14"/>
  <c r="F268" i="14"/>
  <c r="N267" i="14"/>
  <c r="L267" i="14"/>
  <c r="K267" i="14"/>
  <c r="I267" i="14"/>
  <c r="F267" i="14"/>
  <c r="N266" i="14"/>
  <c r="L266" i="14"/>
  <c r="K266" i="14"/>
  <c r="I266" i="14"/>
  <c r="F266" i="14"/>
  <c r="N265" i="14"/>
  <c r="L265" i="14"/>
  <c r="K265" i="14"/>
  <c r="I265" i="14"/>
  <c r="F265" i="14"/>
  <c r="N264" i="14"/>
  <c r="L264" i="14"/>
  <c r="K264" i="14"/>
  <c r="I264" i="14"/>
  <c r="F264" i="14"/>
  <c r="N263" i="14"/>
  <c r="L263" i="14"/>
  <c r="K263" i="14"/>
  <c r="I263" i="14"/>
  <c r="F263" i="14"/>
  <c r="N260" i="14"/>
  <c r="L260" i="14"/>
  <c r="K260" i="14"/>
  <c r="I260" i="14"/>
  <c r="F260" i="14"/>
  <c r="N259" i="14"/>
  <c r="L259" i="14"/>
  <c r="K259" i="14"/>
  <c r="I259" i="14"/>
  <c r="F259" i="14"/>
  <c r="N258" i="14"/>
  <c r="L258" i="14"/>
  <c r="K258" i="14"/>
  <c r="I258" i="14"/>
  <c r="F258" i="14"/>
  <c r="N257" i="14"/>
  <c r="L257" i="14"/>
  <c r="K257" i="14"/>
  <c r="I257" i="14"/>
  <c r="F257" i="14"/>
  <c r="N256" i="14"/>
  <c r="L256" i="14"/>
  <c r="K256" i="14"/>
  <c r="I256" i="14"/>
  <c r="F256" i="14"/>
  <c r="N255" i="14"/>
  <c r="L255" i="14"/>
  <c r="K255" i="14"/>
  <c r="I255" i="14"/>
  <c r="F255" i="14"/>
  <c r="N254" i="14"/>
  <c r="L254" i="14"/>
  <c r="K254" i="14"/>
  <c r="I254" i="14"/>
  <c r="F254" i="14"/>
  <c r="N253" i="14"/>
  <c r="L253" i="14"/>
  <c r="K253" i="14"/>
  <c r="I253" i="14"/>
  <c r="F253" i="14"/>
  <c r="N252" i="14"/>
  <c r="L252" i="14"/>
  <c r="K252" i="14"/>
  <c r="I252" i="14"/>
  <c r="F252" i="14"/>
  <c r="N251" i="14"/>
  <c r="L251" i="14"/>
  <c r="K251" i="14"/>
  <c r="I251" i="14"/>
  <c r="F251" i="14"/>
  <c r="N250" i="14"/>
  <c r="L250" i="14"/>
  <c r="K250" i="14"/>
  <c r="I250" i="14"/>
  <c r="F250" i="14"/>
  <c r="N249" i="14"/>
  <c r="L249" i="14"/>
  <c r="K249" i="14"/>
  <c r="I249" i="14"/>
  <c r="F249" i="14"/>
  <c r="N248" i="14"/>
  <c r="L248" i="14"/>
  <c r="K248" i="14"/>
  <c r="I248" i="14"/>
  <c r="F248" i="14"/>
  <c r="N247" i="14"/>
  <c r="L247" i="14"/>
  <c r="K247" i="14"/>
  <c r="I247" i="14"/>
  <c r="F247" i="14"/>
  <c r="N246" i="14"/>
  <c r="L246" i="14"/>
  <c r="K246" i="14"/>
  <c r="I246" i="14"/>
  <c r="F246" i="14"/>
  <c r="N245" i="14"/>
  <c r="L245" i="14"/>
  <c r="K245" i="14"/>
  <c r="I245" i="14"/>
  <c r="F245" i="14"/>
  <c r="N244" i="14"/>
  <c r="L244" i="14"/>
  <c r="K244" i="14"/>
  <c r="I244" i="14"/>
  <c r="F244" i="14"/>
  <c r="N243" i="14"/>
  <c r="L243" i="14"/>
  <c r="K243" i="14"/>
  <c r="I243" i="14"/>
  <c r="F243" i="14"/>
  <c r="N242" i="14"/>
  <c r="L242" i="14"/>
  <c r="K242" i="14"/>
  <c r="I242" i="14"/>
  <c r="F242" i="14"/>
  <c r="N36" i="12"/>
  <c r="L36" i="12"/>
  <c r="K36" i="12"/>
  <c r="I36" i="12"/>
  <c r="F36" i="12"/>
  <c r="N35" i="12"/>
  <c r="L35" i="12"/>
  <c r="K35" i="12"/>
  <c r="I35" i="12"/>
  <c r="F35" i="12"/>
  <c r="N59" i="9"/>
  <c r="L59" i="9"/>
  <c r="K59" i="9"/>
  <c r="I59" i="9"/>
  <c r="F59" i="9"/>
  <c r="N58" i="9"/>
  <c r="L58" i="9"/>
  <c r="K58" i="9"/>
  <c r="I58" i="9"/>
  <c r="F58" i="9"/>
  <c r="N57" i="9"/>
  <c r="L57" i="9"/>
  <c r="K57" i="9"/>
  <c r="I57" i="9"/>
  <c r="F57" i="9"/>
  <c r="N56" i="9"/>
  <c r="L56" i="9"/>
  <c r="K56" i="9"/>
  <c r="I56" i="9"/>
  <c r="F56" i="9"/>
  <c r="N57" i="11"/>
  <c r="L57" i="11"/>
  <c r="K57" i="11"/>
  <c r="I57" i="11"/>
  <c r="F57" i="11"/>
  <c r="N56" i="11"/>
  <c r="L56" i="11"/>
  <c r="K56" i="11"/>
  <c r="I56" i="11"/>
  <c r="F56" i="11"/>
  <c r="N55" i="11"/>
  <c r="L55" i="11"/>
  <c r="K55" i="11"/>
  <c r="I55" i="11"/>
  <c r="F55" i="11"/>
  <c r="N54" i="11"/>
  <c r="L54" i="11"/>
  <c r="K54" i="11"/>
  <c r="I54" i="11"/>
  <c r="F54" i="11"/>
  <c r="J15" i="4"/>
  <c r="K15" i="4"/>
  <c r="G15" i="4"/>
  <c r="H15" i="4"/>
  <c r="E15" i="4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D306" i="3"/>
  <c r="D305" i="3"/>
  <c r="D304" i="3"/>
  <c r="D303" i="3"/>
  <c r="D302" i="3"/>
  <c r="D301" i="3"/>
  <c r="D300" i="3"/>
  <c r="D297" i="3"/>
  <c r="D298" i="3"/>
  <c r="D299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F412" i="1"/>
  <c r="I412" i="1"/>
  <c r="K412" i="1"/>
  <c r="L412" i="1"/>
  <c r="N412" i="1"/>
  <c r="F413" i="1"/>
  <c r="I413" i="1"/>
  <c r="K413" i="1"/>
  <c r="L413" i="1"/>
  <c r="N413" i="1"/>
  <c r="F414" i="1"/>
  <c r="I414" i="1"/>
  <c r="K414" i="1"/>
  <c r="L414" i="1"/>
  <c r="N414" i="1"/>
  <c r="F415" i="1"/>
  <c r="I415" i="1"/>
  <c r="K415" i="1"/>
  <c r="L415" i="1"/>
  <c r="N415" i="1"/>
  <c r="F416" i="1"/>
  <c r="I416" i="1"/>
  <c r="K416" i="1"/>
  <c r="L416" i="1"/>
  <c r="N416" i="1"/>
  <c r="F417" i="1"/>
  <c r="I417" i="1"/>
  <c r="K417" i="1"/>
  <c r="L417" i="1"/>
  <c r="N417" i="1"/>
  <c r="F418" i="1"/>
  <c r="I418" i="1"/>
  <c r="K418" i="1"/>
  <c r="L418" i="1"/>
  <c r="N418" i="1"/>
  <c r="F419" i="1"/>
  <c r="I419" i="1"/>
  <c r="K419" i="1"/>
  <c r="L419" i="1"/>
  <c r="N419" i="1"/>
  <c r="F420" i="1"/>
  <c r="I420" i="1"/>
  <c r="K420" i="1"/>
  <c r="L420" i="1"/>
  <c r="N420" i="1"/>
  <c r="F421" i="1"/>
  <c r="I421" i="1"/>
  <c r="K421" i="1"/>
  <c r="L421" i="1"/>
  <c r="N421" i="1"/>
  <c r="F422" i="1"/>
  <c r="I422" i="1"/>
  <c r="K422" i="1"/>
  <c r="L422" i="1"/>
  <c r="N422" i="1"/>
  <c r="F423" i="1"/>
  <c r="I423" i="1"/>
  <c r="K423" i="1"/>
  <c r="L423" i="1"/>
  <c r="N423" i="1"/>
  <c r="F424" i="1"/>
  <c r="I424" i="1"/>
  <c r="K424" i="1"/>
  <c r="L424" i="1"/>
  <c r="N424" i="1"/>
  <c r="F425" i="1"/>
  <c r="I425" i="1"/>
  <c r="K425" i="1"/>
  <c r="L425" i="1"/>
  <c r="N425" i="1"/>
  <c r="F426" i="1"/>
  <c r="I426" i="1"/>
  <c r="K426" i="1"/>
  <c r="L426" i="1"/>
  <c r="N426" i="1"/>
  <c r="F427" i="1"/>
  <c r="I427" i="1"/>
  <c r="K427" i="1"/>
  <c r="L427" i="1"/>
  <c r="N427" i="1"/>
  <c r="F428" i="1"/>
  <c r="I428" i="1"/>
  <c r="K428" i="1"/>
  <c r="L428" i="1"/>
  <c r="N428" i="1"/>
  <c r="F429" i="1"/>
  <c r="I429" i="1"/>
  <c r="K429" i="1"/>
  <c r="L429" i="1"/>
  <c r="N429" i="1"/>
  <c r="F430" i="1"/>
  <c r="I430" i="1"/>
  <c r="K430" i="1"/>
  <c r="L430" i="1"/>
  <c r="N430" i="1"/>
  <c r="F431" i="1"/>
  <c r="I431" i="1"/>
  <c r="K431" i="1"/>
  <c r="L431" i="1"/>
  <c r="N431" i="1"/>
  <c r="F432" i="1"/>
  <c r="I432" i="1"/>
  <c r="K432" i="1"/>
  <c r="L432" i="1"/>
  <c r="N432" i="1"/>
  <c r="F433" i="1"/>
  <c r="I433" i="1"/>
  <c r="K433" i="1"/>
  <c r="L433" i="1"/>
  <c r="N433" i="1"/>
  <c r="F434" i="1"/>
  <c r="I434" i="1"/>
  <c r="K434" i="1"/>
  <c r="L434" i="1"/>
  <c r="N434" i="1"/>
  <c r="F435" i="1"/>
  <c r="I435" i="1"/>
  <c r="K435" i="1"/>
  <c r="L435" i="1"/>
  <c r="N435" i="1"/>
  <c r="F436" i="1"/>
  <c r="I436" i="1"/>
  <c r="K436" i="1"/>
  <c r="L436" i="1"/>
  <c r="N436" i="1"/>
  <c r="F437" i="1"/>
  <c r="I437" i="1"/>
  <c r="K437" i="1"/>
  <c r="L437" i="1"/>
  <c r="N437" i="1"/>
  <c r="F438" i="1"/>
  <c r="I438" i="1"/>
  <c r="K438" i="1"/>
  <c r="L438" i="1"/>
  <c r="N438" i="1"/>
  <c r="F439" i="1"/>
  <c r="I439" i="1"/>
  <c r="K439" i="1"/>
  <c r="L439" i="1"/>
  <c r="N439" i="1"/>
  <c r="F440" i="1"/>
  <c r="I440" i="1"/>
  <c r="K440" i="1"/>
  <c r="L440" i="1"/>
  <c r="N440" i="1"/>
  <c r="F441" i="1"/>
  <c r="I441" i="1"/>
  <c r="K441" i="1"/>
  <c r="L441" i="1"/>
  <c r="N441" i="1"/>
  <c r="F442" i="1"/>
  <c r="I442" i="1"/>
  <c r="K442" i="1"/>
  <c r="L442" i="1"/>
  <c r="N442" i="1"/>
  <c r="F443" i="1"/>
  <c r="I443" i="1"/>
  <c r="K443" i="1"/>
  <c r="L443" i="1"/>
  <c r="N443" i="1"/>
  <c r="F444" i="1"/>
  <c r="I444" i="1"/>
  <c r="K444" i="1"/>
  <c r="L444" i="1"/>
  <c r="N444" i="1"/>
  <c r="F445" i="1"/>
  <c r="I445" i="1"/>
  <c r="K445" i="1"/>
  <c r="L445" i="1"/>
  <c r="N445" i="1"/>
  <c r="M305" i="3" l="1"/>
  <c r="E299" i="3"/>
  <c r="M288" i="3"/>
  <c r="J304" i="3"/>
  <c r="E305" i="3"/>
  <c r="M289" i="3"/>
  <c r="E298" i="3"/>
  <c r="J294" i="3"/>
  <c r="H298" i="3"/>
  <c r="M297" i="3"/>
  <c r="K304" i="3"/>
  <c r="E287" i="3"/>
  <c r="E295" i="3"/>
  <c r="E303" i="3"/>
  <c r="H289" i="3"/>
  <c r="H305" i="3"/>
  <c r="M296" i="3"/>
  <c r="M304" i="3"/>
  <c r="E288" i="3"/>
  <c r="H288" i="3"/>
  <c r="H296" i="3"/>
  <c r="H304" i="3"/>
  <c r="J298" i="3"/>
  <c r="J306" i="3"/>
  <c r="E290" i="3"/>
  <c r="E306" i="3"/>
  <c r="J296" i="3"/>
  <c r="M290" i="3"/>
  <c r="M298" i="3"/>
  <c r="J288" i="3"/>
  <c r="H287" i="3"/>
  <c r="H295" i="3"/>
  <c r="H303" i="3"/>
  <c r="J289" i="3"/>
  <c r="J305" i="3"/>
  <c r="J297" i="3"/>
  <c r="M292" i="3"/>
  <c r="H297" i="3"/>
  <c r="E297" i="3"/>
  <c r="M306" i="3"/>
  <c r="J291" i="3"/>
  <c r="E296" i="3"/>
  <c r="E304" i="3"/>
  <c r="H290" i="3"/>
  <c r="J300" i="3"/>
  <c r="H306" i="3"/>
  <c r="J285" i="3"/>
  <c r="M303" i="3"/>
  <c r="E293" i="3"/>
  <c r="E286" i="3"/>
  <c r="E294" i="3"/>
  <c r="E302" i="3"/>
  <c r="M300" i="3"/>
  <c r="M293" i="3"/>
  <c r="M301" i="3"/>
  <c r="M286" i="3"/>
  <c r="M294" i="3"/>
  <c r="M302" i="3"/>
  <c r="H291" i="3"/>
  <c r="J301" i="3"/>
  <c r="M295" i="3"/>
  <c r="H292" i="3"/>
  <c r="H300" i="3"/>
  <c r="J286" i="3"/>
  <c r="J302" i="3"/>
  <c r="J293" i="3"/>
  <c r="M299" i="3"/>
  <c r="H285" i="3"/>
  <c r="H293" i="3"/>
  <c r="H301" i="3"/>
  <c r="J295" i="3"/>
  <c r="J303" i="3"/>
  <c r="H294" i="3"/>
  <c r="H302" i="3"/>
  <c r="M285" i="3"/>
  <c r="M291" i="3"/>
  <c r="K292" i="3"/>
  <c r="E285" i="3"/>
  <c r="E301" i="3"/>
  <c r="E300" i="3"/>
  <c r="J299" i="3"/>
  <c r="H299" i="3"/>
  <c r="E292" i="3"/>
  <c r="E291" i="3"/>
  <c r="J290" i="3"/>
  <c r="E289" i="3"/>
  <c r="M287" i="3"/>
  <c r="J287" i="3"/>
  <c r="H286" i="3"/>
  <c r="J292" i="3"/>
  <c r="K288" i="3"/>
  <c r="K300" i="3"/>
  <c r="K296" i="3"/>
  <c r="K305" i="3"/>
  <c r="K301" i="3"/>
  <c r="K297" i="3"/>
  <c r="K293" i="3"/>
  <c r="K289" i="3"/>
  <c r="K285" i="3"/>
  <c r="K303" i="3"/>
  <c r="K299" i="3"/>
  <c r="K295" i="3"/>
  <c r="K291" i="3"/>
  <c r="K287" i="3"/>
  <c r="K306" i="3"/>
  <c r="K302" i="3"/>
  <c r="K298" i="3"/>
  <c r="K294" i="3"/>
  <c r="K290" i="3"/>
  <c r="K286" i="3"/>
  <c r="N5" i="20"/>
  <c r="L5" i="20"/>
  <c r="K5" i="20"/>
  <c r="I5" i="20"/>
  <c r="F5" i="20"/>
  <c r="N4" i="20"/>
  <c r="L4" i="20"/>
  <c r="K4" i="20"/>
  <c r="I4" i="20"/>
  <c r="F4" i="20"/>
  <c r="N16" i="17"/>
  <c r="L16" i="17"/>
  <c r="K16" i="17"/>
  <c r="I16" i="17"/>
  <c r="F16" i="17"/>
  <c r="N15" i="17"/>
  <c r="L15" i="17"/>
  <c r="K15" i="17"/>
  <c r="I15" i="17"/>
  <c r="F15" i="17"/>
  <c r="N41" i="16"/>
  <c r="L41" i="16"/>
  <c r="K41" i="16"/>
  <c r="I41" i="16"/>
  <c r="F41" i="16"/>
  <c r="N40" i="16"/>
  <c r="L40" i="16"/>
  <c r="K40" i="16"/>
  <c r="I40" i="16"/>
  <c r="F40" i="16"/>
  <c r="N39" i="16"/>
  <c r="L39" i="16"/>
  <c r="K39" i="16"/>
  <c r="I39" i="16"/>
  <c r="F39" i="16"/>
  <c r="N38" i="16"/>
  <c r="L38" i="16"/>
  <c r="K38" i="16"/>
  <c r="I38" i="16"/>
  <c r="F38" i="16"/>
  <c r="N37" i="16"/>
  <c r="L37" i="16"/>
  <c r="K37" i="16"/>
  <c r="I37" i="16"/>
  <c r="F37" i="16"/>
  <c r="N21" i="21"/>
  <c r="L21" i="21"/>
  <c r="K21" i="21"/>
  <c r="I21" i="21"/>
  <c r="F21" i="21"/>
  <c r="N20" i="21"/>
  <c r="L20" i="21"/>
  <c r="K20" i="21"/>
  <c r="I20" i="21"/>
  <c r="F20" i="21"/>
  <c r="N8" i="18"/>
  <c r="L8" i="18"/>
  <c r="K8" i="18"/>
  <c r="I8" i="18"/>
  <c r="F8" i="18"/>
  <c r="N7" i="18"/>
  <c r="L7" i="18"/>
  <c r="K7" i="18"/>
  <c r="I7" i="18"/>
  <c r="F7" i="18"/>
  <c r="N57" i="15"/>
  <c r="L57" i="15"/>
  <c r="K57" i="15"/>
  <c r="I57" i="15"/>
  <c r="F57" i="15"/>
  <c r="N56" i="15"/>
  <c r="L56" i="15"/>
  <c r="K56" i="15"/>
  <c r="I56" i="15"/>
  <c r="F56" i="15"/>
  <c r="N55" i="15"/>
  <c r="L55" i="15"/>
  <c r="K55" i="15"/>
  <c r="I55" i="15"/>
  <c r="F55" i="15"/>
  <c r="N241" i="14"/>
  <c r="L241" i="14"/>
  <c r="K241" i="14"/>
  <c r="I241" i="14"/>
  <c r="F241" i="14"/>
  <c r="N240" i="14"/>
  <c r="L240" i="14"/>
  <c r="K240" i="14"/>
  <c r="I240" i="14"/>
  <c r="F240" i="14"/>
  <c r="N239" i="14"/>
  <c r="L239" i="14"/>
  <c r="K239" i="14"/>
  <c r="I239" i="14"/>
  <c r="F239" i="14"/>
  <c r="N238" i="14"/>
  <c r="L238" i="14"/>
  <c r="K238" i="14"/>
  <c r="I238" i="14"/>
  <c r="F238" i="14"/>
  <c r="N237" i="14"/>
  <c r="L237" i="14"/>
  <c r="K237" i="14"/>
  <c r="I237" i="14"/>
  <c r="F237" i="14"/>
  <c r="N236" i="14"/>
  <c r="L236" i="14"/>
  <c r="K236" i="14"/>
  <c r="I236" i="14"/>
  <c r="F236" i="14"/>
  <c r="N235" i="14"/>
  <c r="L235" i="14"/>
  <c r="K235" i="14"/>
  <c r="I235" i="14"/>
  <c r="F235" i="14"/>
  <c r="N234" i="14"/>
  <c r="L234" i="14"/>
  <c r="K234" i="14"/>
  <c r="I234" i="14"/>
  <c r="F234" i="14"/>
  <c r="N233" i="14"/>
  <c r="L233" i="14"/>
  <c r="K233" i="14"/>
  <c r="I233" i="14"/>
  <c r="F233" i="14"/>
  <c r="N232" i="14"/>
  <c r="L232" i="14"/>
  <c r="K232" i="14"/>
  <c r="I232" i="14"/>
  <c r="F232" i="14"/>
  <c r="N231" i="14"/>
  <c r="L231" i="14"/>
  <c r="K231" i="14"/>
  <c r="I231" i="14"/>
  <c r="F231" i="14"/>
  <c r="N230" i="14"/>
  <c r="L230" i="14"/>
  <c r="K230" i="14"/>
  <c r="I230" i="14"/>
  <c r="F230" i="14"/>
  <c r="N229" i="14"/>
  <c r="L229" i="14"/>
  <c r="K229" i="14"/>
  <c r="I229" i="14"/>
  <c r="F229" i="14"/>
  <c r="N228" i="14"/>
  <c r="L228" i="14"/>
  <c r="K228" i="14"/>
  <c r="I228" i="14"/>
  <c r="F228" i="14"/>
  <c r="N227" i="14"/>
  <c r="L227" i="14"/>
  <c r="K227" i="14"/>
  <c r="I227" i="14"/>
  <c r="F227" i="14"/>
  <c r="N34" i="12"/>
  <c r="L34" i="12"/>
  <c r="K34" i="12"/>
  <c r="I34" i="12"/>
  <c r="F34" i="12"/>
  <c r="N33" i="12"/>
  <c r="L33" i="12"/>
  <c r="K33" i="12"/>
  <c r="I33" i="12"/>
  <c r="F33" i="12"/>
  <c r="N32" i="12"/>
  <c r="L32" i="12"/>
  <c r="K32" i="12"/>
  <c r="I32" i="12"/>
  <c r="F32" i="12"/>
  <c r="N55" i="9"/>
  <c r="L55" i="9"/>
  <c r="K55" i="9"/>
  <c r="I55" i="9"/>
  <c r="F55" i="9"/>
  <c r="N54" i="9"/>
  <c r="L54" i="9"/>
  <c r="K54" i="9"/>
  <c r="I54" i="9"/>
  <c r="F54" i="9"/>
  <c r="N53" i="9"/>
  <c r="L53" i="9"/>
  <c r="K53" i="9"/>
  <c r="I53" i="9"/>
  <c r="F53" i="9"/>
  <c r="N52" i="9"/>
  <c r="L52" i="9"/>
  <c r="K52" i="9"/>
  <c r="I52" i="9"/>
  <c r="F52" i="9"/>
  <c r="N51" i="9"/>
  <c r="L51" i="9"/>
  <c r="K51" i="9"/>
  <c r="I51" i="9"/>
  <c r="F51" i="9"/>
  <c r="N50" i="9"/>
  <c r="L50" i="9"/>
  <c r="K50" i="9"/>
  <c r="I50" i="9"/>
  <c r="F50" i="9"/>
  <c r="N53" i="11"/>
  <c r="L53" i="11"/>
  <c r="K53" i="11"/>
  <c r="I53" i="11"/>
  <c r="F53" i="11"/>
  <c r="N52" i="11"/>
  <c r="L52" i="11"/>
  <c r="K52" i="11"/>
  <c r="I52" i="11"/>
  <c r="F52" i="11"/>
  <c r="N51" i="11"/>
  <c r="L51" i="11"/>
  <c r="K51" i="11"/>
  <c r="I51" i="11"/>
  <c r="F51" i="11"/>
  <c r="N50" i="11"/>
  <c r="L50" i="11"/>
  <c r="K50" i="11"/>
  <c r="I50" i="11"/>
  <c r="F50" i="11"/>
  <c r="E14" i="4"/>
  <c r="G14" i="4"/>
  <c r="H14" i="4"/>
  <c r="J14" i="4"/>
  <c r="K14" i="4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D278" i="3"/>
  <c r="D279" i="3"/>
  <c r="D280" i="3"/>
  <c r="D277" i="3"/>
  <c r="D276" i="3"/>
  <c r="D275" i="3"/>
  <c r="D284" i="3"/>
  <c r="D283" i="3"/>
  <c r="D282" i="3"/>
  <c r="D281" i="3"/>
  <c r="D267" i="3"/>
  <c r="D268" i="3"/>
  <c r="D269" i="3"/>
  <c r="D270" i="3"/>
  <c r="D271" i="3"/>
  <c r="D272" i="3"/>
  <c r="D273" i="3"/>
  <c r="D274" i="3"/>
  <c r="D266" i="3"/>
  <c r="D265" i="3"/>
  <c r="D264" i="3"/>
  <c r="D263" i="3"/>
  <c r="D262" i="3"/>
  <c r="D261" i="3"/>
  <c r="J263" i="3" l="1"/>
  <c r="J264" i="3"/>
  <c r="E261" i="3"/>
  <c r="K273" i="3"/>
  <c r="K264" i="3"/>
  <c r="K265" i="3"/>
  <c r="K280" i="3"/>
  <c r="E266" i="3"/>
  <c r="J267" i="3"/>
  <c r="K277" i="3"/>
  <c r="E271" i="3"/>
  <c r="E270" i="3"/>
  <c r="H270" i="3"/>
  <c r="J274" i="3"/>
  <c r="J266" i="3"/>
  <c r="K282" i="3"/>
  <c r="M266" i="3"/>
  <c r="J268" i="3"/>
  <c r="E283" i="3"/>
  <c r="J270" i="3"/>
  <c r="K266" i="3"/>
  <c r="H267" i="3"/>
  <c r="E280" i="3"/>
  <c r="E267" i="3"/>
  <c r="J282" i="3"/>
  <c r="K274" i="3"/>
  <c r="M270" i="3"/>
  <c r="M278" i="3"/>
  <c r="H275" i="3"/>
  <c r="H268" i="3"/>
  <c r="H284" i="3"/>
  <c r="K268" i="3"/>
  <c r="K276" i="3"/>
  <c r="K284" i="3"/>
  <c r="M276" i="3"/>
  <c r="E279" i="3"/>
  <c r="H279" i="3"/>
  <c r="J279" i="3"/>
  <c r="K281" i="3"/>
  <c r="M279" i="3"/>
  <c r="E268" i="3"/>
  <c r="H277" i="3"/>
  <c r="H266" i="3"/>
  <c r="M277" i="3"/>
  <c r="H282" i="3"/>
  <c r="M267" i="3"/>
  <c r="M283" i="3"/>
  <c r="K269" i="3"/>
  <c r="E278" i="3"/>
  <c r="H278" i="3"/>
  <c r="J278" i="3"/>
  <c r="H269" i="3"/>
  <c r="M280" i="3"/>
  <c r="H276" i="3"/>
  <c r="E272" i="3"/>
  <c r="M268" i="3"/>
  <c r="J265" i="3"/>
  <c r="M265" i="3"/>
  <c r="M284" i="3"/>
  <c r="M274" i="3"/>
  <c r="M282" i="3"/>
  <c r="H262" i="3"/>
  <c r="M262" i="3"/>
  <c r="E284" i="3"/>
  <c r="E263" i="3"/>
  <c r="H263" i="3"/>
  <c r="M272" i="3"/>
  <c r="H261" i="3"/>
  <c r="J261" i="3"/>
  <c r="M261" i="3"/>
  <c r="J262" i="3"/>
  <c r="M263" i="3"/>
  <c r="J283" i="3"/>
  <c r="J284" i="3"/>
  <c r="K261" i="3"/>
  <c r="H283" i="3"/>
  <c r="M269" i="3"/>
  <c r="E275" i="3"/>
  <c r="H264" i="3"/>
  <c r="M273" i="3"/>
  <c r="K272" i="3"/>
  <c r="J281" i="3"/>
  <c r="H272" i="3"/>
  <c r="K278" i="3"/>
  <c r="H280" i="3"/>
  <c r="K262" i="3"/>
  <c r="K270" i="3"/>
  <c r="E262" i="3"/>
  <c r="J280" i="3"/>
  <c r="E276" i="3"/>
  <c r="M275" i="3"/>
  <c r="J275" i="3"/>
  <c r="E282" i="3"/>
  <c r="M281" i="3"/>
  <c r="J276" i="3"/>
  <c r="H274" i="3"/>
  <c r="J272" i="3"/>
  <c r="H273" i="3"/>
  <c r="H271" i="3"/>
  <c r="E274" i="3"/>
  <c r="M271" i="3"/>
  <c r="J271" i="3"/>
  <c r="M264" i="3"/>
  <c r="E264" i="3"/>
  <c r="J277" i="3"/>
  <c r="J269" i="3"/>
  <c r="E281" i="3"/>
  <c r="E277" i="3"/>
  <c r="E273" i="3"/>
  <c r="E269" i="3"/>
  <c r="E265" i="3"/>
  <c r="J273" i="3"/>
  <c r="H281" i="3"/>
  <c r="H265" i="3"/>
  <c r="K283" i="3"/>
  <c r="K279" i="3"/>
  <c r="K275" i="3"/>
  <c r="K271" i="3"/>
  <c r="K267" i="3"/>
  <c r="K263" i="3"/>
  <c r="F381" i="1"/>
  <c r="I381" i="1"/>
  <c r="K381" i="1"/>
  <c r="L381" i="1"/>
  <c r="N381" i="1"/>
  <c r="F382" i="1"/>
  <c r="I382" i="1"/>
  <c r="K382" i="1"/>
  <c r="L382" i="1"/>
  <c r="N382" i="1"/>
  <c r="F383" i="1"/>
  <c r="I383" i="1"/>
  <c r="K383" i="1"/>
  <c r="L383" i="1"/>
  <c r="N383" i="1"/>
  <c r="F384" i="1"/>
  <c r="I384" i="1"/>
  <c r="K384" i="1"/>
  <c r="L384" i="1"/>
  <c r="N384" i="1"/>
  <c r="F385" i="1"/>
  <c r="I385" i="1"/>
  <c r="K385" i="1"/>
  <c r="L385" i="1"/>
  <c r="N385" i="1"/>
  <c r="F386" i="1"/>
  <c r="I386" i="1"/>
  <c r="K386" i="1"/>
  <c r="L386" i="1"/>
  <c r="N386" i="1"/>
  <c r="F387" i="1"/>
  <c r="I387" i="1"/>
  <c r="K387" i="1"/>
  <c r="L387" i="1"/>
  <c r="N387" i="1"/>
  <c r="F388" i="1"/>
  <c r="I388" i="1"/>
  <c r="K388" i="1"/>
  <c r="L388" i="1"/>
  <c r="N388" i="1"/>
  <c r="F389" i="1"/>
  <c r="I389" i="1"/>
  <c r="K389" i="1"/>
  <c r="L389" i="1"/>
  <c r="N389" i="1"/>
  <c r="F390" i="1"/>
  <c r="I390" i="1"/>
  <c r="K390" i="1"/>
  <c r="L390" i="1"/>
  <c r="N390" i="1"/>
  <c r="F391" i="1"/>
  <c r="I391" i="1"/>
  <c r="K391" i="1"/>
  <c r="L391" i="1"/>
  <c r="N391" i="1"/>
  <c r="F392" i="1"/>
  <c r="I392" i="1"/>
  <c r="K392" i="1"/>
  <c r="L392" i="1"/>
  <c r="N392" i="1"/>
  <c r="F393" i="1"/>
  <c r="I393" i="1"/>
  <c r="K393" i="1"/>
  <c r="L393" i="1"/>
  <c r="N393" i="1"/>
  <c r="F394" i="1"/>
  <c r="I394" i="1"/>
  <c r="K394" i="1"/>
  <c r="L394" i="1"/>
  <c r="N394" i="1"/>
  <c r="F395" i="1"/>
  <c r="I395" i="1"/>
  <c r="K395" i="1"/>
  <c r="L395" i="1"/>
  <c r="N395" i="1"/>
  <c r="F396" i="1"/>
  <c r="I396" i="1"/>
  <c r="K396" i="1"/>
  <c r="L396" i="1"/>
  <c r="N396" i="1"/>
  <c r="F397" i="1"/>
  <c r="I397" i="1"/>
  <c r="K397" i="1"/>
  <c r="L397" i="1"/>
  <c r="N397" i="1"/>
  <c r="F398" i="1"/>
  <c r="I398" i="1"/>
  <c r="K398" i="1"/>
  <c r="L398" i="1"/>
  <c r="N398" i="1"/>
  <c r="F399" i="1"/>
  <c r="I399" i="1"/>
  <c r="K399" i="1"/>
  <c r="L399" i="1"/>
  <c r="N399" i="1"/>
  <c r="F400" i="1"/>
  <c r="I400" i="1"/>
  <c r="K400" i="1"/>
  <c r="L400" i="1"/>
  <c r="N400" i="1"/>
  <c r="F401" i="1"/>
  <c r="I401" i="1"/>
  <c r="K401" i="1"/>
  <c r="L401" i="1"/>
  <c r="N401" i="1"/>
  <c r="F402" i="1"/>
  <c r="I402" i="1"/>
  <c r="K402" i="1"/>
  <c r="L402" i="1"/>
  <c r="N402" i="1"/>
  <c r="F403" i="1"/>
  <c r="I403" i="1"/>
  <c r="K403" i="1"/>
  <c r="L403" i="1"/>
  <c r="N403" i="1"/>
  <c r="F404" i="1"/>
  <c r="I404" i="1"/>
  <c r="K404" i="1"/>
  <c r="L404" i="1"/>
  <c r="N404" i="1"/>
  <c r="F405" i="1"/>
  <c r="I405" i="1"/>
  <c r="K405" i="1"/>
  <c r="L405" i="1"/>
  <c r="N405" i="1"/>
  <c r="F406" i="1"/>
  <c r="I406" i="1"/>
  <c r="K406" i="1"/>
  <c r="L406" i="1"/>
  <c r="N406" i="1"/>
  <c r="F407" i="1"/>
  <c r="I407" i="1"/>
  <c r="K407" i="1"/>
  <c r="L407" i="1"/>
  <c r="N407" i="1"/>
  <c r="F408" i="1"/>
  <c r="I408" i="1"/>
  <c r="K408" i="1"/>
  <c r="L408" i="1"/>
  <c r="N408" i="1"/>
  <c r="F409" i="1"/>
  <c r="I409" i="1"/>
  <c r="K409" i="1"/>
  <c r="L409" i="1"/>
  <c r="N409" i="1"/>
  <c r="F410" i="1"/>
  <c r="I410" i="1"/>
  <c r="K410" i="1"/>
  <c r="L410" i="1"/>
  <c r="N410" i="1"/>
  <c r="F411" i="1"/>
  <c r="I411" i="1"/>
  <c r="K411" i="1"/>
  <c r="L411" i="1"/>
  <c r="N411" i="1"/>
  <c r="N3" i="20"/>
  <c r="L3" i="20"/>
  <c r="K3" i="20"/>
  <c r="I3" i="20"/>
  <c r="F3" i="20"/>
  <c r="N2" i="20"/>
  <c r="L2" i="20"/>
  <c r="K2" i="20"/>
  <c r="I2" i="20"/>
  <c r="F2" i="20"/>
  <c r="N36" i="16"/>
  <c r="L36" i="16"/>
  <c r="K36" i="16"/>
  <c r="I36" i="16"/>
  <c r="F36" i="16"/>
  <c r="N35" i="16"/>
  <c r="L35" i="16"/>
  <c r="K35" i="16"/>
  <c r="I35" i="16"/>
  <c r="F35" i="16"/>
  <c r="N19" i="21"/>
  <c r="L19" i="21"/>
  <c r="K19" i="21"/>
  <c r="I19" i="21"/>
  <c r="F19" i="21"/>
  <c r="N54" i="15"/>
  <c r="L54" i="15"/>
  <c r="K54" i="15"/>
  <c r="I54" i="15"/>
  <c r="F54" i="15"/>
  <c r="N53" i="15"/>
  <c r="L53" i="15"/>
  <c r="K53" i="15"/>
  <c r="I53" i="15"/>
  <c r="F53" i="15"/>
  <c r="N226" i="14"/>
  <c r="L226" i="14"/>
  <c r="K226" i="14"/>
  <c r="I226" i="14"/>
  <c r="F226" i="14"/>
  <c r="N225" i="14"/>
  <c r="L225" i="14"/>
  <c r="K225" i="14"/>
  <c r="I225" i="14"/>
  <c r="F225" i="14"/>
  <c r="N224" i="14"/>
  <c r="L224" i="14"/>
  <c r="K224" i="14"/>
  <c r="I224" i="14"/>
  <c r="F224" i="14"/>
  <c r="N223" i="14"/>
  <c r="L223" i="14"/>
  <c r="K223" i="14"/>
  <c r="I223" i="14"/>
  <c r="F223" i="14"/>
  <c r="N219" i="14"/>
  <c r="L219" i="14"/>
  <c r="K219" i="14"/>
  <c r="I219" i="14"/>
  <c r="F219" i="14"/>
  <c r="N218" i="14"/>
  <c r="L218" i="14"/>
  <c r="K218" i="14"/>
  <c r="I218" i="14"/>
  <c r="F218" i="14"/>
  <c r="N217" i="14"/>
  <c r="L217" i="14"/>
  <c r="K217" i="14"/>
  <c r="I217" i="14"/>
  <c r="F217" i="14"/>
  <c r="N216" i="14"/>
  <c r="L216" i="14"/>
  <c r="K216" i="14"/>
  <c r="I216" i="14"/>
  <c r="F216" i="14"/>
  <c r="N31" i="12"/>
  <c r="L31" i="12"/>
  <c r="K31" i="12"/>
  <c r="I31" i="12"/>
  <c r="F31" i="12"/>
  <c r="N30" i="12"/>
  <c r="L30" i="12"/>
  <c r="K30" i="12"/>
  <c r="I30" i="12"/>
  <c r="F30" i="12"/>
  <c r="N49" i="11"/>
  <c r="L49" i="11"/>
  <c r="K49" i="11"/>
  <c r="I49" i="11"/>
  <c r="F49" i="11"/>
  <c r="N48" i="11"/>
  <c r="L48" i="11"/>
  <c r="K48" i="11"/>
  <c r="I48" i="11"/>
  <c r="F48" i="11"/>
  <c r="N47" i="11"/>
  <c r="L47" i="11"/>
  <c r="K47" i="11"/>
  <c r="I47" i="11"/>
  <c r="F47" i="11"/>
  <c r="N46" i="11"/>
  <c r="L46" i="11"/>
  <c r="K46" i="11"/>
  <c r="I46" i="11"/>
  <c r="F46" i="11"/>
  <c r="F46" i="9"/>
  <c r="I46" i="9"/>
  <c r="K46" i="9"/>
  <c r="L46" i="9"/>
  <c r="N46" i="9"/>
  <c r="F47" i="9"/>
  <c r="I47" i="9"/>
  <c r="K47" i="9"/>
  <c r="L47" i="9"/>
  <c r="N47" i="9"/>
  <c r="F48" i="9"/>
  <c r="I48" i="9"/>
  <c r="K48" i="9"/>
  <c r="L48" i="9"/>
  <c r="N48" i="9"/>
  <c r="F49" i="9"/>
  <c r="I49" i="9"/>
  <c r="K49" i="9"/>
  <c r="L49" i="9"/>
  <c r="N49" i="9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E13" i="4"/>
  <c r="G13" i="4"/>
  <c r="H13" i="4"/>
  <c r="J13" i="4"/>
  <c r="K13" i="4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D260" i="3"/>
  <c r="D259" i="3"/>
  <c r="D258" i="3"/>
  <c r="D257" i="3"/>
  <c r="D256" i="3"/>
  <c r="D252" i="3"/>
  <c r="D253" i="3"/>
  <c r="D254" i="3"/>
  <c r="D255" i="3"/>
  <c r="D251" i="3"/>
  <c r="D250" i="3"/>
  <c r="D249" i="3"/>
  <c r="D248" i="3"/>
  <c r="F363" i="1"/>
  <c r="I363" i="1"/>
  <c r="K363" i="1"/>
  <c r="L363" i="1"/>
  <c r="N363" i="1"/>
  <c r="F364" i="1"/>
  <c r="I364" i="1"/>
  <c r="K364" i="1"/>
  <c r="L364" i="1"/>
  <c r="N364" i="1"/>
  <c r="F365" i="1"/>
  <c r="I365" i="1"/>
  <c r="K365" i="1"/>
  <c r="L365" i="1"/>
  <c r="N365" i="1"/>
  <c r="F366" i="1"/>
  <c r="I366" i="1"/>
  <c r="K366" i="1"/>
  <c r="L366" i="1"/>
  <c r="N366" i="1"/>
  <c r="F367" i="1"/>
  <c r="I367" i="1"/>
  <c r="K367" i="1"/>
  <c r="L367" i="1"/>
  <c r="N367" i="1"/>
  <c r="F368" i="1"/>
  <c r="I368" i="1"/>
  <c r="K368" i="1"/>
  <c r="L368" i="1"/>
  <c r="N368" i="1"/>
  <c r="F369" i="1"/>
  <c r="I369" i="1"/>
  <c r="K369" i="1"/>
  <c r="L369" i="1"/>
  <c r="N369" i="1"/>
  <c r="F370" i="1"/>
  <c r="I370" i="1"/>
  <c r="K370" i="1"/>
  <c r="L370" i="1"/>
  <c r="N370" i="1"/>
  <c r="F371" i="1"/>
  <c r="I371" i="1"/>
  <c r="K371" i="1"/>
  <c r="L371" i="1"/>
  <c r="N371" i="1"/>
  <c r="F372" i="1"/>
  <c r="I372" i="1"/>
  <c r="K372" i="1"/>
  <c r="L372" i="1"/>
  <c r="N372" i="1"/>
  <c r="F373" i="1"/>
  <c r="I373" i="1"/>
  <c r="K373" i="1"/>
  <c r="L373" i="1"/>
  <c r="N373" i="1"/>
  <c r="F374" i="1"/>
  <c r="I374" i="1"/>
  <c r="K374" i="1"/>
  <c r="L374" i="1"/>
  <c r="N374" i="1"/>
  <c r="F375" i="1"/>
  <c r="I375" i="1"/>
  <c r="K375" i="1"/>
  <c r="L375" i="1"/>
  <c r="N375" i="1"/>
  <c r="F376" i="1"/>
  <c r="I376" i="1"/>
  <c r="K376" i="1"/>
  <c r="L376" i="1"/>
  <c r="N376" i="1"/>
  <c r="F377" i="1"/>
  <c r="I377" i="1"/>
  <c r="K377" i="1"/>
  <c r="L377" i="1"/>
  <c r="N377" i="1"/>
  <c r="F378" i="1"/>
  <c r="I378" i="1"/>
  <c r="K378" i="1"/>
  <c r="L378" i="1"/>
  <c r="N378" i="1"/>
  <c r="F379" i="1"/>
  <c r="I379" i="1"/>
  <c r="K379" i="1"/>
  <c r="L379" i="1"/>
  <c r="N379" i="1"/>
  <c r="F380" i="1"/>
  <c r="I380" i="1"/>
  <c r="K380" i="1"/>
  <c r="L380" i="1"/>
  <c r="N380" i="1"/>
  <c r="N14" i="17"/>
  <c r="L14" i="17"/>
  <c r="K14" i="17"/>
  <c r="I14" i="17"/>
  <c r="F14" i="17"/>
  <c r="N34" i="16"/>
  <c r="L34" i="16"/>
  <c r="K34" i="16"/>
  <c r="I34" i="16"/>
  <c r="F34" i="16"/>
  <c r="N33" i="16"/>
  <c r="L33" i="16"/>
  <c r="K33" i="16"/>
  <c r="I33" i="16"/>
  <c r="F33" i="16"/>
  <c r="N32" i="16"/>
  <c r="L32" i="16"/>
  <c r="K32" i="16"/>
  <c r="I32" i="16"/>
  <c r="F32" i="16"/>
  <c r="N31" i="16"/>
  <c r="L31" i="16"/>
  <c r="K31" i="16"/>
  <c r="I31" i="16"/>
  <c r="F31" i="16"/>
  <c r="N30" i="16"/>
  <c r="L30" i="16"/>
  <c r="K30" i="16"/>
  <c r="I30" i="16"/>
  <c r="F30" i="16"/>
  <c r="N29" i="16"/>
  <c r="L29" i="16"/>
  <c r="K29" i="16"/>
  <c r="I29" i="16"/>
  <c r="F29" i="16"/>
  <c r="N18" i="21"/>
  <c r="L18" i="21"/>
  <c r="K18" i="21"/>
  <c r="I18" i="21"/>
  <c r="F18" i="21"/>
  <c r="N17" i="21"/>
  <c r="L17" i="21"/>
  <c r="K17" i="21"/>
  <c r="I17" i="21"/>
  <c r="F17" i="21"/>
  <c r="N52" i="15"/>
  <c r="L52" i="15"/>
  <c r="K52" i="15"/>
  <c r="I52" i="15"/>
  <c r="F52" i="15"/>
  <c r="N51" i="15"/>
  <c r="L51" i="15"/>
  <c r="K51" i="15"/>
  <c r="I51" i="15"/>
  <c r="F51" i="15"/>
  <c r="N50" i="15"/>
  <c r="L50" i="15"/>
  <c r="K50" i="15"/>
  <c r="I50" i="15"/>
  <c r="F50" i="15"/>
  <c r="N49" i="15"/>
  <c r="L49" i="15"/>
  <c r="K49" i="15"/>
  <c r="I49" i="15"/>
  <c r="F49" i="15"/>
  <c r="N48" i="15"/>
  <c r="L48" i="15"/>
  <c r="K48" i="15"/>
  <c r="I48" i="15"/>
  <c r="F48" i="15"/>
  <c r="N47" i="15"/>
  <c r="L47" i="15"/>
  <c r="K47" i="15"/>
  <c r="I47" i="15"/>
  <c r="F47" i="15"/>
  <c r="N46" i="15"/>
  <c r="L46" i="15"/>
  <c r="K46" i="15"/>
  <c r="I46" i="15"/>
  <c r="F46" i="15"/>
  <c r="N215" i="14"/>
  <c r="L215" i="14"/>
  <c r="K215" i="14"/>
  <c r="I215" i="14"/>
  <c r="F215" i="14"/>
  <c r="N214" i="14"/>
  <c r="L214" i="14"/>
  <c r="K214" i="14"/>
  <c r="I214" i="14"/>
  <c r="F214" i="14"/>
  <c r="N213" i="14"/>
  <c r="L213" i="14"/>
  <c r="K213" i="14"/>
  <c r="I213" i="14"/>
  <c r="F213" i="14"/>
  <c r="N212" i="14"/>
  <c r="L212" i="14"/>
  <c r="K212" i="14"/>
  <c r="I212" i="14"/>
  <c r="F212" i="14"/>
  <c r="N211" i="14"/>
  <c r="L211" i="14"/>
  <c r="K211" i="14"/>
  <c r="I211" i="14"/>
  <c r="F211" i="14"/>
  <c r="N210" i="14"/>
  <c r="L210" i="14"/>
  <c r="K210" i="14"/>
  <c r="I210" i="14"/>
  <c r="F210" i="14"/>
  <c r="N209" i="14"/>
  <c r="L209" i="14"/>
  <c r="K209" i="14"/>
  <c r="I209" i="14"/>
  <c r="F209" i="14"/>
  <c r="N208" i="14"/>
  <c r="L208" i="14"/>
  <c r="K208" i="14"/>
  <c r="I208" i="14"/>
  <c r="F208" i="14"/>
  <c r="N207" i="14"/>
  <c r="L207" i="14"/>
  <c r="K207" i="14"/>
  <c r="I207" i="14"/>
  <c r="F207" i="14"/>
  <c r="N206" i="14"/>
  <c r="L206" i="14"/>
  <c r="K206" i="14"/>
  <c r="I206" i="14"/>
  <c r="F206" i="14"/>
  <c r="N205" i="14"/>
  <c r="L205" i="14"/>
  <c r="K205" i="14"/>
  <c r="I205" i="14"/>
  <c r="F205" i="14"/>
  <c r="N204" i="14"/>
  <c r="L204" i="14"/>
  <c r="K204" i="14"/>
  <c r="I204" i="14"/>
  <c r="F204" i="14"/>
  <c r="N203" i="14"/>
  <c r="L203" i="14"/>
  <c r="K203" i="14"/>
  <c r="I203" i="14"/>
  <c r="F203" i="14"/>
  <c r="N202" i="14"/>
  <c r="L202" i="14"/>
  <c r="K202" i="14"/>
  <c r="I202" i="14"/>
  <c r="F202" i="14"/>
  <c r="N201" i="14"/>
  <c r="L201" i="14"/>
  <c r="K201" i="14"/>
  <c r="I201" i="14"/>
  <c r="F201" i="14"/>
  <c r="N200" i="14"/>
  <c r="L200" i="14"/>
  <c r="K200" i="14"/>
  <c r="I200" i="14"/>
  <c r="F200" i="14"/>
  <c r="N199" i="14"/>
  <c r="L199" i="14"/>
  <c r="K199" i="14"/>
  <c r="I199" i="14"/>
  <c r="F199" i="14"/>
  <c r="N198" i="14"/>
  <c r="L198" i="14"/>
  <c r="K198" i="14"/>
  <c r="I198" i="14"/>
  <c r="F198" i="14"/>
  <c r="N197" i="14"/>
  <c r="L197" i="14"/>
  <c r="K197" i="14"/>
  <c r="I197" i="14"/>
  <c r="F197" i="14"/>
  <c r="N196" i="14"/>
  <c r="L196" i="14"/>
  <c r="K196" i="14"/>
  <c r="I196" i="14"/>
  <c r="F196" i="14"/>
  <c r="N29" i="12"/>
  <c r="L29" i="12"/>
  <c r="K29" i="12"/>
  <c r="I29" i="12"/>
  <c r="F29" i="12"/>
  <c r="N28" i="12"/>
  <c r="L28" i="12"/>
  <c r="K28" i="12"/>
  <c r="I28" i="12"/>
  <c r="F28" i="12"/>
  <c r="N27" i="12"/>
  <c r="L27" i="12"/>
  <c r="K27" i="12"/>
  <c r="I27" i="12"/>
  <c r="F27" i="12"/>
  <c r="N45" i="9"/>
  <c r="L45" i="9"/>
  <c r="K45" i="9"/>
  <c r="I45" i="9"/>
  <c r="F45" i="9"/>
  <c r="N44" i="9"/>
  <c r="L44" i="9"/>
  <c r="K44" i="9"/>
  <c r="I44" i="9"/>
  <c r="F44" i="9"/>
  <c r="N43" i="9"/>
  <c r="L43" i="9"/>
  <c r="K43" i="9"/>
  <c r="I43" i="9"/>
  <c r="F43" i="9"/>
  <c r="N42" i="9"/>
  <c r="L42" i="9"/>
  <c r="K42" i="9"/>
  <c r="I42" i="9"/>
  <c r="F42" i="9"/>
  <c r="N45" i="11"/>
  <c r="L45" i="11"/>
  <c r="K45" i="11"/>
  <c r="I45" i="11"/>
  <c r="F45" i="11"/>
  <c r="N44" i="11"/>
  <c r="L44" i="11"/>
  <c r="K44" i="11"/>
  <c r="I44" i="11"/>
  <c r="F44" i="11"/>
  <c r="N43" i="11"/>
  <c r="L43" i="11"/>
  <c r="K43" i="11"/>
  <c r="I43" i="11"/>
  <c r="F43" i="11"/>
  <c r="N42" i="11"/>
  <c r="L42" i="11"/>
  <c r="K42" i="11"/>
  <c r="I42" i="11"/>
  <c r="F42" i="11"/>
  <c r="M251" i="3" l="1"/>
  <c r="J256" i="3"/>
  <c r="M252" i="3"/>
  <c r="J259" i="3"/>
  <c r="M253" i="3"/>
  <c r="M249" i="3"/>
  <c r="J253" i="3"/>
  <c r="E257" i="3"/>
  <c r="H252" i="3"/>
  <c r="M254" i="3"/>
  <c r="H259" i="3"/>
  <c r="M255" i="3"/>
  <c r="E248" i="3"/>
  <c r="H248" i="3"/>
  <c r="H256" i="3"/>
  <c r="K251" i="3"/>
  <c r="K259" i="3"/>
  <c r="H253" i="3"/>
  <c r="E251" i="3"/>
  <c r="E254" i="3"/>
  <c r="H249" i="3"/>
  <c r="H257" i="3"/>
  <c r="K252" i="3"/>
  <c r="K260" i="3"/>
  <c r="J249" i="3"/>
  <c r="M257" i="3"/>
  <c r="H250" i="3"/>
  <c r="H258" i="3"/>
  <c r="K253" i="3"/>
  <c r="M260" i="3"/>
  <c r="M250" i="3"/>
  <c r="M258" i="3"/>
  <c r="M259" i="3"/>
  <c r="J252" i="3"/>
  <c r="H255" i="3"/>
  <c r="J250" i="3"/>
  <c r="J254" i="3"/>
  <c r="E258" i="3"/>
  <c r="E253" i="3"/>
  <c r="J260" i="3"/>
  <c r="H260" i="3"/>
  <c r="J248" i="3"/>
  <c r="J258" i="3"/>
  <c r="H254" i="3"/>
  <c r="J257" i="3"/>
  <c r="M248" i="3"/>
  <c r="K255" i="3"/>
  <c r="K256" i="3"/>
  <c r="K257" i="3"/>
  <c r="K249" i="3"/>
  <c r="E249" i="3"/>
  <c r="E259" i="3"/>
  <c r="M256" i="3"/>
  <c r="E255" i="3"/>
  <c r="J255" i="3"/>
  <c r="J251" i="3"/>
  <c r="H251" i="3"/>
  <c r="E250" i="3"/>
  <c r="E260" i="3"/>
  <c r="E256" i="3"/>
  <c r="E252" i="3"/>
  <c r="K258" i="3"/>
  <c r="K254" i="3"/>
  <c r="K250" i="3"/>
  <c r="K248" i="3"/>
  <c r="J12" i="4" l="1"/>
  <c r="K12" i="4"/>
  <c r="G12" i="4"/>
  <c r="H12" i="4"/>
  <c r="E12" i="4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D231" i="3"/>
  <c r="D230" i="3"/>
  <c r="D228" i="3"/>
  <c r="D243" i="3"/>
  <c r="D244" i="3"/>
  <c r="D245" i="3"/>
  <c r="D246" i="3"/>
  <c r="D247" i="3"/>
  <c r="D242" i="3"/>
  <c r="D241" i="3"/>
  <c r="D240" i="3"/>
  <c r="H240" i="3" s="1"/>
  <c r="D238" i="3"/>
  <c r="D239" i="3"/>
  <c r="D236" i="3"/>
  <c r="D237" i="3"/>
  <c r="D233" i="3"/>
  <c r="D234" i="3"/>
  <c r="D235" i="3"/>
  <c r="D232" i="3"/>
  <c r="D229" i="3"/>
  <c r="D227" i="3"/>
  <c r="D226" i="3"/>
  <c r="D225" i="3"/>
  <c r="D224" i="3"/>
  <c r="D223" i="3"/>
  <c r="D222" i="3"/>
  <c r="N362" i="1"/>
  <c r="L362" i="1"/>
  <c r="K362" i="1"/>
  <c r="I362" i="1"/>
  <c r="F362" i="1"/>
  <c r="F327" i="1"/>
  <c r="I327" i="1"/>
  <c r="K327" i="1"/>
  <c r="L327" i="1"/>
  <c r="N327" i="1"/>
  <c r="F328" i="1"/>
  <c r="I328" i="1"/>
  <c r="K328" i="1"/>
  <c r="L328" i="1"/>
  <c r="N328" i="1"/>
  <c r="F329" i="1"/>
  <c r="I329" i="1"/>
  <c r="K329" i="1"/>
  <c r="L329" i="1"/>
  <c r="N329" i="1"/>
  <c r="F330" i="1"/>
  <c r="I330" i="1"/>
  <c r="K330" i="1"/>
  <c r="L330" i="1"/>
  <c r="N330" i="1"/>
  <c r="F331" i="1"/>
  <c r="I331" i="1"/>
  <c r="K331" i="1"/>
  <c r="L331" i="1"/>
  <c r="N331" i="1"/>
  <c r="F332" i="1"/>
  <c r="I332" i="1"/>
  <c r="K332" i="1"/>
  <c r="L332" i="1"/>
  <c r="N332" i="1"/>
  <c r="F333" i="1"/>
  <c r="I333" i="1"/>
  <c r="K333" i="1"/>
  <c r="L333" i="1"/>
  <c r="N333" i="1"/>
  <c r="F334" i="1"/>
  <c r="I334" i="1"/>
  <c r="K334" i="1"/>
  <c r="L334" i="1"/>
  <c r="N334" i="1"/>
  <c r="F335" i="1"/>
  <c r="I335" i="1"/>
  <c r="K335" i="1"/>
  <c r="L335" i="1"/>
  <c r="N335" i="1"/>
  <c r="F336" i="1"/>
  <c r="I336" i="1"/>
  <c r="K336" i="1"/>
  <c r="L336" i="1"/>
  <c r="N336" i="1"/>
  <c r="F337" i="1"/>
  <c r="I337" i="1"/>
  <c r="K337" i="1"/>
  <c r="L337" i="1"/>
  <c r="N337" i="1"/>
  <c r="F338" i="1"/>
  <c r="I338" i="1"/>
  <c r="K338" i="1"/>
  <c r="L338" i="1"/>
  <c r="N338" i="1"/>
  <c r="F339" i="1"/>
  <c r="I339" i="1"/>
  <c r="K339" i="1"/>
  <c r="L339" i="1"/>
  <c r="N339" i="1"/>
  <c r="F340" i="1"/>
  <c r="I340" i="1"/>
  <c r="K340" i="1"/>
  <c r="L340" i="1"/>
  <c r="N340" i="1"/>
  <c r="F341" i="1"/>
  <c r="I341" i="1"/>
  <c r="K341" i="1"/>
  <c r="L341" i="1"/>
  <c r="N341" i="1"/>
  <c r="F342" i="1"/>
  <c r="I342" i="1"/>
  <c r="K342" i="1"/>
  <c r="L342" i="1"/>
  <c r="N342" i="1"/>
  <c r="F343" i="1"/>
  <c r="I343" i="1"/>
  <c r="K343" i="1"/>
  <c r="L343" i="1"/>
  <c r="N343" i="1"/>
  <c r="F344" i="1"/>
  <c r="I344" i="1"/>
  <c r="K344" i="1"/>
  <c r="L344" i="1"/>
  <c r="N344" i="1"/>
  <c r="F345" i="1"/>
  <c r="I345" i="1"/>
  <c r="K345" i="1"/>
  <c r="L345" i="1"/>
  <c r="N345" i="1"/>
  <c r="F346" i="1"/>
  <c r="I346" i="1"/>
  <c r="K346" i="1"/>
  <c r="L346" i="1"/>
  <c r="N346" i="1"/>
  <c r="F347" i="1"/>
  <c r="I347" i="1"/>
  <c r="K347" i="1"/>
  <c r="L347" i="1"/>
  <c r="N347" i="1"/>
  <c r="F348" i="1"/>
  <c r="I348" i="1"/>
  <c r="K348" i="1"/>
  <c r="L348" i="1"/>
  <c r="N348" i="1"/>
  <c r="F349" i="1"/>
  <c r="I349" i="1"/>
  <c r="K349" i="1"/>
  <c r="L349" i="1"/>
  <c r="N349" i="1"/>
  <c r="F350" i="1"/>
  <c r="I350" i="1"/>
  <c r="K350" i="1"/>
  <c r="L350" i="1"/>
  <c r="N350" i="1"/>
  <c r="F351" i="1"/>
  <c r="I351" i="1"/>
  <c r="K351" i="1"/>
  <c r="L351" i="1"/>
  <c r="N351" i="1"/>
  <c r="F352" i="1"/>
  <c r="I352" i="1"/>
  <c r="K352" i="1"/>
  <c r="L352" i="1"/>
  <c r="N352" i="1"/>
  <c r="F353" i="1"/>
  <c r="I353" i="1"/>
  <c r="K353" i="1"/>
  <c r="L353" i="1"/>
  <c r="N353" i="1"/>
  <c r="F354" i="1"/>
  <c r="I354" i="1"/>
  <c r="K354" i="1"/>
  <c r="L354" i="1"/>
  <c r="N354" i="1"/>
  <c r="F355" i="1"/>
  <c r="I355" i="1"/>
  <c r="K355" i="1"/>
  <c r="L355" i="1"/>
  <c r="N355" i="1"/>
  <c r="F356" i="1"/>
  <c r="I356" i="1"/>
  <c r="K356" i="1"/>
  <c r="L356" i="1"/>
  <c r="N356" i="1"/>
  <c r="F357" i="1"/>
  <c r="I357" i="1"/>
  <c r="K357" i="1"/>
  <c r="L357" i="1"/>
  <c r="N357" i="1"/>
  <c r="F358" i="1"/>
  <c r="I358" i="1"/>
  <c r="K358" i="1"/>
  <c r="L358" i="1"/>
  <c r="N358" i="1"/>
  <c r="F359" i="1"/>
  <c r="I359" i="1"/>
  <c r="K359" i="1"/>
  <c r="L359" i="1"/>
  <c r="N359" i="1"/>
  <c r="F360" i="1"/>
  <c r="I360" i="1"/>
  <c r="K360" i="1"/>
  <c r="L360" i="1"/>
  <c r="N360" i="1"/>
  <c r="F361" i="1"/>
  <c r="I361" i="1"/>
  <c r="K361" i="1"/>
  <c r="L361" i="1"/>
  <c r="N361" i="1"/>
  <c r="N13" i="17"/>
  <c r="L13" i="17"/>
  <c r="K13" i="17"/>
  <c r="I13" i="17"/>
  <c r="F13" i="17"/>
  <c r="N12" i="17"/>
  <c r="L12" i="17"/>
  <c r="K12" i="17"/>
  <c r="I12" i="17"/>
  <c r="F12" i="17"/>
  <c r="N16" i="21"/>
  <c r="L16" i="21"/>
  <c r="K16" i="21"/>
  <c r="I16" i="21"/>
  <c r="F16" i="21"/>
  <c r="N45" i="15"/>
  <c r="L45" i="15"/>
  <c r="K45" i="15"/>
  <c r="I45" i="15"/>
  <c r="F45" i="15"/>
  <c r="N44" i="15"/>
  <c r="L44" i="15"/>
  <c r="K44" i="15"/>
  <c r="I44" i="15"/>
  <c r="F44" i="15"/>
  <c r="N24" i="19"/>
  <c r="L24" i="19"/>
  <c r="K24" i="19"/>
  <c r="I24" i="19"/>
  <c r="F24" i="19"/>
  <c r="N23" i="19"/>
  <c r="L23" i="19"/>
  <c r="K23" i="19"/>
  <c r="I23" i="19"/>
  <c r="F23" i="19"/>
  <c r="N22" i="19"/>
  <c r="L22" i="19"/>
  <c r="K22" i="19"/>
  <c r="I22" i="19"/>
  <c r="F22" i="19"/>
  <c r="N195" i="14"/>
  <c r="L195" i="14"/>
  <c r="K195" i="14"/>
  <c r="I195" i="14"/>
  <c r="F195" i="14"/>
  <c r="N194" i="14"/>
  <c r="L194" i="14"/>
  <c r="K194" i="14"/>
  <c r="I194" i="14"/>
  <c r="F194" i="14"/>
  <c r="N193" i="14"/>
  <c r="L193" i="14"/>
  <c r="K193" i="14"/>
  <c r="I193" i="14"/>
  <c r="F193" i="14"/>
  <c r="N192" i="14"/>
  <c r="L192" i="14"/>
  <c r="K192" i="14"/>
  <c r="I192" i="14"/>
  <c r="F192" i="14"/>
  <c r="N191" i="14"/>
  <c r="L191" i="14"/>
  <c r="K191" i="14"/>
  <c r="I191" i="14"/>
  <c r="F191" i="14"/>
  <c r="N190" i="14"/>
  <c r="L190" i="14"/>
  <c r="K190" i="14"/>
  <c r="I190" i="14"/>
  <c r="F190" i="14"/>
  <c r="N189" i="14"/>
  <c r="L189" i="14"/>
  <c r="K189" i="14"/>
  <c r="I189" i="14"/>
  <c r="F189" i="14"/>
  <c r="N188" i="14"/>
  <c r="L188" i="14"/>
  <c r="K188" i="14"/>
  <c r="I188" i="14"/>
  <c r="F188" i="14"/>
  <c r="N187" i="14"/>
  <c r="L187" i="14"/>
  <c r="K187" i="14"/>
  <c r="I187" i="14"/>
  <c r="F187" i="14"/>
  <c r="N186" i="14"/>
  <c r="L186" i="14"/>
  <c r="K186" i="14"/>
  <c r="I186" i="14"/>
  <c r="F186" i="14"/>
  <c r="N185" i="14"/>
  <c r="L185" i="14"/>
  <c r="K185" i="14"/>
  <c r="I185" i="14"/>
  <c r="F185" i="14"/>
  <c r="N184" i="14"/>
  <c r="L184" i="14"/>
  <c r="K184" i="14"/>
  <c r="I184" i="14"/>
  <c r="F184" i="14"/>
  <c r="N183" i="14"/>
  <c r="L183" i="14"/>
  <c r="K183" i="14"/>
  <c r="I183" i="14"/>
  <c r="F183" i="14"/>
  <c r="N182" i="14"/>
  <c r="L182" i="14"/>
  <c r="K182" i="14"/>
  <c r="I182" i="14"/>
  <c r="F182" i="14"/>
  <c r="N181" i="14"/>
  <c r="L181" i="14"/>
  <c r="K181" i="14"/>
  <c r="I181" i="14"/>
  <c r="F181" i="14"/>
  <c r="N180" i="14"/>
  <c r="L180" i="14"/>
  <c r="K180" i="14"/>
  <c r="I180" i="14"/>
  <c r="F180" i="14"/>
  <c r="N179" i="14"/>
  <c r="L179" i="14"/>
  <c r="K179" i="14"/>
  <c r="I179" i="14"/>
  <c r="F179" i="14"/>
  <c r="N178" i="14"/>
  <c r="L178" i="14"/>
  <c r="K178" i="14"/>
  <c r="I178" i="14"/>
  <c r="F178" i="14"/>
  <c r="N177" i="14"/>
  <c r="L177" i="14"/>
  <c r="K177" i="14"/>
  <c r="I177" i="14"/>
  <c r="F177" i="14"/>
  <c r="N176" i="14"/>
  <c r="L176" i="14"/>
  <c r="K176" i="14"/>
  <c r="I176" i="14"/>
  <c r="F176" i="14"/>
  <c r="N175" i="14"/>
  <c r="L175" i="14"/>
  <c r="K175" i="14"/>
  <c r="I175" i="14"/>
  <c r="F175" i="14"/>
  <c r="N174" i="14"/>
  <c r="L174" i="14"/>
  <c r="K174" i="14"/>
  <c r="I174" i="14"/>
  <c r="F174" i="14"/>
  <c r="N26" i="12"/>
  <c r="L26" i="12"/>
  <c r="K26" i="12"/>
  <c r="I26" i="12"/>
  <c r="F26" i="12"/>
  <c r="N25" i="12"/>
  <c r="L25" i="12"/>
  <c r="K25" i="12"/>
  <c r="I25" i="12"/>
  <c r="F25" i="12"/>
  <c r="N41" i="9"/>
  <c r="L41" i="9"/>
  <c r="K41" i="9"/>
  <c r="I41" i="9"/>
  <c r="F41" i="9"/>
  <c r="N40" i="9"/>
  <c r="L40" i="9"/>
  <c r="K40" i="9"/>
  <c r="I40" i="9"/>
  <c r="F40" i="9"/>
  <c r="N39" i="9"/>
  <c r="L39" i="9"/>
  <c r="K39" i="9"/>
  <c r="I39" i="9"/>
  <c r="F39" i="9"/>
  <c r="N38" i="9"/>
  <c r="L38" i="9"/>
  <c r="K38" i="9"/>
  <c r="I38" i="9"/>
  <c r="F38" i="9"/>
  <c r="N41" i="11"/>
  <c r="L41" i="11"/>
  <c r="K41" i="11"/>
  <c r="I41" i="11"/>
  <c r="F41" i="11"/>
  <c r="N40" i="11"/>
  <c r="L40" i="11"/>
  <c r="K40" i="11"/>
  <c r="I40" i="11"/>
  <c r="F40" i="11"/>
  <c r="N39" i="11"/>
  <c r="L39" i="11"/>
  <c r="K39" i="11"/>
  <c r="I39" i="11"/>
  <c r="F39" i="11"/>
  <c r="N38" i="11"/>
  <c r="L38" i="11"/>
  <c r="K38" i="11"/>
  <c r="I38" i="11"/>
  <c r="F38" i="11"/>
  <c r="J238" i="3" l="1"/>
  <c r="M227" i="3"/>
  <c r="K246" i="3"/>
  <c r="E227" i="3"/>
  <c r="H246" i="3"/>
  <c r="E239" i="3"/>
  <c r="E233" i="3"/>
  <c r="H247" i="3"/>
  <c r="H244" i="3"/>
  <c r="H227" i="3"/>
  <c r="H243" i="3"/>
  <c r="M239" i="3"/>
  <c r="M240" i="3"/>
  <c r="J243" i="3"/>
  <c r="J223" i="3"/>
  <c r="M247" i="3"/>
  <c r="H239" i="3"/>
  <c r="M243" i="3"/>
  <c r="E235" i="3"/>
  <c r="H241" i="3"/>
  <c r="E244" i="3"/>
  <c r="M245" i="3"/>
  <c r="J239" i="3"/>
  <c r="H226" i="3"/>
  <c r="J244" i="3"/>
  <c r="M235" i="3"/>
  <c r="K227" i="3"/>
  <c r="K236" i="3"/>
  <c r="E243" i="3"/>
  <c r="M226" i="3"/>
  <c r="K244" i="3"/>
  <c r="J247" i="3"/>
  <c r="E229" i="3"/>
  <c r="H236" i="3"/>
  <c r="H245" i="3"/>
  <c r="K228" i="3"/>
  <c r="E247" i="3"/>
  <c r="E228" i="3"/>
  <c r="H224" i="3"/>
  <c r="M228" i="3"/>
  <c r="H237" i="3"/>
  <c r="M225" i="3"/>
  <c r="J245" i="3"/>
  <c r="H230" i="3"/>
  <c r="M237" i="3"/>
  <c r="H235" i="3"/>
  <c r="E234" i="3"/>
  <c r="E231" i="3"/>
  <c r="M244" i="3"/>
  <c r="H225" i="3"/>
  <c r="E241" i="3"/>
  <c r="H232" i="3"/>
  <c r="H238" i="3"/>
  <c r="J237" i="3"/>
  <c r="M246" i="3"/>
  <c r="J225" i="3"/>
  <c r="E246" i="3"/>
  <c r="H229" i="3"/>
  <c r="E222" i="3"/>
  <c r="M232" i="3"/>
  <c r="K233" i="3"/>
  <c r="K224" i="3"/>
  <c r="H233" i="3"/>
  <c r="K241" i="3"/>
  <c r="K226" i="3"/>
  <c r="E242" i="3"/>
  <c r="M231" i="3"/>
  <c r="H231" i="3"/>
  <c r="J242" i="3"/>
  <c r="M238" i="3"/>
  <c r="E237" i="3"/>
  <c r="M236" i="3"/>
  <c r="J236" i="3"/>
  <c r="J235" i="3"/>
  <c r="M234" i="3"/>
  <c r="J231" i="3"/>
  <c r="M230" i="3"/>
  <c r="J230" i="3"/>
  <c r="M229" i="3"/>
  <c r="J229" i="3"/>
  <c r="K245" i="3"/>
  <c r="K243" i="3"/>
  <c r="K242" i="3"/>
  <c r="E240" i="3"/>
  <c r="E238" i="3"/>
  <c r="J234" i="3"/>
  <c r="E232" i="3"/>
  <c r="E230" i="3"/>
  <c r="K225" i="3"/>
  <c r="J224" i="3"/>
  <c r="H223" i="3"/>
  <c r="H242" i="3"/>
  <c r="H234" i="3"/>
  <c r="J246" i="3"/>
  <c r="K237" i="3"/>
  <c r="K235" i="3"/>
  <c r="K229" i="3"/>
  <c r="J228" i="3"/>
  <c r="J227" i="3"/>
  <c r="J226" i="3"/>
  <c r="E223" i="3"/>
  <c r="H228" i="3"/>
  <c r="M222" i="3"/>
  <c r="E245" i="3"/>
  <c r="M241" i="3"/>
  <c r="K240" i="3"/>
  <c r="M233" i="3"/>
  <c r="K232" i="3"/>
  <c r="E225" i="3"/>
  <c r="E224" i="3"/>
  <c r="J222" i="3"/>
  <c r="J240" i="3"/>
  <c r="K239" i="3"/>
  <c r="K238" i="3"/>
  <c r="E236" i="3"/>
  <c r="J232" i="3"/>
  <c r="K231" i="3"/>
  <c r="K230" i="3"/>
  <c r="M224" i="3"/>
  <c r="M223" i="3"/>
  <c r="H222" i="3"/>
  <c r="M242" i="3"/>
  <c r="J241" i="3"/>
  <c r="J233" i="3"/>
  <c r="E226" i="3"/>
  <c r="K247" i="3"/>
  <c r="K234" i="3"/>
  <c r="K222" i="3"/>
  <c r="K223" i="3"/>
  <c r="J11" i="4"/>
  <c r="K11" i="4"/>
  <c r="H11" i="4"/>
  <c r="G11" i="4"/>
  <c r="E11" i="4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D221" i="3"/>
  <c r="D220" i="3"/>
  <c r="D217" i="3"/>
  <c r="D218" i="3"/>
  <c r="D219" i="3"/>
  <c r="D216" i="3"/>
  <c r="D215" i="3"/>
  <c r="D214" i="3"/>
  <c r="D213" i="3"/>
  <c r="D212" i="3"/>
  <c r="D211" i="3"/>
  <c r="D210" i="3"/>
  <c r="D209" i="3"/>
  <c r="D208" i="3"/>
  <c r="D207" i="3"/>
  <c r="D206" i="3"/>
  <c r="D204" i="3"/>
  <c r="D205" i="3"/>
  <c r="D203" i="3"/>
  <c r="F298" i="1"/>
  <c r="I298" i="1"/>
  <c r="K298" i="1"/>
  <c r="L298" i="1"/>
  <c r="N298" i="1"/>
  <c r="F299" i="1"/>
  <c r="I299" i="1"/>
  <c r="K299" i="1"/>
  <c r="L299" i="1"/>
  <c r="N299" i="1"/>
  <c r="F300" i="1"/>
  <c r="I300" i="1"/>
  <c r="K300" i="1"/>
  <c r="L300" i="1"/>
  <c r="N300" i="1"/>
  <c r="F301" i="1"/>
  <c r="I301" i="1"/>
  <c r="K301" i="1"/>
  <c r="L301" i="1"/>
  <c r="N301" i="1"/>
  <c r="F302" i="1"/>
  <c r="I302" i="1"/>
  <c r="K302" i="1"/>
  <c r="L302" i="1"/>
  <c r="N302" i="1"/>
  <c r="F303" i="1"/>
  <c r="I303" i="1"/>
  <c r="K303" i="1"/>
  <c r="L303" i="1"/>
  <c r="N303" i="1"/>
  <c r="F304" i="1"/>
  <c r="I304" i="1"/>
  <c r="K304" i="1"/>
  <c r="L304" i="1"/>
  <c r="N304" i="1"/>
  <c r="F305" i="1"/>
  <c r="I305" i="1"/>
  <c r="K305" i="1"/>
  <c r="L305" i="1"/>
  <c r="N305" i="1"/>
  <c r="F306" i="1"/>
  <c r="I306" i="1"/>
  <c r="K306" i="1"/>
  <c r="L306" i="1"/>
  <c r="N306" i="1"/>
  <c r="F307" i="1"/>
  <c r="I307" i="1"/>
  <c r="K307" i="1"/>
  <c r="L307" i="1"/>
  <c r="N307" i="1"/>
  <c r="F308" i="1"/>
  <c r="I308" i="1"/>
  <c r="K308" i="1"/>
  <c r="L308" i="1"/>
  <c r="N308" i="1"/>
  <c r="F309" i="1"/>
  <c r="I309" i="1"/>
  <c r="K309" i="1"/>
  <c r="L309" i="1"/>
  <c r="N309" i="1"/>
  <c r="F310" i="1"/>
  <c r="I310" i="1"/>
  <c r="K310" i="1"/>
  <c r="L310" i="1"/>
  <c r="N310" i="1"/>
  <c r="F311" i="1"/>
  <c r="I311" i="1"/>
  <c r="K311" i="1"/>
  <c r="L311" i="1"/>
  <c r="N311" i="1"/>
  <c r="F312" i="1"/>
  <c r="I312" i="1"/>
  <c r="K312" i="1"/>
  <c r="L312" i="1"/>
  <c r="N312" i="1"/>
  <c r="F313" i="1"/>
  <c r="I313" i="1"/>
  <c r="K313" i="1"/>
  <c r="L313" i="1"/>
  <c r="N313" i="1"/>
  <c r="F314" i="1"/>
  <c r="I314" i="1"/>
  <c r="K314" i="1"/>
  <c r="L314" i="1"/>
  <c r="N314" i="1"/>
  <c r="F315" i="1"/>
  <c r="I315" i="1"/>
  <c r="K315" i="1"/>
  <c r="L315" i="1"/>
  <c r="N315" i="1"/>
  <c r="F316" i="1"/>
  <c r="I316" i="1"/>
  <c r="K316" i="1"/>
  <c r="L316" i="1"/>
  <c r="N316" i="1"/>
  <c r="F317" i="1"/>
  <c r="I317" i="1"/>
  <c r="K317" i="1"/>
  <c r="L317" i="1"/>
  <c r="N317" i="1"/>
  <c r="F318" i="1"/>
  <c r="I318" i="1"/>
  <c r="K318" i="1"/>
  <c r="L318" i="1"/>
  <c r="N318" i="1"/>
  <c r="F319" i="1"/>
  <c r="I319" i="1"/>
  <c r="K319" i="1"/>
  <c r="L319" i="1"/>
  <c r="N319" i="1"/>
  <c r="F320" i="1"/>
  <c r="I320" i="1"/>
  <c r="K320" i="1"/>
  <c r="L320" i="1"/>
  <c r="N320" i="1"/>
  <c r="F321" i="1"/>
  <c r="I321" i="1"/>
  <c r="K321" i="1"/>
  <c r="L321" i="1"/>
  <c r="N321" i="1"/>
  <c r="F322" i="1"/>
  <c r="I322" i="1"/>
  <c r="K322" i="1"/>
  <c r="L322" i="1"/>
  <c r="N322" i="1"/>
  <c r="F323" i="1"/>
  <c r="I323" i="1"/>
  <c r="K323" i="1"/>
  <c r="L323" i="1"/>
  <c r="N323" i="1"/>
  <c r="F324" i="1"/>
  <c r="I324" i="1"/>
  <c r="K324" i="1"/>
  <c r="L324" i="1"/>
  <c r="N324" i="1"/>
  <c r="F325" i="1"/>
  <c r="I325" i="1"/>
  <c r="K325" i="1"/>
  <c r="L325" i="1"/>
  <c r="N325" i="1"/>
  <c r="F326" i="1"/>
  <c r="I326" i="1"/>
  <c r="K326" i="1"/>
  <c r="L326" i="1"/>
  <c r="N326" i="1"/>
  <c r="F297" i="1"/>
  <c r="I297" i="1"/>
  <c r="K297" i="1"/>
  <c r="L297" i="1"/>
  <c r="N297" i="1"/>
  <c r="N21" i="19"/>
  <c r="L21" i="19"/>
  <c r="K21" i="19"/>
  <c r="I21" i="19"/>
  <c r="F21" i="19"/>
  <c r="N20" i="19"/>
  <c r="L20" i="19"/>
  <c r="K20" i="19"/>
  <c r="I20" i="19"/>
  <c r="F20" i="19"/>
  <c r="N19" i="19"/>
  <c r="L19" i="19"/>
  <c r="K19" i="19"/>
  <c r="I19" i="19"/>
  <c r="F19" i="19"/>
  <c r="N18" i="19"/>
  <c r="L18" i="19"/>
  <c r="K18" i="19"/>
  <c r="I18" i="19"/>
  <c r="F18" i="19"/>
  <c r="N17" i="19"/>
  <c r="L17" i="19"/>
  <c r="K17" i="19"/>
  <c r="I17" i="19"/>
  <c r="F17" i="19"/>
  <c r="N16" i="19"/>
  <c r="L16" i="19"/>
  <c r="K16" i="19"/>
  <c r="I16" i="19"/>
  <c r="F16" i="19"/>
  <c r="N11" i="17"/>
  <c r="L11" i="17"/>
  <c r="K11" i="17"/>
  <c r="I11" i="17"/>
  <c r="F11" i="17"/>
  <c r="N10" i="17"/>
  <c r="L10" i="17"/>
  <c r="K10" i="17"/>
  <c r="I10" i="17"/>
  <c r="F10" i="17"/>
  <c r="N9" i="17"/>
  <c r="L9" i="17"/>
  <c r="K9" i="17"/>
  <c r="I9" i="17"/>
  <c r="F9" i="17"/>
  <c r="N28" i="16"/>
  <c r="L28" i="16"/>
  <c r="K28" i="16"/>
  <c r="I28" i="16"/>
  <c r="F28" i="16"/>
  <c r="N27" i="16"/>
  <c r="L27" i="16"/>
  <c r="K27" i="16"/>
  <c r="I27" i="16"/>
  <c r="F27" i="16"/>
  <c r="N26" i="16"/>
  <c r="L26" i="16"/>
  <c r="K26" i="16"/>
  <c r="I26" i="16"/>
  <c r="F26" i="16"/>
  <c r="N25" i="16"/>
  <c r="L25" i="16"/>
  <c r="K25" i="16"/>
  <c r="I25" i="16"/>
  <c r="F25" i="16"/>
  <c r="N24" i="16"/>
  <c r="L24" i="16"/>
  <c r="K24" i="16"/>
  <c r="I24" i="16"/>
  <c r="F24" i="16"/>
  <c r="N15" i="21"/>
  <c r="L15" i="21"/>
  <c r="K15" i="21"/>
  <c r="I15" i="21"/>
  <c r="F15" i="21"/>
  <c r="N14" i="21"/>
  <c r="L14" i="21"/>
  <c r="K14" i="21"/>
  <c r="I14" i="21"/>
  <c r="F14" i="21"/>
  <c r="N6" i="18"/>
  <c r="L6" i="18"/>
  <c r="K6" i="18"/>
  <c r="I6" i="18"/>
  <c r="F6" i="18"/>
  <c r="N5" i="18"/>
  <c r="L5" i="18"/>
  <c r="K5" i="18"/>
  <c r="I5" i="18"/>
  <c r="F5" i="18"/>
  <c r="N43" i="15"/>
  <c r="L43" i="15"/>
  <c r="K43" i="15"/>
  <c r="I43" i="15"/>
  <c r="F43" i="15"/>
  <c r="N42" i="15"/>
  <c r="L42" i="15"/>
  <c r="K42" i="15"/>
  <c r="I42" i="15"/>
  <c r="F42" i="15"/>
  <c r="N41" i="15"/>
  <c r="L41" i="15"/>
  <c r="K41" i="15"/>
  <c r="I41" i="15"/>
  <c r="F41" i="15"/>
  <c r="N173" i="14"/>
  <c r="L173" i="14"/>
  <c r="K173" i="14"/>
  <c r="I173" i="14"/>
  <c r="F173" i="14"/>
  <c r="N172" i="14"/>
  <c r="L172" i="14"/>
  <c r="K172" i="14"/>
  <c r="I172" i="14"/>
  <c r="F172" i="14"/>
  <c r="N171" i="14"/>
  <c r="L171" i="14"/>
  <c r="K171" i="14"/>
  <c r="I171" i="14"/>
  <c r="F171" i="14"/>
  <c r="N170" i="14"/>
  <c r="L170" i="14"/>
  <c r="K170" i="14"/>
  <c r="I170" i="14"/>
  <c r="F170" i="14"/>
  <c r="N169" i="14"/>
  <c r="L169" i="14"/>
  <c r="K169" i="14"/>
  <c r="I169" i="14"/>
  <c r="F169" i="14"/>
  <c r="N168" i="14"/>
  <c r="L168" i="14"/>
  <c r="K168" i="14"/>
  <c r="I168" i="14"/>
  <c r="F168" i="14"/>
  <c r="N167" i="14"/>
  <c r="L167" i="14"/>
  <c r="K167" i="14"/>
  <c r="I167" i="14"/>
  <c r="F167" i="14"/>
  <c r="N166" i="14"/>
  <c r="L166" i="14"/>
  <c r="K166" i="14"/>
  <c r="I166" i="14"/>
  <c r="F166" i="14"/>
  <c r="N165" i="14"/>
  <c r="L165" i="14"/>
  <c r="K165" i="14"/>
  <c r="I165" i="14"/>
  <c r="F165" i="14"/>
  <c r="N164" i="14"/>
  <c r="L164" i="14"/>
  <c r="K164" i="14"/>
  <c r="I164" i="14"/>
  <c r="F164" i="14"/>
  <c r="N163" i="14"/>
  <c r="L163" i="14"/>
  <c r="K163" i="14"/>
  <c r="I163" i="14"/>
  <c r="F163" i="14"/>
  <c r="N162" i="14"/>
  <c r="L162" i="14"/>
  <c r="K162" i="14"/>
  <c r="I162" i="14"/>
  <c r="F162" i="14"/>
  <c r="N161" i="14"/>
  <c r="L161" i="14"/>
  <c r="K161" i="14"/>
  <c r="I161" i="14"/>
  <c r="F161" i="14"/>
  <c r="N160" i="14"/>
  <c r="L160" i="14"/>
  <c r="K160" i="14"/>
  <c r="I160" i="14"/>
  <c r="F160" i="14"/>
  <c r="N159" i="14"/>
  <c r="L159" i="14"/>
  <c r="K159" i="14"/>
  <c r="I159" i="14"/>
  <c r="F159" i="14"/>
  <c r="N158" i="14"/>
  <c r="L158" i="14"/>
  <c r="K158" i="14"/>
  <c r="I158" i="14"/>
  <c r="F158" i="14"/>
  <c r="N157" i="14"/>
  <c r="L157" i="14"/>
  <c r="K157" i="14"/>
  <c r="I157" i="14"/>
  <c r="F157" i="14"/>
  <c r="N156" i="14"/>
  <c r="L156" i="14"/>
  <c r="K156" i="14"/>
  <c r="I156" i="14"/>
  <c r="F156" i="14"/>
  <c r="N155" i="14"/>
  <c r="L155" i="14"/>
  <c r="K155" i="14"/>
  <c r="I155" i="14"/>
  <c r="F155" i="14"/>
  <c r="N154" i="14"/>
  <c r="L154" i="14"/>
  <c r="K154" i="14"/>
  <c r="I154" i="14"/>
  <c r="F154" i="14"/>
  <c r="N153" i="14"/>
  <c r="L153" i="14"/>
  <c r="K153" i="14"/>
  <c r="I153" i="14"/>
  <c r="F153" i="14"/>
  <c r="N152" i="14"/>
  <c r="L152" i="14"/>
  <c r="K152" i="14"/>
  <c r="I152" i="14"/>
  <c r="F152" i="14"/>
  <c r="N24" i="12"/>
  <c r="L24" i="12"/>
  <c r="K24" i="12"/>
  <c r="I24" i="12"/>
  <c r="F24" i="12"/>
  <c r="N23" i="12"/>
  <c r="L23" i="12"/>
  <c r="K23" i="12"/>
  <c r="I23" i="12"/>
  <c r="F23" i="12"/>
  <c r="N22" i="12"/>
  <c r="L22" i="12"/>
  <c r="K22" i="12"/>
  <c r="I22" i="12"/>
  <c r="F22" i="12"/>
  <c r="N37" i="9"/>
  <c r="L37" i="9"/>
  <c r="K37" i="9"/>
  <c r="I37" i="9"/>
  <c r="F37" i="9"/>
  <c r="N36" i="9"/>
  <c r="L36" i="9"/>
  <c r="K36" i="9"/>
  <c r="I36" i="9"/>
  <c r="F36" i="9"/>
  <c r="N35" i="9"/>
  <c r="L35" i="9"/>
  <c r="K35" i="9"/>
  <c r="I35" i="9"/>
  <c r="F35" i="9"/>
  <c r="N34" i="9"/>
  <c r="L34" i="9"/>
  <c r="K34" i="9"/>
  <c r="I34" i="9"/>
  <c r="F34" i="9"/>
  <c r="N37" i="11"/>
  <c r="L37" i="11"/>
  <c r="K37" i="11"/>
  <c r="I37" i="11"/>
  <c r="F37" i="11"/>
  <c r="N36" i="11"/>
  <c r="L36" i="11"/>
  <c r="K36" i="11"/>
  <c r="I36" i="11"/>
  <c r="F36" i="11"/>
  <c r="N35" i="11"/>
  <c r="L35" i="11"/>
  <c r="K35" i="11"/>
  <c r="I35" i="11"/>
  <c r="F35" i="11"/>
  <c r="N34" i="11"/>
  <c r="L34" i="11"/>
  <c r="K34" i="11"/>
  <c r="I34" i="11"/>
  <c r="F34" i="11"/>
  <c r="L193" i="3"/>
  <c r="I193" i="3"/>
  <c r="G193" i="3"/>
  <c r="F193" i="3"/>
  <c r="D193" i="3"/>
  <c r="H216" i="3" l="1"/>
  <c r="H219" i="3"/>
  <c r="K208" i="3"/>
  <c r="J208" i="3"/>
  <c r="J215" i="3"/>
  <c r="M212" i="3"/>
  <c r="K219" i="3"/>
  <c r="K211" i="3"/>
  <c r="K207" i="3"/>
  <c r="H206" i="3"/>
  <c r="H214" i="3"/>
  <c r="E204" i="3"/>
  <c r="J213" i="3"/>
  <c r="J221" i="3"/>
  <c r="K216" i="3"/>
  <c r="H210" i="3"/>
  <c r="H218" i="3"/>
  <c r="E220" i="3"/>
  <c r="M219" i="3"/>
  <c r="J216" i="3"/>
  <c r="K220" i="3"/>
  <c r="J209" i="3"/>
  <c r="K217" i="3"/>
  <c r="J211" i="3"/>
  <c r="H217" i="3"/>
  <c r="K218" i="3"/>
  <c r="M207" i="3"/>
  <c r="E216" i="3"/>
  <c r="H209" i="3"/>
  <c r="H213" i="3"/>
  <c r="H221" i="3"/>
  <c r="M213" i="3"/>
  <c r="J210" i="3"/>
  <c r="E211" i="3"/>
  <c r="J219" i="3"/>
  <c r="K210" i="3"/>
  <c r="M216" i="3"/>
  <c r="K221" i="3"/>
  <c r="M217" i="3"/>
  <c r="K215" i="3"/>
  <c r="J204" i="3"/>
  <c r="H205" i="3"/>
  <c r="J217" i="3"/>
  <c r="K213" i="3"/>
  <c r="M210" i="3"/>
  <c r="M218" i="3"/>
  <c r="J220" i="3"/>
  <c r="E217" i="3"/>
  <c r="J212" i="3"/>
  <c r="E208" i="3"/>
  <c r="E209" i="3"/>
  <c r="H211" i="3"/>
  <c r="M221" i="3"/>
  <c r="M208" i="3"/>
  <c r="H212" i="3"/>
  <c r="H208" i="3"/>
  <c r="E212" i="3"/>
  <c r="M211" i="3"/>
  <c r="M209" i="3"/>
  <c r="E205" i="3"/>
  <c r="E221" i="3"/>
  <c r="J205" i="3"/>
  <c r="E206" i="3"/>
  <c r="M220" i="3"/>
  <c r="M206" i="3"/>
  <c r="M214" i="3"/>
  <c r="K212" i="3"/>
  <c r="J206" i="3"/>
  <c r="K206" i="3"/>
  <c r="K214" i="3"/>
  <c r="E203" i="3"/>
  <c r="E213" i="3"/>
  <c r="E207" i="3"/>
  <c r="E215" i="3"/>
  <c r="H220" i="3"/>
  <c r="M215" i="3"/>
  <c r="H215" i="3"/>
  <c r="J207" i="3"/>
  <c r="H207" i="3"/>
  <c r="M204" i="3"/>
  <c r="H204" i="3"/>
  <c r="M205" i="3"/>
  <c r="M203" i="3"/>
  <c r="J203" i="3"/>
  <c r="H203" i="3"/>
  <c r="E219" i="3"/>
  <c r="K204" i="3"/>
  <c r="E218" i="3"/>
  <c r="E214" i="3"/>
  <c r="E210" i="3"/>
  <c r="J218" i="3"/>
  <c r="J214" i="3"/>
  <c r="K209" i="3"/>
  <c r="K205" i="3"/>
  <c r="K203" i="3"/>
  <c r="J10" i="4"/>
  <c r="K10" i="4"/>
  <c r="G10" i="4"/>
  <c r="H10" i="4"/>
  <c r="E10" i="4"/>
  <c r="L202" i="3"/>
  <c r="L201" i="3"/>
  <c r="L200" i="3"/>
  <c r="L199" i="3"/>
  <c r="L198" i="3"/>
  <c r="L197" i="3"/>
  <c r="L196" i="3"/>
  <c r="L195" i="3"/>
  <c r="L194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I202" i="3"/>
  <c r="I201" i="3"/>
  <c r="I200" i="3"/>
  <c r="I199" i="3"/>
  <c r="I198" i="3"/>
  <c r="I197" i="3"/>
  <c r="I196" i="3"/>
  <c r="I195" i="3"/>
  <c r="I194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G202" i="3"/>
  <c r="G201" i="3"/>
  <c r="G200" i="3"/>
  <c r="G199" i="3"/>
  <c r="G198" i="3"/>
  <c r="G197" i="3"/>
  <c r="G196" i="3"/>
  <c r="G195" i="3"/>
  <c r="G194" i="3"/>
  <c r="H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F202" i="3"/>
  <c r="F201" i="3"/>
  <c r="F200" i="3"/>
  <c r="F199" i="3"/>
  <c r="F198" i="3"/>
  <c r="F197" i="3"/>
  <c r="F196" i="3"/>
  <c r="F195" i="3"/>
  <c r="F194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D202" i="3"/>
  <c r="D201" i="3"/>
  <c r="D197" i="3"/>
  <c r="D198" i="3"/>
  <c r="D199" i="3"/>
  <c r="D200" i="3"/>
  <c r="D196" i="3"/>
  <c r="D195" i="3"/>
  <c r="D194" i="3"/>
  <c r="D189" i="3"/>
  <c r="D190" i="3"/>
  <c r="D191" i="3"/>
  <c r="D192" i="3"/>
  <c r="J193" i="3"/>
  <c r="D188" i="3"/>
  <c r="D187" i="3"/>
  <c r="D186" i="3"/>
  <c r="D184" i="3"/>
  <c r="D185" i="3"/>
  <c r="D183" i="3"/>
  <c r="D182" i="3"/>
  <c r="D181" i="3"/>
  <c r="D180" i="3"/>
  <c r="D179" i="3"/>
  <c r="D178" i="3"/>
  <c r="D177" i="3"/>
  <c r="F290" i="1"/>
  <c r="I290" i="1"/>
  <c r="K290" i="1"/>
  <c r="L290" i="1"/>
  <c r="N290" i="1"/>
  <c r="F291" i="1"/>
  <c r="I291" i="1"/>
  <c r="K291" i="1"/>
  <c r="L291" i="1"/>
  <c r="N291" i="1"/>
  <c r="F261" i="1"/>
  <c r="I261" i="1"/>
  <c r="K261" i="1"/>
  <c r="L261" i="1"/>
  <c r="N261" i="1"/>
  <c r="F262" i="1"/>
  <c r="I262" i="1"/>
  <c r="K262" i="1"/>
  <c r="L262" i="1"/>
  <c r="N262" i="1"/>
  <c r="F263" i="1"/>
  <c r="I263" i="1"/>
  <c r="K263" i="1"/>
  <c r="L263" i="1"/>
  <c r="N263" i="1"/>
  <c r="F264" i="1"/>
  <c r="I264" i="1"/>
  <c r="K264" i="1"/>
  <c r="L264" i="1"/>
  <c r="N264" i="1"/>
  <c r="F265" i="1"/>
  <c r="I265" i="1"/>
  <c r="K265" i="1"/>
  <c r="L265" i="1"/>
  <c r="N265" i="1"/>
  <c r="F266" i="1"/>
  <c r="I266" i="1"/>
  <c r="K266" i="1"/>
  <c r="L266" i="1"/>
  <c r="N266" i="1"/>
  <c r="F267" i="1"/>
  <c r="I267" i="1"/>
  <c r="K267" i="1"/>
  <c r="L267" i="1"/>
  <c r="N267" i="1"/>
  <c r="F268" i="1"/>
  <c r="I268" i="1"/>
  <c r="K268" i="1"/>
  <c r="L268" i="1"/>
  <c r="N268" i="1"/>
  <c r="F269" i="1"/>
  <c r="I269" i="1"/>
  <c r="K269" i="1"/>
  <c r="L269" i="1"/>
  <c r="N269" i="1"/>
  <c r="F270" i="1"/>
  <c r="I270" i="1"/>
  <c r="K270" i="1"/>
  <c r="L270" i="1"/>
  <c r="N270" i="1"/>
  <c r="F271" i="1"/>
  <c r="I271" i="1"/>
  <c r="K271" i="1"/>
  <c r="L271" i="1"/>
  <c r="N271" i="1"/>
  <c r="F272" i="1"/>
  <c r="I272" i="1"/>
  <c r="K272" i="1"/>
  <c r="L272" i="1"/>
  <c r="N272" i="1"/>
  <c r="F273" i="1"/>
  <c r="I273" i="1"/>
  <c r="K273" i="1"/>
  <c r="L273" i="1"/>
  <c r="N273" i="1"/>
  <c r="F274" i="1"/>
  <c r="I274" i="1"/>
  <c r="K274" i="1"/>
  <c r="L274" i="1"/>
  <c r="N274" i="1"/>
  <c r="F275" i="1"/>
  <c r="I275" i="1"/>
  <c r="K275" i="1"/>
  <c r="L275" i="1"/>
  <c r="N275" i="1"/>
  <c r="F276" i="1"/>
  <c r="I276" i="1"/>
  <c r="K276" i="1"/>
  <c r="L276" i="1"/>
  <c r="N276" i="1"/>
  <c r="F277" i="1"/>
  <c r="I277" i="1"/>
  <c r="K277" i="1"/>
  <c r="L277" i="1"/>
  <c r="N277" i="1"/>
  <c r="F278" i="1"/>
  <c r="I278" i="1"/>
  <c r="K278" i="1"/>
  <c r="L278" i="1"/>
  <c r="N278" i="1"/>
  <c r="F279" i="1"/>
  <c r="I279" i="1"/>
  <c r="K279" i="1"/>
  <c r="L279" i="1"/>
  <c r="N279" i="1"/>
  <c r="F280" i="1"/>
  <c r="I280" i="1"/>
  <c r="K280" i="1"/>
  <c r="L280" i="1"/>
  <c r="N280" i="1"/>
  <c r="F281" i="1"/>
  <c r="I281" i="1"/>
  <c r="K281" i="1"/>
  <c r="L281" i="1"/>
  <c r="N281" i="1"/>
  <c r="F282" i="1"/>
  <c r="I282" i="1"/>
  <c r="K282" i="1"/>
  <c r="L282" i="1"/>
  <c r="N282" i="1"/>
  <c r="F283" i="1"/>
  <c r="I283" i="1"/>
  <c r="K283" i="1"/>
  <c r="L283" i="1"/>
  <c r="N283" i="1"/>
  <c r="F284" i="1"/>
  <c r="I284" i="1"/>
  <c r="K284" i="1"/>
  <c r="L284" i="1"/>
  <c r="N284" i="1"/>
  <c r="F285" i="1"/>
  <c r="I285" i="1"/>
  <c r="K285" i="1"/>
  <c r="L285" i="1"/>
  <c r="N285" i="1"/>
  <c r="F286" i="1"/>
  <c r="I286" i="1"/>
  <c r="K286" i="1"/>
  <c r="L286" i="1"/>
  <c r="N286" i="1"/>
  <c r="F287" i="1"/>
  <c r="I287" i="1"/>
  <c r="K287" i="1"/>
  <c r="L287" i="1"/>
  <c r="N287" i="1"/>
  <c r="F288" i="1"/>
  <c r="I288" i="1"/>
  <c r="K288" i="1"/>
  <c r="L288" i="1"/>
  <c r="N288" i="1"/>
  <c r="F292" i="1"/>
  <c r="I292" i="1"/>
  <c r="K292" i="1"/>
  <c r="L292" i="1"/>
  <c r="N292" i="1"/>
  <c r="F293" i="1"/>
  <c r="I293" i="1"/>
  <c r="K293" i="1"/>
  <c r="L293" i="1"/>
  <c r="N293" i="1"/>
  <c r="F294" i="1"/>
  <c r="I294" i="1"/>
  <c r="K294" i="1"/>
  <c r="L294" i="1"/>
  <c r="N294" i="1"/>
  <c r="F295" i="1"/>
  <c r="I295" i="1"/>
  <c r="K295" i="1"/>
  <c r="L295" i="1"/>
  <c r="N295" i="1"/>
  <c r="F296" i="1"/>
  <c r="I296" i="1"/>
  <c r="K296" i="1"/>
  <c r="L296" i="1"/>
  <c r="N296" i="1"/>
  <c r="F289" i="1"/>
  <c r="I289" i="1"/>
  <c r="K289" i="1"/>
  <c r="L289" i="1"/>
  <c r="N289" i="1"/>
  <c r="F260" i="1"/>
  <c r="I260" i="1"/>
  <c r="K260" i="1"/>
  <c r="L260" i="1"/>
  <c r="N260" i="1"/>
  <c r="N151" i="14"/>
  <c r="L151" i="14"/>
  <c r="K151" i="14"/>
  <c r="I151" i="14"/>
  <c r="F151" i="14"/>
  <c r="N150" i="14"/>
  <c r="L150" i="14"/>
  <c r="K150" i="14"/>
  <c r="I150" i="14"/>
  <c r="F150" i="14"/>
  <c r="N149" i="14"/>
  <c r="L149" i="14"/>
  <c r="K149" i="14"/>
  <c r="I149" i="14"/>
  <c r="F149" i="14"/>
  <c r="N148" i="14"/>
  <c r="L148" i="14"/>
  <c r="K148" i="14"/>
  <c r="I148" i="14"/>
  <c r="F148" i="14"/>
  <c r="N147" i="14"/>
  <c r="L147" i="14"/>
  <c r="K147" i="14"/>
  <c r="I147" i="14"/>
  <c r="F147" i="14"/>
  <c r="N146" i="14"/>
  <c r="L146" i="14"/>
  <c r="K146" i="14"/>
  <c r="I146" i="14"/>
  <c r="F146" i="14"/>
  <c r="N145" i="14"/>
  <c r="L145" i="14"/>
  <c r="K145" i="14"/>
  <c r="I145" i="14"/>
  <c r="F145" i="14"/>
  <c r="N144" i="14"/>
  <c r="L144" i="14"/>
  <c r="K144" i="14"/>
  <c r="I144" i="14"/>
  <c r="F144" i="14"/>
  <c r="N143" i="14"/>
  <c r="L143" i="14"/>
  <c r="K143" i="14"/>
  <c r="I143" i="14"/>
  <c r="F143" i="14"/>
  <c r="N142" i="14"/>
  <c r="L142" i="14"/>
  <c r="K142" i="14"/>
  <c r="I142" i="14"/>
  <c r="F142" i="14"/>
  <c r="N141" i="14"/>
  <c r="L141" i="14"/>
  <c r="K141" i="14"/>
  <c r="I141" i="14"/>
  <c r="F141" i="14"/>
  <c r="N140" i="14"/>
  <c r="L140" i="14"/>
  <c r="K140" i="14"/>
  <c r="I140" i="14"/>
  <c r="F140" i="14"/>
  <c r="N139" i="14"/>
  <c r="L139" i="14"/>
  <c r="K139" i="14"/>
  <c r="I139" i="14"/>
  <c r="F139" i="14"/>
  <c r="N138" i="14"/>
  <c r="L138" i="14"/>
  <c r="K138" i="14"/>
  <c r="I138" i="14"/>
  <c r="F138" i="14"/>
  <c r="N137" i="14"/>
  <c r="L137" i="14"/>
  <c r="K137" i="14"/>
  <c r="I137" i="14"/>
  <c r="F137" i="14"/>
  <c r="N136" i="14"/>
  <c r="L136" i="14"/>
  <c r="K136" i="14"/>
  <c r="I136" i="14"/>
  <c r="F136" i="14"/>
  <c r="N135" i="14"/>
  <c r="L135" i="14"/>
  <c r="K135" i="14"/>
  <c r="I135" i="14"/>
  <c r="F135" i="14"/>
  <c r="N134" i="14"/>
  <c r="L134" i="14"/>
  <c r="K134" i="14"/>
  <c r="I134" i="14"/>
  <c r="F134" i="14"/>
  <c r="N8" i="17"/>
  <c r="L8" i="17"/>
  <c r="K8" i="17"/>
  <c r="I8" i="17"/>
  <c r="F8" i="17"/>
  <c r="N23" i="16"/>
  <c r="L23" i="16"/>
  <c r="K23" i="16"/>
  <c r="I23" i="16"/>
  <c r="F23" i="16"/>
  <c r="N22" i="16"/>
  <c r="L22" i="16"/>
  <c r="K22" i="16"/>
  <c r="I22" i="16"/>
  <c r="F22" i="16"/>
  <c r="N21" i="16"/>
  <c r="L21" i="16"/>
  <c r="K21" i="16"/>
  <c r="I21" i="16"/>
  <c r="F21" i="16"/>
  <c r="N20" i="16"/>
  <c r="L20" i="16"/>
  <c r="K20" i="16"/>
  <c r="I20" i="16"/>
  <c r="F20" i="16"/>
  <c r="N13" i="21"/>
  <c r="L13" i="21"/>
  <c r="K13" i="21"/>
  <c r="I13" i="21"/>
  <c r="F13" i="21"/>
  <c r="N40" i="15"/>
  <c r="L40" i="15"/>
  <c r="K40" i="15"/>
  <c r="I40" i="15"/>
  <c r="F40" i="15"/>
  <c r="N39" i="15"/>
  <c r="L39" i="15"/>
  <c r="K39" i="15"/>
  <c r="I39" i="15"/>
  <c r="F39" i="15"/>
  <c r="N15" i="19"/>
  <c r="L15" i="19"/>
  <c r="K15" i="19"/>
  <c r="I15" i="19"/>
  <c r="F15" i="19"/>
  <c r="N14" i="19"/>
  <c r="L14" i="19"/>
  <c r="K14" i="19"/>
  <c r="I14" i="19"/>
  <c r="F14" i="19"/>
  <c r="N13" i="19"/>
  <c r="L13" i="19"/>
  <c r="K13" i="19"/>
  <c r="I13" i="19"/>
  <c r="F13" i="19"/>
  <c r="N12" i="19"/>
  <c r="L12" i="19"/>
  <c r="K12" i="19"/>
  <c r="I12" i="19"/>
  <c r="F12" i="19"/>
  <c r="N21" i="12"/>
  <c r="L21" i="12"/>
  <c r="K21" i="12"/>
  <c r="I21" i="12"/>
  <c r="F21" i="12"/>
  <c r="N20" i="12"/>
  <c r="L20" i="12"/>
  <c r="K20" i="12"/>
  <c r="I20" i="12"/>
  <c r="F20" i="12"/>
  <c r="N33" i="9"/>
  <c r="L33" i="9"/>
  <c r="K33" i="9"/>
  <c r="I33" i="9"/>
  <c r="F33" i="9"/>
  <c r="N32" i="9"/>
  <c r="L32" i="9"/>
  <c r="K32" i="9"/>
  <c r="I32" i="9"/>
  <c r="F32" i="9"/>
  <c r="N31" i="9"/>
  <c r="L31" i="9"/>
  <c r="K31" i="9"/>
  <c r="I31" i="9"/>
  <c r="F31" i="9"/>
  <c r="N30" i="9"/>
  <c r="L30" i="9"/>
  <c r="K30" i="9"/>
  <c r="I30" i="9"/>
  <c r="F30" i="9"/>
  <c r="N33" i="11"/>
  <c r="L33" i="11"/>
  <c r="K33" i="11"/>
  <c r="I33" i="11"/>
  <c r="F33" i="11"/>
  <c r="N32" i="11"/>
  <c r="L32" i="11"/>
  <c r="K32" i="11"/>
  <c r="I32" i="11"/>
  <c r="F32" i="11"/>
  <c r="N31" i="11"/>
  <c r="L31" i="11"/>
  <c r="K31" i="11"/>
  <c r="I31" i="11"/>
  <c r="F31" i="11"/>
  <c r="N30" i="11"/>
  <c r="L30" i="11"/>
  <c r="K30" i="11"/>
  <c r="I30" i="11"/>
  <c r="F30" i="11"/>
  <c r="E201" i="3" l="1"/>
  <c r="M183" i="3"/>
  <c r="J202" i="3"/>
  <c r="J200" i="3"/>
  <c r="M182" i="3"/>
  <c r="J198" i="3"/>
  <c r="M200" i="3"/>
  <c r="K185" i="3"/>
  <c r="E197" i="3"/>
  <c r="H194" i="3"/>
  <c r="M177" i="3"/>
  <c r="H179" i="3"/>
  <c r="H200" i="3"/>
  <c r="J182" i="3"/>
  <c r="M194" i="3"/>
  <c r="E191" i="3"/>
  <c r="E189" i="3"/>
  <c r="M202" i="3"/>
  <c r="H191" i="3"/>
  <c r="J187" i="3"/>
  <c r="E194" i="3"/>
  <c r="H177" i="3"/>
  <c r="J194" i="3"/>
  <c r="E184" i="3"/>
  <c r="E202" i="3"/>
  <c r="J183" i="3"/>
  <c r="E199" i="3"/>
  <c r="M179" i="3"/>
  <c r="M187" i="3"/>
  <c r="H201" i="3"/>
  <c r="E179" i="3"/>
  <c r="K200" i="3"/>
  <c r="E192" i="3"/>
  <c r="E188" i="3"/>
  <c r="H189" i="3"/>
  <c r="E178" i="3"/>
  <c r="J191" i="3"/>
  <c r="J197" i="3"/>
  <c r="H192" i="3"/>
  <c r="M199" i="3"/>
  <c r="M178" i="3"/>
  <c r="E186" i="3"/>
  <c r="H187" i="3"/>
  <c r="M191" i="3"/>
  <c r="K193" i="3"/>
  <c r="J178" i="3"/>
  <c r="E195" i="3"/>
  <c r="J186" i="3"/>
  <c r="M197" i="3"/>
  <c r="E180" i="3"/>
  <c r="H197" i="3"/>
  <c r="M192" i="3"/>
  <c r="E193" i="3"/>
  <c r="M193" i="3"/>
  <c r="E200" i="3"/>
  <c r="K182" i="3"/>
  <c r="K196" i="3"/>
  <c r="H199" i="3"/>
  <c r="J189" i="3"/>
  <c r="M184" i="3"/>
  <c r="H186" i="3"/>
  <c r="J192" i="3"/>
  <c r="J199" i="3"/>
  <c r="M189" i="3"/>
  <c r="E190" i="3"/>
  <c r="K179" i="3"/>
  <c r="M186" i="3"/>
  <c r="H182" i="3"/>
  <c r="E182" i="3"/>
  <c r="M195" i="3"/>
  <c r="M181" i="3"/>
  <c r="M196" i="3"/>
  <c r="M185" i="3"/>
  <c r="K189" i="3"/>
  <c r="J177" i="3"/>
  <c r="H178" i="3"/>
  <c r="H188" i="3"/>
  <c r="E177" i="3"/>
  <c r="E187" i="3"/>
  <c r="J196" i="3"/>
  <c r="H196" i="3"/>
  <c r="E196" i="3"/>
  <c r="H195" i="3"/>
  <c r="M188" i="3"/>
  <c r="E185" i="3"/>
  <c r="J185" i="3"/>
  <c r="J184" i="3"/>
  <c r="H185" i="3"/>
  <c r="H183" i="3"/>
  <c r="E183" i="3"/>
  <c r="J181" i="3"/>
  <c r="H180" i="3"/>
  <c r="H202" i="3"/>
  <c r="M201" i="3"/>
  <c r="J201" i="3"/>
  <c r="H198" i="3"/>
  <c r="E198" i="3"/>
  <c r="M198" i="3"/>
  <c r="J195" i="3"/>
  <c r="H190" i="3"/>
  <c r="M190" i="3"/>
  <c r="J190" i="3"/>
  <c r="J188" i="3"/>
  <c r="H184" i="3"/>
  <c r="H181" i="3"/>
  <c r="E181" i="3"/>
  <c r="M180" i="3"/>
  <c r="J180" i="3"/>
  <c r="J179" i="3"/>
  <c r="K181" i="3"/>
  <c r="K177" i="3"/>
  <c r="K199" i="3"/>
  <c r="K195" i="3"/>
  <c r="K192" i="3"/>
  <c r="K188" i="3"/>
  <c r="K184" i="3"/>
  <c r="K180" i="3"/>
  <c r="K202" i="3"/>
  <c r="K198" i="3"/>
  <c r="K194" i="3"/>
  <c r="K191" i="3"/>
  <c r="K187" i="3"/>
  <c r="K183" i="3"/>
  <c r="K197" i="3"/>
  <c r="K190" i="3"/>
  <c r="K186" i="3"/>
  <c r="K178" i="3"/>
  <c r="K201" i="3"/>
  <c r="E9" i="4"/>
  <c r="G9" i="4"/>
  <c r="H9" i="4"/>
  <c r="J9" i="4"/>
  <c r="K9" i="4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D176" i="3"/>
  <c r="D175" i="3"/>
  <c r="D174" i="3"/>
  <c r="D173" i="3"/>
  <c r="D172" i="3"/>
  <c r="D167" i="3"/>
  <c r="D168" i="3"/>
  <c r="D169" i="3"/>
  <c r="D170" i="3"/>
  <c r="D171" i="3"/>
  <c r="D164" i="3"/>
  <c r="D165" i="3"/>
  <c r="D166" i="3"/>
  <c r="D163" i="3"/>
  <c r="D162" i="3"/>
  <c r="D161" i="3"/>
  <c r="D160" i="3"/>
  <c r="D159" i="3"/>
  <c r="D158" i="3"/>
  <c r="D157" i="3"/>
  <c r="D154" i="3"/>
  <c r="D155" i="3"/>
  <c r="D156" i="3"/>
  <c r="D153" i="3"/>
  <c r="D152" i="3"/>
  <c r="D151" i="3"/>
  <c r="F224" i="1"/>
  <c r="I224" i="1"/>
  <c r="K224" i="1"/>
  <c r="L224" i="1"/>
  <c r="N224" i="1"/>
  <c r="F225" i="1"/>
  <c r="I225" i="1"/>
  <c r="K225" i="1"/>
  <c r="L225" i="1"/>
  <c r="N225" i="1"/>
  <c r="F226" i="1"/>
  <c r="I226" i="1"/>
  <c r="K226" i="1"/>
  <c r="L226" i="1"/>
  <c r="N226" i="1"/>
  <c r="F227" i="1"/>
  <c r="I227" i="1"/>
  <c r="K227" i="1"/>
  <c r="L227" i="1"/>
  <c r="N227" i="1"/>
  <c r="F228" i="1"/>
  <c r="I228" i="1"/>
  <c r="K228" i="1"/>
  <c r="L228" i="1"/>
  <c r="N228" i="1"/>
  <c r="F229" i="1"/>
  <c r="I229" i="1"/>
  <c r="K229" i="1"/>
  <c r="L229" i="1"/>
  <c r="N229" i="1"/>
  <c r="F230" i="1"/>
  <c r="I230" i="1"/>
  <c r="K230" i="1"/>
  <c r="L230" i="1"/>
  <c r="N230" i="1"/>
  <c r="F231" i="1"/>
  <c r="I231" i="1"/>
  <c r="K231" i="1"/>
  <c r="L231" i="1"/>
  <c r="N231" i="1"/>
  <c r="F232" i="1"/>
  <c r="I232" i="1"/>
  <c r="K232" i="1"/>
  <c r="L232" i="1"/>
  <c r="N232" i="1"/>
  <c r="F233" i="1"/>
  <c r="I233" i="1"/>
  <c r="K233" i="1"/>
  <c r="L233" i="1"/>
  <c r="N233" i="1"/>
  <c r="F234" i="1"/>
  <c r="I234" i="1"/>
  <c r="K234" i="1"/>
  <c r="L234" i="1"/>
  <c r="N234" i="1"/>
  <c r="F235" i="1"/>
  <c r="I235" i="1"/>
  <c r="K235" i="1"/>
  <c r="L235" i="1"/>
  <c r="N235" i="1"/>
  <c r="F236" i="1"/>
  <c r="I236" i="1"/>
  <c r="K236" i="1"/>
  <c r="L236" i="1"/>
  <c r="N236" i="1"/>
  <c r="F237" i="1"/>
  <c r="I237" i="1"/>
  <c r="K237" i="1"/>
  <c r="L237" i="1"/>
  <c r="N237" i="1"/>
  <c r="F238" i="1"/>
  <c r="I238" i="1"/>
  <c r="K238" i="1"/>
  <c r="L238" i="1"/>
  <c r="N238" i="1"/>
  <c r="F239" i="1"/>
  <c r="I239" i="1"/>
  <c r="K239" i="1"/>
  <c r="L239" i="1"/>
  <c r="N239" i="1"/>
  <c r="F240" i="1"/>
  <c r="I240" i="1"/>
  <c r="K240" i="1"/>
  <c r="L240" i="1"/>
  <c r="N240" i="1"/>
  <c r="F241" i="1"/>
  <c r="I241" i="1"/>
  <c r="K241" i="1"/>
  <c r="L241" i="1"/>
  <c r="N241" i="1"/>
  <c r="F242" i="1"/>
  <c r="I242" i="1"/>
  <c r="K242" i="1"/>
  <c r="L242" i="1"/>
  <c r="N242" i="1"/>
  <c r="F243" i="1"/>
  <c r="I243" i="1"/>
  <c r="K243" i="1"/>
  <c r="L243" i="1"/>
  <c r="N243" i="1"/>
  <c r="F244" i="1"/>
  <c r="I244" i="1"/>
  <c r="K244" i="1"/>
  <c r="L244" i="1"/>
  <c r="N244" i="1"/>
  <c r="F245" i="1"/>
  <c r="I245" i="1"/>
  <c r="K245" i="1"/>
  <c r="L245" i="1"/>
  <c r="N245" i="1"/>
  <c r="F246" i="1"/>
  <c r="I246" i="1"/>
  <c r="K246" i="1"/>
  <c r="L246" i="1"/>
  <c r="N246" i="1"/>
  <c r="F247" i="1"/>
  <c r="I247" i="1"/>
  <c r="K247" i="1"/>
  <c r="L247" i="1"/>
  <c r="N247" i="1"/>
  <c r="F248" i="1"/>
  <c r="I248" i="1"/>
  <c r="K248" i="1"/>
  <c r="L248" i="1"/>
  <c r="N248" i="1"/>
  <c r="F249" i="1"/>
  <c r="I249" i="1"/>
  <c r="K249" i="1"/>
  <c r="L249" i="1"/>
  <c r="N249" i="1"/>
  <c r="F250" i="1"/>
  <c r="I250" i="1"/>
  <c r="K250" i="1"/>
  <c r="L250" i="1"/>
  <c r="N250" i="1"/>
  <c r="F251" i="1"/>
  <c r="I251" i="1"/>
  <c r="K251" i="1"/>
  <c r="L251" i="1"/>
  <c r="N251" i="1"/>
  <c r="F252" i="1"/>
  <c r="I252" i="1"/>
  <c r="K252" i="1"/>
  <c r="L252" i="1"/>
  <c r="N252" i="1"/>
  <c r="F253" i="1"/>
  <c r="I253" i="1"/>
  <c r="K253" i="1"/>
  <c r="L253" i="1"/>
  <c r="N253" i="1"/>
  <c r="F254" i="1"/>
  <c r="I254" i="1"/>
  <c r="K254" i="1"/>
  <c r="L254" i="1"/>
  <c r="N254" i="1"/>
  <c r="F255" i="1"/>
  <c r="I255" i="1"/>
  <c r="K255" i="1"/>
  <c r="L255" i="1"/>
  <c r="N255" i="1"/>
  <c r="F256" i="1"/>
  <c r="I256" i="1"/>
  <c r="K256" i="1"/>
  <c r="L256" i="1"/>
  <c r="N256" i="1"/>
  <c r="F257" i="1"/>
  <c r="I257" i="1"/>
  <c r="K257" i="1"/>
  <c r="L257" i="1"/>
  <c r="N257" i="1"/>
  <c r="F258" i="1"/>
  <c r="I258" i="1"/>
  <c r="K258" i="1"/>
  <c r="L258" i="1"/>
  <c r="N258" i="1"/>
  <c r="F259" i="1"/>
  <c r="I259" i="1"/>
  <c r="K259" i="1"/>
  <c r="L259" i="1"/>
  <c r="N259" i="1"/>
  <c r="N19" i="16"/>
  <c r="L19" i="16"/>
  <c r="K19" i="16"/>
  <c r="I19" i="16"/>
  <c r="F19" i="16"/>
  <c r="N18" i="16"/>
  <c r="L18" i="16"/>
  <c r="K18" i="16"/>
  <c r="I18" i="16"/>
  <c r="F18" i="16"/>
  <c r="N17" i="16"/>
  <c r="L17" i="16"/>
  <c r="K17" i="16"/>
  <c r="I17" i="16"/>
  <c r="F17" i="16"/>
  <c r="N16" i="16"/>
  <c r="L16" i="16"/>
  <c r="K16" i="16"/>
  <c r="I16" i="16"/>
  <c r="F16" i="16"/>
  <c r="N15" i="16"/>
  <c r="L15" i="16"/>
  <c r="K15" i="16"/>
  <c r="I15" i="16"/>
  <c r="F15" i="16"/>
  <c r="N14" i="16"/>
  <c r="L14" i="16"/>
  <c r="K14" i="16"/>
  <c r="I14" i="16"/>
  <c r="F14" i="16"/>
  <c r="N13" i="16"/>
  <c r="L13" i="16"/>
  <c r="K13" i="16"/>
  <c r="I13" i="16"/>
  <c r="F13" i="16"/>
  <c r="N12" i="16"/>
  <c r="L12" i="16"/>
  <c r="K12" i="16"/>
  <c r="I12" i="16"/>
  <c r="F12" i="16"/>
  <c r="N12" i="21"/>
  <c r="L12" i="21"/>
  <c r="K12" i="21"/>
  <c r="I12" i="21"/>
  <c r="F12" i="21"/>
  <c r="N11" i="21"/>
  <c r="L11" i="21"/>
  <c r="K11" i="21"/>
  <c r="I11" i="21"/>
  <c r="F11" i="21"/>
  <c r="N4" i="18"/>
  <c r="L4" i="18"/>
  <c r="K4" i="18"/>
  <c r="I4" i="18"/>
  <c r="F4" i="18"/>
  <c r="N3" i="18"/>
  <c r="L3" i="18"/>
  <c r="K3" i="18"/>
  <c r="I3" i="18"/>
  <c r="F3" i="18"/>
  <c r="N38" i="15"/>
  <c r="L38" i="15"/>
  <c r="K38" i="15"/>
  <c r="I38" i="15"/>
  <c r="F38" i="15"/>
  <c r="N37" i="15"/>
  <c r="L37" i="15"/>
  <c r="K37" i="15"/>
  <c r="I37" i="15"/>
  <c r="F37" i="15"/>
  <c r="N36" i="15"/>
  <c r="L36" i="15"/>
  <c r="K36" i="15"/>
  <c r="I36" i="15"/>
  <c r="F36" i="15"/>
  <c r="N35" i="15"/>
  <c r="L35" i="15"/>
  <c r="K35" i="15"/>
  <c r="I35" i="15"/>
  <c r="F35" i="15"/>
  <c r="N34" i="15"/>
  <c r="L34" i="15"/>
  <c r="K34" i="15"/>
  <c r="I34" i="15"/>
  <c r="F34" i="15"/>
  <c r="N33" i="15"/>
  <c r="L33" i="15"/>
  <c r="K33" i="15"/>
  <c r="I33" i="15"/>
  <c r="F33" i="15"/>
  <c r="N32" i="15"/>
  <c r="L32" i="15"/>
  <c r="K32" i="15"/>
  <c r="I32" i="15"/>
  <c r="F32" i="15"/>
  <c r="N133" i="14"/>
  <c r="L133" i="14"/>
  <c r="K133" i="14"/>
  <c r="I133" i="14"/>
  <c r="F133" i="14"/>
  <c r="N132" i="14"/>
  <c r="L132" i="14"/>
  <c r="K132" i="14"/>
  <c r="I132" i="14"/>
  <c r="F132" i="14"/>
  <c r="N131" i="14"/>
  <c r="L131" i="14"/>
  <c r="K131" i="14"/>
  <c r="I131" i="14"/>
  <c r="F131" i="14"/>
  <c r="N130" i="14"/>
  <c r="L130" i="14"/>
  <c r="K130" i="14"/>
  <c r="I130" i="14"/>
  <c r="F130" i="14"/>
  <c r="N129" i="14"/>
  <c r="L129" i="14"/>
  <c r="K129" i="14"/>
  <c r="I129" i="14"/>
  <c r="F129" i="14"/>
  <c r="N128" i="14"/>
  <c r="L128" i="14"/>
  <c r="K128" i="14"/>
  <c r="I128" i="14"/>
  <c r="F128" i="14"/>
  <c r="N127" i="14"/>
  <c r="L127" i="14"/>
  <c r="K127" i="14"/>
  <c r="I127" i="14"/>
  <c r="F127" i="14"/>
  <c r="N126" i="14"/>
  <c r="L126" i="14"/>
  <c r="K126" i="14"/>
  <c r="I126" i="14"/>
  <c r="F126" i="14"/>
  <c r="N125" i="14"/>
  <c r="L125" i="14"/>
  <c r="K125" i="14"/>
  <c r="I125" i="14"/>
  <c r="F125" i="14"/>
  <c r="N124" i="14"/>
  <c r="L124" i="14"/>
  <c r="K124" i="14"/>
  <c r="I124" i="14"/>
  <c r="F124" i="14"/>
  <c r="N123" i="14"/>
  <c r="L123" i="14"/>
  <c r="K123" i="14"/>
  <c r="I123" i="14"/>
  <c r="F123" i="14"/>
  <c r="N122" i="14"/>
  <c r="L122" i="14"/>
  <c r="K122" i="14"/>
  <c r="I122" i="14"/>
  <c r="F122" i="14"/>
  <c r="N121" i="14"/>
  <c r="L121" i="14"/>
  <c r="K121" i="14"/>
  <c r="I121" i="14"/>
  <c r="F121" i="14"/>
  <c r="N120" i="14"/>
  <c r="L120" i="14"/>
  <c r="K120" i="14"/>
  <c r="I120" i="14"/>
  <c r="F120" i="14"/>
  <c r="N118" i="14"/>
  <c r="L118" i="14"/>
  <c r="K118" i="14"/>
  <c r="I118" i="14"/>
  <c r="F118" i="14"/>
  <c r="N117" i="14"/>
  <c r="L117" i="14"/>
  <c r="K117" i="14"/>
  <c r="I117" i="14"/>
  <c r="F117" i="14"/>
  <c r="N116" i="14"/>
  <c r="L116" i="14"/>
  <c r="K116" i="14"/>
  <c r="I116" i="14"/>
  <c r="F116" i="14"/>
  <c r="N115" i="14"/>
  <c r="L115" i="14"/>
  <c r="K115" i="14"/>
  <c r="I115" i="14"/>
  <c r="F115" i="14"/>
  <c r="N19" i="12"/>
  <c r="L19" i="12"/>
  <c r="K19" i="12"/>
  <c r="I19" i="12"/>
  <c r="F19" i="12"/>
  <c r="N18" i="12"/>
  <c r="L18" i="12"/>
  <c r="K18" i="12"/>
  <c r="I18" i="12"/>
  <c r="F18" i="12"/>
  <c r="N17" i="12"/>
  <c r="L17" i="12"/>
  <c r="K17" i="12"/>
  <c r="I17" i="12"/>
  <c r="F17" i="12"/>
  <c r="N29" i="9"/>
  <c r="L29" i="9"/>
  <c r="K29" i="9"/>
  <c r="I29" i="9"/>
  <c r="F29" i="9"/>
  <c r="N28" i="9"/>
  <c r="L28" i="9"/>
  <c r="K28" i="9"/>
  <c r="I28" i="9"/>
  <c r="F28" i="9"/>
  <c r="N27" i="9"/>
  <c r="L27" i="9"/>
  <c r="K27" i="9"/>
  <c r="I27" i="9"/>
  <c r="F27" i="9"/>
  <c r="N26" i="9"/>
  <c r="L26" i="9"/>
  <c r="K26" i="9"/>
  <c r="I26" i="9"/>
  <c r="F26" i="9"/>
  <c r="N29" i="11"/>
  <c r="L29" i="11"/>
  <c r="K29" i="11"/>
  <c r="I29" i="11"/>
  <c r="F29" i="11"/>
  <c r="N28" i="11"/>
  <c r="L28" i="11"/>
  <c r="K28" i="11"/>
  <c r="I28" i="11"/>
  <c r="F28" i="11"/>
  <c r="N27" i="11"/>
  <c r="L27" i="11"/>
  <c r="K27" i="11"/>
  <c r="I27" i="11"/>
  <c r="F27" i="11"/>
  <c r="N26" i="11"/>
  <c r="L26" i="11"/>
  <c r="K26" i="11"/>
  <c r="I26" i="11"/>
  <c r="F26" i="11"/>
  <c r="E154" i="3" l="1"/>
  <c r="M157" i="3"/>
  <c r="M165" i="3"/>
  <c r="M151" i="3"/>
  <c r="M152" i="3"/>
  <c r="M172" i="3"/>
  <c r="M173" i="3"/>
  <c r="M159" i="3"/>
  <c r="M174" i="3"/>
  <c r="J160" i="3"/>
  <c r="H170" i="3"/>
  <c r="J176" i="3"/>
  <c r="J167" i="3"/>
  <c r="E158" i="3"/>
  <c r="E156" i="3"/>
  <c r="E162" i="3"/>
  <c r="H174" i="3"/>
  <c r="J157" i="3"/>
  <c r="J165" i="3"/>
  <c r="K152" i="3"/>
  <c r="K160" i="3"/>
  <c r="K168" i="3"/>
  <c r="M163" i="3"/>
  <c r="M171" i="3"/>
  <c r="H155" i="3"/>
  <c r="E153" i="3"/>
  <c r="E161" i="3"/>
  <c r="E171" i="3"/>
  <c r="M168" i="3"/>
  <c r="M170" i="3"/>
  <c r="E166" i="3"/>
  <c r="K176" i="3"/>
  <c r="E174" i="3"/>
  <c r="E169" i="3"/>
  <c r="M160" i="3"/>
  <c r="H157" i="3"/>
  <c r="E160" i="3"/>
  <c r="K156" i="3"/>
  <c r="J164" i="3"/>
  <c r="E172" i="3"/>
  <c r="E155" i="3"/>
  <c r="E170" i="3"/>
  <c r="J158" i="3"/>
  <c r="J174" i="3"/>
  <c r="J154" i="3"/>
  <c r="E165" i="3"/>
  <c r="H172" i="3"/>
  <c r="J172" i="3"/>
  <c r="H162" i="3"/>
  <c r="H167" i="3"/>
  <c r="M156" i="3"/>
  <c r="H168" i="3"/>
  <c r="H154" i="3"/>
  <c r="J168" i="3"/>
  <c r="E168" i="3"/>
  <c r="M154" i="3"/>
  <c r="E157" i="3"/>
  <c r="M166" i="3"/>
  <c r="M164" i="3"/>
  <c r="H175" i="3"/>
  <c r="H163" i="3"/>
  <c r="H171" i="3"/>
  <c r="M167" i="3"/>
  <c r="M175" i="3"/>
  <c r="E152" i="3"/>
  <c r="H160" i="3"/>
  <c r="H156" i="3"/>
  <c r="J170" i="3"/>
  <c r="H159" i="3"/>
  <c r="E163" i="3"/>
  <c r="E173" i="3"/>
  <c r="M155" i="3"/>
  <c r="E151" i="3"/>
  <c r="E159" i="3"/>
  <c r="E167" i="3"/>
  <c r="E175" i="3"/>
  <c r="H165" i="3"/>
  <c r="H173" i="3"/>
  <c r="J155" i="3"/>
  <c r="J163" i="3"/>
  <c r="J171" i="3"/>
  <c r="M153" i="3"/>
  <c r="M161" i="3"/>
  <c r="H158" i="3"/>
  <c r="J156" i="3"/>
  <c r="K164" i="3"/>
  <c r="K172" i="3"/>
  <c r="J152" i="3"/>
  <c r="H151" i="3"/>
  <c r="H161" i="3"/>
  <c r="H152" i="3"/>
  <c r="J151" i="3"/>
  <c r="M158" i="3"/>
  <c r="H153" i="3"/>
  <c r="J153" i="3"/>
  <c r="J161" i="3"/>
  <c r="J162" i="3"/>
  <c r="E176" i="3"/>
  <c r="M176" i="3"/>
  <c r="J175" i="3"/>
  <c r="J173" i="3"/>
  <c r="M169" i="3"/>
  <c r="J169" i="3"/>
  <c r="H169" i="3"/>
  <c r="J166" i="3"/>
  <c r="H164" i="3"/>
  <c r="H166" i="3"/>
  <c r="E164" i="3"/>
  <c r="M162" i="3"/>
  <c r="J159" i="3"/>
  <c r="K175" i="3"/>
  <c r="K171" i="3"/>
  <c r="K167" i="3"/>
  <c r="K163" i="3"/>
  <c r="K159" i="3"/>
  <c r="K155" i="3"/>
  <c r="K151" i="3"/>
  <c r="H176" i="3"/>
  <c r="K174" i="3"/>
  <c r="K170" i="3"/>
  <c r="K166" i="3"/>
  <c r="K162" i="3"/>
  <c r="K158" i="3"/>
  <c r="K154" i="3"/>
  <c r="K173" i="3"/>
  <c r="K169" i="3"/>
  <c r="K165" i="3"/>
  <c r="K161" i="3"/>
  <c r="K157" i="3"/>
  <c r="K153" i="3"/>
  <c r="J8" i="4"/>
  <c r="K8" i="4"/>
  <c r="G8" i="4"/>
  <c r="H8" i="4"/>
  <c r="E8" i="4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D147" i="3"/>
  <c r="D148" i="3"/>
  <c r="D149" i="3"/>
  <c r="D150" i="3"/>
  <c r="D146" i="3"/>
  <c r="D145" i="3"/>
  <c r="D144" i="3"/>
  <c r="D143" i="3"/>
  <c r="D142" i="3"/>
  <c r="D141" i="3"/>
  <c r="D140" i="3"/>
  <c r="D139" i="3"/>
  <c r="M139" i="3" s="1"/>
  <c r="D138" i="3"/>
  <c r="D136" i="3"/>
  <c r="D137" i="3"/>
  <c r="D135" i="3"/>
  <c r="D134" i="3"/>
  <c r="D133" i="3"/>
  <c r="D132" i="3"/>
  <c r="D131" i="3"/>
  <c r="D124" i="3"/>
  <c r="D125" i="3"/>
  <c r="D126" i="3"/>
  <c r="D127" i="3"/>
  <c r="D128" i="3"/>
  <c r="D129" i="3"/>
  <c r="D130" i="3"/>
  <c r="D123" i="3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N11" i="19"/>
  <c r="L11" i="19"/>
  <c r="K11" i="19"/>
  <c r="I11" i="19"/>
  <c r="F11" i="19"/>
  <c r="N10" i="19"/>
  <c r="L10" i="19"/>
  <c r="K10" i="19"/>
  <c r="I10" i="19"/>
  <c r="F10" i="19"/>
  <c r="N9" i="19"/>
  <c r="L9" i="19"/>
  <c r="K9" i="19"/>
  <c r="I9" i="19"/>
  <c r="F9" i="19"/>
  <c r="N8" i="19"/>
  <c r="L8" i="19"/>
  <c r="K8" i="19"/>
  <c r="I8" i="19"/>
  <c r="F8" i="19"/>
  <c r="M143" i="3" l="1"/>
  <c r="E129" i="3"/>
  <c r="M133" i="3"/>
  <c r="M134" i="3"/>
  <c r="E125" i="3"/>
  <c r="E138" i="3"/>
  <c r="E146" i="3"/>
  <c r="K130" i="3"/>
  <c r="K126" i="3"/>
  <c r="K134" i="3"/>
  <c r="M150" i="3"/>
  <c r="E150" i="3"/>
  <c r="K149" i="3"/>
  <c r="M126" i="3"/>
  <c r="J136" i="3"/>
  <c r="K142" i="3"/>
  <c r="K150" i="3"/>
  <c r="M147" i="3"/>
  <c r="H148" i="3"/>
  <c r="E130" i="3"/>
  <c r="H149" i="3"/>
  <c r="H133" i="3"/>
  <c r="J129" i="3"/>
  <c r="J139" i="3"/>
  <c r="J150" i="3"/>
  <c r="J137" i="3"/>
  <c r="E148" i="3"/>
  <c r="H150" i="3"/>
  <c r="K129" i="3"/>
  <c r="K145" i="3"/>
  <c r="K125" i="3"/>
  <c r="J133" i="3"/>
  <c r="K141" i="3"/>
  <c r="K136" i="3"/>
  <c r="E127" i="3"/>
  <c r="E135" i="3"/>
  <c r="K127" i="3"/>
  <c r="E144" i="3"/>
  <c r="K128" i="3"/>
  <c r="H136" i="3"/>
  <c r="K144" i="3"/>
  <c r="J124" i="3"/>
  <c r="K132" i="3"/>
  <c r="K140" i="3"/>
  <c r="J148" i="3"/>
  <c r="J149" i="3"/>
  <c r="E149" i="3"/>
  <c r="M138" i="3"/>
  <c r="M149" i="3"/>
  <c r="M129" i="3"/>
  <c r="M124" i="3"/>
  <c r="H129" i="3"/>
  <c r="K143" i="3"/>
  <c r="M144" i="3"/>
  <c r="H137" i="3"/>
  <c r="E124" i="3"/>
  <c r="H138" i="3"/>
  <c r="H146" i="3"/>
  <c r="H125" i="3"/>
  <c r="M148" i="3"/>
  <c r="J125" i="3"/>
  <c r="K124" i="3"/>
  <c r="M146" i="3"/>
  <c r="J144" i="3"/>
  <c r="K138" i="3"/>
  <c r="K133" i="3"/>
  <c r="K146" i="3"/>
  <c r="H144" i="3"/>
  <c r="J138" i="3"/>
  <c r="H124" i="3"/>
  <c r="E132" i="3"/>
  <c r="J146" i="3"/>
  <c r="E143" i="3"/>
  <c r="H126" i="3"/>
  <c r="K148" i="3"/>
  <c r="K137" i="3"/>
  <c r="M125" i="3"/>
  <c r="E142" i="3"/>
  <c r="J123" i="3"/>
  <c r="K131" i="3"/>
  <c r="K139" i="3"/>
  <c r="J147" i="3"/>
  <c r="J127" i="3"/>
  <c r="E123" i="3"/>
  <c r="J135" i="3"/>
  <c r="E140" i="3"/>
  <c r="M123" i="3"/>
  <c r="H128" i="3"/>
  <c r="E147" i="3"/>
  <c r="H135" i="3"/>
  <c r="M135" i="3"/>
  <c r="K147" i="3"/>
  <c r="M128" i="3"/>
  <c r="J126" i="3"/>
  <c r="H143" i="3"/>
  <c r="E128" i="3"/>
  <c r="J134" i="3"/>
  <c r="H147" i="3"/>
  <c r="M142" i="3"/>
  <c r="H134" i="3"/>
  <c r="J130" i="3"/>
  <c r="J128" i="3"/>
  <c r="E126" i="3"/>
  <c r="K135" i="3"/>
  <c r="E134" i="3"/>
  <c r="H130" i="3"/>
  <c r="E136" i="3"/>
  <c r="H123" i="3"/>
  <c r="M137" i="3"/>
  <c r="M132" i="3"/>
  <c r="E137" i="3"/>
  <c r="E141" i="3"/>
  <c r="K123" i="3"/>
  <c r="E131" i="3"/>
  <c r="E145" i="3"/>
  <c r="M145" i="3"/>
  <c r="J145" i="3"/>
  <c r="H145" i="3"/>
  <c r="J143" i="3"/>
  <c r="J142" i="3"/>
  <c r="H142" i="3"/>
  <c r="M141" i="3"/>
  <c r="J141" i="3"/>
  <c r="H141" i="3"/>
  <c r="M140" i="3"/>
  <c r="J140" i="3"/>
  <c r="H140" i="3"/>
  <c r="H139" i="3"/>
  <c r="E139" i="3"/>
  <c r="M136" i="3"/>
  <c r="E133" i="3"/>
  <c r="J132" i="3"/>
  <c r="H132" i="3"/>
  <c r="M131" i="3"/>
  <c r="J131" i="3"/>
  <c r="H131" i="3"/>
  <c r="M127" i="3"/>
  <c r="M130" i="3"/>
  <c r="H127" i="3"/>
  <c r="N7" i="19"/>
  <c r="L7" i="19"/>
  <c r="K7" i="19"/>
  <c r="I7" i="19"/>
  <c r="F7" i="19"/>
  <c r="N6" i="19"/>
  <c r="L6" i="19"/>
  <c r="K6" i="19"/>
  <c r="I6" i="19"/>
  <c r="F6" i="19"/>
  <c r="N5" i="19"/>
  <c r="L5" i="19"/>
  <c r="K5" i="19"/>
  <c r="I5" i="19"/>
  <c r="F5" i="19"/>
  <c r="N4" i="19"/>
  <c r="L4" i="19"/>
  <c r="K4" i="19"/>
  <c r="I4" i="19"/>
  <c r="F4" i="19"/>
  <c r="F117" i="15" l="1"/>
  <c r="F26" i="20"/>
  <c r="F46" i="16"/>
  <c r="N11" i="16"/>
  <c r="L11" i="16"/>
  <c r="K11" i="16"/>
  <c r="I11" i="16"/>
  <c r="F11" i="16"/>
  <c r="F40" i="21"/>
  <c r="F10" i="21"/>
  <c r="N10" i="21"/>
  <c r="L10" i="21"/>
  <c r="K10" i="21"/>
  <c r="I10" i="21"/>
  <c r="N31" i="15"/>
  <c r="L31" i="15"/>
  <c r="K31" i="15"/>
  <c r="I31" i="15"/>
  <c r="F31" i="15"/>
  <c r="N30" i="15"/>
  <c r="L30" i="15"/>
  <c r="K30" i="15"/>
  <c r="I30" i="15"/>
  <c r="F30" i="15"/>
  <c r="N29" i="15"/>
  <c r="L29" i="15"/>
  <c r="K29" i="15"/>
  <c r="I29" i="15"/>
  <c r="F29" i="15"/>
  <c r="N28" i="15"/>
  <c r="L28" i="15"/>
  <c r="K28" i="15"/>
  <c r="I28" i="15"/>
  <c r="F28" i="15"/>
  <c r="N27" i="15"/>
  <c r="L27" i="15"/>
  <c r="K27" i="15"/>
  <c r="I27" i="15"/>
  <c r="F27" i="15"/>
  <c r="N26" i="15"/>
  <c r="L26" i="15"/>
  <c r="K26" i="15"/>
  <c r="I26" i="15"/>
  <c r="F26" i="15"/>
  <c r="N114" i="14"/>
  <c r="I96" i="14"/>
  <c r="I97" i="14"/>
  <c r="I98" i="14"/>
  <c r="I99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L114" i="14"/>
  <c r="K114" i="14"/>
  <c r="F114" i="14"/>
  <c r="N113" i="14"/>
  <c r="L113" i="14"/>
  <c r="K113" i="14"/>
  <c r="F113" i="14"/>
  <c r="N112" i="14"/>
  <c r="L112" i="14"/>
  <c r="K112" i="14"/>
  <c r="F112" i="14"/>
  <c r="N111" i="14"/>
  <c r="L111" i="14"/>
  <c r="K111" i="14"/>
  <c r="F111" i="14"/>
  <c r="N110" i="14"/>
  <c r="L110" i="14"/>
  <c r="K110" i="14"/>
  <c r="F110" i="14"/>
  <c r="N109" i="14"/>
  <c r="L109" i="14"/>
  <c r="K109" i="14"/>
  <c r="F109" i="14"/>
  <c r="N108" i="14"/>
  <c r="L108" i="14"/>
  <c r="K108" i="14"/>
  <c r="F108" i="14"/>
  <c r="N107" i="14"/>
  <c r="L107" i="14"/>
  <c r="K107" i="14"/>
  <c r="F107" i="14"/>
  <c r="N106" i="14"/>
  <c r="L106" i="14"/>
  <c r="K106" i="14"/>
  <c r="F106" i="14"/>
  <c r="N105" i="14"/>
  <c r="L105" i="14"/>
  <c r="K105" i="14"/>
  <c r="F105" i="14"/>
  <c r="N104" i="14"/>
  <c r="L104" i="14"/>
  <c r="K104" i="14"/>
  <c r="F104" i="14"/>
  <c r="N103" i="14"/>
  <c r="L103" i="14"/>
  <c r="K103" i="14"/>
  <c r="F103" i="14"/>
  <c r="N102" i="14"/>
  <c r="L102" i="14"/>
  <c r="K102" i="14"/>
  <c r="F102" i="14"/>
  <c r="N101" i="14"/>
  <c r="L101" i="14"/>
  <c r="K101" i="14"/>
  <c r="F101" i="14"/>
  <c r="N99" i="14"/>
  <c r="L99" i="14"/>
  <c r="K99" i="14"/>
  <c r="F99" i="14"/>
  <c r="N98" i="14"/>
  <c r="L98" i="14"/>
  <c r="K98" i="14"/>
  <c r="F98" i="14"/>
  <c r="N97" i="14"/>
  <c r="L97" i="14"/>
  <c r="K97" i="14"/>
  <c r="F97" i="14"/>
  <c r="N96" i="14"/>
  <c r="L96" i="14"/>
  <c r="K96" i="14"/>
  <c r="F96" i="14"/>
  <c r="F75" i="12"/>
  <c r="F72" i="12"/>
  <c r="F69" i="12"/>
  <c r="F66" i="12"/>
  <c r="N15" i="12"/>
  <c r="N16" i="12"/>
  <c r="L15" i="12"/>
  <c r="L16" i="12"/>
  <c r="K15" i="12"/>
  <c r="K16" i="12"/>
  <c r="I15" i="12"/>
  <c r="I16" i="12"/>
  <c r="F15" i="12"/>
  <c r="F16" i="12"/>
  <c r="F105" i="9"/>
  <c r="N22" i="9"/>
  <c r="N23" i="9"/>
  <c r="N24" i="9"/>
  <c r="N25" i="9"/>
  <c r="L22" i="9"/>
  <c r="L23" i="9"/>
  <c r="L24" i="9"/>
  <c r="L25" i="9"/>
  <c r="K22" i="9"/>
  <c r="K23" i="9"/>
  <c r="K24" i="9"/>
  <c r="K25" i="9"/>
  <c r="I22" i="9"/>
  <c r="I23" i="9"/>
  <c r="I24" i="9"/>
  <c r="I25" i="9"/>
  <c r="F22" i="9"/>
  <c r="F23" i="9"/>
  <c r="F24" i="9"/>
  <c r="F25" i="9"/>
  <c r="F103" i="11"/>
  <c r="N22" i="11"/>
  <c r="N23" i="11"/>
  <c r="N24" i="11"/>
  <c r="N25" i="11"/>
  <c r="L22" i="11"/>
  <c r="L23" i="11"/>
  <c r="L24" i="11"/>
  <c r="L25" i="11"/>
  <c r="K22" i="11"/>
  <c r="K23" i="11"/>
  <c r="K24" i="11"/>
  <c r="K25" i="11"/>
  <c r="I22" i="11"/>
  <c r="I23" i="11"/>
  <c r="I24" i="11"/>
  <c r="I25" i="11"/>
  <c r="F22" i="11"/>
  <c r="F23" i="11"/>
  <c r="F24" i="11"/>
  <c r="F25" i="11"/>
  <c r="K7" i="4"/>
  <c r="J7" i="4"/>
  <c r="H7" i="4"/>
  <c r="G7" i="4"/>
  <c r="E7" i="4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N10" i="16"/>
  <c r="L10" i="16"/>
  <c r="K10" i="16"/>
  <c r="I10" i="16"/>
  <c r="F10" i="16"/>
  <c r="M67" i="12" l="1"/>
  <c r="F33" i="17"/>
  <c r="N7" i="17"/>
  <c r="L7" i="17"/>
  <c r="K7" i="17"/>
  <c r="I7" i="17"/>
  <c r="F7" i="17"/>
  <c r="N6" i="17"/>
  <c r="L6" i="17"/>
  <c r="K6" i="17"/>
  <c r="I6" i="17"/>
  <c r="F6" i="17"/>
  <c r="N5" i="17"/>
  <c r="L5" i="17"/>
  <c r="K5" i="17"/>
  <c r="I5" i="17"/>
  <c r="F5" i="17"/>
  <c r="N4" i="17"/>
  <c r="L4" i="17"/>
  <c r="K4" i="17"/>
  <c r="I4" i="17"/>
  <c r="F4" i="17"/>
  <c r="N9" i="16"/>
  <c r="L9" i="16"/>
  <c r="K9" i="16"/>
  <c r="I9" i="16"/>
  <c r="F9" i="16"/>
  <c r="N8" i="16"/>
  <c r="L8" i="16"/>
  <c r="K8" i="16"/>
  <c r="I8" i="16"/>
  <c r="F8" i="16"/>
  <c r="N7" i="16"/>
  <c r="L7" i="16"/>
  <c r="K7" i="16"/>
  <c r="I7" i="16"/>
  <c r="F7" i="16"/>
  <c r="N6" i="16"/>
  <c r="L6" i="16"/>
  <c r="K6" i="16"/>
  <c r="I6" i="16"/>
  <c r="F6" i="16"/>
  <c r="N9" i="21"/>
  <c r="L9" i="21"/>
  <c r="K9" i="21"/>
  <c r="I9" i="21"/>
  <c r="F9" i="21"/>
  <c r="N8" i="21"/>
  <c r="L8" i="21"/>
  <c r="K8" i="21"/>
  <c r="I8" i="21"/>
  <c r="F8" i="21"/>
  <c r="N22" i="15"/>
  <c r="L22" i="15"/>
  <c r="K22" i="15"/>
  <c r="I22" i="15"/>
  <c r="F22" i="15"/>
  <c r="N21" i="15"/>
  <c r="L21" i="15"/>
  <c r="K21" i="15"/>
  <c r="I21" i="15"/>
  <c r="F21" i="15"/>
  <c r="N20" i="15"/>
  <c r="L20" i="15"/>
  <c r="K20" i="15"/>
  <c r="I20" i="15"/>
  <c r="F20" i="15"/>
  <c r="N19" i="15"/>
  <c r="L19" i="15"/>
  <c r="K19" i="15"/>
  <c r="I19" i="15"/>
  <c r="F19" i="15"/>
  <c r="N25" i="15"/>
  <c r="L25" i="15"/>
  <c r="K25" i="15"/>
  <c r="I25" i="15"/>
  <c r="F25" i="15"/>
  <c r="N24" i="15"/>
  <c r="L24" i="15"/>
  <c r="K24" i="15"/>
  <c r="I24" i="15"/>
  <c r="F24" i="15"/>
  <c r="N23" i="15"/>
  <c r="L23" i="15"/>
  <c r="K23" i="15"/>
  <c r="I23" i="15"/>
  <c r="F23" i="15"/>
  <c r="N95" i="14"/>
  <c r="L95" i="14"/>
  <c r="K95" i="14"/>
  <c r="I95" i="14"/>
  <c r="F95" i="14"/>
  <c r="N94" i="14"/>
  <c r="L94" i="14"/>
  <c r="K94" i="14"/>
  <c r="I94" i="14"/>
  <c r="F94" i="14"/>
  <c r="N93" i="14"/>
  <c r="L93" i="14"/>
  <c r="K93" i="14"/>
  <c r="I93" i="14"/>
  <c r="F93" i="14"/>
  <c r="N92" i="14"/>
  <c r="L92" i="14"/>
  <c r="K92" i="14"/>
  <c r="I92" i="14"/>
  <c r="F92" i="14"/>
  <c r="N91" i="14"/>
  <c r="L91" i="14"/>
  <c r="K91" i="14"/>
  <c r="I91" i="14"/>
  <c r="F91" i="14"/>
  <c r="N90" i="14"/>
  <c r="L90" i="14"/>
  <c r="K90" i="14"/>
  <c r="I90" i="14"/>
  <c r="F90" i="14"/>
  <c r="N89" i="14"/>
  <c r="L89" i="14"/>
  <c r="K89" i="14"/>
  <c r="I89" i="14"/>
  <c r="F89" i="14"/>
  <c r="N88" i="14"/>
  <c r="L88" i="14"/>
  <c r="K88" i="14"/>
  <c r="I88" i="14"/>
  <c r="F88" i="14"/>
  <c r="N86" i="14"/>
  <c r="L86" i="14"/>
  <c r="K86" i="14"/>
  <c r="I86" i="14"/>
  <c r="F86" i="14"/>
  <c r="N85" i="14"/>
  <c r="L85" i="14"/>
  <c r="K85" i="14"/>
  <c r="I85" i="14"/>
  <c r="F85" i="14"/>
  <c r="N84" i="14"/>
  <c r="L84" i="14"/>
  <c r="K84" i="14"/>
  <c r="I84" i="14"/>
  <c r="F84" i="14"/>
  <c r="N83" i="14"/>
  <c r="L83" i="14"/>
  <c r="K83" i="14"/>
  <c r="I83" i="14"/>
  <c r="F83" i="14"/>
  <c r="N82" i="14"/>
  <c r="L82" i="14"/>
  <c r="K82" i="14"/>
  <c r="I82" i="14"/>
  <c r="F82" i="14"/>
  <c r="N81" i="14"/>
  <c r="L81" i="14"/>
  <c r="K81" i="14"/>
  <c r="I81" i="14"/>
  <c r="F81" i="14"/>
  <c r="N14" i="12"/>
  <c r="L14" i="12"/>
  <c r="K14" i="12"/>
  <c r="I14" i="12"/>
  <c r="F14" i="12"/>
  <c r="N13" i="12"/>
  <c r="L13" i="12"/>
  <c r="K13" i="12"/>
  <c r="I13" i="12"/>
  <c r="F13" i="12"/>
  <c r="N12" i="12"/>
  <c r="L12" i="12"/>
  <c r="K12" i="12"/>
  <c r="I12" i="12"/>
  <c r="F12" i="12"/>
  <c r="N21" i="9"/>
  <c r="L21" i="9"/>
  <c r="K21" i="9"/>
  <c r="I21" i="9"/>
  <c r="F21" i="9"/>
  <c r="N20" i="9"/>
  <c r="L20" i="9"/>
  <c r="K20" i="9"/>
  <c r="I20" i="9"/>
  <c r="F20" i="9"/>
  <c r="N19" i="9"/>
  <c r="L19" i="9"/>
  <c r="K19" i="9"/>
  <c r="I19" i="9"/>
  <c r="F19" i="9"/>
  <c r="N18" i="9"/>
  <c r="L18" i="9"/>
  <c r="K18" i="9"/>
  <c r="I18" i="9"/>
  <c r="F18" i="9"/>
  <c r="N21" i="11"/>
  <c r="L21" i="11"/>
  <c r="K21" i="11"/>
  <c r="I21" i="11"/>
  <c r="F21" i="11"/>
  <c r="N20" i="11"/>
  <c r="L20" i="11"/>
  <c r="K20" i="11"/>
  <c r="I20" i="11"/>
  <c r="F20" i="11"/>
  <c r="N19" i="11"/>
  <c r="L19" i="11"/>
  <c r="K19" i="11"/>
  <c r="I19" i="11"/>
  <c r="F19" i="11"/>
  <c r="N18" i="11"/>
  <c r="L18" i="11"/>
  <c r="K18" i="11"/>
  <c r="I18" i="11"/>
  <c r="F18" i="11"/>
  <c r="J6" i="4"/>
  <c r="K6" i="4"/>
  <c r="G6" i="4"/>
  <c r="H6" i="4"/>
  <c r="E6" i="4"/>
  <c r="N102" i="3"/>
  <c r="N101" i="3"/>
  <c r="N100" i="3"/>
  <c r="N97" i="3"/>
  <c r="N96" i="3"/>
  <c r="N95" i="3"/>
  <c r="N90" i="3"/>
  <c r="N89" i="3"/>
  <c r="N88" i="3"/>
  <c r="N87" i="3"/>
  <c r="N86" i="3"/>
  <c r="N85" i="3"/>
  <c r="N84" i="3"/>
  <c r="N83" i="3"/>
  <c r="N82" i="3"/>
  <c r="N79" i="3"/>
  <c r="N78" i="3"/>
  <c r="N77" i="3"/>
  <c r="N76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D101" i="3"/>
  <c r="D102" i="3"/>
  <c r="D100" i="3"/>
  <c r="D99" i="3"/>
  <c r="D98" i="3"/>
  <c r="D96" i="3"/>
  <c r="D97" i="3"/>
  <c r="D95" i="3"/>
  <c r="D94" i="3"/>
  <c r="D93" i="3"/>
  <c r="D92" i="3"/>
  <c r="D91" i="3"/>
  <c r="M91" i="3" s="1"/>
  <c r="D85" i="3"/>
  <c r="D86" i="3"/>
  <c r="D87" i="3"/>
  <c r="D88" i="3"/>
  <c r="D89" i="3"/>
  <c r="D90" i="3"/>
  <c r="D83" i="3"/>
  <c r="D84" i="3"/>
  <c r="D82" i="3"/>
  <c r="D81" i="3"/>
  <c r="D80" i="3"/>
  <c r="D77" i="3"/>
  <c r="D78" i="3"/>
  <c r="D79" i="3"/>
  <c r="D76" i="3"/>
  <c r="D75" i="3"/>
  <c r="D74" i="3"/>
  <c r="D73" i="3"/>
  <c r="F154" i="1"/>
  <c r="I154" i="1"/>
  <c r="K154" i="1"/>
  <c r="L154" i="1"/>
  <c r="N154" i="1"/>
  <c r="F114" i="1"/>
  <c r="I114" i="1"/>
  <c r="K114" i="1"/>
  <c r="L114" i="1"/>
  <c r="N114" i="1"/>
  <c r="F115" i="1"/>
  <c r="I115" i="1"/>
  <c r="K115" i="1"/>
  <c r="L115" i="1"/>
  <c r="N115" i="1"/>
  <c r="F116" i="1"/>
  <c r="I116" i="1"/>
  <c r="K116" i="1"/>
  <c r="L116" i="1"/>
  <c r="N116" i="1"/>
  <c r="F117" i="1"/>
  <c r="I117" i="1"/>
  <c r="K117" i="1"/>
  <c r="L117" i="1"/>
  <c r="N117" i="1"/>
  <c r="F118" i="1"/>
  <c r="I118" i="1"/>
  <c r="K118" i="1"/>
  <c r="L118" i="1"/>
  <c r="N118" i="1"/>
  <c r="F119" i="1"/>
  <c r="I119" i="1"/>
  <c r="K119" i="1"/>
  <c r="L119" i="1"/>
  <c r="N119" i="1"/>
  <c r="F120" i="1"/>
  <c r="I120" i="1"/>
  <c r="K120" i="1"/>
  <c r="L120" i="1"/>
  <c r="N120" i="1"/>
  <c r="F121" i="1"/>
  <c r="I121" i="1"/>
  <c r="K121" i="1"/>
  <c r="L121" i="1"/>
  <c r="N121" i="1"/>
  <c r="F122" i="1"/>
  <c r="I122" i="1"/>
  <c r="K122" i="1"/>
  <c r="L122" i="1"/>
  <c r="N122" i="1"/>
  <c r="F123" i="1"/>
  <c r="I123" i="1"/>
  <c r="K123" i="1"/>
  <c r="L123" i="1"/>
  <c r="N123" i="1"/>
  <c r="F124" i="1"/>
  <c r="I124" i="1"/>
  <c r="K124" i="1"/>
  <c r="L124" i="1"/>
  <c r="N124" i="1"/>
  <c r="F125" i="1"/>
  <c r="I125" i="1"/>
  <c r="K125" i="1"/>
  <c r="L125" i="1"/>
  <c r="N125" i="1"/>
  <c r="F126" i="1"/>
  <c r="I126" i="1"/>
  <c r="K126" i="1"/>
  <c r="L126" i="1"/>
  <c r="N126" i="1"/>
  <c r="F127" i="1"/>
  <c r="I127" i="1"/>
  <c r="K127" i="1"/>
  <c r="L127" i="1"/>
  <c r="N127" i="1"/>
  <c r="F128" i="1"/>
  <c r="I128" i="1"/>
  <c r="K128" i="1"/>
  <c r="L128" i="1"/>
  <c r="N128" i="1"/>
  <c r="F129" i="1"/>
  <c r="I129" i="1"/>
  <c r="K129" i="1"/>
  <c r="L129" i="1"/>
  <c r="N129" i="1"/>
  <c r="F130" i="1"/>
  <c r="I130" i="1"/>
  <c r="K130" i="1"/>
  <c r="L130" i="1"/>
  <c r="N130" i="1"/>
  <c r="F131" i="1"/>
  <c r="I131" i="1"/>
  <c r="K131" i="1"/>
  <c r="L131" i="1"/>
  <c r="N131" i="1"/>
  <c r="F132" i="1"/>
  <c r="I132" i="1"/>
  <c r="K132" i="1"/>
  <c r="L132" i="1"/>
  <c r="N132" i="1"/>
  <c r="F133" i="1"/>
  <c r="I133" i="1"/>
  <c r="K133" i="1"/>
  <c r="L133" i="1"/>
  <c r="N133" i="1"/>
  <c r="F134" i="1"/>
  <c r="I134" i="1"/>
  <c r="K134" i="1"/>
  <c r="L134" i="1"/>
  <c r="N134" i="1"/>
  <c r="F135" i="1"/>
  <c r="I135" i="1"/>
  <c r="K135" i="1"/>
  <c r="L135" i="1"/>
  <c r="N135" i="1"/>
  <c r="F136" i="1"/>
  <c r="I136" i="1"/>
  <c r="K136" i="1"/>
  <c r="L136" i="1"/>
  <c r="N136" i="1"/>
  <c r="F137" i="1"/>
  <c r="I137" i="1"/>
  <c r="K137" i="1"/>
  <c r="L137" i="1"/>
  <c r="N137" i="1"/>
  <c r="F138" i="1"/>
  <c r="I138" i="1"/>
  <c r="K138" i="1"/>
  <c r="L138" i="1"/>
  <c r="N138" i="1"/>
  <c r="F139" i="1"/>
  <c r="I139" i="1"/>
  <c r="K139" i="1"/>
  <c r="L139" i="1"/>
  <c r="N139" i="1"/>
  <c r="F140" i="1"/>
  <c r="I140" i="1"/>
  <c r="K140" i="1"/>
  <c r="L140" i="1"/>
  <c r="N140" i="1"/>
  <c r="F141" i="1"/>
  <c r="I141" i="1"/>
  <c r="K141" i="1"/>
  <c r="L141" i="1"/>
  <c r="N141" i="1"/>
  <c r="F142" i="1"/>
  <c r="I142" i="1"/>
  <c r="K142" i="1"/>
  <c r="L142" i="1"/>
  <c r="N142" i="1"/>
  <c r="F143" i="1"/>
  <c r="I143" i="1"/>
  <c r="K143" i="1"/>
  <c r="L143" i="1"/>
  <c r="N143" i="1"/>
  <c r="F144" i="1"/>
  <c r="I144" i="1"/>
  <c r="K144" i="1"/>
  <c r="L144" i="1"/>
  <c r="N144" i="1"/>
  <c r="F145" i="1"/>
  <c r="I145" i="1"/>
  <c r="K145" i="1"/>
  <c r="L145" i="1"/>
  <c r="N145" i="1"/>
  <c r="F146" i="1"/>
  <c r="I146" i="1"/>
  <c r="K146" i="1"/>
  <c r="L146" i="1"/>
  <c r="N146" i="1"/>
  <c r="F147" i="1"/>
  <c r="I147" i="1"/>
  <c r="K147" i="1"/>
  <c r="L147" i="1"/>
  <c r="N147" i="1"/>
  <c r="F148" i="1"/>
  <c r="I148" i="1"/>
  <c r="K148" i="1"/>
  <c r="L148" i="1"/>
  <c r="N148" i="1"/>
  <c r="F149" i="1"/>
  <c r="I149" i="1"/>
  <c r="K149" i="1"/>
  <c r="L149" i="1"/>
  <c r="N149" i="1"/>
  <c r="F150" i="1"/>
  <c r="I150" i="1"/>
  <c r="K150" i="1"/>
  <c r="L150" i="1"/>
  <c r="N150" i="1"/>
  <c r="F151" i="1"/>
  <c r="I151" i="1"/>
  <c r="K151" i="1"/>
  <c r="L151" i="1"/>
  <c r="N151" i="1"/>
  <c r="F152" i="1"/>
  <c r="I152" i="1"/>
  <c r="K152" i="1"/>
  <c r="L152" i="1"/>
  <c r="N152" i="1"/>
  <c r="F153" i="1"/>
  <c r="I153" i="1"/>
  <c r="K153" i="1"/>
  <c r="L153" i="1"/>
  <c r="N153" i="1"/>
  <c r="N3" i="19"/>
  <c r="L3" i="19"/>
  <c r="K3" i="19"/>
  <c r="I3" i="19"/>
  <c r="F3" i="19"/>
  <c r="N2" i="19"/>
  <c r="L2" i="19"/>
  <c r="K2" i="19"/>
  <c r="I2" i="19"/>
  <c r="F2" i="19"/>
  <c r="N4" i="12"/>
  <c r="L4" i="12"/>
  <c r="K4" i="12"/>
  <c r="I4" i="12"/>
  <c r="F4" i="12"/>
  <c r="L16" i="3"/>
  <c r="I16" i="3"/>
  <c r="G16" i="3"/>
  <c r="F16" i="3"/>
  <c r="D16" i="3"/>
  <c r="H17" i="3"/>
  <c r="N20" i="1"/>
  <c r="N21" i="1"/>
  <c r="N22" i="1"/>
  <c r="K20" i="1"/>
  <c r="L20" i="1"/>
  <c r="K21" i="1"/>
  <c r="L21" i="1"/>
  <c r="K22" i="1"/>
  <c r="L22" i="1"/>
  <c r="I20" i="1"/>
  <c r="I21" i="1"/>
  <c r="I22" i="1"/>
  <c r="F21" i="1"/>
  <c r="F22" i="1"/>
  <c r="M75" i="3" l="1"/>
  <c r="M92" i="3"/>
  <c r="H84" i="3"/>
  <c r="J82" i="3"/>
  <c r="J101" i="3"/>
  <c r="K102" i="3"/>
  <c r="J81" i="3"/>
  <c r="E102" i="3"/>
  <c r="H101" i="3"/>
  <c r="M101" i="3"/>
  <c r="M78" i="3"/>
  <c r="E79" i="3"/>
  <c r="K99" i="3"/>
  <c r="H97" i="3"/>
  <c r="E87" i="3"/>
  <c r="K83" i="3"/>
  <c r="K73" i="3"/>
  <c r="M88" i="3"/>
  <c r="J86" i="3"/>
  <c r="H89" i="3"/>
  <c r="K78" i="3"/>
  <c r="M99" i="3"/>
  <c r="H90" i="3"/>
  <c r="K75" i="3"/>
  <c r="M102" i="3"/>
  <c r="E90" i="3"/>
  <c r="E86" i="3"/>
  <c r="K93" i="3"/>
  <c r="E88" i="3"/>
  <c r="K97" i="3"/>
  <c r="E78" i="3"/>
  <c r="J102" i="3"/>
  <c r="E99" i="3"/>
  <c r="M80" i="3"/>
  <c r="H88" i="3"/>
  <c r="K91" i="3"/>
  <c r="K81" i="3"/>
  <c r="E80" i="3"/>
  <c r="E74" i="3"/>
  <c r="K94" i="3"/>
  <c r="J96" i="3"/>
  <c r="J87" i="3"/>
  <c r="M97" i="3"/>
  <c r="K88" i="3"/>
  <c r="H102" i="3"/>
  <c r="H86" i="3"/>
  <c r="H96" i="3"/>
  <c r="K86" i="3"/>
  <c r="M96" i="3"/>
  <c r="H94" i="3"/>
  <c r="M86" i="3"/>
  <c r="K79" i="3"/>
  <c r="K95" i="3"/>
  <c r="J89" i="3"/>
  <c r="E100" i="3"/>
  <c r="K80" i="3"/>
  <c r="K96" i="3"/>
  <c r="H93" i="3"/>
  <c r="E96" i="3"/>
  <c r="J79" i="3"/>
  <c r="M89" i="3"/>
  <c r="E94" i="3"/>
  <c r="K74" i="3"/>
  <c r="K82" i="3"/>
  <c r="K90" i="3"/>
  <c r="K98" i="3"/>
  <c r="K84" i="3"/>
  <c r="H99" i="3"/>
  <c r="H77" i="3"/>
  <c r="E89" i="3"/>
  <c r="J77" i="3"/>
  <c r="K85" i="3"/>
  <c r="K101" i="3"/>
  <c r="H80" i="3"/>
  <c r="H91" i="3"/>
  <c r="H83" i="3"/>
  <c r="K89" i="3"/>
  <c r="K92" i="3"/>
  <c r="E73" i="3"/>
  <c r="J88" i="3"/>
  <c r="K77" i="3"/>
  <c r="J94" i="3"/>
  <c r="J85" i="3"/>
  <c r="H73" i="3"/>
  <c r="J78" i="3"/>
  <c r="M73" i="3"/>
  <c r="M74" i="3"/>
  <c r="E77" i="3"/>
  <c r="E101" i="3"/>
  <c r="H87" i="3"/>
  <c r="J90" i="3"/>
  <c r="M77" i="3"/>
  <c r="J74" i="3"/>
  <c r="K100" i="3"/>
  <c r="M79" i="3"/>
  <c r="M87" i="3"/>
  <c r="H78" i="3"/>
  <c r="J73" i="3"/>
  <c r="M84" i="3"/>
  <c r="E97" i="3"/>
  <c r="H92" i="3"/>
  <c r="M90" i="3"/>
  <c r="J95" i="3"/>
  <c r="K76" i="3"/>
  <c r="H79" i="3"/>
  <c r="K87" i="3"/>
  <c r="H74" i="3"/>
  <c r="H81" i="3"/>
  <c r="H98" i="3"/>
  <c r="E93" i="3"/>
  <c r="E76" i="3"/>
  <c r="J100" i="3"/>
  <c r="M100" i="3"/>
  <c r="H100" i="3"/>
  <c r="J99" i="3"/>
  <c r="J98" i="3"/>
  <c r="M98" i="3"/>
  <c r="E98" i="3"/>
  <c r="J97" i="3"/>
  <c r="M95" i="3"/>
  <c r="H95" i="3"/>
  <c r="E95" i="3"/>
  <c r="M94" i="3"/>
  <c r="J93" i="3"/>
  <c r="M93" i="3"/>
  <c r="E92" i="3"/>
  <c r="J92" i="3"/>
  <c r="E91" i="3"/>
  <c r="J91" i="3"/>
  <c r="M85" i="3"/>
  <c r="E85" i="3"/>
  <c r="H85" i="3"/>
  <c r="M83" i="3"/>
  <c r="J84" i="3"/>
  <c r="E84" i="3"/>
  <c r="E83" i="3"/>
  <c r="J83" i="3"/>
  <c r="M82" i="3"/>
  <c r="E82" i="3"/>
  <c r="H82" i="3"/>
  <c r="E81" i="3"/>
  <c r="M81" i="3"/>
  <c r="J80" i="3"/>
  <c r="H76" i="3"/>
  <c r="M76" i="3"/>
  <c r="J76" i="3"/>
  <c r="H75" i="3"/>
  <c r="E75" i="3"/>
  <c r="J75" i="3"/>
  <c r="E16" i="3"/>
  <c r="H16" i="3"/>
  <c r="M16" i="3"/>
  <c r="K16" i="3"/>
  <c r="J16" i="3"/>
  <c r="N5" i="16"/>
  <c r="L5" i="16"/>
  <c r="K5" i="16"/>
  <c r="I5" i="16"/>
  <c r="F5" i="16"/>
  <c r="N7" i="21"/>
  <c r="L7" i="21"/>
  <c r="K7" i="21"/>
  <c r="I7" i="21"/>
  <c r="F7" i="21"/>
  <c r="F14" i="18"/>
  <c r="N2" i="18"/>
  <c r="L2" i="18"/>
  <c r="K2" i="18"/>
  <c r="I2" i="18"/>
  <c r="F2" i="18"/>
  <c r="N18" i="15"/>
  <c r="L18" i="15"/>
  <c r="K18" i="15"/>
  <c r="I18" i="15"/>
  <c r="F18" i="15"/>
  <c r="N17" i="15"/>
  <c r="L17" i="15"/>
  <c r="K17" i="15"/>
  <c r="I17" i="15"/>
  <c r="F17" i="15"/>
  <c r="N80" i="14"/>
  <c r="L80" i="14"/>
  <c r="K80" i="14"/>
  <c r="I80" i="14"/>
  <c r="F80" i="14"/>
  <c r="N79" i="14"/>
  <c r="L79" i="14"/>
  <c r="K79" i="14"/>
  <c r="I79" i="14"/>
  <c r="F79" i="14"/>
  <c r="N78" i="14"/>
  <c r="L78" i="14"/>
  <c r="K78" i="14"/>
  <c r="I78" i="14"/>
  <c r="F78" i="14"/>
  <c r="N77" i="14"/>
  <c r="L77" i="14"/>
  <c r="K77" i="14"/>
  <c r="I77" i="14"/>
  <c r="F77" i="14"/>
  <c r="N76" i="14"/>
  <c r="L76" i="14"/>
  <c r="K76" i="14"/>
  <c r="I76" i="14"/>
  <c r="F76" i="14"/>
  <c r="N75" i="14"/>
  <c r="L75" i="14"/>
  <c r="K75" i="14"/>
  <c r="I75" i="14"/>
  <c r="F75" i="14"/>
  <c r="N74" i="14"/>
  <c r="L74" i="14"/>
  <c r="K74" i="14"/>
  <c r="I74" i="14"/>
  <c r="F74" i="14"/>
  <c r="N73" i="14"/>
  <c r="L73" i="14"/>
  <c r="K73" i="14"/>
  <c r="I73" i="14"/>
  <c r="F73" i="14"/>
  <c r="N72" i="14"/>
  <c r="L72" i="14"/>
  <c r="K72" i="14"/>
  <c r="I72" i="14"/>
  <c r="F72" i="14"/>
  <c r="N71" i="14"/>
  <c r="L71" i="14"/>
  <c r="K71" i="14"/>
  <c r="I71" i="14"/>
  <c r="F71" i="14"/>
  <c r="N70" i="14"/>
  <c r="L70" i="14"/>
  <c r="K70" i="14"/>
  <c r="I70" i="14"/>
  <c r="F70" i="14"/>
  <c r="N69" i="14"/>
  <c r="L69" i="14"/>
  <c r="K69" i="14"/>
  <c r="I69" i="14"/>
  <c r="F69" i="14"/>
  <c r="N67" i="14"/>
  <c r="L67" i="14"/>
  <c r="K67" i="14"/>
  <c r="I67" i="14"/>
  <c r="F67" i="14"/>
  <c r="N66" i="14"/>
  <c r="L66" i="14"/>
  <c r="K66" i="14"/>
  <c r="I66" i="14"/>
  <c r="F66" i="14"/>
  <c r="N65" i="14"/>
  <c r="L65" i="14"/>
  <c r="K65" i="14"/>
  <c r="I65" i="14"/>
  <c r="F65" i="14"/>
  <c r="N64" i="14"/>
  <c r="L64" i="14"/>
  <c r="K64" i="14"/>
  <c r="I64" i="14"/>
  <c r="F64" i="14"/>
  <c r="N63" i="14"/>
  <c r="L63" i="14"/>
  <c r="K63" i="14"/>
  <c r="I63" i="14"/>
  <c r="F63" i="14"/>
  <c r="N62" i="14"/>
  <c r="L62" i="14"/>
  <c r="K62" i="14"/>
  <c r="I62" i="14"/>
  <c r="F62" i="14"/>
  <c r="N61" i="14"/>
  <c r="L61" i="14"/>
  <c r="K61" i="14"/>
  <c r="I61" i="14"/>
  <c r="F61" i="14"/>
  <c r="N60" i="14"/>
  <c r="L60" i="14"/>
  <c r="K60" i="14"/>
  <c r="I60" i="14"/>
  <c r="F60" i="14"/>
  <c r="N59" i="14"/>
  <c r="L59" i="14"/>
  <c r="K59" i="14"/>
  <c r="I59" i="14"/>
  <c r="F59" i="14"/>
  <c r="N58" i="14"/>
  <c r="L58" i="14"/>
  <c r="K58" i="14"/>
  <c r="I58" i="14"/>
  <c r="F58" i="14"/>
  <c r="N57" i="14"/>
  <c r="L57" i="14"/>
  <c r="K57" i="14"/>
  <c r="I57" i="14"/>
  <c r="F57" i="14"/>
  <c r="N56" i="14"/>
  <c r="L56" i="14"/>
  <c r="K56" i="14"/>
  <c r="I56" i="14"/>
  <c r="F56" i="14"/>
  <c r="N55" i="14"/>
  <c r="L55" i="14"/>
  <c r="K55" i="14"/>
  <c r="I55" i="14"/>
  <c r="F55" i="14"/>
  <c r="N54" i="14"/>
  <c r="L54" i="14"/>
  <c r="K54" i="14"/>
  <c r="I54" i="14"/>
  <c r="F54" i="14"/>
  <c r="N53" i="14"/>
  <c r="L53" i="14"/>
  <c r="K53" i="14"/>
  <c r="I53" i="14"/>
  <c r="F53" i="14"/>
  <c r="N52" i="14"/>
  <c r="L52" i="14"/>
  <c r="K52" i="14"/>
  <c r="I52" i="14"/>
  <c r="F52" i="14"/>
  <c r="N11" i="12"/>
  <c r="L11" i="12"/>
  <c r="K11" i="12"/>
  <c r="I11" i="12"/>
  <c r="F11" i="12"/>
  <c r="N10" i="12"/>
  <c r="L10" i="12"/>
  <c r="K10" i="12"/>
  <c r="I10" i="12"/>
  <c r="F10" i="12"/>
  <c r="N17" i="9"/>
  <c r="L17" i="9"/>
  <c r="K17" i="9"/>
  <c r="I17" i="9"/>
  <c r="F17" i="9"/>
  <c r="N16" i="9"/>
  <c r="L16" i="9"/>
  <c r="K16" i="9"/>
  <c r="I16" i="9"/>
  <c r="F16" i="9"/>
  <c r="N15" i="9"/>
  <c r="L15" i="9"/>
  <c r="K15" i="9"/>
  <c r="I15" i="9"/>
  <c r="F15" i="9"/>
  <c r="N14" i="9"/>
  <c r="L14" i="9"/>
  <c r="K14" i="9"/>
  <c r="I14" i="9"/>
  <c r="F14" i="9"/>
  <c r="N17" i="11"/>
  <c r="L17" i="11"/>
  <c r="K17" i="11"/>
  <c r="I17" i="11"/>
  <c r="F17" i="11"/>
  <c r="N16" i="11"/>
  <c r="L16" i="11"/>
  <c r="K16" i="11"/>
  <c r="I16" i="11"/>
  <c r="F16" i="11"/>
  <c r="N15" i="11"/>
  <c r="L15" i="11"/>
  <c r="K15" i="11"/>
  <c r="I15" i="11"/>
  <c r="F15" i="11"/>
  <c r="N14" i="11"/>
  <c r="L14" i="11"/>
  <c r="K14" i="11"/>
  <c r="I14" i="11"/>
  <c r="F14" i="11"/>
  <c r="J5" i="4"/>
  <c r="K5" i="4"/>
  <c r="G5" i="4"/>
  <c r="H5" i="4"/>
  <c r="E5" i="4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D72" i="3"/>
  <c r="M72" i="3" s="1"/>
  <c r="D71" i="3"/>
  <c r="D70" i="3"/>
  <c r="D69" i="3"/>
  <c r="M69" i="3" s="1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M55" i="3" s="1"/>
  <c r="D54" i="3"/>
  <c r="M54" i="3" s="1"/>
  <c r="D53" i="3"/>
  <c r="F113" i="1"/>
  <c r="I113" i="1"/>
  <c r="K113" i="1"/>
  <c r="L113" i="1"/>
  <c r="N113" i="1"/>
  <c r="F80" i="1"/>
  <c r="I80" i="1"/>
  <c r="K80" i="1"/>
  <c r="L80" i="1"/>
  <c r="N80" i="1"/>
  <c r="F81" i="1"/>
  <c r="I81" i="1"/>
  <c r="K81" i="1"/>
  <c r="L81" i="1"/>
  <c r="N81" i="1"/>
  <c r="F82" i="1"/>
  <c r="I82" i="1"/>
  <c r="K82" i="1"/>
  <c r="L82" i="1"/>
  <c r="N82" i="1"/>
  <c r="F83" i="1"/>
  <c r="I83" i="1"/>
  <c r="K83" i="1"/>
  <c r="L83" i="1"/>
  <c r="N83" i="1"/>
  <c r="F84" i="1"/>
  <c r="I84" i="1"/>
  <c r="K84" i="1"/>
  <c r="L84" i="1"/>
  <c r="N84" i="1"/>
  <c r="F85" i="1"/>
  <c r="I85" i="1"/>
  <c r="K85" i="1"/>
  <c r="L85" i="1"/>
  <c r="N85" i="1"/>
  <c r="F86" i="1"/>
  <c r="I86" i="1"/>
  <c r="K86" i="1"/>
  <c r="L86" i="1"/>
  <c r="N86" i="1"/>
  <c r="F87" i="1"/>
  <c r="I87" i="1"/>
  <c r="K87" i="1"/>
  <c r="L87" i="1"/>
  <c r="N87" i="1"/>
  <c r="F88" i="1"/>
  <c r="I88" i="1"/>
  <c r="K88" i="1"/>
  <c r="L88" i="1"/>
  <c r="N88" i="1"/>
  <c r="F89" i="1"/>
  <c r="I89" i="1"/>
  <c r="K89" i="1"/>
  <c r="L89" i="1"/>
  <c r="N89" i="1"/>
  <c r="F90" i="1"/>
  <c r="I90" i="1"/>
  <c r="K90" i="1"/>
  <c r="L90" i="1"/>
  <c r="N90" i="1"/>
  <c r="F91" i="1"/>
  <c r="I91" i="1"/>
  <c r="K91" i="1"/>
  <c r="L91" i="1"/>
  <c r="N91" i="1"/>
  <c r="F92" i="1"/>
  <c r="I92" i="1"/>
  <c r="K92" i="1"/>
  <c r="L92" i="1"/>
  <c r="N92" i="1"/>
  <c r="F93" i="1"/>
  <c r="I93" i="1"/>
  <c r="K93" i="1"/>
  <c r="L93" i="1"/>
  <c r="N93" i="1"/>
  <c r="F94" i="1"/>
  <c r="I94" i="1"/>
  <c r="K94" i="1"/>
  <c r="L94" i="1"/>
  <c r="N94" i="1"/>
  <c r="F95" i="1"/>
  <c r="I95" i="1"/>
  <c r="K95" i="1"/>
  <c r="L95" i="1"/>
  <c r="N95" i="1"/>
  <c r="F96" i="1"/>
  <c r="I96" i="1"/>
  <c r="K96" i="1"/>
  <c r="L96" i="1"/>
  <c r="N96" i="1"/>
  <c r="F97" i="1"/>
  <c r="I97" i="1"/>
  <c r="K97" i="1"/>
  <c r="L97" i="1"/>
  <c r="N97" i="1"/>
  <c r="F98" i="1"/>
  <c r="I98" i="1"/>
  <c r="K98" i="1"/>
  <c r="L98" i="1"/>
  <c r="N98" i="1"/>
  <c r="F99" i="1"/>
  <c r="I99" i="1"/>
  <c r="K99" i="1"/>
  <c r="L99" i="1"/>
  <c r="N99" i="1"/>
  <c r="F100" i="1"/>
  <c r="I100" i="1"/>
  <c r="K100" i="1"/>
  <c r="L100" i="1"/>
  <c r="N100" i="1"/>
  <c r="F101" i="1"/>
  <c r="I101" i="1"/>
  <c r="K101" i="1"/>
  <c r="L101" i="1"/>
  <c r="N101" i="1"/>
  <c r="F102" i="1"/>
  <c r="I102" i="1"/>
  <c r="K102" i="1"/>
  <c r="L102" i="1"/>
  <c r="N102" i="1"/>
  <c r="F103" i="1"/>
  <c r="I103" i="1"/>
  <c r="K103" i="1"/>
  <c r="L103" i="1"/>
  <c r="N103" i="1"/>
  <c r="F104" i="1"/>
  <c r="I104" i="1"/>
  <c r="K104" i="1"/>
  <c r="L104" i="1"/>
  <c r="N104" i="1"/>
  <c r="F105" i="1"/>
  <c r="I105" i="1"/>
  <c r="K105" i="1"/>
  <c r="L105" i="1"/>
  <c r="N105" i="1"/>
  <c r="F106" i="1"/>
  <c r="I106" i="1"/>
  <c r="K106" i="1"/>
  <c r="L106" i="1"/>
  <c r="N106" i="1"/>
  <c r="F107" i="1"/>
  <c r="I107" i="1"/>
  <c r="K107" i="1"/>
  <c r="L107" i="1"/>
  <c r="N107" i="1"/>
  <c r="F108" i="1"/>
  <c r="I108" i="1"/>
  <c r="K108" i="1"/>
  <c r="L108" i="1"/>
  <c r="N108" i="1"/>
  <c r="F109" i="1"/>
  <c r="I109" i="1"/>
  <c r="K109" i="1"/>
  <c r="L109" i="1"/>
  <c r="N109" i="1"/>
  <c r="F110" i="1"/>
  <c r="I110" i="1"/>
  <c r="K110" i="1"/>
  <c r="L110" i="1"/>
  <c r="N110" i="1"/>
  <c r="F111" i="1"/>
  <c r="I111" i="1"/>
  <c r="K111" i="1"/>
  <c r="L111" i="1"/>
  <c r="N111" i="1"/>
  <c r="F112" i="1"/>
  <c r="I112" i="1"/>
  <c r="K112" i="1"/>
  <c r="L112" i="1"/>
  <c r="N112" i="1"/>
  <c r="K4" i="4"/>
  <c r="N6" i="21"/>
  <c r="L6" i="21"/>
  <c r="K6" i="21"/>
  <c r="I6" i="21"/>
  <c r="F6" i="21"/>
  <c r="N5" i="21"/>
  <c r="L5" i="21"/>
  <c r="K5" i="21"/>
  <c r="I5" i="21"/>
  <c r="F5" i="21"/>
  <c r="N16" i="15"/>
  <c r="L16" i="15"/>
  <c r="K16" i="15"/>
  <c r="I16" i="15"/>
  <c r="F16" i="15"/>
  <c r="N15" i="15"/>
  <c r="L15" i="15"/>
  <c r="K15" i="15"/>
  <c r="I15" i="15"/>
  <c r="F15" i="15"/>
  <c r="N14" i="15"/>
  <c r="L14" i="15"/>
  <c r="K14" i="15"/>
  <c r="I14" i="15"/>
  <c r="F14" i="15"/>
  <c r="N13" i="15"/>
  <c r="L13" i="15"/>
  <c r="K13" i="15"/>
  <c r="I13" i="15"/>
  <c r="F13" i="15"/>
  <c r="N12" i="15"/>
  <c r="L12" i="15"/>
  <c r="K12" i="15"/>
  <c r="I12" i="15"/>
  <c r="F12" i="15"/>
  <c r="N11" i="15"/>
  <c r="L11" i="15"/>
  <c r="K11" i="15"/>
  <c r="I11" i="15"/>
  <c r="F11" i="15"/>
  <c r="N10" i="15"/>
  <c r="L10" i="15"/>
  <c r="K10" i="15"/>
  <c r="I10" i="15"/>
  <c r="F10" i="15"/>
  <c r="N51" i="14"/>
  <c r="L51" i="14"/>
  <c r="K51" i="14"/>
  <c r="I51" i="14"/>
  <c r="F51" i="14"/>
  <c r="N50" i="14"/>
  <c r="L50" i="14"/>
  <c r="K50" i="14"/>
  <c r="I50" i="14"/>
  <c r="F50" i="14"/>
  <c r="N49" i="14"/>
  <c r="L49" i="14"/>
  <c r="K49" i="14"/>
  <c r="I49" i="14"/>
  <c r="F49" i="14"/>
  <c r="N48" i="14"/>
  <c r="L48" i="14"/>
  <c r="K48" i="14"/>
  <c r="I48" i="14"/>
  <c r="F48" i="14"/>
  <c r="N47" i="14"/>
  <c r="L47" i="14"/>
  <c r="K47" i="14"/>
  <c r="I47" i="14"/>
  <c r="F47" i="14"/>
  <c r="N46" i="14"/>
  <c r="L46" i="14"/>
  <c r="K46" i="14"/>
  <c r="I46" i="14"/>
  <c r="F46" i="14"/>
  <c r="N45" i="14"/>
  <c r="L45" i="14"/>
  <c r="K45" i="14"/>
  <c r="I45" i="14"/>
  <c r="F45" i="14"/>
  <c r="N44" i="14"/>
  <c r="L44" i="14"/>
  <c r="K44" i="14"/>
  <c r="I44" i="14"/>
  <c r="F44" i="14"/>
  <c r="N43" i="14"/>
  <c r="L43" i="14"/>
  <c r="K43" i="14"/>
  <c r="I43" i="14"/>
  <c r="F43" i="14"/>
  <c r="N42" i="14"/>
  <c r="L42" i="14"/>
  <c r="K42" i="14"/>
  <c r="I42" i="14"/>
  <c r="F42" i="14"/>
  <c r="N41" i="14"/>
  <c r="L41" i="14"/>
  <c r="K41" i="14"/>
  <c r="I41" i="14"/>
  <c r="F41" i="14"/>
  <c r="N40" i="14"/>
  <c r="L40" i="14"/>
  <c r="K40" i="14"/>
  <c r="I40" i="14"/>
  <c r="F40" i="14"/>
  <c r="N39" i="14"/>
  <c r="L39" i="14"/>
  <c r="K39" i="14"/>
  <c r="I39" i="14"/>
  <c r="F39" i="14"/>
  <c r="N38" i="14"/>
  <c r="L38" i="14"/>
  <c r="K38" i="14"/>
  <c r="I38" i="14"/>
  <c r="F38" i="14"/>
  <c r="N37" i="14"/>
  <c r="L37" i="14"/>
  <c r="K37" i="14"/>
  <c r="I37" i="14"/>
  <c r="F37" i="14"/>
  <c r="N36" i="14"/>
  <c r="L36" i="14"/>
  <c r="K36" i="14"/>
  <c r="I36" i="14"/>
  <c r="F36" i="14"/>
  <c r="N35" i="14"/>
  <c r="L35" i="14"/>
  <c r="K35" i="14"/>
  <c r="I35" i="14"/>
  <c r="F35" i="14"/>
  <c r="N34" i="14"/>
  <c r="L34" i="14"/>
  <c r="K34" i="14"/>
  <c r="I34" i="14"/>
  <c r="F34" i="14"/>
  <c r="N33" i="14"/>
  <c r="L33" i="14"/>
  <c r="K33" i="14"/>
  <c r="I33" i="14"/>
  <c r="F33" i="14"/>
  <c r="N32" i="14"/>
  <c r="L32" i="14"/>
  <c r="K32" i="14"/>
  <c r="I32" i="14"/>
  <c r="F32" i="14"/>
  <c r="M76" i="12"/>
  <c r="L75" i="12"/>
  <c r="K75" i="12"/>
  <c r="I75" i="12"/>
  <c r="N9" i="12"/>
  <c r="L9" i="12"/>
  <c r="K9" i="12"/>
  <c r="I9" i="12"/>
  <c r="F9" i="12"/>
  <c r="N8" i="12"/>
  <c r="L8" i="12"/>
  <c r="K8" i="12"/>
  <c r="I8" i="12"/>
  <c r="F8" i="12"/>
  <c r="N7" i="12"/>
  <c r="L7" i="12"/>
  <c r="K7" i="12"/>
  <c r="I7" i="12"/>
  <c r="F7" i="12"/>
  <c r="N13" i="9"/>
  <c r="L13" i="9"/>
  <c r="K13" i="9"/>
  <c r="I13" i="9"/>
  <c r="F13" i="9"/>
  <c r="N12" i="9"/>
  <c r="L12" i="9"/>
  <c r="K12" i="9"/>
  <c r="I12" i="9"/>
  <c r="F12" i="9"/>
  <c r="N11" i="9"/>
  <c r="L11" i="9"/>
  <c r="K11" i="9"/>
  <c r="I11" i="9"/>
  <c r="F11" i="9"/>
  <c r="N10" i="9"/>
  <c r="L10" i="9"/>
  <c r="K10" i="9"/>
  <c r="I10" i="9"/>
  <c r="F10" i="9"/>
  <c r="N13" i="11"/>
  <c r="L13" i="11"/>
  <c r="K13" i="11"/>
  <c r="I13" i="11"/>
  <c r="F13" i="11"/>
  <c r="N12" i="11"/>
  <c r="L12" i="11"/>
  <c r="K12" i="11"/>
  <c r="I12" i="11"/>
  <c r="F12" i="11"/>
  <c r="N11" i="11"/>
  <c r="L11" i="11"/>
  <c r="K11" i="11"/>
  <c r="I11" i="11"/>
  <c r="F11" i="11"/>
  <c r="N10" i="11"/>
  <c r="L10" i="11"/>
  <c r="K10" i="11"/>
  <c r="I10" i="11"/>
  <c r="F10" i="11"/>
  <c r="J4" i="4"/>
  <c r="G4" i="4"/>
  <c r="H4" i="4"/>
  <c r="E4" i="4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D51" i="3"/>
  <c r="D52" i="3"/>
  <c r="D49" i="3"/>
  <c r="D50" i="3"/>
  <c r="D48" i="3"/>
  <c r="D47" i="3"/>
  <c r="D46" i="3"/>
  <c r="D44" i="3"/>
  <c r="D45" i="3"/>
  <c r="D43" i="3"/>
  <c r="D42" i="3"/>
  <c r="D41" i="3"/>
  <c r="D40" i="3"/>
  <c r="D39" i="3"/>
  <c r="D38" i="3"/>
  <c r="D37" i="3"/>
  <c r="D36" i="3"/>
  <c r="D35" i="3"/>
  <c r="D34" i="3"/>
  <c r="D33" i="3"/>
  <c r="D32" i="3"/>
  <c r="N67" i="1"/>
  <c r="L67" i="1"/>
  <c r="K67" i="1"/>
  <c r="I67" i="1"/>
  <c r="F67" i="1"/>
  <c r="N66" i="1"/>
  <c r="L66" i="1"/>
  <c r="K66" i="1"/>
  <c r="I66" i="1"/>
  <c r="F66" i="1"/>
  <c r="N65" i="1"/>
  <c r="L65" i="1"/>
  <c r="K65" i="1"/>
  <c r="I65" i="1"/>
  <c r="F65" i="1"/>
  <c r="N64" i="1"/>
  <c r="L64" i="1"/>
  <c r="K64" i="1"/>
  <c r="I64" i="1"/>
  <c r="F64" i="1"/>
  <c r="N63" i="1"/>
  <c r="L63" i="1"/>
  <c r="K63" i="1"/>
  <c r="I63" i="1"/>
  <c r="F63" i="1"/>
  <c r="N62" i="1"/>
  <c r="L62" i="1"/>
  <c r="K62" i="1"/>
  <c r="I62" i="1"/>
  <c r="F62" i="1"/>
  <c r="M67" i="3" l="1"/>
  <c r="M61" i="3"/>
  <c r="M60" i="3"/>
  <c r="M59" i="3"/>
  <c r="M58" i="3"/>
  <c r="H71" i="3"/>
  <c r="J41" i="3"/>
  <c r="M52" i="3"/>
  <c r="K52" i="3"/>
  <c r="K49" i="3"/>
  <c r="K41" i="3"/>
  <c r="M46" i="3"/>
  <c r="E60" i="3"/>
  <c r="H72" i="3"/>
  <c r="E68" i="3"/>
  <c r="K44" i="3"/>
  <c r="E62" i="3"/>
  <c r="E70" i="3"/>
  <c r="M50" i="3"/>
  <c r="H47" i="3"/>
  <c r="M35" i="3"/>
  <c r="E72" i="3"/>
  <c r="M64" i="3"/>
  <c r="J39" i="3"/>
  <c r="M62" i="3"/>
  <c r="J63" i="3"/>
  <c r="J64" i="3"/>
  <c r="H69" i="3"/>
  <c r="H45" i="3"/>
  <c r="M51" i="3"/>
  <c r="M37" i="3"/>
  <c r="H64" i="3"/>
  <c r="M41" i="3"/>
  <c r="H46" i="3"/>
  <c r="M39" i="3"/>
  <c r="J47" i="3"/>
  <c r="J51" i="3"/>
  <c r="E41" i="3"/>
  <c r="E34" i="3"/>
  <c r="E49" i="3"/>
  <c r="K48" i="3"/>
  <c r="E39" i="3"/>
  <c r="H38" i="3"/>
  <c r="E63" i="3"/>
  <c r="H39" i="3"/>
  <c r="M68" i="3"/>
  <c r="H68" i="3"/>
  <c r="H61" i="3"/>
  <c r="H50" i="3"/>
  <c r="J37" i="3"/>
  <c r="K45" i="3"/>
  <c r="E71" i="3"/>
  <c r="E44" i="3"/>
  <c r="J38" i="3"/>
  <c r="J46" i="3"/>
  <c r="M63" i="3"/>
  <c r="M45" i="3"/>
  <c r="K37" i="3"/>
  <c r="J68" i="3"/>
  <c r="M44" i="3"/>
  <c r="E32" i="3"/>
  <c r="M40" i="3"/>
  <c r="M70" i="3"/>
  <c r="J62" i="3"/>
  <c r="E56" i="3"/>
  <c r="E64" i="3"/>
  <c r="J44" i="3"/>
  <c r="M33" i="3"/>
  <c r="J70" i="3"/>
  <c r="H62" i="3"/>
  <c r="E57" i="3"/>
  <c r="J65" i="3"/>
  <c r="K57" i="3"/>
  <c r="K53" i="3"/>
  <c r="K61" i="3"/>
  <c r="H51" i="3"/>
  <c r="H44" i="3"/>
  <c r="H70" i="3"/>
  <c r="H43" i="3"/>
  <c r="J69" i="3"/>
  <c r="J57" i="3"/>
  <c r="M57" i="3"/>
  <c r="M65" i="3"/>
  <c r="M71" i="3"/>
  <c r="K69" i="3"/>
  <c r="J71" i="3"/>
  <c r="E53" i="3"/>
  <c r="E65" i="3"/>
  <c r="H63" i="3"/>
  <c r="N75" i="12"/>
  <c r="K65" i="3"/>
  <c r="H65" i="3"/>
  <c r="H57" i="3"/>
  <c r="E66" i="3"/>
  <c r="J72" i="3"/>
  <c r="E69" i="3"/>
  <c r="E67" i="3"/>
  <c r="J67" i="3"/>
  <c r="H67" i="3"/>
  <c r="M66" i="3"/>
  <c r="J66" i="3"/>
  <c r="H66" i="3"/>
  <c r="E61" i="3"/>
  <c r="J61" i="3"/>
  <c r="J60" i="3"/>
  <c r="H60" i="3"/>
  <c r="J59" i="3"/>
  <c r="H59" i="3"/>
  <c r="E59" i="3"/>
  <c r="E58" i="3"/>
  <c r="J58" i="3"/>
  <c r="H58" i="3"/>
  <c r="M56" i="3"/>
  <c r="J56" i="3"/>
  <c r="H56" i="3"/>
  <c r="J55" i="3"/>
  <c r="H55" i="3"/>
  <c r="E55" i="3"/>
  <c r="E54" i="3"/>
  <c r="J54" i="3"/>
  <c r="H54" i="3"/>
  <c r="M53" i="3"/>
  <c r="J53" i="3"/>
  <c r="H53" i="3"/>
  <c r="K72" i="3"/>
  <c r="K68" i="3"/>
  <c r="K64" i="3"/>
  <c r="K60" i="3"/>
  <c r="K56" i="3"/>
  <c r="K59" i="3"/>
  <c r="K63" i="3"/>
  <c r="K55" i="3"/>
  <c r="K70" i="3"/>
  <c r="K66" i="3"/>
  <c r="K62" i="3"/>
  <c r="K58" i="3"/>
  <c r="K54" i="3"/>
  <c r="K71" i="3"/>
  <c r="K67" i="3"/>
  <c r="E38" i="3"/>
  <c r="J34" i="3"/>
  <c r="E37" i="3"/>
  <c r="E46" i="3"/>
  <c r="E36" i="3"/>
  <c r="H41" i="3"/>
  <c r="H49" i="3"/>
  <c r="J52" i="3"/>
  <c r="M49" i="3"/>
  <c r="M43" i="3"/>
  <c r="H52" i="3"/>
  <c r="E52" i="3"/>
  <c r="J49" i="3"/>
  <c r="H40" i="3"/>
  <c r="H33" i="3"/>
  <c r="E45" i="3"/>
  <c r="E51" i="3"/>
  <c r="M34" i="3"/>
  <c r="H34" i="3"/>
  <c r="J43" i="3"/>
  <c r="K40" i="3"/>
  <c r="E43" i="3"/>
  <c r="J33" i="3"/>
  <c r="E33" i="3"/>
  <c r="M48" i="3"/>
  <c r="E50" i="3"/>
  <c r="M38" i="3"/>
  <c r="K36" i="3"/>
  <c r="J40" i="3"/>
  <c r="E42" i="3"/>
  <c r="E35" i="3"/>
  <c r="J50" i="3"/>
  <c r="J48" i="3"/>
  <c r="H48" i="3"/>
  <c r="E48" i="3"/>
  <c r="E47" i="3"/>
  <c r="M47" i="3"/>
  <c r="J45" i="3"/>
  <c r="M42" i="3"/>
  <c r="J42" i="3"/>
  <c r="H42" i="3"/>
  <c r="E40" i="3"/>
  <c r="H37" i="3"/>
  <c r="M36" i="3"/>
  <c r="J36" i="3"/>
  <c r="H36" i="3"/>
  <c r="J35" i="3"/>
  <c r="H35" i="3"/>
  <c r="M32" i="3"/>
  <c r="J32" i="3"/>
  <c r="H32" i="3"/>
  <c r="K32" i="3"/>
  <c r="K51" i="3"/>
  <c r="K43" i="3"/>
  <c r="K35" i="3"/>
  <c r="K47" i="3"/>
  <c r="K39" i="3"/>
  <c r="K50" i="3"/>
  <c r="K46" i="3"/>
  <c r="K42" i="3"/>
  <c r="K38" i="3"/>
  <c r="K34" i="3"/>
  <c r="K33" i="3"/>
  <c r="F49" i="1"/>
  <c r="I49" i="1"/>
  <c r="K49" i="1"/>
  <c r="L49" i="1"/>
  <c r="N49" i="1"/>
  <c r="F50" i="1"/>
  <c r="I50" i="1"/>
  <c r="K50" i="1"/>
  <c r="L50" i="1"/>
  <c r="N50" i="1"/>
  <c r="F51" i="1"/>
  <c r="I51" i="1"/>
  <c r="K51" i="1"/>
  <c r="L51" i="1"/>
  <c r="N51" i="1"/>
  <c r="F52" i="1"/>
  <c r="I52" i="1"/>
  <c r="K52" i="1"/>
  <c r="L52" i="1"/>
  <c r="N52" i="1"/>
  <c r="F53" i="1"/>
  <c r="I53" i="1"/>
  <c r="K53" i="1"/>
  <c r="L53" i="1"/>
  <c r="N53" i="1"/>
  <c r="F54" i="1"/>
  <c r="I54" i="1"/>
  <c r="K54" i="1"/>
  <c r="L54" i="1"/>
  <c r="N54" i="1"/>
  <c r="F55" i="1"/>
  <c r="I55" i="1"/>
  <c r="K55" i="1"/>
  <c r="L55" i="1"/>
  <c r="N55" i="1"/>
  <c r="F56" i="1"/>
  <c r="I56" i="1"/>
  <c r="K56" i="1"/>
  <c r="L56" i="1"/>
  <c r="N56" i="1"/>
  <c r="F57" i="1"/>
  <c r="I57" i="1"/>
  <c r="K57" i="1"/>
  <c r="L57" i="1"/>
  <c r="N57" i="1"/>
  <c r="F58" i="1"/>
  <c r="I58" i="1"/>
  <c r="K58" i="1"/>
  <c r="L58" i="1"/>
  <c r="N58" i="1"/>
  <c r="F59" i="1"/>
  <c r="I59" i="1"/>
  <c r="K59" i="1"/>
  <c r="L59" i="1"/>
  <c r="N59" i="1"/>
  <c r="F60" i="1"/>
  <c r="I60" i="1"/>
  <c r="K60" i="1"/>
  <c r="L60" i="1"/>
  <c r="N60" i="1"/>
  <c r="F61" i="1"/>
  <c r="I61" i="1"/>
  <c r="K61" i="1"/>
  <c r="L61" i="1"/>
  <c r="N61" i="1"/>
  <c r="F68" i="1"/>
  <c r="I68" i="1"/>
  <c r="K68" i="1"/>
  <c r="L68" i="1"/>
  <c r="N68" i="1"/>
  <c r="F69" i="1"/>
  <c r="I69" i="1"/>
  <c r="K69" i="1"/>
  <c r="L69" i="1"/>
  <c r="N69" i="1"/>
  <c r="F70" i="1"/>
  <c r="I70" i="1"/>
  <c r="K70" i="1"/>
  <c r="L70" i="1"/>
  <c r="N70" i="1"/>
  <c r="F71" i="1"/>
  <c r="I71" i="1"/>
  <c r="K71" i="1"/>
  <c r="L71" i="1"/>
  <c r="N71" i="1"/>
  <c r="F72" i="1"/>
  <c r="I72" i="1"/>
  <c r="K72" i="1"/>
  <c r="L72" i="1"/>
  <c r="N72" i="1"/>
  <c r="F73" i="1"/>
  <c r="I73" i="1"/>
  <c r="K73" i="1"/>
  <c r="L73" i="1"/>
  <c r="N73" i="1"/>
  <c r="F74" i="1"/>
  <c r="I74" i="1"/>
  <c r="K74" i="1"/>
  <c r="L74" i="1"/>
  <c r="N74" i="1"/>
  <c r="F75" i="1"/>
  <c r="I75" i="1"/>
  <c r="K75" i="1"/>
  <c r="L75" i="1"/>
  <c r="N75" i="1"/>
  <c r="F76" i="1"/>
  <c r="I76" i="1"/>
  <c r="K76" i="1"/>
  <c r="L76" i="1"/>
  <c r="N76" i="1"/>
  <c r="F77" i="1"/>
  <c r="I77" i="1"/>
  <c r="K77" i="1"/>
  <c r="L77" i="1"/>
  <c r="N77" i="1"/>
  <c r="F78" i="1"/>
  <c r="I78" i="1"/>
  <c r="K78" i="1"/>
  <c r="L78" i="1"/>
  <c r="N78" i="1"/>
  <c r="F79" i="1"/>
  <c r="I79" i="1"/>
  <c r="K79" i="1"/>
  <c r="L79" i="1"/>
  <c r="N79" i="1"/>
  <c r="N6" i="12"/>
  <c r="L6" i="12"/>
  <c r="K6" i="12"/>
  <c r="I6" i="12"/>
  <c r="F6" i="12"/>
  <c r="N5" i="12"/>
  <c r="L5" i="12"/>
  <c r="K5" i="12"/>
  <c r="I5" i="12"/>
  <c r="F5" i="12"/>
  <c r="N9" i="9"/>
  <c r="L9" i="9"/>
  <c r="K9" i="9"/>
  <c r="I9" i="9"/>
  <c r="F9" i="9"/>
  <c r="N8" i="9"/>
  <c r="L8" i="9"/>
  <c r="K8" i="9"/>
  <c r="I8" i="9"/>
  <c r="F8" i="9"/>
  <c r="N7" i="9"/>
  <c r="L7" i="9"/>
  <c r="K7" i="9"/>
  <c r="I7" i="9"/>
  <c r="F7" i="9"/>
  <c r="N6" i="9"/>
  <c r="L6" i="9"/>
  <c r="K6" i="9"/>
  <c r="I6" i="9"/>
  <c r="F6" i="9"/>
  <c r="N9" i="11"/>
  <c r="L9" i="11"/>
  <c r="K9" i="11"/>
  <c r="I9" i="11"/>
  <c r="F9" i="11"/>
  <c r="N8" i="11"/>
  <c r="L8" i="11"/>
  <c r="K8" i="11"/>
  <c r="I8" i="11"/>
  <c r="F8" i="11"/>
  <c r="N7" i="11"/>
  <c r="L7" i="11"/>
  <c r="K7" i="11"/>
  <c r="I7" i="11"/>
  <c r="F7" i="11"/>
  <c r="N6" i="11"/>
  <c r="L6" i="11"/>
  <c r="K6" i="11"/>
  <c r="I6" i="11"/>
  <c r="F6" i="11"/>
  <c r="N4" i="21"/>
  <c r="L4" i="21"/>
  <c r="K4" i="21"/>
  <c r="I4" i="21"/>
  <c r="F4" i="21"/>
  <c r="N9" i="15"/>
  <c r="L9" i="15"/>
  <c r="K9" i="15"/>
  <c r="I9" i="15"/>
  <c r="F9" i="15"/>
  <c r="N8" i="15"/>
  <c r="L8" i="15"/>
  <c r="K8" i="15"/>
  <c r="I8" i="15"/>
  <c r="F8" i="15"/>
  <c r="N7" i="15"/>
  <c r="L7" i="15"/>
  <c r="K7" i="15"/>
  <c r="I7" i="15"/>
  <c r="F7" i="15"/>
  <c r="N6" i="15"/>
  <c r="L6" i="15"/>
  <c r="K6" i="15"/>
  <c r="I6" i="15"/>
  <c r="F6" i="15"/>
  <c r="N5" i="15"/>
  <c r="L5" i="15"/>
  <c r="K5" i="15"/>
  <c r="I5" i="15"/>
  <c r="F5" i="15"/>
  <c r="N4" i="15"/>
  <c r="L4" i="15"/>
  <c r="K4" i="15"/>
  <c r="I4" i="15"/>
  <c r="F4" i="15"/>
  <c r="N31" i="14"/>
  <c r="L31" i="14"/>
  <c r="K31" i="14"/>
  <c r="I31" i="14"/>
  <c r="F31" i="14"/>
  <c r="N30" i="14"/>
  <c r="L30" i="14"/>
  <c r="K30" i="14"/>
  <c r="I30" i="14"/>
  <c r="F30" i="14"/>
  <c r="N29" i="14"/>
  <c r="L29" i="14"/>
  <c r="K29" i="14"/>
  <c r="I29" i="14"/>
  <c r="F29" i="14"/>
  <c r="N28" i="14"/>
  <c r="L28" i="14"/>
  <c r="K28" i="14"/>
  <c r="I28" i="14"/>
  <c r="F28" i="14"/>
  <c r="N27" i="14"/>
  <c r="L27" i="14"/>
  <c r="K27" i="14"/>
  <c r="I27" i="14"/>
  <c r="F27" i="14"/>
  <c r="N26" i="14"/>
  <c r="L26" i="14"/>
  <c r="K26" i="14"/>
  <c r="I26" i="14"/>
  <c r="F26" i="14"/>
  <c r="N25" i="14"/>
  <c r="L25" i="14"/>
  <c r="K25" i="14"/>
  <c r="I25" i="14"/>
  <c r="F25" i="14"/>
  <c r="N24" i="14"/>
  <c r="L24" i="14"/>
  <c r="K24" i="14"/>
  <c r="I24" i="14"/>
  <c r="F24" i="14"/>
  <c r="N23" i="14"/>
  <c r="L23" i="14"/>
  <c r="K23" i="14"/>
  <c r="I23" i="14"/>
  <c r="F23" i="14"/>
  <c r="N22" i="14"/>
  <c r="L22" i="14"/>
  <c r="K22" i="14"/>
  <c r="I22" i="14"/>
  <c r="F22" i="14"/>
  <c r="N21" i="14"/>
  <c r="L21" i="14"/>
  <c r="K21" i="14"/>
  <c r="I21" i="14"/>
  <c r="F21" i="14"/>
  <c r="N20" i="14"/>
  <c r="L20" i="14"/>
  <c r="K20" i="14"/>
  <c r="I20" i="14"/>
  <c r="F20" i="14"/>
  <c r="N19" i="14"/>
  <c r="L19" i="14"/>
  <c r="K19" i="14"/>
  <c r="I19" i="14"/>
  <c r="F19" i="14"/>
  <c r="N18" i="14"/>
  <c r="L18" i="14"/>
  <c r="K18" i="14"/>
  <c r="I18" i="14"/>
  <c r="F18" i="14"/>
  <c r="N17" i="14"/>
  <c r="L17" i="14"/>
  <c r="K17" i="14"/>
  <c r="I17" i="14"/>
  <c r="F17" i="14"/>
  <c r="N16" i="14"/>
  <c r="L16" i="14"/>
  <c r="K16" i="14"/>
  <c r="I16" i="14"/>
  <c r="F16" i="14"/>
  <c r="J3" i="4"/>
  <c r="K3" i="4"/>
  <c r="G3" i="4"/>
  <c r="H3" i="4"/>
  <c r="E3" i="4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F46" i="1"/>
  <c r="I46" i="1"/>
  <c r="K46" i="1"/>
  <c r="L46" i="1"/>
  <c r="N46" i="1"/>
  <c r="F47" i="1"/>
  <c r="I47" i="1"/>
  <c r="K47" i="1"/>
  <c r="L47" i="1"/>
  <c r="N47" i="1"/>
  <c r="F48" i="1"/>
  <c r="I48" i="1"/>
  <c r="K48" i="1"/>
  <c r="L48" i="1"/>
  <c r="N48" i="1"/>
  <c r="F27" i="1"/>
  <c r="I27" i="1"/>
  <c r="K27" i="1"/>
  <c r="L27" i="1"/>
  <c r="N27" i="1"/>
  <c r="F28" i="1"/>
  <c r="I28" i="1"/>
  <c r="K28" i="1"/>
  <c r="L28" i="1"/>
  <c r="N28" i="1"/>
  <c r="F29" i="1"/>
  <c r="I29" i="1"/>
  <c r="K29" i="1"/>
  <c r="L29" i="1"/>
  <c r="N29" i="1"/>
  <c r="F30" i="1"/>
  <c r="I30" i="1"/>
  <c r="K30" i="1"/>
  <c r="L30" i="1"/>
  <c r="N30" i="1"/>
  <c r="F31" i="1"/>
  <c r="I31" i="1"/>
  <c r="K31" i="1"/>
  <c r="L31" i="1"/>
  <c r="N31" i="1"/>
  <c r="F32" i="1"/>
  <c r="I32" i="1"/>
  <c r="K32" i="1"/>
  <c r="L32" i="1"/>
  <c r="N32" i="1"/>
  <c r="F33" i="1"/>
  <c r="I33" i="1"/>
  <c r="K33" i="1"/>
  <c r="L33" i="1"/>
  <c r="N33" i="1"/>
  <c r="F34" i="1"/>
  <c r="I34" i="1"/>
  <c r="K34" i="1"/>
  <c r="L34" i="1"/>
  <c r="N34" i="1"/>
  <c r="F35" i="1"/>
  <c r="I35" i="1"/>
  <c r="K35" i="1"/>
  <c r="L35" i="1"/>
  <c r="N35" i="1"/>
  <c r="F36" i="1"/>
  <c r="I36" i="1"/>
  <c r="K36" i="1"/>
  <c r="L36" i="1"/>
  <c r="N36" i="1"/>
  <c r="F37" i="1"/>
  <c r="I37" i="1"/>
  <c r="K37" i="1"/>
  <c r="L37" i="1"/>
  <c r="N37" i="1"/>
  <c r="F38" i="1"/>
  <c r="I38" i="1"/>
  <c r="K38" i="1"/>
  <c r="L38" i="1"/>
  <c r="N38" i="1"/>
  <c r="F39" i="1"/>
  <c r="I39" i="1"/>
  <c r="K39" i="1"/>
  <c r="L39" i="1"/>
  <c r="N39" i="1"/>
  <c r="F40" i="1"/>
  <c r="I40" i="1"/>
  <c r="K40" i="1"/>
  <c r="L40" i="1"/>
  <c r="N40" i="1"/>
  <c r="F41" i="1"/>
  <c r="I41" i="1"/>
  <c r="K41" i="1"/>
  <c r="L41" i="1"/>
  <c r="N41" i="1"/>
  <c r="F42" i="1"/>
  <c r="I42" i="1"/>
  <c r="K42" i="1"/>
  <c r="L42" i="1"/>
  <c r="N42" i="1"/>
  <c r="F43" i="1"/>
  <c r="I43" i="1"/>
  <c r="K43" i="1"/>
  <c r="L43" i="1"/>
  <c r="N43" i="1"/>
  <c r="F44" i="1"/>
  <c r="I44" i="1"/>
  <c r="K44" i="1"/>
  <c r="L44" i="1"/>
  <c r="N44" i="1"/>
  <c r="F45" i="1"/>
  <c r="I45" i="1"/>
  <c r="K45" i="1"/>
  <c r="L45" i="1"/>
  <c r="N45" i="1"/>
  <c r="F26" i="1"/>
  <c r="I26" i="1"/>
  <c r="K26" i="1"/>
  <c r="L26" i="1"/>
  <c r="N26" i="1"/>
  <c r="L69" i="12"/>
  <c r="M73" i="12"/>
  <c r="N69" i="12"/>
  <c r="L72" i="12"/>
  <c r="K69" i="12"/>
  <c r="I72" i="12"/>
  <c r="I69" i="12"/>
  <c r="N3" i="17"/>
  <c r="L3" i="17"/>
  <c r="K3" i="17"/>
  <c r="I3" i="17"/>
  <c r="F3" i="17"/>
  <c r="N2" i="17"/>
  <c r="L2" i="17"/>
  <c r="K2" i="17"/>
  <c r="I2" i="17"/>
  <c r="F2" i="17"/>
  <c r="N4" i="16"/>
  <c r="L4" i="16"/>
  <c r="K4" i="16"/>
  <c r="I4" i="16"/>
  <c r="F4" i="16"/>
  <c r="N3" i="16"/>
  <c r="L3" i="16"/>
  <c r="K3" i="16"/>
  <c r="I3" i="16"/>
  <c r="F3" i="16"/>
  <c r="N2" i="16"/>
  <c r="L2" i="16"/>
  <c r="K2" i="16"/>
  <c r="I2" i="16"/>
  <c r="F2" i="16"/>
  <c r="N3" i="21"/>
  <c r="L3" i="21"/>
  <c r="K3" i="21"/>
  <c r="I3" i="21"/>
  <c r="F3" i="21"/>
  <c r="N2" i="21"/>
  <c r="L2" i="21"/>
  <c r="K2" i="21"/>
  <c r="I2" i="21"/>
  <c r="F2" i="21"/>
  <c r="N3" i="15"/>
  <c r="L3" i="15"/>
  <c r="K3" i="15"/>
  <c r="I3" i="15"/>
  <c r="F3" i="15"/>
  <c r="N2" i="15"/>
  <c r="L2" i="15"/>
  <c r="K2" i="15"/>
  <c r="I2" i="15"/>
  <c r="F2" i="15"/>
  <c r="N15" i="14"/>
  <c r="L15" i="14"/>
  <c r="K15" i="14"/>
  <c r="I15" i="14"/>
  <c r="F15" i="14"/>
  <c r="N14" i="14"/>
  <c r="L14" i="14"/>
  <c r="K14" i="14"/>
  <c r="I14" i="14"/>
  <c r="F14" i="14"/>
  <c r="N13" i="14"/>
  <c r="L13" i="14"/>
  <c r="K13" i="14"/>
  <c r="I13" i="14"/>
  <c r="F13" i="14"/>
  <c r="N12" i="14"/>
  <c r="L12" i="14"/>
  <c r="K12" i="14"/>
  <c r="I12" i="14"/>
  <c r="F12" i="14"/>
  <c r="N11" i="14"/>
  <c r="L11" i="14"/>
  <c r="K11" i="14"/>
  <c r="I11" i="14"/>
  <c r="F11" i="14"/>
  <c r="N10" i="14"/>
  <c r="L10" i="14"/>
  <c r="K10" i="14"/>
  <c r="I10" i="14"/>
  <c r="F10" i="14"/>
  <c r="N9" i="14"/>
  <c r="L9" i="14"/>
  <c r="K9" i="14"/>
  <c r="I9" i="14"/>
  <c r="F9" i="14"/>
  <c r="N8" i="14"/>
  <c r="L8" i="14"/>
  <c r="K8" i="14"/>
  <c r="I8" i="14"/>
  <c r="F8" i="14"/>
  <c r="N7" i="14"/>
  <c r="L7" i="14"/>
  <c r="K7" i="14"/>
  <c r="I7" i="14"/>
  <c r="F7" i="14"/>
  <c r="N6" i="14"/>
  <c r="L6" i="14"/>
  <c r="K6" i="14"/>
  <c r="I6" i="14"/>
  <c r="F6" i="14"/>
  <c r="N5" i="14"/>
  <c r="L5" i="14"/>
  <c r="K5" i="14"/>
  <c r="I5" i="14"/>
  <c r="F5" i="14"/>
  <c r="N4" i="14"/>
  <c r="L4" i="14"/>
  <c r="K4" i="14"/>
  <c r="I4" i="14"/>
  <c r="F4" i="14"/>
  <c r="N3" i="14"/>
  <c r="L3" i="14"/>
  <c r="K3" i="14"/>
  <c r="I3" i="14"/>
  <c r="F3" i="14"/>
  <c r="N2" i="14"/>
  <c r="L2" i="14"/>
  <c r="K2" i="14"/>
  <c r="I2" i="14"/>
  <c r="F2" i="14"/>
  <c r="N2" i="12"/>
  <c r="N3" i="12"/>
  <c r="L2" i="12"/>
  <c r="L3" i="12"/>
  <c r="K2" i="12"/>
  <c r="K3" i="12"/>
  <c r="I2" i="12"/>
  <c r="I3" i="12"/>
  <c r="F2" i="12"/>
  <c r="F3" i="12"/>
  <c r="N2" i="9"/>
  <c r="N3" i="9"/>
  <c r="N4" i="9"/>
  <c r="N5" i="9"/>
  <c r="L2" i="9"/>
  <c r="L3" i="9"/>
  <c r="L4" i="9"/>
  <c r="L5" i="9"/>
  <c r="K2" i="9"/>
  <c r="K3" i="9"/>
  <c r="K4" i="9"/>
  <c r="K5" i="9"/>
  <c r="I2" i="9"/>
  <c r="I3" i="9"/>
  <c r="I4" i="9"/>
  <c r="I5" i="9"/>
  <c r="F2" i="9"/>
  <c r="F3" i="9"/>
  <c r="F4" i="9"/>
  <c r="F5" i="9"/>
  <c r="N2" i="11"/>
  <c r="N3" i="11"/>
  <c r="N4" i="11"/>
  <c r="N5" i="11"/>
  <c r="L2" i="11"/>
  <c r="L3" i="11"/>
  <c r="L4" i="11"/>
  <c r="L5" i="11"/>
  <c r="K2" i="11"/>
  <c r="K3" i="11"/>
  <c r="K4" i="11"/>
  <c r="K5" i="11"/>
  <c r="I2" i="11"/>
  <c r="I3" i="11"/>
  <c r="I4" i="11"/>
  <c r="I5" i="11"/>
  <c r="F2" i="11"/>
  <c r="F3" i="11"/>
  <c r="F4" i="11"/>
  <c r="F5" i="11"/>
  <c r="M2" i="3"/>
  <c r="M3" i="3"/>
  <c r="M4" i="3"/>
  <c r="K2" i="3"/>
  <c r="K3" i="3"/>
  <c r="K4" i="3"/>
  <c r="J2" i="3"/>
  <c r="J3" i="3"/>
  <c r="J4" i="3"/>
  <c r="H2" i="3"/>
  <c r="H3" i="3"/>
  <c r="H4" i="3"/>
  <c r="E2" i="3"/>
  <c r="E3" i="3"/>
  <c r="E4" i="3"/>
  <c r="I2" i="1"/>
  <c r="I3" i="1"/>
  <c r="I4" i="1"/>
  <c r="L2" i="1"/>
  <c r="L3" i="1"/>
  <c r="L4" i="1"/>
  <c r="K2" i="1"/>
  <c r="K3" i="1"/>
  <c r="K4" i="1"/>
  <c r="N2" i="1"/>
  <c r="N3" i="1"/>
  <c r="N4" i="1"/>
  <c r="F2" i="1"/>
  <c r="F3" i="1"/>
  <c r="F4" i="1"/>
  <c r="M6" i="3"/>
  <c r="M7" i="3"/>
  <c r="M8" i="3"/>
  <c r="M9" i="3"/>
  <c r="M10" i="3"/>
  <c r="M11" i="3"/>
  <c r="M12" i="3"/>
  <c r="M13" i="3"/>
  <c r="M14" i="3"/>
  <c r="M15" i="3"/>
  <c r="M17" i="3"/>
  <c r="M18" i="3"/>
  <c r="K6" i="3"/>
  <c r="K7" i="3"/>
  <c r="K8" i="3"/>
  <c r="K9" i="3"/>
  <c r="K10" i="3"/>
  <c r="K11" i="3"/>
  <c r="K12" i="3"/>
  <c r="K13" i="3"/>
  <c r="K14" i="3"/>
  <c r="K15" i="3"/>
  <c r="K17" i="3"/>
  <c r="K18" i="3"/>
  <c r="J6" i="3"/>
  <c r="J7" i="3"/>
  <c r="J8" i="3"/>
  <c r="J9" i="3"/>
  <c r="J10" i="3"/>
  <c r="J11" i="3"/>
  <c r="J12" i="3"/>
  <c r="J13" i="3"/>
  <c r="J14" i="3"/>
  <c r="J15" i="3"/>
  <c r="J17" i="3"/>
  <c r="J18" i="3"/>
  <c r="H6" i="3"/>
  <c r="H7" i="3"/>
  <c r="H8" i="3"/>
  <c r="H9" i="3"/>
  <c r="H10" i="3"/>
  <c r="H11" i="3"/>
  <c r="H12" i="3"/>
  <c r="H13" i="3"/>
  <c r="H14" i="3"/>
  <c r="H15" i="3"/>
  <c r="H18" i="3"/>
  <c r="E6" i="3"/>
  <c r="E7" i="3"/>
  <c r="E8" i="3"/>
  <c r="E9" i="3"/>
  <c r="E10" i="3"/>
  <c r="E11" i="3"/>
  <c r="E12" i="3"/>
  <c r="E13" i="3"/>
  <c r="E14" i="3"/>
  <c r="E15" i="3"/>
  <c r="E17" i="3"/>
  <c r="E18" i="3"/>
  <c r="H5" i="3"/>
  <c r="J5" i="3"/>
  <c r="K5" i="3"/>
  <c r="M5" i="3"/>
  <c r="E5" i="3"/>
  <c r="N9" i="1"/>
  <c r="N10" i="1"/>
  <c r="N11" i="1"/>
  <c r="N12" i="1"/>
  <c r="N13" i="1"/>
  <c r="N14" i="1"/>
  <c r="N15" i="1"/>
  <c r="N16" i="1"/>
  <c r="N17" i="1"/>
  <c r="N18" i="1"/>
  <c r="N19" i="1"/>
  <c r="N23" i="1"/>
  <c r="N24" i="1"/>
  <c r="N25" i="1"/>
  <c r="L9" i="1"/>
  <c r="L10" i="1"/>
  <c r="L11" i="1"/>
  <c r="L12" i="1"/>
  <c r="L13" i="1"/>
  <c r="L14" i="1"/>
  <c r="L15" i="1"/>
  <c r="L16" i="1"/>
  <c r="L17" i="1"/>
  <c r="L18" i="1"/>
  <c r="L19" i="1"/>
  <c r="L23" i="1"/>
  <c r="L24" i="1"/>
  <c r="L25" i="1"/>
  <c r="K9" i="1"/>
  <c r="K10" i="1"/>
  <c r="K11" i="1"/>
  <c r="K12" i="1"/>
  <c r="K13" i="1"/>
  <c r="K14" i="1"/>
  <c r="K15" i="1"/>
  <c r="K16" i="1"/>
  <c r="K17" i="1"/>
  <c r="K18" i="1"/>
  <c r="K19" i="1"/>
  <c r="K23" i="1"/>
  <c r="K24" i="1"/>
  <c r="K25" i="1"/>
  <c r="I9" i="1"/>
  <c r="I10" i="1"/>
  <c r="I11" i="1"/>
  <c r="I12" i="1"/>
  <c r="I13" i="1"/>
  <c r="I14" i="1"/>
  <c r="I15" i="1"/>
  <c r="I16" i="1"/>
  <c r="I17" i="1"/>
  <c r="I18" i="1"/>
  <c r="I19" i="1"/>
  <c r="I23" i="1"/>
  <c r="I24" i="1"/>
  <c r="I25" i="1"/>
  <c r="F9" i="1"/>
  <c r="F10" i="1"/>
  <c r="F11" i="1"/>
  <c r="F12" i="1"/>
  <c r="F13" i="1"/>
  <c r="F14" i="1"/>
  <c r="F15" i="1"/>
  <c r="F16" i="1"/>
  <c r="F17" i="1"/>
  <c r="F18" i="1"/>
  <c r="F19" i="1"/>
  <c r="F20" i="1"/>
  <c r="F23" i="1"/>
  <c r="F24" i="1"/>
  <c r="F25" i="1"/>
  <c r="N5" i="1"/>
  <c r="N6" i="1"/>
  <c r="N7" i="1"/>
  <c r="N8" i="1"/>
  <c r="L5" i="1"/>
  <c r="L6" i="1"/>
  <c r="L7" i="1"/>
  <c r="L8" i="1"/>
  <c r="K5" i="1"/>
  <c r="K6" i="1"/>
  <c r="K7" i="1"/>
  <c r="K8" i="1"/>
  <c r="I5" i="1"/>
  <c r="I6" i="1"/>
  <c r="I7" i="1"/>
  <c r="I8" i="1"/>
  <c r="F6" i="1"/>
  <c r="F7" i="1"/>
  <c r="F8" i="1"/>
  <c r="F5" i="1"/>
  <c r="K2" i="4"/>
  <c r="J2" i="4"/>
  <c r="G2" i="4"/>
  <c r="H2" i="4"/>
  <c r="E2" i="4"/>
  <c r="E29" i="3" l="1"/>
  <c r="H30" i="3"/>
  <c r="K28" i="3"/>
  <c r="E19" i="3"/>
  <c r="E27" i="3"/>
  <c r="K25" i="3"/>
  <c r="M28" i="3"/>
  <c r="J29" i="3"/>
  <c r="E26" i="3"/>
  <c r="K22" i="3"/>
  <c r="H29" i="3"/>
  <c r="M25" i="3"/>
  <c r="M29" i="3"/>
  <c r="K26" i="3"/>
  <c r="H24" i="3"/>
  <c r="M23" i="3"/>
  <c r="K21" i="3"/>
  <c r="M24" i="3"/>
  <c r="E24" i="3"/>
  <c r="K30" i="3"/>
  <c r="J21" i="3"/>
  <c r="M27" i="3"/>
  <c r="J19" i="3"/>
  <c r="K20" i="3"/>
  <c r="H28" i="3"/>
  <c r="K23" i="3"/>
  <c r="J25" i="3"/>
  <c r="K31" i="3"/>
  <c r="J28" i="3"/>
  <c r="E23" i="3"/>
  <c r="E31" i="3"/>
  <c r="H21" i="3"/>
  <c r="J24" i="3"/>
  <c r="M19" i="3"/>
  <c r="M21" i="3"/>
  <c r="K29" i="3"/>
  <c r="H26" i="3"/>
  <c r="E21" i="3"/>
  <c r="N72" i="12"/>
  <c r="M70" i="12"/>
  <c r="K72" i="12"/>
  <c r="K24" i="3"/>
  <c r="K19" i="3"/>
  <c r="K27" i="3"/>
  <c r="H19" i="3"/>
  <c r="E22" i="3"/>
  <c r="E20" i="3"/>
  <c r="M31" i="3"/>
  <c r="J31" i="3"/>
  <c r="H31" i="3"/>
  <c r="M30" i="3"/>
  <c r="E30" i="3"/>
  <c r="J30" i="3"/>
  <c r="E28" i="3"/>
  <c r="J27" i="3"/>
  <c r="H27" i="3"/>
  <c r="M26" i="3"/>
  <c r="J26" i="3"/>
  <c r="H25" i="3"/>
  <c r="E25" i="3"/>
  <c r="J23" i="3"/>
  <c r="H23" i="3"/>
  <c r="M22" i="3"/>
  <c r="J22" i="3"/>
  <c r="H22" i="3"/>
  <c r="M20" i="3"/>
  <c r="J20" i="3"/>
  <c r="H20" i="3"/>
  <c r="M104" i="11"/>
  <c r="L801" i="1" l="1"/>
  <c r="F801" i="1" l="1"/>
  <c r="F804" i="1"/>
  <c r="M47" i="16" l="1"/>
  <c r="M118" i="15"/>
  <c r="M30" i="19"/>
  <c r="N26" i="20"/>
  <c r="L26" i="20"/>
  <c r="K26" i="20"/>
  <c r="I26" i="20"/>
  <c r="M15" i="18"/>
  <c r="N46" i="16"/>
  <c r="L46" i="16"/>
  <c r="K46" i="16"/>
  <c r="I46" i="16"/>
  <c r="N33" i="17"/>
  <c r="L33" i="17"/>
  <c r="K33" i="17"/>
  <c r="I33" i="17"/>
  <c r="L29" i="19"/>
  <c r="L40" i="21"/>
  <c r="I40" i="21"/>
  <c r="L14" i="18"/>
  <c r="N117" i="15"/>
  <c r="L117" i="15"/>
  <c r="I117" i="15"/>
  <c r="K40" i="21"/>
  <c r="I14" i="18"/>
  <c r="N14" i="18"/>
  <c r="K14" i="18"/>
  <c r="K117" i="15"/>
  <c r="K29" i="19"/>
  <c r="N29" i="19"/>
  <c r="I29" i="19"/>
  <c r="I804" i="1"/>
  <c r="N804" i="1"/>
  <c r="L804" i="1"/>
  <c r="K804" i="1"/>
  <c r="M805" i="1"/>
  <c r="M802" i="1"/>
  <c r="K103" i="11"/>
  <c r="M106" i="9"/>
  <c r="L66" i="12"/>
  <c r="I66" i="12"/>
  <c r="N66" i="12"/>
  <c r="K66" i="12"/>
  <c r="L103" i="11"/>
  <c r="I103" i="11"/>
  <c r="N103" i="11"/>
  <c r="L105" i="9"/>
  <c r="K27" i="4" l="1"/>
  <c r="M41" i="21"/>
  <c r="H27" i="4"/>
  <c r="J27" i="4"/>
  <c r="G27" i="4"/>
  <c r="M512" i="14"/>
  <c r="E27" i="4" l="1"/>
  <c r="N801" i="1" l="1"/>
  <c r="K801" i="1"/>
  <c r="I801" i="1"/>
  <c r="I105" i="9"/>
  <c r="K105" i="9"/>
  <c r="N105" i="9"/>
</calcChain>
</file>

<file path=xl/sharedStrings.xml><?xml version="1.0" encoding="utf-8"?>
<sst xmlns="http://schemas.openxmlformats.org/spreadsheetml/2006/main" count="9505" uniqueCount="690">
  <si>
    <t>Email Name</t>
  </si>
  <si>
    <t>Audience</t>
  </si>
  <si>
    <t>Business Unit</t>
  </si>
  <si>
    <t>Send Date</t>
  </si>
  <si>
    <t>Sends</t>
  </si>
  <si>
    <t>Delivery Rate</t>
  </si>
  <si>
    <t>Overall Bounces</t>
  </si>
  <si>
    <t>Unique Opens</t>
  </si>
  <si>
    <t>Open Rate</t>
  </si>
  <si>
    <t>Unique Clicks</t>
  </si>
  <si>
    <t>CTR</t>
  </si>
  <si>
    <t>CTO</t>
  </si>
  <si>
    <t>Unsubscribes</t>
  </si>
  <si>
    <t>Unsubscribe Rate</t>
  </si>
  <si>
    <t>Reporting</t>
  </si>
  <si>
    <t>SCENE</t>
  </si>
  <si>
    <t>Theatrical</t>
  </si>
  <si>
    <t>Tuesday Deals EN</t>
  </si>
  <si>
    <t>CONNECT</t>
  </si>
  <si>
    <t>Movie Guide EN</t>
  </si>
  <si>
    <t>Cineplex Store</t>
  </si>
  <si>
    <t>Store</t>
  </si>
  <si>
    <t>Friday What's On EN</t>
  </si>
  <si>
    <t>Other</t>
  </si>
  <si>
    <t>Movie Guide FR</t>
  </si>
  <si>
    <t>Movie Guide EN 24 MT</t>
  </si>
  <si>
    <t>Employee Pincode</t>
  </si>
  <si>
    <t>LBE</t>
  </si>
  <si>
    <t>Friday What's On FR</t>
  </si>
  <si>
    <t>Tuesday Deals FR</t>
  </si>
  <si>
    <t>TARA</t>
  </si>
  <si>
    <t>Survey</t>
  </si>
  <si>
    <t>Cast Pass</t>
  </si>
  <si>
    <t>Movie Guide EN 24MT</t>
  </si>
  <si>
    <t>Film Anticipation FR</t>
  </si>
  <si>
    <t>Film Anticipation EN</t>
  </si>
  <si>
    <t>Arts &amp; Culture Newsletter FR</t>
  </si>
  <si>
    <t>Arts &amp; Culture Newsletter EN</t>
  </si>
  <si>
    <t>Edmonton Closure EN</t>
  </si>
  <si>
    <t>YTD</t>
  </si>
  <si>
    <t>Week</t>
  </si>
  <si>
    <t>Campaign Monitor 2021 Industry Benchmarks (Media, Entertainment, Publishing)</t>
  </si>
  <si>
    <t>Clicks</t>
  </si>
  <si>
    <t>CTOR</t>
  </si>
  <si>
    <t>% of Clicks that are Unsubscribes</t>
  </si>
  <si>
    <t>Week 1</t>
  </si>
  <si>
    <t>Grand Total (YTD)</t>
  </si>
  <si>
    <t xml:space="preserve">Movie Guide EN </t>
  </si>
  <si>
    <t>All 2023 Friday What's On Data</t>
  </si>
  <si>
    <t>All 2023 Tuesday Deals Data</t>
  </si>
  <si>
    <t>All 2023 Store Newsletter Data</t>
  </si>
  <si>
    <t>All 2023 Theatrical</t>
  </si>
  <si>
    <t>All 2023 Scene + Offer Only</t>
  </si>
  <si>
    <t>All 2023 Store</t>
  </si>
  <si>
    <t>All 2023 BM&amp;P</t>
  </si>
  <si>
    <t>All 2023 Other</t>
  </si>
  <si>
    <t>All 2023 LBE</t>
  </si>
  <si>
    <t>All 2023 Survey</t>
  </si>
  <si>
    <t>All 2023 CineCLub</t>
  </si>
  <si>
    <t>Adv Tickets Plane FR</t>
  </si>
  <si>
    <t>Adv Tickets Plane EN</t>
  </si>
  <si>
    <t>Puss In Boots FR</t>
  </si>
  <si>
    <t>Puss In Boots EN</t>
  </si>
  <si>
    <t>BTS Yet To Come FR</t>
  </si>
  <si>
    <t>BTS Yet To Come EN</t>
  </si>
  <si>
    <t>Week 2</t>
  </si>
  <si>
    <t>PDM Promo Gaming Offer Dartmouth</t>
  </si>
  <si>
    <t>PDM Promo Gaming Offer Brampton</t>
  </si>
  <si>
    <t>PDM Promo Gaming Offer Whitby</t>
  </si>
  <si>
    <t>Adv Tickets Ant Man Quantumania FR</t>
  </si>
  <si>
    <t>Adv Tickets Ant Man Quantumania EN</t>
  </si>
  <si>
    <t>Pathaan Challenger EN</t>
  </si>
  <si>
    <t>Pathaan Primary Audience EN</t>
  </si>
  <si>
    <t>Scene Redemption Offer FR</t>
  </si>
  <si>
    <t>Scene Redemption Offer EN</t>
  </si>
  <si>
    <t>Family Newsletter FR</t>
  </si>
  <si>
    <t>National Popcorn Day FR</t>
  </si>
  <si>
    <t>National Popcorn Day EN</t>
  </si>
  <si>
    <t>Family Newsletter EN</t>
  </si>
  <si>
    <t>Connect</t>
  </si>
  <si>
    <t>Week 3</t>
  </si>
  <si>
    <t>January 16 - January 22, 2023</t>
  </si>
  <si>
    <t>January 2 - January 8, 2023</t>
  </si>
  <si>
    <t>January 9 - January 15, 2023</t>
  </si>
  <si>
    <t>Pathaan2 Email EN</t>
  </si>
  <si>
    <t>Pathaan2 Web EN</t>
  </si>
  <si>
    <t>Junxion Launch</t>
  </si>
  <si>
    <t>BMP</t>
  </si>
  <si>
    <t>Plane FR</t>
  </si>
  <si>
    <t>Plane EN</t>
  </si>
  <si>
    <t>D&amp;T CineClub Acq #1 EN</t>
  </si>
  <si>
    <t>XL Coca Cola Collectors EN</t>
  </si>
  <si>
    <t>XL Coca Cola Collectors FR</t>
  </si>
  <si>
    <t>XL Coca Cola EN</t>
  </si>
  <si>
    <t>XL Coca Cola FR</t>
  </si>
  <si>
    <t>Superbowl Party</t>
  </si>
  <si>
    <t>The Wandering Earth II Challenger EN</t>
  </si>
  <si>
    <t>The Wandering Earth II Primary EN</t>
  </si>
  <si>
    <t>BM&amp;P</t>
  </si>
  <si>
    <t>Week 4</t>
  </si>
  <si>
    <t>January 23 - January 29, 2023</t>
  </si>
  <si>
    <t>Scene+ Offer Only</t>
  </si>
  <si>
    <t>CineClub</t>
  </si>
  <si>
    <t>80 For Brady Contest EN</t>
  </si>
  <si>
    <t>1M Points Contest FR</t>
  </si>
  <si>
    <t>1M Points Contest EN</t>
  </si>
  <si>
    <t>Scene Acquisition Offer FR</t>
  </si>
  <si>
    <t>Scene Acquisition Offer EN</t>
  </si>
  <si>
    <t>Scene Acquisition No Offer FR</t>
  </si>
  <si>
    <t>Scene Acquisition No Offer EN</t>
  </si>
  <si>
    <t>D&amp;T CineClub Acq #2 EN</t>
  </si>
  <si>
    <t>Babylon FR</t>
  </si>
  <si>
    <t>Babylon EN</t>
  </si>
  <si>
    <t>Anticipated Behaviour FR</t>
  </si>
  <si>
    <t>Anticipated Behaviour EN</t>
  </si>
  <si>
    <t>Half Off Gameplay Dartmouth</t>
  </si>
  <si>
    <t>Half Off Gameplay Brampton EN</t>
  </si>
  <si>
    <t>Half Off Gameplay Whitby EN</t>
  </si>
  <si>
    <t>Half Off Gameplay TRR</t>
  </si>
  <si>
    <t>Superbowl Party Reminder EN</t>
  </si>
  <si>
    <t>Week 5</t>
  </si>
  <si>
    <t>January 30 - February 5, 2023</t>
  </si>
  <si>
    <t>Week 6</t>
  </si>
  <si>
    <t>February 6 - February 12, 2023</t>
  </si>
  <si>
    <t>I WannaDance With Somebody EN</t>
  </si>
  <si>
    <t>I WannaDance With Somebody FR</t>
  </si>
  <si>
    <t>Hot &amp; Spicy Shake It EN</t>
  </si>
  <si>
    <t>Hot &amp; Spicy Shake It FR</t>
  </si>
  <si>
    <t>Superbowl Party Final Reminder</t>
  </si>
  <si>
    <t>D&amp;T CineClub Acq #3 EN</t>
  </si>
  <si>
    <t>Pathaan VIP Experience EN</t>
  </si>
  <si>
    <t>Points Offer Avatar Way Of The Water Control EN</t>
  </si>
  <si>
    <t>Points Offer Avatar Way Of The Water Offer EN</t>
  </si>
  <si>
    <t>Points Offer Avatar Way Of The Water Control FR</t>
  </si>
  <si>
    <t>Points Offer Avatar Way Of The Water Offer FR</t>
  </si>
  <si>
    <t>Adv Tickets Fast X EN</t>
  </si>
  <si>
    <t>Adv Tickets Fast X FR</t>
  </si>
  <si>
    <t>Half Off Gameplay Reminder Whitby PDM</t>
  </si>
  <si>
    <t>Half Off Gameplay Reminder Dartmouth PDM</t>
  </si>
  <si>
    <t>Half Off Gameplay Reminder TRR</t>
  </si>
  <si>
    <t>Game Tag Offer TRR</t>
  </si>
  <si>
    <t xml:space="preserve">Game Tag Offer Whitby </t>
  </si>
  <si>
    <t xml:space="preserve">Game Tag Offer Dartmouth </t>
  </si>
  <si>
    <t>Half Off Gameplay Reminder Brampton PDM</t>
  </si>
  <si>
    <t xml:space="preserve">Game Tag Offer Brampton </t>
  </si>
  <si>
    <t>Spice It Up Valentines Day FR</t>
  </si>
  <si>
    <t>Spice It Up Valentines Day EN</t>
  </si>
  <si>
    <t>Employee Appreciation Day EN FR</t>
  </si>
  <si>
    <t>Employee Appreciation Day FR EN</t>
  </si>
  <si>
    <t>D&amp;T CineClub Acq #4 EN</t>
  </si>
  <si>
    <t>Week 7</t>
  </si>
  <si>
    <t>February 13 - February 19, 2023</t>
  </si>
  <si>
    <t>1M Point Contest Reminder FR</t>
  </si>
  <si>
    <t>1M Point Contest Reminder EN</t>
  </si>
  <si>
    <t>Half Off Game Play Reminder Brampton</t>
  </si>
  <si>
    <t>Half Off Game Play Reminder Whitby</t>
  </si>
  <si>
    <t>Half Off Game Play Reminder Dartmouth</t>
  </si>
  <si>
    <t>Half Off Game Play Reminder TRR</t>
  </si>
  <si>
    <t>Adv Ticket Jesus Revolution EN</t>
  </si>
  <si>
    <t>2x Scene Points Offer FR</t>
  </si>
  <si>
    <t>2x Scene Points Offer EN</t>
  </si>
  <si>
    <t>Luther EN</t>
  </si>
  <si>
    <t>Scene Acquisition Offer Reminder No Offer FR</t>
  </si>
  <si>
    <t>Scene Acquisition Offer Reminder No Offer EN</t>
  </si>
  <si>
    <t>Scene Acquisition Offer Reminder Offer FR</t>
  </si>
  <si>
    <t>Scene Acquisition Offer Reminder Offer EN</t>
  </si>
  <si>
    <t>Coco Ferme FR</t>
  </si>
  <si>
    <t>Adv Tickets Shazam FR</t>
  </si>
  <si>
    <t>Adv Tickets Shazam EN</t>
  </si>
  <si>
    <t>Week 8</t>
  </si>
  <si>
    <t>February 20 - February 26, 2023</t>
  </si>
  <si>
    <t>Hybrid Meetings FR EN</t>
  </si>
  <si>
    <t>Hybrid Meetings EN FR</t>
  </si>
  <si>
    <t>Adv Ticket John Wick Chpt 4 FR</t>
  </si>
  <si>
    <t>Adv Ticket John Wick Chpt 4 EN</t>
  </si>
  <si>
    <t>Spring Break Offer EN</t>
  </si>
  <si>
    <t>Spring Break Offer Dartmouth EN</t>
  </si>
  <si>
    <t>Spring Break Offer Whitby EN</t>
  </si>
  <si>
    <t>Theres Always Hope EN</t>
  </si>
  <si>
    <t>St. Patricks Day Party Invite</t>
  </si>
  <si>
    <t>Cine Club Members</t>
  </si>
  <si>
    <t>Week 9</t>
  </si>
  <si>
    <t>February 27 - March 5, 2023</t>
  </si>
  <si>
    <t>Empire Scene Plus Offer MBSKBC EN</t>
  </si>
  <si>
    <t>Empire Scene Plus Offer AB EN</t>
  </si>
  <si>
    <t>Empire Scene Plus Offer ATLON EN</t>
  </si>
  <si>
    <t>Multi Title Holi Challenger EN</t>
  </si>
  <si>
    <t>Multi Title Holi Primary EN</t>
  </si>
  <si>
    <t>Jesus Revolution 2 EN</t>
  </si>
  <si>
    <t>Adv Ticket Super Mario FR</t>
  </si>
  <si>
    <t>Adv Ticket Super Mario EN</t>
  </si>
  <si>
    <t>Mummies FR</t>
  </si>
  <si>
    <t>Event Cinema Research FR</t>
  </si>
  <si>
    <t>Event Cinema Research EN</t>
  </si>
  <si>
    <t>Mummies EN</t>
  </si>
  <si>
    <t>Week 10</t>
  </si>
  <si>
    <t>March 6 - March 12, 2023</t>
  </si>
  <si>
    <t>CineClub Qualitative Research EN</t>
  </si>
  <si>
    <t>M&amp;M Minis FR</t>
  </si>
  <si>
    <t>M&amp;M Minis EN</t>
  </si>
  <si>
    <t>Spring Break Offer Brampton EN</t>
  </si>
  <si>
    <t>St Patrick's Day Party Reminder</t>
  </si>
  <si>
    <t>Adv Ticket D&amp;D FR</t>
  </si>
  <si>
    <t>Adv Ticket D&amp;D EN</t>
  </si>
  <si>
    <t>The Last Of Us FR</t>
  </si>
  <si>
    <t>The Last Of Us EN</t>
  </si>
  <si>
    <t>Spring Bowling League</t>
  </si>
  <si>
    <t>Andre Rieu In Dublin FR</t>
  </si>
  <si>
    <t>Andre Rieu In Dublin EN</t>
  </si>
  <si>
    <t>Spring Break Offer Reminder 1 Dartmouth EN</t>
  </si>
  <si>
    <t>Spring Break Offer Reminder 1 Whitby EN</t>
  </si>
  <si>
    <t>Spring Break Offer Reminder 1 Brampton EN</t>
  </si>
  <si>
    <t>Spring Break Offer Reminder 1 EN</t>
  </si>
  <si>
    <t>Points Offer Crepuscle Offer Email</t>
  </si>
  <si>
    <t>Points Offer Crepuscle Control Email</t>
  </si>
  <si>
    <t>Tagline FR</t>
  </si>
  <si>
    <t>Week 11</t>
  </si>
  <si>
    <t>March 13 - March 19, 2023</t>
  </si>
  <si>
    <t>Easter Egg Brunch EN</t>
  </si>
  <si>
    <t>Bowling Leauge Reminder</t>
  </si>
  <si>
    <t>Week 12</t>
  </si>
  <si>
    <t>March 20 - March 26, 2023</t>
  </si>
  <si>
    <t>CineClub Acq 100 No Offer EN</t>
  </si>
  <si>
    <t>CineClub Acq 75 No Offer EN</t>
  </si>
  <si>
    <t>CineClub Acq 50 No Offer EN</t>
  </si>
  <si>
    <t>CineClub Early Access Air EN</t>
  </si>
  <si>
    <t>Early Access Air2 EN</t>
  </si>
  <si>
    <t>Tuesday Deals RFM1 EN</t>
  </si>
  <si>
    <t>Spring Break Offer Final Reminder 2 Whitby PDM</t>
  </si>
  <si>
    <t>Spring Break Offer Final Reminder 2 Dartmouth PDM</t>
  </si>
  <si>
    <t>Spring Break Offer Final Reminder 2 Brampton PDM</t>
  </si>
  <si>
    <t>Spring Break Offer Final Reminder 2 TRR EN</t>
  </si>
  <si>
    <t>School Year End Celebration FR-EN</t>
  </si>
  <si>
    <t>School Year End Celebration EN-FR</t>
  </si>
  <si>
    <t>Air Sneak Preview EN</t>
  </si>
  <si>
    <t>Easter Egg Brunch Reminder</t>
  </si>
  <si>
    <t>Tuesday Deals RFM2 EN</t>
  </si>
  <si>
    <t>Week 13</t>
  </si>
  <si>
    <t>March 27 - April 2, 2023</t>
  </si>
  <si>
    <t>Pre Paid Products FR</t>
  </si>
  <si>
    <t>Pre Paid Products EN</t>
  </si>
  <si>
    <t>Spring Gift Pack #1 FR</t>
  </si>
  <si>
    <t>Spring Gift Pack #1 EN</t>
  </si>
  <si>
    <t>Adv Ticket Guardians Of The Galaxy 3 FR</t>
  </si>
  <si>
    <t>Adv Ticket Guardians Of The Galaxy 3 EN</t>
  </si>
  <si>
    <t>Super Mario Bros Concesions EN</t>
  </si>
  <si>
    <t>Super Mario Bros Concesions D&amp;T EN</t>
  </si>
  <si>
    <t>Super Mario Bros Scene Offer Control FR</t>
  </si>
  <si>
    <t>Super Mario Bros Scene Offer Control EN</t>
  </si>
  <si>
    <t>Super Mario Bros Scene Offer FR</t>
  </si>
  <si>
    <t>Super Mario Bros Scene Offer EN</t>
  </si>
  <si>
    <t>Super Mario Bros Concessions Reminder EN</t>
  </si>
  <si>
    <t>John Wick 4 FR</t>
  </si>
  <si>
    <t>John Wick 4 EN</t>
  </si>
  <si>
    <t>Week 14</t>
  </si>
  <si>
    <t>April 3 - April 9, 2023</t>
  </si>
  <si>
    <t>OptInSurvey</t>
  </si>
  <si>
    <t>SceneOfferMafiaMamma</t>
  </si>
  <si>
    <t>Scene Offer D&amp;D Control EN</t>
  </si>
  <si>
    <t>Scene Offer D&amp;D Control FR</t>
  </si>
  <si>
    <t>Scene Offer D&amp;D EN</t>
  </si>
  <si>
    <t>Scene Offer D&amp;D FR</t>
  </si>
  <si>
    <t>Sneak Preview Are You There God EN</t>
  </si>
  <si>
    <t>Week 15</t>
  </si>
  <si>
    <t>April 10 - April 16, 2023</t>
  </si>
  <si>
    <t>SCENE &amp; CONNECT</t>
  </si>
  <si>
    <t>Xscape Bonus Offer FR</t>
  </si>
  <si>
    <t>Xscape Bonus Offer EN</t>
  </si>
  <si>
    <t>Early Screen Citadel EN</t>
  </si>
  <si>
    <t>Farador FR</t>
  </si>
  <si>
    <t>Spring Gift Pack #2 FR</t>
  </si>
  <si>
    <t>Spring Gift Pack #2 EN</t>
  </si>
  <si>
    <t>BeauIs Afraid EN</t>
  </si>
  <si>
    <t>Eid Al Fitr EN</t>
  </si>
  <si>
    <t>Mothers Day Drag Brunch EN</t>
  </si>
  <si>
    <t>Week 16</t>
  </si>
  <si>
    <t>April 17 - April 23, 2023</t>
  </si>
  <si>
    <t>Cine Club Acquisition No Offer 100 EN</t>
  </si>
  <si>
    <t>Cine Club Acquisition No Offer 100 FR</t>
  </si>
  <si>
    <t>Cine Club Acquisition No Offer 75 EN</t>
  </si>
  <si>
    <t>Cine Club Acquisition No Offer 75 FR</t>
  </si>
  <si>
    <t>Cine Club Acquisition No Offer 50 EN</t>
  </si>
  <si>
    <t>Cine Club Acquisition No Offer 50 FR</t>
  </si>
  <si>
    <t>Cine Club Acquisition EN</t>
  </si>
  <si>
    <t>Cine Club Acquisition FR</t>
  </si>
  <si>
    <t>Xscape Bonus Offer Reminder FR</t>
  </si>
  <si>
    <t>Xscape Bonus Offer Reminder EN</t>
  </si>
  <si>
    <t>BOGO FreeAdmission FR</t>
  </si>
  <si>
    <t>BOGO FreeAdmission EN</t>
  </si>
  <si>
    <t>Fast X Offer Offer Alert EN</t>
  </si>
  <si>
    <t>Fast X Offer Last Chance EN</t>
  </si>
  <si>
    <t>MET Refund EN</t>
  </si>
  <si>
    <t>MET Refund FR</t>
  </si>
  <si>
    <t>Are You There God EN</t>
  </si>
  <si>
    <t>Are You There God FR</t>
  </si>
  <si>
    <t>Sisu EN</t>
  </si>
  <si>
    <t>Scene Acquisition No OFFER EN</t>
  </si>
  <si>
    <t>Week 17</t>
  </si>
  <si>
    <t>April 24 - April 30, 2023</t>
  </si>
  <si>
    <t>Week 18</t>
  </si>
  <si>
    <t>May 1 - May 7, 2023</t>
  </si>
  <si>
    <t>Comm Insights Opt In 2</t>
  </si>
  <si>
    <t>BeauIs Affraid FR</t>
  </si>
  <si>
    <t>VIP Book club Screening EN</t>
  </si>
  <si>
    <t>TRRFR Logo Creative Test</t>
  </si>
  <si>
    <t>Adv Ticket Little Mermaid FR</t>
  </si>
  <si>
    <t>Adv Ticket Little Mermaid EN</t>
  </si>
  <si>
    <t>Super Mario Bros 500 EN</t>
  </si>
  <si>
    <t>Super Mario Bros 1000 EN</t>
  </si>
  <si>
    <t>Fast X Pincodes FR</t>
  </si>
  <si>
    <t>Fast X Pincodes EN</t>
  </si>
  <si>
    <t>Friday What's On FR Noblock</t>
  </si>
  <si>
    <t>Friday What's On EN Noblock</t>
  </si>
  <si>
    <t>Mothers Day Drag Brunch Reminder</t>
  </si>
  <si>
    <t xml:space="preserve">Friday What's On FR </t>
  </si>
  <si>
    <t>Pre Opening Junxion Erin Mills</t>
  </si>
  <si>
    <t>Adv Tickets Transformers FR</t>
  </si>
  <si>
    <t>Adv Tickets Transformers EN</t>
  </si>
  <si>
    <t>Adv Ticket Spider Man FR</t>
  </si>
  <si>
    <t>Adv Ticket Spider Man EN</t>
  </si>
  <si>
    <t>Mothers Day Gifting EN</t>
  </si>
  <si>
    <t>Mothers Day Gifting FR</t>
  </si>
  <si>
    <t>Blackberry FR</t>
  </si>
  <si>
    <t>Blackberry EN</t>
  </si>
  <si>
    <t>LBE Concept Test</t>
  </si>
  <si>
    <t>Week 19</t>
  </si>
  <si>
    <t>May 8 - May 14, 2023</t>
  </si>
  <si>
    <t>Week 20</t>
  </si>
  <si>
    <t>May 15 - May 21, 2023</t>
  </si>
  <si>
    <t>Charlottetown Reopen EN</t>
  </si>
  <si>
    <t>Super Mario Bros FR</t>
  </si>
  <si>
    <t>Super Mario Bros EN</t>
  </si>
  <si>
    <t>Junxion Opening EN</t>
  </si>
  <si>
    <t>Scene Offer Fast X Control FR</t>
  </si>
  <si>
    <t>Scene Offer Fast X FR</t>
  </si>
  <si>
    <t>Scene Offer Fast X Control EN</t>
  </si>
  <si>
    <t>Scene Offer Fast X EN</t>
  </si>
  <si>
    <t>Flash Contest EN</t>
  </si>
  <si>
    <t>Dark Nature EN</t>
  </si>
  <si>
    <t>Dark Nature FR</t>
  </si>
  <si>
    <t>Friday What's On FR Link</t>
  </si>
  <si>
    <t>Alcohol Offering Awareness EN</t>
  </si>
  <si>
    <t>Alcohol Offering Awareness FR</t>
  </si>
  <si>
    <t>Apology FR</t>
  </si>
  <si>
    <t>Apology EN</t>
  </si>
  <si>
    <t>Adv Tickets The Flash EN</t>
  </si>
  <si>
    <t>Adv Tickets The Flash FR</t>
  </si>
  <si>
    <t>True Romance EN</t>
  </si>
  <si>
    <t>Week 21</t>
  </si>
  <si>
    <t>May 22 - May 28, 2023</t>
  </si>
  <si>
    <t>Week 22</t>
  </si>
  <si>
    <t>May 29 - June 4, 2023</t>
  </si>
  <si>
    <t>Succession EN</t>
  </si>
  <si>
    <t>Prem Ex Drive Offer 300 List 1 EN</t>
  </si>
  <si>
    <t>Prem Ex Drive Offer 300 List 1 FR</t>
  </si>
  <si>
    <t>AVX SpiderMan EN</t>
  </si>
  <si>
    <t>AVX SpiderMan FR</t>
  </si>
  <si>
    <t>IMAX Oppenheimer EN</t>
  </si>
  <si>
    <t>IMAX Oppenheimer FR</t>
  </si>
  <si>
    <t>Empire Scene Members Day ATL ON EN</t>
  </si>
  <si>
    <t>Empire Scene Members Day AB EN</t>
  </si>
  <si>
    <t>Empire Scene Members Day MB SK BC EN</t>
  </si>
  <si>
    <t>Prem Ex Drive Offer 300 List 2 EN</t>
  </si>
  <si>
    <t>Prem Ex Drive Offer 300 List 2 FR</t>
  </si>
  <si>
    <t>Prem Ex Drive Offer 500 List 1 FR</t>
  </si>
  <si>
    <t>Prem Ex Drive Offer 500 List 1 EN</t>
  </si>
  <si>
    <t>Prem Ex Drive Offer 500 List 2 EN</t>
  </si>
  <si>
    <t>Prem Ex Drive Offer 500 List 2 FR</t>
  </si>
  <si>
    <t>International Cinema June EN</t>
  </si>
  <si>
    <t>Adv Tickets Oppenheimer FR</t>
  </si>
  <si>
    <t>Adv Tickets Oppenheimer EN</t>
  </si>
  <si>
    <t>CDM Mall</t>
  </si>
  <si>
    <t>Fast X Pincode Feedback</t>
  </si>
  <si>
    <t>Week 23</t>
  </si>
  <si>
    <t>June 5 - June 11, 2023</t>
  </si>
  <si>
    <t>Weekly Revenue</t>
  </si>
  <si>
    <t>Campaign Revenue (from Jan 2, 2023)</t>
  </si>
  <si>
    <t>Adobe Analytics Instance</t>
  </si>
  <si>
    <t>Orders/Visits</t>
  </si>
  <si>
    <t>Date</t>
  </si>
  <si>
    <t>Cineplex dot com Sales</t>
  </si>
  <si>
    <t>Store Web, Mobile Web, 
SmartTV - Prod Sales</t>
  </si>
  <si>
    <t>Total</t>
  </si>
  <si>
    <t>Email Sends</t>
  </si>
  <si>
    <t>SFMC Name</t>
  </si>
  <si>
    <t>Deployment Date</t>
  </si>
  <si>
    <t>Visits</t>
  </si>
  <si>
    <t>Orders</t>
  </si>
  <si>
    <t>Revenue</t>
  </si>
  <si>
    <t>Conversion Rate</t>
  </si>
  <si>
    <t>Notes</t>
  </si>
  <si>
    <t>Notes:</t>
  </si>
  <si>
    <t>W1</t>
  </si>
  <si>
    <t>CPX_20230102_LBE_CM00552_PDMPromoGamingOffer</t>
  </si>
  <si>
    <t>LBE: Sales data is not available in Adobe Analytics; Visits will be shown</t>
  </si>
  <si>
    <t>W2</t>
  </si>
  <si>
    <t>CPX_20230103_THEA_CM00553_TuesdayDeals</t>
  </si>
  <si>
    <t>THEA: Cineplex dot com Sales</t>
  </si>
  <si>
    <t>W3</t>
  </si>
  <si>
    <t>CPX_20230106_THEA_CM00557_EdmontonClosure</t>
  </si>
  <si>
    <t>STORE: Store Web, Mobile Web, SmartTV - Prod Sales</t>
  </si>
  <si>
    <t>W4</t>
  </si>
  <si>
    <t>CPX_20230106_STORE_CM00559_StoreNewsletterEN</t>
  </si>
  <si>
    <t>W5</t>
  </si>
  <si>
    <t>CPX_20230106_THEA_CM00558_CatalogueTitles</t>
  </si>
  <si>
    <t>W6</t>
  </si>
  <si>
    <t>CPX_20230107_STORE_CM00560_StoreNewsletterFR</t>
  </si>
  <si>
    <t>W7</t>
  </si>
  <si>
    <t>CPX_20230107_THEA_CM00561_Arts&amp;CultureNewsletter</t>
  </si>
  <si>
    <t>W8</t>
  </si>
  <si>
    <t>CPX_20230109_THEA_CM00562_AdvTicketsPlane</t>
  </si>
  <si>
    <t>W9</t>
  </si>
  <si>
    <t>CPX_20230110_Store_CM00565_PussInBoots</t>
  </si>
  <si>
    <t>W10</t>
  </si>
  <si>
    <t>CPX_20230110_THEA_CM00563_TuesdayDeals</t>
  </si>
  <si>
    <t>W11</t>
  </si>
  <si>
    <t>CPX_20230112_THEA_CM00566_BTSYetToCome</t>
  </si>
  <si>
    <t>W12</t>
  </si>
  <si>
    <t>CPX_20230113_THEA_CM00568_CatalogueTitles</t>
  </si>
  <si>
    <t>W13</t>
  </si>
  <si>
    <t>CPX_20230113_STORE_CM00567_StoreNewsletterEN</t>
  </si>
  <si>
    <t>W14</t>
  </si>
  <si>
    <t>CPX_20230116_THEA_CM00570_AdvTicketsAntManQuantumania</t>
  </si>
  <si>
    <t>W15</t>
  </si>
  <si>
    <t>CPX_20230117_THEA_CM00571_TuesdayDeals</t>
  </si>
  <si>
    <t>W16</t>
  </si>
  <si>
    <t>CPX_20230118_THEA_CM00574_NationalPopcornDay</t>
  </si>
  <si>
    <t>W17</t>
  </si>
  <si>
    <t>CPX_20230118_STORE_CM00573_NationalPopcornDay</t>
  </si>
  <si>
    <t>W18</t>
  </si>
  <si>
    <t>CPX_20230118_THEA_CM00572_Pathaan</t>
  </si>
  <si>
    <t>W19</t>
  </si>
  <si>
    <t>CPX_20230119_THEA_CM00576_SceneRedemptionOffer</t>
  </si>
  <si>
    <t>W20</t>
  </si>
  <si>
    <t>CPX_20230120_STORE_CM00579_StoreNewsletterEN</t>
  </si>
  <si>
    <t>W21</t>
  </si>
  <si>
    <t>CPX_20230120_THEA_CM00578_CatalogueTitles</t>
  </si>
  <si>
    <t>W22</t>
  </si>
  <si>
    <t>CPX_20230121_THEA_CM00581_FamilyNewsletter</t>
  </si>
  <si>
    <t>W23</t>
  </si>
  <si>
    <t>CPX_20230121_STORE_CM00580_StoreNewsletterFR</t>
  </si>
  <si>
    <t>W24</t>
  </si>
  <si>
    <t>CPX_20230124_BMP_CM00584_JunxionLaunch</t>
  </si>
  <si>
    <t>W25</t>
  </si>
  <si>
    <t>CPX_20230124_THEA_CM00583_Pathaan2</t>
  </si>
  <si>
    <t>W26</t>
  </si>
  <si>
    <t>CPX_20230124_THEA_CM00582_TuesdayDeals</t>
  </si>
  <si>
    <t>W27</t>
  </si>
  <si>
    <t>CPX_20230125_THEA_CM00586_Plane</t>
  </si>
  <si>
    <t>W28</t>
  </si>
  <si>
    <t>CPX_20230125_THEA_CM00585_TheWanderingEarthII</t>
  </si>
  <si>
    <t>W29</t>
  </si>
  <si>
    <t>CPX_20230126_THEA_CM00589_XLCocaCola</t>
  </si>
  <si>
    <t>W30</t>
  </si>
  <si>
    <t>CPX_20230126_THEA_CM00588_D&amp;TCineClubAcq#1</t>
  </si>
  <si>
    <t>W31</t>
  </si>
  <si>
    <t>CPX_20230127_STORE_CM00592_StoreNewsletterEN</t>
  </si>
  <si>
    <t>W32</t>
  </si>
  <si>
    <t>CPX_20230127_THEA_CM00591_CatalogueTitles</t>
  </si>
  <si>
    <t>W33</t>
  </si>
  <si>
    <t>CPX_20230131_THEA_CM00595_80ForBradyContest</t>
  </si>
  <si>
    <t>W34</t>
  </si>
  <si>
    <t>CPX_202301231_THEA_CM00593_TuesdayDeals</t>
  </si>
  <si>
    <t>W35</t>
  </si>
  <si>
    <t>CPX_20230201_THEA_CM00596_1MPointsContest</t>
  </si>
  <si>
    <t>W36</t>
  </si>
  <si>
    <t>CPX_20230201_LBE_CM00594_HalfOffGameplay</t>
  </si>
  <si>
    <t>W37</t>
  </si>
  <si>
    <t>CPX_20230202_STORE_CM00601_Babylon</t>
  </si>
  <si>
    <t>W38</t>
  </si>
  <si>
    <t>CPX_20230202_THEA_CM00600_SceneAcquisition</t>
  </si>
  <si>
    <t>W39</t>
  </si>
  <si>
    <t>CPX_20230202_THEA_CM00599_D&amp;TCineClubAcq#2</t>
  </si>
  <si>
    <t>W40</t>
  </si>
  <si>
    <t>CPX_20230203_LBE_CM00603_SuperbowlPartyReminder</t>
  </si>
  <si>
    <t>Eventbrite</t>
  </si>
  <si>
    <t>W41</t>
  </si>
  <si>
    <t>CPX_20230203_STORE_CM00605_StoreNewsletterEN</t>
  </si>
  <si>
    <t>W42</t>
  </si>
  <si>
    <t>CPX_20230203_THEA_CM00604_CatalogueTitles</t>
  </si>
  <si>
    <t>W43</t>
  </si>
  <si>
    <t>CPX_20230204_STORE_CM00608_StoreNewsletterFR</t>
  </si>
  <si>
    <t>W44</t>
  </si>
  <si>
    <t>CPX_20230204_THEA_CM00607_Arts&amp;CultureNewsletter</t>
  </si>
  <si>
    <t>W45</t>
  </si>
  <si>
    <t>CPX_20230207_STORE_CM00611_IWannaDanceWithSomebody</t>
  </si>
  <si>
    <t>W46</t>
  </si>
  <si>
    <t>CPX_20230207_THEA_CM00610_TuesdayDeals</t>
  </si>
  <si>
    <t>W47</t>
  </si>
  <si>
    <t>CPX_20230208_THEA_CM00612_Hot&amp;SpicyShakeIt</t>
  </si>
  <si>
    <t>W48</t>
  </si>
  <si>
    <t>CPX_20230209_THEA_CM00621_PathaanVIPExperience</t>
  </si>
  <si>
    <t>W49</t>
  </si>
  <si>
    <t>CPX_20230209_THEA_CM00615_D&amp;TCineClubAcq#3</t>
  </si>
  <si>
    <t>W50</t>
  </si>
  <si>
    <t>CPX_20230209_LBE_CM00613_SuperbowlPartyFinalReminder</t>
  </si>
  <si>
    <t>W51</t>
  </si>
  <si>
    <t>CPX_20230210_STORE_CM00619_StoreNewsletterEN</t>
  </si>
  <si>
    <t>W52</t>
  </si>
  <si>
    <t>CPX_20230210_THEA_CM00618_CatalogueTitles</t>
  </si>
  <si>
    <t>CPX_20230210_THEA_CM00617_PointsOfferAvatarWayOfTheWater</t>
  </si>
  <si>
    <t>CPX_20230210_THEA_CM00616_AdvTicketsFastX</t>
  </si>
  <si>
    <t>CPX_20230212_LBE_CM00620_HalfOffGameplayReminder</t>
  </si>
  <si>
    <t>CPX_20230213_LBE_CM00622_GameTagOffer</t>
  </si>
  <si>
    <t>CPX_20230214_STORE_CM00624_SpiceItUpValentinesDay</t>
  </si>
  <si>
    <t>CPX_20230214_THEA_CM00623_TuesdayDeals</t>
  </si>
  <si>
    <t>CPX_20230216_THEA_CM00629_XLCocaCola</t>
  </si>
  <si>
    <t>CPX_20230216_THEA_CM00628_D&amp;TCineClubAcq#4</t>
  </si>
  <si>
    <t>CPX_20230217_THEA_CM00634_AdvTicketJesusRevolution</t>
  </si>
  <si>
    <t>CPX_20230217_STORE_CM00631_StoreNewsletterEN</t>
  </si>
  <si>
    <t>CPX_20230217_THEA_CM00630_CatalogueTitles</t>
  </si>
  <si>
    <t>CPX_20230218_THEA_CM00633_FamilyNewsletter</t>
  </si>
  <si>
    <t>CPX_20230218_STORE_CM00632_StoreNewsletterFR</t>
  </si>
  <si>
    <t>CPX_20230220_THEA_CM00635_1MPointContestReminder</t>
  </si>
  <si>
    <t>CPX_20230221_THEA_CM00637_HalfOffGamePlayReminder</t>
  </si>
  <si>
    <t>CPX_20230221_THEA_CM00636_TuesdayDeals</t>
  </si>
  <si>
    <t>CPX_20230222_THEA_CM00639_2xScenePointsOffer</t>
  </si>
  <si>
    <t>CPX_20230223_THEA_CM00642_Luther</t>
  </si>
  <si>
    <t>CPX_20230223_THEA_CM00640_SceneAcquisitionOfferReminder</t>
  </si>
  <si>
    <t>CPX_20230224_STORE_CM00646_StoreNewsletterEN</t>
  </si>
  <si>
    <t>CPX_20230224_THEA_CM00645_CatalogueTitles</t>
  </si>
  <si>
    <t>CPX_20230224_THEA_CM00644_CocoFerme</t>
  </si>
  <si>
    <t>CPX_20230224_THEA_CM00643_AdvTicketsShazam</t>
  </si>
  <si>
    <t>CPX_20230227_BMP_CM00648_HybridMeetings</t>
  </si>
  <si>
    <t>CPX_20230228_THEA_CM00649_TuesdayDeals</t>
  </si>
  <si>
    <t>CPX_20230301_THEA_CM00650_AdvTicketJohnWickChpt4</t>
  </si>
  <si>
    <t>CPX_20230301_LBE_CM00653_SpringBreakOffer</t>
  </si>
  <si>
    <t>CPX_20230303_STORE_CM00659_StoreNewsletterEN</t>
  </si>
  <si>
    <t>CPX_20230303_THEA_CM00658_CatalogueTitles</t>
  </si>
  <si>
    <t>CPX_20230303_LBE_CM00657_StPatricksDayPartyInvite</t>
  </si>
  <si>
    <t>CPX_20230303_THEA_CM00656_TheresAlwaysHope</t>
  </si>
  <si>
    <t>CPX_20230304_STORE_CM00661_StoreNewsLetterFR</t>
  </si>
  <si>
    <t>CPX_20230304_THEA_CM00660_Arts&amp;CultureNewsletter</t>
  </si>
  <si>
    <t>CPX_20230307_THEA_CM00664_TuesdayDeals</t>
  </si>
  <si>
    <t>CPX_20230308_THEA_CM00665_MultiTitleHoli</t>
  </si>
  <si>
    <t>CPX_20230309_OTHER_CM00673_JesusRevolution2</t>
  </si>
  <si>
    <t>CPX_20230310_STORE_CM00670_StoreNewsletterEN</t>
  </si>
  <si>
    <t>CPX_20230310_THEA_CM00669_CatalogueTitles</t>
  </si>
  <si>
    <t>CPX_20230310_THEA_CM00668_AdvTicketSuperMario</t>
  </si>
  <si>
    <t>CPX_20230311_THEA_CM00672_Mummies</t>
  </si>
  <si>
    <t>CPX_20230313_LBE_CM00686_StPatricksDayPartyReminder</t>
  </si>
  <si>
    <t>CPX_20230313_STORE_CM00674_TheLastOfUs</t>
  </si>
  <si>
    <t>CPX_20230313_THEA_CM00673_AdvTicketD&amp;D</t>
  </si>
  <si>
    <t>CPX_20230314_THEA_CM00676_AndreRieuInDublin</t>
  </si>
  <si>
    <t>CPX_20230314_THEA_CM00675_TuesdayDeals</t>
  </si>
  <si>
    <t>CPX_20230315_LBE_CM00677_SpringBreakOfferReminder1</t>
  </si>
  <si>
    <t>CPX_20230316_THEA_CM00680_PointsOfferCrepuscle</t>
  </si>
  <si>
    <t>CPX_20230317_STORE_CM00682_StoreNewsletterEN</t>
  </si>
  <si>
    <t>CPX_20230317_THEA_CM00681_CatalogueTitles</t>
  </si>
  <si>
    <t>CPX_20230318_THEA_CM00685_FamilyNewsletter</t>
  </si>
  <si>
    <t>CPX_20230318_STORE_CM00684_StoreNewsletterFR</t>
  </si>
  <si>
    <t>CPX_20230321_THEA_CM00688_TuesdayDeals</t>
  </si>
  <si>
    <t>CPX_20230322_THEA_CM00690_CineClubAcq</t>
  </si>
  <si>
    <t>CPX_20230324_STORE_CM00695_StoreNewsletterEN</t>
  </si>
  <si>
    <t>CPX_20230324_THEA_CM00694_CatalogueTitles</t>
  </si>
  <si>
    <t>CPX_20230324_CINECLUB_CM00692_CineClubEarlyAccessAir</t>
  </si>
  <si>
    <t>CPX_20230327_CLUB_CM00697_EarlyAccessAir2</t>
  </si>
  <si>
    <t>CPX_20230327_THEA_CM00696_TuesdayDealsRFM1</t>
  </si>
  <si>
    <t>CPX_20230328_THEA_CM00699_TuesdayDeals</t>
  </si>
  <si>
    <t>CPX_20230328_THEA_CM00698_TuesdayDealsRFM2</t>
  </si>
  <si>
    <t>CPX_20230328_BMP_CM00712_PrePaidProducts</t>
  </si>
  <si>
    <t>CPX_20230329_LBE_CM00703_SpringBreakOfferFinalReminder</t>
  </si>
  <si>
    <t>CPX_20230330_BMP_CM00701_SchoolYearEndCelebration</t>
  </si>
  <si>
    <t>CPX_20230331_STORE_CM00706_StoreNewsletterEN</t>
  </si>
  <si>
    <t>CPX_20230331_THEA_CM00705_CatalogueTitles</t>
  </si>
  <si>
    <t>CPX_20230401_STORE_CM00707_StoreNewsletterFR</t>
  </si>
  <si>
    <t>CPX_20230401_THEA_CM00708_Arts&amp;CultureNewsletter</t>
  </si>
  <si>
    <t>CPX_20230403_THEA_CM00713_SpringGiftPack#1</t>
  </si>
  <si>
    <t>CPX_20230404_THEA_CM00714_TuesdayDeals</t>
  </si>
  <si>
    <t>CPX_20230405_THEA_CM00717_AdvTicketGuardiansOfTheGalaxy3</t>
  </si>
  <si>
    <t>CPX_20230405_THEA_CM00716_SuperMarioBrosConcesionsD&amp;T</t>
  </si>
  <si>
    <t>CPX_20230406_THEA_CM00719_SuperMarioBrosSceneOffer</t>
  </si>
  <si>
    <t>CPX_20230407_THEA_CM00721_JohnWick4</t>
  </si>
  <si>
    <t>CPX_20230407_STORE_CM00723_StoreNewsletterEN</t>
  </si>
  <si>
    <t>CPX_20230407_THEA_CM00722_CatalogueTitles</t>
  </si>
  <si>
    <t>CPX_20230411_THEA_CM00724_TuesdayDeals</t>
  </si>
  <si>
    <t>CPX_20230412_THEA_CM00727_SceneOfferMafiaMamma</t>
  </si>
  <si>
    <t>CPX_20230413_CLUB_CM00729_SneakPreviewAreYouThereGod</t>
  </si>
  <si>
    <t>CPX_20230413_THEA_CM00728_SceneOfferD&amp;D</t>
  </si>
  <si>
    <t>CPX_20230414_STORE_CM00732_StoreNewsletterEN</t>
  </si>
  <si>
    <t>CPX_20230414_THEA_CM00731_CatalogueTitles</t>
  </si>
  <si>
    <t>CPX_20230415_THEA_CM00735_SneakPreviewAreYouThereGod</t>
  </si>
  <si>
    <t>CPX_20230415_THEA_CM00734_FamilyNewsletter</t>
  </si>
  <si>
    <t>CPX_20230415_STORE_CM00733_StoreNewsletterFR</t>
  </si>
  <si>
    <t>CPX_20230417_CLUB_CM00736_EarlyScreenCitadel</t>
  </si>
  <si>
    <t>CPX_20230418_THEA_CM00738_TuesdayDeals</t>
  </si>
  <si>
    <t>CPX_20230419_THEA_CM00741_BeauIsAfraid</t>
  </si>
  <si>
    <t>CPX_20230419_THEA_CM00740_SpringGiftPack#2</t>
  </si>
  <si>
    <t>CPX_20230419_THEA_CM00739_Farador</t>
  </si>
  <si>
    <t>CPX_20230421_THEA_CM00744_CatalogueTitles</t>
  </si>
  <si>
    <t>CPX_20230421_LBE_CM00746_MothersDayDragBrunch</t>
  </si>
  <si>
    <t>CPX_20230421_STORE_CM00745_StoreNewsletterEN</t>
  </si>
  <si>
    <t>CPX_20230421_THEA_CM00743_EidAlFitr</t>
  </si>
  <si>
    <t>CPX_20230425_THEA_CM00748_TuesdayDeals</t>
  </si>
  <si>
    <t>CPX_20230425_THEA_CM00742_CineClubAcquisition</t>
  </si>
  <si>
    <t>CPX_20230426_THEA_CM00752_BOGOFreeAdmission</t>
  </si>
  <si>
    <t>CPX_20230426_LBE_CM00750_XscapeBonusOfferReminder</t>
  </si>
  <si>
    <t>CPX_20230427_STORE_CM00754_FastXOffer</t>
  </si>
  <si>
    <t>CPX_20230428_STORE_CM00759_StoreNewsletterEN</t>
  </si>
  <si>
    <t>CPX_20230428_THEA_CM00758_CatalogueTitles</t>
  </si>
  <si>
    <t>CPX_20230428_THEA_CM00757_Sisu</t>
  </si>
  <si>
    <t>CPX_20230428_THEA_CM00756_AreYouThereGod</t>
  </si>
  <si>
    <t>CPX_20230429_STORE_CM00760_StoreNewsletterFR</t>
  </si>
  <si>
    <t>CPX_20230502_THEA_CM00763_TuesdayDeals</t>
  </si>
  <si>
    <t>CPX_20230504_THEA_CM00749_AdvTicketLittleMermaid</t>
  </si>
  <si>
    <t>CPX_20230505_STORE_CM00771_StoreNewsletterEN</t>
  </si>
  <si>
    <t>CPX_20230505_THEA_CM00770_CatalogueTitles</t>
  </si>
  <si>
    <t>CPX_20230505_STORE_CM00769_FastXPincodes</t>
  </si>
  <si>
    <t>CPX_20230506_THEA_CM00772_Arts&amp;CultureNewsletter</t>
  </si>
  <si>
    <t>CPX_20230508_THEA_CM00777_PreOpeningJunxionErinMills</t>
  </si>
  <si>
    <t>CPX_20230509_THEA_CM00778_TuesdayDeals</t>
  </si>
  <si>
    <t>CPX_20230510_THEA_CM00779_AdvTicketsTransformers</t>
  </si>
  <si>
    <t>CPX_20230511_CLUB_CM00782_MothersDayGifting</t>
  </si>
  <si>
    <t>CPX_20230511_THEA_CM00781_AdvTicketSpiderMan</t>
  </si>
  <si>
    <t>CPX_20230512_STORE_CM00787_StoreNewsletterEN</t>
  </si>
  <si>
    <t>CPX_20230512_THEA_CM00786_CatalogueTitles</t>
  </si>
  <si>
    <t>CPX_20230512_THEA_CM00785_Blackberry</t>
  </si>
  <si>
    <t>CPX_20230513_STORE_CM00788_StoreNewsletterFR</t>
  </si>
  <si>
    <t>CPX_20230515_THEA_CM00789_CharlottetownReopen</t>
  </si>
  <si>
    <t>PX_20230516_STORE_CM00791_SuperMarioBros</t>
  </si>
  <si>
    <t>CPX_20230516_THEA_CM00790_TuesdayDeals</t>
  </si>
  <si>
    <t>CPX_20230517_THEA_CM00792_JunxionOpening</t>
  </si>
  <si>
    <t>CPX_20230518_CLUB_CM00800_FlashContest</t>
  </si>
  <si>
    <t>CPX_20230518_THEA_CM00793_SceneOfferFastX</t>
  </si>
  <si>
    <t>CPX_20230519_THEA_CM00801_DarkNature</t>
  </si>
  <si>
    <t>CPX_20230519_STORE_CM00796_StoreNewsletterEN</t>
  </si>
  <si>
    <t>CPX_20230519_THEA_CM00795_CatalogueTitles</t>
  </si>
  <si>
    <t>CPX_20230520_THEA_CM00797_FamilyNewsletter</t>
  </si>
  <si>
    <t>CPX_20230523_STORE_CM00801_JohnWick4</t>
  </si>
  <si>
    <t>CPX_20230523_THEA_CM00800_TuesdayDeals</t>
  </si>
  <si>
    <t>CPX_20230525_THEA_CM008004_TrueRomance</t>
  </si>
  <si>
    <t>CPX_20230525_THEA_CM008003_AdvTicketsTheFlash</t>
  </si>
  <si>
    <t>CPX_20230526_STORE_CM00808_StoreNewsletterEN</t>
  </si>
  <si>
    <t>CPX_20230526_THEA_CM00807_CatalogueTitles</t>
  </si>
  <si>
    <t>CPX_20230527_STORE_CM00809_StoreNewsletterFR</t>
  </si>
  <si>
    <t>CPX_20230529_STORE_CM00810_Succession</t>
  </si>
  <si>
    <t>CPX_20230530_THEA_CM00811_TuesdayDeals</t>
  </si>
  <si>
    <t>Fast X FR</t>
  </si>
  <si>
    <t>Fast X EN</t>
  </si>
  <si>
    <t>Prem Ex Drive Offer Reminder 500 List 2 FR</t>
  </si>
  <si>
    <t>Prem Ex Drive Offer Reminder 500 List 1 FR</t>
  </si>
  <si>
    <t>Prem Ex Drive Offer Reminder 300 List 2 FR</t>
  </si>
  <si>
    <t>Prem Ex Drive Offer Reminder 300 List 1 FR</t>
  </si>
  <si>
    <t>Prem Ex Drive Offer Reminder 500 List 2 EN</t>
  </si>
  <si>
    <t>Prem Ex Drive Offer Reminder 500 List 1 EN</t>
  </si>
  <si>
    <t>Prem Ex Drive Offer Reminder 300 List 2 EN</t>
  </si>
  <si>
    <t>Prem Ex Drive Offer Reminder 300 List 1 EN</t>
  </si>
  <si>
    <t>Adv Ticket Mission Impossible 7 FR</t>
  </si>
  <si>
    <t>Adv Ticket Mission Impossible 7 EN</t>
  </si>
  <si>
    <t>Scene Offer Transformers FR</t>
  </si>
  <si>
    <t>Scene Offer Transformers EN</t>
  </si>
  <si>
    <t>Scene Offer Transformers Control FR</t>
  </si>
  <si>
    <t>Scene Offer Transformers Control EN</t>
  </si>
  <si>
    <t>Fathers Day Gifting FR</t>
  </si>
  <si>
    <t>Fathers Day Gifting EN</t>
  </si>
  <si>
    <t>The Blackening EN</t>
  </si>
  <si>
    <t>Week 24</t>
  </si>
  <si>
    <t>June 12 - June 18, 2023</t>
  </si>
  <si>
    <t>Transformers Pincode FR</t>
  </si>
  <si>
    <t>Transformers Pincode EN</t>
  </si>
  <si>
    <t>CPX_20230531_THEA_CM00813_PremExDriveOffer</t>
  </si>
  <si>
    <t>CPX_20230601_THEA_CM00817_IMAXOppenheimer</t>
  </si>
  <si>
    <t>CPX_20230601_THEA_CM00814_AVXSpiderMan</t>
  </si>
  <si>
    <t>CPX_20230602_STORE_CM00819_StoreNewsletterEN</t>
  </si>
  <si>
    <t>CPX_20230602_THEA_CM00818_CatalogueTitles</t>
  </si>
  <si>
    <t>CPX_20230603_THEA_CM00820_Arts&amp;CultureNewsletter</t>
  </si>
  <si>
    <t>CPX_20230606_STORE_CM00822_AreYouThereGod</t>
  </si>
  <si>
    <t>CPX_20230606_THEA_CM00821_TuesdayDeals</t>
  </si>
  <si>
    <t>Spring Gift Pack 3 FR</t>
  </si>
  <si>
    <t>Spring Gift Pack 3 EN</t>
  </si>
  <si>
    <t>EXH Corporate Offer EN FR</t>
  </si>
  <si>
    <t>EXH Corporate Offer FR EN</t>
  </si>
  <si>
    <t>Adv Tickets Barbie FR</t>
  </si>
  <si>
    <t>Adv Tickets Barbie EN</t>
  </si>
  <si>
    <t>Anticipated Behaviour W11 EN</t>
  </si>
  <si>
    <t>Anticipated Behaviour W11 FR</t>
  </si>
  <si>
    <t>Annual Membership Upgrade No Offer FR</t>
  </si>
  <si>
    <t>Annual Membership Upgrade No Offer EN</t>
  </si>
  <si>
    <t>Annual Membership Upgrade 2000 Points EN</t>
  </si>
  <si>
    <t>Annual Membership Upgrade 2000 Points FR</t>
  </si>
  <si>
    <t>Menu Boards EN</t>
  </si>
  <si>
    <t>Week 25</t>
  </si>
  <si>
    <t>June 19 - June 25, 2023</t>
  </si>
  <si>
    <t>CPX_20230613_THEA_CM00833_TuesdayDeals</t>
  </si>
  <si>
    <t>CPX_20230613_STORE_CM00834_FastX</t>
  </si>
  <si>
    <t>CPX_20230610_STORE_CM00831_StoreNewsletterFR</t>
  </si>
  <si>
    <t>CPX_20230609_THEA_CM00827_InternationalCinemaJune</t>
  </si>
  <si>
    <t>CPX_20230609_THEA_CM00829_CatalogueTitles</t>
  </si>
  <si>
    <t>CPX_20230609_THEA_CM00825_AdvTicketsOppenheimer</t>
  </si>
  <si>
    <t>CPX_20230609_STORE_CM00830_StoreNewsletterEN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</si>
</sst>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 wrapText="1"/>
    </xf>
    <xf numFmtId="10" fontId="3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0" fontId="0" fillId="0" borderId="0" xfId="1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0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left" vertical="center"/>
    </xf>
    <xf numFmtId="0" fontId="6" fillId="4" borderId="0" xfId="0" applyFont="1" applyFill="1"/>
    <xf numFmtId="0" fontId="2" fillId="4" borderId="0" xfId="0" applyFont="1" applyFill="1"/>
    <xf numFmtId="164" fontId="2" fillId="5" borderId="0" xfId="0" applyNumberFormat="1" applyFont="1" applyFill="1" applyAlignment="1">
      <alignment horizontal="left" vertical="center"/>
    </xf>
    <xf numFmtId="164" fontId="2" fillId="5" borderId="0" xfId="0" applyNumberFormat="1" applyFont="1" applyFill="1" applyAlignment="1">
      <alignment vertical="center"/>
    </xf>
    <xf numFmtId="0" fontId="6" fillId="5" borderId="0" xfId="0" applyFont="1" applyFill="1"/>
    <xf numFmtId="0" fontId="2" fillId="5" borderId="0" xfId="0" applyFont="1" applyFill="1" applyAlignment="1">
      <alignment horizontal="left" vertical="center"/>
    </xf>
    <xf numFmtId="164" fontId="2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0" fontId="6" fillId="5" borderId="0" xfId="0" applyNumberFormat="1" applyFont="1" applyFill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4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center" vertical="center"/>
    </xf>
    <xf numFmtId="10" fontId="2" fillId="5" borderId="0" xfId="1" applyNumberFormat="1" applyFont="1" applyFill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0" xfId="1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1" fillId="0" borderId="1" xfId="1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0" fontId="3" fillId="6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0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3" fontId="0" fillId="0" borderId="0" xfId="0" applyNumberFormat="1"/>
    <xf numFmtId="0" fontId="1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6" fillId="8" borderId="14" xfId="0" applyNumberFormat="1" applyFont="1" applyFill="1" applyBorder="1" applyAlignment="1">
      <alignment horizontal="left" vertical="center"/>
    </xf>
    <xf numFmtId="10" fontId="6" fillId="8" borderId="15" xfId="0" applyNumberFormat="1" applyFont="1" applyFill="1" applyBorder="1" applyAlignment="1">
      <alignment horizontal="left" vertical="center"/>
    </xf>
    <xf numFmtId="10" fontId="6" fillId="8" borderId="4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10" fontId="6" fillId="8" borderId="9" xfId="0" applyNumberFormat="1" applyFont="1" applyFill="1" applyBorder="1" applyAlignment="1">
      <alignment horizontal="left" vertical="center"/>
    </xf>
    <xf numFmtId="10" fontId="6" fillId="8" borderId="10" xfId="0" applyNumberFormat="1" applyFont="1" applyFill="1" applyBorder="1" applyAlignment="1">
      <alignment horizontal="left" vertical="center"/>
    </xf>
    <xf numFmtId="10" fontId="6" fillId="8" borderId="11" xfId="0" applyNumberFormat="1" applyFont="1" applyFill="1" applyBorder="1" applyAlignment="1">
      <alignment horizontal="left" vertical="center"/>
    </xf>
    <xf numFmtId="10" fontId="6" fillId="8" borderId="12" xfId="0" applyNumberFormat="1" applyFont="1" applyFill="1" applyBorder="1" applyAlignment="1">
      <alignment horizontal="left" vertical="center"/>
    </xf>
    <xf numFmtId="10" fontId="6" fillId="8" borderId="0" xfId="0" applyNumberFormat="1" applyFont="1" applyFill="1" applyAlignment="1">
      <alignment horizontal="left" vertical="center"/>
    </xf>
    <xf numFmtId="10" fontId="6" fillId="8" borderId="13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2" xr:uid="{DB467386-B48D-4340-BCBA-78C67225F4F3}"/>
    <cellStyle name="Percent" xfId="1" builtinId="5"/>
  </cellStyles>
  <dxfs count="23">
    <dxf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66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B050"/>
        <name val="Calibri"/>
        <family val="2"/>
        <scheme val="minor"/>
      </font>
      <numFmt numFmtId="165" formatCode="&quot;$&quot;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B050"/>
        <name val="Calibri"/>
        <family val="2"/>
        <scheme val="minor"/>
      </font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D6D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Weekly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225535935449968E-2"/>
          <c:y val="6.9231329222864818E-2"/>
          <c:w val="0.94500130196922449"/>
          <c:h val="0.85806396685302389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Revenue!$F$4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Revenue!$B$5:$B$56</c:f>
              <c:strCache>
                <c:ptCount val="52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</c:strCache>
            </c:strRef>
          </c:cat>
          <c:val>
            <c:numRef>
              <c:f>Revenue!$F$5:$F$56</c:f>
              <c:numCache>
                <c:formatCode>"$"#,##0</c:formatCode>
                <c:ptCount val="52"/>
                <c:pt idx="0">
                  <c:v>30862.19</c:v>
                </c:pt>
                <c:pt idx="1">
                  <c:v>27489.82</c:v>
                </c:pt>
                <c:pt idx="2">
                  <c:v>144900.35</c:v>
                </c:pt>
                <c:pt idx="3">
                  <c:v>34424.050000000003</c:v>
                </c:pt>
                <c:pt idx="4">
                  <c:v>24687.61</c:v>
                </c:pt>
                <c:pt idx="5">
                  <c:v>32694.170000000002</c:v>
                </c:pt>
                <c:pt idx="6">
                  <c:v>31529.690000000002</c:v>
                </c:pt>
                <c:pt idx="7">
                  <c:v>44038.62</c:v>
                </c:pt>
                <c:pt idx="8">
                  <c:v>60868.78</c:v>
                </c:pt>
                <c:pt idx="9">
                  <c:v>82750.700000000012</c:v>
                </c:pt>
                <c:pt idx="10">
                  <c:v>50948.37</c:v>
                </c:pt>
                <c:pt idx="11">
                  <c:v>33232.74</c:v>
                </c:pt>
                <c:pt idx="12">
                  <c:v>32371.25</c:v>
                </c:pt>
                <c:pt idx="13">
                  <c:v>127858</c:v>
                </c:pt>
                <c:pt idx="14">
                  <c:v>39133</c:v>
                </c:pt>
                <c:pt idx="15">
                  <c:v>31158</c:v>
                </c:pt>
                <c:pt idx="16">
                  <c:v>170790</c:v>
                </c:pt>
                <c:pt idx="17">
                  <c:v>85681</c:v>
                </c:pt>
                <c:pt idx="18">
                  <c:v>54863</c:v>
                </c:pt>
                <c:pt idx="19">
                  <c:v>47804</c:v>
                </c:pt>
                <c:pt idx="20">
                  <c:v>46292</c:v>
                </c:pt>
                <c:pt idx="21">
                  <c:v>55396</c:v>
                </c:pt>
                <c:pt idx="22">
                  <c:v>35002</c:v>
                </c:pt>
                <c:pt idx="23">
                  <c:v>51353</c:v>
                </c:pt>
                <c:pt idx="24">
                  <c:v>33701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A-C840-A5FD-1896FE19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80893359"/>
        <c:axId val="12808962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Revenue!$D$4</c15:sqref>
                        </c15:formulaRef>
                      </c:ext>
                    </c:extLst>
                    <c:strCache>
                      <c:ptCount val="1"/>
                      <c:pt idx="0">
                        <c:v>Cineplex dot com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Revenue!$B$5:$B$56</c15:sqref>
                        </c15:formulaRef>
                      </c:ext>
                    </c:extLst>
                    <c:strCache>
                      <c:ptCount val="52"/>
                      <c:pt idx="0">
                        <c:v>W1</c:v>
                      </c:pt>
                      <c:pt idx="1">
                        <c:v>W2</c:v>
                      </c:pt>
                      <c:pt idx="2">
                        <c:v>W3</c:v>
                      </c:pt>
                      <c:pt idx="3">
                        <c:v>W4</c:v>
                      </c:pt>
                      <c:pt idx="4">
                        <c:v>W5</c:v>
                      </c:pt>
                      <c:pt idx="5">
                        <c:v>W6</c:v>
                      </c:pt>
                      <c:pt idx="6">
                        <c:v>W7</c:v>
                      </c:pt>
                      <c:pt idx="7">
                        <c:v>W8</c:v>
                      </c:pt>
                      <c:pt idx="8">
                        <c:v>W9</c:v>
                      </c:pt>
                      <c:pt idx="9">
                        <c:v>W10</c:v>
                      </c:pt>
                      <c:pt idx="10">
                        <c:v>W11</c:v>
                      </c:pt>
                      <c:pt idx="11">
                        <c:v>W12</c:v>
                      </c:pt>
                      <c:pt idx="12">
                        <c:v>W13</c:v>
                      </c:pt>
                      <c:pt idx="13">
                        <c:v>W14</c:v>
                      </c:pt>
                      <c:pt idx="14">
                        <c:v>W15</c:v>
                      </c:pt>
                      <c:pt idx="15">
                        <c:v>W16</c:v>
                      </c:pt>
                      <c:pt idx="16">
                        <c:v>W17</c:v>
                      </c:pt>
                      <c:pt idx="17">
                        <c:v>W18</c:v>
                      </c:pt>
                      <c:pt idx="18">
                        <c:v>W19</c:v>
                      </c:pt>
                      <c:pt idx="19">
                        <c:v>W20</c:v>
                      </c:pt>
                      <c:pt idx="20">
                        <c:v>W21</c:v>
                      </c:pt>
                      <c:pt idx="21">
                        <c:v>W22</c:v>
                      </c:pt>
                      <c:pt idx="22">
                        <c:v>W23</c:v>
                      </c:pt>
                      <c:pt idx="23">
                        <c:v>W24</c:v>
                      </c:pt>
                      <c:pt idx="24">
                        <c:v>W25</c:v>
                      </c:pt>
                      <c:pt idx="25">
                        <c:v>W26</c:v>
                      </c:pt>
                      <c:pt idx="26">
                        <c:v>W27</c:v>
                      </c:pt>
                      <c:pt idx="27">
                        <c:v>W28</c:v>
                      </c:pt>
                      <c:pt idx="28">
                        <c:v>W29</c:v>
                      </c:pt>
                      <c:pt idx="29">
                        <c:v>W30</c:v>
                      </c:pt>
                      <c:pt idx="30">
                        <c:v>W31</c:v>
                      </c:pt>
                      <c:pt idx="31">
                        <c:v>W32</c:v>
                      </c:pt>
                      <c:pt idx="32">
                        <c:v>W33</c:v>
                      </c:pt>
                      <c:pt idx="33">
                        <c:v>W34</c:v>
                      </c:pt>
                      <c:pt idx="34">
                        <c:v>W35</c:v>
                      </c:pt>
                      <c:pt idx="35">
                        <c:v>W36</c:v>
                      </c:pt>
                      <c:pt idx="36">
                        <c:v>W37</c:v>
                      </c:pt>
                      <c:pt idx="37">
                        <c:v>W38</c:v>
                      </c:pt>
                      <c:pt idx="38">
                        <c:v>W39</c:v>
                      </c:pt>
                      <c:pt idx="39">
                        <c:v>W40</c:v>
                      </c:pt>
                      <c:pt idx="40">
                        <c:v>W41</c:v>
                      </c:pt>
                      <c:pt idx="41">
                        <c:v>W42</c:v>
                      </c:pt>
                      <c:pt idx="42">
                        <c:v>W43</c:v>
                      </c:pt>
                      <c:pt idx="43">
                        <c:v>W44</c:v>
                      </c:pt>
                      <c:pt idx="44">
                        <c:v>W45</c:v>
                      </c:pt>
                      <c:pt idx="45">
                        <c:v>W46</c:v>
                      </c:pt>
                      <c:pt idx="46">
                        <c:v>W47</c:v>
                      </c:pt>
                      <c:pt idx="47">
                        <c:v>W48</c:v>
                      </c:pt>
                      <c:pt idx="48">
                        <c:v>W49</c:v>
                      </c:pt>
                      <c:pt idx="49">
                        <c:v>W50</c:v>
                      </c:pt>
                      <c:pt idx="50">
                        <c:v>W51</c:v>
                      </c:pt>
                      <c:pt idx="51">
                        <c:v>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Revenue!$D$5:$D$56</c15:sqref>
                        </c15:formulaRef>
                      </c:ext>
                    </c:extLst>
                    <c:numCache>
                      <c:formatCode>"$"#,##0</c:formatCode>
                      <c:ptCount val="52"/>
                      <c:pt idx="0">
                        <c:v>29056.57</c:v>
                      </c:pt>
                      <c:pt idx="1">
                        <c:v>25983.8</c:v>
                      </c:pt>
                      <c:pt idx="2">
                        <c:v>143839.67000000001</c:v>
                      </c:pt>
                      <c:pt idx="3">
                        <c:v>32805.300000000003</c:v>
                      </c:pt>
                      <c:pt idx="4">
                        <c:v>23739.77</c:v>
                      </c:pt>
                      <c:pt idx="5">
                        <c:v>31597.22</c:v>
                      </c:pt>
                      <c:pt idx="6">
                        <c:v>29236.11</c:v>
                      </c:pt>
                      <c:pt idx="7">
                        <c:v>42810.57</c:v>
                      </c:pt>
                      <c:pt idx="8">
                        <c:v>59453.7</c:v>
                      </c:pt>
                      <c:pt idx="9">
                        <c:v>81591.490000000005</c:v>
                      </c:pt>
                      <c:pt idx="10">
                        <c:v>43997.32</c:v>
                      </c:pt>
                      <c:pt idx="11">
                        <c:v>31179.79</c:v>
                      </c:pt>
                      <c:pt idx="12">
                        <c:v>30242.7</c:v>
                      </c:pt>
                      <c:pt idx="13">
                        <c:v>124490</c:v>
                      </c:pt>
                      <c:pt idx="14">
                        <c:v>36677</c:v>
                      </c:pt>
                      <c:pt idx="15">
                        <c:v>29659</c:v>
                      </c:pt>
                      <c:pt idx="16">
                        <c:v>169000</c:v>
                      </c:pt>
                      <c:pt idx="17">
                        <c:v>82917</c:v>
                      </c:pt>
                      <c:pt idx="18">
                        <c:v>53085</c:v>
                      </c:pt>
                      <c:pt idx="19">
                        <c:v>39744</c:v>
                      </c:pt>
                      <c:pt idx="20">
                        <c:v>40646</c:v>
                      </c:pt>
                      <c:pt idx="21">
                        <c:v>52395</c:v>
                      </c:pt>
                      <c:pt idx="22">
                        <c:v>31075</c:v>
                      </c:pt>
                      <c:pt idx="23">
                        <c:v>47847</c:v>
                      </c:pt>
                      <c:pt idx="24">
                        <c:v>31478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FCA-C840-A5FD-1896FE19C23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Revenue!$E$4</c15:sqref>
                        </c15:formulaRef>
                      </c:ext>
                    </c:extLst>
                    <c:strCache>
                      <c:ptCount val="1"/>
                      <c:pt idx="0">
                        <c:v>Store Web, Mobile Web, 
SmartTV - Prod Sales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Revenue!$B$5:$B$56</c15:sqref>
                        </c15:formulaRef>
                      </c:ext>
                    </c:extLst>
                    <c:strCache>
                      <c:ptCount val="52"/>
                      <c:pt idx="0">
                        <c:v>W1</c:v>
                      </c:pt>
                      <c:pt idx="1">
                        <c:v>W2</c:v>
                      </c:pt>
                      <c:pt idx="2">
                        <c:v>W3</c:v>
                      </c:pt>
                      <c:pt idx="3">
                        <c:v>W4</c:v>
                      </c:pt>
                      <c:pt idx="4">
                        <c:v>W5</c:v>
                      </c:pt>
                      <c:pt idx="5">
                        <c:v>W6</c:v>
                      </c:pt>
                      <c:pt idx="6">
                        <c:v>W7</c:v>
                      </c:pt>
                      <c:pt idx="7">
                        <c:v>W8</c:v>
                      </c:pt>
                      <c:pt idx="8">
                        <c:v>W9</c:v>
                      </c:pt>
                      <c:pt idx="9">
                        <c:v>W10</c:v>
                      </c:pt>
                      <c:pt idx="10">
                        <c:v>W11</c:v>
                      </c:pt>
                      <c:pt idx="11">
                        <c:v>W12</c:v>
                      </c:pt>
                      <c:pt idx="12">
                        <c:v>W13</c:v>
                      </c:pt>
                      <c:pt idx="13">
                        <c:v>W14</c:v>
                      </c:pt>
                      <c:pt idx="14">
                        <c:v>W15</c:v>
                      </c:pt>
                      <c:pt idx="15">
                        <c:v>W16</c:v>
                      </c:pt>
                      <c:pt idx="16">
                        <c:v>W17</c:v>
                      </c:pt>
                      <c:pt idx="17">
                        <c:v>W18</c:v>
                      </c:pt>
                      <c:pt idx="18">
                        <c:v>W19</c:v>
                      </c:pt>
                      <c:pt idx="19">
                        <c:v>W20</c:v>
                      </c:pt>
                      <c:pt idx="20">
                        <c:v>W21</c:v>
                      </c:pt>
                      <c:pt idx="21">
                        <c:v>W22</c:v>
                      </c:pt>
                      <c:pt idx="22">
                        <c:v>W23</c:v>
                      </c:pt>
                      <c:pt idx="23">
                        <c:v>W24</c:v>
                      </c:pt>
                      <c:pt idx="24">
                        <c:v>W25</c:v>
                      </c:pt>
                      <c:pt idx="25">
                        <c:v>W26</c:v>
                      </c:pt>
                      <c:pt idx="26">
                        <c:v>W27</c:v>
                      </c:pt>
                      <c:pt idx="27">
                        <c:v>W28</c:v>
                      </c:pt>
                      <c:pt idx="28">
                        <c:v>W29</c:v>
                      </c:pt>
                      <c:pt idx="29">
                        <c:v>W30</c:v>
                      </c:pt>
                      <c:pt idx="30">
                        <c:v>W31</c:v>
                      </c:pt>
                      <c:pt idx="31">
                        <c:v>W32</c:v>
                      </c:pt>
                      <c:pt idx="32">
                        <c:v>W33</c:v>
                      </c:pt>
                      <c:pt idx="33">
                        <c:v>W34</c:v>
                      </c:pt>
                      <c:pt idx="34">
                        <c:v>W35</c:v>
                      </c:pt>
                      <c:pt idx="35">
                        <c:v>W36</c:v>
                      </c:pt>
                      <c:pt idx="36">
                        <c:v>W37</c:v>
                      </c:pt>
                      <c:pt idx="37">
                        <c:v>W38</c:v>
                      </c:pt>
                      <c:pt idx="38">
                        <c:v>W39</c:v>
                      </c:pt>
                      <c:pt idx="39">
                        <c:v>W40</c:v>
                      </c:pt>
                      <c:pt idx="40">
                        <c:v>W41</c:v>
                      </c:pt>
                      <c:pt idx="41">
                        <c:v>W42</c:v>
                      </c:pt>
                      <c:pt idx="42">
                        <c:v>W43</c:v>
                      </c:pt>
                      <c:pt idx="43">
                        <c:v>W44</c:v>
                      </c:pt>
                      <c:pt idx="44">
                        <c:v>W45</c:v>
                      </c:pt>
                      <c:pt idx="45">
                        <c:v>W46</c:v>
                      </c:pt>
                      <c:pt idx="46">
                        <c:v>W47</c:v>
                      </c:pt>
                      <c:pt idx="47">
                        <c:v>W48</c:v>
                      </c:pt>
                      <c:pt idx="48">
                        <c:v>W49</c:v>
                      </c:pt>
                      <c:pt idx="49">
                        <c:v>W50</c:v>
                      </c:pt>
                      <c:pt idx="50">
                        <c:v>W51</c:v>
                      </c:pt>
                      <c:pt idx="51">
                        <c:v>W52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Revenue!$E$5:$E$56</c15:sqref>
                        </c15:formulaRef>
                      </c:ext>
                    </c:extLst>
                    <c:numCache>
                      <c:formatCode>"$"#,##0</c:formatCode>
                      <c:ptCount val="52"/>
                      <c:pt idx="0">
                        <c:v>1805.62</c:v>
                      </c:pt>
                      <c:pt idx="1">
                        <c:v>1506.02</c:v>
                      </c:pt>
                      <c:pt idx="2">
                        <c:v>1060.68</c:v>
                      </c:pt>
                      <c:pt idx="3">
                        <c:v>1618.75</c:v>
                      </c:pt>
                      <c:pt idx="4">
                        <c:v>947.84</c:v>
                      </c:pt>
                      <c:pt idx="5">
                        <c:v>1096.95</c:v>
                      </c:pt>
                      <c:pt idx="6">
                        <c:v>2293.58</c:v>
                      </c:pt>
                      <c:pt idx="7">
                        <c:v>1228.05</c:v>
                      </c:pt>
                      <c:pt idx="8">
                        <c:v>1415.08</c:v>
                      </c:pt>
                      <c:pt idx="9">
                        <c:v>1159.21</c:v>
                      </c:pt>
                      <c:pt idx="10">
                        <c:v>6951.05</c:v>
                      </c:pt>
                      <c:pt idx="11">
                        <c:v>2052.9499999999998</c:v>
                      </c:pt>
                      <c:pt idx="12">
                        <c:v>2128.5500000000002</c:v>
                      </c:pt>
                      <c:pt idx="13">
                        <c:v>3368</c:v>
                      </c:pt>
                      <c:pt idx="14">
                        <c:v>2456</c:v>
                      </c:pt>
                      <c:pt idx="15">
                        <c:v>1499</c:v>
                      </c:pt>
                      <c:pt idx="16">
                        <c:v>1790</c:v>
                      </c:pt>
                      <c:pt idx="17">
                        <c:v>2764</c:v>
                      </c:pt>
                      <c:pt idx="18">
                        <c:v>1778</c:v>
                      </c:pt>
                      <c:pt idx="19">
                        <c:v>8060</c:v>
                      </c:pt>
                      <c:pt idx="20">
                        <c:v>5646</c:v>
                      </c:pt>
                      <c:pt idx="21">
                        <c:v>3001</c:v>
                      </c:pt>
                      <c:pt idx="22">
                        <c:v>3927</c:v>
                      </c:pt>
                      <c:pt idx="23">
                        <c:v>3506</c:v>
                      </c:pt>
                      <c:pt idx="24">
                        <c:v>2223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FCA-C840-A5FD-1896FE19C239}"/>
                  </c:ext>
                </c:extLst>
              </c15:ser>
            </c15:filteredBarSeries>
          </c:ext>
        </c:extLst>
      </c:barChart>
      <c:catAx>
        <c:axId val="12808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96271"/>
        <c:crosses val="autoZero"/>
        <c:auto val="1"/>
        <c:lblAlgn val="ctr"/>
        <c:lblOffset val="100"/>
        <c:noMultiLvlLbl val="0"/>
      </c:catAx>
      <c:valAx>
        <c:axId val="1280896271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28089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58</xdr:row>
      <xdr:rowOff>77833</xdr:rowOff>
    </xdr:from>
    <xdr:to>
      <xdr:col>8</xdr:col>
      <xdr:colOff>399602</xdr:colOff>
      <xdr:row>71</xdr:row>
      <xdr:rowOff>65331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EAE28-5693-C84A-B636-75651E838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F0BA4-C931-8648-9BBF-FB7B66E23C00}" name="Table1" displayName="Table1" ref="B4:G57" totalsRowCount="1" headerRowDxfId="22">
  <tableColumns count="6">
    <tableColumn id="1" xr3:uid="{6A1C1ED2-AC07-4624-AB11-C50AFB071821}" name="Week" totalsRowLabel="Total" dataDxfId="21" totalsRowDxfId="20"/>
    <tableColumn id="2" xr3:uid="{8365FC21-E2FC-4CA5-86B5-868646540534}" name="Date" dataDxfId="19" totalsRowDxfId="18"/>
    <tableColumn id="3" xr3:uid="{A22A488D-B9D7-4E33-89DB-9B9812CF4D2D}" name="Cineplex dot com Sales" totalsRowFunction="sum" dataDxfId="17" totalsRowDxfId="16"/>
    <tableColumn id="4" xr3:uid="{C6B637AB-B15C-4FBA-B493-B8819CC48D59}" name="Store Web, Mobile Web, _x000a_SmartTV - Prod Sales" totalsRowFunction="sum" dataDxfId="15" totalsRowDxfId="14"/>
    <tableColumn id="5" xr3:uid="{DE5EAAEE-9B11-49EE-9C08-C15B87933F8A}" name="Total" totalsRowFunction="sum" dataDxfId="13" totalsRowDxfId="12">
      <calculatedColumnFormula>D5+E5</calculatedColumnFormula>
    </tableColumn>
    <tableColumn id="6" xr3:uid="{AC23CD98-751D-4D7E-8443-14AF625D7032}" name="Email Sends" totalsRowFunction="sum" dataDxfId="11" totalsRowDxfId="10">
      <calculatedColumnFormula>#REF!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08B7D-9892-584E-BC75-8760B9AE36CC}" name="Table2" displayName="Table2" ref="J4:Q208" totalsRowShown="0" headerRowDxfId="9" dataDxfId="8">
  <autoFilter ref="J4:Q208" xr:uid="{B996FA22-9029-43B9-A88B-8C4ECE344E3B}"/>
  <sortState xmlns:xlrd2="http://schemas.microsoft.com/office/spreadsheetml/2017/richdata2" ref="J5:Q193">
    <sortCondition ref="M4:M193"/>
  </sortState>
  <tableColumns count="8">
    <tableColumn id="1" xr3:uid="{3872CBF8-65FC-4B05-A747-52D353D48AAC}" name="Business Unit" dataDxfId="7">
      <calculatedColumnFormula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calculatedColumnFormula>
    </tableColumn>
    <tableColumn id="9" xr3:uid="{88E1E4B1-4C2C-4F05-9DD1-8B9D26A4A865}" name="Email Name" dataDxfId="6">
      <calculatedColumnFormula>_xlfn.TEXTAFTER(Table2[[#This Row],[SFMC Name]],"_",4)</calculatedColumnFormula>
    </tableColumn>
    <tableColumn id="2" xr3:uid="{147F0A0A-D248-477E-9C0B-7C7C36C95A3D}" name="SFMC Name" dataDxfId="5"/>
    <tableColumn id="3" xr3:uid="{52EBCD47-2287-4A2E-B654-EE3ACB96FF62}" name="Deployment Date" dataDxfId="4"/>
    <tableColumn id="4" xr3:uid="{97621835-F6FE-42E8-8C4A-6BE53573687B}" name="Visits" dataDxfId="3"/>
    <tableColumn id="5" xr3:uid="{13DB15FC-AC49-426B-99DE-1C95C068EC93}" name="Orders" dataDxfId="2"/>
    <tableColumn id="6" xr3:uid="{F7967600-2F3C-477E-A70E-78AC64EC30D2}" name="Revenue" dataDxfId="1"/>
    <tableColumn id="7" xr3:uid="{586E7919-7644-45F7-8333-C907C0904BD6}" name="Conversion Rate" dataDxfId="0">
      <calculatedColumnFormula>Table2[[#This Row],[Orders]]/Table2[[#This Row],[Visits]]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999-E665-45D5-99D3-E6A674C2EAA2}">
  <dimension ref="A1:O809"/>
  <sheetViews>
    <sheetView tabSelected="1" zoomScale="80" zoomScaleNormal="80" workbookViewId="0">
      <pane ySplit="1" topLeftCell="A775" activePane="bottomLeft" state="frozen"/>
      <selection pane="bottomLeft" activeCell="A802" sqref="A802"/>
    </sheetView>
  </sheetViews>
  <sheetFormatPr defaultColWidth="19.6640625" defaultRowHeight="14.4" x14ac:dyDescent="0.3"/>
  <cols>
    <col min="1" max="1" width="42.6640625" style="65" bestFit="1" customWidth="1"/>
    <col min="2" max="2" width="17.6640625" style="1" bestFit="1" customWidth="1"/>
    <col min="3" max="3" width="23" style="1" customWidth="1"/>
    <col min="4" max="4" width="17.44140625" style="5" customWidth="1"/>
    <col min="5" max="5" width="15.6640625" style="2" customWidth="1"/>
    <col min="6" max="6" width="17.6640625" style="6" customWidth="1"/>
    <col min="7" max="7" width="16.44140625" style="2" customWidth="1"/>
    <col min="8" max="8" width="18.33203125" style="2" customWidth="1"/>
    <col min="9" max="9" width="14.33203125" style="6" customWidth="1"/>
    <col min="10" max="10" width="15.33203125" style="2" customWidth="1"/>
    <col min="11" max="11" width="9.44140625" style="6" customWidth="1"/>
    <col min="12" max="12" width="10.109375" style="6" customWidth="1"/>
    <col min="13" max="13" width="15.44140625" style="2" customWidth="1"/>
    <col min="14" max="14" width="17.77734375" style="6" customWidth="1"/>
    <col min="15" max="15" width="23" style="1" bestFit="1" customWidth="1"/>
    <col min="16" max="16" width="19.6640625" style="1" customWidth="1"/>
    <col min="17" max="16384" width="19.6640625" style="1"/>
  </cols>
  <sheetData>
    <row r="1" spans="1:15" x14ac:dyDescent="0.3">
      <c r="A1" s="7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29" t="s">
        <v>14</v>
      </c>
    </row>
    <row r="2" spans="1:15" x14ac:dyDescent="0.3">
      <c r="A2" s="76" t="s">
        <v>66</v>
      </c>
      <c r="B2" s="67" t="s">
        <v>15</v>
      </c>
      <c r="C2" s="67" t="s">
        <v>27</v>
      </c>
      <c r="D2" s="68">
        <v>44928</v>
      </c>
      <c r="E2" s="69">
        <v>13198</v>
      </c>
      <c r="F2" s="70">
        <f t="shared" ref="F2:F22" si="0">(E2-G2)/E2</f>
        <v>0.99712077587513259</v>
      </c>
      <c r="G2" s="69">
        <v>38</v>
      </c>
      <c r="H2" s="69">
        <v>5485</v>
      </c>
      <c r="I2" s="70">
        <f t="shared" ref="I2:I22" si="1">H2/E2</f>
        <v>0.4155932717078345</v>
      </c>
      <c r="J2" s="69">
        <v>299</v>
      </c>
      <c r="K2" s="70">
        <f t="shared" ref="K2:K25" si="2">J2/E2</f>
        <v>2.2654947719351417E-2</v>
      </c>
      <c r="L2" s="70">
        <f t="shared" ref="L2:L25" si="3">J2/H2</f>
        <v>5.4512306289881497E-2</v>
      </c>
      <c r="M2" s="69">
        <v>90</v>
      </c>
      <c r="N2" s="70">
        <f t="shared" ref="N2:N22" si="4">M2/E2</f>
        <v>6.8192150325806942E-3</v>
      </c>
      <c r="O2" s="67" t="s">
        <v>27</v>
      </c>
    </row>
    <row r="3" spans="1:15" x14ac:dyDescent="0.3">
      <c r="A3" s="76" t="s">
        <v>67</v>
      </c>
      <c r="B3" s="67" t="s">
        <v>15</v>
      </c>
      <c r="C3" s="67" t="s">
        <v>27</v>
      </c>
      <c r="D3" s="68">
        <v>44928</v>
      </c>
      <c r="E3" s="69">
        <v>12645</v>
      </c>
      <c r="F3" s="70">
        <f t="shared" si="0"/>
        <v>0.99596678529062865</v>
      </c>
      <c r="G3" s="69">
        <v>51</v>
      </c>
      <c r="H3" s="69">
        <v>5245</v>
      </c>
      <c r="I3" s="70">
        <f t="shared" si="1"/>
        <v>0.41478845393436142</v>
      </c>
      <c r="J3" s="69">
        <v>196</v>
      </c>
      <c r="K3" s="70">
        <f t="shared" si="2"/>
        <v>1.5500197706603401E-2</v>
      </c>
      <c r="L3" s="70">
        <f t="shared" si="3"/>
        <v>3.7368922783603431E-2</v>
      </c>
      <c r="M3" s="69">
        <v>64</v>
      </c>
      <c r="N3" s="70">
        <f t="shared" si="4"/>
        <v>5.0612890470541714E-3</v>
      </c>
      <c r="O3" s="67" t="s">
        <v>27</v>
      </c>
    </row>
    <row r="4" spans="1:15" x14ac:dyDescent="0.3">
      <c r="A4" s="76" t="s">
        <v>68</v>
      </c>
      <c r="B4" s="67" t="s">
        <v>15</v>
      </c>
      <c r="C4" s="67" t="s">
        <v>27</v>
      </c>
      <c r="D4" s="68">
        <v>44928</v>
      </c>
      <c r="E4" s="69">
        <v>11705</v>
      </c>
      <c r="F4" s="70">
        <f t="shared" si="0"/>
        <v>0.99589918838103375</v>
      </c>
      <c r="G4" s="69">
        <v>48</v>
      </c>
      <c r="H4" s="69">
        <v>4726</v>
      </c>
      <c r="I4" s="70">
        <f t="shared" si="1"/>
        <v>0.40375907731738575</v>
      </c>
      <c r="J4" s="69">
        <v>265</v>
      </c>
      <c r="K4" s="70">
        <f t="shared" si="2"/>
        <v>2.2639897479709525E-2</v>
      </c>
      <c r="L4" s="70">
        <f t="shared" si="3"/>
        <v>5.6072788827761323E-2</v>
      </c>
      <c r="M4" s="69">
        <v>81</v>
      </c>
      <c r="N4" s="70">
        <f t="shared" si="4"/>
        <v>6.9201196070055532E-3</v>
      </c>
      <c r="O4" s="67" t="s">
        <v>27</v>
      </c>
    </row>
    <row r="5" spans="1:15" x14ac:dyDescent="0.3">
      <c r="A5" s="76" t="s">
        <v>29</v>
      </c>
      <c r="B5" s="67" t="s">
        <v>15</v>
      </c>
      <c r="C5" s="67" t="s">
        <v>16</v>
      </c>
      <c r="D5" s="68">
        <v>44929</v>
      </c>
      <c r="E5" s="69">
        <v>22244</v>
      </c>
      <c r="F5" s="70">
        <f t="shared" si="0"/>
        <v>0.99878618953425646</v>
      </c>
      <c r="G5" s="69">
        <v>27</v>
      </c>
      <c r="H5" s="69">
        <v>7887</v>
      </c>
      <c r="I5" s="70">
        <f t="shared" si="1"/>
        <v>0.35456752382664991</v>
      </c>
      <c r="J5" s="69">
        <v>378</v>
      </c>
      <c r="K5" s="70">
        <f t="shared" si="2"/>
        <v>1.6993346520409999E-2</v>
      </c>
      <c r="L5" s="70">
        <f t="shared" si="3"/>
        <v>4.7926968429060482E-2</v>
      </c>
      <c r="M5" s="69">
        <v>19</v>
      </c>
      <c r="N5" s="70">
        <f t="shared" si="4"/>
        <v>8.5416292033806867E-4</v>
      </c>
      <c r="O5" s="67" t="s">
        <v>16</v>
      </c>
    </row>
    <row r="6" spans="1:15" x14ac:dyDescent="0.3">
      <c r="A6" s="76" t="s">
        <v>17</v>
      </c>
      <c r="B6" s="67" t="s">
        <v>15</v>
      </c>
      <c r="C6" s="67" t="s">
        <v>16</v>
      </c>
      <c r="D6" s="68">
        <v>44929</v>
      </c>
      <c r="E6" s="69">
        <v>194636</v>
      </c>
      <c r="F6" s="70">
        <f t="shared" si="0"/>
        <v>0.998145255759469</v>
      </c>
      <c r="G6" s="69">
        <v>361</v>
      </c>
      <c r="H6" s="69">
        <v>69766</v>
      </c>
      <c r="I6" s="70">
        <f t="shared" si="1"/>
        <v>0.35844345342074435</v>
      </c>
      <c r="J6" s="69">
        <v>1647</v>
      </c>
      <c r="K6" s="70">
        <f t="shared" si="2"/>
        <v>8.4619494851928736E-3</v>
      </c>
      <c r="L6" s="70">
        <f t="shared" si="3"/>
        <v>2.360748788808302E-2</v>
      </c>
      <c r="M6" s="69">
        <v>157</v>
      </c>
      <c r="N6" s="70">
        <f t="shared" si="4"/>
        <v>8.066339217821986E-4</v>
      </c>
      <c r="O6" s="67" t="s">
        <v>16</v>
      </c>
    </row>
    <row r="7" spans="1:15" x14ac:dyDescent="0.3">
      <c r="A7" s="76" t="s">
        <v>29</v>
      </c>
      <c r="B7" s="67" t="s">
        <v>18</v>
      </c>
      <c r="C7" s="67" t="s">
        <v>16</v>
      </c>
      <c r="D7" s="68">
        <v>44929</v>
      </c>
      <c r="E7" s="69">
        <v>17887</v>
      </c>
      <c r="F7" s="70">
        <f t="shared" si="0"/>
        <v>0.99921730865992064</v>
      </c>
      <c r="G7" s="69">
        <v>14</v>
      </c>
      <c r="H7" s="69">
        <v>6856</v>
      </c>
      <c r="I7" s="70">
        <f t="shared" si="1"/>
        <v>0.3832951305417342</v>
      </c>
      <c r="J7" s="69">
        <v>224</v>
      </c>
      <c r="K7" s="70">
        <f t="shared" si="2"/>
        <v>1.2523061441270196E-2</v>
      </c>
      <c r="L7" s="70">
        <f t="shared" si="3"/>
        <v>3.2672112018669777E-2</v>
      </c>
      <c r="M7" s="69">
        <v>38</v>
      </c>
      <c r="N7" s="70">
        <f t="shared" si="4"/>
        <v>2.1244479230726225E-3</v>
      </c>
      <c r="O7" s="67" t="s">
        <v>16</v>
      </c>
    </row>
    <row r="8" spans="1:15" x14ac:dyDescent="0.3">
      <c r="A8" s="76" t="s">
        <v>17</v>
      </c>
      <c r="B8" s="67" t="s">
        <v>18</v>
      </c>
      <c r="C8" s="67" t="s">
        <v>16</v>
      </c>
      <c r="D8" s="68">
        <v>44929</v>
      </c>
      <c r="E8" s="69">
        <v>354949</v>
      </c>
      <c r="F8" s="70">
        <f t="shared" si="0"/>
        <v>0.99838286627092909</v>
      </c>
      <c r="G8" s="69">
        <v>574</v>
      </c>
      <c r="H8" s="69">
        <v>141863</v>
      </c>
      <c r="I8" s="70">
        <f t="shared" si="1"/>
        <v>0.39967150210311903</v>
      </c>
      <c r="J8" s="69">
        <v>2270</v>
      </c>
      <c r="K8" s="70">
        <f t="shared" si="2"/>
        <v>6.3952849564303605E-3</v>
      </c>
      <c r="L8" s="70">
        <f t="shared" si="3"/>
        <v>1.6001353418438915E-2</v>
      </c>
      <c r="M8" s="69">
        <v>606</v>
      </c>
      <c r="N8" s="70">
        <f t="shared" si="4"/>
        <v>1.7072875258135676E-3</v>
      </c>
      <c r="O8" s="67" t="s">
        <v>16</v>
      </c>
    </row>
    <row r="9" spans="1:15" x14ac:dyDescent="0.3">
      <c r="A9" s="76" t="s">
        <v>32</v>
      </c>
      <c r="B9" s="67"/>
      <c r="C9" s="67" t="s">
        <v>23</v>
      </c>
      <c r="D9" s="68">
        <v>44930</v>
      </c>
      <c r="E9" s="69">
        <v>321</v>
      </c>
      <c r="F9" s="70">
        <f t="shared" si="0"/>
        <v>1</v>
      </c>
      <c r="G9" s="69">
        <v>0</v>
      </c>
      <c r="H9" s="69">
        <v>108</v>
      </c>
      <c r="I9" s="70">
        <f t="shared" si="1"/>
        <v>0.3364485981308411</v>
      </c>
      <c r="J9" s="69">
        <v>4</v>
      </c>
      <c r="K9" s="70">
        <f t="shared" si="2"/>
        <v>1.2461059190031152E-2</v>
      </c>
      <c r="L9" s="70">
        <f t="shared" si="3"/>
        <v>3.7037037037037035E-2</v>
      </c>
      <c r="M9" s="69">
        <v>0</v>
      </c>
      <c r="N9" s="70">
        <f t="shared" si="4"/>
        <v>0</v>
      </c>
      <c r="O9" s="67" t="s">
        <v>23</v>
      </c>
    </row>
    <row r="10" spans="1:15" x14ac:dyDescent="0.3">
      <c r="A10" s="76" t="s">
        <v>34</v>
      </c>
      <c r="B10" s="67" t="s">
        <v>15</v>
      </c>
      <c r="C10" s="67" t="s">
        <v>30</v>
      </c>
      <c r="D10" s="68">
        <v>44931</v>
      </c>
      <c r="E10" s="69">
        <v>9491</v>
      </c>
      <c r="F10" s="70">
        <f t="shared" si="0"/>
        <v>0.98672426509324618</v>
      </c>
      <c r="G10" s="69">
        <v>126</v>
      </c>
      <c r="H10" s="69">
        <v>2942</v>
      </c>
      <c r="I10" s="70">
        <f t="shared" si="1"/>
        <v>0.3099778737751554</v>
      </c>
      <c r="J10" s="69">
        <v>391</v>
      </c>
      <c r="K10" s="70">
        <f t="shared" si="2"/>
        <v>4.1196923401116844E-2</v>
      </c>
      <c r="L10" s="70">
        <f t="shared" si="3"/>
        <v>0.13290278721957852</v>
      </c>
      <c r="M10" s="69">
        <v>17</v>
      </c>
      <c r="N10" s="70">
        <f t="shared" si="4"/>
        <v>1.7911705826572542E-3</v>
      </c>
      <c r="O10" s="67" t="s">
        <v>31</v>
      </c>
    </row>
    <row r="11" spans="1:15" x14ac:dyDescent="0.3">
      <c r="A11" s="76" t="s">
        <v>35</v>
      </c>
      <c r="B11" s="67" t="s">
        <v>15</v>
      </c>
      <c r="C11" s="67" t="s">
        <v>30</v>
      </c>
      <c r="D11" s="68">
        <v>44931</v>
      </c>
      <c r="E11" s="69">
        <v>85400</v>
      </c>
      <c r="F11" s="70">
        <f t="shared" si="0"/>
        <v>0.97702576112412176</v>
      </c>
      <c r="G11" s="69">
        <v>1962</v>
      </c>
      <c r="H11" s="69">
        <v>30869</v>
      </c>
      <c r="I11" s="70">
        <f t="shared" si="1"/>
        <v>0.36146370023419205</v>
      </c>
      <c r="J11" s="69">
        <v>3607</v>
      </c>
      <c r="K11" s="70">
        <f t="shared" si="2"/>
        <v>4.2236533957845435E-2</v>
      </c>
      <c r="L11" s="70">
        <f t="shared" si="3"/>
        <v>0.11684861835498396</v>
      </c>
      <c r="M11" s="69">
        <v>336</v>
      </c>
      <c r="N11" s="70">
        <f t="shared" si="4"/>
        <v>3.9344262295081967E-3</v>
      </c>
      <c r="O11" s="67" t="s">
        <v>31</v>
      </c>
    </row>
    <row r="12" spans="1:15" x14ac:dyDescent="0.3">
      <c r="A12" s="76" t="s">
        <v>26</v>
      </c>
      <c r="B12" s="67"/>
      <c r="C12" s="67" t="s">
        <v>23</v>
      </c>
      <c r="D12" s="68">
        <v>44931</v>
      </c>
      <c r="E12" s="69">
        <v>1678</v>
      </c>
      <c r="F12" s="70">
        <f t="shared" si="0"/>
        <v>0.99880810488676997</v>
      </c>
      <c r="G12" s="69">
        <v>2</v>
      </c>
      <c r="H12" s="69">
        <v>591</v>
      </c>
      <c r="I12" s="70">
        <f t="shared" si="1"/>
        <v>0.35220500595947557</v>
      </c>
      <c r="J12" s="69">
        <v>23</v>
      </c>
      <c r="K12" s="70">
        <f t="shared" si="2"/>
        <v>1.3706793802145411E-2</v>
      </c>
      <c r="L12" s="70">
        <f t="shared" si="3"/>
        <v>3.8917089678510999E-2</v>
      </c>
      <c r="M12" s="69">
        <v>0</v>
      </c>
      <c r="N12" s="70">
        <f t="shared" si="4"/>
        <v>0</v>
      </c>
      <c r="O12" s="67" t="s">
        <v>23</v>
      </c>
    </row>
    <row r="13" spans="1:15" x14ac:dyDescent="0.3">
      <c r="A13" s="76" t="s">
        <v>28</v>
      </c>
      <c r="B13" s="67" t="s">
        <v>15</v>
      </c>
      <c r="C13" s="67" t="s">
        <v>16</v>
      </c>
      <c r="D13" s="68">
        <v>44932</v>
      </c>
      <c r="E13" s="69">
        <v>95994</v>
      </c>
      <c r="F13" s="70">
        <f t="shared" si="0"/>
        <v>0.99888534700085418</v>
      </c>
      <c r="G13" s="69">
        <v>107</v>
      </c>
      <c r="H13" s="69">
        <v>30775</v>
      </c>
      <c r="I13" s="70">
        <f t="shared" si="1"/>
        <v>0.32059295372627455</v>
      </c>
      <c r="J13" s="69">
        <v>946</v>
      </c>
      <c r="K13" s="70">
        <f t="shared" si="2"/>
        <v>9.8547825905785785E-3</v>
      </c>
      <c r="L13" s="70">
        <f t="shared" si="3"/>
        <v>3.0739236393176279E-2</v>
      </c>
      <c r="M13" s="69">
        <v>86</v>
      </c>
      <c r="N13" s="70">
        <f t="shared" si="4"/>
        <v>8.958893264162344E-4</v>
      </c>
      <c r="O13" s="67" t="s">
        <v>16</v>
      </c>
    </row>
    <row r="14" spans="1:15" x14ac:dyDescent="0.3">
      <c r="A14" s="76" t="s">
        <v>22</v>
      </c>
      <c r="B14" s="67" t="s">
        <v>15</v>
      </c>
      <c r="C14" s="67" t="s">
        <v>16</v>
      </c>
      <c r="D14" s="68">
        <v>44932</v>
      </c>
      <c r="E14" s="69">
        <v>1750473</v>
      </c>
      <c r="F14" s="70">
        <f t="shared" si="0"/>
        <v>0.99671403100761913</v>
      </c>
      <c r="G14" s="69">
        <v>5752</v>
      </c>
      <c r="H14" s="69">
        <v>625509</v>
      </c>
      <c r="I14" s="70">
        <f t="shared" si="1"/>
        <v>0.35733713116397681</v>
      </c>
      <c r="J14" s="69">
        <v>12915</v>
      </c>
      <c r="K14" s="70">
        <f t="shared" si="2"/>
        <v>7.3780058304241201E-3</v>
      </c>
      <c r="L14" s="70">
        <f t="shared" si="3"/>
        <v>2.0647184932590899E-2</v>
      </c>
      <c r="M14" s="69">
        <v>2797</v>
      </c>
      <c r="N14" s="70">
        <f t="shared" si="4"/>
        <v>1.5978538372199971E-3</v>
      </c>
      <c r="O14" s="67" t="s">
        <v>16</v>
      </c>
    </row>
    <row r="15" spans="1:15" x14ac:dyDescent="0.3">
      <c r="A15" s="76" t="s">
        <v>28</v>
      </c>
      <c r="B15" s="67" t="s">
        <v>18</v>
      </c>
      <c r="C15" s="67" t="s">
        <v>16</v>
      </c>
      <c r="D15" s="68">
        <v>44932</v>
      </c>
      <c r="E15" s="69">
        <v>223652</v>
      </c>
      <c r="F15" s="70">
        <f t="shared" si="0"/>
        <v>0.99710711283601305</v>
      </c>
      <c r="G15" s="69">
        <v>647</v>
      </c>
      <c r="H15" s="69">
        <v>78135</v>
      </c>
      <c r="I15" s="70">
        <f t="shared" si="1"/>
        <v>0.34935971956432316</v>
      </c>
      <c r="J15" s="69">
        <v>3430</v>
      </c>
      <c r="K15" s="70">
        <f t="shared" si="2"/>
        <v>1.5336326078014058E-2</v>
      </c>
      <c r="L15" s="70">
        <f t="shared" si="3"/>
        <v>4.3898381007231077E-2</v>
      </c>
      <c r="M15" s="69">
        <v>1896</v>
      </c>
      <c r="N15" s="70">
        <f t="shared" si="4"/>
        <v>8.4774560477885279E-3</v>
      </c>
      <c r="O15" s="67" t="s">
        <v>16</v>
      </c>
    </row>
    <row r="16" spans="1:15" x14ac:dyDescent="0.3">
      <c r="A16" s="76" t="s">
        <v>22</v>
      </c>
      <c r="B16" s="67" t="s">
        <v>18</v>
      </c>
      <c r="C16" s="67" t="s">
        <v>16</v>
      </c>
      <c r="D16" s="68">
        <v>44932</v>
      </c>
      <c r="E16" s="69">
        <v>2511131</v>
      </c>
      <c r="F16" s="70">
        <f t="shared" si="0"/>
        <v>0.99525074558037796</v>
      </c>
      <c r="G16" s="69">
        <v>11926</v>
      </c>
      <c r="H16" s="69">
        <v>923449</v>
      </c>
      <c r="I16" s="70">
        <f t="shared" si="1"/>
        <v>0.36774226434224261</v>
      </c>
      <c r="J16" s="69">
        <v>23859</v>
      </c>
      <c r="K16" s="70">
        <f t="shared" si="2"/>
        <v>9.5012964277849301E-3</v>
      </c>
      <c r="L16" s="70">
        <f t="shared" si="3"/>
        <v>2.5836835602182688E-2</v>
      </c>
      <c r="M16" s="69">
        <v>11684</v>
      </c>
      <c r="N16" s="70">
        <f t="shared" si="4"/>
        <v>4.6528835014979309E-3</v>
      </c>
      <c r="O16" s="67" t="s">
        <v>16</v>
      </c>
    </row>
    <row r="17" spans="1:15" x14ac:dyDescent="0.3">
      <c r="A17" s="76" t="s">
        <v>38</v>
      </c>
      <c r="B17" s="67" t="s">
        <v>15</v>
      </c>
      <c r="C17" s="67" t="s">
        <v>16</v>
      </c>
      <c r="D17" s="68">
        <v>44932</v>
      </c>
      <c r="E17" s="69">
        <v>4172</v>
      </c>
      <c r="F17" s="70">
        <f t="shared" si="0"/>
        <v>0.99856184084372002</v>
      </c>
      <c r="G17" s="69">
        <v>6</v>
      </c>
      <c r="H17" s="69">
        <v>1614</v>
      </c>
      <c r="I17" s="70">
        <f t="shared" si="1"/>
        <v>0.3868648130393097</v>
      </c>
      <c r="J17" s="69">
        <v>24</v>
      </c>
      <c r="K17" s="70">
        <f t="shared" si="2"/>
        <v>5.7526366251198467E-3</v>
      </c>
      <c r="L17" s="70">
        <f t="shared" si="3"/>
        <v>1.4869888475836431E-2</v>
      </c>
      <c r="M17" s="69">
        <v>4</v>
      </c>
      <c r="N17" s="70">
        <f t="shared" si="4"/>
        <v>9.5877277085330771E-4</v>
      </c>
      <c r="O17" s="67" t="s">
        <v>16</v>
      </c>
    </row>
    <row r="18" spans="1:15" x14ac:dyDescent="0.3">
      <c r="A18" s="76" t="s">
        <v>38</v>
      </c>
      <c r="B18" s="67" t="s">
        <v>18</v>
      </c>
      <c r="C18" s="67" t="s">
        <v>16</v>
      </c>
      <c r="D18" s="68">
        <v>44932</v>
      </c>
      <c r="E18" s="69">
        <v>2196</v>
      </c>
      <c r="F18" s="70">
        <f t="shared" si="0"/>
        <v>0.99908925318761388</v>
      </c>
      <c r="G18" s="69">
        <v>2</v>
      </c>
      <c r="H18" s="69">
        <v>865</v>
      </c>
      <c r="I18" s="70">
        <f t="shared" si="1"/>
        <v>0.39389799635701273</v>
      </c>
      <c r="J18" s="69">
        <v>15</v>
      </c>
      <c r="K18" s="70">
        <f t="shared" si="2"/>
        <v>6.8306010928961746E-3</v>
      </c>
      <c r="L18" s="70">
        <f t="shared" si="3"/>
        <v>1.7341040462427744E-2</v>
      </c>
      <c r="M18" s="69">
        <v>4</v>
      </c>
      <c r="N18" s="70">
        <f t="shared" si="4"/>
        <v>1.8214936247723133E-3</v>
      </c>
      <c r="O18" s="67" t="s">
        <v>16</v>
      </c>
    </row>
    <row r="19" spans="1:15" x14ac:dyDescent="0.3">
      <c r="A19" s="76" t="s">
        <v>33</v>
      </c>
      <c r="B19" s="67" t="s">
        <v>18</v>
      </c>
      <c r="C19" s="67" t="s">
        <v>21</v>
      </c>
      <c r="D19" s="68">
        <v>44932</v>
      </c>
      <c r="E19" s="69">
        <v>229503</v>
      </c>
      <c r="F19" s="70">
        <f t="shared" si="0"/>
        <v>0.99866232685411516</v>
      </c>
      <c r="G19" s="69">
        <v>307</v>
      </c>
      <c r="H19" s="69">
        <v>105460</v>
      </c>
      <c r="I19" s="70">
        <f t="shared" si="1"/>
        <v>0.45951469043977639</v>
      </c>
      <c r="J19" s="69">
        <v>2616</v>
      </c>
      <c r="K19" s="70">
        <f t="shared" si="2"/>
        <v>1.1398543809884839E-2</v>
      </c>
      <c r="L19" s="70">
        <f t="shared" si="3"/>
        <v>2.4805613502749856E-2</v>
      </c>
      <c r="M19" s="69">
        <v>317</v>
      </c>
      <c r="N19" s="70">
        <f t="shared" si="4"/>
        <v>1.3812455610602041E-3</v>
      </c>
      <c r="O19" s="67" t="s">
        <v>21</v>
      </c>
    </row>
    <row r="20" spans="1:15" x14ac:dyDescent="0.3">
      <c r="A20" s="76" t="s">
        <v>19</v>
      </c>
      <c r="B20" s="67" t="s">
        <v>18</v>
      </c>
      <c r="C20" s="67" t="s">
        <v>21</v>
      </c>
      <c r="D20" s="68">
        <v>44932</v>
      </c>
      <c r="E20" s="69">
        <v>327320</v>
      </c>
      <c r="F20" s="70">
        <f t="shared" si="0"/>
        <v>0.99716179885127709</v>
      </c>
      <c r="G20" s="69">
        <v>929</v>
      </c>
      <c r="H20" s="69">
        <v>123722</v>
      </c>
      <c r="I20" s="70">
        <f t="shared" si="1"/>
        <v>0.37798484663326409</v>
      </c>
      <c r="J20" s="69">
        <v>3484</v>
      </c>
      <c r="K20" s="70">
        <f t="shared" ref="K20:K22" si="5">J20/E20</f>
        <v>1.0644018086276427E-2</v>
      </c>
      <c r="L20" s="70">
        <f t="shared" ref="L20:L22" si="6">J20/H20</f>
        <v>2.815990688802315E-2</v>
      </c>
      <c r="M20" s="69">
        <v>473</v>
      </c>
      <c r="N20" s="70">
        <f t="shared" si="4"/>
        <v>1.4450690455823049E-3</v>
      </c>
      <c r="O20" s="67" t="s">
        <v>21</v>
      </c>
    </row>
    <row r="21" spans="1:15" x14ac:dyDescent="0.3">
      <c r="A21" s="76" t="s">
        <v>24</v>
      </c>
      <c r="B21" s="67" t="s">
        <v>18</v>
      </c>
      <c r="C21" s="67" t="s">
        <v>21</v>
      </c>
      <c r="D21" s="68">
        <v>44933</v>
      </c>
      <c r="E21" s="69">
        <v>13458</v>
      </c>
      <c r="F21" s="70">
        <f t="shared" si="0"/>
        <v>0.99903403180264527</v>
      </c>
      <c r="G21" s="69">
        <v>13</v>
      </c>
      <c r="H21" s="69">
        <v>4436</v>
      </c>
      <c r="I21" s="70">
        <f t="shared" si="1"/>
        <v>0.32961807103581514</v>
      </c>
      <c r="J21" s="69">
        <v>200</v>
      </c>
      <c r="K21" s="70">
        <f t="shared" si="5"/>
        <v>1.486104919007282E-2</v>
      </c>
      <c r="L21" s="70">
        <f t="shared" si="6"/>
        <v>4.5085662759242563E-2</v>
      </c>
      <c r="M21" s="69">
        <v>42</v>
      </c>
      <c r="N21" s="70">
        <f t="shared" si="4"/>
        <v>3.120820329915292E-3</v>
      </c>
      <c r="O21" s="67" t="s">
        <v>21</v>
      </c>
    </row>
    <row r="22" spans="1:15" x14ac:dyDescent="0.3">
      <c r="A22" s="76" t="s">
        <v>36</v>
      </c>
      <c r="B22" s="67" t="s">
        <v>15</v>
      </c>
      <c r="C22" s="67" t="s">
        <v>16</v>
      </c>
      <c r="D22" s="68">
        <v>44933</v>
      </c>
      <c r="E22" s="69">
        <v>1320</v>
      </c>
      <c r="F22" s="70">
        <f t="shared" si="0"/>
        <v>0.99848484848484853</v>
      </c>
      <c r="G22" s="69">
        <v>2</v>
      </c>
      <c r="H22" s="69">
        <v>655</v>
      </c>
      <c r="I22" s="70">
        <f t="shared" si="1"/>
        <v>0.49621212121212122</v>
      </c>
      <c r="J22" s="69">
        <v>100</v>
      </c>
      <c r="K22" s="70">
        <f t="shared" si="5"/>
        <v>7.575757575757576E-2</v>
      </c>
      <c r="L22" s="70">
        <f t="shared" si="6"/>
        <v>0.15267175572519084</v>
      </c>
      <c r="M22" s="69">
        <v>4</v>
      </c>
      <c r="N22" s="70">
        <f t="shared" si="4"/>
        <v>3.0303030303030303E-3</v>
      </c>
      <c r="O22" s="67" t="s">
        <v>16</v>
      </c>
    </row>
    <row r="23" spans="1:15" x14ac:dyDescent="0.3">
      <c r="A23" s="76" t="s">
        <v>37</v>
      </c>
      <c r="B23" s="67" t="s">
        <v>15</v>
      </c>
      <c r="C23" s="67" t="s">
        <v>16</v>
      </c>
      <c r="D23" s="68">
        <v>44933</v>
      </c>
      <c r="E23" s="69">
        <v>10010</v>
      </c>
      <c r="F23" s="70">
        <f t="shared" ref="F23:F25" si="7">(E23-G23)/E23</f>
        <v>0.99890109890109891</v>
      </c>
      <c r="G23" s="69">
        <v>11</v>
      </c>
      <c r="H23" s="69">
        <v>4668</v>
      </c>
      <c r="I23" s="70">
        <f t="shared" ref="I23:I25" si="8">H23/E23</f>
        <v>0.46633366633366635</v>
      </c>
      <c r="J23" s="69">
        <v>555</v>
      </c>
      <c r="K23" s="70">
        <f t="shared" si="2"/>
        <v>5.5444555444555448E-2</v>
      </c>
      <c r="L23" s="70">
        <f t="shared" si="3"/>
        <v>0.11889460154241645</v>
      </c>
      <c r="M23" s="69">
        <v>7</v>
      </c>
      <c r="N23" s="70">
        <f t="shared" ref="N23:N25" si="9">M23/E23</f>
        <v>6.993006993006993E-4</v>
      </c>
      <c r="O23" s="67" t="s">
        <v>16</v>
      </c>
    </row>
    <row r="24" spans="1:15" x14ac:dyDescent="0.3">
      <c r="A24" s="76" t="s">
        <v>36</v>
      </c>
      <c r="B24" s="67" t="s">
        <v>18</v>
      </c>
      <c r="C24" s="67" t="s">
        <v>16</v>
      </c>
      <c r="D24" s="68">
        <v>44933</v>
      </c>
      <c r="E24" s="69">
        <v>571</v>
      </c>
      <c r="F24" s="70">
        <f t="shared" si="7"/>
        <v>0.99649737302977237</v>
      </c>
      <c r="G24" s="69">
        <v>2</v>
      </c>
      <c r="H24" s="69">
        <v>268</v>
      </c>
      <c r="I24" s="70">
        <f t="shared" si="8"/>
        <v>0.46935201401050786</v>
      </c>
      <c r="J24" s="69">
        <v>18</v>
      </c>
      <c r="K24" s="70">
        <f t="shared" si="2"/>
        <v>3.1523642732049037E-2</v>
      </c>
      <c r="L24" s="70">
        <f t="shared" si="3"/>
        <v>6.7164179104477612E-2</v>
      </c>
      <c r="M24" s="69">
        <v>4</v>
      </c>
      <c r="N24" s="70">
        <f t="shared" si="9"/>
        <v>7.0052539404553416E-3</v>
      </c>
      <c r="O24" s="67" t="s">
        <v>16</v>
      </c>
    </row>
    <row r="25" spans="1:15" x14ac:dyDescent="0.3">
      <c r="A25" s="76" t="s">
        <v>37</v>
      </c>
      <c r="B25" s="67" t="s">
        <v>18</v>
      </c>
      <c r="C25" s="67" t="s">
        <v>16</v>
      </c>
      <c r="D25" s="68">
        <v>44933</v>
      </c>
      <c r="E25" s="69">
        <v>7319</v>
      </c>
      <c r="F25" s="70">
        <f t="shared" si="7"/>
        <v>0.99863369312747641</v>
      </c>
      <c r="G25" s="69">
        <v>10</v>
      </c>
      <c r="H25" s="69">
        <v>3426</v>
      </c>
      <c r="I25" s="70">
        <f t="shared" si="8"/>
        <v>0.46809673452657469</v>
      </c>
      <c r="J25" s="69">
        <v>303</v>
      </c>
      <c r="K25" s="70">
        <f t="shared" si="2"/>
        <v>4.1399098237464134E-2</v>
      </c>
      <c r="L25" s="70">
        <f t="shared" si="3"/>
        <v>8.8441330998248691E-2</v>
      </c>
      <c r="M25" s="69">
        <v>21</v>
      </c>
      <c r="N25" s="70">
        <f t="shared" si="9"/>
        <v>2.8692444322994943E-3</v>
      </c>
      <c r="O25" s="67" t="s">
        <v>16</v>
      </c>
    </row>
    <row r="26" spans="1:15" x14ac:dyDescent="0.3">
      <c r="A26" s="76" t="s">
        <v>59</v>
      </c>
      <c r="B26" s="67" t="s">
        <v>15</v>
      </c>
      <c r="C26" s="67" t="s">
        <v>16</v>
      </c>
      <c r="D26" s="68">
        <v>44935</v>
      </c>
      <c r="E26" s="69">
        <v>103766</v>
      </c>
      <c r="F26" s="70">
        <f t="shared" ref="F26" si="10">(E26-G26)/E26</f>
        <v>0.99888210010986256</v>
      </c>
      <c r="G26" s="69">
        <v>116</v>
      </c>
      <c r="H26" s="69">
        <v>36997</v>
      </c>
      <c r="I26" s="70">
        <f t="shared" ref="I26" si="11">H26/E26</f>
        <v>0.35654260547770944</v>
      </c>
      <c r="J26" s="69">
        <v>611</v>
      </c>
      <c r="K26" s="70">
        <f t="shared" ref="K26" si="12">J26/E26</f>
        <v>5.8882485592583311E-3</v>
      </c>
      <c r="L26" s="70">
        <f t="shared" ref="L26" si="13">J26/H26</f>
        <v>1.6514852555612618E-2</v>
      </c>
      <c r="M26" s="69">
        <v>97</v>
      </c>
      <c r="N26" s="70">
        <f t="shared" ref="N26" si="14">M26/E26</f>
        <v>9.3479559778732917E-4</v>
      </c>
      <c r="O26" s="67" t="s">
        <v>16</v>
      </c>
    </row>
    <row r="27" spans="1:15" x14ac:dyDescent="0.3">
      <c r="A27" s="76" t="s">
        <v>59</v>
      </c>
      <c r="B27" s="67" t="s">
        <v>18</v>
      </c>
      <c r="C27" s="67" t="s">
        <v>16</v>
      </c>
      <c r="D27" s="68">
        <v>44935</v>
      </c>
      <c r="E27" s="69">
        <v>82482</v>
      </c>
      <c r="F27" s="70">
        <f t="shared" ref="F27:F45" si="15">(E27-G27)/E27</f>
        <v>0.99904221527121073</v>
      </c>
      <c r="G27" s="69">
        <v>79</v>
      </c>
      <c r="H27" s="69">
        <v>30721</v>
      </c>
      <c r="I27" s="70">
        <f t="shared" ref="I27:I45" si="16">H27/E27</f>
        <v>0.37245702092577776</v>
      </c>
      <c r="J27" s="69">
        <v>805</v>
      </c>
      <c r="K27" s="70">
        <f t="shared" ref="K27:K45" si="17">J27/E27</f>
        <v>9.7597051477898208E-3</v>
      </c>
      <c r="L27" s="70">
        <f t="shared" ref="L27:L45" si="18">J27/H27</f>
        <v>2.6203574102405522E-2</v>
      </c>
      <c r="M27" s="69">
        <v>714</v>
      </c>
      <c r="N27" s="70">
        <f t="shared" ref="N27:N45" si="19">M27/E27</f>
        <v>8.6564341310831454E-3</v>
      </c>
      <c r="O27" s="67" t="s">
        <v>16</v>
      </c>
    </row>
    <row r="28" spans="1:15" x14ac:dyDescent="0.3">
      <c r="A28" s="76" t="s">
        <v>60</v>
      </c>
      <c r="B28" s="67" t="s">
        <v>15</v>
      </c>
      <c r="C28" s="67" t="s">
        <v>16</v>
      </c>
      <c r="D28" s="68">
        <v>44935</v>
      </c>
      <c r="E28" s="69">
        <v>1576166</v>
      </c>
      <c r="F28" s="70">
        <f t="shared" si="15"/>
        <v>0.99788410611572642</v>
      </c>
      <c r="G28" s="69">
        <v>3335</v>
      </c>
      <c r="H28" s="69">
        <v>611099</v>
      </c>
      <c r="I28" s="70">
        <f t="shared" si="16"/>
        <v>0.38771233486828166</v>
      </c>
      <c r="J28" s="69">
        <v>7493</v>
      </c>
      <c r="K28" s="70">
        <f t="shared" si="17"/>
        <v>4.7539408920126433E-3</v>
      </c>
      <c r="L28" s="70">
        <f t="shared" si="18"/>
        <v>1.2261515728220795E-2</v>
      </c>
      <c r="M28" s="69">
        <v>2036</v>
      </c>
      <c r="N28" s="70">
        <f t="shared" si="19"/>
        <v>1.2917421134575927E-3</v>
      </c>
      <c r="O28" s="67" t="s">
        <v>16</v>
      </c>
    </row>
    <row r="29" spans="1:15" x14ac:dyDescent="0.3">
      <c r="A29" s="76" t="s">
        <v>60</v>
      </c>
      <c r="B29" s="67" t="s">
        <v>18</v>
      </c>
      <c r="C29" s="67" t="s">
        <v>16</v>
      </c>
      <c r="D29" s="68">
        <v>44935</v>
      </c>
      <c r="E29" s="69">
        <v>1067678</v>
      </c>
      <c r="F29" s="70">
        <f t="shared" si="15"/>
        <v>0.99833657713280599</v>
      </c>
      <c r="G29" s="69">
        <v>1776</v>
      </c>
      <c r="H29" s="69">
        <v>417805</v>
      </c>
      <c r="I29" s="70">
        <f t="shared" si="16"/>
        <v>0.39132116611937307</v>
      </c>
      <c r="J29" s="69">
        <v>6897</v>
      </c>
      <c r="K29" s="70">
        <f t="shared" si="17"/>
        <v>6.459812789998483E-3</v>
      </c>
      <c r="L29" s="70">
        <f t="shared" si="18"/>
        <v>1.6507700960974616E-2</v>
      </c>
      <c r="M29" s="69">
        <v>4269</v>
      </c>
      <c r="N29" s="70">
        <f t="shared" si="19"/>
        <v>3.9983965202991913E-3</v>
      </c>
      <c r="O29" s="67" t="s">
        <v>16</v>
      </c>
    </row>
    <row r="30" spans="1:15" x14ac:dyDescent="0.3">
      <c r="A30" s="76" t="s">
        <v>29</v>
      </c>
      <c r="B30" s="67" t="s">
        <v>18</v>
      </c>
      <c r="C30" s="67" t="s">
        <v>16</v>
      </c>
      <c r="D30" s="68">
        <v>44936</v>
      </c>
      <c r="E30" s="69">
        <v>18438</v>
      </c>
      <c r="F30" s="70">
        <f t="shared" si="15"/>
        <v>0.99940340600932853</v>
      </c>
      <c r="G30" s="69">
        <v>11</v>
      </c>
      <c r="H30" s="69">
        <v>7217</v>
      </c>
      <c r="I30" s="70">
        <f t="shared" si="16"/>
        <v>0.391419893697798</v>
      </c>
      <c r="J30" s="69">
        <v>237</v>
      </c>
      <c r="K30" s="70">
        <f t="shared" si="17"/>
        <v>1.2853888708102831E-2</v>
      </c>
      <c r="L30" s="70">
        <f t="shared" si="18"/>
        <v>3.2839129832340309E-2</v>
      </c>
      <c r="M30" s="69">
        <v>34</v>
      </c>
      <c r="N30" s="70">
        <f t="shared" si="19"/>
        <v>1.8440177893480855E-3</v>
      </c>
      <c r="O30" s="67" t="s">
        <v>16</v>
      </c>
    </row>
    <row r="31" spans="1:15" x14ac:dyDescent="0.3">
      <c r="A31" s="76" t="s">
        <v>29</v>
      </c>
      <c r="B31" s="67" t="s">
        <v>15</v>
      </c>
      <c r="C31" s="67" t="s">
        <v>16</v>
      </c>
      <c r="D31" s="68">
        <v>44936</v>
      </c>
      <c r="E31" s="69">
        <v>22406</v>
      </c>
      <c r="F31" s="70">
        <f t="shared" si="15"/>
        <v>0.99928590556101049</v>
      </c>
      <c r="G31" s="69">
        <v>16</v>
      </c>
      <c r="H31" s="69">
        <v>8105</v>
      </c>
      <c r="I31" s="70">
        <f t="shared" si="16"/>
        <v>0.36173346425064717</v>
      </c>
      <c r="J31" s="69">
        <v>343</v>
      </c>
      <c r="K31" s="70">
        <f t="shared" si="17"/>
        <v>1.5308399535838615E-2</v>
      </c>
      <c r="L31" s="70">
        <f t="shared" si="18"/>
        <v>4.2319555829734734E-2</v>
      </c>
      <c r="M31" s="69">
        <v>13</v>
      </c>
      <c r="N31" s="70">
        <f t="shared" si="19"/>
        <v>5.802017316790146E-4</v>
      </c>
      <c r="O31" s="67" t="s">
        <v>16</v>
      </c>
    </row>
    <row r="32" spans="1:15" x14ac:dyDescent="0.3">
      <c r="A32" s="76" t="s">
        <v>17</v>
      </c>
      <c r="B32" s="67" t="s">
        <v>15</v>
      </c>
      <c r="C32" s="67" t="s">
        <v>16</v>
      </c>
      <c r="D32" s="68">
        <v>44936</v>
      </c>
      <c r="E32" s="69">
        <v>196490</v>
      </c>
      <c r="F32" s="70">
        <f t="shared" si="15"/>
        <v>0.99831543590004579</v>
      </c>
      <c r="G32" s="69">
        <v>331</v>
      </c>
      <c r="H32" s="69">
        <v>71868</v>
      </c>
      <c r="I32" s="70">
        <f t="shared" si="16"/>
        <v>0.36575907170848387</v>
      </c>
      <c r="J32" s="69">
        <v>1795</v>
      </c>
      <c r="K32" s="70">
        <f t="shared" si="17"/>
        <v>9.135324952923813E-3</v>
      </c>
      <c r="L32" s="70">
        <f t="shared" si="18"/>
        <v>2.4976345522346524E-2</v>
      </c>
      <c r="M32" s="69">
        <v>123</v>
      </c>
      <c r="N32" s="70">
        <f t="shared" si="19"/>
        <v>6.2598605526998827E-4</v>
      </c>
      <c r="O32" s="67" t="s">
        <v>16</v>
      </c>
    </row>
    <row r="33" spans="1:15" x14ac:dyDescent="0.3">
      <c r="A33" s="76" t="s">
        <v>17</v>
      </c>
      <c r="B33" s="67" t="s">
        <v>18</v>
      </c>
      <c r="C33" s="67" t="s">
        <v>16</v>
      </c>
      <c r="D33" s="68">
        <v>44936</v>
      </c>
      <c r="E33" s="69">
        <v>358419</v>
      </c>
      <c r="F33" s="70">
        <f t="shared" si="15"/>
        <v>0.99861056473010634</v>
      </c>
      <c r="G33" s="69">
        <v>498</v>
      </c>
      <c r="H33" s="69">
        <v>141898</v>
      </c>
      <c r="I33" s="70">
        <f t="shared" si="16"/>
        <v>0.39589977093848261</v>
      </c>
      <c r="J33" s="69">
        <v>2425</v>
      </c>
      <c r="K33" s="70">
        <f t="shared" si="17"/>
        <v>6.7658243564096771E-3</v>
      </c>
      <c r="L33" s="70">
        <f t="shared" si="18"/>
        <v>1.7089740517836755E-2</v>
      </c>
      <c r="M33" s="69">
        <v>556</v>
      </c>
      <c r="N33" s="70">
        <f t="shared" si="19"/>
        <v>1.5512570483149611E-3</v>
      </c>
      <c r="O33" s="67" t="s">
        <v>16</v>
      </c>
    </row>
    <row r="34" spans="1:15" x14ac:dyDescent="0.3">
      <c r="A34" s="76" t="s">
        <v>61</v>
      </c>
      <c r="B34" s="67" t="s">
        <v>18</v>
      </c>
      <c r="C34" s="67" t="s">
        <v>21</v>
      </c>
      <c r="D34" s="68">
        <v>44936</v>
      </c>
      <c r="E34" s="69">
        <v>8498</v>
      </c>
      <c r="F34" s="70">
        <f t="shared" si="15"/>
        <v>0.99917627677100496</v>
      </c>
      <c r="G34" s="69">
        <v>7</v>
      </c>
      <c r="H34" s="69">
        <v>3081</v>
      </c>
      <c r="I34" s="70">
        <f t="shared" si="16"/>
        <v>0.36255589550482464</v>
      </c>
      <c r="J34" s="69">
        <v>77</v>
      </c>
      <c r="K34" s="70">
        <f t="shared" si="17"/>
        <v>9.0609555189456337E-3</v>
      </c>
      <c r="L34" s="70">
        <f t="shared" si="18"/>
        <v>2.4991885751379422E-2</v>
      </c>
      <c r="M34" s="69">
        <v>24</v>
      </c>
      <c r="N34" s="70">
        <f t="shared" si="19"/>
        <v>2.824193927983055E-3</v>
      </c>
      <c r="O34" s="67" t="s">
        <v>21</v>
      </c>
    </row>
    <row r="35" spans="1:15" x14ac:dyDescent="0.3">
      <c r="A35" s="76" t="s">
        <v>61</v>
      </c>
      <c r="B35" s="67" t="s">
        <v>15</v>
      </c>
      <c r="C35" s="67" t="s">
        <v>21</v>
      </c>
      <c r="D35" s="68">
        <v>44936</v>
      </c>
      <c r="E35" s="69">
        <v>8577</v>
      </c>
      <c r="F35" s="70">
        <f t="shared" si="15"/>
        <v>0.99918386382184909</v>
      </c>
      <c r="G35" s="69">
        <v>7</v>
      </c>
      <c r="H35" s="69">
        <v>2955</v>
      </c>
      <c r="I35" s="70">
        <f t="shared" si="16"/>
        <v>0.34452605806225955</v>
      </c>
      <c r="J35" s="69">
        <v>68</v>
      </c>
      <c r="K35" s="70">
        <f t="shared" si="17"/>
        <v>7.9281800163227244E-3</v>
      </c>
      <c r="L35" s="70">
        <f t="shared" si="18"/>
        <v>2.3011844331641287E-2</v>
      </c>
      <c r="M35" s="69">
        <v>14</v>
      </c>
      <c r="N35" s="70">
        <f t="shared" si="19"/>
        <v>1.6322723563017372E-3</v>
      </c>
      <c r="O35" s="67" t="s">
        <v>21</v>
      </c>
    </row>
    <row r="36" spans="1:15" x14ac:dyDescent="0.3">
      <c r="A36" s="76" t="s">
        <v>62</v>
      </c>
      <c r="B36" s="67" t="s">
        <v>18</v>
      </c>
      <c r="C36" s="67" t="s">
        <v>21</v>
      </c>
      <c r="D36" s="68">
        <v>44936</v>
      </c>
      <c r="E36" s="69">
        <v>153349</v>
      </c>
      <c r="F36" s="70">
        <f t="shared" si="15"/>
        <v>0.99861101148360931</v>
      </c>
      <c r="G36" s="69">
        <v>213</v>
      </c>
      <c r="H36" s="69">
        <v>73892</v>
      </c>
      <c r="I36" s="70">
        <f t="shared" si="16"/>
        <v>0.48185511480348747</v>
      </c>
      <c r="J36" s="69">
        <v>1128</v>
      </c>
      <c r="K36" s="70">
        <f t="shared" si="17"/>
        <v>7.3557701713085838E-3</v>
      </c>
      <c r="L36" s="70">
        <f t="shared" si="18"/>
        <v>1.5265522654685216E-2</v>
      </c>
      <c r="M36" s="69">
        <v>359</v>
      </c>
      <c r="N36" s="70">
        <f t="shared" si="19"/>
        <v>2.3410651520388132E-3</v>
      </c>
      <c r="O36" s="67" t="s">
        <v>21</v>
      </c>
    </row>
    <row r="37" spans="1:15" x14ac:dyDescent="0.3">
      <c r="A37" s="76" t="s">
        <v>62</v>
      </c>
      <c r="B37" s="67" t="s">
        <v>15</v>
      </c>
      <c r="C37" s="67" t="s">
        <v>21</v>
      </c>
      <c r="D37" s="72">
        <v>44936</v>
      </c>
      <c r="E37" s="69">
        <v>169230</v>
      </c>
      <c r="F37" s="70">
        <f t="shared" si="15"/>
        <v>0.99881817644625659</v>
      </c>
      <c r="G37" s="69">
        <v>200</v>
      </c>
      <c r="H37" s="69">
        <v>74958</v>
      </c>
      <c r="I37" s="70">
        <f t="shared" si="16"/>
        <v>0.44293564970749866</v>
      </c>
      <c r="J37" s="69">
        <v>970</v>
      </c>
      <c r="K37" s="70">
        <f t="shared" si="17"/>
        <v>5.7318442356556164E-3</v>
      </c>
      <c r="L37" s="70">
        <f t="shared" si="18"/>
        <v>1.2940580058165906E-2</v>
      </c>
      <c r="M37" s="69">
        <v>184</v>
      </c>
      <c r="N37" s="70">
        <f t="shared" si="19"/>
        <v>1.0872776694439521E-3</v>
      </c>
      <c r="O37" s="67" t="s">
        <v>21</v>
      </c>
    </row>
    <row r="38" spans="1:15" x14ac:dyDescent="0.3">
      <c r="A38" s="76" t="s">
        <v>26</v>
      </c>
      <c r="B38" s="67"/>
      <c r="C38" s="67" t="s">
        <v>23</v>
      </c>
      <c r="D38" s="72">
        <v>44938</v>
      </c>
      <c r="E38" s="69">
        <v>1672</v>
      </c>
      <c r="F38" s="70">
        <f t="shared" si="15"/>
        <v>1</v>
      </c>
      <c r="G38" s="69">
        <v>0</v>
      </c>
      <c r="H38" s="69">
        <v>601</v>
      </c>
      <c r="I38" s="70">
        <f t="shared" si="16"/>
        <v>0.35944976076555024</v>
      </c>
      <c r="J38" s="69">
        <v>18</v>
      </c>
      <c r="K38" s="70">
        <f t="shared" si="17"/>
        <v>1.076555023923445E-2</v>
      </c>
      <c r="L38" s="70">
        <f t="shared" si="18"/>
        <v>2.9950083194675542E-2</v>
      </c>
      <c r="M38" s="69">
        <v>0</v>
      </c>
      <c r="N38" s="70">
        <f t="shared" si="19"/>
        <v>0</v>
      </c>
      <c r="O38" s="67" t="s">
        <v>23</v>
      </c>
    </row>
    <row r="39" spans="1:15" x14ac:dyDescent="0.3">
      <c r="A39" s="76" t="s">
        <v>63</v>
      </c>
      <c r="B39" s="67" t="s">
        <v>18</v>
      </c>
      <c r="C39" s="67" t="s">
        <v>16</v>
      </c>
      <c r="D39" s="72">
        <v>44938</v>
      </c>
      <c r="E39" s="69">
        <v>33268</v>
      </c>
      <c r="F39" s="70">
        <f t="shared" si="15"/>
        <v>0.99819646507154025</v>
      </c>
      <c r="G39" s="69">
        <v>60</v>
      </c>
      <c r="H39" s="69">
        <v>10310</v>
      </c>
      <c r="I39" s="70">
        <f t="shared" si="16"/>
        <v>0.30990741854033904</v>
      </c>
      <c r="J39" s="69">
        <v>198</v>
      </c>
      <c r="K39" s="70">
        <f t="shared" si="17"/>
        <v>5.9516652639172779E-3</v>
      </c>
      <c r="L39" s="70">
        <f t="shared" si="18"/>
        <v>1.9204655674102813E-2</v>
      </c>
      <c r="M39" s="69">
        <v>161</v>
      </c>
      <c r="N39" s="70">
        <f t="shared" si="19"/>
        <v>4.8394853913670795E-3</v>
      </c>
      <c r="O39" s="67" t="s">
        <v>16</v>
      </c>
    </row>
    <row r="40" spans="1:15" x14ac:dyDescent="0.3">
      <c r="A40" s="76" t="s">
        <v>63</v>
      </c>
      <c r="B40" s="67" t="s">
        <v>15</v>
      </c>
      <c r="C40" s="67" t="s">
        <v>16</v>
      </c>
      <c r="D40" s="72">
        <v>44938</v>
      </c>
      <c r="E40" s="69">
        <v>57823</v>
      </c>
      <c r="F40" s="70">
        <f t="shared" si="15"/>
        <v>0.9991525863410754</v>
      </c>
      <c r="G40" s="69">
        <v>49</v>
      </c>
      <c r="H40" s="69">
        <v>15025</v>
      </c>
      <c r="I40" s="70">
        <f t="shared" si="16"/>
        <v>0.25984469847638481</v>
      </c>
      <c r="J40" s="69">
        <v>136</v>
      </c>
      <c r="K40" s="70">
        <f t="shared" si="17"/>
        <v>2.3520052574235164E-3</v>
      </c>
      <c r="L40" s="70">
        <f t="shared" si="18"/>
        <v>9.0515806988352744E-3</v>
      </c>
      <c r="M40" s="69">
        <v>31</v>
      </c>
      <c r="N40" s="70">
        <f t="shared" si="19"/>
        <v>5.3611884544212509E-4</v>
      </c>
      <c r="O40" s="67" t="s">
        <v>16</v>
      </c>
    </row>
    <row r="41" spans="1:15" x14ac:dyDescent="0.3">
      <c r="A41" s="76" t="s">
        <v>64</v>
      </c>
      <c r="B41" s="67" t="s">
        <v>18</v>
      </c>
      <c r="C41" s="67" t="s">
        <v>16</v>
      </c>
      <c r="D41" s="72">
        <v>44938</v>
      </c>
      <c r="E41" s="69">
        <v>503909</v>
      </c>
      <c r="F41" s="70">
        <f t="shared" si="15"/>
        <v>0.99717409294138426</v>
      </c>
      <c r="G41" s="69">
        <v>1424</v>
      </c>
      <c r="H41" s="69">
        <v>185312</v>
      </c>
      <c r="I41" s="70">
        <f t="shared" si="16"/>
        <v>0.36774893879648907</v>
      </c>
      <c r="J41" s="69">
        <v>2675</v>
      </c>
      <c r="K41" s="70">
        <f t="shared" si="17"/>
        <v>5.3084981613743748E-3</v>
      </c>
      <c r="L41" s="70">
        <f t="shared" si="18"/>
        <v>1.4435114833362114E-2</v>
      </c>
      <c r="M41" s="69">
        <v>1796</v>
      </c>
      <c r="N41" s="70">
        <f t="shared" si="19"/>
        <v>3.5641355879732252E-3</v>
      </c>
      <c r="O41" s="67" t="s">
        <v>16</v>
      </c>
    </row>
    <row r="42" spans="1:15" x14ac:dyDescent="0.3">
      <c r="A42" s="76" t="s">
        <v>64</v>
      </c>
      <c r="B42" s="67" t="s">
        <v>15</v>
      </c>
      <c r="C42" s="67" t="s">
        <v>16</v>
      </c>
      <c r="D42" s="72">
        <v>44938</v>
      </c>
      <c r="E42" s="69">
        <v>933758</v>
      </c>
      <c r="F42" s="70">
        <f t="shared" si="15"/>
        <v>0.99778743528837233</v>
      </c>
      <c r="G42" s="69">
        <v>2066</v>
      </c>
      <c r="H42" s="69">
        <v>328255</v>
      </c>
      <c r="I42" s="70">
        <f t="shared" si="16"/>
        <v>0.35154183417973395</v>
      </c>
      <c r="J42" s="69">
        <v>3131</v>
      </c>
      <c r="K42" s="70">
        <f t="shared" si="17"/>
        <v>3.353117188821943E-3</v>
      </c>
      <c r="L42" s="70">
        <f t="shared" si="18"/>
        <v>9.5383162480388722E-3</v>
      </c>
      <c r="M42" s="69">
        <v>1083</v>
      </c>
      <c r="N42" s="70">
        <f t="shared" si="19"/>
        <v>1.1598294204708285E-3</v>
      </c>
      <c r="O42" s="67" t="s">
        <v>16</v>
      </c>
    </row>
    <row r="43" spans="1:15" x14ac:dyDescent="0.3">
      <c r="A43" s="76" t="s">
        <v>28</v>
      </c>
      <c r="B43" s="67" t="s">
        <v>15</v>
      </c>
      <c r="C43" s="67" t="s">
        <v>16</v>
      </c>
      <c r="D43" s="72">
        <v>44939</v>
      </c>
      <c r="E43" s="69">
        <v>96595</v>
      </c>
      <c r="F43" s="70">
        <f t="shared" si="15"/>
        <v>0.99883016719291884</v>
      </c>
      <c r="G43" s="69">
        <v>113</v>
      </c>
      <c r="H43" s="69">
        <v>31810</v>
      </c>
      <c r="I43" s="70">
        <f t="shared" si="16"/>
        <v>0.32931311144469178</v>
      </c>
      <c r="J43" s="69">
        <v>847</v>
      </c>
      <c r="K43" s="70">
        <f t="shared" si="17"/>
        <v>8.7685698017495733E-3</v>
      </c>
      <c r="L43" s="70">
        <f t="shared" si="18"/>
        <v>2.662684690348947E-2</v>
      </c>
      <c r="M43" s="69">
        <v>78</v>
      </c>
      <c r="N43" s="70">
        <f t="shared" si="19"/>
        <v>8.0749521196749312E-4</v>
      </c>
      <c r="O43" s="67" t="s">
        <v>16</v>
      </c>
    </row>
    <row r="44" spans="1:15" x14ac:dyDescent="0.3">
      <c r="A44" s="76" t="s">
        <v>28</v>
      </c>
      <c r="B44" s="67" t="s">
        <v>18</v>
      </c>
      <c r="C44" s="67" t="s">
        <v>16</v>
      </c>
      <c r="D44" s="72">
        <v>44939</v>
      </c>
      <c r="E44" s="69">
        <v>226314</v>
      </c>
      <c r="F44" s="70">
        <f t="shared" si="15"/>
        <v>0.99721183841918748</v>
      </c>
      <c r="G44" s="69">
        <v>631</v>
      </c>
      <c r="H44" s="69">
        <v>81138</v>
      </c>
      <c r="I44" s="70">
        <f t="shared" si="16"/>
        <v>0.35851957899201992</v>
      </c>
      <c r="J44" s="69">
        <v>2838</v>
      </c>
      <c r="K44" s="70">
        <f t="shared" si="17"/>
        <v>1.2540099154272382E-2</v>
      </c>
      <c r="L44" s="70">
        <f t="shared" si="18"/>
        <v>3.4977445833025214E-2</v>
      </c>
      <c r="M44" s="69">
        <v>1339</v>
      </c>
      <c r="N44" s="70">
        <f t="shared" si="19"/>
        <v>5.9165584099967299E-3</v>
      </c>
      <c r="O44" s="67" t="s">
        <v>16</v>
      </c>
    </row>
    <row r="45" spans="1:15" x14ac:dyDescent="0.3">
      <c r="A45" s="76" t="s">
        <v>22</v>
      </c>
      <c r="B45" s="67" t="s">
        <v>15</v>
      </c>
      <c r="C45" s="67" t="s">
        <v>16</v>
      </c>
      <c r="D45" s="72">
        <v>44939</v>
      </c>
      <c r="E45" s="69">
        <v>1768850</v>
      </c>
      <c r="F45" s="70">
        <f t="shared" si="15"/>
        <v>0.99685219210221332</v>
      </c>
      <c r="G45" s="69">
        <v>5568</v>
      </c>
      <c r="H45" s="69">
        <v>643388</v>
      </c>
      <c r="I45" s="70">
        <f t="shared" si="16"/>
        <v>0.36373236848800067</v>
      </c>
      <c r="J45" s="69">
        <v>11627</v>
      </c>
      <c r="K45" s="70">
        <f t="shared" si="17"/>
        <v>6.5731972750657204E-3</v>
      </c>
      <c r="L45" s="70">
        <f t="shared" si="18"/>
        <v>1.8071521383675168E-2</v>
      </c>
      <c r="M45" s="69">
        <v>2397</v>
      </c>
      <c r="N45" s="70">
        <f t="shared" si="19"/>
        <v>1.3551177318596827E-3</v>
      </c>
      <c r="O45" s="67" t="s">
        <v>16</v>
      </c>
    </row>
    <row r="46" spans="1:15" x14ac:dyDescent="0.3">
      <c r="A46" s="76" t="s">
        <v>22</v>
      </c>
      <c r="B46" s="67" t="s">
        <v>18</v>
      </c>
      <c r="C46" s="67" t="s">
        <v>16</v>
      </c>
      <c r="D46" s="72">
        <v>44939</v>
      </c>
      <c r="E46" s="69">
        <v>2523494</v>
      </c>
      <c r="F46" s="70">
        <f t="shared" ref="F46:F48" si="20">(E46-G46)/E46</f>
        <v>0.99528154217921661</v>
      </c>
      <c r="G46" s="69">
        <v>11907</v>
      </c>
      <c r="H46" s="69">
        <v>918692</v>
      </c>
      <c r="I46" s="70">
        <f t="shared" ref="I46:I48" si="21">H46/E46</f>
        <v>0.36405555154876534</v>
      </c>
      <c r="J46" s="69">
        <v>20283</v>
      </c>
      <c r="K46" s="70">
        <f t="shared" ref="K46:K48" si="22">J46/E46</f>
        <v>8.0376652371671967E-3</v>
      </c>
      <c r="L46" s="70">
        <f t="shared" ref="L46:L48" si="23">J46/H46</f>
        <v>2.207812846960679E-2</v>
      </c>
      <c r="M46" s="69">
        <v>9972</v>
      </c>
      <c r="N46" s="70">
        <f t="shared" ref="N46:N48" si="24">M46/E46</f>
        <v>3.9516638438609327E-3</v>
      </c>
      <c r="O46" s="67" t="s">
        <v>16</v>
      </c>
    </row>
    <row r="47" spans="1:15" x14ac:dyDescent="0.3">
      <c r="A47" s="76" t="s">
        <v>33</v>
      </c>
      <c r="B47" s="67" t="s">
        <v>18</v>
      </c>
      <c r="C47" s="67" t="s">
        <v>21</v>
      </c>
      <c r="D47" s="72">
        <v>44939</v>
      </c>
      <c r="E47" s="69">
        <v>252620</v>
      </c>
      <c r="F47" s="70">
        <f t="shared" si="20"/>
        <v>0.99887974032143145</v>
      </c>
      <c r="G47" s="69">
        <v>283</v>
      </c>
      <c r="H47" s="69">
        <v>95330</v>
      </c>
      <c r="I47" s="70">
        <f t="shared" si="21"/>
        <v>0.37736521257224287</v>
      </c>
      <c r="J47" s="69">
        <v>2226</v>
      </c>
      <c r="K47" s="70">
        <f t="shared" si="22"/>
        <v>8.8116538674689257E-3</v>
      </c>
      <c r="L47" s="70">
        <f t="shared" si="23"/>
        <v>2.3350466799538446E-2</v>
      </c>
      <c r="M47" s="69">
        <v>330</v>
      </c>
      <c r="N47" s="70">
        <f t="shared" si="24"/>
        <v>1.3063098725358245E-3</v>
      </c>
      <c r="O47" s="67" t="s">
        <v>21</v>
      </c>
    </row>
    <row r="48" spans="1:15" x14ac:dyDescent="0.3">
      <c r="A48" s="76" t="s">
        <v>19</v>
      </c>
      <c r="B48" s="67" t="s">
        <v>18</v>
      </c>
      <c r="C48" s="67" t="s">
        <v>21</v>
      </c>
      <c r="D48" s="72">
        <v>44939</v>
      </c>
      <c r="E48" s="69">
        <v>334315</v>
      </c>
      <c r="F48" s="70">
        <f t="shared" si="20"/>
        <v>0.99789121038541495</v>
      </c>
      <c r="G48" s="69">
        <v>705</v>
      </c>
      <c r="H48" s="69">
        <v>101194</v>
      </c>
      <c r="I48" s="70">
        <f t="shared" si="21"/>
        <v>0.30269057625293511</v>
      </c>
      <c r="J48" s="69">
        <v>2570</v>
      </c>
      <c r="K48" s="70">
        <f t="shared" si="22"/>
        <v>7.6873607226717313E-3</v>
      </c>
      <c r="L48" s="70">
        <f t="shared" si="23"/>
        <v>2.5396762653912289E-2</v>
      </c>
      <c r="M48" s="69">
        <v>321</v>
      </c>
      <c r="N48" s="70">
        <f t="shared" si="24"/>
        <v>9.6017229259829804E-4</v>
      </c>
      <c r="O48" s="67" t="s">
        <v>21</v>
      </c>
    </row>
    <row r="49" spans="1:15" x14ac:dyDescent="0.3">
      <c r="A49" s="76" t="s">
        <v>69</v>
      </c>
      <c r="B49" s="67" t="s">
        <v>15</v>
      </c>
      <c r="C49" s="67" t="s">
        <v>16</v>
      </c>
      <c r="D49" s="72">
        <v>44942</v>
      </c>
      <c r="E49" s="69">
        <v>117955</v>
      </c>
      <c r="F49" s="70">
        <f t="shared" ref="F49:F79" si="25">(E49-G49)/E49</f>
        <v>0.99886397354923484</v>
      </c>
      <c r="G49" s="69">
        <v>134</v>
      </c>
      <c r="H49" s="69">
        <v>42090</v>
      </c>
      <c r="I49" s="70">
        <f t="shared" ref="I49:I79" si="26">H49/E49</f>
        <v>0.35683099487092534</v>
      </c>
      <c r="J49" s="69">
        <v>693</v>
      </c>
      <c r="K49" s="70">
        <f t="shared" ref="K49:K79" si="27">J49/E49</f>
        <v>5.8751218685091774E-3</v>
      </c>
      <c r="L49" s="70">
        <f t="shared" ref="L49:L79" si="28">J49/H49</f>
        <v>1.646471846044191E-2</v>
      </c>
      <c r="M49" s="69">
        <v>104</v>
      </c>
      <c r="N49" s="70">
        <f t="shared" ref="N49:N79" si="29">M49/E49</f>
        <v>8.8169217074307994E-4</v>
      </c>
      <c r="O49" s="67" t="s">
        <v>16</v>
      </c>
    </row>
    <row r="50" spans="1:15" x14ac:dyDescent="0.3">
      <c r="A50" s="76" t="s">
        <v>69</v>
      </c>
      <c r="B50" s="67" t="s">
        <v>18</v>
      </c>
      <c r="C50" s="67" t="s">
        <v>16</v>
      </c>
      <c r="D50" s="72">
        <v>44942</v>
      </c>
      <c r="E50" s="69">
        <v>227708</v>
      </c>
      <c r="F50" s="70">
        <f t="shared" si="25"/>
        <v>0.99702689409243417</v>
      </c>
      <c r="G50" s="69">
        <v>677</v>
      </c>
      <c r="H50" s="69">
        <v>86575</v>
      </c>
      <c r="I50" s="70">
        <f t="shared" si="26"/>
        <v>0.38020183744093311</v>
      </c>
      <c r="J50" s="69">
        <v>2769</v>
      </c>
      <c r="K50" s="70">
        <f t="shared" si="27"/>
        <v>1.2160310573190227E-2</v>
      </c>
      <c r="L50" s="70">
        <f t="shared" si="28"/>
        <v>3.1983829049956683E-2</v>
      </c>
      <c r="M50" s="69">
        <v>2077</v>
      </c>
      <c r="N50" s="70">
        <f t="shared" si="29"/>
        <v>9.1213308271997466E-3</v>
      </c>
      <c r="O50" s="67" t="s">
        <v>16</v>
      </c>
    </row>
    <row r="51" spans="1:15" x14ac:dyDescent="0.3">
      <c r="A51" s="76" t="s">
        <v>70</v>
      </c>
      <c r="B51" s="67" t="s">
        <v>15</v>
      </c>
      <c r="C51" s="67" t="s">
        <v>16</v>
      </c>
      <c r="D51" s="72">
        <v>44942</v>
      </c>
      <c r="E51" s="69">
        <v>2047772</v>
      </c>
      <c r="F51" s="70">
        <f t="shared" si="25"/>
        <v>0.99697866754697295</v>
      </c>
      <c r="G51" s="69">
        <v>6187</v>
      </c>
      <c r="H51" s="69">
        <v>1001982</v>
      </c>
      <c r="I51" s="70">
        <f t="shared" si="26"/>
        <v>0.48930349667834117</v>
      </c>
      <c r="J51" s="69">
        <v>22127</v>
      </c>
      <c r="K51" s="70">
        <f t="shared" si="27"/>
        <v>1.080540216391278E-2</v>
      </c>
      <c r="L51" s="70">
        <f t="shared" si="28"/>
        <v>2.2083231036086476E-2</v>
      </c>
      <c r="M51" s="69">
        <v>4114</v>
      </c>
      <c r="N51" s="70">
        <f t="shared" si="29"/>
        <v>2.0090127221194546E-3</v>
      </c>
      <c r="O51" s="67" t="s">
        <v>16</v>
      </c>
    </row>
    <row r="52" spans="1:15" x14ac:dyDescent="0.3">
      <c r="A52" s="76" t="s">
        <v>70</v>
      </c>
      <c r="B52" s="67" t="s">
        <v>18</v>
      </c>
      <c r="C52" s="67" t="s">
        <v>16</v>
      </c>
      <c r="D52" s="72">
        <v>44942</v>
      </c>
      <c r="E52" s="69">
        <v>2413301</v>
      </c>
      <c r="F52" s="70">
        <f t="shared" si="25"/>
        <v>0.99528695343017715</v>
      </c>
      <c r="G52" s="69">
        <v>11374</v>
      </c>
      <c r="H52" s="69">
        <v>1113405</v>
      </c>
      <c r="I52" s="70">
        <f t="shared" si="26"/>
        <v>0.46136184421255366</v>
      </c>
      <c r="J52" s="69">
        <v>29958</v>
      </c>
      <c r="K52" s="70">
        <f t="shared" si="27"/>
        <v>1.2413702227778467E-2</v>
      </c>
      <c r="L52" s="70">
        <f t="shared" si="28"/>
        <v>2.6906651218559285E-2</v>
      </c>
      <c r="M52" s="69">
        <v>18021</v>
      </c>
      <c r="N52" s="70">
        <f t="shared" si="29"/>
        <v>7.4673652395619112E-3</v>
      </c>
      <c r="O52" s="67" t="s">
        <v>16</v>
      </c>
    </row>
    <row r="53" spans="1:15" x14ac:dyDescent="0.3">
      <c r="A53" s="76" t="s">
        <v>29</v>
      </c>
      <c r="B53" s="67" t="s">
        <v>15</v>
      </c>
      <c r="C53" s="67" t="s">
        <v>16</v>
      </c>
      <c r="D53" s="72">
        <v>44943</v>
      </c>
      <c r="E53" s="69">
        <v>22648</v>
      </c>
      <c r="F53" s="70">
        <f t="shared" si="25"/>
        <v>0.99920522783468735</v>
      </c>
      <c r="G53" s="69">
        <v>18</v>
      </c>
      <c r="H53" s="69">
        <v>8068</v>
      </c>
      <c r="I53" s="70">
        <f t="shared" si="26"/>
        <v>0.35623454609678556</v>
      </c>
      <c r="J53" s="69">
        <v>265</v>
      </c>
      <c r="K53" s="70">
        <f t="shared" si="27"/>
        <v>1.1700812433768986E-2</v>
      </c>
      <c r="L53" s="70">
        <f t="shared" si="28"/>
        <v>3.2845810609816561E-2</v>
      </c>
      <c r="M53" s="69">
        <v>17</v>
      </c>
      <c r="N53" s="70">
        <f t="shared" si="29"/>
        <v>7.5061815612857653E-4</v>
      </c>
      <c r="O53" s="67" t="s">
        <v>16</v>
      </c>
    </row>
    <row r="54" spans="1:15" x14ac:dyDescent="0.3">
      <c r="A54" s="76" t="s">
        <v>29</v>
      </c>
      <c r="B54" s="67" t="s">
        <v>18</v>
      </c>
      <c r="C54" s="67" t="s">
        <v>16</v>
      </c>
      <c r="D54" s="72">
        <v>44943</v>
      </c>
      <c r="E54" s="69">
        <v>25216</v>
      </c>
      <c r="F54" s="70">
        <f t="shared" si="25"/>
        <v>0.99857233502538068</v>
      </c>
      <c r="G54" s="69">
        <v>36</v>
      </c>
      <c r="H54" s="69">
        <v>9722</v>
      </c>
      <c r="I54" s="70">
        <f t="shared" si="26"/>
        <v>0.38554885786802029</v>
      </c>
      <c r="J54" s="69">
        <v>289</v>
      </c>
      <c r="K54" s="70">
        <f t="shared" si="27"/>
        <v>1.1460977157360407E-2</v>
      </c>
      <c r="L54" s="70">
        <f t="shared" si="28"/>
        <v>2.9726393746142769E-2</v>
      </c>
      <c r="M54" s="69">
        <v>116</v>
      </c>
      <c r="N54" s="70">
        <f t="shared" si="29"/>
        <v>4.6002538071065989E-3</v>
      </c>
      <c r="O54" s="67" t="s">
        <v>16</v>
      </c>
    </row>
    <row r="55" spans="1:15" x14ac:dyDescent="0.3">
      <c r="A55" s="76" t="s">
        <v>17</v>
      </c>
      <c r="B55" s="67" t="s">
        <v>15</v>
      </c>
      <c r="C55" s="67" t="s">
        <v>16</v>
      </c>
      <c r="D55" s="72">
        <v>44943</v>
      </c>
      <c r="E55" s="69">
        <v>207913</v>
      </c>
      <c r="F55" s="70">
        <f t="shared" si="25"/>
        <v>0.99800878251961156</v>
      </c>
      <c r="G55" s="69">
        <v>414</v>
      </c>
      <c r="H55" s="69">
        <v>77636</v>
      </c>
      <c r="I55" s="70">
        <f t="shared" si="26"/>
        <v>0.37340618431747896</v>
      </c>
      <c r="J55" s="69">
        <v>1924</v>
      </c>
      <c r="K55" s="70">
        <f t="shared" si="27"/>
        <v>9.253870609341408E-3</v>
      </c>
      <c r="L55" s="70">
        <f t="shared" si="28"/>
        <v>2.4782317481580711E-2</v>
      </c>
      <c r="M55" s="69">
        <v>141</v>
      </c>
      <c r="N55" s="70">
        <f t="shared" si="29"/>
        <v>6.7816827230620497E-4</v>
      </c>
      <c r="O55" s="67" t="s">
        <v>16</v>
      </c>
    </row>
    <row r="56" spans="1:15" x14ac:dyDescent="0.3">
      <c r="A56" s="76" t="s">
        <v>17</v>
      </c>
      <c r="B56" s="67" t="s">
        <v>18</v>
      </c>
      <c r="C56" s="67" t="s">
        <v>16</v>
      </c>
      <c r="D56" s="72">
        <v>44943</v>
      </c>
      <c r="E56" s="69">
        <v>418744</v>
      </c>
      <c r="F56" s="70">
        <f t="shared" si="25"/>
        <v>0.99802743442294095</v>
      </c>
      <c r="G56" s="69">
        <v>826</v>
      </c>
      <c r="H56" s="69">
        <v>168010</v>
      </c>
      <c r="I56" s="70">
        <f t="shared" si="26"/>
        <v>0.40122365932407389</v>
      </c>
      <c r="J56" s="69">
        <v>3250</v>
      </c>
      <c r="K56" s="70">
        <f t="shared" si="27"/>
        <v>7.7613052366123456E-3</v>
      </c>
      <c r="L56" s="70">
        <f t="shared" si="28"/>
        <v>1.9344086661508244E-2</v>
      </c>
      <c r="M56" s="69">
        <v>1139</v>
      </c>
      <c r="N56" s="70">
        <f t="shared" si="29"/>
        <v>2.7200389736927572E-3</v>
      </c>
      <c r="O56" s="67" t="s">
        <v>16</v>
      </c>
    </row>
    <row r="57" spans="1:15" x14ac:dyDescent="0.3">
      <c r="A57" s="76" t="s">
        <v>71</v>
      </c>
      <c r="B57" s="67" t="s">
        <v>15</v>
      </c>
      <c r="C57" s="67" t="s">
        <v>16</v>
      </c>
      <c r="D57" s="72">
        <v>44944</v>
      </c>
      <c r="E57" s="69">
        <v>8805</v>
      </c>
      <c r="F57" s="70">
        <f t="shared" si="25"/>
        <v>0.99681998864281662</v>
      </c>
      <c r="G57" s="69">
        <v>28</v>
      </c>
      <c r="H57" s="69">
        <v>4066</v>
      </c>
      <c r="I57" s="70">
        <f t="shared" si="26"/>
        <v>0.46178307779670641</v>
      </c>
      <c r="J57" s="69">
        <v>52</v>
      </c>
      <c r="K57" s="70">
        <f t="shared" si="27"/>
        <v>5.9057353776263491E-3</v>
      </c>
      <c r="L57" s="70">
        <f t="shared" si="28"/>
        <v>1.278898180029513E-2</v>
      </c>
      <c r="M57" s="69">
        <v>7</v>
      </c>
      <c r="N57" s="70">
        <f t="shared" si="29"/>
        <v>7.9500283929585466E-4</v>
      </c>
      <c r="O57" s="67" t="s">
        <v>16</v>
      </c>
    </row>
    <row r="58" spans="1:15" x14ac:dyDescent="0.3">
      <c r="A58" s="76" t="s">
        <v>71</v>
      </c>
      <c r="B58" s="67" t="s">
        <v>18</v>
      </c>
      <c r="C58" s="67" t="s">
        <v>16</v>
      </c>
      <c r="D58" s="72">
        <v>44944</v>
      </c>
      <c r="E58" s="69">
        <v>3805</v>
      </c>
      <c r="F58" s="70">
        <f t="shared" si="25"/>
        <v>0.99763469119579495</v>
      </c>
      <c r="G58" s="69">
        <v>9</v>
      </c>
      <c r="H58" s="69">
        <v>1624</v>
      </c>
      <c r="I58" s="70">
        <f t="shared" si="26"/>
        <v>0.42680683311432327</v>
      </c>
      <c r="J58" s="69">
        <v>35</v>
      </c>
      <c r="K58" s="70">
        <f t="shared" si="27"/>
        <v>9.1984231274638631E-3</v>
      </c>
      <c r="L58" s="70">
        <f t="shared" si="28"/>
        <v>2.1551724137931036E-2</v>
      </c>
      <c r="M58" s="69">
        <v>24</v>
      </c>
      <c r="N58" s="70">
        <f t="shared" si="29"/>
        <v>6.3074901445466488E-3</v>
      </c>
      <c r="O58" s="67" t="s">
        <v>16</v>
      </c>
    </row>
    <row r="59" spans="1:15" x14ac:dyDescent="0.3">
      <c r="A59" s="76" t="s">
        <v>72</v>
      </c>
      <c r="B59" s="67" t="s">
        <v>18</v>
      </c>
      <c r="C59" s="67" t="s">
        <v>16</v>
      </c>
      <c r="D59" s="72">
        <v>44944</v>
      </c>
      <c r="E59" s="69">
        <v>183395</v>
      </c>
      <c r="F59" s="70">
        <f t="shared" si="25"/>
        <v>0.99721366449466997</v>
      </c>
      <c r="G59" s="69">
        <v>511</v>
      </c>
      <c r="H59" s="69">
        <v>81537</v>
      </c>
      <c r="I59" s="70">
        <f t="shared" si="26"/>
        <v>0.44459772621936255</v>
      </c>
      <c r="J59" s="69">
        <v>2387</v>
      </c>
      <c r="K59" s="70">
        <f t="shared" si="27"/>
        <v>1.3015622018048475E-2</v>
      </c>
      <c r="L59" s="70">
        <f t="shared" si="28"/>
        <v>2.9275053043403609E-2</v>
      </c>
      <c r="M59" s="69">
        <v>466</v>
      </c>
      <c r="N59" s="70">
        <f t="shared" si="29"/>
        <v>2.5409634940974399E-3</v>
      </c>
      <c r="O59" s="67" t="s">
        <v>16</v>
      </c>
    </row>
    <row r="60" spans="1:15" x14ac:dyDescent="0.3">
      <c r="A60" s="76" t="s">
        <v>72</v>
      </c>
      <c r="B60" s="67" t="s">
        <v>15</v>
      </c>
      <c r="C60" s="67" t="s">
        <v>16</v>
      </c>
      <c r="D60" s="72">
        <v>44944</v>
      </c>
      <c r="E60" s="69">
        <v>288246</v>
      </c>
      <c r="F60" s="70">
        <f t="shared" si="25"/>
        <v>0.99808843834780014</v>
      </c>
      <c r="G60" s="69">
        <v>551</v>
      </c>
      <c r="H60" s="69">
        <v>170575</v>
      </c>
      <c r="I60" s="70">
        <f t="shared" si="26"/>
        <v>0.59176883634118083</v>
      </c>
      <c r="J60" s="69">
        <v>4871</v>
      </c>
      <c r="K60" s="70">
        <f t="shared" si="27"/>
        <v>1.6898760086870242E-2</v>
      </c>
      <c r="L60" s="70">
        <f t="shared" si="28"/>
        <v>2.8556353510186136E-2</v>
      </c>
      <c r="M60" s="69">
        <v>276</v>
      </c>
      <c r="N60" s="70">
        <f t="shared" si="29"/>
        <v>9.5751545554838573E-4</v>
      </c>
      <c r="O60" s="67" t="s">
        <v>16</v>
      </c>
    </row>
    <row r="61" spans="1:15" x14ac:dyDescent="0.3">
      <c r="A61" s="76" t="s">
        <v>32</v>
      </c>
      <c r="B61" s="67"/>
      <c r="C61" s="67" t="s">
        <v>23</v>
      </c>
      <c r="D61" s="72">
        <v>44944</v>
      </c>
      <c r="E61" s="69">
        <v>315</v>
      </c>
      <c r="F61" s="70">
        <f t="shared" si="25"/>
        <v>1</v>
      </c>
      <c r="G61" s="69">
        <v>0</v>
      </c>
      <c r="H61" s="69">
        <v>82</v>
      </c>
      <c r="I61" s="70">
        <f t="shared" si="26"/>
        <v>0.26031746031746034</v>
      </c>
      <c r="J61" s="69">
        <v>7</v>
      </c>
      <c r="K61" s="70">
        <f t="shared" si="27"/>
        <v>2.2222222222222223E-2</v>
      </c>
      <c r="L61" s="70">
        <f t="shared" si="28"/>
        <v>8.5365853658536592E-2</v>
      </c>
      <c r="M61" s="69">
        <v>0</v>
      </c>
      <c r="N61" s="70">
        <f t="shared" si="29"/>
        <v>0</v>
      </c>
      <c r="O61" s="67" t="s">
        <v>23</v>
      </c>
    </row>
    <row r="62" spans="1:15" s="74" customFormat="1" x14ac:dyDescent="0.3">
      <c r="A62" s="76" t="s">
        <v>76</v>
      </c>
      <c r="B62" s="67" t="s">
        <v>15</v>
      </c>
      <c r="C62" s="67" t="s">
        <v>16</v>
      </c>
      <c r="D62" s="68">
        <v>44944</v>
      </c>
      <c r="E62" s="69">
        <v>111097</v>
      </c>
      <c r="F62" s="70">
        <f>(E62-G62)/E62</f>
        <v>0.99912688911491765</v>
      </c>
      <c r="G62" s="69">
        <v>97</v>
      </c>
      <c r="H62" s="69">
        <v>39756</v>
      </c>
      <c r="I62" s="70">
        <f>H62/E62</f>
        <v>0.35784944687975373</v>
      </c>
      <c r="J62" s="69">
        <v>1074</v>
      </c>
      <c r="K62" s="70">
        <f>J62/E62</f>
        <v>9.6672277379227164E-3</v>
      </c>
      <c r="L62" s="70">
        <f>J62/H62</f>
        <v>2.7014790220344097E-2</v>
      </c>
      <c r="M62" s="69">
        <v>54</v>
      </c>
      <c r="N62" s="70">
        <f>M62/E62</f>
        <v>4.8606172983968964E-4</v>
      </c>
      <c r="O62" s="67" t="s">
        <v>16</v>
      </c>
    </row>
    <row r="63" spans="1:15" s="74" customFormat="1" x14ac:dyDescent="0.3">
      <c r="A63" s="76" t="s">
        <v>77</v>
      </c>
      <c r="B63" s="67" t="s">
        <v>15</v>
      </c>
      <c r="C63" s="67" t="s">
        <v>16</v>
      </c>
      <c r="D63" s="68">
        <v>44944</v>
      </c>
      <c r="E63" s="69">
        <v>1896017</v>
      </c>
      <c r="F63" s="70">
        <f>(E63-G63)/E63</f>
        <v>0.99711500477052684</v>
      </c>
      <c r="G63" s="69">
        <v>5470</v>
      </c>
      <c r="H63" s="69">
        <v>860136</v>
      </c>
      <c r="I63" s="70">
        <f>H63/E63</f>
        <v>0.45365416027387939</v>
      </c>
      <c r="J63" s="69">
        <v>19533</v>
      </c>
      <c r="K63" s="70">
        <f>J63/E63</f>
        <v>1.0302122818519032E-2</v>
      </c>
      <c r="L63" s="70">
        <f>J63/H63</f>
        <v>2.2709199475431791E-2</v>
      </c>
      <c r="M63" s="69">
        <v>2275</v>
      </c>
      <c r="N63" s="70">
        <f>M63/E63</f>
        <v>1.199883756316531E-3</v>
      </c>
      <c r="O63" s="67" t="s">
        <v>16</v>
      </c>
    </row>
    <row r="64" spans="1:15" x14ac:dyDescent="0.3">
      <c r="A64" s="76" t="s">
        <v>76</v>
      </c>
      <c r="B64" s="67" t="s">
        <v>15</v>
      </c>
      <c r="C64" s="67" t="s">
        <v>21</v>
      </c>
      <c r="D64" s="68">
        <v>44944</v>
      </c>
      <c r="E64" s="69">
        <v>13312</v>
      </c>
      <c r="F64" s="70">
        <f t="shared" ref="F64" si="30">(E64-G64)/E64</f>
        <v>0.99939903846153844</v>
      </c>
      <c r="G64" s="69">
        <v>8</v>
      </c>
      <c r="H64" s="69">
        <v>4857</v>
      </c>
      <c r="I64" s="70">
        <f t="shared" ref="I64" si="31">H64/E64</f>
        <v>0.36485877403846156</v>
      </c>
      <c r="J64" s="69">
        <v>100</v>
      </c>
      <c r="K64" s="70">
        <f t="shared" ref="K64" si="32">J64/E64</f>
        <v>7.512019230769231E-3</v>
      </c>
      <c r="L64" s="70">
        <f t="shared" ref="L64" si="33">J64/H64</f>
        <v>2.0588840848260244E-2</v>
      </c>
      <c r="M64" s="69">
        <v>21</v>
      </c>
      <c r="N64" s="70">
        <f t="shared" ref="N64" si="34">M64/E64</f>
        <v>1.5775240384615385E-3</v>
      </c>
      <c r="O64" s="67" t="s">
        <v>21</v>
      </c>
    </row>
    <row r="65" spans="1:15" s="74" customFormat="1" x14ac:dyDescent="0.3">
      <c r="A65" s="76" t="s">
        <v>76</v>
      </c>
      <c r="B65" s="67" t="s">
        <v>79</v>
      </c>
      <c r="C65" s="67" t="s">
        <v>21</v>
      </c>
      <c r="D65" s="68">
        <v>44944</v>
      </c>
      <c r="E65" s="69">
        <v>12562</v>
      </c>
      <c r="F65" s="70">
        <f>(E65-G65)/E65</f>
        <v>0.99872631746537177</v>
      </c>
      <c r="G65" s="69">
        <v>16</v>
      </c>
      <c r="H65" s="69">
        <v>4407</v>
      </c>
      <c r="I65" s="70">
        <f>H65/E65</f>
        <v>0.35081993313166693</v>
      </c>
      <c r="J65" s="69">
        <v>124</v>
      </c>
      <c r="K65" s="70">
        <f>J65/E65</f>
        <v>9.871039643368891E-3</v>
      </c>
      <c r="L65" s="70">
        <f>J65/H65</f>
        <v>2.8137054685727251E-2</v>
      </c>
      <c r="M65" s="69">
        <v>42</v>
      </c>
      <c r="N65" s="70">
        <f>M65/E65</f>
        <v>3.3434166533991404E-3</v>
      </c>
      <c r="O65" s="67" t="s">
        <v>21</v>
      </c>
    </row>
    <row r="66" spans="1:15" s="74" customFormat="1" x14ac:dyDescent="0.3">
      <c r="A66" s="76" t="s">
        <v>77</v>
      </c>
      <c r="B66" s="67" t="s">
        <v>15</v>
      </c>
      <c r="C66" s="67" t="s">
        <v>21</v>
      </c>
      <c r="D66" s="68">
        <v>44944</v>
      </c>
      <c r="E66" s="69">
        <v>267738</v>
      </c>
      <c r="F66" s="70">
        <f t="shared" ref="F66:F67" si="35">(E66-G66)/E66</f>
        <v>0.998763716767885</v>
      </c>
      <c r="G66" s="69">
        <v>331</v>
      </c>
      <c r="H66" s="69">
        <v>128054</v>
      </c>
      <c r="I66" s="70">
        <f t="shared" ref="I66:I67" si="36">H66/E66</f>
        <v>0.47828100605816132</v>
      </c>
      <c r="J66" s="69">
        <v>2534</v>
      </c>
      <c r="K66" s="70">
        <f t="shared" ref="K66:K67" si="37">J66/E66</f>
        <v>9.4644764657986543E-3</v>
      </c>
      <c r="L66" s="70">
        <f t="shared" ref="L66:L67" si="38">J66/H66</f>
        <v>1.9788526715291986E-2</v>
      </c>
      <c r="M66" s="69">
        <v>182</v>
      </c>
      <c r="N66" s="70">
        <f t="shared" ref="N66:N67" si="39">M66/E66</f>
        <v>6.7976902793029001E-4</v>
      </c>
      <c r="O66" s="67" t="s">
        <v>21</v>
      </c>
    </row>
    <row r="67" spans="1:15" s="74" customFormat="1" x14ac:dyDescent="0.3">
      <c r="A67" s="76" t="s">
        <v>77</v>
      </c>
      <c r="B67" s="67" t="s">
        <v>79</v>
      </c>
      <c r="C67" s="67" t="s">
        <v>21</v>
      </c>
      <c r="D67" s="68">
        <v>44944</v>
      </c>
      <c r="E67" s="69">
        <v>216958</v>
      </c>
      <c r="F67" s="70">
        <f t="shared" si="35"/>
        <v>0.99808257819485802</v>
      </c>
      <c r="G67" s="69">
        <v>416</v>
      </c>
      <c r="H67" s="69">
        <v>109518</v>
      </c>
      <c r="I67" s="70">
        <f t="shared" si="36"/>
        <v>0.50478894532582341</v>
      </c>
      <c r="J67" s="69">
        <v>2556</v>
      </c>
      <c r="K67" s="70">
        <f t="shared" si="37"/>
        <v>1.1781082052747537E-2</v>
      </c>
      <c r="L67" s="70">
        <f t="shared" si="38"/>
        <v>2.3338629266421957E-2</v>
      </c>
      <c r="M67" s="69">
        <v>504</v>
      </c>
      <c r="N67" s="70">
        <f t="shared" si="39"/>
        <v>2.3230302639220494E-3</v>
      </c>
      <c r="O67" s="67" t="s">
        <v>21</v>
      </c>
    </row>
    <row r="68" spans="1:15" x14ac:dyDescent="0.3">
      <c r="A68" s="76" t="s">
        <v>26</v>
      </c>
      <c r="B68" s="67"/>
      <c r="C68" s="67" t="s">
        <v>23</v>
      </c>
      <c r="D68" s="72">
        <v>44945</v>
      </c>
      <c r="E68" s="69">
        <v>1675</v>
      </c>
      <c r="F68" s="70">
        <f t="shared" si="25"/>
        <v>0.99880597014925376</v>
      </c>
      <c r="G68" s="69">
        <v>2</v>
      </c>
      <c r="H68" s="69">
        <v>575</v>
      </c>
      <c r="I68" s="70">
        <f t="shared" si="26"/>
        <v>0.34328358208955223</v>
      </c>
      <c r="J68" s="69">
        <v>20</v>
      </c>
      <c r="K68" s="70">
        <f t="shared" si="27"/>
        <v>1.1940298507462687E-2</v>
      </c>
      <c r="L68" s="70">
        <f t="shared" si="28"/>
        <v>3.4782608695652174E-2</v>
      </c>
      <c r="M68" s="69">
        <v>0</v>
      </c>
      <c r="N68" s="70">
        <f t="shared" si="29"/>
        <v>0</v>
      </c>
      <c r="O68" s="67" t="s">
        <v>23</v>
      </c>
    </row>
    <row r="69" spans="1:15" x14ac:dyDescent="0.3">
      <c r="A69" s="76" t="s">
        <v>73</v>
      </c>
      <c r="B69" s="67" t="s">
        <v>15</v>
      </c>
      <c r="C69" s="67" t="s">
        <v>16</v>
      </c>
      <c r="D69" s="72">
        <v>44945</v>
      </c>
      <c r="E69" s="69">
        <v>58305</v>
      </c>
      <c r="F69" s="70">
        <f t="shared" si="25"/>
        <v>0.99938255724208902</v>
      </c>
      <c r="G69" s="69">
        <v>36</v>
      </c>
      <c r="H69" s="69">
        <v>20830</v>
      </c>
      <c r="I69" s="70">
        <f t="shared" si="26"/>
        <v>0.35725924020238403</v>
      </c>
      <c r="J69" s="69">
        <v>405</v>
      </c>
      <c r="K69" s="70">
        <f t="shared" si="27"/>
        <v>6.9462310264985852E-3</v>
      </c>
      <c r="L69" s="70">
        <f t="shared" si="28"/>
        <v>1.9443110897743639E-2</v>
      </c>
      <c r="M69" s="69">
        <v>23</v>
      </c>
      <c r="N69" s="70">
        <f t="shared" si="29"/>
        <v>3.9447731755424062E-4</v>
      </c>
      <c r="O69" s="67" t="s">
        <v>101</v>
      </c>
    </row>
    <row r="70" spans="1:15" x14ac:dyDescent="0.3">
      <c r="A70" s="76" t="s">
        <v>74</v>
      </c>
      <c r="B70" s="67" t="s">
        <v>15</v>
      </c>
      <c r="C70" s="67" t="s">
        <v>16</v>
      </c>
      <c r="D70" s="72">
        <v>44945</v>
      </c>
      <c r="E70" s="69">
        <v>1048165</v>
      </c>
      <c r="F70" s="70">
        <f t="shared" si="25"/>
        <v>0.99827985097766092</v>
      </c>
      <c r="G70" s="69">
        <v>1803</v>
      </c>
      <c r="H70" s="69">
        <v>420124</v>
      </c>
      <c r="I70" s="70">
        <f t="shared" si="26"/>
        <v>0.40081857341162891</v>
      </c>
      <c r="J70" s="69">
        <v>5939</v>
      </c>
      <c r="K70" s="70">
        <f t="shared" si="27"/>
        <v>5.6660926476270433E-3</v>
      </c>
      <c r="L70" s="70">
        <f t="shared" si="28"/>
        <v>1.4136302615418305E-2</v>
      </c>
      <c r="M70" s="69">
        <v>513</v>
      </c>
      <c r="N70" s="70">
        <f t="shared" si="29"/>
        <v>4.8942676009979349E-4</v>
      </c>
      <c r="O70" s="67" t="s">
        <v>101</v>
      </c>
    </row>
    <row r="71" spans="1:15" x14ac:dyDescent="0.3">
      <c r="A71" s="76" t="s">
        <v>28</v>
      </c>
      <c r="B71" s="67" t="s">
        <v>18</v>
      </c>
      <c r="C71" s="67" t="s">
        <v>16</v>
      </c>
      <c r="D71" s="72">
        <v>44946</v>
      </c>
      <c r="E71" s="69">
        <v>198628</v>
      </c>
      <c r="F71" s="70">
        <f t="shared" si="25"/>
        <v>0.99706486497371971</v>
      </c>
      <c r="G71" s="69">
        <v>583</v>
      </c>
      <c r="H71" s="69">
        <v>68163</v>
      </c>
      <c r="I71" s="70">
        <f t="shared" si="26"/>
        <v>0.34316914030247497</v>
      </c>
      <c r="J71" s="69">
        <v>2069</v>
      </c>
      <c r="K71" s="70">
        <f t="shared" si="27"/>
        <v>1.0416456894294863E-2</v>
      </c>
      <c r="L71" s="70">
        <f t="shared" si="28"/>
        <v>3.0353710957557619E-2</v>
      </c>
      <c r="M71" s="69">
        <v>989</v>
      </c>
      <c r="N71" s="70">
        <f t="shared" si="29"/>
        <v>4.9791570171375636E-3</v>
      </c>
      <c r="O71" s="67" t="s">
        <v>16</v>
      </c>
    </row>
    <row r="72" spans="1:15" x14ac:dyDescent="0.3">
      <c r="A72" s="76" t="s">
        <v>28</v>
      </c>
      <c r="B72" s="67" t="s">
        <v>15</v>
      </c>
      <c r="C72" s="67" t="s">
        <v>16</v>
      </c>
      <c r="D72" s="72">
        <v>44946</v>
      </c>
      <c r="E72" s="69">
        <v>96804</v>
      </c>
      <c r="F72" s="70">
        <f t="shared" si="25"/>
        <v>0.99904962604851044</v>
      </c>
      <c r="G72" s="69">
        <v>92</v>
      </c>
      <c r="H72" s="69">
        <v>31041</v>
      </c>
      <c r="I72" s="70">
        <f t="shared" si="26"/>
        <v>0.32065823726292303</v>
      </c>
      <c r="J72" s="69">
        <v>747</v>
      </c>
      <c r="K72" s="70">
        <f t="shared" si="27"/>
        <v>7.7166232800297508E-3</v>
      </c>
      <c r="L72" s="70">
        <f t="shared" si="28"/>
        <v>2.4064946361264133E-2</v>
      </c>
      <c r="M72" s="69">
        <v>60</v>
      </c>
      <c r="N72" s="70">
        <f t="shared" si="29"/>
        <v>6.1980909879757031E-4</v>
      </c>
      <c r="O72" s="67" t="s">
        <v>16</v>
      </c>
    </row>
    <row r="73" spans="1:15" x14ac:dyDescent="0.3">
      <c r="A73" s="76" t="s">
        <v>22</v>
      </c>
      <c r="B73" s="67" t="s">
        <v>15</v>
      </c>
      <c r="C73" s="67" t="s">
        <v>16</v>
      </c>
      <c r="D73" s="72">
        <v>44946</v>
      </c>
      <c r="E73" s="69">
        <v>1657825</v>
      </c>
      <c r="F73" s="70">
        <f t="shared" si="25"/>
        <v>0.99766501289339948</v>
      </c>
      <c r="G73" s="69">
        <v>3871</v>
      </c>
      <c r="H73" s="69">
        <v>754373</v>
      </c>
      <c r="I73" s="70">
        <f t="shared" si="26"/>
        <v>0.455037775398489</v>
      </c>
      <c r="J73" s="69">
        <v>13840</v>
      </c>
      <c r="K73" s="70">
        <f t="shared" si="27"/>
        <v>8.3482876660684931E-3</v>
      </c>
      <c r="L73" s="70">
        <f t="shared" si="28"/>
        <v>1.8346361813055344E-2</v>
      </c>
      <c r="M73" s="69">
        <v>2343</v>
      </c>
      <c r="N73" s="70">
        <f t="shared" si="29"/>
        <v>1.4132975434680982E-3</v>
      </c>
      <c r="O73" s="67" t="s">
        <v>16</v>
      </c>
    </row>
    <row r="74" spans="1:15" x14ac:dyDescent="0.3">
      <c r="A74" s="76" t="s">
        <v>22</v>
      </c>
      <c r="B74" s="67" t="s">
        <v>18</v>
      </c>
      <c r="C74" s="67" t="s">
        <v>16</v>
      </c>
      <c r="D74" s="72">
        <v>44946</v>
      </c>
      <c r="E74" s="69">
        <v>2181188</v>
      </c>
      <c r="F74" s="70">
        <f t="shared" si="25"/>
        <v>0.99528330432773338</v>
      </c>
      <c r="G74" s="69">
        <v>10288</v>
      </c>
      <c r="H74" s="69">
        <v>789271</v>
      </c>
      <c r="I74" s="70">
        <f t="shared" si="26"/>
        <v>0.36185372375054325</v>
      </c>
      <c r="J74" s="69">
        <v>15872</v>
      </c>
      <c r="K74" s="70">
        <f t="shared" si="27"/>
        <v>7.2767684399510724E-3</v>
      </c>
      <c r="L74" s="70">
        <f t="shared" si="28"/>
        <v>2.0109696162661495E-2</v>
      </c>
      <c r="M74" s="69">
        <v>6565</v>
      </c>
      <c r="N74" s="70">
        <f t="shared" si="29"/>
        <v>3.0098276718925651E-3</v>
      </c>
      <c r="O74" s="67" t="s">
        <v>16</v>
      </c>
    </row>
    <row r="75" spans="1:15" x14ac:dyDescent="0.3">
      <c r="A75" s="76" t="s">
        <v>33</v>
      </c>
      <c r="B75" s="67" t="s">
        <v>18</v>
      </c>
      <c r="C75" s="67" t="s">
        <v>21</v>
      </c>
      <c r="D75" s="72">
        <v>44946</v>
      </c>
      <c r="E75" s="69">
        <v>251190</v>
      </c>
      <c r="F75" s="70">
        <f t="shared" si="25"/>
        <v>0.99849914407420681</v>
      </c>
      <c r="G75" s="69">
        <v>377</v>
      </c>
      <c r="H75" s="69">
        <v>116570</v>
      </c>
      <c r="I75" s="70">
        <f t="shared" si="26"/>
        <v>0.46407102193558658</v>
      </c>
      <c r="J75" s="69">
        <v>2464</v>
      </c>
      <c r="K75" s="70">
        <f t="shared" si="27"/>
        <v>9.8093076953700391E-3</v>
      </c>
      <c r="L75" s="70">
        <f t="shared" si="28"/>
        <v>2.1137513940121814E-2</v>
      </c>
      <c r="M75" s="69">
        <v>385</v>
      </c>
      <c r="N75" s="70">
        <f t="shared" si="29"/>
        <v>1.5327043274015685E-3</v>
      </c>
      <c r="O75" s="67" t="s">
        <v>21</v>
      </c>
    </row>
    <row r="76" spans="1:15" x14ac:dyDescent="0.3">
      <c r="A76" s="76" t="s">
        <v>19</v>
      </c>
      <c r="B76" s="67" t="s">
        <v>18</v>
      </c>
      <c r="C76" s="67" t="s">
        <v>21</v>
      </c>
      <c r="D76" s="72">
        <v>44946</v>
      </c>
      <c r="E76" s="69">
        <v>334231</v>
      </c>
      <c r="F76" s="70">
        <f t="shared" si="25"/>
        <v>0.99706789615565283</v>
      </c>
      <c r="G76" s="69">
        <v>980</v>
      </c>
      <c r="H76" s="69">
        <v>127214</v>
      </c>
      <c r="I76" s="70">
        <f t="shared" si="26"/>
        <v>0.3806169984232462</v>
      </c>
      <c r="J76" s="69">
        <v>3076</v>
      </c>
      <c r="K76" s="70">
        <f t="shared" si="27"/>
        <v>9.2032157400121477E-3</v>
      </c>
      <c r="L76" s="70">
        <f t="shared" si="28"/>
        <v>2.4179728646218184E-2</v>
      </c>
      <c r="M76" s="69">
        <v>473</v>
      </c>
      <c r="N76" s="70">
        <f t="shared" si="29"/>
        <v>1.4151888963022581E-3</v>
      </c>
      <c r="O76" s="67" t="s">
        <v>21</v>
      </c>
    </row>
    <row r="77" spans="1:15" x14ac:dyDescent="0.3">
      <c r="A77" s="76" t="s">
        <v>24</v>
      </c>
      <c r="B77" s="67" t="s">
        <v>18</v>
      </c>
      <c r="C77" s="67" t="s">
        <v>21</v>
      </c>
      <c r="D77" s="72">
        <v>44947</v>
      </c>
      <c r="E77" s="69">
        <v>15444</v>
      </c>
      <c r="F77" s="70">
        <f t="shared" si="25"/>
        <v>0.99909349909349909</v>
      </c>
      <c r="G77" s="69">
        <v>14</v>
      </c>
      <c r="H77" s="69">
        <v>5022</v>
      </c>
      <c r="I77" s="70">
        <f t="shared" si="26"/>
        <v>0.32517482517482516</v>
      </c>
      <c r="J77" s="69">
        <v>173</v>
      </c>
      <c r="K77" s="70">
        <f t="shared" si="27"/>
        <v>1.1201761201761203E-2</v>
      </c>
      <c r="L77" s="70">
        <f t="shared" si="28"/>
        <v>3.4448426921545199E-2</v>
      </c>
      <c r="M77" s="69">
        <v>17</v>
      </c>
      <c r="N77" s="70">
        <f t="shared" si="29"/>
        <v>1.1007511007511007E-3</v>
      </c>
      <c r="O77" s="67" t="s">
        <v>21</v>
      </c>
    </row>
    <row r="78" spans="1:15" x14ac:dyDescent="0.3">
      <c r="A78" s="76" t="s">
        <v>75</v>
      </c>
      <c r="B78" s="67" t="s">
        <v>15</v>
      </c>
      <c r="C78" s="67" t="s">
        <v>16</v>
      </c>
      <c r="D78" s="72">
        <v>44947</v>
      </c>
      <c r="E78" s="69">
        <v>28459</v>
      </c>
      <c r="F78" s="70">
        <f t="shared" si="25"/>
        <v>0.99943778769457814</v>
      </c>
      <c r="G78" s="69">
        <v>16</v>
      </c>
      <c r="H78" s="69">
        <v>8736</v>
      </c>
      <c r="I78" s="70">
        <f t="shared" si="26"/>
        <v>0.30696791876032187</v>
      </c>
      <c r="J78" s="69">
        <v>256</v>
      </c>
      <c r="K78" s="70">
        <f t="shared" si="27"/>
        <v>8.995396886749359E-3</v>
      </c>
      <c r="L78" s="70">
        <f t="shared" si="28"/>
        <v>2.9304029304029304E-2</v>
      </c>
      <c r="M78" s="69">
        <v>13</v>
      </c>
      <c r="N78" s="70">
        <f t="shared" si="29"/>
        <v>4.5679749815524085E-4</v>
      </c>
      <c r="O78" s="67" t="s">
        <v>16</v>
      </c>
    </row>
    <row r="79" spans="1:15" x14ac:dyDescent="0.3">
      <c r="A79" s="76" t="s">
        <v>78</v>
      </c>
      <c r="B79" s="67" t="s">
        <v>15</v>
      </c>
      <c r="C79" s="67" t="s">
        <v>16</v>
      </c>
      <c r="D79" s="72">
        <v>44947</v>
      </c>
      <c r="E79" s="69">
        <v>394270</v>
      </c>
      <c r="F79" s="70">
        <f t="shared" si="25"/>
        <v>0.99824485758490378</v>
      </c>
      <c r="G79" s="69">
        <v>692</v>
      </c>
      <c r="H79" s="69">
        <v>139694</v>
      </c>
      <c r="I79" s="70">
        <f t="shared" si="26"/>
        <v>0.35431049788216196</v>
      </c>
      <c r="J79" s="69">
        <v>3402</v>
      </c>
      <c r="K79" s="70">
        <f t="shared" si="27"/>
        <v>8.6286047632333166E-3</v>
      </c>
      <c r="L79" s="70">
        <f t="shared" si="28"/>
        <v>2.435322920096783E-2</v>
      </c>
      <c r="M79" s="69">
        <v>293</v>
      </c>
      <c r="N79" s="70">
        <f t="shared" si="29"/>
        <v>7.4314556014913634E-4</v>
      </c>
      <c r="O79" s="67" t="s">
        <v>16</v>
      </c>
    </row>
    <row r="80" spans="1:15" x14ac:dyDescent="0.3">
      <c r="A80" s="76" t="s">
        <v>84</v>
      </c>
      <c r="B80" s="67" t="s">
        <v>18</v>
      </c>
      <c r="C80" s="67" t="s">
        <v>16</v>
      </c>
      <c r="D80" s="72">
        <v>44950</v>
      </c>
      <c r="E80" s="69">
        <v>35988</v>
      </c>
      <c r="F80" s="70">
        <f t="shared" ref="F80:F112" si="40">(E80-G80)/E80</f>
        <v>0.99930532399688787</v>
      </c>
      <c r="G80" s="69">
        <v>25</v>
      </c>
      <c r="H80" s="69">
        <v>29052</v>
      </c>
      <c r="I80" s="70">
        <f t="shared" ref="I80:I112" si="41">H80/E80</f>
        <v>0.80726908969656552</v>
      </c>
      <c r="J80" s="69">
        <v>625</v>
      </c>
      <c r="K80" s="70">
        <f t="shared" ref="K80:K112" si="42">J80/E80</f>
        <v>1.7366900077803712E-2</v>
      </c>
      <c r="L80" s="70">
        <f t="shared" ref="L80:L112" si="43">J80/H80</f>
        <v>2.1513148836568911E-2</v>
      </c>
      <c r="M80" s="69">
        <v>80</v>
      </c>
      <c r="N80" s="70">
        <f t="shared" ref="N80:N112" si="44">M80/E80</f>
        <v>2.222963209958875E-3</v>
      </c>
      <c r="O80" s="67" t="s">
        <v>16</v>
      </c>
    </row>
    <row r="81" spans="1:15" x14ac:dyDescent="0.3">
      <c r="A81" s="76" t="s">
        <v>84</v>
      </c>
      <c r="B81" s="67" t="s">
        <v>15</v>
      </c>
      <c r="C81" s="67" t="s">
        <v>16</v>
      </c>
      <c r="D81" s="72">
        <v>44950</v>
      </c>
      <c r="E81" s="69">
        <v>76737</v>
      </c>
      <c r="F81" s="70">
        <f t="shared" si="40"/>
        <v>0.99951783363957414</v>
      </c>
      <c r="G81" s="69">
        <v>37</v>
      </c>
      <c r="H81" s="69">
        <v>61198</v>
      </c>
      <c r="I81" s="70">
        <f t="shared" si="41"/>
        <v>0.79750316014438927</v>
      </c>
      <c r="J81" s="69">
        <v>1318</v>
      </c>
      <c r="K81" s="70">
        <f t="shared" si="42"/>
        <v>1.717554764976478E-2</v>
      </c>
      <c r="L81" s="70">
        <f t="shared" si="43"/>
        <v>2.1536651524559625E-2</v>
      </c>
      <c r="M81" s="69">
        <v>109</v>
      </c>
      <c r="N81" s="70">
        <f t="shared" si="44"/>
        <v>1.4204360347681039E-3</v>
      </c>
      <c r="O81" s="67" t="s">
        <v>16</v>
      </c>
    </row>
    <row r="82" spans="1:15" x14ac:dyDescent="0.3">
      <c r="A82" s="76" t="s">
        <v>85</v>
      </c>
      <c r="B82" s="67" t="s">
        <v>18</v>
      </c>
      <c r="C82" s="67" t="s">
        <v>16</v>
      </c>
      <c r="D82" s="72">
        <v>44950</v>
      </c>
      <c r="E82" s="69">
        <v>1563</v>
      </c>
      <c r="F82" s="70">
        <f t="shared" si="40"/>
        <v>0.99936020473448495</v>
      </c>
      <c r="G82" s="69">
        <v>1</v>
      </c>
      <c r="H82" s="69">
        <v>756</v>
      </c>
      <c r="I82" s="70">
        <f t="shared" si="41"/>
        <v>0.48368522072936659</v>
      </c>
      <c r="J82" s="69">
        <v>112</v>
      </c>
      <c r="K82" s="70">
        <f t="shared" si="42"/>
        <v>7.1657069737683945E-2</v>
      </c>
      <c r="L82" s="70">
        <f t="shared" si="43"/>
        <v>0.14814814814814814</v>
      </c>
      <c r="M82" s="69">
        <v>1</v>
      </c>
      <c r="N82" s="70">
        <f t="shared" si="44"/>
        <v>6.3979526551503517E-4</v>
      </c>
      <c r="O82" s="67" t="s">
        <v>16</v>
      </c>
    </row>
    <row r="83" spans="1:15" x14ac:dyDescent="0.3">
      <c r="A83" s="76" t="s">
        <v>85</v>
      </c>
      <c r="B83" s="67" t="s">
        <v>15</v>
      </c>
      <c r="C83" s="67" t="s">
        <v>16</v>
      </c>
      <c r="D83" s="72">
        <v>44950</v>
      </c>
      <c r="E83" s="69">
        <v>2161</v>
      </c>
      <c r="F83" s="70">
        <f t="shared" si="40"/>
        <v>0.99814900509023596</v>
      </c>
      <c r="G83" s="69">
        <v>4</v>
      </c>
      <c r="H83" s="69">
        <v>1375</v>
      </c>
      <c r="I83" s="70">
        <f t="shared" si="41"/>
        <v>0.63627950023137436</v>
      </c>
      <c r="J83" s="69">
        <v>209</v>
      </c>
      <c r="K83" s="70">
        <f t="shared" si="42"/>
        <v>9.6714484035168899E-2</v>
      </c>
      <c r="L83" s="70">
        <f t="shared" si="43"/>
        <v>0.152</v>
      </c>
      <c r="M83" s="69">
        <v>3</v>
      </c>
      <c r="N83" s="70">
        <f t="shared" si="44"/>
        <v>1.3882461823229986E-3</v>
      </c>
      <c r="O83" s="67" t="s">
        <v>16</v>
      </c>
    </row>
    <row r="84" spans="1:15" x14ac:dyDescent="0.3">
      <c r="A84" s="76" t="s">
        <v>29</v>
      </c>
      <c r="B84" s="67" t="s">
        <v>15</v>
      </c>
      <c r="C84" s="67" t="s">
        <v>16</v>
      </c>
      <c r="D84" s="72">
        <v>44950</v>
      </c>
      <c r="E84" s="69">
        <v>22739</v>
      </c>
      <c r="F84" s="70">
        <f t="shared" si="40"/>
        <v>0.99925238576894326</v>
      </c>
      <c r="G84" s="69">
        <v>17</v>
      </c>
      <c r="H84" s="69">
        <v>8196</v>
      </c>
      <c r="I84" s="70">
        <f t="shared" si="41"/>
        <v>0.36043801398478387</v>
      </c>
      <c r="J84" s="69">
        <v>352</v>
      </c>
      <c r="K84" s="70">
        <f t="shared" si="42"/>
        <v>1.5480012313646159E-2</v>
      </c>
      <c r="L84" s="70">
        <f t="shared" si="43"/>
        <v>4.2947779404587605E-2</v>
      </c>
      <c r="M84" s="69">
        <v>8</v>
      </c>
      <c r="N84" s="70">
        <f t="shared" si="44"/>
        <v>3.5181846167377636E-4</v>
      </c>
      <c r="O84" s="67" t="s">
        <v>16</v>
      </c>
    </row>
    <row r="85" spans="1:15" x14ac:dyDescent="0.3">
      <c r="A85" s="76" t="s">
        <v>29</v>
      </c>
      <c r="B85" s="67" t="s">
        <v>18</v>
      </c>
      <c r="C85" s="67" t="s">
        <v>16</v>
      </c>
      <c r="D85" s="72">
        <v>44950</v>
      </c>
      <c r="E85" s="69">
        <v>25135</v>
      </c>
      <c r="F85" s="70">
        <f t="shared" si="40"/>
        <v>0.99900537099661824</v>
      </c>
      <c r="G85" s="69">
        <v>25</v>
      </c>
      <c r="H85" s="69">
        <v>9658</v>
      </c>
      <c r="I85" s="70">
        <f t="shared" si="41"/>
        <v>0.38424507658643325</v>
      </c>
      <c r="J85" s="69">
        <v>331</v>
      </c>
      <c r="K85" s="70">
        <f t="shared" si="42"/>
        <v>1.3168888004774219E-2</v>
      </c>
      <c r="L85" s="70">
        <f t="shared" si="43"/>
        <v>3.4272106026092361E-2</v>
      </c>
      <c r="M85" s="69">
        <v>66</v>
      </c>
      <c r="N85" s="70">
        <f t="shared" si="44"/>
        <v>2.6258205689277899E-3</v>
      </c>
      <c r="O85" s="67" t="s">
        <v>16</v>
      </c>
    </row>
    <row r="86" spans="1:15" x14ac:dyDescent="0.3">
      <c r="A86" s="76" t="s">
        <v>17</v>
      </c>
      <c r="B86" s="67" t="s">
        <v>15</v>
      </c>
      <c r="C86" s="67" t="s">
        <v>16</v>
      </c>
      <c r="D86" s="72">
        <v>44950</v>
      </c>
      <c r="E86" s="69">
        <v>209346</v>
      </c>
      <c r="F86" s="70">
        <f t="shared" si="40"/>
        <v>0.99794598416019409</v>
      </c>
      <c r="G86" s="69">
        <v>430</v>
      </c>
      <c r="H86" s="69">
        <v>96776</v>
      </c>
      <c r="I86" s="70">
        <f t="shared" si="41"/>
        <v>0.46227776026291401</v>
      </c>
      <c r="J86" s="69">
        <v>3125</v>
      </c>
      <c r="K86" s="70">
        <f t="shared" si="42"/>
        <v>1.4927440696263602E-2</v>
      </c>
      <c r="L86" s="70">
        <f t="shared" si="43"/>
        <v>3.2291063900140533E-2</v>
      </c>
      <c r="M86" s="69">
        <v>151</v>
      </c>
      <c r="N86" s="70">
        <f t="shared" si="44"/>
        <v>7.212939344434572E-4</v>
      </c>
      <c r="O86" s="67" t="s">
        <v>16</v>
      </c>
    </row>
    <row r="87" spans="1:15" x14ac:dyDescent="0.3">
      <c r="A87" s="76" t="s">
        <v>17</v>
      </c>
      <c r="B87" s="67" t="s">
        <v>18</v>
      </c>
      <c r="C87" s="67" t="s">
        <v>16</v>
      </c>
      <c r="D87" s="72">
        <v>44950</v>
      </c>
      <c r="E87" s="69">
        <v>419454</v>
      </c>
      <c r="F87" s="70">
        <f t="shared" si="40"/>
        <v>0.99802362118372934</v>
      </c>
      <c r="G87" s="69">
        <v>829</v>
      </c>
      <c r="H87" s="69">
        <v>210787</v>
      </c>
      <c r="I87" s="70">
        <f t="shared" si="41"/>
        <v>0.50252709474698065</v>
      </c>
      <c r="J87" s="69">
        <v>5194</v>
      </c>
      <c r="K87" s="70">
        <f t="shared" si="42"/>
        <v>1.2382764260204933E-2</v>
      </c>
      <c r="L87" s="70">
        <f t="shared" si="43"/>
        <v>2.4640988296242179E-2</v>
      </c>
      <c r="M87" s="69">
        <v>912</v>
      </c>
      <c r="N87" s="70">
        <f t="shared" si="44"/>
        <v>2.1742551030625528E-3</v>
      </c>
      <c r="O87" s="67" t="s">
        <v>16</v>
      </c>
    </row>
    <row r="88" spans="1:15" x14ac:dyDescent="0.3">
      <c r="A88" s="76" t="s">
        <v>86</v>
      </c>
      <c r="B88" s="67"/>
      <c r="C88" s="67" t="s">
        <v>98</v>
      </c>
      <c r="D88" s="72">
        <v>44950</v>
      </c>
      <c r="E88" s="69">
        <v>100</v>
      </c>
      <c r="F88" s="70">
        <f t="shared" si="40"/>
        <v>0.95</v>
      </c>
      <c r="G88" s="69">
        <v>5</v>
      </c>
      <c r="H88" s="69">
        <v>29</v>
      </c>
      <c r="I88" s="70">
        <f t="shared" si="41"/>
        <v>0.28999999999999998</v>
      </c>
      <c r="J88" s="69">
        <v>2</v>
      </c>
      <c r="K88" s="70">
        <f t="shared" si="42"/>
        <v>0.02</v>
      </c>
      <c r="L88" s="70">
        <f t="shared" si="43"/>
        <v>6.8965517241379309E-2</v>
      </c>
      <c r="M88" s="69">
        <v>0</v>
      </c>
      <c r="N88" s="70">
        <f t="shared" si="44"/>
        <v>0</v>
      </c>
      <c r="O88" s="67" t="s">
        <v>98</v>
      </c>
    </row>
    <row r="89" spans="1:15" x14ac:dyDescent="0.3">
      <c r="A89" s="76" t="s">
        <v>96</v>
      </c>
      <c r="B89" s="67" t="s">
        <v>18</v>
      </c>
      <c r="C89" s="67" t="s">
        <v>16</v>
      </c>
      <c r="D89" s="72">
        <v>44951</v>
      </c>
      <c r="E89" s="69">
        <v>22295</v>
      </c>
      <c r="F89" s="70">
        <f t="shared" si="40"/>
        <v>0.99860955371159454</v>
      </c>
      <c r="G89" s="69">
        <v>31</v>
      </c>
      <c r="H89" s="69">
        <v>12223</v>
      </c>
      <c r="I89" s="70">
        <f t="shared" si="41"/>
        <v>0.54823951558645434</v>
      </c>
      <c r="J89" s="69">
        <v>232</v>
      </c>
      <c r="K89" s="70">
        <f t="shared" si="42"/>
        <v>1.0405920610002242E-2</v>
      </c>
      <c r="L89" s="70">
        <f t="shared" si="43"/>
        <v>1.8980610324797514E-2</v>
      </c>
      <c r="M89" s="69">
        <v>106</v>
      </c>
      <c r="N89" s="70">
        <f t="shared" si="44"/>
        <v>4.7544292442251628E-3</v>
      </c>
      <c r="O89" s="67" t="s">
        <v>16</v>
      </c>
    </row>
    <row r="90" spans="1:15" x14ac:dyDescent="0.3">
      <c r="A90" s="76" t="s">
        <v>96</v>
      </c>
      <c r="B90" s="67" t="s">
        <v>15</v>
      </c>
      <c r="C90" s="67" t="s">
        <v>16</v>
      </c>
      <c r="D90" s="72">
        <v>44951</v>
      </c>
      <c r="E90" s="69">
        <v>44707</v>
      </c>
      <c r="F90" s="70">
        <f t="shared" si="40"/>
        <v>0.99821057105151323</v>
      </c>
      <c r="G90" s="69">
        <v>80</v>
      </c>
      <c r="H90" s="69">
        <v>22793</v>
      </c>
      <c r="I90" s="70">
        <f t="shared" si="41"/>
        <v>0.50983067528574944</v>
      </c>
      <c r="J90" s="69">
        <v>285</v>
      </c>
      <c r="K90" s="70">
        <f t="shared" si="42"/>
        <v>6.3748406289842758E-3</v>
      </c>
      <c r="L90" s="70">
        <f t="shared" si="43"/>
        <v>1.2503838897907252E-2</v>
      </c>
      <c r="M90" s="69">
        <v>69</v>
      </c>
      <c r="N90" s="70">
        <f t="shared" si="44"/>
        <v>1.5433824680698772E-3</v>
      </c>
      <c r="O90" s="67" t="s">
        <v>16</v>
      </c>
    </row>
    <row r="91" spans="1:15" x14ac:dyDescent="0.3">
      <c r="A91" s="76" t="s">
        <v>97</v>
      </c>
      <c r="B91" s="67" t="s">
        <v>18</v>
      </c>
      <c r="C91" s="67" t="s">
        <v>16</v>
      </c>
      <c r="D91" s="72">
        <v>44951</v>
      </c>
      <c r="E91" s="69">
        <v>27803</v>
      </c>
      <c r="F91" s="70">
        <f t="shared" si="40"/>
        <v>0.99838146962557994</v>
      </c>
      <c r="G91" s="69">
        <v>45</v>
      </c>
      <c r="H91" s="69">
        <v>16120</v>
      </c>
      <c r="I91" s="70">
        <f t="shared" si="41"/>
        <v>0.57979354745890732</v>
      </c>
      <c r="J91" s="69">
        <v>701</v>
      </c>
      <c r="K91" s="70">
        <f t="shared" si="42"/>
        <v>2.5213106499298636E-2</v>
      </c>
      <c r="L91" s="70">
        <f t="shared" si="43"/>
        <v>4.3486352357320096E-2</v>
      </c>
      <c r="M91" s="69">
        <v>86</v>
      </c>
      <c r="N91" s="70">
        <f t="shared" si="44"/>
        <v>3.0931913822249395E-3</v>
      </c>
      <c r="O91" s="67" t="s">
        <v>16</v>
      </c>
    </row>
    <row r="92" spans="1:15" x14ac:dyDescent="0.3">
      <c r="A92" s="76" t="s">
        <v>97</v>
      </c>
      <c r="B92" s="67" t="s">
        <v>15</v>
      </c>
      <c r="C92" s="67" t="s">
        <v>16</v>
      </c>
      <c r="D92" s="72">
        <v>44951</v>
      </c>
      <c r="E92" s="69">
        <v>17557</v>
      </c>
      <c r="F92" s="70">
        <f t="shared" si="40"/>
        <v>0.99908868257674999</v>
      </c>
      <c r="G92" s="69">
        <v>16</v>
      </c>
      <c r="H92" s="69">
        <v>8887</v>
      </c>
      <c r="I92" s="70">
        <f t="shared" si="41"/>
        <v>0.50617987127641395</v>
      </c>
      <c r="J92" s="69">
        <v>312</v>
      </c>
      <c r="K92" s="70">
        <f t="shared" si="42"/>
        <v>1.7770689753374723E-2</v>
      </c>
      <c r="L92" s="70">
        <f t="shared" si="43"/>
        <v>3.5107460335321257E-2</v>
      </c>
      <c r="M92" s="69">
        <v>20</v>
      </c>
      <c r="N92" s="70">
        <f t="shared" si="44"/>
        <v>1.1391467790624822E-3</v>
      </c>
      <c r="O92" s="67" t="s">
        <v>16</v>
      </c>
    </row>
    <row r="93" spans="1:15" x14ac:dyDescent="0.3">
      <c r="A93" s="76" t="s">
        <v>88</v>
      </c>
      <c r="B93" s="67" t="s">
        <v>18</v>
      </c>
      <c r="C93" s="67" t="s">
        <v>16</v>
      </c>
      <c r="D93" s="72">
        <v>44951</v>
      </c>
      <c r="E93" s="69">
        <v>30260</v>
      </c>
      <c r="F93" s="70">
        <f t="shared" si="40"/>
        <v>0.99881031064111037</v>
      </c>
      <c r="G93" s="69">
        <v>36</v>
      </c>
      <c r="H93" s="69">
        <v>12987</v>
      </c>
      <c r="I93" s="70">
        <f t="shared" si="41"/>
        <v>0.42918043621943158</v>
      </c>
      <c r="J93" s="69">
        <v>254</v>
      </c>
      <c r="K93" s="70">
        <f t="shared" si="42"/>
        <v>8.3939193654990092E-3</v>
      </c>
      <c r="L93" s="70">
        <f t="shared" si="43"/>
        <v>1.9558019558019557E-2</v>
      </c>
      <c r="M93" s="69">
        <v>157</v>
      </c>
      <c r="N93" s="70">
        <f t="shared" si="44"/>
        <v>5.1883674818241901E-3</v>
      </c>
      <c r="O93" s="67" t="s">
        <v>16</v>
      </c>
    </row>
    <row r="94" spans="1:15" x14ac:dyDescent="0.3">
      <c r="A94" s="76" t="s">
        <v>88</v>
      </c>
      <c r="B94" s="67" t="s">
        <v>15</v>
      </c>
      <c r="C94" s="67" t="s">
        <v>16</v>
      </c>
      <c r="D94" s="72">
        <v>44951</v>
      </c>
      <c r="E94" s="69">
        <v>39440</v>
      </c>
      <c r="F94" s="70">
        <f t="shared" si="40"/>
        <v>0.99931541582150096</v>
      </c>
      <c r="G94" s="69">
        <v>27</v>
      </c>
      <c r="H94" s="69">
        <v>14623</v>
      </c>
      <c r="I94" s="70">
        <f t="shared" si="41"/>
        <v>0.3707657200811359</v>
      </c>
      <c r="J94" s="69">
        <v>190</v>
      </c>
      <c r="K94" s="70">
        <f t="shared" si="42"/>
        <v>4.8174442190669371E-3</v>
      </c>
      <c r="L94" s="70">
        <f t="shared" si="43"/>
        <v>1.2993229843397387E-2</v>
      </c>
      <c r="M94" s="69">
        <v>22</v>
      </c>
      <c r="N94" s="70">
        <f t="shared" si="44"/>
        <v>5.5780933062880324E-4</v>
      </c>
      <c r="O94" s="67" t="s">
        <v>16</v>
      </c>
    </row>
    <row r="95" spans="1:15" x14ac:dyDescent="0.3">
      <c r="A95" s="76" t="s">
        <v>89</v>
      </c>
      <c r="B95" s="67" t="s">
        <v>18</v>
      </c>
      <c r="C95" s="67" t="s">
        <v>16</v>
      </c>
      <c r="D95" s="72">
        <v>44951</v>
      </c>
      <c r="E95" s="69">
        <v>363896</v>
      </c>
      <c r="F95" s="70">
        <f t="shared" si="40"/>
        <v>0.99766691582210298</v>
      </c>
      <c r="G95" s="69">
        <v>849</v>
      </c>
      <c r="H95" s="69">
        <v>168347</v>
      </c>
      <c r="I95" s="70">
        <f t="shared" si="41"/>
        <v>0.46262393650933231</v>
      </c>
      <c r="J95" s="69">
        <v>2721</v>
      </c>
      <c r="K95" s="70">
        <f t="shared" si="42"/>
        <v>7.4774111284542834E-3</v>
      </c>
      <c r="L95" s="70">
        <f t="shared" si="43"/>
        <v>1.6163044188491626E-2</v>
      </c>
      <c r="M95" s="69">
        <v>1513</v>
      </c>
      <c r="N95" s="70">
        <f t="shared" si="44"/>
        <v>4.1577813441202984E-3</v>
      </c>
      <c r="O95" s="67" t="s">
        <v>16</v>
      </c>
    </row>
    <row r="96" spans="1:15" x14ac:dyDescent="0.3">
      <c r="A96" s="76" t="s">
        <v>89</v>
      </c>
      <c r="B96" s="67" t="s">
        <v>15</v>
      </c>
      <c r="C96" s="67" t="s">
        <v>16</v>
      </c>
      <c r="D96" s="72">
        <v>44951</v>
      </c>
      <c r="E96" s="69">
        <v>484846</v>
      </c>
      <c r="F96" s="70">
        <f t="shared" si="40"/>
        <v>0.99849230477306194</v>
      </c>
      <c r="G96" s="69">
        <v>731</v>
      </c>
      <c r="H96" s="69">
        <v>223677</v>
      </c>
      <c r="I96" s="70">
        <f t="shared" si="41"/>
        <v>0.46133617684790634</v>
      </c>
      <c r="J96" s="69">
        <v>2356</v>
      </c>
      <c r="K96" s="70">
        <f t="shared" si="42"/>
        <v>4.8592749037838822E-3</v>
      </c>
      <c r="L96" s="70">
        <f t="shared" si="43"/>
        <v>1.053304541816995E-2</v>
      </c>
      <c r="M96" s="69">
        <v>438</v>
      </c>
      <c r="N96" s="70">
        <f t="shared" si="44"/>
        <v>9.0337962982060284E-4</v>
      </c>
      <c r="O96" s="67" t="s">
        <v>16</v>
      </c>
    </row>
    <row r="97" spans="1:15" x14ac:dyDescent="0.3">
      <c r="A97" s="76" t="s">
        <v>90</v>
      </c>
      <c r="B97" s="67" t="s">
        <v>15</v>
      </c>
      <c r="C97" s="67" t="s">
        <v>16</v>
      </c>
      <c r="D97" s="72">
        <v>44952</v>
      </c>
      <c r="E97" s="69">
        <v>90560</v>
      </c>
      <c r="F97" s="70">
        <f t="shared" si="40"/>
        <v>0.99833259717314493</v>
      </c>
      <c r="G97" s="69">
        <v>151</v>
      </c>
      <c r="H97" s="69">
        <v>35653</v>
      </c>
      <c r="I97" s="70">
        <f t="shared" si="41"/>
        <v>0.39369478798586571</v>
      </c>
      <c r="J97" s="69">
        <v>589</v>
      </c>
      <c r="K97" s="70">
        <f t="shared" si="42"/>
        <v>6.5039752650176679E-3</v>
      </c>
      <c r="L97" s="70">
        <f t="shared" si="43"/>
        <v>1.6520348918744567E-2</v>
      </c>
      <c r="M97" s="69">
        <v>97</v>
      </c>
      <c r="N97" s="70">
        <f t="shared" si="44"/>
        <v>1.0711130742049469E-3</v>
      </c>
      <c r="O97" s="67" t="s">
        <v>16</v>
      </c>
    </row>
    <row r="98" spans="1:15" x14ac:dyDescent="0.3">
      <c r="A98" s="76" t="s">
        <v>26</v>
      </c>
      <c r="B98" s="67"/>
      <c r="C98" s="67" t="s">
        <v>23</v>
      </c>
      <c r="D98" s="72">
        <v>44952</v>
      </c>
      <c r="E98" s="69">
        <v>1672</v>
      </c>
      <c r="F98" s="70">
        <f t="shared" si="40"/>
        <v>0.99880382775119614</v>
      </c>
      <c r="G98" s="69">
        <v>2</v>
      </c>
      <c r="H98" s="69">
        <v>585</v>
      </c>
      <c r="I98" s="70">
        <f t="shared" si="41"/>
        <v>0.34988038277511962</v>
      </c>
      <c r="J98" s="69">
        <v>20</v>
      </c>
      <c r="K98" s="70">
        <f t="shared" si="42"/>
        <v>1.1961722488038277E-2</v>
      </c>
      <c r="L98" s="70">
        <f t="shared" si="43"/>
        <v>3.4188034188034191E-2</v>
      </c>
      <c r="M98" s="69">
        <v>1</v>
      </c>
      <c r="N98" s="70">
        <f t="shared" si="44"/>
        <v>5.9808612440191385E-4</v>
      </c>
      <c r="O98" s="67" t="s">
        <v>23</v>
      </c>
    </row>
    <row r="99" spans="1:15" x14ac:dyDescent="0.3">
      <c r="A99" s="76" t="s">
        <v>91</v>
      </c>
      <c r="B99" s="67" t="s">
        <v>18</v>
      </c>
      <c r="C99" s="67" t="s">
        <v>16</v>
      </c>
      <c r="D99" s="72">
        <v>44952</v>
      </c>
      <c r="E99" s="69">
        <v>15373</v>
      </c>
      <c r="F99" s="70">
        <f t="shared" si="40"/>
        <v>0.99746308462889477</v>
      </c>
      <c r="G99" s="69">
        <v>39</v>
      </c>
      <c r="H99" s="69">
        <v>6352</v>
      </c>
      <c r="I99" s="70">
        <f t="shared" si="41"/>
        <v>0.41319195992974694</v>
      </c>
      <c r="J99" s="69">
        <v>162</v>
      </c>
      <c r="K99" s="70">
        <f t="shared" si="42"/>
        <v>1.0537956156898459E-2</v>
      </c>
      <c r="L99" s="70">
        <f t="shared" si="43"/>
        <v>2.5503778337531487E-2</v>
      </c>
      <c r="M99" s="69">
        <v>14</v>
      </c>
      <c r="N99" s="70">
        <f t="shared" si="44"/>
        <v>9.1068756911468157E-4</v>
      </c>
      <c r="O99" s="67" t="s">
        <v>16</v>
      </c>
    </row>
    <row r="100" spans="1:15" x14ac:dyDescent="0.3">
      <c r="A100" s="76" t="s">
        <v>91</v>
      </c>
      <c r="B100" s="67" t="s">
        <v>15</v>
      </c>
      <c r="C100" s="67" t="s">
        <v>16</v>
      </c>
      <c r="D100" s="72">
        <v>44952</v>
      </c>
      <c r="E100" s="69">
        <v>57135</v>
      </c>
      <c r="F100" s="70">
        <f t="shared" si="40"/>
        <v>0.99865231469327032</v>
      </c>
      <c r="G100" s="69">
        <v>77</v>
      </c>
      <c r="H100" s="69">
        <v>21142</v>
      </c>
      <c r="I100" s="70">
        <f t="shared" si="41"/>
        <v>0.37003587993349085</v>
      </c>
      <c r="J100" s="69">
        <v>427</v>
      </c>
      <c r="K100" s="70">
        <f t="shared" si="42"/>
        <v>7.4735276100463812E-3</v>
      </c>
      <c r="L100" s="70">
        <f t="shared" si="43"/>
        <v>2.0196764733705422E-2</v>
      </c>
      <c r="M100" s="69">
        <v>27</v>
      </c>
      <c r="N100" s="70">
        <f t="shared" si="44"/>
        <v>4.7256497768443159E-4</v>
      </c>
      <c r="O100" s="67" t="s">
        <v>16</v>
      </c>
    </row>
    <row r="101" spans="1:15" x14ac:dyDescent="0.3">
      <c r="A101" s="76" t="s">
        <v>92</v>
      </c>
      <c r="B101" s="67" t="s">
        <v>18</v>
      </c>
      <c r="C101" s="67" t="s">
        <v>16</v>
      </c>
      <c r="D101" s="72">
        <v>44952</v>
      </c>
      <c r="E101" s="69">
        <v>953</v>
      </c>
      <c r="F101" s="70">
        <f t="shared" si="40"/>
        <v>0.99895068205666315</v>
      </c>
      <c r="G101" s="69">
        <v>1</v>
      </c>
      <c r="H101" s="69">
        <v>389</v>
      </c>
      <c r="I101" s="70">
        <f t="shared" si="41"/>
        <v>0.40818467995802726</v>
      </c>
      <c r="J101" s="69">
        <v>11</v>
      </c>
      <c r="K101" s="70">
        <f t="shared" si="42"/>
        <v>1.1542497376705142E-2</v>
      </c>
      <c r="L101" s="70">
        <f t="shared" si="43"/>
        <v>2.8277634961439587E-2</v>
      </c>
      <c r="M101" s="69">
        <v>1</v>
      </c>
      <c r="N101" s="70">
        <f t="shared" si="44"/>
        <v>1.0493179433368311E-3</v>
      </c>
      <c r="O101" s="67" t="s">
        <v>16</v>
      </c>
    </row>
    <row r="102" spans="1:15" x14ac:dyDescent="0.3">
      <c r="A102" s="76" t="s">
        <v>92</v>
      </c>
      <c r="B102" s="67" t="s">
        <v>15</v>
      </c>
      <c r="C102" s="67" t="s">
        <v>16</v>
      </c>
      <c r="D102" s="72">
        <v>44952</v>
      </c>
      <c r="E102" s="69">
        <v>3483</v>
      </c>
      <c r="F102" s="70">
        <f t="shared" si="40"/>
        <v>0.99971289118575946</v>
      </c>
      <c r="G102" s="69">
        <v>1</v>
      </c>
      <c r="H102" s="69">
        <v>1244</v>
      </c>
      <c r="I102" s="70">
        <f t="shared" si="41"/>
        <v>0.35716336491530287</v>
      </c>
      <c r="J102" s="69">
        <v>51</v>
      </c>
      <c r="K102" s="70">
        <f t="shared" si="42"/>
        <v>1.4642549526270457E-2</v>
      </c>
      <c r="L102" s="70">
        <f t="shared" si="43"/>
        <v>4.0996784565916398E-2</v>
      </c>
      <c r="M102" s="69">
        <v>1</v>
      </c>
      <c r="N102" s="70">
        <f t="shared" si="44"/>
        <v>2.871088142405972E-4</v>
      </c>
      <c r="O102" s="67" t="s">
        <v>16</v>
      </c>
    </row>
    <row r="103" spans="1:15" x14ac:dyDescent="0.3">
      <c r="A103" s="76" t="s">
        <v>93</v>
      </c>
      <c r="B103" s="67" t="s">
        <v>18</v>
      </c>
      <c r="C103" s="67" t="s">
        <v>16</v>
      </c>
      <c r="D103" s="72">
        <v>44952</v>
      </c>
      <c r="E103" s="69">
        <v>2517285</v>
      </c>
      <c r="F103" s="70">
        <f t="shared" si="40"/>
        <v>0.99691572467956546</v>
      </c>
      <c r="G103" s="69">
        <v>7764</v>
      </c>
      <c r="H103" s="69">
        <v>965859</v>
      </c>
      <c r="I103" s="70">
        <f t="shared" si="41"/>
        <v>0.3836907620710408</v>
      </c>
      <c r="J103" s="69">
        <v>17823</v>
      </c>
      <c r="K103" s="70">
        <f t="shared" si="42"/>
        <v>7.0802471710592957E-3</v>
      </c>
      <c r="L103" s="70">
        <f t="shared" si="43"/>
        <v>1.8453004009902067E-2</v>
      </c>
      <c r="M103" s="69">
        <v>10534</v>
      </c>
      <c r="N103" s="70">
        <f t="shared" si="44"/>
        <v>4.1846672109038113E-3</v>
      </c>
      <c r="O103" s="67" t="s">
        <v>16</v>
      </c>
    </row>
    <row r="104" spans="1:15" x14ac:dyDescent="0.3">
      <c r="A104" s="76" t="s">
        <v>93</v>
      </c>
      <c r="B104" s="67" t="s">
        <v>15</v>
      </c>
      <c r="C104" s="67" t="s">
        <v>16</v>
      </c>
      <c r="D104" s="72">
        <v>44952</v>
      </c>
      <c r="E104" s="69">
        <v>2119055</v>
      </c>
      <c r="F104" s="70">
        <f t="shared" si="40"/>
        <v>0.9976437610161133</v>
      </c>
      <c r="G104" s="69">
        <v>4993</v>
      </c>
      <c r="H104" s="69">
        <v>828565</v>
      </c>
      <c r="I104" s="70">
        <f t="shared" si="41"/>
        <v>0.39100684031325283</v>
      </c>
      <c r="J104" s="69">
        <v>13761</v>
      </c>
      <c r="K104" s="70">
        <f t="shared" si="42"/>
        <v>6.4939324368645454E-3</v>
      </c>
      <c r="L104" s="70">
        <f t="shared" si="43"/>
        <v>1.6608232305250645E-2</v>
      </c>
      <c r="M104" s="69">
        <v>2467</v>
      </c>
      <c r="N104" s="70">
        <f t="shared" si="44"/>
        <v>1.1641981921186567E-3</v>
      </c>
      <c r="O104" s="67" t="s">
        <v>16</v>
      </c>
    </row>
    <row r="105" spans="1:15" x14ac:dyDescent="0.3">
      <c r="A105" s="76" t="s">
        <v>94</v>
      </c>
      <c r="B105" s="67" t="s">
        <v>18</v>
      </c>
      <c r="C105" s="67" t="s">
        <v>16</v>
      </c>
      <c r="D105" s="72">
        <v>44952</v>
      </c>
      <c r="E105" s="69">
        <v>237916</v>
      </c>
      <c r="F105" s="70">
        <f t="shared" si="40"/>
        <v>0.99833554699978144</v>
      </c>
      <c r="G105" s="69">
        <v>396</v>
      </c>
      <c r="H105" s="69">
        <v>85937</v>
      </c>
      <c r="I105" s="70">
        <f t="shared" si="41"/>
        <v>0.36120731686813834</v>
      </c>
      <c r="J105" s="69">
        <v>2037</v>
      </c>
      <c r="K105" s="70">
        <f t="shared" si="42"/>
        <v>8.5618453571848895E-3</v>
      </c>
      <c r="L105" s="70">
        <f t="shared" si="43"/>
        <v>2.3703410638025529E-2</v>
      </c>
      <c r="M105" s="69">
        <v>1577</v>
      </c>
      <c r="N105" s="70">
        <f t="shared" si="44"/>
        <v>6.628389851880496E-3</v>
      </c>
      <c r="O105" s="67" t="s">
        <v>16</v>
      </c>
    </row>
    <row r="106" spans="1:15" x14ac:dyDescent="0.3">
      <c r="A106" s="76" t="s">
        <v>94</v>
      </c>
      <c r="B106" s="67" t="s">
        <v>15</v>
      </c>
      <c r="C106" s="67" t="s">
        <v>16</v>
      </c>
      <c r="D106" s="72">
        <v>44952</v>
      </c>
      <c r="E106" s="69">
        <v>121175</v>
      </c>
      <c r="F106" s="70">
        <f t="shared" si="40"/>
        <v>0.99914998968434088</v>
      </c>
      <c r="G106" s="69">
        <v>103</v>
      </c>
      <c r="H106" s="69">
        <v>41912</v>
      </c>
      <c r="I106" s="70">
        <f t="shared" si="41"/>
        <v>0.34587992572725396</v>
      </c>
      <c r="J106" s="69">
        <v>594</v>
      </c>
      <c r="K106" s="70">
        <f t="shared" si="42"/>
        <v>4.9020012378791005E-3</v>
      </c>
      <c r="L106" s="70">
        <f t="shared" si="43"/>
        <v>1.4172552013743081E-2</v>
      </c>
      <c r="M106" s="69">
        <v>71</v>
      </c>
      <c r="N106" s="70">
        <f t="shared" si="44"/>
        <v>5.8592944089127293E-4</v>
      </c>
      <c r="O106" s="67" t="s">
        <v>16</v>
      </c>
    </row>
    <row r="107" spans="1:15" x14ac:dyDescent="0.3">
      <c r="A107" s="76" t="s">
        <v>95</v>
      </c>
      <c r="B107" s="67" t="s">
        <v>15</v>
      </c>
      <c r="C107" s="67" t="s">
        <v>27</v>
      </c>
      <c r="D107" s="72">
        <v>44952</v>
      </c>
      <c r="E107" s="69">
        <v>242854</v>
      </c>
      <c r="F107" s="70">
        <f t="shared" si="40"/>
        <v>0.99771467630757571</v>
      </c>
      <c r="G107" s="69">
        <v>555</v>
      </c>
      <c r="H107" s="69">
        <v>91924</v>
      </c>
      <c r="I107" s="70">
        <f t="shared" si="41"/>
        <v>0.37851548667100399</v>
      </c>
      <c r="J107" s="69">
        <v>0</v>
      </c>
      <c r="K107" s="70">
        <f t="shared" si="42"/>
        <v>0</v>
      </c>
      <c r="L107" s="70">
        <f t="shared" si="43"/>
        <v>0</v>
      </c>
      <c r="M107" s="69">
        <v>200</v>
      </c>
      <c r="N107" s="70">
        <f t="shared" si="44"/>
        <v>8.2354006934207385E-4</v>
      </c>
      <c r="O107" s="67" t="s">
        <v>27</v>
      </c>
    </row>
    <row r="108" spans="1:15" x14ac:dyDescent="0.3">
      <c r="A108" s="76" t="s">
        <v>28</v>
      </c>
      <c r="B108" s="67" t="s">
        <v>18</v>
      </c>
      <c r="C108" s="67" t="s">
        <v>16</v>
      </c>
      <c r="D108" s="72">
        <v>44953</v>
      </c>
      <c r="E108" s="69">
        <v>198423</v>
      </c>
      <c r="F108" s="70">
        <f t="shared" si="40"/>
        <v>0.99889629730424401</v>
      </c>
      <c r="G108" s="69">
        <v>219</v>
      </c>
      <c r="H108" s="69">
        <v>67539</v>
      </c>
      <c r="I108" s="70">
        <f t="shared" si="41"/>
        <v>0.34037888752815953</v>
      </c>
      <c r="J108" s="69">
        <v>2066</v>
      </c>
      <c r="K108" s="70">
        <f t="shared" si="42"/>
        <v>1.0412099403798955E-2</v>
      </c>
      <c r="L108" s="70">
        <f t="shared" si="43"/>
        <v>3.0589733339255836E-2</v>
      </c>
      <c r="M108" s="69">
        <v>1215</v>
      </c>
      <c r="N108" s="70">
        <f t="shared" si="44"/>
        <v>6.1232820791944486E-3</v>
      </c>
      <c r="O108" s="67" t="s">
        <v>16</v>
      </c>
    </row>
    <row r="109" spans="1:15" x14ac:dyDescent="0.3">
      <c r="A109" s="76" t="s">
        <v>28</v>
      </c>
      <c r="B109" s="67" t="s">
        <v>15</v>
      </c>
      <c r="C109" s="67" t="s">
        <v>16</v>
      </c>
      <c r="D109" s="72">
        <v>44953</v>
      </c>
      <c r="E109" s="69">
        <v>97005</v>
      </c>
      <c r="F109" s="70">
        <f t="shared" si="40"/>
        <v>0.99915468274831198</v>
      </c>
      <c r="G109" s="69">
        <v>82</v>
      </c>
      <c r="H109" s="69">
        <v>31269</v>
      </c>
      <c r="I109" s="70">
        <f t="shared" si="41"/>
        <v>0.32234420906138861</v>
      </c>
      <c r="J109" s="69">
        <v>689</v>
      </c>
      <c r="K109" s="70">
        <f t="shared" si="42"/>
        <v>7.1027266635740422E-3</v>
      </c>
      <c r="L109" s="70">
        <f t="shared" si="43"/>
        <v>2.2034602961399471E-2</v>
      </c>
      <c r="M109" s="69">
        <v>58</v>
      </c>
      <c r="N109" s="70">
        <f t="shared" si="44"/>
        <v>5.9790732436472351E-4</v>
      </c>
      <c r="O109" s="67" t="s">
        <v>16</v>
      </c>
    </row>
    <row r="110" spans="1:15" x14ac:dyDescent="0.3">
      <c r="A110" s="76" t="s">
        <v>22</v>
      </c>
      <c r="B110" s="67" t="s">
        <v>18</v>
      </c>
      <c r="C110" s="67" t="s">
        <v>16</v>
      </c>
      <c r="D110" s="72">
        <v>44953</v>
      </c>
      <c r="E110" s="69">
        <v>2178172</v>
      </c>
      <c r="F110" s="70">
        <f t="shared" si="40"/>
        <v>0.998045149786151</v>
      </c>
      <c r="G110" s="69">
        <v>4258</v>
      </c>
      <c r="H110" s="69">
        <v>782787</v>
      </c>
      <c r="I110" s="70">
        <f t="shared" si="41"/>
        <v>0.35937795545989942</v>
      </c>
      <c r="J110" s="69">
        <v>15959</v>
      </c>
      <c r="K110" s="70">
        <f t="shared" si="42"/>
        <v>7.3267859471152878E-3</v>
      </c>
      <c r="L110" s="70">
        <f t="shared" si="43"/>
        <v>2.0387410623835093E-2</v>
      </c>
      <c r="M110" s="69">
        <v>7995</v>
      </c>
      <c r="N110" s="70">
        <f t="shared" si="44"/>
        <v>3.670509032344553E-3</v>
      </c>
      <c r="O110" s="67" t="s">
        <v>16</v>
      </c>
    </row>
    <row r="111" spans="1:15" x14ac:dyDescent="0.3">
      <c r="A111" s="76" t="s">
        <v>22</v>
      </c>
      <c r="B111" s="67" t="s">
        <v>15</v>
      </c>
      <c r="C111" s="67" t="s">
        <v>16</v>
      </c>
      <c r="D111" s="72">
        <v>44953</v>
      </c>
      <c r="E111" s="69">
        <v>1671088</v>
      </c>
      <c r="F111" s="70">
        <f t="shared" si="40"/>
        <v>0.99787743075170188</v>
      </c>
      <c r="G111" s="69">
        <v>3547</v>
      </c>
      <c r="H111" s="69">
        <v>595762</v>
      </c>
      <c r="I111" s="70">
        <f t="shared" si="41"/>
        <v>0.35651144643489752</v>
      </c>
      <c r="J111" s="69">
        <v>8334</v>
      </c>
      <c r="K111" s="70">
        <f t="shared" si="42"/>
        <v>4.987170035330276E-3</v>
      </c>
      <c r="L111" s="70">
        <f t="shared" si="43"/>
        <v>1.3988807611093021E-2</v>
      </c>
      <c r="M111" s="69">
        <v>2431</v>
      </c>
      <c r="N111" s="70">
        <f t="shared" si="44"/>
        <v>1.4547408634374732E-3</v>
      </c>
      <c r="O111" s="67" t="s">
        <v>16</v>
      </c>
    </row>
    <row r="112" spans="1:15" x14ac:dyDescent="0.3">
      <c r="A112" s="76" t="s">
        <v>19</v>
      </c>
      <c r="B112" s="67" t="s">
        <v>18</v>
      </c>
      <c r="C112" s="67" t="s">
        <v>21</v>
      </c>
      <c r="D112" s="72">
        <v>44953</v>
      </c>
      <c r="E112" s="69">
        <v>334048</v>
      </c>
      <c r="F112" s="70">
        <f t="shared" si="40"/>
        <v>0.99770092920777853</v>
      </c>
      <c r="G112" s="69">
        <v>768</v>
      </c>
      <c r="H112" s="69">
        <v>122888</v>
      </c>
      <c r="I112" s="70">
        <f t="shared" si="41"/>
        <v>0.36787527540952197</v>
      </c>
      <c r="J112" s="69">
        <v>3571</v>
      </c>
      <c r="K112" s="70">
        <f t="shared" si="42"/>
        <v>1.0690080467477728E-2</v>
      </c>
      <c r="L112" s="70">
        <f t="shared" si="43"/>
        <v>2.9058980535121411E-2</v>
      </c>
      <c r="M112" s="69">
        <v>581</v>
      </c>
      <c r="N112" s="70">
        <f t="shared" si="44"/>
        <v>1.7392710029696331E-3</v>
      </c>
      <c r="O112" s="67" t="s">
        <v>21</v>
      </c>
    </row>
    <row r="113" spans="1:15" x14ac:dyDescent="0.3">
      <c r="A113" s="76" t="s">
        <v>33</v>
      </c>
      <c r="B113" s="67" t="s">
        <v>18</v>
      </c>
      <c r="C113" s="67" t="s">
        <v>21</v>
      </c>
      <c r="D113" s="72">
        <v>44953</v>
      </c>
      <c r="E113" s="69">
        <v>250619</v>
      </c>
      <c r="F113" s="70">
        <f t="shared" ref="F113" si="45">(E113-G113)/E113</f>
        <v>0.99901444024595099</v>
      </c>
      <c r="G113" s="69">
        <v>247</v>
      </c>
      <c r="H113" s="69">
        <v>114442</v>
      </c>
      <c r="I113" s="70">
        <f t="shared" ref="I113" si="46">H113/E113</f>
        <v>0.45663736588207599</v>
      </c>
      <c r="J113" s="69">
        <v>3246</v>
      </c>
      <c r="K113" s="70">
        <f t="shared" ref="K113" si="47">J113/E113</f>
        <v>1.2951931018797458E-2</v>
      </c>
      <c r="L113" s="70">
        <f t="shared" ref="L113" si="48">J113/H113</f>
        <v>2.8363712622988063E-2</v>
      </c>
      <c r="M113" s="69">
        <v>438</v>
      </c>
      <c r="N113" s="70">
        <f t="shared" ref="N113" si="49">M113/E113</f>
        <v>1.747672762240692E-3</v>
      </c>
      <c r="O113" s="67" t="s">
        <v>21</v>
      </c>
    </row>
    <row r="114" spans="1:15" x14ac:dyDescent="0.3">
      <c r="A114" s="76" t="s">
        <v>29</v>
      </c>
      <c r="B114" s="67" t="s">
        <v>18</v>
      </c>
      <c r="C114" s="67" t="s">
        <v>16</v>
      </c>
      <c r="D114" s="68">
        <v>44957</v>
      </c>
      <c r="E114" s="69">
        <v>25183</v>
      </c>
      <c r="F114" s="70">
        <f t="shared" ref="F114:F153" si="50">(E114-G114)/E114</f>
        <v>0.99908668546241508</v>
      </c>
      <c r="G114" s="69">
        <v>23</v>
      </c>
      <c r="H114" s="69">
        <v>9403</v>
      </c>
      <c r="I114" s="70">
        <f t="shared" ref="I114:I153" si="51">H114/E114</f>
        <v>0.37338680856133105</v>
      </c>
      <c r="J114" s="69">
        <v>221</v>
      </c>
      <c r="K114" s="70">
        <f t="shared" ref="K114:K153" si="52">J114/E114</f>
        <v>8.7757614263590522E-3</v>
      </c>
      <c r="L114" s="70">
        <f t="shared" ref="L114:L153" si="53">J114/H114</f>
        <v>2.3503137296607465E-2</v>
      </c>
      <c r="M114" s="69">
        <v>56</v>
      </c>
      <c r="N114" s="70">
        <f t="shared" ref="N114:N153" si="54">M114/E114</f>
        <v>2.2237223523805744E-3</v>
      </c>
      <c r="O114" s="67" t="s">
        <v>16</v>
      </c>
    </row>
    <row r="115" spans="1:15" x14ac:dyDescent="0.3">
      <c r="A115" s="76" t="s">
        <v>29</v>
      </c>
      <c r="B115" s="67" t="s">
        <v>15</v>
      </c>
      <c r="C115" s="67" t="s">
        <v>16</v>
      </c>
      <c r="D115" s="68">
        <v>44957</v>
      </c>
      <c r="E115" s="69">
        <v>22796</v>
      </c>
      <c r="F115" s="70">
        <f t="shared" si="50"/>
        <v>0.99938585716792416</v>
      </c>
      <c r="G115" s="69">
        <v>14</v>
      </c>
      <c r="H115" s="69">
        <v>8007</v>
      </c>
      <c r="I115" s="70">
        <f t="shared" si="51"/>
        <v>0.35124583260221093</v>
      </c>
      <c r="J115" s="69">
        <v>248</v>
      </c>
      <c r="K115" s="70">
        <f t="shared" si="52"/>
        <v>1.0879101596771364E-2</v>
      </c>
      <c r="L115" s="70">
        <f t="shared" si="53"/>
        <v>3.0972898713625577E-2</v>
      </c>
      <c r="M115" s="69">
        <v>9</v>
      </c>
      <c r="N115" s="70">
        <f t="shared" si="54"/>
        <v>3.9480610633444465E-4</v>
      </c>
      <c r="O115" s="67" t="s">
        <v>16</v>
      </c>
    </row>
    <row r="116" spans="1:15" x14ac:dyDescent="0.3">
      <c r="A116" s="76" t="s">
        <v>17</v>
      </c>
      <c r="B116" s="67" t="s">
        <v>18</v>
      </c>
      <c r="C116" s="67" t="s">
        <v>16</v>
      </c>
      <c r="D116" s="68">
        <v>44957</v>
      </c>
      <c r="E116" s="69">
        <v>421318</v>
      </c>
      <c r="F116" s="70">
        <f t="shared" si="50"/>
        <v>0.99821749842161978</v>
      </c>
      <c r="G116" s="69">
        <v>751</v>
      </c>
      <c r="H116" s="69">
        <v>163380</v>
      </c>
      <c r="I116" s="70">
        <f t="shared" si="51"/>
        <v>0.38778309970141317</v>
      </c>
      <c r="J116" s="69">
        <v>2326</v>
      </c>
      <c r="K116" s="70">
        <f t="shared" si="52"/>
        <v>5.520770534370713E-3</v>
      </c>
      <c r="L116" s="70">
        <f t="shared" si="53"/>
        <v>1.4236748684049455E-2</v>
      </c>
      <c r="M116" s="69">
        <v>595</v>
      </c>
      <c r="N116" s="70">
        <f t="shared" si="54"/>
        <v>1.4122349389297396E-3</v>
      </c>
      <c r="O116" s="67" t="s">
        <v>16</v>
      </c>
    </row>
    <row r="117" spans="1:15" x14ac:dyDescent="0.3">
      <c r="A117" s="76" t="s">
        <v>17</v>
      </c>
      <c r="B117" s="67" t="s">
        <v>15</v>
      </c>
      <c r="C117" s="67" t="s">
        <v>16</v>
      </c>
      <c r="D117" s="68">
        <v>44957</v>
      </c>
      <c r="E117" s="69">
        <v>210778</v>
      </c>
      <c r="F117" s="70">
        <f t="shared" si="50"/>
        <v>0.99817817798821507</v>
      </c>
      <c r="G117" s="69">
        <v>384</v>
      </c>
      <c r="H117" s="69">
        <v>80412</v>
      </c>
      <c r="I117" s="70">
        <f t="shared" si="51"/>
        <v>0.38150091565533406</v>
      </c>
      <c r="J117" s="69">
        <v>1824</v>
      </c>
      <c r="K117" s="70">
        <f t="shared" si="52"/>
        <v>8.6536545559783278E-3</v>
      </c>
      <c r="L117" s="70">
        <f t="shared" si="53"/>
        <v>2.2683181614684376E-2</v>
      </c>
      <c r="M117" s="69">
        <v>148</v>
      </c>
      <c r="N117" s="70">
        <f t="shared" si="54"/>
        <v>7.0216056704210117E-4</v>
      </c>
      <c r="O117" s="67" t="s">
        <v>16</v>
      </c>
    </row>
    <row r="118" spans="1:15" x14ac:dyDescent="0.3">
      <c r="A118" s="76" t="s">
        <v>103</v>
      </c>
      <c r="B118" s="67" t="s">
        <v>18</v>
      </c>
      <c r="C118" s="67" t="s">
        <v>16</v>
      </c>
      <c r="D118" s="68">
        <v>44957</v>
      </c>
      <c r="E118" s="69">
        <v>110822</v>
      </c>
      <c r="F118" s="70">
        <f t="shared" si="50"/>
        <v>0.99822237461875796</v>
      </c>
      <c r="G118" s="69">
        <v>197</v>
      </c>
      <c r="H118" s="69">
        <v>56329</v>
      </c>
      <c r="I118" s="70">
        <f t="shared" si="51"/>
        <v>0.50828355380700585</v>
      </c>
      <c r="J118" s="69">
        <v>847</v>
      </c>
      <c r="K118" s="70">
        <f t="shared" si="52"/>
        <v>7.6428867914313039E-3</v>
      </c>
      <c r="L118" s="70">
        <f t="shared" si="53"/>
        <v>1.5036659624704858E-2</v>
      </c>
      <c r="M118" s="69">
        <v>241</v>
      </c>
      <c r="N118" s="70">
        <f t="shared" si="54"/>
        <v>2.1746584613163453E-3</v>
      </c>
      <c r="O118" s="67" t="s">
        <v>16</v>
      </c>
    </row>
    <row r="119" spans="1:15" x14ac:dyDescent="0.3">
      <c r="A119" s="76" t="s">
        <v>103</v>
      </c>
      <c r="B119" s="67" t="s">
        <v>15</v>
      </c>
      <c r="C119" s="67" t="s">
        <v>16</v>
      </c>
      <c r="D119" s="68">
        <v>44957</v>
      </c>
      <c r="E119" s="69">
        <v>328837</v>
      </c>
      <c r="F119" s="70">
        <f t="shared" si="50"/>
        <v>0.9984794898384306</v>
      </c>
      <c r="G119" s="69">
        <v>500</v>
      </c>
      <c r="H119" s="69">
        <v>150121</v>
      </c>
      <c r="I119" s="70">
        <f t="shared" si="51"/>
        <v>0.45652101192992273</v>
      </c>
      <c r="J119" s="69">
        <v>2210</v>
      </c>
      <c r="K119" s="70">
        <f t="shared" si="52"/>
        <v>6.720654914136791E-3</v>
      </c>
      <c r="L119" s="70">
        <f t="shared" si="53"/>
        <v>1.4721458023860752E-2</v>
      </c>
      <c r="M119" s="69">
        <v>199</v>
      </c>
      <c r="N119" s="70">
        <f t="shared" si="54"/>
        <v>6.0516304430462511E-4</v>
      </c>
      <c r="O119" s="67" t="s">
        <v>16</v>
      </c>
    </row>
    <row r="120" spans="1:15" x14ac:dyDescent="0.3">
      <c r="A120" s="76" t="s">
        <v>115</v>
      </c>
      <c r="B120" s="67" t="s">
        <v>15</v>
      </c>
      <c r="C120" s="67" t="s">
        <v>27</v>
      </c>
      <c r="D120" s="68">
        <v>44958</v>
      </c>
      <c r="E120" s="69">
        <v>12388</v>
      </c>
      <c r="F120" s="70">
        <f t="shared" si="50"/>
        <v>0.99846625766871167</v>
      </c>
      <c r="G120" s="69">
        <v>19</v>
      </c>
      <c r="H120" s="69">
        <v>5083</v>
      </c>
      <c r="I120" s="70">
        <f t="shared" si="51"/>
        <v>0.41031643525992895</v>
      </c>
      <c r="J120" s="69">
        <v>242</v>
      </c>
      <c r="K120" s="70">
        <f t="shared" si="52"/>
        <v>1.9535033903777848E-2</v>
      </c>
      <c r="L120" s="70">
        <f t="shared" si="53"/>
        <v>4.7609679323234309E-2</v>
      </c>
      <c r="M120" s="69">
        <v>40</v>
      </c>
      <c r="N120" s="70">
        <f t="shared" si="54"/>
        <v>3.2289312237649337E-3</v>
      </c>
      <c r="O120" s="67" t="s">
        <v>27</v>
      </c>
    </row>
    <row r="121" spans="1:15" x14ac:dyDescent="0.3">
      <c r="A121" s="76" t="s">
        <v>116</v>
      </c>
      <c r="B121" s="67" t="s">
        <v>15</v>
      </c>
      <c r="C121" s="67" t="s">
        <v>27</v>
      </c>
      <c r="D121" s="68">
        <v>44958</v>
      </c>
      <c r="E121" s="69">
        <v>11340</v>
      </c>
      <c r="F121" s="70">
        <f t="shared" si="50"/>
        <v>0.99664902998236327</v>
      </c>
      <c r="G121" s="69">
        <v>38</v>
      </c>
      <c r="H121" s="69">
        <v>4543</v>
      </c>
      <c r="I121" s="70">
        <f t="shared" si="51"/>
        <v>0.4006172839506173</v>
      </c>
      <c r="J121" s="69">
        <v>127</v>
      </c>
      <c r="K121" s="70">
        <f t="shared" si="52"/>
        <v>1.1199294532627866E-2</v>
      </c>
      <c r="L121" s="70">
        <f t="shared" si="53"/>
        <v>2.7955095751705922E-2</v>
      </c>
      <c r="M121" s="69">
        <v>34</v>
      </c>
      <c r="N121" s="70">
        <f t="shared" si="54"/>
        <v>2.998236331569665E-3</v>
      </c>
      <c r="O121" s="67" t="s">
        <v>27</v>
      </c>
    </row>
    <row r="122" spans="1:15" x14ac:dyDescent="0.3">
      <c r="A122" s="76" t="s">
        <v>117</v>
      </c>
      <c r="B122" s="67" t="s">
        <v>15</v>
      </c>
      <c r="C122" s="67" t="s">
        <v>27</v>
      </c>
      <c r="D122" s="68">
        <v>44958</v>
      </c>
      <c r="E122" s="69">
        <v>10568</v>
      </c>
      <c r="F122" s="70">
        <f t="shared" si="50"/>
        <v>0.99678274034822101</v>
      </c>
      <c r="G122" s="69">
        <v>34</v>
      </c>
      <c r="H122" s="69">
        <v>4086</v>
      </c>
      <c r="I122" s="70">
        <f t="shared" si="51"/>
        <v>0.38663890991672972</v>
      </c>
      <c r="J122" s="69">
        <v>217</v>
      </c>
      <c r="K122" s="70">
        <f t="shared" si="52"/>
        <v>2.0533686601059802E-2</v>
      </c>
      <c r="L122" s="70">
        <f t="shared" si="53"/>
        <v>5.3108174253548704E-2</v>
      </c>
      <c r="M122" s="69">
        <v>59</v>
      </c>
      <c r="N122" s="70">
        <f t="shared" si="54"/>
        <v>5.5828917486752463E-3</v>
      </c>
      <c r="O122" s="67" t="s">
        <v>27</v>
      </c>
    </row>
    <row r="123" spans="1:15" x14ac:dyDescent="0.3">
      <c r="A123" s="76" t="s">
        <v>118</v>
      </c>
      <c r="B123" s="67" t="s">
        <v>15</v>
      </c>
      <c r="C123" s="67" t="s">
        <v>27</v>
      </c>
      <c r="D123" s="68">
        <v>44958</v>
      </c>
      <c r="E123" s="69">
        <v>270045</v>
      </c>
      <c r="F123" s="70">
        <f t="shared" si="50"/>
        <v>0.9974226517802588</v>
      </c>
      <c r="G123" s="69">
        <v>696</v>
      </c>
      <c r="H123" s="69">
        <v>89399</v>
      </c>
      <c r="I123" s="70">
        <f t="shared" si="51"/>
        <v>0.33105223203540152</v>
      </c>
      <c r="J123" s="69">
        <v>2571</v>
      </c>
      <c r="K123" s="70">
        <f t="shared" si="52"/>
        <v>9.5206354496472807E-3</v>
      </c>
      <c r="L123" s="70">
        <f t="shared" si="53"/>
        <v>2.875871094754975E-2</v>
      </c>
      <c r="M123" s="69">
        <v>1879</v>
      </c>
      <c r="N123" s="70">
        <f t="shared" si="54"/>
        <v>6.958099575996593E-3</v>
      </c>
      <c r="O123" s="67" t="s">
        <v>27</v>
      </c>
    </row>
    <row r="124" spans="1:15" x14ac:dyDescent="0.3">
      <c r="A124" s="76" t="s">
        <v>104</v>
      </c>
      <c r="B124" s="67" t="s">
        <v>15</v>
      </c>
      <c r="C124" s="67" t="s">
        <v>101</v>
      </c>
      <c r="D124" s="68">
        <v>44958</v>
      </c>
      <c r="E124" s="69">
        <v>118612</v>
      </c>
      <c r="F124" s="70">
        <f t="shared" si="50"/>
        <v>0.99920750008430848</v>
      </c>
      <c r="G124" s="69">
        <v>94</v>
      </c>
      <c r="H124" s="69">
        <v>41444</v>
      </c>
      <c r="I124" s="70">
        <f t="shared" si="51"/>
        <v>0.34940815431828148</v>
      </c>
      <c r="J124" s="69">
        <v>3187</v>
      </c>
      <c r="K124" s="70">
        <f t="shared" si="52"/>
        <v>2.6869119482008565E-2</v>
      </c>
      <c r="L124" s="70">
        <f t="shared" si="53"/>
        <v>7.6898947977994403E-2</v>
      </c>
      <c r="M124" s="69">
        <v>67</v>
      </c>
      <c r="N124" s="70">
        <f t="shared" si="54"/>
        <v>5.6486696118436585E-4</v>
      </c>
      <c r="O124" s="67" t="s">
        <v>101</v>
      </c>
    </row>
    <row r="125" spans="1:15" x14ac:dyDescent="0.3">
      <c r="A125" s="76" t="s">
        <v>104</v>
      </c>
      <c r="B125" s="67" t="s">
        <v>18</v>
      </c>
      <c r="C125" s="67" t="s">
        <v>101</v>
      </c>
      <c r="D125" s="68">
        <v>44958</v>
      </c>
      <c r="E125" s="69">
        <v>225370</v>
      </c>
      <c r="F125" s="70">
        <f t="shared" si="50"/>
        <v>0.99866441851178067</v>
      </c>
      <c r="G125" s="69">
        <v>301</v>
      </c>
      <c r="H125" s="69">
        <v>78840</v>
      </c>
      <c r="I125" s="70">
        <f t="shared" si="51"/>
        <v>0.34982473266184494</v>
      </c>
      <c r="J125" s="69">
        <v>2842</v>
      </c>
      <c r="K125" s="70">
        <f t="shared" si="52"/>
        <v>1.2610374051559658E-2</v>
      </c>
      <c r="L125" s="70">
        <f t="shared" si="53"/>
        <v>3.6047691527143579E-2</v>
      </c>
      <c r="M125" s="69">
        <v>1119</v>
      </c>
      <c r="N125" s="70">
        <f t="shared" si="54"/>
        <v>4.9651683897590625E-3</v>
      </c>
      <c r="O125" s="67" t="s">
        <v>101</v>
      </c>
    </row>
    <row r="126" spans="1:15" x14ac:dyDescent="0.3">
      <c r="A126" s="76" t="s">
        <v>105</v>
      </c>
      <c r="B126" s="67" t="s">
        <v>15</v>
      </c>
      <c r="C126" s="67" t="s">
        <v>101</v>
      </c>
      <c r="D126" s="68">
        <v>44958</v>
      </c>
      <c r="E126" s="69">
        <v>2084287</v>
      </c>
      <c r="F126" s="70">
        <f t="shared" si="50"/>
        <v>0.99772823992089377</v>
      </c>
      <c r="G126" s="69">
        <v>4735</v>
      </c>
      <c r="H126" s="69">
        <v>801636</v>
      </c>
      <c r="I126" s="70">
        <f t="shared" si="51"/>
        <v>0.38460922128286557</v>
      </c>
      <c r="J126" s="69">
        <v>47678</v>
      </c>
      <c r="K126" s="70">
        <f t="shared" si="52"/>
        <v>2.2874968754303029E-2</v>
      </c>
      <c r="L126" s="70">
        <f t="shared" si="53"/>
        <v>5.9475871842082938E-2</v>
      </c>
      <c r="M126" s="69">
        <v>1805</v>
      </c>
      <c r="N126" s="70">
        <f t="shared" si="54"/>
        <v>8.6600357820204219E-4</v>
      </c>
      <c r="O126" s="67" t="s">
        <v>101</v>
      </c>
    </row>
    <row r="127" spans="1:15" x14ac:dyDescent="0.3">
      <c r="A127" s="76" t="s">
        <v>105</v>
      </c>
      <c r="B127" s="67" t="s">
        <v>18</v>
      </c>
      <c r="C127" s="67" t="s">
        <v>101</v>
      </c>
      <c r="D127" s="68">
        <v>44958</v>
      </c>
      <c r="E127" s="69">
        <v>2403003</v>
      </c>
      <c r="F127" s="70">
        <f t="shared" si="50"/>
        <v>0.99798626968006288</v>
      </c>
      <c r="G127" s="69">
        <v>4839</v>
      </c>
      <c r="H127" s="69">
        <v>889875</v>
      </c>
      <c r="I127" s="70">
        <f t="shared" si="51"/>
        <v>0.37031788974046226</v>
      </c>
      <c r="J127" s="69">
        <v>21323</v>
      </c>
      <c r="K127" s="70">
        <f t="shared" si="52"/>
        <v>8.8734803909941012E-3</v>
      </c>
      <c r="L127" s="70">
        <f t="shared" si="53"/>
        <v>2.3961792386571149E-2</v>
      </c>
      <c r="M127" s="69">
        <v>8219</v>
      </c>
      <c r="N127" s="70">
        <f t="shared" si="54"/>
        <v>3.4203036783557908E-3</v>
      </c>
      <c r="O127" s="67" t="s">
        <v>101</v>
      </c>
    </row>
    <row r="128" spans="1:15" x14ac:dyDescent="0.3">
      <c r="A128" s="76" t="s">
        <v>32</v>
      </c>
      <c r="B128" s="67"/>
      <c r="C128" s="67" t="s">
        <v>23</v>
      </c>
      <c r="D128" s="68">
        <v>44958</v>
      </c>
      <c r="E128" s="69">
        <v>314</v>
      </c>
      <c r="F128" s="70">
        <f t="shared" si="50"/>
        <v>1</v>
      </c>
      <c r="G128" s="69">
        <v>0</v>
      </c>
      <c r="H128" s="69">
        <v>85</v>
      </c>
      <c r="I128" s="70">
        <f t="shared" si="51"/>
        <v>0.27070063694267515</v>
      </c>
      <c r="J128" s="69">
        <v>7</v>
      </c>
      <c r="K128" s="70">
        <f t="shared" si="52"/>
        <v>2.2292993630573247E-2</v>
      </c>
      <c r="L128" s="70">
        <f t="shared" si="53"/>
        <v>8.2352941176470587E-2</v>
      </c>
      <c r="M128" s="69">
        <v>0</v>
      </c>
      <c r="N128" s="70">
        <f t="shared" si="54"/>
        <v>0</v>
      </c>
      <c r="O128" s="67" t="s">
        <v>23</v>
      </c>
    </row>
    <row r="129" spans="1:15" x14ac:dyDescent="0.3">
      <c r="A129" s="76" t="s">
        <v>34</v>
      </c>
      <c r="B129" s="67" t="s">
        <v>15</v>
      </c>
      <c r="C129" s="67" t="s">
        <v>30</v>
      </c>
      <c r="D129" s="68">
        <v>44958</v>
      </c>
      <c r="E129" s="69">
        <v>9437</v>
      </c>
      <c r="F129" s="70">
        <f t="shared" si="50"/>
        <v>0.9866482992476423</v>
      </c>
      <c r="G129" s="69">
        <v>126</v>
      </c>
      <c r="H129" s="69">
        <v>2962</v>
      </c>
      <c r="I129" s="70">
        <f t="shared" si="51"/>
        <v>0.31387093355939388</v>
      </c>
      <c r="J129" s="69">
        <v>321</v>
      </c>
      <c r="K129" s="70">
        <f t="shared" si="52"/>
        <v>3.4015047154816153E-2</v>
      </c>
      <c r="L129" s="70">
        <f t="shared" si="53"/>
        <v>0.10837272113436867</v>
      </c>
      <c r="M129" s="69">
        <v>25</v>
      </c>
      <c r="N129" s="70">
        <f t="shared" si="54"/>
        <v>2.649146974674155E-3</v>
      </c>
      <c r="O129" s="67" t="s">
        <v>31</v>
      </c>
    </row>
    <row r="130" spans="1:15" x14ac:dyDescent="0.3">
      <c r="A130" s="76" t="s">
        <v>35</v>
      </c>
      <c r="B130" s="67" t="s">
        <v>15</v>
      </c>
      <c r="C130" s="67" t="s">
        <v>30</v>
      </c>
      <c r="D130" s="68">
        <v>44958</v>
      </c>
      <c r="E130" s="69">
        <v>85387</v>
      </c>
      <c r="F130" s="70">
        <f t="shared" si="50"/>
        <v>0.97784206026678533</v>
      </c>
      <c r="G130" s="69">
        <v>1892</v>
      </c>
      <c r="H130" s="69">
        <v>32168</v>
      </c>
      <c r="I130" s="70">
        <f t="shared" si="51"/>
        <v>0.37673182100319719</v>
      </c>
      <c r="J130" s="69">
        <v>3462</v>
      </c>
      <c r="K130" s="70">
        <f t="shared" si="52"/>
        <v>4.0544813613313503E-2</v>
      </c>
      <c r="L130" s="70">
        <f t="shared" si="53"/>
        <v>0.10762248196965929</v>
      </c>
      <c r="M130" s="69">
        <v>337</v>
      </c>
      <c r="N130" s="70">
        <f t="shared" si="54"/>
        <v>3.9467366226708985E-3</v>
      </c>
      <c r="O130" s="67" t="s">
        <v>31</v>
      </c>
    </row>
    <row r="131" spans="1:15" x14ac:dyDescent="0.3">
      <c r="A131" s="76" t="s">
        <v>106</v>
      </c>
      <c r="B131" s="67" t="s">
        <v>18</v>
      </c>
      <c r="C131" s="67" t="s">
        <v>101</v>
      </c>
      <c r="D131" s="68">
        <v>44959</v>
      </c>
      <c r="E131" s="69">
        <v>5558</v>
      </c>
      <c r="F131" s="70">
        <f t="shared" si="50"/>
        <v>0.9992803166606693</v>
      </c>
      <c r="G131" s="69">
        <v>4</v>
      </c>
      <c r="H131" s="69">
        <v>1870</v>
      </c>
      <c r="I131" s="70">
        <f t="shared" si="51"/>
        <v>0.33645196113709969</v>
      </c>
      <c r="J131" s="69">
        <v>48</v>
      </c>
      <c r="K131" s="70">
        <f t="shared" si="52"/>
        <v>8.6362000719683342E-3</v>
      </c>
      <c r="L131" s="70">
        <f t="shared" si="53"/>
        <v>2.5668449197860963E-2</v>
      </c>
      <c r="M131" s="69">
        <v>47</v>
      </c>
      <c r="N131" s="70">
        <f t="shared" si="54"/>
        <v>8.4562792371356606E-3</v>
      </c>
      <c r="O131" s="67" t="s">
        <v>101</v>
      </c>
    </row>
    <row r="132" spans="1:15" x14ac:dyDescent="0.3">
      <c r="A132" s="76" t="s">
        <v>107</v>
      </c>
      <c r="B132" s="67" t="s">
        <v>18</v>
      </c>
      <c r="C132" s="67" t="s">
        <v>101</v>
      </c>
      <c r="D132" s="68">
        <v>44959</v>
      </c>
      <c r="E132" s="69">
        <v>49754</v>
      </c>
      <c r="F132" s="70">
        <f t="shared" si="50"/>
        <v>0.99784941914217951</v>
      </c>
      <c r="G132" s="69">
        <v>107</v>
      </c>
      <c r="H132" s="69">
        <v>17854</v>
      </c>
      <c r="I132" s="70">
        <f t="shared" si="51"/>
        <v>0.3588455199581943</v>
      </c>
      <c r="J132" s="69">
        <v>414</v>
      </c>
      <c r="K132" s="70">
        <f t="shared" si="52"/>
        <v>8.3209390199782927E-3</v>
      </c>
      <c r="L132" s="70">
        <f t="shared" si="53"/>
        <v>2.3188081102274001E-2</v>
      </c>
      <c r="M132" s="69">
        <v>258</v>
      </c>
      <c r="N132" s="70">
        <f t="shared" si="54"/>
        <v>5.1855127225951684E-3</v>
      </c>
      <c r="O132" s="67" t="s">
        <v>101</v>
      </c>
    </row>
    <row r="133" spans="1:15" x14ac:dyDescent="0.3">
      <c r="A133" s="76" t="s">
        <v>108</v>
      </c>
      <c r="B133" s="67" t="s">
        <v>18</v>
      </c>
      <c r="C133" s="67" t="s">
        <v>101</v>
      </c>
      <c r="D133" s="68">
        <v>44959</v>
      </c>
      <c r="E133" s="69">
        <v>5547</v>
      </c>
      <c r="F133" s="70">
        <f t="shared" si="50"/>
        <v>0.99801694609698932</v>
      </c>
      <c r="G133" s="69">
        <v>11</v>
      </c>
      <c r="H133" s="69">
        <v>1904</v>
      </c>
      <c r="I133" s="70">
        <f t="shared" si="51"/>
        <v>0.34324860284838654</v>
      </c>
      <c r="J133" s="69">
        <v>45</v>
      </c>
      <c r="K133" s="70">
        <f t="shared" si="52"/>
        <v>8.1124932395889669E-3</v>
      </c>
      <c r="L133" s="70">
        <f t="shared" si="53"/>
        <v>2.3634453781512604E-2</v>
      </c>
      <c r="M133" s="69">
        <v>43</v>
      </c>
      <c r="N133" s="70">
        <f t="shared" si="54"/>
        <v>7.7519379844961239E-3</v>
      </c>
      <c r="O133" s="67" t="s">
        <v>101</v>
      </c>
    </row>
    <row r="134" spans="1:15" x14ac:dyDescent="0.3">
      <c r="A134" s="76" t="s">
        <v>109</v>
      </c>
      <c r="B134" s="67" t="s">
        <v>18</v>
      </c>
      <c r="C134" s="67" t="s">
        <v>101</v>
      </c>
      <c r="D134" s="68">
        <v>44959</v>
      </c>
      <c r="E134" s="69">
        <v>49774</v>
      </c>
      <c r="F134" s="70">
        <f t="shared" si="50"/>
        <v>0.99762928436533127</v>
      </c>
      <c r="G134" s="69">
        <v>118</v>
      </c>
      <c r="H134" s="69">
        <v>17936</v>
      </c>
      <c r="I134" s="70">
        <f t="shared" si="51"/>
        <v>0.36034877646964281</v>
      </c>
      <c r="J134" s="69">
        <v>350</v>
      </c>
      <c r="K134" s="70">
        <f t="shared" si="52"/>
        <v>7.0317836621529312E-3</v>
      </c>
      <c r="L134" s="70">
        <f t="shared" si="53"/>
        <v>1.9513826940231935E-2</v>
      </c>
      <c r="M134" s="69">
        <v>261</v>
      </c>
      <c r="N134" s="70">
        <f t="shared" si="54"/>
        <v>5.2437015309197577E-3</v>
      </c>
      <c r="O134" s="67" t="s">
        <v>101</v>
      </c>
    </row>
    <row r="135" spans="1:15" x14ac:dyDescent="0.3">
      <c r="A135" s="76" t="s">
        <v>110</v>
      </c>
      <c r="B135" s="67" t="s">
        <v>15</v>
      </c>
      <c r="C135" s="67" t="s">
        <v>16</v>
      </c>
      <c r="D135" s="68">
        <v>44959</v>
      </c>
      <c r="E135" s="69">
        <v>81038</v>
      </c>
      <c r="F135" s="70">
        <f t="shared" si="50"/>
        <v>0.99835879463955179</v>
      </c>
      <c r="G135" s="69">
        <v>133</v>
      </c>
      <c r="H135" s="69">
        <v>32466</v>
      </c>
      <c r="I135" s="70">
        <f t="shared" si="51"/>
        <v>0.40062686640835166</v>
      </c>
      <c r="J135" s="69">
        <v>479</v>
      </c>
      <c r="K135" s="70">
        <f t="shared" si="52"/>
        <v>5.9108072755991014E-3</v>
      </c>
      <c r="L135" s="70">
        <f t="shared" si="53"/>
        <v>1.475389638390932E-2</v>
      </c>
      <c r="M135" s="69">
        <v>82</v>
      </c>
      <c r="N135" s="70">
        <f t="shared" si="54"/>
        <v>1.0118709741109109E-3</v>
      </c>
      <c r="O135" s="67" t="s">
        <v>16</v>
      </c>
    </row>
    <row r="136" spans="1:15" x14ac:dyDescent="0.3">
      <c r="A136" s="76" t="s">
        <v>26</v>
      </c>
      <c r="B136" s="67"/>
      <c r="C136" s="67" t="s">
        <v>23</v>
      </c>
      <c r="D136" s="68">
        <v>44959</v>
      </c>
      <c r="E136" s="69">
        <v>1670</v>
      </c>
      <c r="F136" s="70">
        <f t="shared" si="50"/>
        <v>0.9994011976047904</v>
      </c>
      <c r="G136" s="69">
        <v>1</v>
      </c>
      <c r="H136" s="69">
        <v>584</v>
      </c>
      <c r="I136" s="70">
        <f t="shared" si="51"/>
        <v>0.34970059880239523</v>
      </c>
      <c r="J136" s="69">
        <v>18</v>
      </c>
      <c r="K136" s="70">
        <f t="shared" si="52"/>
        <v>1.0778443113772455E-2</v>
      </c>
      <c r="L136" s="70">
        <f t="shared" si="53"/>
        <v>3.0821917808219176E-2</v>
      </c>
      <c r="M136" s="69">
        <v>0</v>
      </c>
      <c r="N136" s="70">
        <f t="shared" si="54"/>
        <v>0</v>
      </c>
      <c r="O136" s="67" t="s">
        <v>23</v>
      </c>
    </row>
    <row r="137" spans="1:15" x14ac:dyDescent="0.3">
      <c r="A137" s="76" t="s">
        <v>111</v>
      </c>
      <c r="B137" s="67" t="s">
        <v>15</v>
      </c>
      <c r="C137" s="67" t="s">
        <v>21</v>
      </c>
      <c r="D137" s="68">
        <v>44959</v>
      </c>
      <c r="E137" s="69">
        <v>7688</v>
      </c>
      <c r="F137" s="70">
        <f t="shared" si="50"/>
        <v>0.99947970863683666</v>
      </c>
      <c r="G137" s="69">
        <v>4</v>
      </c>
      <c r="H137" s="69">
        <v>2600</v>
      </c>
      <c r="I137" s="70">
        <f t="shared" si="51"/>
        <v>0.33818938605619148</v>
      </c>
      <c r="J137" s="69">
        <v>36</v>
      </c>
      <c r="K137" s="70">
        <f t="shared" si="52"/>
        <v>4.6826222684703432E-3</v>
      </c>
      <c r="L137" s="70">
        <f t="shared" si="53"/>
        <v>1.3846153846153847E-2</v>
      </c>
      <c r="M137" s="69">
        <v>8</v>
      </c>
      <c r="N137" s="70">
        <f t="shared" si="54"/>
        <v>1.0405827263267431E-3</v>
      </c>
      <c r="O137" s="67" t="s">
        <v>21</v>
      </c>
    </row>
    <row r="138" spans="1:15" x14ac:dyDescent="0.3">
      <c r="A138" s="76" t="s">
        <v>111</v>
      </c>
      <c r="B138" s="67" t="s">
        <v>18</v>
      </c>
      <c r="C138" s="67" t="s">
        <v>21</v>
      </c>
      <c r="D138" s="68">
        <v>44959</v>
      </c>
      <c r="E138" s="69">
        <v>10194</v>
      </c>
      <c r="F138" s="70">
        <f t="shared" si="50"/>
        <v>0.99950951540121635</v>
      </c>
      <c r="G138" s="69">
        <v>5</v>
      </c>
      <c r="H138" s="69">
        <v>3402</v>
      </c>
      <c r="I138" s="70">
        <f t="shared" si="51"/>
        <v>0.3337257210123602</v>
      </c>
      <c r="J138" s="69">
        <v>54</v>
      </c>
      <c r="K138" s="70">
        <f t="shared" si="52"/>
        <v>5.2972336668628602E-3</v>
      </c>
      <c r="L138" s="70">
        <f t="shared" si="53"/>
        <v>1.5873015873015872E-2</v>
      </c>
      <c r="M138" s="69">
        <v>24</v>
      </c>
      <c r="N138" s="70">
        <f t="shared" si="54"/>
        <v>2.3543260741612712E-3</v>
      </c>
      <c r="O138" s="67" t="s">
        <v>21</v>
      </c>
    </row>
    <row r="139" spans="1:15" x14ac:dyDescent="0.3">
      <c r="A139" s="76" t="s">
        <v>112</v>
      </c>
      <c r="B139" s="67" t="s">
        <v>15</v>
      </c>
      <c r="C139" s="67" t="s">
        <v>21</v>
      </c>
      <c r="D139" s="68">
        <v>44959</v>
      </c>
      <c r="E139" s="69">
        <v>156474</v>
      </c>
      <c r="F139" s="70">
        <f t="shared" si="50"/>
        <v>0.99884325830489407</v>
      </c>
      <c r="G139" s="69">
        <v>181</v>
      </c>
      <c r="H139" s="69">
        <v>66727</v>
      </c>
      <c r="I139" s="70">
        <f t="shared" si="51"/>
        <v>0.42644145353221624</v>
      </c>
      <c r="J139" s="69">
        <v>687</v>
      </c>
      <c r="K139" s="70">
        <f t="shared" si="52"/>
        <v>4.3905057709267992E-3</v>
      </c>
      <c r="L139" s="70">
        <f t="shared" si="53"/>
        <v>1.0295682407421283E-2</v>
      </c>
      <c r="M139" s="69">
        <v>117</v>
      </c>
      <c r="N139" s="70">
        <f t="shared" si="54"/>
        <v>7.4772805705740255E-4</v>
      </c>
      <c r="O139" s="67" t="s">
        <v>21</v>
      </c>
    </row>
    <row r="140" spans="1:15" x14ac:dyDescent="0.3">
      <c r="A140" s="76" t="s">
        <v>112</v>
      </c>
      <c r="B140" s="67" t="s">
        <v>18</v>
      </c>
      <c r="C140" s="67" t="s">
        <v>21</v>
      </c>
      <c r="D140" s="68">
        <v>44959</v>
      </c>
      <c r="E140" s="69">
        <v>170431</v>
      </c>
      <c r="F140" s="70">
        <f t="shared" si="50"/>
        <v>0.99862701034436219</v>
      </c>
      <c r="G140" s="69">
        <v>234</v>
      </c>
      <c r="H140" s="69">
        <v>80800</v>
      </c>
      <c r="I140" s="70">
        <f t="shared" si="51"/>
        <v>0.47409215459628823</v>
      </c>
      <c r="J140" s="69">
        <v>1027</v>
      </c>
      <c r="K140" s="70">
        <f t="shared" si="52"/>
        <v>6.0258990441879705E-3</v>
      </c>
      <c r="L140" s="70">
        <f t="shared" si="53"/>
        <v>1.271039603960396E-2</v>
      </c>
      <c r="M140" s="69">
        <v>332</v>
      </c>
      <c r="N140" s="70">
        <f t="shared" si="54"/>
        <v>1.9480024174005903E-3</v>
      </c>
      <c r="O140" s="67" t="s">
        <v>21</v>
      </c>
    </row>
    <row r="141" spans="1:15" x14ac:dyDescent="0.3">
      <c r="A141" s="76" t="s">
        <v>28</v>
      </c>
      <c r="B141" s="67" t="s">
        <v>15</v>
      </c>
      <c r="C141" s="67" t="s">
        <v>16</v>
      </c>
      <c r="D141" s="68">
        <v>44960</v>
      </c>
      <c r="E141" s="69">
        <v>97142</v>
      </c>
      <c r="F141" s="70">
        <f t="shared" si="50"/>
        <v>0.99924852278108334</v>
      </c>
      <c r="G141" s="69">
        <v>73</v>
      </c>
      <c r="H141" s="69">
        <v>31023</v>
      </c>
      <c r="I141" s="70">
        <f t="shared" si="51"/>
        <v>0.31935722962261431</v>
      </c>
      <c r="J141" s="69">
        <v>648</v>
      </c>
      <c r="K141" s="70">
        <f t="shared" si="52"/>
        <v>6.6706470939449465E-3</v>
      </c>
      <c r="L141" s="70">
        <f t="shared" si="53"/>
        <v>2.0887728459530026E-2</v>
      </c>
      <c r="M141" s="69">
        <v>54</v>
      </c>
      <c r="N141" s="70">
        <f t="shared" si="54"/>
        <v>5.5588725782874558E-4</v>
      </c>
      <c r="O141" s="67" t="s">
        <v>16</v>
      </c>
    </row>
    <row r="142" spans="1:15" x14ac:dyDescent="0.3">
      <c r="A142" s="76" t="s">
        <v>28</v>
      </c>
      <c r="B142" s="67" t="s">
        <v>18</v>
      </c>
      <c r="C142" s="67" t="s">
        <v>16</v>
      </c>
      <c r="D142" s="68">
        <v>44960</v>
      </c>
      <c r="E142" s="69">
        <v>196771</v>
      </c>
      <c r="F142" s="70">
        <f t="shared" si="50"/>
        <v>0.99887178496831341</v>
      </c>
      <c r="G142" s="69">
        <v>222</v>
      </c>
      <c r="H142" s="69">
        <v>66486</v>
      </c>
      <c r="I142" s="70">
        <f t="shared" si="51"/>
        <v>0.33788515584105383</v>
      </c>
      <c r="J142" s="69">
        <v>1573</v>
      </c>
      <c r="K142" s="70">
        <f t="shared" si="52"/>
        <v>7.994064165959415E-3</v>
      </c>
      <c r="L142" s="70">
        <f t="shared" si="53"/>
        <v>2.3659116204915322E-2</v>
      </c>
      <c r="M142" s="69">
        <v>793</v>
      </c>
      <c r="N142" s="70">
        <f t="shared" si="54"/>
        <v>4.0300654059795393E-3</v>
      </c>
      <c r="O142" s="67" t="s">
        <v>16</v>
      </c>
    </row>
    <row r="143" spans="1:15" x14ac:dyDescent="0.3">
      <c r="A143" s="76" t="s">
        <v>22</v>
      </c>
      <c r="B143" s="67" t="s">
        <v>15</v>
      </c>
      <c r="C143" s="67" t="s">
        <v>16</v>
      </c>
      <c r="D143" s="68">
        <v>44960</v>
      </c>
      <c r="E143" s="69">
        <v>1689355</v>
      </c>
      <c r="F143" s="70">
        <f t="shared" si="50"/>
        <v>0.99800278804632536</v>
      </c>
      <c r="G143" s="69">
        <v>3374</v>
      </c>
      <c r="H143" s="69">
        <v>600658</v>
      </c>
      <c r="I143" s="70">
        <f t="shared" si="51"/>
        <v>0.35555463475705223</v>
      </c>
      <c r="J143" s="69">
        <v>8152</v>
      </c>
      <c r="K143" s="70">
        <f t="shared" si="52"/>
        <v>4.8255103279062125E-3</v>
      </c>
      <c r="L143" s="70">
        <f t="shared" si="53"/>
        <v>1.3571782944703974E-2</v>
      </c>
      <c r="M143" s="69">
        <v>1766</v>
      </c>
      <c r="N143" s="70">
        <f t="shared" si="54"/>
        <v>1.0453693865410171E-3</v>
      </c>
      <c r="O143" s="67" t="s">
        <v>16</v>
      </c>
    </row>
    <row r="144" spans="1:15" x14ac:dyDescent="0.3">
      <c r="A144" s="76" t="s">
        <v>22</v>
      </c>
      <c r="B144" s="67" t="s">
        <v>18</v>
      </c>
      <c r="C144" s="67" t="s">
        <v>16</v>
      </c>
      <c r="D144" s="68">
        <v>44960</v>
      </c>
      <c r="E144" s="69">
        <v>2178700</v>
      </c>
      <c r="F144" s="70">
        <f t="shared" si="50"/>
        <v>0.99819800798641389</v>
      </c>
      <c r="G144" s="69">
        <v>3926</v>
      </c>
      <c r="H144" s="69">
        <v>762166</v>
      </c>
      <c r="I144" s="70">
        <f t="shared" si="51"/>
        <v>0.34982604305319687</v>
      </c>
      <c r="J144" s="69">
        <v>11968</v>
      </c>
      <c r="K144" s="70">
        <f t="shared" si="52"/>
        <v>5.4931840088125947E-3</v>
      </c>
      <c r="L144" s="70">
        <f t="shared" si="53"/>
        <v>1.5702615965550813E-2</v>
      </c>
      <c r="M144" s="69">
        <v>6509</v>
      </c>
      <c r="N144" s="70">
        <f t="shared" si="54"/>
        <v>2.9875613898196172E-3</v>
      </c>
      <c r="O144" s="67" t="s">
        <v>16</v>
      </c>
    </row>
    <row r="145" spans="1:15" x14ac:dyDescent="0.3">
      <c r="A145" s="76" t="s">
        <v>33</v>
      </c>
      <c r="B145" s="67" t="s">
        <v>18</v>
      </c>
      <c r="C145" s="67" t="s">
        <v>21</v>
      </c>
      <c r="D145" s="68">
        <v>44960</v>
      </c>
      <c r="E145" s="69">
        <v>249719</v>
      </c>
      <c r="F145" s="70">
        <f t="shared" si="50"/>
        <v>0.99873457766529583</v>
      </c>
      <c r="G145" s="69">
        <v>316</v>
      </c>
      <c r="H145" s="69">
        <v>113555</v>
      </c>
      <c r="I145" s="70">
        <f t="shared" si="51"/>
        <v>0.45473111777638064</v>
      </c>
      <c r="J145" s="69">
        <v>1651</v>
      </c>
      <c r="K145" s="70">
        <f t="shared" si="52"/>
        <v>6.6114312487235653E-3</v>
      </c>
      <c r="L145" s="70">
        <f t="shared" si="53"/>
        <v>1.453921007441328E-2</v>
      </c>
      <c r="M145" s="69">
        <v>348</v>
      </c>
      <c r="N145" s="70">
        <f t="shared" si="54"/>
        <v>1.3935663685983046E-3</v>
      </c>
      <c r="O145" s="67" t="s">
        <v>21</v>
      </c>
    </row>
    <row r="146" spans="1:15" x14ac:dyDescent="0.3">
      <c r="A146" s="76" t="s">
        <v>19</v>
      </c>
      <c r="B146" s="67" t="s">
        <v>18</v>
      </c>
      <c r="C146" s="67" t="s">
        <v>21</v>
      </c>
      <c r="D146" s="68">
        <v>44960</v>
      </c>
      <c r="E146" s="69">
        <v>333398</v>
      </c>
      <c r="F146" s="70">
        <f t="shared" si="50"/>
        <v>0.99789140906664109</v>
      </c>
      <c r="G146" s="69">
        <v>703</v>
      </c>
      <c r="H146" s="69">
        <v>124313</v>
      </c>
      <c r="I146" s="70">
        <f t="shared" si="51"/>
        <v>0.37286666386720974</v>
      </c>
      <c r="J146" s="69">
        <v>2170</v>
      </c>
      <c r="K146" s="70">
        <f t="shared" si="52"/>
        <v>6.5087373049628368E-3</v>
      </c>
      <c r="L146" s="70">
        <f t="shared" si="53"/>
        <v>1.745593783433752E-2</v>
      </c>
      <c r="M146" s="69">
        <v>394</v>
      </c>
      <c r="N146" s="70">
        <f t="shared" si="54"/>
        <v>1.1817707364771234E-3</v>
      </c>
      <c r="O146" s="67" t="s">
        <v>21</v>
      </c>
    </row>
    <row r="147" spans="1:15" x14ac:dyDescent="0.3">
      <c r="A147" s="76" t="s">
        <v>24</v>
      </c>
      <c r="B147" s="67" t="s">
        <v>18</v>
      </c>
      <c r="C147" s="67" t="s">
        <v>21</v>
      </c>
      <c r="D147" s="68">
        <v>44961</v>
      </c>
      <c r="E147" s="69">
        <v>15415</v>
      </c>
      <c r="F147" s="70">
        <f t="shared" si="50"/>
        <v>0.99948102497567304</v>
      </c>
      <c r="G147" s="69">
        <v>8</v>
      </c>
      <c r="H147" s="69">
        <v>5477</v>
      </c>
      <c r="I147" s="70">
        <f t="shared" si="51"/>
        <v>0.35530327602984108</v>
      </c>
      <c r="J147" s="69">
        <v>195</v>
      </c>
      <c r="K147" s="70">
        <f t="shared" si="52"/>
        <v>1.2650016217969511E-2</v>
      </c>
      <c r="L147" s="70">
        <f t="shared" si="53"/>
        <v>3.5603432536059888E-2</v>
      </c>
      <c r="M147" s="69">
        <v>31</v>
      </c>
      <c r="N147" s="70">
        <f t="shared" si="54"/>
        <v>2.0110282192669477E-3</v>
      </c>
      <c r="O147" s="67" t="s">
        <v>21</v>
      </c>
    </row>
    <row r="148" spans="1:15" x14ac:dyDescent="0.3">
      <c r="A148" s="76" t="s">
        <v>36</v>
      </c>
      <c r="B148" s="67" t="s">
        <v>15</v>
      </c>
      <c r="C148" s="67" t="s">
        <v>16</v>
      </c>
      <c r="D148" s="68">
        <v>44961</v>
      </c>
      <c r="E148" s="69">
        <v>1466</v>
      </c>
      <c r="F148" s="70">
        <f t="shared" si="50"/>
        <v>0.99863574351978168</v>
      </c>
      <c r="G148" s="69">
        <v>2</v>
      </c>
      <c r="H148" s="69">
        <v>740</v>
      </c>
      <c r="I148" s="70">
        <f t="shared" si="51"/>
        <v>0.504774897680764</v>
      </c>
      <c r="J148" s="69">
        <v>62</v>
      </c>
      <c r="K148" s="70">
        <f t="shared" si="52"/>
        <v>4.229195088676671E-2</v>
      </c>
      <c r="L148" s="70">
        <f t="shared" si="53"/>
        <v>8.3783783783783788E-2</v>
      </c>
      <c r="M148" s="69">
        <v>0</v>
      </c>
      <c r="N148" s="70">
        <f t="shared" si="54"/>
        <v>0</v>
      </c>
      <c r="O148" s="67" t="s">
        <v>16</v>
      </c>
    </row>
    <row r="149" spans="1:15" x14ac:dyDescent="0.3">
      <c r="A149" s="76" t="s">
        <v>36</v>
      </c>
      <c r="B149" s="67" t="s">
        <v>18</v>
      </c>
      <c r="C149" s="67" t="s">
        <v>16</v>
      </c>
      <c r="D149" s="68">
        <v>44961</v>
      </c>
      <c r="E149" s="69">
        <v>1398</v>
      </c>
      <c r="F149" s="70">
        <f t="shared" si="50"/>
        <v>0.99928469241773965</v>
      </c>
      <c r="G149" s="69">
        <v>1</v>
      </c>
      <c r="H149" s="69">
        <v>636</v>
      </c>
      <c r="I149" s="70">
        <f t="shared" si="51"/>
        <v>0.45493562231759654</v>
      </c>
      <c r="J149" s="69">
        <v>54</v>
      </c>
      <c r="K149" s="70">
        <f t="shared" si="52"/>
        <v>3.8626609442060089E-2</v>
      </c>
      <c r="L149" s="70">
        <f t="shared" si="53"/>
        <v>8.4905660377358486E-2</v>
      </c>
      <c r="M149" s="69">
        <v>14</v>
      </c>
      <c r="N149" s="70">
        <f t="shared" si="54"/>
        <v>1.0014306151645207E-2</v>
      </c>
      <c r="O149" s="67" t="s">
        <v>16</v>
      </c>
    </row>
    <row r="150" spans="1:15" x14ac:dyDescent="0.3">
      <c r="A150" s="76" t="s">
        <v>37</v>
      </c>
      <c r="B150" s="67" t="s">
        <v>15</v>
      </c>
      <c r="C150" s="67" t="s">
        <v>16</v>
      </c>
      <c r="D150" s="68">
        <v>44961</v>
      </c>
      <c r="E150" s="69">
        <v>12127</v>
      </c>
      <c r="F150" s="70">
        <f t="shared" si="50"/>
        <v>0.99818586624886618</v>
      </c>
      <c r="G150" s="69">
        <v>22</v>
      </c>
      <c r="H150" s="69">
        <v>5622</v>
      </c>
      <c r="I150" s="70">
        <f t="shared" si="51"/>
        <v>0.46359363403974602</v>
      </c>
      <c r="J150" s="69">
        <v>480</v>
      </c>
      <c r="K150" s="70">
        <f t="shared" si="52"/>
        <v>3.9581100024738185E-2</v>
      </c>
      <c r="L150" s="70">
        <f t="shared" si="53"/>
        <v>8.537886872998933E-2</v>
      </c>
      <c r="M150" s="69">
        <v>17</v>
      </c>
      <c r="N150" s="70">
        <f t="shared" si="54"/>
        <v>1.4018306258761441E-3</v>
      </c>
      <c r="O150" s="67" t="s">
        <v>16</v>
      </c>
    </row>
    <row r="151" spans="1:15" x14ac:dyDescent="0.3">
      <c r="A151" s="76" t="s">
        <v>37</v>
      </c>
      <c r="B151" s="67" t="s">
        <v>18</v>
      </c>
      <c r="C151" s="67" t="s">
        <v>16</v>
      </c>
      <c r="D151" s="68">
        <v>44961</v>
      </c>
      <c r="E151" s="69">
        <v>16629</v>
      </c>
      <c r="F151" s="70">
        <f t="shared" si="50"/>
        <v>0.99723374827109268</v>
      </c>
      <c r="G151" s="69">
        <v>46</v>
      </c>
      <c r="H151" s="69">
        <v>7117</v>
      </c>
      <c r="I151" s="70">
        <f t="shared" si="51"/>
        <v>0.42798725118768416</v>
      </c>
      <c r="J151" s="69">
        <v>440</v>
      </c>
      <c r="K151" s="70">
        <f t="shared" si="52"/>
        <v>2.6459799146070117E-2</v>
      </c>
      <c r="L151" s="70">
        <f t="shared" si="53"/>
        <v>6.1823802163833076E-2</v>
      </c>
      <c r="M151" s="69">
        <v>99</v>
      </c>
      <c r="N151" s="70">
        <f t="shared" si="54"/>
        <v>5.9534548078657764E-3</v>
      </c>
      <c r="O151" s="67" t="s">
        <v>16</v>
      </c>
    </row>
    <row r="152" spans="1:15" x14ac:dyDescent="0.3">
      <c r="A152" s="76" t="s">
        <v>113</v>
      </c>
      <c r="B152" s="67" t="s">
        <v>15</v>
      </c>
      <c r="C152" s="67" t="s">
        <v>30</v>
      </c>
      <c r="D152" s="68">
        <v>44961</v>
      </c>
      <c r="E152" s="69">
        <v>15076</v>
      </c>
      <c r="F152" s="70">
        <f t="shared" si="50"/>
        <v>0.9992040328999735</v>
      </c>
      <c r="G152" s="69">
        <v>12</v>
      </c>
      <c r="H152" s="69">
        <v>5056</v>
      </c>
      <c r="I152" s="70">
        <f t="shared" si="51"/>
        <v>0.33536747147784557</v>
      </c>
      <c r="J152" s="69">
        <v>763</v>
      </c>
      <c r="K152" s="70">
        <f t="shared" si="52"/>
        <v>5.0610241443353673E-2</v>
      </c>
      <c r="L152" s="70">
        <f t="shared" si="53"/>
        <v>0.15090981012658228</v>
      </c>
      <c r="M152" s="69">
        <v>4</v>
      </c>
      <c r="N152" s="70">
        <f t="shared" si="54"/>
        <v>2.6532236667551072E-4</v>
      </c>
      <c r="O152" s="67" t="s">
        <v>31</v>
      </c>
    </row>
    <row r="153" spans="1:15" x14ac:dyDescent="0.3">
      <c r="A153" s="76" t="s">
        <v>114</v>
      </c>
      <c r="B153" s="67" t="s">
        <v>15</v>
      </c>
      <c r="C153" s="67" t="s">
        <v>30</v>
      </c>
      <c r="D153" s="68">
        <v>44961</v>
      </c>
      <c r="E153" s="69">
        <v>45726</v>
      </c>
      <c r="F153" s="70">
        <f t="shared" si="50"/>
        <v>0.99849101167825749</v>
      </c>
      <c r="G153" s="69">
        <v>69</v>
      </c>
      <c r="H153" s="69">
        <v>17175</v>
      </c>
      <c r="I153" s="70">
        <f t="shared" si="51"/>
        <v>0.37560687573809209</v>
      </c>
      <c r="J153" s="69">
        <v>2116</v>
      </c>
      <c r="K153" s="70">
        <f t="shared" si="52"/>
        <v>4.627564186677164E-2</v>
      </c>
      <c r="L153" s="70">
        <f t="shared" si="53"/>
        <v>0.12320232896652111</v>
      </c>
      <c r="M153" s="69">
        <v>19</v>
      </c>
      <c r="N153" s="70">
        <f t="shared" si="54"/>
        <v>4.1551852337838428E-4</v>
      </c>
      <c r="O153" s="67" t="s">
        <v>31</v>
      </c>
    </row>
    <row r="154" spans="1:15" x14ac:dyDescent="0.3">
      <c r="A154" s="76" t="s">
        <v>119</v>
      </c>
      <c r="B154" s="67" t="s">
        <v>15</v>
      </c>
      <c r="C154" s="67" t="s">
        <v>27</v>
      </c>
      <c r="D154" s="68">
        <v>44961</v>
      </c>
      <c r="E154" s="69">
        <v>241865</v>
      </c>
      <c r="F154" s="70">
        <f t="shared" ref="F154:F217" si="55">(E154-G154)/E154</f>
        <v>0.99813945796208625</v>
      </c>
      <c r="G154" s="69">
        <v>450</v>
      </c>
      <c r="H154" s="69">
        <v>96768</v>
      </c>
      <c r="I154" s="70">
        <f t="shared" ref="I154:I217" si="56">H154/E154</f>
        <v>0.40009095983296467</v>
      </c>
      <c r="J154" s="69">
        <v>2277</v>
      </c>
      <c r="K154" s="70">
        <f t="shared" ref="K154:K185" si="57">J154/E154</f>
        <v>9.4143427118433837E-3</v>
      </c>
      <c r="L154" s="70">
        <f t="shared" ref="L154:L185" si="58">J154/H154</f>
        <v>2.3530505952380952E-2</v>
      </c>
      <c r="M154" s="69">
        <v>1993</v>
      </c>
      <c r="N154" s="70">
        <f t="shared" ref="N154:N217" si="59">M154/E154</f>
        <v>8.2401339590267297E-3</v>
      </c>
      <c r="O154" s="67" t="s">
        <v>27</v>
      </c>
    </row>
    <row r="155" spans="1:15" x14ac:dyDescent="0.3">
      <c r="A155" s="66" t="s">
        <v>124</v>
      </c>
      <c r="B155" s="67" t="s">
        <v>18</v>
      </c>
      <c r="C155" s="67" t="s">
        <v>21</v>
      </c>
      <c r="D155" s="68">
        <v>44964</v>
      </c>
      <c r="E155" s="69">
        <v>352852</v>
      </c>
      <c r="F155" s="70">
        <f t="shared" si="55"/>
        <v>0.99834491514856083</v>
      </c>
      <c r="G155" s="69">
        <v>584</v>
      </c>
      <c r="H155" s="69">
        <v>175969</v>
      </c>
      <c r="I155" s="70">
        <f t="shared" si="56"/>
        <v>0.49870483942276084</v>
      </c>
      <c r="J155" s="69">
        <v>2407</v>
      </c>
      <c r="K155" s="70">
        <f t="shared" si="57"/>
        <v>6.8215569133801141E-3</v>
      </c>
      <c r="L155" s="70">
        <f t="shared" si="58"/>
        <v>1.3678545652927504E-2</v>
      </c>
      <c r="M155" s="69">
        <v>972</v>
      </c>
      <c r="N155" s="70">
        <f t="shared" si="59"/>
        <v>2.7546960198610183E-3</v>
      </c>
      <c r="O155" s="67" t="s">
        <v>21</v>
      </c>
    </row>
    <row r="156" spans="1:15" x14ac:dyDescent="0.3">
      <c r="A156" s="66" t="s">
        <v>124</v>
      </c>
      <c r="B156" s="67" t="s">
        <v>15</v>
      </c>
      <c r="C156" s="67" t="s">
        <v>21</v>
      </c>
      <c r="D156" s="68">
        <v>44964</v>
      </c>
      <c r="E156" s="69">
        <v>278630</v>
      </c>
      <c r="F156" s="70">
        <f t="shared" si="55"/>
        <v>0.99820191652011625</v>
      </c>
      <c r="G156" s="69">
        <v>501</v>
      </c>
      <c r="H156" s="69">
        <v>133398</v>
      </c>
      <c r="I156" s="70">
        <f t="shared" si="56"/>
        <v>0.47876395219466678</v>
      </c>
      <c r="J156" s="69">
        <v>2024</v>
      </c>
      <c r="K156" s="70">
        <f t="shared" si="57"/>
        <v>7.2641136991709434E-3</v>
      </c>
      <c r="L156" s="70">
        <f t="shared" si="58"/>
        <v>1.5172641268984542E-2</v>
      </c>
      <c r="M156" s="69">
        <v>298</v>
      </c>
      <c r="N156" s="70">
        <f t="shared" si="59"/>
        <v>1.0695187165775401E-3</v>
      </c>
      <c r="O156" s="67" t="s">
        <v>21</v>
      </c>
    </row>
    <row r="157" spans="1:15" x14ac:dyDescent="0.3">
      <c r="A157" s="66" t="s">
        <v>125</v>
      </c>
      <c r="B157" s="67" t="s">
        <v>18</v>
      </c>
      <c r="C157" s="67" t="s">
        <v>21</v>
      </c>
      <c r="D157" s="68">
        <v>44964</v>
      </c>
      <c r="E157" s="69">
        <v>19548</v>
      </c>
      <c r="F157" s="70">
        <f t="shared" si="55"/>
        <v>0.99866994065889092</v>
      </c>
      <c r="G157" s="69">
        <v>26</v>
      </c>
      <c r="H157" s="69">
        <v>7601</v>
      </c>
      <c r="I157" s="70">
        <f t="shared" si="56"/>
        <v>0.38883773276038469</v>
      </c>
      <c r="J157" s="69">
        <v>147</v>
      </c>
      <c r="K157" s="70">
        <f t="shared" si="57"/>
        <v>7.5199508901166359E-3</v>
      </c>
      <c r="L157" s="70">
        <f t="shared" si="58"/>
        <v>1.9339560584133667E-2</v>
      </c>
      <c r="M157" s="69">
        <v>56</v>
      </c>
      <c r="N157" s="70">
        <f t="shared" si="59"/>
        <v>2.8647431962349089E-3</v>
      </c>
      <c r="O157" s="67" t="s">
        <v>21</v>
      </c>
    </row>
    <row r="158" spans="1:15" x14ac:dyDescent="0.3">
      <c r="A158" s="66" t="s">
        <v>125</v>
      </c>
      <c r="B158" s="67" t="s">
        <v>15</v>
      </c>
      <c r="C158" s="67" t="s">
        <v>21</v>
      </c>
      <c r="D158" s="68">
        <v>44964</v>
      </c>
      <c r="E158" s="69">
        <v>21578</v>
      </c>
      <c r="F158" s="70">
        <f t="shared" si="55"/>
        <v>0.99888775604782654</v>
      </c>
      <c r="G158" s="69">
        <v>24</v>
      </c>
      <c r="H158" s="69">
        <v>8888</v>
      </c>
      <c r="I158" s="70">
        <f t="shared" si="56"/>
        <v>0.41190101028825654</v>
      </c>
      <c r="J158" s="69">
        <v>140</v>
      </c>
      <c r="K158" s="70">
        <f t="shared" si="57"/>
        <v>6.4880897210121422E-3</v>
      </c>
      <c r="L158" s="70">
        <f t="shared" si="58"/>
        <v>1.5751575157515751E-2</v>
      </c>
      <c r="M158" s="69">
        <v>34</v>
      </c>
      <c r="N158" s="70">
        <f t="shared" si="59"/>
        <v>1.575678932245806E-3</v>
      </c>
      <c r="O158" s="67" t="s">
        <v>21</v>
      </c>
    </row>
    <row r="159" spans="1:15" x14ac:dyDescent="0.3">
      <c r="A159" s="66" t="s">
        <v>17</v>
      </c>
      <c r="B159" s="67" t="s">
        <v>18</v>
      </c>
      <c r="C159" s="67" t="s">
        <v>16</v>
      </c>
      <c r="D159" s="68">
        <v>44964</v>
      </c>
      <c r="E159" s="69">
        <v>423191</v>
      </c>
      <c r="F159" s="70">
        <f t="shared" si="55"/>
        <v>0.99862000845953713</v>
      </c>
      <c r="G159" s="69">
        <v>584</v>
      </c>
      <c r="H159" s="69">
        <v>165354</v>
      </c>
      <c r="I159" s="70">
        <f t="shared" si="56"/>
        <v>0.39073137188645318</v>
      </c>
      <c r="J159" s="69">
        <v>2220</v>
      </c>
      <c r="K159" s="70">
        <f t="shared" si="57"/>
        <v>5.2458582531292016E-3</v>
      </c>
      <c r="L159" s="70">
        <f t="shared" si="58"/>
        <v>1.3425741137196559E-2</v>
      </c>
      <c r="M159" s="69">
        <v>569</v>
      </c>
      <c r="N159" s="70">
        <f t="shared" si="59"/>
        <v>1.3445465522659982E-3</v>
      </c>
      <c r="O159" s="67" t="s">
        <v>16</v>
      </c>
    </row>
    <row r="160" spans="1:15" x14ac:dyDescent="0.3">
      <c r="A160" s="66" t="s">
        <v>17</v>
      </c>
      <c r="B160" s="67" t="s">
        <v>15</v>
      </c>
      <c r="C160" s="67" t="s">
        <v>16</v>
      </c>
      <c r="D160" s="68">
        <v>44964</v>
      </c>
      <c r="E160" s="69">
        <v>211898</v>
      </c>
      <c r="F160" s="70">
        <f t="shared" si="55"/>
        <v>0.99800375652436546</v>
      </c>
      <c r="G160" s="69">
        <v>423</v>
      </c>
      <c r="H160" s="69">
        <v>77828</v>
      </c>
      <c r="I160" s="70">
        <f t="shared" si="56"/>
        <v>0.36728992250988685</v>
      </c>
      <c r="J160" s="69">
        <v>1608</v>
      </c>
      <c r="K160" s="70">
        <f t="shared" si="57"/>
        <v>7.5885567584403815E-3</v>
      </c>
      <c r="L160" s="70">
        <f t="shared" si="58"/>
        <v>2.0660944647170686E-2</v>
      </c>
      <c r="M160" s="69">
        <v>126</v>
      </c>
      <c r="N160" s="70">
        <f t="shared" si="59"/>
        <v>5.946257161464478E-4</v>
      </c>
      <c r="O160" s="67" t="s">
        <v>16</v>
      </c>
    </row>
    <row r="161" spans="1:15" x14ac:dyDescent="0.3">
      <c r="A161" s="66" t="s">
        <v>29</v>
      </c>
      <c r="B161" s="67" t="s">
        <v>18</v>
      </c>
      <c r="C161" s="67" t="s">
        <v>16</v>
      </c>
      <c r="D161" s="68">
        <v>44964</v>
      </c>
      <c r="E161" s="69">
        <v>25117</v>
      </c>
      <c r="F161" s="70">
        <f t="shared" si="55"/>
        <v>0.99940279491977546</v>
      </c>
      <c r="G161" s="69">
        <v>15</v>
      </c>
      <c r="H161" s="69">
        <v>9540</v>
      </c>
      <c r="I161" s="70">
        <f t="shared" si="56"/>
        <v>0.37982243102281321</v>
      </c>
      <c r="J161" s="69">
        <v>213</v>
      </c>
      <c r="K161" s="70">
        <f t="shared" si="57"/>
        <v>8.4803121391885967E-3</v>
      </c>
      <c r="L161" s="70">
        <f t="shared" si="58"/>
        <v>2.2327044025157231E-2</v>
      </c>
      <c r="M161" s="69">
        <v>26</v>
      </c>
      <c r="N161" s="70">
        <f t="shared" si="59"/>
        <v>1.0351554723892185E-3</v>
      </c>
      <c r="O161" s="67" t="s">
        <v>16</v>
      </c>
    </row>
    <row r="162" spans="1:15" x14ac:dyDescent="0.3">
      <c r="A162" s="66" t="s">
        <v>29</v>
      </c>
      <c r="B162" s="67" t="s">
        <v>15</v>
      </c>
      <c r="C162" s="67" t="s">
        <v>16</v>
      </c>
      <c r="D162" s="68">
        <v>44964</v>
      </c>
      <c r="E162" s="69">
        <v>22832</v>
      </c>
      <c r="F162" s="70">
        <f t="shared" si="55"/>
        <v>0.99938682550805891</v>
      </c>
      <c r="G162" s="69">
        <v>14</v>
      </c>
      <c r="H162" s="69">
        <v>8237</v>
      </c>
      <c r="I162" s="70">
        <f t="shared" si="56"/>
        <v>0.3607655921513665</v>
      </c>
      <c r="J162" s="69">
        <v>235</v>
      </c>
      <c r="K162" s="70">
        <f t="shared" si="57"/>
        <v>1.0292571829011913E-2</v>
      </c>
      <c r="L162" s="70">
        <f t="shared" si="58"/>
        <v>2.8529804540488042E-2</v>
      </c>
      <c r="M162" s="69">
        <v>14</v>
      </c>
      <c r="N162" s="70">
        <f t="shared" si="59"/>
        <v>6.1317449194113526E-4</v>
      </c>
      <c r="O162" s="67" t="s">
        <v>16</v>
      </c>
    </row>
    <row r="163" spans="1:15" x14ac:dyDescent="0.3">
      <c r="A163" s="66" t="s">
        <v>126</v>
      </c>
      <c r="B163" s="67" t="s">
        <v>18</v>
      </c>
      <c r="C163" s="67" t="s">
        <v>16</v>
      </c>
      <c r="D163" s="68">
        <v>44965</v>
      </c>
      <c r="E163" s="69">
        <v>2520980</v>
      </c>
      <c r="F163" s="70">
        <f t="shared" si="55"/>
        <v>0.9980261644281192</v>
      </c>
      <c r="G163" s="69">
        <v>4976</v>
      </c>
      <c r="H163" s="69">
        <v>928809</v>
      </c>
      <c r="I163" s="70">
        <f t="shared" si="56"/>
        <v>0.36843172099738991</v>
      </c>
      <c r="J163" s="69">
        <v>13439</v>
      </c>
      <c r="K163" s="70">
        <f t="shared" si="57"/>
        <v>5.3308633943942437E-3</v>
      </c>
      <c r="L163" s="70">
        <f t="shared" si="58"/>
        <v>1.446906737553146E-2</v>
      </c>
      <c r="M163" s="69">
        <v>9534</v>
      </c>
      <c r="N163" s="70">
        <f t="shared" si="59"/>
        <v>3.7818626089853946E-3</v>
      </c>
      <c r="O163" s="67" t="s">
        <v>16</v>
      </c>
    </row>
    <row r="164" spans="1:15" x14ac:dyDescent="0.3">
      <c r="A164" s="66" t="s">
        <v>126</v>
      </c>
      <c r="B164" s="67" t="s">
        <v>15</v>
      </c>
      <c r="C164" s="67" t="s">
        <v>16</v>
      </c>
      <c r="D164" s="68">
        <v>44965</v>
      </c>
      <c r="E164" s="69">
        <v>2200578</v>
      </c>
      <c r="F164" s="70">
        <f t="shared" si="55"/>
        <v>0.99779966899605466</v>
      </c>
      <c r="G164" s="69">
        <v>4842</v>
      </c>
      <c r="H164" s="69">
        <v>1001588</v>
      </c>
      <c r="I164" s="70">
        <f t="shared" si="56"/>
        <v>0.45514769301519875</v>
      </c>
      <c r="J164" s="69">
        <v>11450</v>
      </c>
      <c r="K164" s="70">
        <f t="shared" si="57"/>
        <v>5.2031784376650137E-3</v>
      </c>
      <c r="L164" s="70">
        <f t="shared" si="58"/>
        <v>1.1431846228189635E-2</v>
      </c>
      <c r="M164" s="69">
        <v>3589</v>
      </c>
      <c r="N164" s="70">
        <f t="shared" si="59"/>
        <v>1.6309351452209375E-3</v>
      </c>
      <c r="O164" s="67" t="s">
        <v>16</v>
      </c>
    </row>
    <row r="165" spans="1:15" x14ac:dyDescent="0.3">
      <c r="A165" s="66" t="s">
        <v>127</v>
      </c>
      <c r="B165" s="67" t="s">
        <v>18</v>
      </c>
      <c r="C165" s="67" t="s">
        <v>16</v>
      </c>
      <c r="D165" s="68">
        <v>44965</v>
      </c>
      <c r="E165" s="69">
        <v>235847</v>
      </c>
      <c r="F165" s="70">
        <f t="shared" si="55"/>
        <v>0.99866862839043957</v>
      </c>
      <c r="G165" s="69">
        <v>314</v>
      </c>
      <c r="H165" s="69">
        <v>82451</v>
      </c>
      <c r="I165" s="70">
        <f t="shared" si="56"/>
        <v>0.34959528847091548</v>
      </c>
      <c r="J165" s="69">
        <v>1789</v>
      </c>
      <c r="K165" s="70">
        <f t="shared" si="57"/>
        <v>7.5854261449159839E-3</v>
      </c>
      <c r="L165" s="70">
        <f t="shared" si="58"/>
        <v>2.1697735624795333E-2</v>
      </c>
      <c r="M165" s="69">
        <v>1782</v>
      </c>
      <c r="N165" s="70">
        <f t="shared" si="59"/>
        <v>7.5557458861041267E-3</v>
      </c>
      <c r="O165" s="67" t="s">
        <v>16</v>
      </c>
    </row>
    <row r="166" spans="1:15" x14ac:dyDescent="0.3">
      <c r="A166" s="66" t="s">
        <v>127</v>
      </c>
      <c r="B166" s="67" t="s">
        <v>15</v>
      </c>
      <c r="C166" s="67" t="s">
        <v>16</v>
      </c>
      <c r="D166" s="68">
        <v>44965</v>
      </c>
      <c r="E166" s="69">
        <v>124377</v>
      </c>
      <c r="F166" s="70">
        <f t="shared" si="55"/>
        <v>0.99925227333027811</v>
      </c>
      <c r="G166" s="69">
        <v>93</v>
      </c>
      <c r="H166" s="69">
        <v>41618</v>
      </c>
      <c r="I166" s="70">
        <f t="shared" si="56"/>
        <v>0.33461170473640622</v>
      </c>
      <c r="J166" s="69">
        <v>618</v>
      </c>
      <c r="K166" s="70">
        <f t="shared" si="57"/>
        <v>4.968764321377747E-3</v>
      </c>
      <c r="L166" s="70">
        <f t="shared" si="58"/>
        <v>1.4849344033831514E-2</v>
      </c>
      <c r="M166" s="69">
        <v>94</v>
      </c>
      <c r="N166" s="70">
        <f t="shared" si="59"/>
        <v>7.557667414393336E-4</v>
      </c>
      <c r="O166" s="67" t="s">
        <v>16</v>
      </c>
    </row>
    <row r="167" spans="1:15" x14ac:dyDescent="0.3">
      <c r="A167" s="66" t="s">
        <v>128</v>
      </c>
      <c r="B167" s="67" t="s">
        <v>15</v>
      </c>
      <c r="C167" s="67" t="s">
        <v>27</v>
      </c>
      <c r="D167" s="68">
        <v>44966</v>
      </c>
      <c r="E167" s="69">
        <v>212563</v>
      </c>
      <c r="F167" s="70">
        <f t="shared" si="55"/>
        <v>0.99807586456721065</v>
      </c>
      <c r="G167" s="69">
        <v>409</v>
      </c>
      <c r="H167" s="69">
        <v>79584</v>
      </c>
      <c r="I167" s="70">
        <f t="shared" si="56"/>
        <v>0.37440194201248572</v>
      </c>
      <c r="J167" s="69">
        <v>2121</v>
      </c>
      <c r="K167" s="70">
        <f t="shared" si="57"/>
        <v>9.9782182223623114E-3</v>
      </c>
      <c r="L167" s="70">
        <f t="shared" si="58"/>
        <v>2.665108564535585E-2</v>
      </c>
      <c r="M167" s="69">
        <v>2066</v>
      </c>
      <c r="N167" s="70">
        <f t="shared" si="59"/>
        <v>9.7194714037720578E-3</v>
      </c>
      <c r="O167" s="67" t="s">
        <v>27</v>
      </c>
    </row>
    <row r="168" spans="1:15" x14ac:dyDescent="0.3">
      <c r="A168" s="66" t="s">
        <v>26</v>
      </c>
      <c r="B168" s="67"/>
      <c r="C168" s="67" t="s">
        <v>23</v>
      </c>
      <c r="D168" s="68">
        <v>44966</v>
      </c>
      <c r="E168" s="69">
        <v>1671</v>
      </c>
      <c r="F168" s="70">
        <f t="shared" si="55"/>
        <v>0.99940155595451829</v>
      </c>
      <c r="G168" s="69">
        <v>1</v>
      </c>
      <c r="H168" s="69">
        <v>666</v>
      </c>
      <c r="I168" s="70">
        <f t="shared" si="56"/>
        <v>0.3985637342908438</v>
      </c>
      <c r="J168" s="69">
        <v>21</v>
      </c>
      <c r="K168" s="70">
        <f t="shared" si="57"/>
        <v>1.2567324955116697E-2</v>
      </c>
      <c r="L168" s="70">
        <f t="shared" si="58"/>
        <v>3.1531531531531529E-2</v>
      </c>
      <c r="M168" s="69">
        <v>0</v>
      </c>
      <c r="N168" s="70">
        <f t="shared" si="59"/>
        <v>0</v>
      </c>
      <c r="O168" s="67" t="s">
        <v>23</v>
      </c>
    </row>
    <row r="169" spans="1:15" x14ac:dyDescent="0.3">
      <c r="A169" s="66" t="s">
        <v>129</v>
      </c>
      <c r="B169" s="67" t="s">
        <v>15</v>
      </c>
      <c r="C169" s="67" t="s">
        <v>16</v>
      </c>
      <c r="D169" s="68">
        <v>44966</v>
      </c>
      <c r="E169" s="69">
        <v>145794</v>
      </c>
      <c r="F169" s="70">
        <f t="shared" si="55"/>
        <v>0.99858018848512287</v>
      </c>
      <c r="G169" s="69">
        <v>207</v>
      </c>
      <c r="H169" s="69">
        <v>58340</v>
      </c>
      <c r="I169" s="70">
        <f t="shared" si="56"/>
        <v>0.40015364143929105</v>
      </c>
      <c r="J169" s="69">
        <v>783</v>
      </c>
      <c r="K169" s="70">
        <f t="shared" si="57"/>
        <v>5.3705913823614143E-3</v>
      </c>
      <c r="L169" s="70">
        <f t="shared" si="58"/>
        <v>1.3421323277339733E-2</v>
      </c>
      <c r="M169" s="69">
        <v>126</v>
      </c>
      <c r="N169" s="70">
        <f t="shared" si="59"/>
        <v>8.6423309601218155E-4</v>
      </c>
      <c r="O169" s="67" t="s">
        <v>16</v>
      </c>
    </row>
    <row r="170" spans="1:15" x14ac:dyDescent="0.3">
      <c r="A170" s="66" t="s">
        <v>130</v>
      </c>
      <c r="B170" s="67" t="s">
        <v>18</v>
      </c>
      <c r="C170" s="67" t="s">
        <v>16</v>
      </c>
      <c r="D170" s="68">
        <v>44966</v>
      </c>
      <c r="E170" s="69">
        <v>17001</v>
      </c>
      <c r="F170" s="70">
        <f t="shared" si="55"/>
        <v>0.99764719722369277</v>
      </c>
      <c r="G170" s="69">
        <v>40</v>
      </c>
      <c r="H170" s="69">
        <v>6851</v>
      </c>
      <c r="I170" s="70">
        <f t="shared" si="56"/>
        <v>0.40297629551202868</v>
      </c>
      <c r="J170" s="69">
        <v>106</v>
      </c>
      <c r="K170" s="70">
        <f t="shared" si="57"/>
        <v>6.2349273572142819E-3</v>
      </c>
      <c r="L170" s="70">
        <f t="shared" si="58"/>
        <v>1.5472193840315283E-2</v>
      </c>
      <c r="M170" s="69">
        <v>34</v>
      </c>
      <c r="N170" s="70">
        <f t="shared" si="59"/>
        <v>1.9998823598611848E-3</v>
      </c>
      <c r="O170" s="67" t="s">
        <v>16</v>
      </c>
    </row>
    <row r="171" spans="1:15" x14ac:dyDescent="0.3">
      <c r="A171" s="66" t="s">
        <v>130</v>
      </c>
      <c r="B171" s="67" t="s">
        <v>15</v>
      </c>
      <c r="C171" s="67" t="s">
        <v>16</v>
      </c>
      <c r="D171" s="68">
        <v>44966</v>
      </c>
      <c r="E171" s="69">
        <v>42932</v>
      </c>
      <c r="F171" s="70">
        <f t="shared" si="55"/>
        <v>0.99843939252771829</v>
      </c>
      <c r="G171" s="69">
        <v>67</v>
      </c>
      <c r="H171" s="69">
        <v>17067</v>
      </c>
      <c r="I171" s="70">
        <f t="shared" si="56"/>
        <v>0.39753563775272521</v>
      </c>
      <c r="J171" s="69">
        <v>169</v>
      </c>
      <c r="K171" s="70">
        <f t="shared" si="57"/>
        <v>3.9364576539644086E-3</v>
      </c>
      <c r="L171" s="70">
        <f t="shared" si="58"/>
        <v>9.9021503486260033E-3</v>
      </c>
      <c r="M171" s="69">
        <v>21</v>
      </c>
      <c r="N171" s="70">
        <f t="shared" si="59"/>
        <v>4.891456256405478E-4</v>
      </c>
      <c r="O171" s="67" t="s">
        <v>16</v>
      </c>
    </row>
    <row r="172" spans="1:15" x14ac:dyDescent="0.3">
      <c r="A172" s="66" t="s">
        <v>19</v>
      </c>
      <c r="B172" s="67" t="s">
        <v>18</v>
      </c>
      <c r="C172" s="67" t="s">
        <v>21</v>
      </c>
      <c r="D172" s="68">
        <v>44967</v>
      </c>
      <c r="E172" s="69">
        <v>333199</v>
      </c>
      <c r="F172" s="70">
        <f t="shared" si="55"/>
        <v>0.99785113400700487</v>
      </c>
      <c r="G172" s="69">
        <v>716</v>
      </c>
      <c r="H172" s="69">
        <v>123850</v>
      </c>
      <c r="I172" s="70">
        <f t="shared" si="56"/>
        <v>0.37169979501739203</v>
      </c>
      <c r="J172" s="69">
        <v>2709</v>
      </c>
      <c r="K172" s="70">
        <f t="shared" si="57"/>
        <v>8.1302765014300768E-3</v>
      </c>
      <c r="L172" s="70">
        <f t="shared" si="58"/>
        <v>2.1873233750504643E-2</v>
      </c>
      <c r="M172" s="69">
        <v>417</v>
      </c>
      <c r="N172" s="70">
        <f t="shared" si="59"/>
        <v>1.2515043562555709E-3</v>
      </c>
      <c r="O172" s="67" t="s">
        <v>21</v>
      </c>
    </row>
    <row r="173" spans="1:15" x14ac:dyDescent="0.3">
      <c r="A173" s="66" t="s">
        <v>33</v>
      </c>
      <c r="B173" s="67" t="s">
        <v>18</v>
      </c>
      <c r="C173" s="67" t="s">
        <v>21</v>
      </c>
      <c r="D173" s="68">
        <v>44967</v>
      </c>
      <c r="E173" s="69">
        <v>248900</v>
      </c>
      <c r="F173" s="70">
        <f t="shared" si="55"/>
        <v>0.99873844917637611</v>
      </c>
      <c r="G173" s="69">
        <v>314</v>
      </c>
      <c r="H173" s="69">
        <v>111507</v>
      </c>
      <c r="I173" s="70">
        <f t="shared" si="56"/>
        <v>0.44799919646444353</v>
      </c>
      <c r="J173" s="69">
        <v>1758</v>
      </c>
      <c r="K173" s="70">
        <f t="shared" si="57"/>
        <v>7.0630775411811971E-3</v>
      </c>
      <c r="L173" s="70">
        <f t="shared" si="58"/>
        <v>1.5765826360676909E-2</v>
      </c>
      <c r="M173" s="69">
        <v>400</v>
      </c>
      <c r="N173" s="70">
        <f t="shared" si="59"/>
        <v>1.6070711128967456E-3</v>
      </c>
      <c r="O173" s="67" t="s">
        <v>21</v>
      </c>
    </row>
    <row r="174" spans="1:15" x14ac:dyDescent="0.3">
      <c r="A174" s="66" t="s">
        <v>135</v>
      </c>
      <c r="B174" s="67" t="s">
        <v>18</v>
      </c>
      <c r="C174" s="67" t="s">
        <v>16</v>
      </c>
      <c r="D174" s="68">
        <v>44967</v>
      </c>
      <c r="E174" s="69">
        <v>2397128</v>
      </c>
      <c r="F174" s="70">
        <f t="shared" si="55"/>
        <v>0.99773437213198457</v>
      </c>
      <c r="G174" s="69">
        <v>5431</v>
      </c>
      <c r="H174" s="69">
        <v>865159</v>
      </c>
      <c r="I174" s="70">
        <f t="shared" si="56"/>
        <v>0.36091481139096454</v>
      </c>
      <c r="J174" s="69">
        <v>12529</v>
      </c>
      <c r="K174" s="70">
        <f t="shared" si="57"/>
        <v>5.2266712499290822E-3</v>
      </c>
      <c r="L174" s="70">
        <f t="shared" si="58"/>
        <v>1.448173110376243E-2</v>
      </c>
      <c r="M174" s="69">
        <v>7661</v>
      </c>
      <c r="N174" s="70">
        <f t="shared" si="59"/>
        <v>3.1959077696309918E-3</v>
      </c>
      <c r="O174" s="67" t="s">
        <v>16</v>
      </c>
    </row>
    <row r="175" spans="1:15" x14ac:dyDescent="0.3">
      <c r="A175" s="66" t="s">
        <v>135</v>
      </c>
      <c r="B175" s="67" t="s">
        <v>15</v>
      </c>
      <c r="C175" s="67" t="s">
        <v>16</v>
      </c>
      <c r="D175" s="68">
        <v>44967</v>
      </c>
      <c r="E175" s="69">
        <v>2101851</v>
      </c>
      <c r="F175" s="70">
        <f t="shared" si="55"/>
        <v>0.99799985822020687</v>
      </c>
      <c r="G175" s="69">
        <v>4204</v>
      </c>
      <c r="H175" s="69">
        <v>772971</v>
      </c>
      <c r="I175" s="70">
        <f t="shared" si="56"/>
        <v>0.36775727680030601</v>
      </c>
      <c r="J175" s="69">
        <v>8957</v>
      </c>
      <c r="K175" s="70">
        <f t="shared" si="57"/>
        <v>4.261481903331873E-3</v>
      </c>
      <c r="L175" s="70">
        <f t="shared" si="58"/>
        <v>1.1587756849868883E-2</v>
      </c>
      <c r="M175" s="69">
        <v>1966</v>
      </c>
      <c r="N175" s="70">
        <f t="shared" si="59"/>
        <v>9.3536601785759309E-4</v>
      </c>
      <c r="O175" s="67" t="s">
        <v>16</v>
      </c>
    </row>
    <row r="176" spans="1:15" x14ac:dyDescent="0.3">
      <c r="A176" s="66" t="s">
        <v>136</v>
      </c>
      <c r="B176" s="67" t="s">
        <v>18</v>
      </c>
      <c r="C176" s="67" t="s">
        <v>16</v>
      </c>
      <c r="D176" s="68">
        <v>44967</v>
      </c>
      <c r="E176" s="69">
        <v>223458</v>
      </c>
      <c r="F176" s="70">
        <f t="shared" si="55"/>
        <v>0.9986529907186138</v>
      </c>
      <c r="G176" s="69">
        <v>301</v>
      </c>
      <c r="H176" s="69">
        <v>76431</v>
      </c>
      <c r="I176" s="70">
        <f t="shared" si="56"/>
        <v>0.34203742985258972</v>
      </c>
      <c r="J176" s="69">
        <v>1622</v>
      </c>
      <c r="K176" s="70">
        <f t="shared" si="57"/>
        <v>7.2586347322539362E-3</v>
      </c>
      <c r="L176" s="70">
        <f t="shared" si="58"/>
        <v>2.1221755570383746E-2</v>
      </c>
      <c r="M176" s="69">
        <v>1167</v>
      </c>
      <c r="N176" s="70">
        <f t="shared" si="59"/>
        <v>5.2224579115538487E-3</v>
      </c>
      <c r="O176" s="67" t="s">
        <v>16</v>
      </c>
    </row>
    <row r="177" spans="1:15" x14ac:dyDescent="0.3">
      <c r="A177" s="66" t="s">
        <v>136</v>
      </c>
      <c r="B177" s="67" t="s">
        <v>15</v>
      </c>
      <c r="C177" s="67" t="s">
        <v>16</v>
      </c>
      <c r="D177" s="68">
        <v>44967</v>
      </c>
      <c r="E177" s="69">
        <v>118347</v>
      </c>
      <c r="F177" s="70">
        <f t="shared" si="55"/>
        <v>0.99912967798085295</v>
      </c>
      <c r="G177" s="69">
        <v>103</v>
      </c>
      <c r="H177" s="69">
        <v>39219</v>
      </c>
      <c r="I177" s="70">
        <f t="shared" si="56"/>
        <v>0.33138989581484957</v>
      </c>
      <c r="J177" s="69">
        <v>536</v>
      </c>
      <c r="K177" s="70">
        <f t="shared" si="57"/>
        <v>4.5290543909013324E-3</v>
      </c>
      <c r="L177" s="70">
        <f t="shared" si="58"/>
        <v>1.3666845151584691E-2</v>
      </c>
      <c r="M177" s="69">
        <v>84</v>
      </c>
      <c r="N177" s="70">
        <f t="shared" si="59"/>
        <v>7.0977718066364168E-4</v>
      </c>
      <c r="O177" s="67" t="s">
        <v>16</v>
      </c>
    </row>
    <row r="178" spans="1:15" x14ac:dyDescent="0.3">
      <c r="A178" s="66" t="s">
        <v>131</v>
      </c>
      <c r="B178" s="67" t="s">
        <v>15</v>
      </c>
      <c r="C178" s="67" t="s">
        <v>16</v>
      </c>
      <c r="D178" s="68">
        <v>44967</v>
      </c>
      <c r="E178" s="69">
        <v>16629</v>
      </c>
      <c r="F178" s="70">
        <f t="shared" si="55"/>
        <v>0.99861687413554634</v>
      </c>
      <c r="G178" s="69">
        <v>23</v>
      </c>
      <c r="H178" s="69">
        <v>6314</v>
      </c>
      <c r="I178" s="70">
        <f t="shared" si="56"/>
        <v>0.37969811774610618</v>
      </c>
      <c r="J178" s="69">
        <v>52</v>
      </c>
      <c r="K178" s="70">
        <f t="shared" si="57"/>
        <v>3.1270671718082866E-3</v>
      </c>
      <c r="L178" s="70">
        <f t="shared" si="58"/>
        <v>8.2356667722521381E-3</v>
      </c>
      <c r="M178" s="69">
        <v>13</v>
      </c>
      <c r="N178" s="70">
        <f t="shared" si="59"/>
        <v>7.8176679295207166E-4</v>
      </c>
      <c r="O178" s="67" t="s">
        <v>16</v>
      </c>
    </row>
    <row r="179" spans="1:15" x14ac:dyDescent="0.3">
      <c r="A179" s="66" t="s">
        <v>132</v>
      </c>
      <c r="B179" s="67" t="s">
        <v>15</v>
      </c>
      <c r="C179" s="67" t="s">
        <v>16</v>
      </c>
      <c r="D179" s="68">
        <v>44967</v>
      </c>
      <c r="E179" s="69">
        <v>315541</v>
      </c>
      <c r="F179" s="70">
        <f t="shared" si="55"/>
        <v>0.99837105162245154</v>
      </c>
      <c r="G179" s="69">
        <v>514</v>
      </c>
      <c r="H179" s="69">
        <v>123936</v>
      </c>
      <c r="I179" s="70">
        <f t="shared" si="56"/>
        <v>0.3927730469257561</v>
      </c>
      <c r="J179" s="69">
        <v>903</v>
      </c>
      <c r="K179" s="70">
        <f t="shared" si="57"/>
        <v>2.8617517216463152E-3</v>
      </c>
      <c r="L179" s="70">
        <f t="shared" si="58"/>
        <v>7.2860185902401241E-3</v>
      </c>
      <c r="M179" s="69">
        <v>231</v>
      </c>
      <c r="N179" s="70">
        <f t="shared" si="59"/>
        <v>7.3207602181649925E-4</v>
      </c>
      <c r="O179" s="67" t="s">
        <v>16</v>
      </c>
    </row>
    <row r="180" spans="1:15" x14ac:dyDescent="0.3">
      <c r="A180" s="66" t="s">
        <v>133</v>
      </c>
      <c r="B180" s="67" t="s">
        <v>15</v>
      </c>
      <c r="C180" s="67" t="s">
        <v>16</v>
      </c>
      <c r="D180" s="68">
        <v>44967</v>
      </c>
      <c r="E180" s="69">
        <v>1362</v>
      </c>
      <c r="F180" s="70">
        <f t="shared" si="55"/>
        <v>0.99926578560939794</v>
      </c>
      <c r="G180" s="69">
        <v>1</v>
      </c>
      <c r="H180" s="69">
        <v>483</v>
      </c>
      <c r="I180" s="70">
        <f t="shared" si="56"/>
        <v>0.35462555066079293</v>
      </c>
      <c r="J180" s="69">
        <v>5</v>
      </c>
      <c r="K180" s="70">
        <f t="shared" si="57"/>
        <v>3.6710719530102789E-3</v>
      </c>
      <c r="L180" s="70">
        <f t="shared" si="58"/>
        <v>1.0351966873706004E-2</v>
      </c>
      <c r="M180" s="69">
        <v>0</v>
      </c>
      <c r="N180" s="70">
        <f t="shared" si="59"/>
        <v>0</v>
      </c>
      <c r="O180" s="67" t="s">
        <v>16</v>
      </c>
    </row>
    <row r="181" spans="1:15" x14ac:dyDescent="0.3">
      <c r="A181" s="66" t="s">
        <v>134</v>
      </c>
      <c r="B181" s="67" t="s">
        <v>15</v>
      </c>
      <c r="C181" s="67" t="s">
        <v>16</v>
      </c>
      <c r="D181" s="68">
        <v>44967</v>
      </c>
      <c r="E181" s="69">
        <v>25465</v>
      </c>
      <c r="F181" s="70">
        <f t="shared" si="55"/>
        <v>0.99929314745729436</v>
      </c>
      <c r="G181" s="69">
        <v>18</v>
      </c>
      <c r="H181" s="69">
        <v>8914</v>
      </c>
      <c r="I181" s="70">
        <f t="shared" si="56"/>
        <v>0.35004908698213233</v>
      </c>
      <c r="J181" s="69">
        <v>71</v>
      </c>
      <c r="K181" s="70">
        <f t="shared" si="57"/>
        <v>2.7881405851168271E-3</v>
      </c>
      <c r="L181" s="70">
        <f t="shared" si="58"/>
        <v>7.964998878169172E-3</v>
      </c>
      <c r="M181" s="69">
        <v>14</v>
      </c>
      <c r="N181" s="70">
        <f t="shared" si="59"/>
        <v>5.4977419988219125E-4</v>
      </c>
      <c r="O181" s="67" t="s">
        <v>16</v>
      </c>
    </row>
    <row r="182" spans="1:15" x14ac:dyDescent="0.3">
      <c r="A182" s="66" t="s">
        <v>22</v>
      </c>
      <c r="B182" s="67" t="s">
        <v>18</v>
      </c>
      <c r="C182" s="67" t="s">
        <v>16</v>
      </c>
      <c r="D182" s="68">
        <v>44967</v>
      </c>
      <c r="E182" s="69">
        <v>2176409</v>
      </c>
      <c r="F182" s="70">
        <f t="shared" si="55"/>
        <v>0.99820254373144024</v>
      </c>
      <c r="G182" s="69">
        <v>3912</v>
      </c>
      <c r="H182" s="69">
        <v>784867</v>
      </c>
      <c r="I182" s="70">
        <f t="shared" si="56"/>
        <v>0.36062477227396139</v>
      </c>
      <c r="J182" s="69">
        <v>14505</v>
      </c>
      <c r="K182" s="70">
        <f t="shared" si="57"/>
        <v>6.6646480509867405E-3</v>
      </c>
      <c r="L182" s="70">
        <f t="shared" si="58"/>
        <v>1.8480838154744689E-2</v>
      </c>
      <c r="M182" s="69">
        <v>7705</v>
      </c>
      <c r="N182" s="70">
        <f t="shared" si="59"/>
        <v>3.5402353142263243E-3</v>
      </c>
      <c r="O182" s="67" t="s">
        <v>16</v>
      </c>
    </row>
    <row r="183" spans="1:15" x14ac:dyDescent="0.3">
      <c r="A183" s="66" t="s">
        <v>22</v>
      </c>
      <c r="B183" s="67" t="s">
        <v>15</v>
      </c>
      <c r="C183" s="67" t="s">
        <v>16</v>
      </c>
      <c r="D183" s="68">
        <v>44967</v>
      </c>
      <c r="E183" s="69">
        <v>1701825</v>
      </c>
      <c r="F183" s="70">
        <f t="shared" si="55"/>
        <v>0.99803916383882008</v>
      </c>
      <c r="G183" s="69">
        <v>3337</v>
      </c>
      <c r="H183" s="69">
        <v>626473</v>
      </c>
      <c r="I183" s="70">
        <f t="shared" si="56"/>
        <v>0.36811834354296125</v>
      </c>
      <c r="J183" s="69">
        <v>9672</v>
      </c>
      <c r="K183" s="70">
        <f t="shared" si="57"/>
        <v>5.6833105636596003E-3</v>
      </c>
      <c r="L183" s="70">
        <f t="shared" si="58"/>
        <v>1.543881380362761E-2</v>
      </c>
      <c r="M183" s="69">
        <v>1950</v>
      </c>
      <c r="N183" s="70">
        <f t="shared" si="59"/>
        <v>1.1458287426733065E-3</v>
      </c>
      <c r="O183" s="67" t="s">
        <v>16</v>
      </c>
    </row>
    <row r="184" spans="1:15" x14ac:dyDescent="0.3">
      <c r="A184" s="66" t="s">
        <v>28</v>
      </c>
      <c r="B184" s="67" t="s">
        <v>18</v>
      </c>
      <c r="C184" s="67" t="s">
        <v>16</v>
      </c>
      <c r="D184" s="68">
        <v>44967</v>
      </c>
      <c r="E184" s="69">
        <v>195605</v>
      </c>
      <c r="F184" s="70">
        <f t="shared" si="55"/>
        <v>0.99898264359295519</v>
      </c>
      <c r="G184" s="69">
        <v>199</v>
      </c>
      <c r="H184" s="69">
        <v>64938</v>
      </c>
      <c r="I184" s="70">
        <f t="shared" si="56"/>
        <v>0.33198537869686356</v>
      </c>
      <c r="J184" s="69">
        <v>1695</v>
      </c>
      <c r="K184" s="70">
        <f t="shared" si="57"/>
        <v>8.665422663019862E-3</v>
      </c>
      <c r="L184" s="70">
        <f t="shared" si="58"/>
        <v>2.6101820197727062E-2</v>
      </c>
      <c r="M184" s="69">
        <v>1095</v>
      </c>
      <c r="N184" s="70">
        <f t="shared" si="59"/>
        <v>5.5980164106234501E-3</v>
      </c>
      <c r="O184" s="67" t="s">
        <v>16</v>
      </c>
    </row>
    <row r="185" spans="1:15" x14ac:dyDescent="0.3">
      <c r="A185" s="66" t="s">
        <v>28</v>
      </c>
      <c r="B185" s="67" t="s">
        <v>15</v>
      </c>
      <c r="C185" s="67" t="s">
        <v>16</v>
      </c>
      <c r="D185" s="68">
        <v>44967</v>
      </c>
      <c r="E185" s="69">
        <v>96749</v>
      </c>
      <c r="F185" s="70">
        <f t="shared" si="55"/>
        <v>0.9992454702374185</v>
      </c>
      <c r="G185" s="69">
        <v>73</v>
      </c>
      <c r="H185" s="69">
        <v>30226</v>
      </c>
      <c r="I185" s="70">
        <f t="shared" si="56"/>
        <v>0.31241666580533134</v>
      </c>
      <c r="J185" s="69">
        <v>602</v>
      </c>
      <c r="K185" s="70">
        <f t="shared" si="57"/>
        <v>6.2222865352613461E-3</v>
      </c>
      <c r="L185" s="70">
        <f t="shared" si="58"/>
        <v>1.9916628068550254E-2</v>
      </c>
      <c r="M185" s="69">
        <v>84</v>
      </c>
      <c r="N185" s="70">
        <f t="shared" si="59"/>
        <v>8.6822602817600183E-4</v>
      </c>
      <c r="O185" s="67" t="s">
        <v>16</v>
      </c>
    </row>
    <row r="186" spans="1:15" x14ac:dyDescent="0.3">
      <c r="A186" s="76" t="s">
        <v>143</v>
      </c>
      <c r="B186" s="67" t="s">
        <v>15</v>
      </c>
      <c r="C186" s="67" t="s">
        <v>27</v>
      </c>
      <c r="D186" s="68">
        <v>44970</v>
      </c>
      <c r="E186" s="69">
        <v>11368</v>
      </c>
      <c r="F186" s="70">
        <f t="shared" si="55"/>
        <v>0.99736101337086558</v>
      </c>
      <c r="G186" s="69">
        <v>30</v>
      </c>
      <c r="H186" s="69">
        <v>4345</v>
      </c>
      <c r="I186" s="70">
        <f t="shared" si="56"/>
        <v>0.38221323011963404</v>
      </c>
      <c r="J186" s="69">
        <v>89</v>
      </c>
      <c r="K186" s="70">
        <f t="shared" ref="K186:K223" si="60">J186/E186</f>
        <v>7.8289936664320894E-3</v>
      </c>
      <c r="L186" s="70">
        <f t="shared" ref="L186:L223" si="61">J186/H186</f>
        <v>2.0483314154200231E-2</v>
      </c>
      <c r="M186" s="69">
        <v>7</v>
      </c>
      <c r="N186" s="70">
        <f t="shared" si="59"/>
        <v>6.1576354679802956E-4</v>
      </c>
      <c r="O186" s="67" t="s">
        <v>27</v>
      </c>
    </row>
    <row r="187" spans="1:15" x14ac:dyDescent="0.3">
      <c r="A187" s="76" t="s">
        <v>137</v>
      </c>
      <c r="B187" s="67" t="s">
        <v>15</v>
      </c>
      <c r="C187" s="67" t="s">
        <v>27</v>
      </c>
      <c r="D187" s="68">
        <v>44970</v>
      </c>
      <c r="E187" s="69">
        <v>10547</v>
      </c>
      <c r="F187" s="70">
        <f t="shared" si="55"/>
        <v>0.99706077557599315</v>
      </c>
      <c r="G187" s="69">
        <v>31</v>
      </c>
      <c r="H187" s="69">
        <v>3769</v>
      </c>
      <c r="I187" s="70">
        <f t="shared" si="56"/>
        <v>0.3573528017445719</v>
      </c>
      <c r="J187" s="69">
        <v>120</v>
      </c>
      <c r="K187" s="70">
        <f t="shared" si="60"/>
        <v>1.1377642931639328E-2</v>
      </c>
      <c r="L187" s="70">
        <f t="shared" si="61"/>
        <v>3.1838684001061289E-2</v>
      </c>
      <c r="M187" s="69">
        <v>12</v>
      </c>
      <c r="N187" s="70">
        <f t="shared" si="59"/>
        <v>1.1377642931639329E-3</v>
      </c>
      <c r="O187" s="67" t="s">
        <v>27</v>
      </c>
    </row>
    <row r="188" spans="1:15" x14ac:dyDescent="0.3">
      <c r="A188" s="76" t="s">
        <v>138</v>
      </c>
      <c r="B188" s="67" t="s">
        <v>15</v>
      </c>
      <c r="C188" s="67" t="s">
        <v>27</v>
      </c>
      <c r="D188" s="68">
        <v>44970</v>
      </c>
      <c r="E188" s="69">
        <v>12368</v>
      </c>
      <c r="F188" s="70">
        <f t="shared" si="55"/>
        <v>0.99854463130659765</v>
      </c>
      <c r="G188" s="69">
        <v>18</v>
      </c>
      <c r="H188" s="69">
        <v>4590</v>
      </c>
      <c r="I188" s="70">
        <f t="shared" si="56"/>
        <v>0.37111901681759379</v>
      </c>
      <c r="J188" s="69">
        <v>144</v>
      </c>
      <c r="K188" s="70">
        <f t="shared" si="60"/>
        <v>1.1642949547218629E-2</v>
      </c>
      <c r="L188" s="70">
        <f t="shared" si="61"/>
        <v>3.1372549019607843E-2</v>
      </c>
      <c r="M188" s="69">
        <v>11</v>
      </c>
      <c r="N188" s="70">
        <f t="shared" si="59"/>
        <v>8.8939197930142306E-4</v>
      </c>
      <c r="O188" s="67" t="s">
        <v>27</v>
      </c>
    </row>
    <row r="189" spans="1:15" x14ac:dyDescent="0.3">
      <c r="A189" s="76" t="s">
        <v>139</v>
      </c>
      <c r="B189" s="67" t="s">
        <v>15</v>
      </c>
      <c r="C189" s="67" t="s">
        <v>27</v>
      </c>
      <c r="D189" s="68">
        <v>44970</v>
      </c>
      <c r="E189" s="69">
        <v>268700</v>
      </c>
      <c r="F189" s="70">
        <f t="shared" si="55"/>
        <v>0.99769259397097132</v>
      </c>
      <c r="G189" s="69">
        <v>620</v>
      </c>
      <c r="H189" s="69">
        <v>94164</v>
      </c>
      <c r="I189" s="70">
        <f t="shared" si="56"/>
        <v>0.35044287309266842</v>
      </c>
      <c r="J189" s="69">
        <v>2598</v>
      </c>
      <c r="K189" s="70">
        <f t="shared" si="60"/>
        <v>9.6687755861555643E-3</v>
      </c>
      <c r="L189" s="70">
        <f t="shared" si="61"/>
        <v>2.7590161845291193E-2</v>
      </c>
      <c r="M189" s="69">
        <v>448</v>
      </c>
      <c r="N189" s="70">
        <f t="shared" si="59"/>
        <v>1.6672869371045776E-3</v>
      </c>
      <c r="O189" s="67" t="s">
        <v>27</v>
      </c>
    </row>
    <row r="190" spans="1:15" x14ac:dyDescent="0.3">
      <c r="A190" s="76" t="s">
        <v>141</v>
      </c>
      <c r="B190" s="67" t="s">
        <v>15</v>
      </c>
      <c r="C190" s="67" t="s">
        <v>27</v>
      </c>
      <c r="D190" s="68">
        <v>44971</v>
      </c>
      <c r="E190" s="69">
        <v>10533</v>
      </c>
      <c r="F190" s="70">
        <f t="shared" si="55"/>
        <v>0.99762650716794832</v>
      </c>
      <c r="G190" s="69">
        <v>25</v>
      </c>
      <c r="H190" s="69">
        <v>3766</v>
      </c>
      <c r="I190" s="70">
        <f t="shared" si="56"/>
        <v>0.35754296022026011</v>
      </c>
      <c r="J190" s="69">
        <v>74</v>
      </c>
      <c r="K190" s="70">
        <f t="shared" si="60"/>
        <v>7.0255387828728755E-3</v>
      </c>
      <c r="L190" s="70">
        <f t="shared" si="61"/>
        <v>1.9649495485926712E-2</v>
      </c>
      <c r="M190" s="69">
        <v>48</v>
      </c>
      <c r="N190" s="70">
        <f t="shared" si="59"/>
        <v>4.5571062375391628E-3</v>
      </c>
      <c r="O190" s="67" t="s">
        <v>27</v>
      </c>
    </row>
    <row r="191" spans="1:15" x14ac:dyDescent="0.3">
      <c r="A191" s="76" t="s">
        <v>144</v>
      </c>
      <c r="B191" s="67" t="s">
        <v>15</v>
      </c>
      <c r="C191" s="67" t="s">
        <v>27</v>
      </c>
      <c r="D191" s="68">
        <v>44971</v>
      </c>
      <c r="E191" s="69">
        <v>26598</v>
      </c>
      <c r="F191" s="70">
        <f t="shared" si="55"/>
        <v>0.99582675389127007</v>
      </c>
      <c r="G191" s="69">
        <v>111</v>
      </c>
      <c r="H191" s="69">
        <v>9640</v>
      </c>
      <c r="I191" s="70">
        <f t="shared" si="56"/>
        <v>0.36243326565907213</v>
      </c>
      <c r="J191" s="69">
        <v>179</v>
      </c>
      <c r="K191" s="70">
        <f t="shared" si="60"/>
        <v>6.7298293104744722E-3</v>
      </c>
      <c r="L191" s="70">
        <f t="shared" si="61"/>
        <v>1.8568464730290456E-2</v>
      </c>
      <c r="M191" s="69">
        <v>130</v>
      </c>
      <c r="N191" s="70">
        <f t="shared" si="59"/>
        <v>4.8875855327468231E-3</v>
      </c>
      <c r="O191" s="67" t="s">
        <v>27</v>
      </c>
    </row>
    <row r="192" spans="1:15" x14ac:dyDescent="0.3">
      <c r="A192" s="76" t="s">
        <v>142</v>
      </c>
      <c r="B192" s="67" t="s">
        <v>15</v>
      </c>
      <c r="C192" s="67" t="s">
        <v>27</v>
      </c>
      <c r="D192" s="68">
        <v>44971</v>
      </c>
      <c r="E192" s="69">
        <v>12340</v>
      </c>
      <c r="F192" s="70">
        <f t="shared" si="55"/>
        <v>0.99870340356564025</v>
      </c>
      <c r="G192" s="69">
        <v>16</v>
      </c>
      <c r="H192" s="69">
        <v>4585</v>
      </c>
      <c r="I192" s="70">
        <f t="shared" si="56"/>
        <v>0.37155591572123176</v>
      </c>
      <c r="J192" s="69">
        <v>89</v>
      </c>
      <c r="K192" s="70">
        <f t="shared" si="60"/>
        <v>7.2123176661264181E-3</v>
      </c>
      <c r="L192" s="70">
        <f t="shared" si="61"/>
        <v>1.9411123227917122E-2</v>
      </c>
      <c r="M192" s="69">
        <v>58</v>
      </c>
      <c r="N192" s="70">
        <f t="shared" si="59"/>
        <v>4.7001620745542949E-3</v>
      </c>
      <c r="O192" s="67" t="s">
        <v>27</v>
      </c>
    </row>
    <row r="193" spans="1:15" x14ac:dyDescent="0.3">
      <c r="A193" s="76" t="s">
        <v>140</v>
      </c>
      <c r="B193" s="67" t="s">
        <v>15</v>
      </c>
      <c r="C193" s="67" t="s">
        <v>27</v>
      </c>
      <c r="D193" s="68">
        <v>44971</v>
      </c>
      <c r="E193" s="69">
        <v>268120</v>
      </c>
      <c r="F193" s="70">
        <f t="shared" si="55"/>
        <v>0.99786662688348504</v>
      </c>
      <c r="G193" s="69">
        <v>572</v>
      </c>
      <c r="H193" s="69">
        <v>114038</v>
      </c>
      <c r="I193" s="70">
        <f t="shared" si="56"/>
        <v>0.42532448157541397</v>
      </c>
      <c r="J193" s="69">
        <v>2921</v>
      </c>
      <c r="K193" s="70">
        <f t="shared" si="60"/>
        <v>1.0894375652692825E-2</v>
      </c>
      <c r="L193" s="70">
        <f t="shared" si="61"/>
        <v>2.5614268927901227E-2</v>
      </c>
      <c r="M193" s="69">
        <v>2548</v>
      </c>
      <c r="N193" s="70">
        <f t="shared" si="59"/>
        <v>9.5032075190213342E-3</v>
      </c>
      <c r="O193" s="67" t="s">
        <v>27</v>
      </c>
    </row>
    <row r="194" spans="1:15" x14ac:dyDescent="0.3">
      <c r="A194" s="66" t="s">
        <v>29</v>
      </c>
      <c r="B194" s="67" t="s">
        <v>15</v>
      </c>
      <c r="C194" s="67" t="s">
        <v>16</v>
      </c>
      <c r="D194" s="68">
        <v>44971</v>
      </c>
      <c r="E194" s="69">
        <v>22832</v>
      </c>
      <c r="F194" s="70">
        <f t="shared" si="55"/>
        <v>0.99899264190609671</v>
      </c>
      <c r="G194" s="69">
        <v>23</v>
      </c>
      <c r="H194" s="69">
        <v>7975</v>
      </c>
      <c r="I194" s="70">
        <f t="shared" si="56"/>
        <v>0.34929046951646814</v>
      </c>
      <c r="J194" s="69">
        <v>188</v>
      </c>
      <c r="K194" s="70">
        <f t="shared" si="60"/>
        <v>8.234057463209531E-3</v>
      </c>
      <c r="L194" s="70">
        <f t="shared" si="61"/>
        <v>2.3573667711598745E-2</v>
      </c>
      <c r="M194" s="69">
        <v>20</v>
      </c>
      <c r="N194" s="70">
        <f t="shared" si="59"/>
        <v>8.7596355991590748E-4</v>
      </c>
      <c r="O194" s="67" t="s">
        <v>16</v>
      </c>
    </row>
    <row r="195" spans="1:15" x14ac:dyDescent="0.3">
      <c r="A195" s="66" t="s">
        <v>29</v>
      </c>
      <c r="B195" s="67" t="s">
        <v>18</v>
      </c>
      <c r="C195" s="67" t="s">
        <v>16</v>
      </c>
      <c r="D195" s="68">
        <v>44971</v>
      </c>
      <c r="E195" s="69">
        <v>25101</v>
      </c>
      <c r="F195" s="70">
        <f t="shared" si="55"/>
        <v>0.99916337994502213</v>
      </c>
      <c r="G195" s="69">
        <v>21</v>
      </c>
      <c r="H195" s="69">
        <v>9207</v>
      </c>
      <c r="I195" s="70">
        <f t="shared" si="56"/>
        <v>0.36679813553244889</v>
      </c>
      <c r="J195" s="69">
        <v>143</v>
      </c>
      <c r="K195" s="70">
        <f t="shared" si="60"/>
        <v>5.696984183897056E-3</v>
      </c>
      <c r="L195" s="70">
        <f t="shared" si="61"/>
        <v>1.5531660692951015E-2</v>
      </c>
      <c r="M195" s="69">
        <v>35</v>
      </c>
      <c r="N195" s="70">
        <f t="shared" si="59"/>
        <v>1.3943667582964822E-3</v>
      </c>
      <c r="O195" s="67" t="s">
        <v>16</v>
      </c>
    </row>
    <row r="196" spans="1:15" x14ac:dyDescent="0.3">
      <c r="A196" s="66" t="s">
        <v>17</v>
      </c>
      <c r="B196" s="67" t="s">
        <v>15</v>
      </c>
      <c r="C196" s="67" t="s">
        <v>16</v>
      </c>
      <c r="D196" s="68">
        <v>44971</v>
      </c>
      <c r="E196" s="69">
        <v>213217</v>
      </c>
      <c r="F196" s="70">
        <f t="shared" si="55"/>
        <v>0.99815211732647957</v>
      </c>
      <c r="G196" s="69">
        <v>394</v>
      </c>
      <c r="H196" s="69">
        <v>76129</v>
      </c>
      <c r="I196" s="70">
        <f t="shared" si="56"/>
        <v>0.3570493909960275</v>
      </c>
      <c r="J196" s="69">
        <v>1420</v>
      </c>
      <c r="K196" s="70">
        <f t="shared" si="60"/>
        <v>6.6598817167486642E-3</v>
      </c>
      <c r="L196" s="70">
        <f t="shared" si="61"/>
        <v>1.8652550276504355E-2</v>
      </c>
      <c r="M196" s="69">
        <v>115</v>
      </c>
      <c r="N196" s="70">
        <f t="shared" si="59"/>
        <v>5.3935661790570171E-4</v>
      </c>
      <c r="O196" s="67" t="s">
        <v>16</v>
      </c>
    </row>
    <row r="197" spans="1:15" x14ac:dyDescent="0.3">
      <c r="A197" s="66" t="s">
        <v>17</v>
      </c>
      <c r="B197" s="67" t="s">
        <v>18</v>
      </c>
      <c r="C197" s="67" t="s">
        <v>16</v>
      </c>
      <c r="D197" s="68">
        <v>44971</v>
      </c>
      <c r="E197" s="69">
        <v>425181</v>
      </c>
      <c r="F197" s="70">
        <f t="shared" si="55"/>
        <v>0.99863822701390703</v>
      </c>
      <c r="G197" s="69">
        <v>579</v>
      </c>
      <c r="H197" s="69">
        <v>163002</v>
      </c>
      <c r="I197" s="70">
        <f t="shared" si="56"/>
        <v>0.38337084676878785</v>
      </c>
      <c r="J197" s="69">
        <v>2075</v>
      </c>
      <c r="K197" s="70">
        <f t="shared" si="60"/>
        <v>4.8802745183815837E-3</v>
      </c>
      <c r="L197" s="70">
        <f t="shared" si="61"/>
        <v>1.2729905154537981E-2</v>
      </c>
      <c r="M197" s="69">
        <v>533</v>
      </c>
      <c r="N197" s="70">
        <f t="shared" si="59"/>
        <v>1.2535837678541609E-3</v>
      </c>
      <c r="O197" s="67" t="s">
        <v>16</v>
      </c>
    </row>
    <row r="198" spans="1:15" x14ac:dyDescent="0.3">
      <c r="A198" s="76" t="s">
        <v>145</v>
      </c>
      <c r="B198" s="67" t="s">
        <v>15</v>
      </c>
      <c r="C198" s="67" t="s">
        <v>21</v>
      </c>
      <c r="D198" s="68">
        <v>44971</v>
      </c>
      <c r="E198" s="69">
        <v>7979</v>
      </c>
      <c r="F198" s="70">
        <f t="shared" si="55"/>
        <v>0.9994986840456197</v>
      </c>
      <c r="G198" s="69">
        <v>4</v>
      </c>
      <c r="H198" s="69">
        <v>2511</v>
      </c>
      <c r="I198" s="70">
        <f t="shared" si="56"/>
        <v>0.31470109036220079</v>
      </c>
      <c r="J198" s="69">
        <v>35</v>
      </c>
      <c r="K198" s="70">
        <f t="shared" si="60"/>
        <v>4.3865146008271712E-3</v>
      </c>
      <c r="L198" s="70">
        <f t="shared" si="61"/>
        <v>1.3938669852648347E-2</v>
      </c>
      <c r="M198" s="69">
        <v>6</v>
      </c>
      <c r="N198" s="70">
        <f t="shared" si="59"/>
        <v>7.5197393157037224E-4</v>
      </c>
      <c r="O198" s="67" t="s">
        <v>21</v>
      </c>
    </row>
    <row r="199" spans="1:15" x14ac:dyDescent="0.3">
      <c r="A199" s="76" t="s">
        <v>145</v>
      </c>
      <c r="B199" s="67" t="s">
        <v>18</v>
      </c>
      <c r="C199" s="67" t="s">
        <v>21</v>
      </c>
      <c r="D199" s="68">
        <v>44971</v>
      </c>
      <c r="E199" s="69">
        <v>10759</v>
      </c>
      <c r="F199" s="70">
        <f t="shared" si="55"/>
        <v>0.99934938191281719</v>
      </c>
      <c r="G199" s="69">
        <v>7</v>
      </c>
      <c r="H199" s="69">
        <v>3667</v>
      </c>
      <c r="I199" s="70">
        <f t="shared" si="56"/>
        <v>0.3408309322427735</v>
      </c>
      <c r="J199" s="69">
        <v>58</v>
      </c>
      <c r="K199" s="70">
        <f t="shared" si="60"/>
        <v>5.3908355795148251E-3</v>
      </c>
      <c r="L199" s="70">
        <f t="shared" si="61"/>
        <v>1.5816743932369783E-2</v>
      </c>
      <c r="M199" s="69">
        <v>20</v>
      </c>
      <c r="N199" s="70">
        <f t="shared" si="59"/>
        <v>1.8589088205223534E-3</v>
      </c>
      <c r="O199" s="67" t="s">
        <v>21</v>
      </c>
    </row>
    <row r="200" spans="1:15" x14ac:dyDescent="0.3">
      <c r="A200" s="76" t="s">
        <v>146</v>
      </c>
      <c r="B200" s="67" t="s">
        <v>15</v>
      </c>
      <c r="C200" s="67" t="s">
        <v>21</v>
      </c>
      <c r="D200" s="68">
        <v>44971</v>
      </c>
      <c r="E200" s="69">
        <v>163172</v>
      </c>
      <c r="F200" s="70">
        <f t="shared" si="55"/>
        <v>0.99882945603412354</v>
      </c>
      <c r="G200" s="69">
        <v>191</v>
      </c>
      <c r="H200" s="69">
        <v>70410</v>
      </c>
      <c r="I200" s="70">
        <f t="shared" si="56"/>
        <v>0.43150785674012698</v>
      </c>
      <c r="J200" s="69">
        <v>805</v>
      </c>
      <c r="K200" s="70">
        <f t="shared" si="60"/>
        <v>4.9334444635108967E-3</v>
      </c>
      <c r="L200" s="70">
        <f t="shared" si="61"/>
        <v>1.1433035080244283E-2</v>
      </c>
      <c r="M200" s="69">
        <v>141</v>
      </c>
      <c r="N200" s="70">
        <f t="shared" si="59"/>
        <v>8.6411884391929988E-4</v>
      </c>
      <c r="O200" s="67" t="s">
        <v>21</v>
      </c>
    </row>
    <row r="201" spans="1:15" x14ac:dyDescent="0.3">
      <c r="A201" s="76" t="s">
        <v>146</v>
      </c>
      <c r="B201" s="67" t="s">
        <v>18</v>
      </c>
      <c r="C201" s="67" t="s">
        <v>21</v>
      </c>
      <c r="D201" s="68">
        <v>44971</v>
      </c>
      <c r="E201" s="69">
        <v>180341</v>
      </c>
      <c r="F201" s="70">
        <f t="shared" si="55"/>
        <v>0.99866364276564956</v>
      </c>
      <c r="G201" s="69">
        <v>241</v>
      </c>
      <c r="H201" s="69">
        <v>86070</v>
      </c>
      <c r="I201" s="70">
        <f t="shared" si="56"/>
        <v>0.47726251933836455</v>
      </c>
      <c r="J201" s="69">
        <v>1020</v>
      </c>
      <c r="K201" s="70">
        <f t="shared" si="60"/>
        <v>5.6559517802385485E-3</v>
      </c>
      <c r="L201" s="70">
        <f t="shared" si="61"/>
        <v>1.1850819100731963E-2</v>
      </c>
      <c r="M201" s="69">
        <v>327</v>
      </c>
      <c r="N201" s="70">
        <f t="shared" si="59"/>
        <v>1.8132316001352993E-3</v>
      </c>
      <c r="O201" s="67" t="s">
        <v>21</v>
      </c>
    </row>
    <row r="202" spans="1:15" x14ac:dyDescent="0.3">
      <c r="A202" s="76" t="s">
        <v>147</v>
      </c>
      <c r="B202" s="67"/>
      <c r="C202" s="67" t="s">
        <v>98</v>
      </c>
      <c r="D202" s="68">
        <v>44972</v>
      </c>
      <c r="E202" s="69">
        <v>7312</v>
      </c>
      <c r="F202" s="70">
        <f t="shared" si="55"/>
        <v>0.96074945295404812</v>
      </c>
      <c r="G202" s="69">
        <v>287</v>
      </c>
      <c r="H202" s="69">
        <v>3893</v>
      </c>
      <c r="I202" s="70">
        <f t="shared" si="56"/>
        <v>0.53241247264770242</v>
      </c>
      <c r="J202" s="69">
        <v>324</v>
      </c>
      <c r="K202" s="70">
        <f t="shared" si="60"/>
        <v>4.4310722100656452E-2</v>
      </c>
      <c r="L202" s="70">
        <f t="shared" si="61"/>
        <v>8.3226303621885434E-2</v>
      </c>
      <c r="M202" s="69">
        <v>95</v>
      </c>
      <c r="N202" s="70">
        <f t="shared" si="59"/>
        <v>1.299234135667396E-2</v>
      </c>
      <c r="O202" s="67" t="s">
        <v>98</v>
      </c>
    </row>
    <row r="203" spans="1:15" x14ac:dyDescent="0.3">
      <c r="A203" s="76" t="s">
        <v>148</v>
      </c>
      <c r="B203" s="67"/>
      <c r="C203" s="67" t="s">
        <v>98</v>
      </c>
      <c r="D203" s="68">
        <v>44972</v>
      </c>
      <c r="E203" s="69">
        <v>740</v>
      </c>
      <c r="F203" s="70">
        <f t="shared" si="55"/>
        <v>0.96486486486486489</v>
      </c>
      <c r="G203" s="69">
        <v>26</v>
      </c>
      <c r="H203" s="69">
        <v>416</v>
      </c>
      <c r="I203" s="70">
        <f t="shared" si="56"/>
        <v>0.56216216216216219</v>
      </c>
      <c r="J203" s="69">
        <v>26</v>
      </c>
      <c r="K203" s="70">
        <f t="shared" si="60"/>
        <v>3.5135135135135137E-2</v>
      </c>
      <c r="L203" s="70">
        <f t="shared" si="61"/>
        <v>6.25E-2</v>
      </c>
      <c r="M203" s="69">
        <v>4</v>
      </c>
      <c r="N203" s="70">
        <f t="shared" si="59"/>
        <v>5.4054054054054057E-3</v>
      </c>
      <c r="O203" s="67" t="s">
        <v>98</v>
      </c>
    </row>
    <row r="204" spans="1:15" x14ac:dyDescent="0.3">
      <c r="A204" s="76" t="s">
        <v>32</v>
      </c>
      <c r="B204" s="67"/>
      <c r="C204" s="67" t="s">
        <v>23</v>
      </c>
      <c r="D204" s="68">
        <v>44972</v>
      </c>
      <c r="E204" s="69">
        <v>310</v>
      </c>
      <c r="F204" s="70">
        <f t="shared" si="55"/>
        <v>1</v>
      </c>
      <c r="G204" s="69">
        <v>0</v>
      </c>
      <c r="H204" s="69">
        <v>97</v>
      </c>
      <c r="I204" s="70">
        <f t="shared" si="56"/>
        <v>0.31290322580645163</v>
      </c>
      <c r="J204" s="69">
        <v>4</v>
      </c>
      <c r="K204" s="70">
        <f t="shared" si="60"/>
        <v>1.2903225806451613E-2</v>
      </c>
      <c r="L204" s="70">
        <f t="shared" si="61"/>
        <v>4.1237113402061855E-2</v>
      </c>
      <c r="M204" s="69">
        <v>0</v>
      </c>
      <c r="N204" s="70">
        <f t="shared" si="59"/>
        <v>0</v>
      </c>
      <c r="O204" s="67" t="s">
        <v>23</v>
      </c>
    </row>
    <row r="205" spans="1:15" x14ac:dyDescent="0.3">
      <c r="A205" s="76" t="s">
        <v>94</v>
      </c>
      <c r="B205" s="67" t="s">
        <v>15</v>
      </c>
      <c r="C205" s="67" t="s">
        <v>16</v>
      </c>
      <c r="D205" s="68">
        <v>44973</v>
      </c>
      <c r="E205" s="69">
        <v>115350</v>
      </c>
      <c r="F205" s="70">
        <f t="shared" si="55"/>
        <v>0.99909839618552232</v>
      </c>
      <c r="G205" s="69">
        <v>104</v>
      </c>
      <c r="H205" s="69">
        <v>39186</v>
      </c>
      <c r="I205" s="70">
        <f t="shared" si="56"/>
        <v>0.33971391417425228</v>
      </c>
      <c r="J205" s="69">
        <v>454</v>
      </c>
      <c r="K205" s="70">
        <f t="shared" si="60"/>
        <v>3.9358474208929344E-3</v>
      </c>
      <c r="L205" s="70">
        <f t="shared" si="61"/>
        <v>1.1585770428214157E-2</v>
      </c>
      <c r="M205" s="69">
        <v>70</v>
      </c>
      <c r="N205" s="70">
        <f t="shared" si="59"/>
        <v>6.0684872128305162E-4</v>
      </c>
      <c r="O205" s="67" t="s">
        <v>16</v>
      </c>
    </row>
    <row r="206" spans="1:15" x14ac:dyDescent="0.3">
      <c r="A206" s="76" t="s">
        <v>94</v>
      </c>
      <c r="B206" s="67" t="s">
        <v>18</v>
      </c>
      <c r="C206" s="67" t="s">
        <v>16</v>
      </c>
      <c r="D206" s="68">
        <v>44973</v>
      </c>
      <c r="E206" s="69">
        <v>221388</v>
      </c>
      <c r="F206" s="70">
        <f t="shared" si="55"/>
        <v>0.99862684517679368</v>
      </c>
      <c r="G206" s="69">
        <v>304</v>
      </c>
      <c r="H206" s="69">
        <v>76453</v>
      </c>
      <c r="I206" s="70">
        <f t="shared" si="56"/>
        <v>0.34533488716642274</v>
      </c>
      <c r="J206" s="69">
        <v>1287</v>
      </c>
      <c r="K206" s="70">
        <f t="shared" si="60"/>
        <v>5.8133232153504254E-3</v>
      </c>
      <c r="L206" s="70">
        <f t="shared" si="61"/>
        <v>1.6833871790511819E-2</v>
      </c>
      <c r="M206" s="69">
        <v>987</v>
      </c>
      <c r="N206" s="70">
        <f t="shared" si="59"/>
        <v>4.4582362187652446E-3</v>
      </c>
      <c r="O206" s="67" t="s">
        <v>16</v>
      </c>
    </row>
    <row r="207" spans="1:15" x14ac:dyDescent="0.3">
      <c r="A207" s="76" t="s">
        <v>93</v>
      </c>
      <c r="B207" s="67" t="s">
        <v>15</v>
      </c>
      <c r="C207" s="67" t="s">
        <v>16</v>
      </c>
      <c r="D207" s="68">
        <v>44973</v>
      </c>
      <c r="E207" s="69">
        <v>2064942</v>
      </c>
      <c r="F207" s="70">
        <f t="shared" si="55"/>
        <v>0.99788226497402832</v>
      </c>
      <c r="G207" s="69">
        <v>4373</v>
      </c>
      <c r="H207" s="69">
        <v>795479</v>
      </c>
      <c r="I207" s="70">
        <f t="shared" si="56"/>
        <v>0.38523067475987222</v>
      </c>
      <c r="J207" s="69">
        <v>11353</v>
      </c>
      <c r="K207" s="70">
        <f t="shared" si="60"/>
        <v>5.4979752457938284E-3</v>
      </c>
      <c r="L207" s="70">
        <f t="shared" si="61"/>
        <v>1.4271904098034015E-2</v>
      </c>
      <c r="M207" s="69">
        <v>1992</v>
      </c>
      <c r="N207" s="70">
        <f t="shared" si="59"/>
        <v>9.6467600542775539E-4</v>
      </c>
      <c r="O207" s="67" t="s">
        <v>16</v>
      </c>
    </row>
    <row r="208" spans="1:15" x14ac:dyDescent="0.3">
      <c r="A208" s="76" t="s">
        <v>93</v>
      </c>
      <c r="B208" s="67" t="s">
        <v>18</v>
      </c>
      <c r="C208" s="67" t="s">
        <v>16</v>
      </c>
      <c r="D208" s="68">
        <v>44973</v>
      </c>
      <c r="E208" s="69">
        <v>2379214</v>
      </c>
      <c r="F208" s="70">
        <f t="shared" si="55"/>
        <v>0.99805692131939372</v>
      </c>
      <c r="G208" s="69">
        <v>4623</v>
      </c>
      <c r="H208" s="69">
        <v>863626</v>
      </c>
      <c r="I208" s="70">
        <f t="shared" si="56"/>
        <v>0.36298794475822688</v>
      </c>
      <c r="J208" s="69">
        <v>12200</v>
      </c>
      <c r="K208" s="70">
        <f t="shared" si="60"/>
        <v>5.1277438683531617E-3</v>
      </c>
      <c r="L208" s="70">
        <f t="shared" si="61"/>
        <v>1.4126485307297371E-2</v>
      </c>
      <c r="M208" s="69">
        <v>6616</v>
      </c>
      <c r="N208" s="70">
        <f t="shared" si="59"/>
        <v>2.7807502813954523E-3</v>
      </c>
      <c r="O208" s="67" t="s">
        <v>16</v>
      </c>
    </row>
    <row r="209" spans="1:15" x14ac:dyDescent="0.3">
      <c r="A209" s="76" t="s">
        <v>92</v>
      </c>
      <c r="B209" s="67" t="s">
        <v>15</v>
      </c>
      <c r="C209" s="67" t="s">
        <v>16</v>
      </c>
      <c r="D209" s="68">
        <v>44973</v>
      </c>
      <c r="E209" s="69">
        <v>3308</v>
      </c>
      <c r="F209" s="70">
        <f t="shared" si="55"/>
        <v>0.99879081015719473</v>
      </c>
      <c r="G209" s="69">
        <v>4</v>
      </c>
      <c r="H209" s="69">
        <v>1141</v>
      </c>
      <c r="I209" s="70">
        <f t="shared" si="56"/>
        <v>0.34492140266021765</v>
      </c>
      <c r="J209" s="69">
        <v>22</v>
      </c>
      <c r="K209" s="70">
        <f t="shared" si="60"/>
        <v>6.650544135429262E-3</v>
      </c>
      <c r="L209" s="70">
        <f t="shared" si="61"/>
        <v>1.9281332164767746E-2</v>
      </c>
      <c r="M209" s="69">
        <v>0</v>
      </c>
      <c r="N209" s="70">
        <f t="shared" si="59"/>
        <v>0</v>
      </c>
      <c r="O209" s="67" t="s">
        <v>16</v>
      </c>
    </row>
    <row r="210" spans="1:15" x14ac:dyDescent="0.3">
      <c r="A210" s="76" t="s">
        <v>92</v>
      </c>
      <c r="B210" s="67" t="s">
        <v>18</v>
      </c>
      <c r="C210" s="67" t="s">
        <v>16</v>
      </c>
      <c r="D210" s="68">
        <v>44973</v>
      </c>
      <c r="E210" s="69">
        <v>900</v>
      </c>
      <c r="F210" s="70">
        <f t="shared" si="55"/>
        <v>1</v>
      </c>
      <c r="G210" s="69">
        <v>0</v>
      </c>
      <c r="H210" s="69">
        <v>331</v>
      </c>
      <c r="I210" s="70">
        <f t="shared" si="56"/>
        <v>0.36777777777777776</v>
      </c>
      <c r="J210" s="69">
        <v>6</v>
      </c>
      <c r="K210" s="70">
        <f t="shared" si="60"/>
        <v>6.6666666666666671E-3</v>
      </c>
      <c r="L210" s="70">
        <f t="shared" si="61"/>
        <v>1.812688821752266E-2</v>
      </c>
      <c r="M210" s="69">
        <v>0</v>
      </c>
      <c r="N210" s="70">
        <f t="shared" si="59"/>
        <v>0</v>
      </c>
      <c r="O210" s="67" t="s">
        <v>16</v>
      </c>
    </row>
    <row r="211" spans="1:15" x14ac:dyDescent="0.3">
      <c r="A211" s="76" t="s">
        <v>91</v>
      </c>
      <c r="B211" s="67" t="s">
        <v>15</v>
      </c>
      <c r="C211" s="67" t="s">
        <v>16</v>
      </c>
      <c r="D211" s="68">
        <v>44973</v>
      </c>
      <c r="E211" s="69">
        <v>54190</v>
      </c>
      <c r="F211" s="70">
        <f t="shared" si="55"/>
        <v>0.99876360952205201</v>
      </c>
      <c r="G211" s="69">
        <v>67</v>
      </c>
      <c r="H211" s="69">
        <v>19623</v>
      </c>
      <c r="I211" s="70">
        <f t="shared" si="56"/>
        <v>0.36211478132496772</v>
      </c>
      <c r="J211" s="69">
        <v>322</v>
      </c>
      <c r="K211" s="70">
        <f t="shared" si="60"/>
        <v>5.9420557298394535E-3</v>
      </c>
      <c r="L211" s="70">
        <f t="shared" si="61"/>
        <v>1.6409315599041942E-2</v>
      </c>
      <c r="M211" s="69">
        <v>25</v>
      </c>
      <c r="N211" s="70">
        <f t="shared" si="59"/>
        <v>4.6133973057759734E-4</v>
      </c>
      <c r="O211" s="67" t="s">
        <v>16</v>
      </c>
    </row>
    <row r="212" spans="1:15" x14ac:dyDescent="0.3">
      <c r="A212" s="76" t="s">
        <v>91</v>
      </c>
      <c r="B212" s="67" t="s">
        <v>18</v>
      </c>
      <c r="C212" s="67" t="s">
        <v>16</v>
      </c>
      <c r="D212" s="68">
        <v>44973</v>
      </c>
      <c r="E212" s="69">
        <v>14582</v>
      </c>
      <c r="F212" s="70">
        <f t="shared" si="55"/>
        <v>0.99814840213962419</v>
      </c>
      <c r="G212" s="69">
        <v>27</v>
      </c>
      <c r="H212" s="69">
        <v>5869</v>
      </c>
      <c r="I212" s="70">
        <f t="shared" si="56"/>
        <v>0.40248251268687424</v>
      </c>
      <c r="J212" s="69">
        <v>111</v>
      </c>
      <c r="K212" s="70">
        <f t="shared" si="60"/>
        <v>7.6121245371005347E-3</v>
      </c>
      <c r="L212" s="70">
        <f t="shared" si="61"/>
        <v>1.8912932356449138E-2</v>
      </c>
      <c r="M212" s="69">
        <v>15</v>
      </c>
      <c r="N212" s="70">
        <f t="shared" si="59"/>
        <v>1.0286654779865588E-3</v>
      </c>
      <c r="O212" s="67" t="s">
        <v>16</v>
      </c>
    </row>
    <row r="213" spans="1:15" x14ac:dyDescent="0.3">
      <c r="A213" s="66" t="s">
        <v>26</v>
      </c>
      <c r="B213" s="67"/>
      <c r="C213" s="67" t="s">
        <v>23</v>
      </c>
      <c r="D213" s="68">
        <v>44973</v>
      </c>
      <c r="E213" s="69">
        <v>1648</v>
      </c>
      <c r="F213" s="70">
        <f t="shared" si="55"/>
        <v>1</v>
      </c>
      <c r="G213" s="69">
        <v>0</v>
      </c>
      <c r="H213" s="69">
        <v>591</v>
      </c>
      <c r="I213" s="70">
        <f t="shared" si="56"/>
        <v>0.35861650485436891</v>
      </c>
      <c r="J213" s="69">
        <v>17</v>
      </c>
      <c r="K213" s="70">
        <f t="shared" si="60"/>
        <v>1.0315533980582525E-2</v>
      </c>
      <c r="L213" s="70">
        <f t="shared" si="61"/>
        <v>2.8764805414551606E-2</v>
      </c>
      <c r="M213" s="69">
        <v>0</v>
      </c>
      <c r="N213" s="70">
        <f t="shared" si="59"/>
        <v>0</v>
      </c>
      <c r="O213" s="67" t="s">
        <v>23</v>
      </c>
    </row>
    <row r="214" spans="1:15" x14ac:dyDescent="0.3">
      <c r="A214" s="66" t="s">
        <v>149</v>
      </c>
      <c r="B214" s="67" t="s">
        <v>15</v>
      </c>
      <c r="C214" s="67" t="s">
        <v>16</v>
      </c>
      <c r="D214" s="68">
        <v>44973</v>
      </c>
      <c r="E214" s="69">
        <v>74717</v>
      </c>
      <c r="F214" s="70">
        <f t="shared" si="55"/>
        <v>0.9986214649945796</v>
      </c>
      <c r="G214" s="69">
        <v>103</v>
      </c>
      <c r="H214" s="69">
        <v>29930</v>
      </c>
      <c r="I214" s="70">
        <f t="shared" si="56"/>
        <v>0.40057818167217635</v>
      </c>
      <c r="J214" s="69">
        <v>478</v>
      </c>
      <c r="K214" s="70">
        <f t="shared" si="60"/>
        <v>6.3974731319512293E-3</v>
      </c>
      <c r="L214" s="70">
        <f t="shared" si="61"/>
        <v>1.5970598062145003E-2</v>
      </c>
      <c r="M214" s="69">
        <v>63</v>
      </c>
      <c r="N214" s="70">
        <f t="shared" si="59"/>
        <v>8.4318160525717037E-4</v>
      </c>
      <c r="O214" s="67" t="s">
        <v>16</v>
      </c>
    </row>
    <row r="215" spans="1:15" x14ac:dyDescent="0.3">
      <c r="A215" s="66" t="s">
        <v>28</v>
      </c>
      <c r="B215" s="67" t="s">
        <v>15</v>
      </c>
      <c r="C215" s="67" t="s">
        <v>16</v>
      </c>
      <c r="D215" s="68">
        <v>44974</v>
      </c>
      <c r="E215" s="69">
        <v>96885</v>
      </c>
      <c r="F215" s="70">
        <f t="shared" si="55"/>
        <v>0.99928781545130829</v>
      </c>
      <c r="G215" s="69">
        <v>69</v>
      </c>
      <c r="H215" s="69">
        <v>31156</v>
      </c>
      <c r="I215" s="70">
        <f t="shared" si="56"/>
        <v>0.32157712752232026</v>
      </c>
      <c r="J215" s="69">
        <v>542</v>
      </c>
      <c r="K215" s="70">
        <f t="shared" si="60"/>
        <v>5.5942612375496723E-3</v>
      </c>
      <c r="L215" s="70">
        <f t="shared" si="61"/>
        <v>1.7396328155090512E-2</v>
      </c>
      <c r="M215" s="69">
        <v>50</v>
      </c>
      <c r="N215" s="70">
        <f t="shared" si="59"/>
        <v>5.1607575992155652E-4</v>
      </c>
      <c r="O215" s="67" t="s">
        <v>16</v>
      </c>
    </row>
    <row r="216" spans="1:15" x14ac:dyDescent="0.3">
      <c r="A216" s="66" t="s">
        <v>28</v>
      </c>
      <c r="B216" s="67" t="s">
        <v>18</v>
      </c>
      <c r="C216" s="67" t="s">
        <v>16</v>
      </c>
      <c r="D216" s="68">
        <v>44974</v>
      </c>
      <c r="E216" s="69">
        <v>194509</v>
      </c>
      <c r="F216" s="70">
        <f t="shared" si="55"/>
        <v>0.9990180402963359</v>
      </c>
      <c r="G216" s="69">
        <v>191</v>
      </c>
      <c r="H216" s="69">
        <v>65351</v>
      </c>
      <c r="I216" s="70">
        <f t="shared" si="56"/>
        <v>0.3359793120112694</v>
      </c>
      <c r="J216" s="69">
        <v>1438</v>
      </c>
      <c r="K216" s="70">
        <f t="shared" si="60"/>
        <v>7.3929741040260344E-3</v>
      </c>
      <c r="L216" s="70">
        <f t="shared" si="61"/>
        <v>2.2004253951737541E-2</v>
      </c>
      <c r="M216" s="69">
        <v>837</v>
      </c>
      <c r="N216" s="70">
        <f t="shared" si="59"/>
        <v>4.303142785166753E-3</v>
      </c>
      <c r="O216" s="67" t="s">
        <v>16</v>
      </c>
    </row>
    <row r="217" spans="1:15" x14ac:dyDescent="0.3">
      <c r="A217" s="66" t="s">
        <v>22</v>
      </c>
      <c r="B217" s="67" t="s">
        <v>15</v>
      </c>
      <c r="C217" s="67" t="s">
        <v>16</v>
      </c>
      <c r="D217" s="68">
        <v>44974</v>
      </c>
      <c r="E217" s="69">
        <v>1717383</v>
      </c>
      <c r="F217" s="70">
        <f t="shared" si="55"/>
        <v>0.99801267393470183</v>
      </c>
      <c r="G217" s="69">
        <v>3413</v>
      </c>
      <c r="H217" s="69">
        <v>616790</v>
      </c>
      <c r="I217" s="70">
        <f t="shared" si="56"/>
        <v>0.35914528093034576</v>
      </c>
      <c r="J217" s="69">
        <v>10525</v>
      </c>
      <c r="K217" s="70">
        <f t="shared" si="60"/>
        <v>6.1285106467223677E-3</v>
      </c>
      <c r="L217" s="70">
        <f t="shared" si="61"/>
        <v>1.7064154736620242E-2</v>
      </c>
      <c r="M217" s="69">
        <v>1693</v>
      </c>
      <c r="N217" s="70">
        <f t="shared" si="59"/>
        <v>9.8580223514498511E-4</v>
      </c>
      <c r="O217" s="67" t="s">
        <v>16</v>
      </c>
    </row>
    <row r="218" spans="1:15" x14ac:dyDescent="0.3">
      <c r="A218" s="66" t="s">
        <v>22</v>
      </c>
      <c r="B218" s="67" t="s">
        <v>18</v>
      </c>
      <c r="C218" s="67" t="s">
        <v>16</v>
      </c>
      <c r="D218" s="68">
        <v>44974</v>
      </c>
      <c r="E218" s="69">
        <v>2174207</v>
      </c>
      <c r="F218" s="70">
        <f t="shared" ref="F218:F223" si="62">(E218-G218)/E218</f>
        <v>0.99826005527532569</v>
      </c>
      <c r="G218" s="69">
        <v>3783</v>
      </c>
      <c r="H218" s="69">
        <v>758355</v>
      </c>
      <c r="I218" s="70">
        <f t="shared" ref="I218:I223" si="63">H218/E218</f>
        <v>0.34879613578651897</v>
      </c>
      <c r="J218" s="69">
        <v>13911</v>
      </c>
      <c r="K218" s="70">
        <f t="shared" si="60"/>
        <v>6.3981948360942635E-3</v>
      </c>
      <c r="L218" s="70">
        <f t="shared" si="61"/>
        <v>1.8343651719840971E-2</v>
      </c>
      <c r="M218" s="69">
        <v>5843</v>
      </c>
      <c r="N218" s="70">
        <f t="shared" ref="N218:N223" si="64">M218/E218</f>
        <v>2.6874166075263302E-3</v>
      </c>
      <c r="O218" s="67" t="s">
        <v>16</v>
      </c>
    </row>
    <row r="219" spans="1:15" x14ac:dyDescent="0.3">
      <c r="A219" s="66" t="s">
        <v>33</v>
      </c>
      <c r="B219" s="67" t="s">
        <v>18</v>
      </c>
      <c r="C219" s="67" t="s">
        <v>21</v>
      </c>
      <c r="D219" s="68">
        <v>44974</v>
      </c>
      <c r="E219" s="69">
        <v>246868</v>
      </c>
      <c r="F219" s="70">
        <f t="shared" si="62"/>
        <v>0.99882528314726904</v>
      </c>
      <c r="G219" s="69">
        <v>290</v>
      </c>
      <c r="H219" s="69">
        <v>118975</v>
      </c>
      <c r="I219" s="70">
        <f t="shared" si="63"/>
        <v>0.48193771570231864</v>
      </c>
      <c r="J219" s="69">
        <v>3351</v>
      </c>
      <c r="K219" s="70">
        <f t="shared" si="60"/>
        <v>1.357405577069527E-2</v>
      </c>
      <c r="L219" s="70">
        <f t="shared" si="61"/>
        <v>2.8165581004412691E-2</v>
      </c>
      <c r="M219" s="69">
        <v>283</v>
      </c>
      <c r="N219" s="70">
        <f t="shared" si="64"/>
        <v>1.1463616183547483E-3</v>
      </c>
      <c r="O219" s="67" t="s">
        <v>21</v>
      </c>
    </row>
    <row r="220" spans="1:15" x14ac:dyDescent="0.3">
      <c r="A220" s="66" t="s">
        <v>19</v>
      </c>
      <c r="B220" s="67" t="s">
        <v>18</v>
      </c>
      <c r="C220" s="67" t="s">
        <v>21</v>
      </c>
      <c r="D220" s="68">
        <v>44974</v>
      </c>
      <c r="E220" s="69">
        <v>332952</v>
      </c>
      <c r="F220" s="70">
        <f t="shared" si="62"/>
        <v>0.99791261202816017</v>
      </c>
      <c r="G220" s="69">
        <v>695</v>
      </c>
      <c r="H220" s="69">
        <v>129902</v>
      </c>
      <c r="I220" s="70">
        <f t="shared" si="63"/>
        <v>0.39015233427040535</v>
      </c>
      <c r="J220" s="69">
        <v>3972</v>
      </c>
      <c r="K220" s="70">
        <f t="shared" si="60"/>
        <v>1.1929647516759172E-2</v>
      </c>
      <c r="L220" s="70">
        <f t="shared" si="61"/>
        <v>3.0576896429616172E-2</v>
      </c>
      <c r="M220" s="69">
        <v>392</v>
      </c>
      <c r="N220" s="70">
        <f t="shared" si="64"/>
        <v>1.1773468848362526E-3</v>
      </c>
      <c r="O220" s="67" t="s">
        <v>21</v>
      </c>
    </row>
    <row r="221" spans="1:15" x14ac:dyDescent="0.3">
      <c r="A221" s="66" t="s">
        <v>24</v>
      </c>
      <c r="B221" s="67" t="s">
        <v>18</v>
      </c>
      <c r="C221" s="67" t="s">
        <v>21</v>
      </c>
      <c r="D221" s="68">
        <v>44975</v>
      </c>
      <c r="E221" s="69">
        <v>15271</v>
      </c>
      <c r="F221" s="70">
        <f t="shared" si="62"/>
        <v>0.99947613122912715</v>
      </c>
      <c r="G221" s="69">
        <v>8</v>
      </c>
      <c r="H221" s="69">
        <v>5708</v>
      </c>
      <c r="I221" s="70">
        <f t="shared" si="63"/>
        <v>0.37378036801781156</v>
      </c>
      <c r="J221" s="69">
        <v>289</v>
      </c>
      <c r="K221" s="70">
        <f t="shared" si="60"/>
        <v>1.8924759347783381E-2</v>
      </c>
      <c r="L221" s="70">
        <f t="shared" si="61"/>
        <v>5.0630693763139452E-2</v>
      </c>
      <c r="M221" s="69">
        <v>27</v>
      </c>
      <c r="N221" s="70">
        <f t="shared" si="64"/>
        <v>1.768057101696025E-3</v>
      </c>
      <c r="O221" s="67" t="s">
        <v>21</v>
      </c>
    </row>
    <row r="222" spans="1:15" x14ac:dyDescent="0.3">
      <c r="A222" s="66" t="s">
        <v>75</v>
      </c>
      <c r="B222" s="67" t="s">
        <v>15</v>
      </c>
      <c r="C222" s="67" t="s">
        <v>16</v>
      </c>
      <c r="D222" s="68">
        <v>44975</v>
      </c>
      <c r="E222" s="69">
        <v>28513</v>
      </c>
      <c r="F222" s="70">
        <f t="shared" si="62"/>
        <v>0.99957913933995024</v>
      </c>
      <c r="G222" s="69">
        <v>12</v>
      </c>
      <c r="H222" s="69">
        <v>8882</v>
      </c>
      <c r="I222" s="70">
        <f t="shared" si="63"/>
        <v>0.31150703188019502</v>
      </c>
      <c r="J222" s="69">
        <v>304</v>
      </c>
      <c r="K222" s="70">
        <f t="shared" si="60"/>
        <v>1.0661803387928314E-2</v>
      </c>
      <c r="L222" s="70">
        <f t="shared" si="61"/>
        <v>3.422652555730691E-2</v>
      </c>
      <c r="M222" s="69">
        <v>20</v>
      </c>
      <c r="N222" s="70">
        <f t="shared" si="64"/>
        <v>7.0143443341633637E-4</v>
      </c>
      <c r="O222" s="67" t="s">
        <v>16</v>
      </c>
    </row>
    <row r="223" spans="1:15" x14ac:dyDescent="0.3">
      <c r="A223" s="66" t="s">
        <v>78</v>
      </c>
      <c r="B223" s="67" t="s">
        <v>15</v>
      </c>
      <c r="C223" s="67" t="s">
        <v>16</v>
      </c>
      <c r="D223" s="68">
        <v>44975</v>
      </c>
      <c r="E223" s="69">
        <v>403392</v>
      </c>
      <c r="F223" s="70">
        <f t="shared" si="62"/>
        <v>0.99857210851975253</v>
      </c>
      <c r="G223" s="69">
        <v>576</v>
      </c>
      <c r="H223" s="69">
        <v>142404</v>
      </c>
      <c r="I223" s="70">
        <f t="shared" si="63"/>
        <v>0.35301642075202283</v>
      </c>
      <c r="J223" s="69">
        <v>3336</v>
      </c>
      <c r="K223" s="70">
        <f t="shared" si="60"/>
        <v>8.2698714897667773E-3</v>
      </c>
      <c r="L223" s="70">
        <f t="shared" si="61"/>
        <v>2.3426308249768265E-2</v>
      </c>
      <c r="M223" s="69">
        <v>275</v>
      </c>
      <c r="N223" s="70">
        <f t="shared" si="64"/>
        <v>6.8171902268760907E-4</v>
      </c>
      <c r="O223" s="67" t="s">
        <v>16</v>
      </c>
    </row>
    <row r="224" spans="1:15" x14ac:dyDescent="0.3">
      <c r="A224" s="66" t="s">
        <v>152</v>
      </c>
      <c r="B224" s="67" t="s">
        <v>15</v>
      </c>
      <c r="C224" s="67" t="s">
        <v>101</v>
      </c>
      <c r="D224" s="68">
        <v>44977</v>
      </c>
      <c r="E224" s="69">
        <v>118209</v>
      </c>
      <c r="F224" s="70">
        <f t="shared" ref="F224:F259" si="65">(E224-G224)/E224</f>
        <v>0.99922171746652111</v>
      </c>
      <c r="G224" s="69">
        <v>92</v>
      </c>
      <c r="H224" s="69">
        <v>41308</v>
      </c>
      <c r="I224" s="70">
        <f t="shared" ref="I224:I259" si="66">H224/E224</f>
        <v>0.34944885753199839</v>
      </c>
      <c r="J224" s="69">
        <v>2918</v>
      </c>
      <c r="K224" s="70">
        <f t="shared" ref="K224:K259" si="67">J224/E224</f>
        <v>2.4685091659687502E-2</v>
      </c>
      <c r="L224" s="70">
        <f t="shared" ref="L224:L259" si="68">J224/H224</f>
        <v>7.0640069720151064E-2</v>
      </c>
      <c r="M224" s="69">
        <v>68</v>
      </c>
      <c r="N224" s="70">
        <f t="shared" ref="N224:N259" si="69">M224/E224</f>
        <v>5.7525230735392394E-4</v>
      </c>
      <c r="O224" s="67" t="s">
        <v>101</v>
      </c>
    </row>
    <row r="225" spans="1:15" x14ac:dyDescent="0.3">
      <c r="A225" s="66" t="s">
        <v>152</v>
      </c>
      <c r="B225" s="67" t="s">
        <v>18</v>
      </c>
      <c r="C225" s="67" t="s">
        <v>101</v>
      </c>
      <c r="D225" s="68">
        <v>44977</v>
      </c>
      <c r="E225" s="69">
        <v>221667</v>
      </c>
      <c r="F225" s="70">
        <f t="shared" si="65"/>
        <v>0.99886767087568284</v>
      </c>
      <c r="G225" s="69">
        <v>251</v>
      </c>
      <c r="H225" s="69">
        <v>76660</v>
      </c>
      <c r="I225" s="70">
        <f t="shared" si="66"/>
        <v>0.34583406641493775</v>
      </c>
      <c r="J225" s="69">
        <v>2848</v>
      </c>
      <c r="K225" s="70">
        <f t="shared" si="67"/>
        <v>1.2848100980299277E-2</v>
      </c>
      <c r="L225" s="70">
        <f t="shared" si="68"/>
        <v>3.7151056613618574E-2</v>
      </c>
      <c r="M225" s="69">
        <v>1182</v>
      </c>
      <c r="N225" s="70">
        <f t="shared" si="69"/>
        <v>5.3323228085371301E-3</v>
      </c>
      <c r="O225" s="67" t="s">
        <v>101</v>
      </c>
    </row>
    <row r="226" spans="1:15" x14ac:dyDescent="0.3">
      <c r="A226" s="66" t="s">
        <v>153</v>
      </c>
      <c r="B226" s="67" t="s">
        <v>18</v>
      </c>
      <c r="C226" s="67" t="s">
        <v>101</v>
      </c>
      <c r="D226" s="68">
        <v>44977</v>
      </c>
      <c r="E226" s="69">
        <v>2387062</v>
      </c>
      <c r="F226" s="70">
        <f t="shared" si="65"/>
        <v>0.99832723238860155</v>
      </c>
      <c r="G226" s="69">
        <v>3993</v>
      </c>
      <c r="H226" s="69">
        <v>900603</v>
      </c>
      <c r="I226" s="70">
        <f t="shared" si="66"/>
        <v>0.37728513126177704</v>
      </c>
      <c r="J226" s="69">
        <v>22785</v>
      </c>
      <c r="K226" s="70">
        <f t="shared" si="67"/>
        <v>9.5452066180099215E-3</v>
      </c>
      <c r="L226" s="70">
        <f t="shared" si="68"/>
        <v>2.5299715857042448E-2</v>
      </c>
      <c r="M226" s="69">
        <v>8869</v>
      </c>
      <c r="N226" s="70">
        <f t="shared" si="69"/>
        <v>3.7154460169027867E-3</v>
      </c>
      <c r="O226" s="67" t="s">
        <v>101</v>
      </c>
    </row>
    <row r="227" spans="1:15" x14ac:dyDescent="0.3">
      <c r="A227" s="66" t="s">
        <v>153</v>
      </c>
      <c r="B227" s="67" t="s">
        <v>15</v>
      </c>
      <c r="C227" s="67" t="s">
        <v>101</v>
      </c>
      <c r="D227" s="68">
        <v>44977</v>
      </c>
      <c r="E227" s="69">
        <v>2106290</v>
      </c>
      <c r="F227" s="70">
        <f t="shared" si="65"/>
        <v>0.99813321052656567</v>
      </c>
      <c r="G227" s="69">
        <v>3932</v>
      </c>
      <c r="H227" s="69">
        <v>819402</v>
      </c>
      <c r="I227" s="70">
        <f t="shared" si="66"/>
        <v>0.3890262024697454</v>
      </c>
      <c r="J227" s="69">
        <v>49486</v>
      </c>
      <c r="K227" s="70">
        <f t="shared" si="67"/>
        <v>2.3494390610979493E-2</v>
      </c>
      <c r="L227" s="70">
        <f t="shared" si="68"/>
        <v>6.0392823058767246E-2</v>
      </c>
      <c r="M227" s="69">
        <v>2148</v>
      </c>
      <c r="N227" s="70">
        <f t="shared" si="69"/>
        <v>1.0198025912861002E-3</v>
      </c>
      <c r="O227" s="67" t="s">
        <v>101</v>
      </c>
    </row>
    <row r="228" spans="1:15" x14ac:dyDescent="0.3">
      <c r="A228" s="66" t="s">
        <v>154</v>
      </c>
      <c r="B228" s="67" t="s">
        <v>15</v>
      </c>
      <c r="C228" s="67" t="s">
        <v>27</v>
      </c>
      <c r="D228" s="68">
        <v>44978</v>
      </c>
      <c r="E228" s="69">
        <v>26550</v>
      </c>
      <c r="F228" s="70">
        <f t="shared" si="65"/>
        <v>0.99676082862523541</v>
      </c>
      <c r="G228" s="69">
        <v>86</v>
      </c>
      <c r="H228" s="69">
        <v>9726</v>
      </c>
      <c r="I228" s="70">
        <f t="shared" si="66"/>
        <v>0.36632768361581919</v>
      </c>
      <c r="J228" s="69">
        <v>270</v>
      </c>
      <c r="K228" s="70">
        <f t="shared" si="67"/>
        <v>1.0169491525423728E-2</v>
      </c>
      <c r="L228" s="70">
        <f t="shared" si="68"/>
        <v>2.7760641579272053E-2</v>
      </c>
      <c r="M228" s="69">
        <v>197</v>
      </c>
      <c r="N228" s="70">
        <f t="shared" si="69"/>
        <v>7.4199623352165728E-3</v>
      </c>
      <c r="O228" s="67" t="s">
        <v>27</v>
      </c>
    </row>
    <row r="229" spans="1:15" x14ac:dyDescent="0.3">
      <c r="A229" s="66" t="s">
        <v>155</v>
      </c>
      <c r="B229" s="67" t="s">
        <v>15</v>
      </c>
      <c r="C229" s="67" t="s">
        <v>27</v>
      </c>
      <c r="D229" s="68">
        <v>44978</v>
      </c>
      <c r="E229" s="69">
        <v>10513</v>
      </c>
      <c r="F229" s="70">
        <f t="shared" si="65"/>
        <v>0.99828783411014932</v>
      </c>
      <c r="G229" s="69">
        <v>18</v>
      </c>
      <c r="H229" s="69">
        <v>3843</v>
      </c>
      <c r="I229" s="70">
        <f t="shared" si="66"/>
        <v>0.36554741748311614</v>
      </c>
      <c r="J229" s="69">
        <v>107</v>
      </c>
      <c r="K229" s="70">
        <f t="shared" si="67"/>
        <v>1.017787501189004E-2</v>
      </c>
      <c r="L229" s="70">
        <f t="shared" si="68"/>
        <v>2.7842831121519647E-2</v>
      </c>
      <c r="M229" s="69">
        <v>63</v>
      </c>
      <c r="N229" s="70">
        <f t="shared" si="69"/>
        <v>5.9925806144773136E-3</v>
      </c>
      <c r="O229" s="67" t="s">
        <v>27</v>
      </c>
    </row>
    <row r="230" spans="1:15" x14ac:dyDescent="0.3">
      <c r="A230" s="66" t="s">
        <v>156</v>
      </c>
      <c r="B230" s="67" t="s">
        <v>15</v>
      </c>
      <c r="C230" s="67" t="s">
        <v>27</v>
      </c>
      <c r="D230" s="68">
        <v>44978</v>
      </c>
      <c r="E230" s="69">
        <v>12322</v>
      </c>
      <c r="F230" s="70">
        <f t="shared" si="65"/>
        <v>0.99902613212140889</v>
      </c>
      <c r="G230" s="69">
        <v>12</v>
      </c>
      <c r="H230" s="69">
        <v>4549</v>
      </c>
      <c r="I230" s="70">
        <f t="shared" si="66"/>
        <v>0.3691770816425905</v>
      </c>
      <c r="J230" s="69">
        <v>115</v>
      </c>
      <c r="K230" s="70">
        <f t="shared" si="67"/>
        <v>9.3329005031650702E-3</v>
      </c>
      <c r="L230" s="70">
        <f t="shared" si="68"/>
        <v>2.5280281380523191E-2</v>
      </c>
      <c r="M230" s="69">
        <v>62</v>
      </c>
      <c r="N230" s="70">
        <f t="shared" si="69"/>
        <v>5.031650706054212E-3</v>
      </c>
      <c r="O230" s="67" t="s">
        <v>27</v>
      </c>
    </row>
    <row r="231" spans="1:15" x14ac:dyDescent="0.3">
      <c r="A231" s="66" t="s">
        <v>157</v>
      </c>
      <c r="B231" s="67" t="s">
        <v>15</v>
      </c>
      <c r="C231" s="67" t="s">
        <v>27</v>
      </c>
      <c r="D231" s="68">
        <v>44978</v>
      </c>
      <c r="E231" s="69">
        <v>267384</v>
      </c>
      <c r="F231" s="70">
        <f t="shared" si="65"/>
        <v>0.99799539239445889</v>
      </c>
      <c r="G231" s="69">
        <v>536</v>
      </c>
      <c r="H231" s="69">
        <v>91201</v>
      </c>
      <c r="I231" s="70">
        <f t="shared" si="66"/>
        <v>0.34108622804655475</v>
      </c>
      <c r="J231" s="69">
        <v>2145</v>
      </c>
      <c r="K231" s="70">
        <f t="shared" si="67"/>
        <v>8.0221703617269543E-3</v>
      </c>
      <c r="L231" s="70">
        <f t="shared" si="68"/>
        <v>2.3519478953081655E-2</v>
      </c>
      <c r="M231" s="69">
        <v>1951</v>
      </c>
      <c r="N231" s="70">
        <f t="shared" si="69"/>
        <v>7.2966220865870804E-3</v>
      </c>
      <c r="O231" s="67" t="s">
        <v>27</v>
      </c>
    </row>
    <row r="232" spans="1:15" x14ac:dyDescent="0.3">
      <c r="A232" s="66" t="s">
        <v>158</v>
      </c>
      <c r="B232" s="67" t="s">
        <v>15</v>
      </c>
      <c r="C232" s="67" t="s">
        <v>16</v>
      </c>
      <c r="D232" s="68">
        <v>44978</v>
      </c>
      <c r="E232" s="69">
        <v>43458</v>
      </c>
      <c r="F232" s="70">
        <f t="shared" si="65"/>
        <v>0.99820516360624045</v>
      </c>
      <c r="G232" s="69">
        <v>78</v>
      </c>
      <c r="H232" s="69">
        <v>17501</v>
      </c>
      <c r="I232" s="70">
        <f t="shared" si="66"/>
        <v>0.40271066316903675</v>
      </c>
      <c r="J232" s="69">
        <v>466</v>
      </c>
      <c r="K232" s="70">
        <f t="shared" si="67"/>
        <v>1.0722996916563119E-2</v>
      </c>
      <c r="L232" s="70">
        <f t="shared" si="68"/>
        <v>2.6627049882863837E-2</v>
      </c>
      <c r="M232" s="69">
        <v>10</v>
      </c>
      <c r="N232" s="70">
        <f t="shared" si="69"/>
        <v>2.3010722996916563E-4</v>
      </c>
      <c r="O232" s="67" t="s">
        <v>16</v>
      </c>
    </row>
    <row r="233" spans="1:15" x14ac:dyDescent="0.3">
      <c r="A233" s="66" t="s">
        <v>158</v>
      </c>
      <c r="B233" s="67" t="s">
        <v>18</v>
      </c>
      <c r="C233" s="67" t="s">
        <v>16</v>
      </c>
      <c r="D233" s="68">
        <v>44978</v>
      </c>
      <c r="E233" s="69">
        <v>4705</v>
      </c>
      <c r="F233" s="70">
        <f t="shared" si="65"/>
        <v>0.99872476089266737</v>
      </c>
      <c r="G233" s="69">
        <v>6</v>
      </c>
      <c r="H233" s="69">
        <v>2375</v>
      </c>
      <c r="I233" s="70">
        <f t="shared" si="66"/>
        <v>0.50478214665249732</v>
      </c>
      <c r="J233" s="69">
        <v>118</v>
      </c>
      <c r="K233" s="70">
        <f t="shared" si="67"/>
        <v>2.5079702444208291E-2</v>
      </c>
      <c r="L233" s="70">
        <f t="shared" si="68"/>
        <v>4.9684210526315789E-2</v>
      </c>
      <c r="M233" s="69">
        <v>5</v>
      </c>
      <c r="N233" s="70">
        <f t="shared" si="69"/>
        <v>1.0626992561105207E-3</v>
      </c>
      <c r="O233" s="67" t="s">
        <v>16</v>
      </c>
    </row>
    <row r="234" spans="1:15" x14ac:dyDescent="0.3">
      <c r="A234" s="66" t="s">
        <v>29</v>
      </c>
      <c r="B234" s="67" t="s">
        <v>15</v>
      </c>
      <c r="C234" s="67" t="s">
        <v>16</v>
      </c>
      <c r="D234" s="68">
        <v>44978</v>
      </c>
      <c r="E234" s="69">
        <v>22921</v>
      </c>
      <c r="F234" s="70">
        <f t="shared" si="65"/>
        <v>0.99904018149295404</v>
      </c>
      <c r="G234" s="69">
        <v>22</v>
      </c>
      <c r="H234" s="69">
        <v>7754</v>
      </c>
      <c r="I234" s="70">
        <f t="shared" si="66"/>
        <v>0.33829239561973734</v>
      </c>
      <c r="J234" s="69">
        <v>186</v>
      </c>
      <c r="K234" s="70">
        <f t="shared" si="67"/>
        <v>8.1148291959338599E-3</v>
      </c>
      <c r="L234" s="70">
        <f t="shared" si="68"/>
        <v>2.3987619293267991E-2</v>
      </c>
      <c r="M234" s="69">
        <v>15</v>
      </c>
      <c r="N234" s="70">
        <f t="shared" si="69"/>
        <v>6.5442170934950478E-4</v>
      </c>
      <c r="O234" s="67" t="s">
        <v>16</v>
      </c>
    </row>
    <row r="235" spans="1:15" x14ac:dyDescent="0.3">
      <c r="A235" s="66" t="s">
        <v>29</v>
      </c>
      <c r="B235" s="67" t="s">
        <v>18</v>
      </c>
      <c r="C235" s="67" t="s">
        <v>16</v>
      </c>
      <c r="D235" s="68">
        <v>44978</v>
      </c>
      <c r="E235" s="69">
        <v>25120</v>
      </c>
      <c r="F235" s="70">
        <f t="shared" si="65"/>
        <v>0.99924363057324839</v>
      </c>
      <c r="G235" s="69">
        <v>19</v>
      </c>
      <c r="H235" s="69">
        <v>8974</v>
      </c>
      <c r="I235" s="70">
        <f t="shared" si="66"/>
        <v>0.35724522292993632</v>
      </c>
      <c r="J235" s="69">
        <v>176</v>
      </c>
      <c r="K235" s="70">
        <f t="shared" si="67"/>
        <v>7.0063694267515925E-3</v>
      </c>
      <c r="L235" s="70">
        <f t="shared" si="68"/>
        <v>1.9612213059950971E-2</v>
      </c>
      <c r="M235" s="69">
        <v>49</v>
      </c>
      <c r="N235" s="70">
        <f t="shared" si="69"/>
        <v>1.9506369426751592E-3</v>
      </c>
      <c r="O235" s="67" t="s">
        <v>16</v>
      </c>
    </row>
    <row r="236" spans="1:15" x14ac:dyDescent="0.3">
      <c r="A236" s="66" t="s">
        <v>17</v>
      </c>
      <c r="B236" s="67" t="s">
        <v>15</v>
      </c>
      <c r="C236" s="67" t="s">
        <v>16</v>
      </c>
      <c r="D236" s="68">
        <v>44978</v>
      </c>
      <c r="E236" s="69">
        <v>214637</v>
      </c>
      <c r="F236" s="70">
        <f t="shared" si="65"/>
        <v>0.998243546080126</v>
      </c>
      <c r="G236" s="69">
        <v>377</v>
      </c>
      <c r="H236" s="69">
        <v>91847</v>
      </c>
      <c r="I236" s="70">
        <f t="shared" si="66"/>
        <v>0.42791783336517003</v>
      </c>
      <c r="J236" s="69">
        <v>1644</v>
      </c>
      <c r="K236" s="70">
        <f t="shared" si="67"/>
        <v>7.6594436187609775E-3</v>
      </c>
      <c r="L236" s="70">
        <f t="shared" si="68"/>
        <v>1.7899332585713197E-2</v>
      </c>
      <c r="M236" s="69">
        <v>174</v>
      </c>
      <c r="N236" s="70">
        <f t="shared" si="69"/>
        <v>8.1067103994185527E-4</v>
      </c>
      <c r="O236" s="67" t="s">
        <v>16</v>
      </c>
    </row>
    <row r="237" spans="1:15" x14ac:dyDescent="0.3">
      <c r="A237" s="66" t="s">
        <v>17</v>
      </c>
      <c r="B237" s="67" t="s">
        <v>18</v>
      </c>
      <c r="C237" s="67" t="s">
        <v>16</v>
      </c>
      <c r="D237" s="68">
        <v>44978</v>
      </c>
      <c r="E237" s="69">
        <v>427916</v>
      </c>
      <c r="F237" s="70">
        <f t="shared" si="65"/>
        <v>0.99860019256115684</v>
      </c>
      <c r="G237" s="69">
        <v>599</v>
      </c>
      <c r="H237" s="69">
        <v>163443</v>
      </c>
      <c r="I237" s="70">
        <f t="shared" si="66"/>
        <v>0.38195113059572439</v>
      </c>
      <c r="J237" s="69">
        <v>1907</v>
      </c>
      <c r="K237" s="70">
        <f t="shared" si="67"/>
        <v>4.4564821133119582E-3</v>
      </c>
      <c r="L237" s="70">
        <f t="shared" si="68"/>
        <v>1.1667676192923526E-2</v>
      </c>
      <c r="M237" s="69">
        <v>642</v>
      </c>
      <c r="N237" s="70">
        <f t="shared" si="69"/>
        <v>1.5002944503126781E-3</v>
      </c>
      <c r="O237" s="67" t="s">
        <v>16</v>
      </c>
    </row>
    <row r="238" spans="1:15" x14ac:dyDescent="0.3">
      <c r="A238" s="90" t="s">
        <v>159</v>
      </c>
      <c r="B238" s="67" t="s">
        <v>15</v>
      </c>
      <c r="C238" s="67" t="s">
        <v>101</v>
      </c>
      <c r="D238" s="68">
        <v>44979</v>
      </c>
      <c r="E238" s="69">
        <v>118499</v>
      </c>
      <c r="F238" s="70">
        <f t="shared" si="65"/>
        <v>0.99913923324247467</v>
      </c>
      <c r="G238" s="69">
        <v>102</v>
      </c>
      <c r="H238" s="69">
        <v>39042</v>
      </c>
      <c r="I238" s="70">
        <f t="shared" si="66"/>
        <v>0.32947113477750867</v>
      </c>
      <c r="J238" s="69">
        <v>671</v>
      </c>
      <c r="K238" s="70">
        <f t="shared" si="67"/>
        <v>5.6624950421522548E-3</v>
      </c>
      <c r="L238" s="70">
        <f t="shared" si="68"/>
        <v>1.7186619537933507E-2</v>
      </c>
      <c r="M238" s="69">
        <v>74</v>
      </c>
      <c r="N238" s="70">
        <f t="shared" si="69"/>
        <v>6.2447784369488351E-4</v>
      </c>
      <c r="O238" s="67" t="s">
        <v>101</v>
      </c>
    </row>
    <row r="239" spans="1:15" x14ac:dyDescent="0.3">
      <c r="A239" s="90" t="s">
        <v>160</v>
      </c>
      <c r="B239" s="67" t="s">
        <v>15</v>
      </c>
      <c r="C239" s="67" t="s">
        <v>101</v>
      </c>
      <c r="D239" s="68">
        <v>44979</v>
      </c>
      <c r="E239" s="69">
        <v>2133818</v>
      </c>
      <c r="F239" s="70">
        <f t="shared" si="65"/>
        <v>0.99802607345143779</v>
      </c>
      <c r="G239" s="69">
        <v>4212</v>
      </c>
      <c r="H239" s="69">
        <v>990779</v>
      </c>
      <c r="I239" s="70">
        <f t="shared" si="66"/>
        <v>0.46432216805744447</v>
      </c>
      <c r="J239" s="69">
        <v>15658</v>
      </c>
      <c r="K239" s="70">
        <f t="shared" si="67"/>
        <v>7.3380203934918535E-3</v>
      </c>
      <c r="L239" s="70">
        <f t="shared" si="68"/>
        <v>1.5803726158911322E-2</v>
      </c>
      <c r="M239" s="69">
        <v>1900</v>
      </c>
      <c r="N239" s="70">
        <f t="shared" si="69"/>
        <v>8.9042270709123266E-4</v>
      </c>
      <c r="O239" s="67" t="s">
        <v>101</v>
      </c>
    </row>
    <row r="240" spans="1:15" x14ac:dyDescent="0.3">
      <c r="A240" s="90" t="s">
        <v>161</v>
      </c>
      <c r="B240" s="67" t="s">
        <v>15</v>
      </c>
      <c r="C240" s="67" t="s">
        <v>16</v>
      </c>
      <c r="D240" s="68">
        <v>44980</v>
      </c>
      <c r="E240" s="69">
        <v>44952</v>
      </c>
      <c r="F240" s="70">
        <f t="shared" si="65"/>
        <v>0.99837604555970816</v>
      </c>
      <c r="G240" s="69">
        <v>73</v>
      </c>
      <c r="H240" s="69">
        <v>20528</v>
      </c>
      <c r="I240" s="70">
        <f t="shared" si="66"/>
        <v>0.45666488699056773</v>
      </c>
      <c r="J240" s="69">
        <v>248</v>
      </c>
      <c r="K240" s="70">
        <f t="shared" si="67"/>
        <v>5.5169959067449727E-3</v>
      </c>
      <c r="L240" s="70">
        <f t="shared" si="68"/>
        <v>1.2081060015588464E-2</v>
      </c>
      <c r="M240" s="69">
        <v>33</v>
      </c>
      <c r="N240" s="70">
        <f t="shared" si="69"/>
        <v>7.3411639081687131E-4</v>
      </c>
      <c r="O240" s="67" t="s">
        <v>16</v>
      </c>
    </row>
    <row r="241" spans="1:15" x14ac:dyDescent="0.3">
      <c r="A241" s="90" t="s">
        <v>161</v>
      </c>
      <c r="B241" s="67" t="s">
        <v>18</v>
      </c>
      <c r="C241" s="67" t="s">
        <v>16</v>
      </c>
      <c r="D241" s="68">
        <v>44980</v>
      </c>
      <c r="E241" s="69">
        <v>35724</v>
      </c>
      <c r="F241" s="70">
        <f t="shared" si="65"/>
        <v>0.99834844922181165</v>
      </c>
      <c r="G241" s="69">
        <v>59</v>
      </c>
      <c r="H241" s="69">
        <v>13580</v>
      </c>
      <c r="I241" s="70">
        <f t="shared" si="66"/>
        <v>0.38013660284402645</v>
      </c>
      <c r="J241" s="69">
        <v>126</v>
      </c>
      <c r="K241" s="70">
        <f t="shared" si="67"/>
        <v>3.5270406449445751E-3</v>
      </c>
      <c r="L241" s="70">
        <f t="shared" si="68"/>
        <v>9.2783505154639175E-3</v>
      </c>
      <c r="M241" s="69">
        <v>48</v>
      </c>
      <c r="N241" s="70">
        <f t="shared" si="69"/>
        <v>1.3436345314074571E-3</v>
      </c>
      <c r="O241" s="67" t="s">
        <v>16</v>
      </c>
    </row>
    <row r="242" spans="1:15" x14ac:dyDescent="0.3">
      <c r="A242" s="90" t="s">
        <v>162</v>
      </c>
      <c r="B242" s="67" t="s">
        <v>18</v>
      </c>
      <c r="C242" s="67" t="s">
        <v>101</v>
      </c>
      <c r="D242" s="68">
        <v>44980</v>
      </c>
      <c r="E242" s="69">
        <v>5267</v>
      </c>
      <c r="F242" s="70">
        <f t="shared" si="65"/>
        <v>0.99924055439529147</v>
      </c>
      <c r="G242" s="69">
        <v>4</v>
      </c>
      <c r="H242" s="69">
        <v>1700</v>
      </c>
      <c r="I242" s="70">
        <f t="shared" si="66"/>
        <v>0.32276438200113916</v>
      </c>
      <c r="J242" s="69">
        <v>47</v>
      </c>
      <c r="K242" s="70">
        <f t="shared" si="67"/>
        <v>8.9234858553256125E-3</v>
      </c>
      <c r="L242" s="70">
        <f t="shared" si="68"/>
        <v>2.7647058823529413E-2</v>
      </c>
      <c r="M242" s="69">
        <v>28</v>
      </c>
      <c r="N242" s="70">
        <f t="shared" si="69"/>
        <v>5.3161192329599389E-3</v>
      </c>
      <c r="O242" s="67" t="s">
        <v>101</v>
      </c>
    </row>
    <row r="243" spans="1:15" x14ac:dyDescent="0.3">
      <c r="A243" s="90" t="s">
        <v>163</v>
      </c>
      <c r="B243" s="67" t="s">
        <v>18</v>
      </c>
      <c r="C243" s="67" t="s">
        <v>101</v>
      </c>
      <c r="D243" s="68">
        <v>44980</v>
      </c>
      <c r="E243" s="69">
        <v>47914</v>
      </c>
      <c r="F243" s="70">
        <f t="shared" si="65"/>
        <v>0.99797553950828566</v>
      </c>
      <c r="G243" s="69">
        <v>97</v>
      </c>
      <c r="H243" s="69">
        <v>16925</v>
      </c>
      <c r="I243" s="70">
        <f t="shared" si="66"/>
        <v>0.35323704971407105</v>
      </c>
      <c r="J243" s="69">
        <v>229</v>
      </c>
      <c r="K243" s="70">
        <f t="shared" si="67"/>
        <v>4.7793964185832948E-3</v>
      </c>
      <c r="L243" s="70">
        <f t="shared" si="68"/>
        <v>1.3530280649926145E-2</v>
      </c>
      <c r="M243" s="69">
        <v>154</v>
      </c>
      <c r="N243" s="70">
        <f t="shared" si="69"/>
        <v>3.214091914680469E-3</v>
      </c>
      <c r="O243" s="67" t="s">
        <v>101</v>
      </c>
    </row>
    <row r="244" spans="1:15" x14ac:dyDescent="0.3">
      <c r="A244" s="90" t="s">
        <v>164</v>
      </c>
      <c r="B244" s="67" t="s">
        <v>18</v>
      </c>
      <c r="C244" s="67" t="s">
        <v>101</v>
      </c>
      <c r="D244" s="68">
        <v>44980</v>
      </c>
      <c r="E244" s="69">
        <v>5284</v>
      </c>
      <c r="F244" s="70">
        <f t="shared" si="65"/>
        <v>0.99905374716124151</v>
      </c>
      <c r="G244" s="69">
        <v>5</v>
      </c>
      <c r="H244" s="69">
        <v>1635</v>
      </c>
      <c r="I244" s="70">
        <f t="shared" si="66"/>
        <v>0.3094246782740348</v>
      </c>
      <c r="J244" s="69">
        <v>32</v>
      </c>
      <c r="K244" s="70">
        <f t="shared" si="67"/>
        <v>6.0560181680545042E-3</v>
      </c>
      <c r="L244" s="70">
        <f t="shared" si="68"/>
        <v>1.9571865443425075E-2</v>
      </c>
      <c r="M244" s="69">
        <v>21</v>
      </c>
      <c r="N244" s="70">
        <f t="shared" si="69"/>
        <v>3.9742619227857686E-3</v>
      </c>
      <c r="O244" s="67" t="s">
        <v>101</v>
      </c>
    </row>
    <row r="245" spans="1:15" x14ac:dyDescent="0.3">
      <c r="A245" s="90" t="s">
        <v>165</v>
      </c>
      <c r="B245" s="67" t="s">
        <v>18</v>
      </c>
      <c r="C245" s="67" t="s">
        <v>101</v>
      </c>
      <c r="D245" s="68">
        <v>44980</v>
      </c>
      <c r="E245" s="69">
        <v>47880</v>
      </c>
      <c r="F245" s="70">
        <f t="shared" si="65"/>
        <v>0.99845446950710104</v>
      </c>
      <c r="G245" s="69">
        <v>74</v>
      </c>
      <c r="H245" s="69">
        <v>17071</v>
      </c>
      <c r="I245" s="70">
        <f t="shared" si="66"/>
        <v>0.35653717627401837</v>
      </c>
      <c r="J245" s="69">
        <v>320</v>
      </c>
      <c r="K245" s="70">
        <f t="shared" si="67"/>
        <v>6.6833751044277356E-3</v>
      </c>
      <c r="L245" s="70">
        <f t="shared" si="68"/>
        <v>1.8745240466287855E-2</v>
      </c>
      <c r="M245" s="69">
        <v>131</v>
      </c>
      <c r="N245" s="70">
        <f t="shared" si="69"/>
        <v>2.7360066833751044E-3</v>
      </c>
      <c r="O245" s="67" t="s">
        <v>101</v>
      </c>
    </row>
    <row r="246" spans="1:15" x14ac:dyDescent="0.3">
      <c r="A246" s="66" t="s">
        <v>26</v>
      </c>
      <c r="B246" s="67"/>
      <c r="C246" s="67" t="s">
        <v>23</v>
      </c>
      <c r="D246" s="68">
        <v>44980</v>
      </c>
      <c r="E246" s="69">
        <v>1642</v>
      </c>
      <c r="F246" s="70">
        <f t="shared" si="65"/>
        <v>1</v>
      </c>
      <c r="G246" s="69">
        <v>0</v>
      </c>
      <c r="H246" s="69">
        <v>624</v>
      </c>
      <c r="I246" s="70">
        <f t="shared" si="66"/>
        <v>0.3800243605359318</v>
      </c>
      <c r="J246" s="69">
        <v>16</v>
      </c>
      <c r="K246" s="70">
        <f t="shared" si="67"/>
        <v>9.7442143727161992E-3</v>
      </c>
      <c r="L246" s="70">
        <f t="shared" si="68"/>
        <v>2.564102564102564E-2</v>
      </c>
      <c r="M246" s="69">
        <v>1</v>
      </c>
      <c r="N246" s="70">
        <f t="shared" si="69"/>
        <v>6.0901339829476245E-4</v>
      </c>
      <c r="O246" s="67" t="s">
        <v>23</v>
      </c>
    </row>
    <row r="247" spans="1:15" x14ac:dyDescent="0.3">
      <c r="A247" s="66" t="s">
        <v>166</v>
      </c>
      <c r="B247" s="67" t="s">
        <v>18</v>
      </c>
      <c r="C247" s="67" t="s">
        <v>16</v>
      </c>
      <c r="D247" s="68">
        <v>44981</v>
      </c>
      <c r="E247" s="69">
        <v>6241</v>
      </c>
      <c r="F247" s="70">
        <f t="shared" si="65"/>
        <v>0.9991988463387278</v>
      </c>
      <c r="G247" s="69">
        <v>5</v>
      </c>
      <c r="H247" s="69">
        <v>2024</v>
      </c>
      <c r="I247" s="70">
        <f t="shared" si="66"/>
        <v>0.32430700208299951</v>
      </c>
      <c r="J247" s="69">
        <v>45</v>
      </c>
      <c r="K247" s="70">
        <f t="shared" si="67"/>
        <v>7.2103829514500884E-3</v>
      </c>
      <c r="L247" s="70">
        <f t="shared" si="68"/>
        <v>2.2233201581027668E-2</v>
      </c>
      <c r="M247" s="69">
        <v>19</v>
      </c>
      <c r="N247" s="70">
        <f t="shared" si="69"/>
        <v>3.0443839128344815E-3</v>
      </c>
      <c r="O247" s="67" t="s">
        <v>16</v>
      </c>
    </row>
    <row r="248" spans="1:15" x14ac:dyDescent="0.3">
      <c r="A248" s="66" t="s">
        <v>166</v>
      </c>
      <c r="B248" s="67" t="s">
        <v>15</v>
      </c>
      <c r="C248" s="67" t="s">
        <v>16</v>
      </c>
      <c r="D248" s="68">
        <v>44981</v>
      </c>
      <c r="E248" s="69">
        <v>18918</v>
      </c>
      <c r="F248" s="70">
        <f t="shared" si="65"/>
        <v>0.99936568347605459</v>
      </c>
      <c r="G248" s="69">
        <v>12</v>
      </c>
      <c r="H248" s="69">
        <v>5883</v>
      </c>
      <c r="I248" s="70">
        <f t="shared" si="66"/>
        <v>0.31097367586425628</v>
      </c>
      <c r="J248" s="69">
        <v>96</v>
      </c>
      <c r="K248" s="70">
        <f t="shared" si="67"/>
        <v>5.0745321915635902E-3</v>
      </c>
      <c r="L248" s="70">
        <f t="shared" si="68"/>
        <v>1.6318204997450281E-2</v>
      </c>
      <c r="M248" s="69">
        <v>8</v>
      </c>
      <c r="N248" s="70">
        <f t="shared" si="69"/>
        <v>4.2287768263029918E-4</v>
      </c>
      <c r="O248" s="67" t="s">
        <v>16</v>
      </c>
    </row>
    <row r="249" spans="1:15" x14ac:dyDescent="0.3">
      <c r="A249" s="91" t="s">
        <v>33</v>
      </c>
      <c r="B249" s="92" t="s">
        <v>18</v>
      </c>
      <c r="C249" s="92" t="s">
        <v>21</v>
      </c>
      <c r="D249" s="68">
        <v>44981</v>
      </c>
      <c r="E249" s="69">
        <v>246917</v>
      </c>
      <c r="F249" s="70">
        <f t="shared" si="65"/>
        <v>0.99919001121834461</v>
      </c>
      <c r="G249" s="69">
        <v>200</v>
      </c>
      <c r="H249" s="69">
        <v>92327</v>
      </c>
      <c r="I249" s="70">
        <f t="shared" si="66"/>
        <v>0.3739191712194786</v>
      </c>
      <c r="J249" s="69">
        <v>2269</v>
      </c>
      <c r="K249" s="70">
        <f t="shared" si="67"/>
        <v>9.1893227278802194E-3</v>
      </c>
      <c r="L249" s="70">
        <f t="shared" si="68"/>
        <v>2.4575692917564743E-2</v>
      </c>
      <c r="M249" s="69">
        <v>290</v>
      </c>
      <c r="N249" s="70">
        <f t="shared" si="69"/>
        <v>1.1744837334002924E-3</v>
      </c>
      <c r="O249" s="67" t="s">
        <v>21</v>
      </c>
    </row>
    <row r="250" spans="1:15" x14ac:dyDescent="0.3">
      <c r="A250" s="93" t="s">
        <v>19</v>
      </c>
      <c r="B250" s="94" t="s">
        <v>18</v>
      </c>
      <c r="C250" s="94" t="s">
        <v>21</v>
      </c>
      <c r="D250" s="68">
        <v>44981</v>
      </c>
      <c r="E250" s="69">
        <v>333167</v>
      </c>
      <c r="F250" s="70">
        <f t="shared" si="65"/>
        <v>0.99855327808576477</v>
      </c>
      <c r="G250" s="69">
        <v>482</v>
      </c>
      <c r="H250" s="69">
        <v>100082</v>
      </c>
      <c r="I250" s="70">
        <f t="shared" si="66"/>
        <v>0.30039589755287888</v>
      </c>
      <c r="J250" s="69">
        <v>2565</v>
      </c>
      <c r="K250" s="70">
        <f t="shared" si="67"/>
        <v>7.6988417220192878E-3</v>
      </c>
      <c r="L250" s="70">
        <f t="shared" si="68"/>
        <v>2.5628984232928999E-2</v>
      </c>
      <c r="M250" s="69">
        <v>301</v>
      </c>
      <c r="N250" s="70">
        <f t="shared" si="69"/>
        <v>9.0345082196015812E-4</v>
      </c>
      <c r="O250" s="67" t="s">
        <v>21</v>
      </c>
    </row>
    <row r="251" spans="1:15" x14ac:dyDescent="0.3">
      <c r="A251" s="66" t="s">
        <v>28</v>
      </c>
      <c r="B251" s="67" t="s">
        <v>15</v>
      </c>
      <c r="C251" s="67" t="s">
        <v>16</v>
      </c>
      <c r="D251" s="68">
        <v>44981</v>
      </c>
      <c r="E251" s="69">
        <v>96887</v>
      </c>
      <c r="F251" s="70">
        <f t="shared" si="65"/>
        <v>0.99921558103770369</v>
      </c>
      <c r="G251" s="69">
        <v>76</v>
      </c>
      <c r="H251" s="69">
        <v>29052</v>
      </c>
      <c r="I251" s="70">
        <f t="shared" si="66"/>
        <v>0.29985446963988976</v>
      </c>
      <c r="J251" s="69">
        <v>532</v>
      </c>
      <c r="K251" s="70">
        <f t="shared" si="67"/>
        <v>5.4909327360739835E-3</v>
      </c>
      <c r="L251" s="70">
        <f t="shared" si="68"/>
        <v>1.8311992289687457E-2</v>
      </c>
      <c r="M251" s="69">
        <v>54</v>
      </c>
      <c r="N251" s="70">
        <f t="shared" si="69"/>
        <v>5.5735031531578029E-4</v>
      </c>
      <c r="O251" s="67" t="s">
        <v>16</v>
      </c>
    </row>
    <row r="252" spans="1:15" x14ac:dyDescent="0.3">
      <c r="A252" s="66" t="s">
        <v>28</v>
      </c>
      <c r="B252" s="67" t="s">
        <v>18</v>
      </c>
      <c r="C252" s="67" t="s">
        <v>16</v>
      </c>
      <c r="D252" s="68">
        <v>44981</v>
      </c>
      <c r="E252" s="69">
        <v>193445</v>
      </c>
      <c r="F252" s="70">
        <f t="shared" si="65"/>
        <v>0.99898679211145291</v>
      </c>
      <c r="G252" s="69">
        <v>196</v>
      </c>
      <c r="H252" s="69">
        <v>59766</v>
      </c>
      <c r="I252" s="70">
        <f t="shared" si="66"/>
        <v>0.30895603401483623</v>
      </c>
      <c r="J252" s="69">
        <v>1321</v>
      </c>
      <c r="K252" s="70">
        <f t="shared" si="67"/>
        <v>6.8288143916875599E-3</v>
      </c>
      <c r="L252" s="70">
        <f t="shared" si="68"/>
        <v>2.2102867851286685E-2</v>
      </c>
      <c r="M252" s="69">
        <v>752</v>
      </c>
      <c r="N252" s="70">
        <f t="shared" si="69"/>
        <v>3.8874098580992012E-3</v>
      </c>
      <c r="O252" s="67" t="s">
        <v>16</v>
      </c>
    </row>
    <row r="253" spans="1:15" x14ac:dyDescent="0.3">
      <c r="A253" s="66" t="s">
        <v>22</v>
      </c>
      <c r="B253" s="67" t="s">
        <v>15</v>
      </c>
      <c r="C253" s="67" t="s">
        <v>16</v>
      </c>
      <c r="D253" s="68">
        <v>44981</v>
      </c>
      <c r="E253" s="69">
        <v>1736522</v>
      </c>
      <c r="F253" s="70">
        <f t="shared" si="65"/>
        <v>0.99784914904619693</v>
      </c>
      <c r="G253" s="69">
        <v>3735</v>
      </c>
      <c r="H253" s="69">
        <v>613549</v>
      </c>
      <c r="I253" s="70">
        <f t="shared" si="66"/>
        <v>0.35332060290626899</v>
      </c>
      <c r="J253" s="69">
        <v>9784</v>
      </c>
      <c r="K253" s="70">
        <f t="shared" si="67"/>
        <v>5.6342505306584082E-3</v>
      </c>
      <c r="L253" s="70">
        <f t="shared" si="68"/>
        <v>1.5946566614891394E-2</v>
      </c>
      <c r="M253" s="69">
        <v>1806</v>
      </c>
      <c r="N253" s="70">
        <f t="shared" si="69"/>
        <v>1.0400098587867012E-3</v>
      </c>
      <c r="O253" s="67" t="s">
        <v>16</v>
      </c>
    </row>
    <row r="254" spans="1:15" x14ac:dyDescent="0.3">
      <c r="A254" s="66" t="s">
        <v>22</v>
      </c>
      <c r="B254" s="67" t="s">
        <v>18</v>
      </c>
      <c r="C254" s="67" t="s">
        <v>16</v>
      </c>
      <c r="D254" s="68">
        <v>44981</v>
      </c>
      <c r="E254" s="69">
        <v>2176097</v>
      </c>
      <c r="F254" s="70">
        <f t="shared" si="65"/>
        <v>0.99815817033891407</v>
      </c>
      <c r="G254" s="69">
        <v>4008</v>
      </c>
      <c r="H254" s="69">
        <v>768818</v>
      </c>
      <c r="I254" s="70">
        <f t="shared" si="66"/>
        <v>0.35330134640137822</v>
      </c>
      <c r="J254" s="69">
        <v>13398</v>
      </c>
      <c r="K254" s="70">
        <f t="shared" si="67"/>
        <v>6.1568946604861827E-3</v>
      </c>
      <c r="L254" s="70">
        <f t="shared" si="68"/>
        <v>1.742675119469107E-2</v>
      </c>
      <c r="M254" s="69">
        <v>6322</v>
      </c>
      <c r="N254" s="70">
        <f t="shared" si="69"/>
        <v>2.9052013765930472E-3</v>
      </c>
      <c r="O254" s="67" t="s">
        <v>16</v>
      </c>
    </row>
    <row r="255" spans="1:15" x14ac:dyDescent="0.3">
      <c r="A255" s="66" t="s">
        <v>167</v>
      </c>
      <c r="B255" s="67" t="s">
        <v>15</v>
      </c>
      <c r="C255" s="67" t="s">
        <v>16</v>
      </c>
      <c r="D255" s="68">
        <v>44981</v>
      </c>
      <c r="E255" s="69">
        <v>118601</v>
      </c>
      <c r="F255" s="70">
        <f t="shared" si="65"/>
        <v>0.99914840515678616</v>
      </c>
      <c r="G255" s="69">
        <v>101</v>
      </c>
      <c r="H255" s="69">
        <v>36639</v>
      </c>
      <c r="I255" s="70">
        <f t="shared" si="66"/>
        <v>0.30892656891594505</v>
      </c>
      <c r="J255" s="69">
        <v>358</v>
      </c>
      <c r="K255" s="70">
        <f t="shared" si="67"/>
        <v>3.0185242957479277E-3</v>
      </c>
      <c r="L255" s="70">
        <f t="shared" si="68"/>
        <v>9.7710090340893587E-3</v>
      </c>
      <c r="M255" s="69">
        <v>90</v>
      </c>
      <c r="N255" s="70">
        <f t="shared" si="69"/>
        <v>7.588468899924958E-4</v>
      </c>
      <c r="O255" s="67" t="s">
        <v>16</v>
      </c>
    </row>
    <row r="256" spans="1:15" x14ac:dyDescent="0.3">
      <c r="A256" s="66" t="s">
        <v>167</v>
      </c>
      <c r="B256" s="67" t="s">
        <v>18</v>
      </c>
      <c r="C256" s="67" t="s">
        <v>16</v>
      </c>
      <c r="D256" s="68">
        <v>44981</v>
      </c>
      <c r="E256" s="69">
        <v>220894</v>
      </c>
      <c r="F256" s="70">
        <f t="shared" si="65"/>
        <v>0.99904026365587117</v>
      </c>
      <c r="G256" s="69">
        <v>212</v>
      </c>
      <c r="H256" s="69">
        <v>68826</v>
      </c>
      <c r="I256" s="70">
        <f t="shared" si="66"/>
        <v>0.31157930953307922</v>
      </c>
      <c r="J256" s="69">
        <v>911</v>
      </c>
      <c r="K256" s="70">
        <f t="shared" si="67"/>
        <v>4.1241500448178769E-3</v>
      </c>
      <c r="L256" s="70">
        <f t="shared" si="68"/>
        <v>1.3236276988347426E-2</v>
      </c>
      <c r="M256" s="69">
        <v>704</v>
      </c>
      <c r="N256" s="70">
        <f t="shared" si="69"/>
        <v>3.1870489918241329E-3</v>
      </c>
      <c r="O256" s="67" t="s">
        <v>16</v>
      </c>
    </row>
    <row r="257" spans="1:15" x14ac:dyDescent="0.3">
      <c r="A257" s="66" t="s">
        <v>168</v>
      </c>
      <c r="B257" s="67" t="s">
        <v>15</v>
      </c>
      <c r="C257" s="67" t="s">
        <v>16</v>
      </c>
      <c r="D257" s="68">
        <v>44981</v>
      </c>
      <c r="E257" s="69">
        <v>2139489</v>
      </c>
      <c r="F257" s="70">
        <f t="shared" si="65"/>
        <v>0.99804719725130631</v>
      </c>
      <c r="G257" s="69">
        <v>4178</v>
      </c>
      <c r="H257" s="69">
        <v>928128</v>
      </c>
      <c r="I257" s="70">
        <f t="shared" si="66"/>
        <v>0.43380825982278948</v>
      </c>
      <c r="J257" s="69">
        <v>7644</v>
      </c>
      <c r="K257" s="70">
        <f t="shared" si="67"/>
        <v>3.5728157517986772E-3</v>
      </c>
      <c r="L257" s="70">
        <f t="shared" si="68"/>
        <v>8.2359329747621023E-3</v>
      </c>
      <c r="M257" s="69">
        <v>2968</v>
      </c>
      <c r="N257" s="70">
        <f t="shared" si="69"/>
        <v>1.3872471417240284E-3</v>
      </c>
      <c r="O257" s="67" t="s">
        <v>16</v>
      </c>
    </row>
    <row r="258" spans="1:15" x14ac:dyDescent="0.3">
      <c r="A258" s="66" t="s">
        <v>168</v>
      </c>
      <c r="B258" s="67" t="s">
        <v>18</v>
      </c>
      <c r="C258" s="67" t="s">
        <v>16</v>
      </c>
      <c r="D258" s="68">
        <v>44981</v>
      </c>
      <c r="E258" s="69">
        <v>2394533</v>
      </c>
      <c r="F258" s="70">
        <f t="shared" si="65"/>
        <v>0.99832952813763687</v>
      </c>
      <c r="G258" s="69">
        <v>4000</v>
      </c>
      <c r="H258" s="69">
        <v>866571</v>
      </c>
      <c r="I258" s="70">
        <f t="shared" si="66"/>
        <v>0.36189561805997245</v>
      </c>
      <c r="J258" s="69">
        <v>9483</v>
      </c>
      <c r="K258" s="70">
        <f t="shared" si="67"/>
        <v>3.9602711676974172E-3</v>
      </c>
      <c r="L258" s="70">
        <f t="shared" si="68"/>
        <v>1.0943131030232953E-2</v>
      </c>
      <c r="M258" s="69">
        <v>6910</v>
      </c>
      <c r="N258" s="70">
        <f t="shared" si="69"/>
        <v>2.8857401422323265E-3</v>
      </c>
      <c r="O258" s="67" t="s">
        <v>16</v>
      </c>
    </row>
    <row r="259" spans="1:15" x14ac:dyDescent="0.3">
      <c r="A259" s="66" t="s">
        <v>197</v>
      </c>
      <c r="B259" s="67" t="s">
        <v>15</v>
      </c>
      <c r="C259" s="67" t="s">
        <v>30</v>
      </c>
      <c r="D259" s="68">
        <v>44982</v>
      </c>
      <c r="E259" s="69">
        <v>7896</v>
      </c>
      <c r="F259" s="70">
        <f t="shared" si="65"/>
        <v>0.99911347517730498</v>
      </c>
      <c r="G259" s="69">
        <v>7</v>
      </c>
      <c r="H259" s="69">
        <v>3940</v>
      </c>
      <c r="I259" s="70">
        <f t="shared" si="66"/>
        <v>0.49898682877406281</v>
      </c>
      <c r="J259" s="69">
        <v>634</v>
      </c>
      <c r="K259" s="70">
        <f t="shared" si="67"/>
        <v>8.0293819655521778E-2</v>
      </c>
      <c r="L259" s="70">
        <f t="shared" si="68"/>
        <v>0.16091370558375634</v>
      </c>
      <c r="M259" s="69">
        <v>6</v>
      </c>
      <c r="N259" s="70">
        <f t="shared" si="69"/>
        <v>7.5987841945288754E-4</v>
      </c>
      <c r="O259" s="67" t="s">
        <v>31</v>
      </c>
    </row>
    <row r="260" spans="1:15" x14ac:dyDescent="0.3">
      <c r="A260" s="66" t="s">
        <v>171</v>
      </c>
      <c r="B260" s="67"/>
      <c r="C260" s="67" t="s">
        <v>98</v>
      </c>
      <c r="D260" s="68">
        <v>44984</v>
      </c>
      <c r="E260" s="69">
        <v>517</v>
      </c>
      <c r="F260" s="70">
        <f t="shared" ref="F260" si="70">(E260-G260)/E260</f>
        <v>0.96905222437137328</v>
      </c>
      <c r="G260" s="69">
        <v>16</v>
      </c>
      <c r="H260" s="69">
        <v>114</v>
      </c>
      <c r="I260" s="70">
        <f t="shared" ref="I260" si="71">H260/E260</f>
        <v>0.22050290135396519</v>
      </c>
      <c r="J260" s="69">
        <v>6</v>
      </c>
      <c r="K260" s="70">
        <f t="shared" ref="K260" si="72">J260/E260</f>
        <v>1.160541586073501E-2</v>
      </c>
      <c r="L260" s="70">
        <f t="shared" ref="L260" si="73">J260/H260</f>
        <v>5.2631578947368418E-2</v>
      </c>
      <c r="M260" s="69">
        <v>2</v>
      </c>
      <c r="N260" s="70">
        <f t="shared" ref="N260" si="74">M260/E260</f>
        <v>3.8684719535783366E-3</v>
      </c>
      <c r="O260" s="67" t="s">
        <v>98</v>
      </c>
    </row>
    <row r="261" spans="1:15" x14ac:dyDescent="0.3">
      <c r="A261" s="66" t="s">
        <v>172</v>
      </c>
      <c r="B261" s="67"/>
      <c r="C261" s="67" t="s">
        <v>98</v>
      </c>
      <c r="D261" s="68">
        <v>44984</v>
      </c>
      <c r="E261" s="69">
        <v>3920</v>
      </c>
      <c r="F261" s="70">
        <f t="shared" ref="F261:F296" si="75">(E261-G261)/E261</f>
        <v>0.95765306122448979</v>
      </c>
      <c r="G261" s="69">
        <v>166</v>
      </c>
      <c r="H261" s="69">
        <v>1360</v>
      </c>
      <c r="I261" s="70">
        <f t="shared" ref="I261:I296" si="76">H261/E261</f>
        <v>0.34693877551020408</v>
      </c>
      <c r="J261" s="69">
        <v>112</v>
      </c>
      <c r="K261" s="70">
        <f t="shared" ref="K261:K296" si="77">J261/E261</f>
        <v>2.8571428571428571E-2</v>
      </c>
      <c r="L261" s="70">
        <f t="shared" ref="L261:L296" si="78">J261/H261</f>
        <v>8.2352941176470587E-2</v>
      </c>
      <c r="M261" s="69">
        <v>29</v>
      </c>
      <c r="N261" s="70">
        <f t="shared" ref="N261:N296" si="79">M261/E261</f>
        <v>7.3979591836734696E-3</v>
      </c>
      <c r="O261" s="67" t="s">
        <v>98</v>
      </c>
    </row>
    <row r="262" spans="1:15" x14ac:dyDescent="0.3">
      <c r="A262" s="66" t="s">
        <v>29</v>
      </c>
      <c r="B262" s="67" t="s">
        <v>15</v>
      </c>
      <c r="C262" s="67" t="s">
        <v>16</v>
      </c>
      <c r="D262" s="68">
        <v>44985</v>
      </c>
      <c r="E262" s="69">
        <v>22912</v>
      </c>
      <c r="F262" s="70">
        <f t="shared" si="75"/>
        <v>0.99903980446927376</v>
      </c>
      <c r="G262" s="69">
        <v>22</v>
      </c>
      <c r="H262" s="69">
        <v>8082</v>
      </c>
      <c r="I262" s="70">
        <f t="shared" si="76"/>
        <v>0.35274092178770949</v>
      </c>
      <c r="J262" s="69">
        <v>227</v>
      </c>
      <c r="K262" s="70">
        <f t="shared" si="77"/>
        <v>9.9074720670391057E-3</v>
      </c>
      <c r="L262" s="70">
        <f t="shared" si="78"/>
        <v>2.8087107151695125E-2</v>
      </c>
      <c r="M262" s="69">
        <v>16</v>
      </c>
      <c r="N262" s="70">
        <f t="shared" si="79"/>
        <v>6.9832402234636874E-4</v>
      </c>
      <c r="O262" s="67" t="s">
        <v>16</v>
      </c>
    </row>
    <row r="263" spans="1:15" x14ac:dyDescent="0.3">
      <c r="A263" s="66" t="s">
        <v>29</v>
      </c>
      <c r="B263" s="67" t="s">
        <v>18</v>
      </c>
      <c r="C263" s="67" t="s">
        <v>16</v>
      </c>
      <c r="D263" s="68">
        <v>44985</v>
      </c>
      <c r="E263" s="69">
        <v>25210</v>
      </c>
      <c r="F263" s="70">
        <f t="shared" si="75"/>
        <v>0.99960333201110674</v>
      </c>
      <c r="G263" s="69">
        <v>10</v>
      </c>
      <c r="H263" s="69">
        <v>9508</v>
      </c>
      <c r="I263" s="70">
        <f t="shared" si="76"/>
        <v>0.37715192383974611</v>
      </c>
      <c r="J263" s="69">
        <v>227</v>
      </c>
      <c r="K263" s="70">
        <f t="shared" si="77"/>
        <v>9.0043633478778268E-3</v>
      </c>
      <c r="L263" s="70">
        <f t="shared" si="78"/>
        <v>2.3874631888935634E-2</v>
      </c>
      <c r="M263" s="69">
        <v>40</v>
      </c>
      <c r="N263" s="70">
        <f t="shared" si="79"/>
        <v>1.5866719555731853E-3</v>
      </c>
      <c r="O263" s="67" t="s">
        <v>16</v>
      </c>
    </row>
    <row r="264" spans="1:15" x14ac:dyDescent="0.3">
      <c r="A264" s="66" t="s">
        <v>17</v>
      </c>
      <c r="B264" s="67" t="s">
        <v>15</v>
      </c>
      <c r="C264" s="67" t="s">
        <v>16</v>
      </c>
      <c r="D264" s="68">
        <v>44985</v>
      </c>
      <c r="E264" s="69">
        <v>215653</v>
      </c>
      <c r="F264" s="70">
        <f t="shared" si="75"/>
        <v>0.99825645829179288</v>
      </c>
      <c r="G264" s="69">
        <v>376</v>
      </c>
      <c r="H264" s="69">
        <v>79666</v>
      </c>
      <c r="I264" s="70">
        <f t="shared" si="76"/>
        <v>0.36941753650540454</v>
      </c>
      <c r="J264" s="69">
        <v>2298</v>
      </c>
      <c r="K264" s="70">
        <f t="shared" si="77"/>
        <v>1.0656007567712946E-2</v>
      </c>
      <c r="L264" s="70">
        <f t="shared" si="78"/>
        <v>2.8845429668867523E-2</v>
      </c>
      <c r="M264" s="69">
        <v>113</v>
      </c>
      <c r="N264" s="70">
        <f t="shared" si="79"/>
        <v>5.2398992826438765E-4</v>
      </c>
      <c r="O264" s="67" t="s">
        <v>16</v>
      </c>
    </row>
    <row r="265" spans="1:15" x14ac:dyDescent="0.3">
      <c r="A265" s="66" t="s">
        <v>17</v>
      </c>
      <c r="B265" s="67" t="s">
        <v>18</v>
      </c>
      <c r="C265" s="67" t="s">
        <v>16</v>
      </c>
      <c r="D265" s="68">
        <v>44985</v>
      </c>
      <c r="E265" s="69">
        <v>429428</v>
      </c>
      <c r="F265" s="70">
        <f t="shared" si="75"/>
        <v>0.99867731028251538</v>
      </c>
      <c r="G265" s="69">
        <v>568</v>
      </c>
      <c r="H265" s="69">
        <v>172694</v>
      </c>
      <c r="I265" s="70">
        <f t="shared" si="76"/>
        <v>0.40214890505509654</v>
      </c>
      <c r="J265" s="69">
        <v>2929</v>
      </c>
      <c r="K265" s="70">
        <f t="shared" si="77"/>
        <v>6.820701025550267E-3</v>
      </c>
      <c r="L265" s="70">
        <f t="shared" si="78"/>
        <v>1.6960635575063408E-2</v>
      </c>
      <c r="M265" s="69">
        <v>423</v>
      </c>
      <c r="N265" s="70">
        <f t="shared" si="79"/>
        <v>9.8503125087325461E-4</v>
      </c>
      <c r="O265" s="67" t="s">
        <v>16</v>
      </c>
    </row>
    <row r="266" spans="1:15" x14ac:dyDescent="0.3">
      <c r="A266" s="66" t="s">
        <v>198</v>
      </c>
      <c r="B266" s="67" t="s">
        <v>18</v>
      </c>
      <c r="C266" s="67" t="s">
        <v>16</v>
      </c>
      <c r="D266" s="68">
        <v>44986</v>
      </c>
      <c r="E266" s="69">
        <v>71370</v>
      </c>
      <c r="F266" s="70">
        <f t="shared" si="75"/>
        <v>0.9990332072299285</v>
      </c>
      <c r="G266" s="69">
        <v>69</v>
      </c>
      <c r="H266" s="69">
        <v>22108</v>
      </c>
      <c r="I266" s="70">
        <f t="shared" si="76"/>
        <v>0.30976600812666388</v>
      </c>
      <c r="J266" s="69">
        <v>486</v>
      </c>
      <c r="K266" s="70">
        <f t="shared" si="77"/>
        <v>6.8095838587641866E-3</v>
      </c>
      <c r="L266" s="70">
        <f t="shared" si="78"/>
        <v>2.1982992581870815E-2</v>
      </c>
      <c r="M266" s="69">
        <v>375</v>
      </c>
      <c r="N266" s="70">
        <f t="shared" si="79"/>
        <v>5.254308532997058E-3</v>
      </c>
      <c r="O266" s="67" t="s">
        <v>16</v>
      </c>
    </row>
    <row r="267" spans="1:15" x14ac:dyDescent="0.3">
      <c r="A267" s="66" t="s">
        <v>198</v>
      </c>
      <c r="B267" s="67" t="s">
        <v>15</v>
      </c>
      <c r="C267" s="67" t="s">
        <v>16</v>
      </c>
      <c r="D267" s="68">
        <v>44986</v>
      </c>
      <c r="E267" s="69">
        <v>63946</v>
      </c>
      <c r="F267" s="70">
        <f t="shared" si="75"/>
        <v>0.99923372845838676</v>
      </c>
      <c r="G267" s="69">
        <v>49</v>
      </c>
      <c r="H267" s="69">
        <v>20799</v>
      </c>
      <c r="I267" s="70">
        <f t="shared" si="76"/>
        <v>0.32525881212272856</v>
      </c>
      <c r="J267" s="69">
        <v>341</v>
      </c>
      <c r="K267" s="70">
        <f t="shared" si="77"/>
        <v>5.3326244018390518E-3</v>
      </c>
      <c r="L267" s="70">
        <f t="shared" si="78"/>
        <v>1.6395018991297659E-2</v>
      </c>
      <c r="M267" s="69">
        <v>55</v>
      </c>
      <c r="N267" s="70">
        <f t="shared" si="79"/>
        <v>8.6010070997404064E-4</v>
      </c>
      <c r="O267" s="67" t="s">
        <v>16</v>
      </c>
    </row>
    <row r="268" spans="1:15" x14ac:dyDescent="0.3">
      <c r="A268" s="66" t="s">
        <v>199</v>
      </c>
      <c r="B268" s="67" t="s">
        <v>18</v>
      </c>
      <c r="C268" s="67" t="s">
        <v>16</v>
      </c>
      <c r="D268" s="68">
        <v>44986</v>
      </c>
      <c r="E268" s="69">
        <v>769671</v>
      </c>
      <c r="F268" s="70">
        <f t="shared" si="75"/>
        <v>0.9982875800179557</v>
      </c>
      <c r="G268" s="69">
        <v>1318</v>
      </c>
      <c r="H268" s="69">
        <v>303299</v>
      </c>
      <c r="I268" s="70">
        <f t="shared" si="76"/>
        <v>0.39406317764343468</v>
      </c>
      <c r="J268" s="69">
        <v>4714</v>
      </c>
      <c r="K268" s="70">
        <f t="shared" si="77"/>
        <v>6.1246948371447025E-3</v>
      </c>
      <c r="L268" s="70">
        <f t="shared" si="78"/>
        <v>1.5542418537482814E-2</v>
      </c>
      <c r="M268" s="69">
        <v>3637</v>
      </c>
      <c r="N268" s="70">
        <f t="shared" si="79"/>
        <v>4.7253956560660334E-3</v>
      </c>
      <c r="O268" s="67" t="s">
        <v>16</v>
      </c>
    </row>
    <row r="269" spans="1:15" x14ac:dyDescent="0.3">
      <c r="A269" s="66" t="s">
        <v>199</v>
      </c>
      <c r="B269" s="67" t="s">
        <v>15</v>
      </c>
      <c r="C269" s="67" t="s">
        <v>16</v>
      </c>
      <c r="D269" s="68">
        <v>44986</v>
      </c>
      <c r="E269" s="69">
        <v>1202155</v>
      </c>
      <c r="F269" s="70">
        <f t="shared" si="75"/>
        <v>0.99820073118691022</v>
      </c>
      <c r="G269" s="69">
        <v>2163</v>
      </c>
      <c r="H269" s="69">
        <v>490884</v>
      </c>
      <c r="I269" s="70">
        <f t="shared" si="76"/>
        <v>0.40833669535126504</v>
      </c>
      <c r="J269" s="69">
        <v>4992</v>
      </c>
      <c r="K269" s="70">
        <f t="shared" si="77"/>
        <v>4.1525427253557151E-3</v>
      </c>
      <c r="L269" s="70">
        <f t="shared" si="78"/>
        <v>1.0169408658664777E-2</v>
      </c>
      <c r="M269" s="69">
        <v>1638</v>
      </c>
      <c r="N269" s="70">
        <f t="shared" si="79"/>
        <v>1.362553081757344E-3</v>
      </c>
      <c r="O269" s="67" t="s">
        <v>16</v>
      </c>
    </row>
    <row r="270" spans="1:15" x14ac:dyDescent="0.3">
      <c r="A270" s="76" t="s">
        <v>32</v>
      </c>
      <c r="B270" s="67"/>
      <c r="C270" s="67" t="s">
        <v>23</v>
      </c>
      <c r="D270" s="68">
        <v>44986</v>
      </c>
      <c r="E270" s="69">
        <v>309</v>
      </c>
      <c r="F270" s="70">
        <f t="shared" si="75"/>
        <v>1</v>
      </c>
      <c r="G270" s="69">
        <v>0</v>
      </c>
      <c r="H270" s="69">
        <v>99</v>
      </c>
      <c r="I270" s="70">
        <f t="shared" si="76"/>
        <v>0.32038834951456313</v>
      </c>
      <c r="J270" s="69">
        <v>6</v>
      </c>
      <c r="K270" s="70">
        <f t="shared" si="77"/>
        <v>1.9417475728155338E-2</v>
      </c>
      <c r="L270" s="70">
        <f t="shared" si="78"/>
        <v>6.0606060606060608E-2</v>
      </c>
      <c r="M270" s="69">
        <v>0</v>
      </c>
      <c r="N270" s="70">
        <f t="shared" si="79"/>
        <v>0</v>
      </c>
      <c r="O270" s="67" t="s">
        <v>23</v>
      </c>
    </row>
    <row r="271" spans="1:15" x14ac:dyDescent="0.3">
      <c r="A271" s="66" t="s">
        <v>34</v>
      </c>
      <c r="B271" s="67" t="s">
        <v>15</v>
      </c>
      <c r="C271" s="67" t="s">
        <v>30</v>
      </c>
      <c r="D271" s="68">
        <v>44986</v>
      </c>
      <c r="E271" s="69">
        <v>9414</v>
      </c>
      <c r="F271" s="70">
        <f t="shared" si="75"/>
        <v>0.98619077968982372</v>
      </c>
      <c r="G271" s="69">
        <v>130</v>
      </c>
      <c r="H271" s="69">
        <v>3118</v>
      </c>
      <c r="I271" s="70">
        <f t="shared" si="76"/>
        <v>0.33120883790099853</v>
      </c>
      <c r="J271" s="69">
        <v>369</v>
      </c>
      <c r="K271" s="70">
        <f t="shared" si="77"/>
        <v>3.9196940726577437E-2</v>
      </c>
      <c r="L271" s="70">
        <f t="shared" si="78"/>
        <v>0.11834509300833868</v>
      </c>
      <c r="M271" s="69">
        <v>43</v>
      </c>
      <c r="N271" s="70">
        <f t="shared" si="79"/>
        <v>4.5676651795198637E-3</v>
      </c>
      <c r="O271" s="67" t="s">
        <v>31</v>
      </c>
    </row>
    <row r="272" spans="1:15" x14ac:dyDescent="0.3">
      <c r="A272" s="66" t="s">
        <v>35</v>
      </c>
      <c r="B272" s="67" t="s">
        <v>15</v>
      </c>
      <c r="C272" s="67" t="s">
        <v>30</v>
      </c>
      <c r="D272" s="68">
        <v>44986</v>
      </c>
      <c r="E272" s="69">
        <v>85274</v>
      </c>
      <c r="F272" s="70">
        <f t="shared" si="75"/>
        <v>0.97782442479536558</v>
      </c>
      <c r="G272" s="69">
        <v>1891</v>
      </c>
      <c r="H272" s="69">
        <v>35103</v>
      </c>
      <c r="I272" s="70">
        <f t="shared" si="76"/>
        <v>0.41164950629734737</v>
      </c>
      <c r="J272" s="69">
        <v>3536</v>
      </c>
      <c r="K272" s="70">
        <f t="shared" si="77"/>
        <v>4.1466332059009778E-2</v>
      </c>
      <c r="L272" s="70">
        <f t="shared" si="78"/>
        <v>0.10073213115688118</v>
      </c>
      <c r="M272" s="69">
        <v>325</v>
      </c>
      <c r="N272" s="70">
        <f t="shared" si="79"/>
        <v>3.811243755423693E-3</v>
      </c>
      <c r="O272" s="67" t="s">
        <v>31</v>
      </c>
    </row>
    <row r="273" spans="1:15" x14ac:dyDescent="0.3">
      <c r="A273" s="66" t="s">
        <v>173</v>
      </c>
      <c r="B273" s="67" t="s">
        <v>15</v>
      </c>
      <c r="C273" s="67" t="s">
        <v>16</v>
      </c>
      <c r="D273" s="68">
        <v>44986</v>
      </c>
      <c r="E273" s="69">
        <v>118523</v>
      </c>
      <c r="F273" s="70">
        <f t="shared" si="75"/>
        <v>0.99911409599824508</v>
      </c>
      <c r="G273" s="69">
        <v>105</v>
      </c>
      <c r="H273" s="69">
        <v>37715</v>
      </c>
      <c r="I273" s="70">
        <f t="shared" si="76"/>
        <v>0.31820828024940306</v>
      </c>
      <c r="J273" s="69">
        <v>472</v>
      </c>
      <c r="K273" s="70">
        <f t="shared" si="77"/>
        <v>3.9823494174126544E-3</v>
      </c>
      <c r="L273" s="70">
        <f t="shared" si="78"/>
        <v>1.2514914490255866E-2</v>
      </c>
      <c r="M273" s="69">
        <v>79</v>
      </c>
      <c r="N273" s="70">
        <f t="shared" si="79"/>
        <v>6.6653729655847388E-4</v>
      </c>
      <c r="O273" s="67" t="s">
        <v>16</v>
      </c>
    </row>
    <row r="274" spans="1:15" x14ac:dyDescent="0.3">
      <c r="A274" s="66" t="s">
        <v>173</v>
      </c>
      <c r="B274" s="67" t="s">
        <v>18</v>
      </c>
      <c r="C274" s="67" t="s">
        <v>16</v>
      </c>
      <c r="D274" s="68">
        <v>44986</v>
      </c>
      <c r="E274" s="69">
        <v>219962</v>
      </c>
      <c r="F274" s="70">
        <f t="shared" si="75"/>
        <v>0.9989316336458115</v>
      </c>
      <c r="G274" s="69">
        <v>235</v>
      </c>
      <c r="H274" s="69">
        <v>70731</v>
      </c>
      <c r="I274" s="70">
        <f t="shared" si="76"/>
        <v>0.32156008765150346</v>
      </c>
      <c r="J274" s="69">
        <v>1262</v>
      </c>
      <c r="K274" s="70">
        <f t="shared" si="77"/>
        <v>5.7373546339822331E-3</v>
      </c>
      <c r="L274" s="70">
        <f t="shared" si="78"/>
        <v>1.784224738799112E-2</v>
      </c>
      <c r="M274" s="69">
        <v>902</v>
      </c>
      <c r="N274" s="70">
        <f t="shared" si="79"/>
        <v>4.100708304161628E-3</v>
      </c>
      <c r="O274" s="67" t="s">
        <v>16</v>
      </c>
    </row>
    <row r="275" spans="1:15" x14ac:dyDescent="0.3">
      <c r="A275" s="66" t="s">
        <v>174</v>
      </c>
      <c r="B275" s="67" t="s">
        <v>15</v>
      </c>
      <c r="C275" s="67" t="s">
        <v>16</v>
      </c>
      <c r="D275" s="68">
        <v>44986</v>
      </c>
      <c r="E275" s="69">
        <v>2144865</v>
      </c>
      <c r="F275" s="70">
        <f t="shared" si="75"/>
        <v>0.99793600063407251</v>
      </c>
      <c r="G275" s="69">
        <v>4427</v>
      </c>
      <c r="H275" s="69">
        <v>809456</v>
      </c>
      <c r="I275" s="70">
        <f t="shared" si="76"/>
        <v>0.37739251654533035</v>
      </c>
      <c r="J275" s="69">
        <v>10070</v>
      </c>
      <c r="K275" s="70">
        <f t="shared" si="77"/>
        <v>4.6949341800066671E-3</v>
      </c>
      <c r="L275" s="70">
        <f t="shared" si="78"/>
        <v>1.244045383566247E-2</v>
      </c>
      <c r="M275" s="69">
        <v>2293</v>
      </c>
      <c r="N275" s="70">
        <f t="shared" si="79"/>
        <v>1.0690649528058876E-3</v>
      </c>
      <c r="O275" s="67" t="s">
        <v>16</v>
      </c>
    </row>
    <row r="276" spans="1:15" x14ac:dyDescent="0.3">
      <c r="A276" s="66" t="s">
        <v>174</v>
      </c>
      <c r="B276" s="67" t="s">
        <v>18</v>
      </c>
      <c r="C276" s="67" t="s">
        <v>16</v>
      </c>
      <c r="D276" s="68">
        <v>44986</v>
      </c>
      <c r="E276" s="69">
        <v>2390275</v>
      </c>
      <c r="F276" s="70">
        <f t="shared" si="75"/>
        <v>0.99822823733670807</v>
      </c>
      <c r="G276" s="69">
        <v>4235</v>
      </c>
      <c r="H276" s="69">
        <v>889572</v>
      </c>
      <c r="I276" s="70">
        <f t="shared" si="76"/>
        <v>0.37216303563397518</v>
      </c>
      <c r="J276" s="69">
        <v>13094</v>
      </c>
      <c r="K276" s="70">
        <f t="shared" si="77"/>
        <v>5.4780307705180366E-3</v>
      </c>
      <c r="L276" s="70">
        <f t="shared" si="78"/>
        <v>1.4719438111811074E-2</v>
      </c>
      <c r="M276" s="69">
        <v>7507</v>
      </c>
      <c r="N276" s="70">
        <f t="shared" si="79"/>
        <v>3.1406428130654421E-3</v>
      </c>
      <c r="O276" s="67" t="s">
        <v>16</v>
      </c>
    </row>
    <row r="277" spans="1:15" x14ac:dyDescent="0.3">
      <c r="A277" s="66" t="s">
        <v>177</v>
      </c>
      <c r="B277" s="67" t="s">
        <v>15</v>
      </c>
      <c r="C277" s="67" t="s">
        <v>27</v>
      </c>
      <c r="D277" s="68">
        <v>44986</v>
      </c>
      <c r="E277" s="69">
        <v>12408</v>
      </c>
      <c r="F277" s="70">
        <f t="shared" si="75"/>
        <v>0.99774339136041268</v>
      </c>
      <c r="G277" s="69">
        <v>28</v>
      </c>
      <c r="H277" s="69">
        <v>4543</v>
      </c>
      <c r="I277" s="70">
        <f t="shared" si="76"/>
        <v>0.36613475177304966</v>
      </c>
      <c r="J277" s="69">
        <v>73</v>
      </c>
      <c r="K277" s="70">
        <f t="shared" si="77"/>
        <v>5.8833010960670533E-3</v>
      </c>
      <c r="L277" s="70">
        <f t="shared" si="78"/>
        <v>1.6068677085626239E-2</v>
      </c>
      <c r="M277" s="69">
        <v>44</v>
      </c>
      <c r="N277" s="70">
        <f t="shared" si="79"/>
        <v>3.5460992907801418E-3</v>
      </c>
      <c r="O277" s="67" t="s">
        <v>27</v>
      </c>
    </row>
    <row r="278" spans="1:15" x14ac:dyDescent="0.3">
      <c r="A278" s="66" t="s">
        <v>200</v>
      </c>
      <c r="B278" s="67" t="s">
        <v>15</v>
      </c>
      <c r="C278" s="67" t="s">
        <v>27</v>
      </c>
      <c r="D278" s="68">
        <v>44986</v>
      </c>
      <c r="E278" s="69">
        <v>28574</v>
      </c>
      <c r="F278" s="70">
        <f t="shared" si="75"/>
        <v>0.99692027717505427</v>
      </c>
      <c r="G278" s="69">
        <v>88</v>
      </c>
      <c r="H278" s="69">
        <v>10446</v>
      </c>
      <c r="I278" s="70">
        <f t="shared" si="76"/>
        <v>0.3655770980611745</v>
      </c>
      <c r="J278" s="69">
        <v>224</v>
      </c>
      <c r="K278" s="70">
        <f t="shared" si="77"/>
        <v>7.839294463498285E-3</v>
      </c>
      <c r="L278" s="70">
        <f t="shared" si="78"/>
        <v>2.1443614780777331E-2</v>
      </c>
      <c r="M278" s="69">
        <v>148</v>
      </c>
      <c r="N278" s="70">
        <f t="shared" si="79"/>
        <v>5.1795338419542243E-3</v>
      </c>
      <c r="O278" s="67" t="s">
        <v>27</v>
      </c>
    </row>
    <row r="279" spans="1:15" x14ac:dyDescent="0.3">
      <c r="A279" s="66" t="s">
        <v>176</v>
      </c>
      <c r="B279" s="67" t="s">
        <v>15</v>
      </c>
      <c r="C279" s="67" t="s">
        <v>27</v>
      </c>
      <c r="D279" s="68">
        <v>44986</v>
      </c>
      <c r="E279" s="69">
        <v>15109</v>
      </c>
      <c r="F279" s="70">
        <f t="shared" si="75"/>
        <v>0.99854391422331057</v>
      </c>
      <c r="G279" s="69">
        <v>22</v>
      </c>
      <c r="H279" s="69">
        <v>5773</v>
      </c>
      <c r="I279" s="70">
        <f t="shared" si="76"/>
        <v>0.3820901449467205</v>
      </c>
      <c r="J279" s="69">
        <v>127</v>
      </c>
      <c r="K279" s="70">
        <f t="shared" si="77"/>
        <v>8.4055860745251183E-3</v>
      </c>
      <c r="L279" s="70">
        <f t="shared" si="78"/>
        <v>2.1998960679023037E-2</v>
      </c>
      <c r="M279" s="69">
        <v>69</v>
      </c>
      <c r="N279" s="70">
        <f t="shared" si="79"/>
        <v>4.5668144814349065E-3</v>
      </c>
      <c r="O279" s="67" t="s">
        <v>27</v>
      </c>
    </row>
    <row r="280" spans="1:15" x14ac:dyDescent="0.3">
      <c r="A280" s="66" t="s">
        <v>175</v>
      </c>
      <c r="B280" s="67" t="s">
        <v>15</v>
      </c>
      <c r="C280" s="67" t="s">
        <v>27</v>
      </c>
      <c r="D280" s="68">
        <v>44986</v>
      </c>
      <c r="E280" s="69">
        <v>245222</v>
      </c>
      <c r="F280" s="70">
        <f t="shared" si="75"/>
        <v>0.99828726623223041</v>
      </c>
      <c r="G280" s="69">
        <v>420</v>
      </c>
      <c r="H280" s="69">
        <v>91365</v>
      </c>
      <c r="I280" s="70">
        <f t="shared" si="76"/>
        <v>0.37258076355302544</v>
      </c>
      <c r="J280" s="69">
        <v>1611</v>
      </c>
      <c r="K280" s="70">
        <f t="shared" si="77"/>
        <v>6.569557380659158E-3</v>
      </c>
      <c r="L280" s="70">
        <f t="shared" si="78"/>
        <v>1.763257264816943E-2</v>
      </c>
      <c r="M280" s="69">
        <v>1237</v>
      </c>
      <c r="N280" s="70">
        <f t="shared" si="79"/>
        <v>5.0444087398357406E-3</v>
      </c>
      <c r="O280" s="67" t="s">
        <v>27</v>
      </c>
    </row>
    <row r="281" spans="1:15" x14ac:dyDescent="0.3">
      <c r="A281" s="66" t="s">
        <v>26</v>
      </c>
      <c r="B281" s="67"/>
      <c r="C281" s="67" t="s">
        <v>23</v>
      </c>
      <c r="D281" s="68">
        <v>44987</v>
      </c>
      <c r="E281" s="69">
        <v>1642</v>
      </c>
      <c r="F281" s="70">
        <f t="shared" si="75"/>
        <v>1</v>
      </c>
      <c r="G281" s="69">
        <v>0</v>
      </c>
      <c r="H281" s="69">
        <v>598</v>
      </c>
      <c r="I281" s="70">
        <f t="shared" si="76"/>
        <v>0.36419001218026797</v>
      </c>
      <c r="J281" s="69">
        <v>19</v>
      </c>
      <c r="K281" s="70">
        <f t="shared" si="77"/>
        <v>1.1571254567600487E-2</v>
      </c>
      <c r="L281" s="70">
        <f t="shared" si="78"/>
        <v>3.177257525083612E-2</v>
      </c>
      <c r="M281" s="69">
        <v>0</v>
      </c>
      <c r="N281" s="70">
        <f t="shared" si="79"/>
        <v>0</v>
      </c>
      <c r="O281" s="67" t="s">
        <v>23</v>
      </c>
    </row>
    <row r="282" spans="1:15" x14ac:dyDescent="0.3">
      <c r="A282" s="66" t="s">
        <v>178</v>
      </c>
      <c r="B282" s="67" t="s">
        <v>18</v>
      </c>
      <c r="C282" s="67" t="s">
        <v>16</v>
      </c>
      <c r="D282" s="68">
        <v>44988</v>
      </c>
      <c r="E282" s="69">
        <v>16617</v>
      </c>
      <c r="F282" s="70">
        <f t="shared" si="75"/>
        <v>0.99765300595775408</v>
      </c>
      <c r="G282" s="69">
        <v>39</v>
      </c>
      <c r="H282" s="69">
        <v>8812</v>
      </c>
      <c r="I282" s="70">
        <f t="shared" si="76"/>
        <v>0.53030029487873864</v>
      </c>
      <c r="J282" s="69">
        <v>146</v>
      </c>
      <c r="K282" s="70">
        <f t="shared" si="77"/>
        <v>8.786182824817957E-3</v>
      </c>
      <c r="L282" s="70">
        <f t="shared" si="78"/>
        <v>1.6568315932818885E-2</v>
      </c>
      <c r="M282" s="69">
        <v>30</v>
      </c>
      <c r="N282" s="70">
        <f t="shared" si="79"/>
        <v>1.8053800324968406E-3</v>
      </c>
      <c r="O282" s="67" t="s">
        <v>16</v>
      </c>
    </row>
    <row r="283" spans="1:15" x14ac:dyDescent="0.3">
      <c r="A283" s="66" t="s">
        <v>178</v>
      </c>
      <c r="B283" s="67" t="s">
        <v>15</v>
      </c>
      <c r="C283" s="67" t="s">
        <v>16</v>
      </c>
      <c r="D283" s="68">
        <v>44988</v>
      </c>
      <c r="E283" s="69">
        <v>61596</v>
      </c>
      <c r="F283" s="70">
        <f t="shared" si="75"/>
        <v>0.99832781349438271</v>
      </c>
      <c r="G283" s="69">
        <v>103</v>
      </c>
      <c r="H283" s="69">
        <v>30352</v>
      </c>
      <c r="I283" s="70">
        <f t="shared" si="76"/>
        <v>0.49275927008247289</v>
      </c>
      <c r="J283" s="69">
        <v>669</v>
      </c>
      <c r="K283" s="70">
        <f t="shared" si="77"/>
        <v>1.0861094876290668E-2</v>
      </c>
      <c r="L283" s="70">
        <f t="shared" si="78"/>
        <v>2.2041381128096994E-2</v>
      </c>
      <c r="M283" s="69">
        <v>33</v>
      </c>
      <c r="N283" s="70">
        <f t="shared" si="79"/>
        <v>5.3574907461523475E-4</v>
      </c>
      <c r="O283" s="67" t="s">
        <v>16</v>
      </c>
    </row>
    <row r="284" spans="1:15" x14ac:dyDescent="0.3">
      <c r="A284" s="66" t="s">
        <v>28</v>
      </c>
      <c r="B284" s="67" t="s">
        <v>15</v>
      </c>
      <c r="C284" s="67" t="s">
        <v>16</v>
      </c>
      <c r="D284" s="68">
        <v>44988</v>
      </c>
      <c r="E284" s="69">
        <v>96915</v>
      </c>
      <c r="F284" s="70">
        <f t="shared" si="75"/>
        <v>0.99923644430686687</v>
      </c>
      <c r="G284" s="69">
        <v>74</v>
      </c>
      <c r="H284" s="69">
        <v>31082</v>
      </c>
      <c r="I284" s="70">
        <f t="shared" si="76"/>
        <v>0.32071402775628127</v>
      </c>
      <c r="J284" s="69">
        <v>582</v>
      </c>
      <c r="K284" s="70">
        <f t="shared" si="77"/>
        <v>6.0052623432905123E-3</v>
      </c>
      <c r="L284" s="70">
        <f t="shared" si="78"/>
        <v>1.8724663792548741E-2</v>
      </c>
      <c r="M284" s="69">
        <v>58</v>
      </c>
      <c r="N284" s="70">
        <f t="shared" si="79"/>
        <v>5.9846257029355621E-4</v>
      </c>
      <c r="O284" s="67" t="s">
        <v>16</v>
      </c>
    </row>
    <row r="285" spans="1:15" x14ac:dyDescent="0.3">
      <c r="A285" s="66" t="s">
        <v>28</v>
      </c>
      <c r="B285" s="67" t="s">
        <v>18</v>
      </c>
      <c r="C285" s="67" t="s">
        <v>16</v>
      </c>
      <c r="D285" s="68">
        <v>44988</v>
      </c>
      <c r="E285" s="69">
        <v>191523</v>
      </c>
      <c r="F285" s="70">
        <f t="shared" si="75"/>
        <v>0.99897140291244391</v>
      </c>
      <c r="G285" s="69">
        <v>197</v>
      </c>
      <c r="H285" s="69">
        <v>62297</v>
      </c>
      <c r="I285" s="70">
        <f t="shared" si="76"/>
        <v>0.32527163839330003</v>
      </c>
      <c r="J285" s="69">
        <v>1288</v>
      </c>
      <c r="K285" s="70">
        <f t="shared" si="77"/>
        <v>6.7250408567117266E-3</v>
      </c>
      <c r="L285" s="70">
        <f t="shared" si="78"/>
        <v>2.0675152896608182E-2</v>
      </c>
      <c r="M285" s="69">
        <v>580</v>
      </c>
      <c r="N285" s="70">
        <f t="shared" si="79"/>
        <v>3.0283569075254669E-3</v>
      </c>
      <c r="O285" s="67" t="s">
        <v>16</v>
      </c>
    </row>
    <row r="286" spans="1:15" x14ac:dyDescent="0.3">
      <c r="A286" s="66" t="s">
        <v>22</v>
      </c>
      <c r="B286" s="67" t="s">
        <v>15</v>
      </c>
      <c r="C286" s="67" t="s">
        <v>16</v>
      </c>
      <c r="D286" s="68">
        <v>44988</v>
      </c>
      <c r="E286" s="69">
        <v>1744898</v>
      </c>
      <c r="F286" s="70">
        <f t="shared" si="75"/>
        <v>0.99788010531274607</v>
      </c>
      <c r="G286" s="69">
        <v>3699</v>
      </c>
      <c r="H286" s="69">
        <v>704864</v>
      </c>
      <c r="I286" s="70">
        <f t="shared" si="76"/>
        <v>0.40395713674954065</v>
      </c>
      <c r="J286" s="69">
        <v>9825</v>
      </c>
      <c r="K286" s="70">
        <f t="shared" si="77"/>
        <v>5.6307016226736463E-3</v>
      </c>
      <c r="L286" s="70">
        <f t="shared" si="78"/>
        <v>1.3938859127434512E-2</v>
      </c>
      <c r="M286" s="69">
        <v>1713</v>
      </c>
      <c r="N286" s="70">
        <f t="shared" si="79"/>
        <v>9.8171927528142053E-4</v>
      </c>
      <c r="O286" s="67" t="s">
        <v>16</v>
      </c>
    </row>
    <row r="287" spans="1:15" x14ac:dyDescent="0.3">
      <c r="A287" s="66" t="s">
        <v>22</v>
      </c>
      <c r="B287" s="67" t="s">
        <v>18</v>
      </c>
      <c r="C287" s="67" t="s">
        <v>16</v>
      </c>
      <c r="D287" s="68">
        <v>44988</v>
      </c>
      <c r="E287" s="69">
        <v>2168282</v>
      </c>
      <c r="F287" s="70">
        <f t="shared" si="75"/>
        <v>0.9982142544189363</v>
      </c>
      <c r="G287" s="69">
        <v>3872</v>
      </c>
      <c r="H287" s="69">
        <v>784145</v>
      </c>
      <c r="I287" s="70">
        <f t="shared" si="76"/>
        <v>0.3616434578159114</v>
      </c>
      <c r="J287" s="69">
        <v>11899</v>
      </c>
      <c r="K287" s="70">
        <f t="shared" si="77"/>
        <v>5.4877548215591879E-3</v>
      </c>
      <c r="L287" s="70">
        <f t="shared" si="78"/>
        <v>1.5174489412034763E-2</v>
      </c>
      <c r="M287" s="69">
        <v>4893</v>
      </c>
      <c r="N287" s="70">
        <f t="shared" si="79"/>
        <v>2.2566252913597032E-3</v>
      </c>
      <c r="O287" s="67" t="s">
        <v>16</v>
      </c>
    </row>
    <row r="288" spans="1:15" x14ac:dyDescent="0.3">
      <c r="A288" s="66" t="s">
        <v>179</v>
      </c>
      <c r="B288" s="67" t="s">
        <v>15</v>
      </c>
      <c r="C288" s="67" t="s">
        <v>27</v>
      </c>
      <c r="D288" s="68">
        <v>44988</v>
      </c>
      <c r="E288" s="69">
        <v>211897</v>
      </c>
      <c r="F288" s="70">
        <f t="shared" si="75"/>
        <v>0.99854174433805098</v>
      </c>
      <c r="G288" s="69">
        <v>309</v>
      </c>
      <c r="H288" s="69">
        <v>86124</v>
      </c>
      <c r="I288" s="70">
        <f t="shared" si="76"/>
        <v>0.40644275284690201</v>
      </c>
      <c r="J288" s="69">
        <v>1614</v>
      </c>
      <c r="K288" s="70">
        <f t="shared" si="77"/>
        <v>7.6169082148402293E-3</v>
      </c>
      <c r="L288" s="70">
        <f t="shared" si="78"/>
        <v>1.8740420788630346E-2</v>
      </c>
      <c r="M288" s="69">
        <v>1402</v>
      </c>
      <c r="N288" s="70">
        <f t="shared" si="79"/>
        <v>6.6164221296195792E-3</v>
      </c>
      <c r="O288" s="67" t="s">
        <v>27</v>
      </c>
    </row>
    <row r="289" spans="1:15" x14ac:dyDescent="0.3">
      <c r="A289" s="66" t="s">
        <v>33</v>
      </c>
      <c r="B289" s="67" t="s">
        <v>18</v>
      </c>
      <c r="C289" s="67" t="s">
        <v>21</v>
      </c>
      <c r="D289" s="68">
        <v>44988</v>
      </c>
      <c r="E289" s="69">
        <v>245320</v>
      </c>
      <c r="F289" s="70">
        <f>(E289-G289)/E289</f>
        <v>0.99869558128159142</v>
      </c>
      <c r="G289" s="69">
        <v>320</v>
      </c>
      <c r="H289" s="69">
        <v>109864</v>
      </c>
      <c r="I289" s="70">
        <f>H289/E289</f>
        <v>0.44783955649763574</v>
      </c>
      <c r="J289" s="69">
        <v>2151</v>
      </c>
      <c r="K289" s="70">
        <f>J289/E289</f>
        <v>8.7681395728028706E-3</v>
      </c>
      <c r="L289" s="70">
        <f>J289/H289</f>
        <v>1.9578751911454161E-2</v>
      </c>
      <c r="M289" s="69">
        <v>295</v>
      </c>
      <c r="N289" s="70">
        <f>M289/E289</f>
        <v>1.2025110060329366E-3</v>
      </c>
      <c r="O289" s="67" t="s">
        <v>21</v>
      </c>
    </row>
    <row r="290" spans="1:15" x14ac:dyDescent="0.3">
      <c r="A290" s="66" t="s">
        <v>19</v>
      </c>
      <c r="B290" s="67" t="s">
        <v>18</v>
      </c>
      <c r="C290" s="67" t="s">
        <v>21</v>
      </c>
      <c r="D290" s="68">
        <v>44988</v>
      </c>
      <c r="E290" s="69">
        <v>333132</v>
      </c>
      <c r="F290" s="70">
        <f t="shared" ref="F290:F291" si="80">(E290-G290)/E290</f>
        <v>0.99796477072151579</v>
      </c>
      <c r="G290" s="69">
        <v>678</v>
      </c>
      <c r="H290" s="69">
        <v>122788</v>
      </c>
      <c r="I290" s="70">
        <f t="shared" ref="I290:I291" si="81">H290/E290</f>
        <v>0.36858662632229866</v>
      </c>
      <c r="J290" s="69">
        <v>2826</v>
      </c>
      <c r="K290" s="70">
        <f t="shared" ref="K290:K291" si="82">J290/E290</f>
        <v>8.4831238067792948E-3</v>
      </c>
      <c r="L290" s="70">
        <f t="shared" ref="L290:L291" si="83">J290/H290</f>
        <v>2.3015278365964099E-2</v>
      </c>
      <c r="M290" s="69">
        <v>377</v>
      </c>
      <c r="N290" s="70">
        <f t="shared" ref="N290:N291" si="84">M290/E290</f>
        <v>1.1316835368562611E-3</v>
      </c>
      <c r="O290" s="67" t="s">
        <v>21</v>
      </c>
    </row>
    <row r="291" spans="1:15" x14ac:dyDescent="0.3">
      <c r="A291" s="66" t="s">
        <v>24</v>
      </c>
      <c r="B291" s="67" t="s">
        <v>18</v>
      </c>
      <c r="C291" s="67" t="s">
        <v>21</v>
      </c>
      <c r="D291" s="68">
        <v>44989</v>
      </c>
      <c r="E291" s="69">
        <v>15041</v>
      </c>
      <c r="F291" s="70">
        <f t="shared" si="80"/>
        <v>0.99946812047071343</v>
      </c>
      <c r="G291" s="69">
        <v>8</v>
      </c>
      <c r="H291" s="69">
        <v>4998</v>
      </c>
      <c r="I291" s="70">
        <f t="shared" si="81"/>
        <v>0.33229173592181371</v>
      </c>
      <c r="J291" s="69">
        <v>279</v>
      </c>
      <c r="K291" s="70">
        <f t="shared" si="82"/>
        <v>1.8549298583870753E-2</v>
      </c>
      <c r="L291" s="70">
        <f t="shared" si="83"/>
        <v>5.5822328931572629E-2</v>
      </c>
      <c r="M291" s="69">
        <v>29</v>
      </c>
      <c r="N291" s="70">
        <f t="shared" si="84"/>
        <v>1.9280632936639851E-3</v>
      </c>
      <c r="O291" s="67" t="s">
        <v>21</v>
      </c>
    </row>
    <row r="292" spans="1:15" x14ac:dyDescent="0.3">
      <c r="A292" s="66" t="s">
        <v>180</v>
      </c>
      <c r="B292" s="67" t="s">
        <v>15</v>
      </c>
      <c r="C292" s="67" t="s">
        <v>30</v>
      </c>
      <c r="D292" s="68">
        <v>44989</v>
      </c>
      <c r="E292" s="69">
        <v>5810</v>
      </c>
      <c r="F292" s="70">
        <f t="shared" si="75"/>
        <v>0.99931153184165233</v>
      </c>
      <c r="G292" s="69">
        <v>4</v>
      </c>
      <c r="H292" s="69">
        <v>3537</v>
      </c>
      <c r="I292" s="70">
        <f t="shared" si="76"/>
        <v>0.60877796901893289</v>
      </c>
      <c r="J292" s="69">
        <v>1356</v>
      </c>
      <c r="K292" s="70">
        <f t="shared" si="77"/>
        <v>0.23339070567986231</v>
      </c>
      <c r="L292" s="70">
        <f t="shared" si="78"/>
        <v>0.38337574215436809</v>
      </c>
      <c r="M292" s="69">
        <v>1</v>
      </c>
      <c r="N292" s="70">
        <f t="shared" si="79"/>
        <v>1.7211703958691912E-4</v>
      </c>
      <c r="O292" s="67" t="s">
        <v>31</v>
      </c>
    </row>
    <row r="293" spans="1:15" x14ac:dyDescent="0.3">
      <c r="A293" s="76" t="s">
        <v>36</v>
      </c>
      <c r="B293" s="67" t="s">
        <v>15</v>
      </c>
      <c r="C293" s="67" t="s">
        <v>16</v>
      </c>
      <c r="D293" s="68">
        <v>44989</v>
      </c>
      <c r="E293" s="69">
        <v>1530</v>
      </c>
      <c r="F293" s="70">
        <f t="shared" si="75"/>
        <v>0.99803921568627452</v>
      </c>
      <c r="G293" s="69">
        <v>3</v>
      </c>
      <c r="H293" s="69">
        <v>757</v>
      </c>
      <c r="I293" s="70">
        <f t="shared" si="76"/>
        <v>0.49477124183006538</v>
      </c>
      <c r="J293" s="69">
        <v>96</v>
      </c>
      <c r="K293" s="70">
        <f t="shared" si="77"/>
        <v>6.2745098039215685E-2</v>
      </c>
      <c r="L293" s="70">
        <f t="shared" si="78"/>
        <v>0.12681638044914134</v>
      </c>
      <c r="M293" s="69">
        <v>1</v>
      </c>
      <c r="N293" s="70">
        <f t="shared" si="79"/>
        <v>6.5359477124183002E-4</v>
      </c>
      <c r="O293" s="67" t="s">
        <v>16</v>
      </c>
    </row>
    <row r="294" spans="1:15" x14ac:dyDescent="0.3">
      <c r="A294" s="76" t="s">
        <v>36</v>
      </c>
      <c r="B294" s="67" t="s">
        <v>18</v>
      </c>
      <c r="C294" s="67" t="s">
        <v>16</v>
      </c>
      <c r="D294" s="68">
        <v>44989</v>
      </c>
      <c r="E294" s="69">
        <v>1633</v>
      </c>
      <c r="F294" s="70">
        <f t="shared" si="75"/>
        <v>0.99816289038579298</v>
      </c>
      <c r="G294" s="69">
        <v>3</v>
      </c>
      <c r="H294" s="69">
        <v>696</v>
      </c>
      <c r="I294" s="70">
        <f t="shared" si="76"/>
        <v>0.42620943049601961</v>
      </c>
      <c r="J294" s="69">
        <v>54</v>
      </c>
      <c r="K294" s="70">
        <f t="shared" si="77"/>
        <v>3.3067973055725661E-2</v>
      </c>
      <c r="L294" s="70">
        <f t="shared" si="78"/>
        <v>7.7586206896551727E-2</v>
      </c>
      <c r="M294" s="69">
        <v>7</v>
      </c>
      <c r="N294" s="70">
        <f t="shared" si="79"/>
        <v>4.2865890998162893E-3</v>
      </c>
      <c r="O294" s="67" t="s">
        <v>16</v>
      </c>
    </row>
    <row r="295" spans="1:15" x14ac:dyDescent="0.3">
      <c r="A295" s="76" t="s">
        <v>37</v>
      </c>
      <c r="B295" s="67" t="s">
        <v>15</v>
      </c>
      <c r="C295" s="67" t="s">
        <v>16</v>
      </c>
      <c r="D295" s="68">
        <v>44989</v>
      </c>
      <c r="E295" s="69">
        <v>14781</v>
      </c>
      <c r="F295" s="70">
        <f t="shared" si="75"/>
        <v>0.99878222041810427</v>
      </c>
      <c r="G295" s="69">
        <v>18</v>
      </c>
      <c r="H295" s="69">
        <v>6425</v>
      </c>
      <c r="I295" s="70">
        <f t="shared" si="76"/>
        <v>0.43467965631554023</v>
      </c>
      <c r="J295" s="69">
        <v>651</v>
      </c>
      <c r="K295" s="70">
        <f t="shared" si="77"/>
        <v>4.4043028211893646E-2</v>
      </c>
      <c r="L295" s="70">
        <f t="shared" si="78"/>
        <v>0.10132295719844359</v>
      </c>
      <c r="M295" s="69">
        <v>12</v>
      </c>
      <c r="N295" s="70">
        <f t="shared" si="79"/>
        <v>8.1185305459711792E-4</v>
      </c>
      <c r="O295" s="67" t="s">
        <v>16</v>
      </c>
    </row>
    <row r="296" spans="1:15" x14ac:dyDescent="0.3">
      <c r="A296" s="76" t="s">
        <v>37</v>
      </c>
      <c r="B296" s="67" t="s">
        <v>18</v>
      </c>
      <c r="C296" s="67" t="s">
        <v>16</v>
      </c>
      <c r="D296" s="68">
        <v>44989</v>
      </c>
      <c r="E296" s="69">
        <v>20871</v>
      </c>
      <c r="F296" s="70">
        <f t="shared" si="75"/>
        <v>0.99789181160461882</v>
      </c>
      <c r="G296" s="69">
        <v>44</v>
      </c>
      <c r="H296" s="69">
        <v>8718</v>
      </c>
      <c r="I296" s="70">
        <f t="shared" si="76"/>
        <v>0.41770878252120169</v>
      </c>
      <c r="J296" s="69">
        <v>601</v>
      </c>
      <c r="K296" s="70">
        <f t="shared" si="77"/>
        <v>2.8795936946001629E-2</v>
      </c>
      <c r="L296" s="70">
        <f t="shared" si="78"/>
        <v>6.8937829777471898E-2</v>
      </c>
      <c r="M296" s="69">
        <v>84</v>
      </c>
      <c r="N296" s="70">
        <f t="shared" si="79"/>
        <v>4.0247233002731059E-3</v>
      </c>
      <c r="O296" s="67" t="s">
        <v>16</v>
      </c>
    </row>
    <row r="297" spans="1:15" x14ac:dyDescent="0.3">
      <c r="A297" s="76" t="s">
        <v>183</v>
      </c>
      <c r="B297" s="67" t="s">
        <v>15</v>
      </c>
      <c r="C297" s="67" t="s">
        <v>101</v>
      </c>
      <c r="D297" s="68">
        <v>44991</v>
      </c>
      <c r="E297" s="69">
        <v>422841</v>
      </c>
      <c r="F297" s="70">
        <f t="shared" ref="F297" si="85">(E297-G297)/E297</f>
        <v>0.99748132276671375</v>
      </c>
      <c r="G297" s="69">
        <v>1065</v>
      </c>
      <c r="H297" s="69">
        <v>166865</v>
      </c>
      <c r="I297" s="70">
        <f t="shared" ref="I297" si="86">H297/E297</f>
        <v>0.39462824087541182</v>
      </c>
      <c r="J297" s="69">
        <v>674</v>
      </c>
      <c r="K297" s="70">
        <f t="shared" ref="K297" si="87">J297/E297</f>
        <v>1.5939797701736587E-3</v>
      </c>
      <c r="L297" s="70">
        <f t="shared" ref="L297" si="88">J297/H297</f>
        <v>4.0391933599017169E-3</v>
      </c>
      <c r="M297" s="69">
        <v>304</v>
      </c>
      <c r="N297" s="70">
        <f t="shared" ref="N297" si="89">M297/E297</f>
        <v>7.1894636518218433E-4</v>
      </c>
      <c r="O297" s="67" t="s">
        <v>101</v>
      </c>
    </row>
    <row r="298" spans="1:15" x14ac:dyDescent="0.3">
      <c r="A298" s="76" t="s">
        <v>184</v>
      </c>
      <c r="B298" s="67" t="s">
        <v>15</v>
      </c>
      <c r="C298" s="67" t="s">
        <v>101</v>
      </c>
      <c r="D298" s="68">
        <v>44991</v>
      </c>
      <c r="E298" s="69">
        <v>266495</v>
      </c>
      <c r="F298" s="70">
        <f t="shared" ref="F298:F326" si="90">(E298-G298)/E298</f>
        <v>0.99831891780333593</v>
      </c>
      <c r="G298" s="69">
        <v>448</v>
      </c>
      <c r="H298" s="69">
        <v>109716</v>
      </c>
      <c r="I298" s="70">
        <f t="shared" ref="I298:I326" si="91">H298/E298</f>
        <v>0.41170003189553273</v>
      </c>
      <c r="J298" s="69">
        <v>476</v>
      </c>
      <c r="K298" s="70">
        <f t="shared" ref="K298:K326" si="92">J298/E298</f>
        <v>1.7861498339556089E-3</v>
      </c>
      <c r="L298" s="70">
        <f t="shared" ref="L298:L326" si="93">J298/H298</f>
        <v>4.3384738780123224E-3</v>
      </c>
      <c r="M298" s="69">
        <v>235</v>
      </c>
      <c r="N298" s="70">
        <f t="shared" ref="N298:N326" si="94">M298/E298</f>
        <v>8.8181767012514311E-4</v>
      </c>
      <c r="O298" s="67" t="s">
        <v>101</v>
      </c>
    </row>
    <row r="299" spans="1:15" x14ac:dyDescent="0.3">
      <c r="A299" s="76" t="s">
        <v>185</v>
      </c>
      <c r="B299" s="67" t="s">
        <v>15</v>
      </c>
      <c r="C299" s="67" t="s">
        <v>101</v>
      </c>
      <c r="D299" s="68">
        <v>44991</v>
      </c>
      <c r="E299" s="69">
        <v>1177401</v>
      </c>
      <c r="F299" s="70">
        <f t="shared" si="90"/>
        <v>0.99828775412964654</v>
      </c>
      <c r="G299" s="69">
        <v>2016</v>
      </c>
      <c r="H299" s="69">
        <v>433183</v>
      </c>
      <c r="I299" s="70">
        <f t="shared" si="91"/>
        <v>0.36791458475064998</v>
      </c>
      <c r="J299" s="69">
        <v>4484</v>
      </c>
      <c r="K299" s="70">
        <f t="shared" si="92"/>
        <v>3.8083881362424524E-3</v>
      </c>
      <c r="L299" s="70">
        <f t="shared" si="93"/>
        <v>1.035128340678189E-2</v>
      </c>
      <c r="M299" s="69">
        <v>753</v>
      </c>
      <c r="N299" s="70">
        <f t="shared" si="94"/>
        <v>6.3954421645641543E-4</v>
      </c>
      <c r="O299" s="67" t="s">
        <v>101</v>
      </c>
    </row>
    <row r="300" spans="1:15" x14ac:dyDescent="0.3">
      <c r="A300" s="66" t="s">
        <v>29</v>
      </c>
      <c r="B300" s="67" t="s">
        <v>15</v>
      </c>
      <c r="C300" s="67" t="s">
        <v>16</v>
      </c>
      <c r="D300" s="68">
        <v>44992</v>
      </c>
      <c r="E300" s="69">
        <v>23018</v>
      </c>
      <c r="F300" s="70">
        <f t="shared" si="90"/>
        <v>0.99878356069163265</v>
      </c>
      <c r="G300" s="69">
        <v>28</v>
      </c>
      <c r="H300" s="69">
        <v>7984</v>
      </c>
      <c r="I300" s="70">
        <f t="shared" si="91"/>
        <v>0.34685897992875142</v>
      </c>
      <c r="J300" s="69">
        <v>203</v>
      </c>
      <c r="K300" s="70">
        <f t="shared" si="92"/>
        <v>8.8191849856633937E-3</v>
      </c>
      <c r="L300" s="70">
        <f t="shared" si="93"/>
        <v>2.5425851703406815E-2</v>
      </c>
      <c r="M300" s="69">
        <v>4</v>
      </c>
      <c r="N300" s="70">
        <f t="shared" si="94"/>
        <v>1.7377704405248067E-4</v>
      </c>
      <c r="O300" s="67" t="s">
        <v>16</v>
      </c>
    </row>
    <row r="301" spans="1:15" x14ac:dyDescent="0.3">
      <c r="A301" s="66" t="s">
        <v>29</v>
      </c>
      <c r="B301" s="67" t="s">
        <v>18</v>
      </c>
      <c r="C301" s="67" t="s">
        <v>16</v>
      </c>
      <c r="D301" s="68">
        <v>44992</v>
      </c>
      <c r="E301" s="69">
        <v>25390</v>
      </c>
      <c r="F301" s="70">
        <f t="shared" si="90"/>
        <v>0.99944860181173689</v>
      </c>
      <c r="G301" s="69">
        <v>14</v>
      </c>
      <c r="H301" s="69">
        <v>9551</v>
      </c>
      <c r="I301" s="70">
        <f t="shared" si="91"/>
        <v>0.37617172115005909</v>
      </c>
      <c r="J301" s="69">
        <v>201</v>
      </c>
      <c r="K301" s="70">
        <f t="shared" si="92"/>
        <v>7.9165025600630174E-3</v>
      </c>
      <c r="L301" s="70">
        <f t="shared" si="93"/>
        <v>2.1044916762642654E-2</v>
      </c>
      <c r="M301" s="69">
        <v>51</v>
      </c>
      <c r="N301" s="70">
        <f t="shared" si="94"/>
        <v>2.0086648286727058E-3</v>
      </c>
      <c r="O301" s="67" t="s">
        <v>16</v>
      </c>
    </row>
    <row r="302" spans="1:15" x14ac:dyDescent="0.3">
      <c r="A302" s="66" t="s">
        <v>17</v>
      </c>
      <c r="B302" s="67" t="s">
        <v>15</v>
      </c>
      <c r="C302" s="67" t="s">
        <v>16</v>
      </c>
      <c r="D302" s="68">
        <v>44992</v>
      </c>
      <c r="E302" s="69">
        <v>216829</v>
      </c>
      <c r="F302" s="70">
        <f t="shared" si="90"/>
        <v>0.99833048162376803</v>
      </c>
      <c r="G302" s="69">
        <v>362</v>
      </c>
      <c r="H302" s="69">
        <v>96632</v>
      </c>
      <c r="I302" s="70">
        <f t="shared" si="91"/>
        <v>0.44565994401117931</v>
      </c>
      <c r="J302" s="69">
        <v>2035</v>
      </c>
      <c r="K302" s="70">
        <f t="shared" si="92"/>
        <v>9.3852759547846457E-3</v>
      </c>
      <c r="L302" s="70">
        <f t="shared" si="93"/>
        <v>2.1059276430168059E-2</v>
      </c>
      <c r="M302" s="69">
        <v>148</v>
      </c>
      <c r="N302" s="70">
        <f t="shared" si="94"/>
        <v>6.825655239843379E-4</v>
      </c>
      <c r="O302" s="67" t="s">
        <v>16</v>
      </c>
    </row>
    <row r="303" spans="1:15" x14ac:dyDescent="0.3">
      <c r="A303" s="66" t="s">
        <v>17</v>
      </c>
      <c r="B303" s="67" t="s">
        <v>18</v>
      </c>
      <c r="C303" s="67" t="s">
        <v>16</v>
      </c>
      <c r="D303" s="68">
        <v>44992</v>
      </c>
      <c r="E303" s="69">
        <v>430300</v>
      </c>
      <c r="F303" s="70">
        <f t="shared" si="90"/>
        <v>0.99863815942365797</v>
      </c>
      <c r="G303" s="69">
        <v>586</v>
      </c>
      <c r="H303" s="69">
        <v>199499</v>
      </c>
      <c r="I303" s="70">
        <f t="shared" si="91"/>
        <v>0.46362770160353239</v>
      </c>
      <c r="J303" s="69">
        <v>3207</v>
      </c>
      <c r="K303" s="70">
        <f t="shared" si="92"/>
        <v>7.4529398094352779E-3</v>
      </c>
      <c r="L303" s="70">
        <f t="shared" si="93"/>
        <v>1.6075268547712018E-2</v>
      </c>
      <c r="M303" s="69">
        <v>587</v>
      </c>
      <c r="N303" s="70">
        <f t="shared" si="94"/>
        <v>1.3641645363699744E-3</v>
      </c>
      <c r="O303" s="67" t="s">
        <v>16</v>
      </c>
    </row>
    <row r="304" spans="1:15" x14ac:dyDescent="0.3">
      <c r="A304" s="76" t="s">
        <v>186</v>
      </c>
      <c r="B304" s="67" t="s">
        <v>15</v>
      </c>
      <c r="C304" s="67" t="s">
        <v>16</v>
      </c>
      <c r="D304" s="68">
        <v>44993</v>
      </c>
      <c r="E304" s="69">
        <v>17532</v>
      </c>
      <c r="F304" s="70">
        <f t="shared" si="90"/>
        <v>0.99771845767738987</v>
      </c>
      <c r="G304" s="69">
        <v>40</v>
      </c>
      <c r="H304" s="69">
        <v>6130</v>
      </c>
      <c r="I304" s="70">
        <f t="shared" si="91"/>
        <v>0.34964636093999546</v>
      </c>
      <c r="J304" s="69">
        <v>34</v>
      </c>
      <c r="K304" s="70">
        <f t="shared" si="92"/>
        <v>1.9393109742185718E-3</v>
      </c>
      <c r="L304" s="70">
        <f t="shared" si="93"/>
        <v>5.5464926590538333E-3</v>
      </c>
      <c r="M304" s="69">
        <v>10</v>
      </c>
      <c r="N304" s="70">
        <f t="shared" si="94"/>
        <v>5.7038558065252115E-4</v>
      </c>
      <c r="O304" s="67" t="s">
        <v>16</v>
      </c>
    </row>
    <row r="305" spans="1:15" x14ac:dyDescent="0.3">
      <c r="A305" s="76" t="s">
        <v>186</v>
      </c>
      <c r="B305" s="67" t="s">
        <v>18</v>
      </c>
      <c r="C305" s="67" t="s">
        <v>16</v>
      </c>
      <c r="D305" s="68">
        <v>44993</v>
      </c>
      <c r="E305" s="69">
        <v>7484</v>
      </c>
      <c r="F305" s="70">
        <f t="shared" si="90"/>
        <v>0.99826296098343137</v>
      </c>
      <c r="G305" s="69">
        <v>13</v>
      </c>
      <c r="H305" s="69">
        <v>2856</v>
      </c>
      <c r="I305" s="70">
        <f t="shared" si="91"/>
        <v>0.38161411010155</v>
      </c>
      <c r="J305" s="69">
        <v>25</v>
      </c>
      <c r="K305" s="70">
        <f t="shared" si="92"/>
        <v>3.3404596472474614E-3</v>
      </c>
      <c r="L305" s="70">
        <f t="shared" si="93"/>
        <v>8.7535014005602242E-3</v>
      </c>
      <c r="M305" s="69">
        <v>17</v>
      </c>
      <c r="N305" s="70">
        <f t="shared" si="94"/>
        <v>2.2715125601282735E-3</v>
      </c>
      <c r="O305" s="67" t="s">
        <v>16</v>
      </c>
    </row>
    <row r="306" spans="1:15" x14ac:dyDescent="0.3">
      <c r="A306" s="76" t="s">
        <v>187</v>
      </c>
      <c r="B306" s="67" t="s">
        <v>15</v>
      </c>
      <c r="C306" s="67" t="s">
        <v>16</v>
      </c>
      <c r="D306" s="68">
        <v>44993</v>
      </c>
      <c r="E306" s="69">
        <v>258592</v>
      </c>
      <c r="F306" s="70">
        <f t="shared" si="90"/>
        <v>0.99833328177205793</v>
      </c>
      <c r="G306" s="69">
        <v>431</v>
      </c>
      <c r="H306" s="69">
        <v>102677</v>
      </c>
      <c r="I306" s="70">
        <f t="shared" si="91"/>
        <v>0.39706178072020787</v>
      </c>
      <c r="J306" s="69">
        <v>900</v>
      </c>
      <c r="K306" s="70">
        <f t="shared" si="92"/>
        <v>3.4803860908303426E-3</v>
      </c>
      <c r="L306" s="70">
        <f t="shared" si="93"/>
        <v>8.7653515392931234E-3</v>
      </c>
      <c r="M306" s="69">
        <v>133</v>
      </c>
      <c r="N306" s="70">
        <f t="shared" si="94"/>
        <v>5.143237223115951E-4</v>
      </c>
      <c r="O306" s="67" t="s">
        <v>16</v>
      </c>
    </row>
    <row r="307" spans="1:15" x14ac:dyDescent="0.3">
      <c r="A307" s="76" t="s">
        <v>187</v>
      </c>
      <c r="B307" s="67" t="s">
        <v>18</v>
      </c>
      <c r="C307" s="67" t="s">
        <v>16</v>
      </c>
      <c r="D307" s="68">
        <v>44993</v>
      </c>
      <c r="E307" s="69">
        <v>130521</v>
      </c>
      <c r="F307" s="70">
        <f t="shared" si="90"/>
        <v>0.99807693781077378</v>
      </c>
      <c r="G307" s="69">
        <v>251</v>
      </c>
      <c r="H307" s="69">
        <v>50143</v>
      </c>
      <c r="I307" s="70">
        <f t="shared" si="91"/>
        <v>0.38417572651144261</v>
      </c>
      <c r="J307" s="69">
        <v>553</v>
      </c>
      <c r="K307" s="70">
        <f t="shared" si="92"/>
        <v>4.2368660981757728E-3</v>
      </c>
      <c r="L307" s="70">
        <f t="shared" si="93"/>
        <v>1.1028458608380034E-2</v>
      </c>
      <c r="M307" s="69">
        <v>217</v>
      </c>
      <c r="N307" s="70">
        <f t="shared" si="94"/>
        <v>1.6625677094107461E-3</v>
      </c>
      <c r="O307" s="67" t="s">
        <v>16</v>
      </c>
    </row>
    <row r="308" spans="1:15" x14ac:dyDescent="0.3">
      <c r="A308" s="76" t="s">
        <v>188</v>
      </c>
      <c r="B308" s="67" t="s">
        <v>18</v>
      </c>
      <c r="C308" s="67" t="s">
        <v>16</v>
      </c>
      <c r="D308" s="68">
        <v>44994</v>
      </c>
      <c r="E308" s="69">
        <v>6591</v>
      </c>
      <c r="F308" s="70">
        <f t="shared" si="90"/>
        <v>0.99878622363829461</v>
      </c>
      <c r="G308" s="69">
        <v>8</v>
      </c>
      <c r="H308" s="69">
        <v>3132</v>
      </c>
      <c r="I308" s="70">
        <f t="shared" si="91"/>
        <v>0.47519344560764681</v>
      </c>
      <c r="J308" s="69">
        <v>78</v>
      </c>
      <c r="K308" s="70">
        <f t="shared" si="92"/>
        <v>1.1834319526627219E-2</v>
      </c>
      <c r="L308" s="70">
        <f t="shared" si="93"/>
        <v>2.4904214559386972E-2</v>
      </c>
      <c r="M308" s="69">
        <v>16</v>
      </c>
      <c r="N308" s="70">
        <f t="shared" si="94"/>
        <v>2.4275527234107115E-3</v>
      </c>
      <c r="O308" s="67" t="s">
        <v>16</v>
      </c>
    </row>
    <row r="309" spans="1:15" x14ac:dyDescent="0.3">
      <c r="A309" s="76" t="s">
        <v>188</v>
      </c>
      <c r="B309" s="67" t="s">
        <v>15</v>
      </c>
      <c r="C309" s="67" t="s">
        <v>16</v>
      </c>
      <c r="D309" s="68">
        <v>44994</v>
      </c>
      <c r="E309" s="69">
        <v>42354</v>
      </c>
      <c r="F309" s="70">
        <f t="shared" si="90"/>
        <v>0.99858336874911457</v>
      </c>
      <c r="G309" s="69">
        <v>60</v>
      </c>
      <c r="H309" s="69">
        <v>16283</v>
      </c>
      <c r="I309" s="70">
        <f t="shared" si="91"/>
        <v>0.38445011096944798</v>
      </c>
      <c r="J309" s="69">
        <v>226</v>
      </c>
      <c r="K309" s="70">
        <f t="shared" si="92"/>
        <v>5.3359777116683193E-3</v>
      </c>
      <c r="L309" s="70">
        <f t="shared" si="93"/>
        <v>1.3879506233495056E-2</v>
      </c>
      <c r="M309" s="69">
        <v>20</v>
      </c>
      <c r="N309" s="70">
        <f t="shared" si="94"/>
        <v>4.7221041696179818E-4</v>
      </c>
      <c r="O309" s="67" t="s">
        <v>16</v>
      </c>
    </row>
    <row r="310" spans="1:15" x14ac:dyDescent="0.3">
      <c r="A310" s="66" t="s">
        <v>26</v>
      </c>
      <c r="B310" s="67"/>
      <c r="C310" s="67" t="s">
        <v>23</v>
      </c>
      <c r="D310" s="68">
        <v>44994</v>
      </c>
      <c r="E310" s="69">
        <v>1643</v>
      </c>
      <c r="F310" s="70">
        <f t="shared" si="90"/>
        <v>0.99939135727328055</v>
      </c>
      <c r="G310" s="69">
        <v>1</v>
      </c>
      <c r="H310" s="69">
        <v>592</v>
      </c>
      <c r="I310" s="70">
        <f t="shared" si="91"/>
        <v>0.36031649421789408</v>
      </c>
      <c r="J310" s="69">
        <v>13</v>
      </c>
      <c r="K310" s="70">
        <f t="shared" si="92"/>
        <v>7.9123554473524045E-3</v>
      </c>
      <c r="L310" s="70">
        <f t="shared" si="93"/>
        <v>2.1959459459459461E-2</v>
      </c>
      <c r="M310" s="69">
        <v>0</v>
      </c>
      <c r="N310" s="70">
        <f t="shared" si="94"/>
        <v>0</v>
      </c>
      <c r="O310" s="67" t="s">
        <v>23</v>
      </c>
    </row>
    <row r="311" spans="1:15" x14ac:dyDescent="0.3">
      <c r="A311" s="76" t="s">
        <v>189</v>
      </c>
      <c r="B311" s="67" t="s">
        <v>15</v>
      </c>
      <c r="C311" s="67" t="s">
        <v>16</v>
      </c>
      <c r="D311" s="68">
        <v>44995</v>
      </c>
      <c r="E311" s="69">
        <v>118687</v>
      </c>
      <c r="F311" s="70">
        <f t="shared" si="90"/>
        <v>0.99900578833402143</v>
      </c>
      <c r="G311" s="69">
        <v>118</v>
      </c>
      <c r="H311" s="69">
        <v>37901</v>
      </c>
      <c r="I311" s="70">
        <f t="shared" si="91"/>
        <v>0.31933573179876484</v>
      </c>
      <c r="J311" s="69">
        <v>736</v>
      </c>
      <c r="K311" s="70">
        <f t="shared" si="92"/>
        <v>6.2011846284765809E-3</v>
      </c>
      <c r="L311" s="70">
        <f t="shared" si="93"/>
        <v>1.9419012690958023E-2</v>
      </c>
      <c r="M311" s="69">
        <v>54</v>
      </c>
      <c r="N311" s="70">
        <f t="shared" si="94"/>
        <v>4.5497822002409701E-4</v>
      </c>
      <c r="O311" s="67" t="s">
        <v>16</v>
      </c>
    </row>
    <row r="312" spans="1:15" x14ac:dyDescent="0.3">
      <c r="A312" s="76" t="s">
        <v>189</v>
      </c>
      <c r="B312" s="67" t="s">
        <v>18</v>
      </c>
      <c r="C312" s="67" t="s">
        <v>16</v>
      </c>
      <c r="D312" s="68">
        <v>44995</v>
      </c>
      <c r="E312" s="69">
        <v>217537</v>
      </c>
      <c r="F312" s="70">
        <f t="shared" si="90"/>
        <v>0.99891512708182972</v>
      </c>
      <c r="G312" s="69">
        <v>236</v>
      </c>
      <c r="H312" s="69">
        <v>69389</v>
      </c>
      <c r="I312" s="70">
        <f t="shared" si="91"/>
        <v>0.31897562253777517</v>
      </c>
      <c r="J312" s="69">
        <v>1453</v>
      </c>
      <c r="K312" s="70">
        <f t="shared" si="92"/>
        <v>6.679323517378653E-3</v>
      </c>
      <c r="L312" s="70">
        <f t="shared" si="93"/>
        <v>2.0939918430875212E-2</v>
      </c>
      <c r="M312" s="69">
        <v>538</v>
      </c>
      <c r="N312" s="70">
        <f t="shared" si="94"/>
        <v>2.4731424998965692E-3</v>
      </c>
      <c r="O312" s="67" t="s">
        <v>16</v>
      </c>
    </row>
    <row r="313" spans="1:15" x14ac:dyDescent="0.3">
      <c r="A313" s="76" t="s">
        <v>190</v>
      </c>
      <c r="B313" s="67" t="s">
        <v>18</v>
      </c>
      <c r="C313" s="67" t="s">
        <v>16</v>
      </c>
      <c r="D313" s="68">
        <v>44995</v>
      </c>
      <c r="E313" s="69">
        <v>2386367</v>
      </c>
      <c r="F313" s="70">
        <f t="shared" si="90"/>
        <v>0.99816708829781842</v>
      </c>
      <c r="G313" s="69">
        <v>4374</v>
      </c>
      <c r="H313" s="69">
        <v>831794</v>
      </c>
      <c r="I313" s="70">
        <f t="shared" si="91"/>
        <v>0.34856080393334304</v>
      </c>
      <c r="J313" s="69">
        <v>12874</v>
      </c>
      <c r="K313" s="70">
        <f t="shared" si="92"/>
        <v>5.3948114435038701E-3</v>
      </c>
      <c r="L313" s="70">
        <f t="shared" si="93"/>
        <v>1.5477389834502293E-2</v>
      </c>
      <c r="M313" s="69">
        <v>4356</v>
      </c>
      <c r="N313" s="70">
        <f t="shared" si="94"/>
        <v>1.8253688556705654E-3</v>
      </c>
      <c r="O313" s="67" t="s">
        <v>16</v>
      </c>
    </row>
    <row r="314" spans="1:15" x14ac:dyDescent="0.3">
      <c r="A314" s="76" t="s">
        <v>190</v>
      </c>
      <c r="B314" s="67" t="s">
        <v>15</v>
      </c>
      <c r="C314" s="67" t="s">
        <v>16</v>
      </c>
      <c r="D314" s="68">
        <v>44995</v>
      </c>
      <c r="E314" s="69">
        <v>2155184</v>
      </c>
      <c r="F314" s="70">
        <f t="shared" si="90"/>
        <v>0.9980099146986986</v>
      </c>
      <c r="G314" s="69">
        <v>4289</v>
      </c>
      <c r="H314" s="69">
        <v>774585</v>
      </c>
      <c r="I314" s="70">
        <f t="shared" si="91"/>
        <v>0.3594055078359899</v>
      </c>
      <c r="J314" s="69">
        <v>11683</v>
      </c>
      <c r="K314" s="70">
        <f t="shared" si="92"/>
        <v>5.4208828573337588E-3</v>
      </c>
      <c r="L314" s="70">
        <f t="shared" si="93"/>
        <v>1.5082915367583933E-2</v>
      </c>
      <c r="M314" s="69">
        <v>1538</v>
      </c>
      <c r="N314" s="70">
        <f t="shared" si="94"/>
        <v>7.1362816353499284E-4</v>
      </c>
      <c r="O314" s="67" t="s">
        <v>16</v>
      </c>
    </row>
    <row r="315" spans="1:15" x14ac:dyDescent="0.3">
      <c r="A315" s="66" t="s">
        <v>28</v>
      </c>
      <c r="B315" s="67" t="s">
        <v>15</v>
      </c>
      <c r="C315" s="67" t="s">
        <v>16</v>
      </c>
      <c r="D315" s="68">
        <v>44995</v>
      </c>
      <c r="E315" s="69">
        <v>96975</v>
      </c>
      <c r="F315" s="70">
        <f t="shared" si="90"/>
        <v>0.99922660479505032</v>
      </c>
      <c r="G315" s="69">
        <v>75</v>
      </c>
      <c r="H315" s="69">
        <v>29387</v>
      </c>
      <c r="I315" s="70">
        <f t="shared" si="91"/>
        <v>0.30303686517143591</v>
      </c>
      <c r="J315" s="69">
        <v>606</v>
      </c>
      <c r="K315" s="70">
        <f t="shared" si="92"/>
        <v>6.2490332559938131E-3</v>
      </c>
      <c r="L315" s="70">
        <f t="shared" si="93"/>
        <v>2.062136318780413E-2</v>
      </c>
      <c r="M315" s="69">
        <v>58</v>
      </c>
      <c r="N315" s="70">
        <f t="shared" si="94"/>
        <v>5.9809229182779071E-4</v>
      </c>
      <c r="O315" s="67" t="s">
        <v>16</v>
      </c>
    </row>
    <row r="316" spans="1:15" x14ac:dyDescent="0.3">
      <c r="A316" s="66" t="s">
        <v>28</v>
      </c>
      <c r="B316" s="67" t="s">
        <v>18</v>
      </c>
      <c r="C316" s="67" t="s">
        <v>16</v>
      </c>
      <c r="D316" s="68">
        <v>44995</v>
      </c>
      <c r="E316" s="69">
        <v>190580</v>
      </c>
      <c r="F316" s="70">
        <f t="shared" si="90"/>
        <v>0.99880365200965471</v>
      </c>
      <c r="G316" s="69">
        <v>228</v>
      </c>
      <c r="H316" s="69">
        <v>58766</v>
      </c>
      <c r="I316" s="70">
        <f t="shared" si="91"/>
        <v>0.3083534473711827</v>
      </c>
      <c r="J316" s="69">
        <v>1312</v>
      </c>
      <c r="K316" s="70">
        <f t="shared" si="92"/>
        <v>6.8842480847937874E-3</v>
      </c>
      <c r="L316" s="70">
        <f t="shared" si="93"/>
        <v>2.2325834666303643E-2</v>
      </c>
      <c r="M316" s="69">
        <v>661</v>
      </c>
      <c r="N316" s="70">
        <f t="shared" si="94"/>
        <v>3.468359743939553E-3</v>
      </c>
      <c r="O316" s="67" t="s">
        <v>16</v>
      </c>
    </row>
    <row r="317" spans="1:15" x14ac:dyDescent="0.3">
      <c r="A317" s="66" t="s">
        <v>22</v>
      </c>
      <c r="B317" s="67" t="s">
        <v>15</v>
      </c>
      <c r="C317" s="67" t="s">
        <v>16</v>
      </c>
      <c r="D317" s="68">
        <v>44995</v>
      </c>
      <c r="E317" s="69">
        <v>1752004</v>
      </c>
      <c r="F317" s="70">
        <f t="shared" si="90"/>
        <v>0.99789555274987962</v>
      </c>
      <c r="G317" s="69">
        <v>3687</v>
      </c>
      <c r="H317" s="69">
        <v>707834</v>
      </c>
      <c r="I317" s="70">
        <f t="shared" si="91"/>
        <v>0.40401391777644341</v>
      </c>
      <c r="J317" s="69">
        <v>12905</v>
      </c>
      <c r="K317" s="70">
        <f t="shared" si="92"/>
        <v>7.3658507628978015E-3</v>
      </c>
      <c r="L317" s="70">
        <f t="shared" si="93"/>
        <v>1.8231675788391064E-2</v>
      </c>
      <c r="M317" s="69">
        <v>1710</v>
      </c>
      <c r="N317" s="70">
        <f t="shared" si="94"/>
        <v>9.760251688923085E-4</v>
      </c>
      <c r="O317" s="67" t="s">
        <v>16</v>
      </c>
    </row>
    <row r="318" spans="1:15" x14ac:dyDescent="0.3">
      <c r="A318" s="66" t="s">
        <v>22</v>
      </c>
      <c r="B318" s="67" t="s">
        <v>18</v>
      </c>
      <c r="C318" s="67" t="s">
        <v>16</v>
      </c>
      <c r="D318" s="68">
        <v>44995</v>
      </c>
      <c r="E318" s="69">
        <v>2170502</v>
      </c>
      <c r="F318" s="70">
        <f t="shared" si="90"/>
        <v>0.9980345560612246</v>
      </c>
      <c r="G318" s="69">
        <v>4266</v>
      </c>
      <c r="H318" s="69">
        <v>776199</v>
      </c>
      <c r="I318" s="70">
        <f t="shared" si="91"/>
        <v>0.35761266287706717</v>
      </c>
      <c r="J318" s="69">
        <v>14645</v>
      </c>
      <c r="K318" s="70">
        <f t="shared" si="92"/>
        <v>6.7472870331379562E-3</v>
      </c>
      <c r="L318" s="70">
        <f t="shared" si="93"/>
        <v>1.8867584214872734E-2</v>
      </c>
      <c r="M318" s="69">
        <v>5069</v>
      </c>
      <c r="N318" s="70">
        <f t="shared" si="94"/>
        <v>2.3354044363930555E-3</v>
      </c>
      <c r="O318" s="67" t="s">
        <v>16</v>
      </c>
    </row>
    <row r="319" spans="1:15" x14ac:dyDescent="0.3">
      <c r="A319" s="66" t="s">
        <v>33</v>
      </c>
      <c r="B319" s="67" t="s">
        <v>18</v>
      </c>
      <c r="C319" s="67" t="s">
        <v>21</v>
      </c>
      <c r="D319" s="68">
        <v>44995</v>
      </c>
      <c r="E319" s="69">
        <v>244272</v>
      </c>
      <c r="F319" s="70">
        <f t="shared" si="90"/>
        <v>0.99864495316696145</v>
      </c>
      <c r="G319" s="69">
        <v>331</v>
      </c>
      <c r="H319" s="69">
        <v>113808</v>
      </c>
      <c r="I319" s="70">
        <f t="shared" si="91"/>
        <v>0.46590685792886616</v>
      </c>
      <c r="J319" s="69">
        <v>2357</v>
      </c>
      <c r="K319" s="70">
        <f t="shared" si="92"/>
        <v>9.6490797144167164E-3</v>
      </c>
      <c r="L319" s="70">
        <f t="shared" si="93"/>
        <v>2.0710319133980037E-2</v>
      </c>
      <c r="M319" s="69">
        <v>246</v>
      </c>
      <c r="N319" s="70">
        <f t="shared" si="94"/>
        <v>1.0070740813519356E-3</v>
      </c>
      <c r="O319" s="67" t="s">
        <v>21</v>
      </c>
    </row>
    <row r="320" spans="1:15" x14ac:dyDescent="0.3">
      <c r="A320" s="66" t="s">
        <v>19</v>
      </c>
      <c r="B320" s="67" t="s">
        <v>18</v>
      </c>
      <c r="C320" s="67" t="s">
        <v>21</v>
      </c>
      <c r="D320" s="68">
        <v>44995</v>
      </c>
      <c r="E320" s="69">
        <v>332944</v>
      </c>
      <c r="F320" s="70">
        <f t="shared" si="90"/>
        <v>0.99804771973665241</v>
      </c>
      <c r="G320" s="69">
        <v>650</v>
      </c>
      <c r="H320" s="69">
        <v>125388</v>
      </c>
      <c r="I320" s="70">
        <f t="shared" si="91"/>
        <v>0.37660387332404249</v>
      </c>
      <c r="J320" s="69">
        <v>2893</v>
      </c>
      <c r="K320" s="70">
        <f t="shared" si="92"/>
        <v>8.689148925945505E-3</v>
      </c>
      <c r="L320" s="70">
        <f t="shared" si="93"/>
        <v>2.3072383322167992E-2</v>
      </c>
      <c r="M320" s="69">
        <v>376</v>
      </c>
      <c r="N320" s="70">
        <f t="shared" si="94"/>
        <v>1.1293190446441444E-3</v>
      </c>
      <c r="O320" s="67" t="s">
        <v>21</v>
      </c>
    </row>
    <row r="321" spans="1:15" x14ac:dyDescent="0.3">
      <c r="A321" s="76" t="s">
        <v>192</v>
      </c>
      <c r="B321" s="67" t="s">
        <v>15</v>
      </c>
      <c r="C321" s="67" t="s">
        <v>30</v>
      </c>
      <c r="D321" s="68">
        <v>44996</v>
      </c>
      <c r="E321" s="69">
        <v>160</v>
      </c>
      <c r="F321" s="70">
        <f t="shared" si="90"/>
        <v>1</v>
      </c>
      <c r="G321" s="69">
        <v>0</v>
      </c>
      <c r="H321" s="69">
        <v>63</v>
      </c>
      <c r="I321" s="70">
        <f t="shared" si="91"/>
        <v>0.39374999999999999</v>
      </c>
      <c r="J321" s="69">
        <v>16</v>
      </c>
      <c r="K321" s="70">
        <f t="shared" si="92"/>
        <v>0.1</v>
      </c>
      <c r="L321" s="70">
        <f t="shared" si="93"/>
        <v>0.25396825396825395</v>
      </c>
      <c r="M321" s="69">
        <v>0</v>
      </c>
      <c r="N321" s="70">
        <f t="shared" si="94"/>
        <v>0</v>
      </c>
      <c r="O321" s="67" t="s">
        <v>31</v>
      </c>
    </row>
    <row r="322" spans="1:15" x14ac:dyDescent="0.3">
      <c r="A322" s="76" t="s">
        <v>193</v>
      </c>
      <c r="B322" s="67" t="s">
        <v>15</v>
      </c>
      <c r="C322" s="67" t="s">
        <v>30</v>
      </c>
      <c r="D322" s="68">
        <v>44996</v>
      </c>
      <c r="E322" s="69">
        <v>4319</v>
      </c>
      <c r="F322" s="70">
        <f t="shared" si="90"/>
        <v>0.99768464922435751</v>
      </c>
      <c r="G322" s="69">
        <v>10</v>
      </c>
      <c r="H322" s="69">
        <v>1969</v>
      </c>
      <c r="I322" s="70">
        <f t="shared" si="91"/>
        <v>0.45589256772401021</v>
      </c>
      <c r="J322" s="69">
        <v>538</v>
      </c>
      <c r="K322" s="70">
        <f t="shared" si="92"/>
        <v>0.12456587172956703</v>
      </c>
      <c r="L322" s="70">
        <f t="shared" si="93"/>
        <v>0.27323514474352462</v>
      </c>
      <c r="M322" s="69">
        <v>4</v>
      </c>
      <c r="N322" s="70">
        <f t="shared" si="94"/>
        <v>9.2614031025700389E-4</v>
      </c>
      <c r="O322" s="67" t="s">
        <v>31</v>
      </c>
    </row>
    <row r="323" spans="1:15" x14ac:dyDescent="0.3">
      <c r="A323" s="76" t="s">
        <v>191</v>
      </c>
      <c r="B323" s="67" t="s">
        <v>18</v>
      </c>
      <c r="C323" s="67" t="s">
        <v>16</v>
      </c>
      <c r="D323" s="68">
        <v>44996</v>
      </c>
      <c r="E323" s="69">
        <v>20898</v>
      </c>
      <c r="F323" s="70">
        <f t="shared" si="90"/>
        <v>0.99899511915015793</v>
      </c>
      <c r="G323" s="69">
        <v>21</v>
      </c>
      <c r="H323" s="69">
        <v>6421</v>
      </c>
      <c r="I323" s="70">
        <f t="shared" si="91"/>
        <v>0.30725428270647909</v>
      </c>
      <c r="J323" s="69">
        <v>150</v>
      </c>
      <c r="K323" s="70">
        <f t="shared" si="92"/>
        <v>7.1777203560149296E-3</v>
      </c>
      <c r="L323" s="70">
        <f t="shared" si="93"/>
        <v>2.336084722005918E-2</v>
      </c>
      <c r="M323" s="69">
        <v>80</v>
      </c>
      <c r="N323" s="70">
        <f t="shared" si="94"/>
        <v>3.8281175232079624E-3</v>
      </c>
      <c r="O323" s="67" t="s">
        <v>16</v>
      </c>
    </row>
    <row r="324" spans="1:15" x14ac:dyDescent="0.3">
      <c r="A324" s="76" t="s">
        <v>191</v>
      </c>
      <c r="B324" s="67" t="s">
        <v>15</v>
      </c>
      <c r="C324" s="67" t="s">
        <v>16</v>
      </c>
      <c r="D324" s="68">
        <v>44996</v>
      </c>
      <c r="E324" s="69">
        <v>18529</v>
      </c>
      <c r="F324" s="70">
        <f t="shared" si="90"/>
        <v>0.99946030546710563</v>
      </c>
      <c r="G324" s="69">
        <v>10</v>
      </c>
      <c r="H324" s="69">
        <v>5547</v>
      </c>
      <c r="I324" s="70">
        <f t="shared" si="91"/>
        <v>0.29936855739651358</v>
      </c>
      <c r="J324" s="69">
        <v>105</v>
      </c>
      <c r="K324" s="70">
        <f t="shared" si="92"/>
        <v>5.6667925953910086E-3</v>
      </c>
      <c r="L324" s="70">
        <f t="shared" si="93"/>
        <v>1.8929150892374257E-2</v>
      </c>
      <c r="M324" s="69">
        <v>5</v>
      </c>
      <c r="N324" s="70">
        <f t="shared" si="94"/>
        <v>2.698472664471909E-4</v>
      </c>
      <c r="O324" s="67" t="s">
        <v>16</v>
      </c>
    </row>
    <row r="325" spans="1:15" x14ac:dyDescent="0.3">
      <c r="A325" s="76" t="s">
        <v>194</v>
      </c>
      <c r="B325" s="67" t="s">
        <v>18</v>
      </c>
      <c r="C325" s="67" t="s">
        <v>16</v>
      </c>
      <c r="D325" s="68">
        <v>44996</v>
      </c>
      <c r="E325" s="69">
        <v>262519</v>
      </c>
      <c r="F325" s="70">
        <f t="shared" si="90"/>
        <v>0.99827441061408884</v>
      </c>
      <c r="G325" s="69">
        <v>453</v>
      </c>
      <c r="H325" s="69">
        <v>92932</v>
      </c>
      <c r="I325" s="70">
        <f t="shared" si="91"/>
        <v>0.35400104373397734</v>
      </c>
      <c r="J325" s="69">
        <v>1582</v>
      </c>
      <c r="K325" s="70">
        <f t="shared" si="92"/>
        <v>6.0262304823650858E-3</v>
      </c>
      <c r="L325" s="70">
        <f t="shared" si="93"/>
        <v>1.7023199758963544E-2</v>
      </c>
      <c r="M325" s="69">
        <v>601</v>
      </c>
      <c r="N325" s="70">
        <f t="shared" si="94"/>
        <v>2.2893581036039297E-3</v>
      </c>
      <c r="O325" s="67" t="s">
        <v>16</v>
      </c>
    </row>
    <row r="326" spans="1:15" x14ac:dyDescent="0.3">
      <c r="A326" s="76" t="s">
        <v>194</v>
      </c>
      <c r="B326" s="67" t="s">
        <v>15</v>
      </c>
      <c r="C326" s="67" t="s">
        <v>16</v>
      </c>
      <c r="D326" s="68">
        <v>44996</v>
      </c>
      <c r="E326" s="69">
        <v>302304</v>
      </c>
      <c r="F326" s="70">
        <f t="shared" si="90"/>
        <v>0.99857759076955643</v>
      </c>
      <c r="G326" s="69">
        <v>430</v>
      </c>
      <c r="H326" s="69">
        <v>104138</v>
      </c>
      <c r="I326" s="70">
        <f t="shared" si="91"/>
        <v>0.3444810521858791</v>
      </c>
      <c r="J326" s="69">
        <v>1558</v>
      </c>
      <c r="K326" s="70">
        <f t="shared" si="92"/>
        <v>5.1537525140256165E-3</v>
      </c>
      <c r="L326" s="70">
        <f t="shared" si="93"/>
        <v>1.4960917244425666E-2</v>
      </c>
      <c r="M326" s="69">
        <v>179</v>
      </c>
      <c r="N326" s="70">
        <f t="shared" si="94"/>
        <v>5.9211919127765431E-4</v>
      </c>
      <c r="O326" s="67" t="s">
        <v>16</v>
      </c>
    </row>
    <row r="327" spans="1:15" x14ac:dyDescent="0.3">
      <c r="A327" s="76" t="s">
        <v>201</v>
      </c>
      <c r="B327" s="67" t="s">
        <v>15</v>
      </c>
      <c r="C327" s="67" t="s">
        <v>27</v>
      </c>
      <c r="D327" s="68">
        <v>44998</v>
      </c>
      <c r="E327" s="69">
        <v>213053</v>
      </c>
      <c r="F327" s="70">
        <f t="shared" ref="F327:F361" si="95">(E327-G327)/E327</f>
        <v>0.99851210731601991</v>
      </c>
      <c r="G327" s="69">
        <v>317</v>
      </c>
      <c r="H327" s="69">
        <v>67256</v>
      </c>
      <c r="I327" s="70">
        <f t="shared" ref="I327:I361" si="96">H327/E327</f>
        <v>0.31567731972795504</v>
      </c>
      <c r="J327" s="69">
        <v>1470</v>
      </c>
      <c r="K327" s="70">
        <f t="shared" ref="K327:K361" si="97">J327/E327</f>
        <v>6.8996916260273267E-3</v>
      </c>
      <c r="L327" s="70">
        <f t="shared" ref="L327:L361" si="98">J327/H327</f>
        <v>2.1856786011656953E-2</v>
      </c>
      <c r="M327" s="69">
        <v>396</v>
      </c>
      <c r="N327" s="70">
        <f t="shared" ref="N327:N361" si="99">M327/E327</f>
        <v>1.8586924380318511E-3</v>
      </c>
      <c r="O327" s="67" t="s">
        <v>27</v>
      </c>
    </row>
    <row r="328" spans="1:15" x14ac:dyDescent="0.3">
      <c r="A328" s="76" t="s">
        <v>202</v>
      </c>
      <c r="B328" s="67" t="s">
        <v>15</v>
      </c>
      <c r="C328" s="67" t="s">
        <v>16</v>
      </c>
      <c r="D328" s="68">
        <v>44998</v>
      </c>
      <c r="E328" s="69">
        <v>118797</v>
      </c>
      <c r="F328" s="70">
        <f t="shared" si="95"/>
        <v>0.99914981018039173</v>
      </c>
      <c r="G328" s="69">
        <v>101</v>
      </c>
      <c r="H328" s="69">
        <v>41802</v>
      </c>
      <c r="I328" s="70">
        <f t="shared" si="96"/>
        <v>0.35187757266597641</v>
      </c>
      <c r="J328" s="69">
        <v>583</v>
      </c>
      <c r="K328" s="70">
        <f t="shared" si="97"/>
        <v>4.9075313349663712E-3</v>
      </c>
      <c r="L328" s="70">
        <f t="shared" si="98"/>
        <v>1.3946701114779197E-2</v>
      </c>
      <c r="M328" s="69">
        <v>50</v>
      </c>
      <c r="N328" s="70">
        <f t="shared" si="99"/>
        <v>4.2088604931100952E-4</v>
      </c>
      <c r="O328" s="67" t="s">
        <v>16</v>
      </c>
    </row>
    <row r="329" spans="1:15" x14ac:dyDescent="0.3">
      <c r="A329" s="76" t="s">
        <v>202</v>
      </c>
      <c r="B329" s="67" t="s">
        <v>18</v>
      </c>
      <c r="C329" s="67" t="s">
        <v>16</v>
      </c>
      <c r="D329" s="68">
        <v>44998</v>
      </c>
      <c r="E329" s="69">
        <v>217318</v>
      </c>
      <c r="F329" s="70">
        <f t="shared" si="95"/>
        <v>0.99896004932863358</v>
      </c>
      <c r="G329" s="69">
        <v>226</v>
      </c>
      <c r="H329" s="69">
        <v>75110</v>
      </c>
      <c r="I329" s="70">
        <f t="shared" si="96"/>
        <v>0.34562254392181041</v>
      </c>
      <c r="J329" s="69">
        <v>1311</v>
      </c>
      <c r="K329" s="70">
        <f t="shared" si="97"/>
        <v>6.0326342042536741E-3</v>
      </c>
      <c r="L329" s="70">
        <f t="shared" si="98"/>
        <v>1.7454400213020901E-2</v>
      </c>
      <c r="M329" s="69">
        <v>323</v>
      </c>
      <c r="N329" s="70">
        <f t="shared" si="99"/>
        <v>1.4863011807581517E-3</v>
      </c>
      <c r="O329" s="67" t="s">
        <v>16</v>
      </c>
    </row>
    <row r="330" spans="1:15" x14ac:dyDescent="0.3">
      <c r="A330" s="76" t="s">
        <v>203</v>
      </c>
      <c r="B330" s="67" t="s">
        <v>15</v>
      </c>
      <c r="C330" s="67" t="s">
        <v>16</v>
      </c>
      <c r="D330" s="68">
        <v>44998</v>
      </c>
      <c r="E330" s="69">
        <v>2158197</v>
      </c>
      <c r="F330" s="70">
        <f t="shared" si="95"/>
        <v>0.99799601241221259</v>
      </c>
      <c r="G330" s="69">
        <v>4325</v>
      </c>
      <c r="H330" s="69">
        <v>810696</v>
      </c>
      <c r="I330" s="70">
        <f t="shared" si="96"/>
        <v>0.37563577375003299</v>
      </c>
      <c r="J330" s="69">
        <v>8049</v>
      </c>
      <c r="K330" s="70">
        <f t="shared" si="97"/>
        <v>3.7295019870753226E-3</v>
      </c>
      <c r="L330" s="70">
        <f t="shared" si="98"/>
        <v>9.9285058764321029E-3</v>
      </c>
      <c r="M330" s="69">
        <v>1225</v>
      </c>
      <c r="N330" s="70">
        <f t="shared" si="99"/>
        <v>5.6760342081839605E-4</v>
      </c>
      <c r="O330" s="67" t="s">
        <v>16</v>
      </c>
    </row>
    <row r="331" spans="1:15" x14ac:dyDescent="0.3">
      <c r="A331" s="76" t="s">
        <v>203</v>
      </c>
      <c r="B331" s="67" t="s">
        <v>18</v>
      </c>
      <c r="C331" s="67" t="s">
        <v>16</v>
      </c>
      <c r="D331" s="68">
        <v>44998</v>
      </c>
      <c r="E331" s="69">
        <v>2384217</v>
      </c>
      <c r="F331" s="70">
        <f t="shared" si="95"/>
        <v>0.99821324988455329</v>
      </c>
      <c r="G331" s="69">
        <v>4260</v>
      </c>
      <c r="H331" s="69">
        <v>891208</v>
      </c>
      <c r="I331" s="70">
        <f t="shared" si="96"/>
        <v>0.37379483495000665</v>
      </c>
      <c r="J331" s="69">
        <v>10705</v>
      </c>
      <c r="K331" s="70">
        <f t="shared" si="97"/>
        <v>4.4899436586518758E-3</v>
      </c>
      <c r="L331" s="70">
        <f t="shared" si="98"/>
        <v>1.2011786249674599E-2</v>
      </c>
      <c r="M331" s="69">
        <v>3003</v>
      </c>
      <c r="N331" s="70">
        <f t="shared" si="99"/>
        <v>1.2595330039170093E-3</v>
      </c>
      <c r="O331" s="67" t="s">
        <v>16</v>
      </c>
    </row>
    <row r="332" spans="1:15" x14ac:dyDescent="0.3">
      <c r="A332" s="76" t="s">
        <v>204</v>
      </c>
      <c r="B332" s="67" t="s">
        <v>15</v>
      </c>
      <c r="C332" s="67" t="s">
        <v>21</v>
      </c>
      <c r="D332" s="68">
        <v>44998</v>
      </c>
      <c r="E332" s="69">
        <v>118798</v>
      </c>
      <c r="F332" s="70">
        <f t="shared" si="95"/>
        <v>0.99915823498712097</v>
      </c>
      <c r="G332" s="69">
        <v>100</v>
      </c>
      <c r="H332" s="69">
        <v>33631</v>
      </c>
      <c r="I332" s="70">
        <f t="shared" si="96"/>
        <v>0.28309399148133807</v>
      </c>
      <c r="J332" s="69">
        <v>764</v>
      </c>
      <c r="K332" s="70">
        <f t="shared" si="97"/>
        <v>6.4310846983955958E-3</v>
      </c>
      <c r="L332" s="70">
        <f t="shared" si="98"/>
        <v>2.2717135975736671E-2</v>
      </c>
      <c r="M332" s="69">
        <v>58</v>
      </c>
      <c r="N332" s="70">
        <f t="shared" si="99"/>
        <v>4.8822370746982272E-4</v>
      </c>
      <c r="O332" s="67" t="s">
        <v>21</v>
      </c>
    </row>
    <row r="333" spans="1:15" x14ac:dyDescent="0.3">
      <c r="A333" s="76" t="s">
        <v>204</v>
      </c>
      <c r="B333" s="67" t="s">
        <v>18</v>
      </c>
      <c r="C333" s="67" t="s">
        <v>21</v>
      </c>
      <c r="D333" s="68">
        <v>44998</v>
      </c>
      <c r="E333" s="69">
        <v>217280</v>
      </c>
      <c r="F333" s="70">
        <f t="shared" si="95"/>
        <v>0.99899668630338734</v>
      </c>
      <c r="G333" s="69">
        <v>218</v>
      </c>
      <c r="H333" s="69">
        <v>67707</v>
      </c>
      <c r="I333" s="70">
        <f t="shared" si="96"/>
        <v>0.31161174521354934</v>
      </c>
      <c r="J333" s="69">
        <v>1712</v>
      </c>
      <c r="K333" s="70">
        <f t="shared" si="97"/>
        <v>7.8792341678939615E-3</v>
      </c>
      <c r="L333" s="70">
        <f t="shared" si="98"/>
        <v>2.5285421005213641E-2</v>
      </c>
      <c r="M333" s="69">
        <v>376</v>
      </c>
      <c r="N333" s="70">
        <f t="shared" si="99"/>
        <v>1.7304860088365242E-3</v>
      </c>
      <c r="O333" s="67" t="s">
        <v>21</v>
      </c>
    </row>
    <row r="334" spans="1:15" x14ac:dyDescent="0.3">
      <c r="A334" s="76" t="s">
        <v>205</v>
      </c>
      <c r="B334" s="67" t="s">
        <v>15</v>
      </c>
      <c r="C334" s="67" t="s">
        <v>21</v>
      </c>
      <c r="D334" s="68">
        <v>44998</v>
      </c>
      <c r="E334" s="69">
        <v>2161357</v>
      </c>
      <c r="F334" s="70">
        <f t="shared" si="95"/>
        <v>0.99817383245803448</v>
      </c>
      <c r="G334" s="69">
        <v>3947</v>
      </c>
      <c r="H334" s="69">
        <v>1020528</v>
      </c>
      <c r="I334" s="70">
        <f t="shared" si="96"/>
        <v>0.4721700302171275</v>
      </c>
      <c r="J334" s="69">
        <v>14172</v>
      </c>
      <c r="K334" s="70">
        <f t="shared" si="97"/>
        <v>6.5569917417622357E-3</v>
      </c>
      <c r="L334" s="70">
        <f t="shared" si="98"/>
        <v>1.388692911904426E-2</v>
      </c>
      <c r="M334" s="69">
        <v>1710</v>
      </c>
      <c r="N334" s="70">
        <f t="shared" si="99"/>
        <v>7.9116962167749246E-4</v>
      </c>
      <c r="O334" s="67" t="s">
        <v>21</v>
      </c>
    </row>
    <row r="335" spans="1:15" x14ac:dyDescent="0.3">
      <c r="A335" s="76" t="s">
        <v>205</v>
      </c>
      <c r="B335" s="67" t="s">
        <v>18</v>
      </c>
      <c r="C335" s="67" t="s">
        <v>21</v>
      </c>
      <c r="D335" s="68">
        <v>44998</v>
      </c>
      <c r="E335" s="69">
        <v>2385796</v>
      </c>
      <c r="F335" s="70">
        <f t="shared" si="95"/>
        <v>0.99837873816537537</v>
      </c>
      <c r="G335" s="69">
        <v>3868</v>
      </c>
      <c r="H335" s="69">
        <v>1196883</v>
      </c>
      <c r="I335" s="70">
        <f t="shared" si="96"/>
        <v>0.50167030207109076</v>
      </c>
      <c r="J335" s="69">
        <v>19035</v>
      </c>
      <c r="K335" s="70">
        <f t="shared" si="97"/>
        <v>7.9784692404547587E-3</v>
      </c>
      <c r="L335" s="70">
        <f t="shared" si="98"/>
        <v>1.5903810146856458E-2</v>
      </c>
      <c r="M335" s="69">
        <v>5208</v>
      </c>
      <c r="N335" s="70">
        <f t="shared" si="99"/>
        <v>2.182919243724107E-3</v>
      </c>
      <c r="O335" s="67" t="s">
        <v>21</v>
      </c>
    </row>
    <row r="336" spans="1:15" x14ac:dyDescent="0.3">
      <c r="A336" s="76" t="s">
        <v>206</v>
      </c>
      <c r="B336" s="67" t="s">
        <v>15</v>
      </c>
      <c r="C336" s="67" t="s">
        <v>27</v>
      </c>
      <c r="D336" s="68">
        <v>44999</v>
      </c>
      <c r="E336" s="69">
        <v>26398</v>
      </c>
      <c r="F336" s="70">
        <f t="shared" si="95"/>
        <v>0.99856049700734906</v>
      </c>
      <c r="G336" s="69">
        <v>38</v>
      </c>
      <c r="H336" s="69">
        <v>7109</v>
      </c>
      <c r="I336" s="70">
        <f t="shared" si="96"/>
        <v>0.26930070459883326</v>
      </c>
      <c r="J336" s="69">
        <v>168</v>
      </c>
      <c r="K336" s="70">
        <f t="shared" si="97"/>
        <v>6.3641184938252899E-3</v>
      </c>
      <c r="L336" s="70">
        <f t="shared" si="98"/>
        <v>2.3632015754677171E-2</v>
      </c>
      <c r="M336" s="69">
        <v>27</v>
      </c>
      <c r="N336" s="70">
        <f t="shared" si="99"/>
        <v>1.0228047579362073E-3</v>
      </c>
      <c r="O336" s="67" t="s">
        <v>27</v>
      </c>
    </row>
    <row r="337" spans="1:15" x14ac:dyDescent="0.3">
      <c r="A337" s="66" t="s">
        <v>29</v>
      </c>
      <c r="B337" s="67" t="s">
        <v>15</v>
      </c>
      <c r="C337" s="67" t="s">
        <v>16</v>
      </c>
      <c r="D337" s="68">
        <v>44999</v>
      </c>
      <c r="E337" s="69">
        <v>23049</v>
      </c>
      <c r="F337" s="70">
        <f t="shared" si="95"/>
        <v>0.99882858258492779</v>
      </c>
      <c r="G337" s="69">
        <v>27</v>
      </c>
      <c r="H337" s="69">
        <v>7939</v>
      </c>
      <c r="I337" s="70">
        <f t="shared" si="96"/>
        <v>0.34444010586142565</v>
      </c>
      <c r="J337" s="69">
        <v>199</v>
      </c>
      <c r="K337" s="70">
        <f t="shared" si="97"/>
        <v>8.6337802073842684E-3</v>
      </c>
      <c r="L337" s="70">
        <f t="shared" si="98"/>
        <v>2.5066129235420079E-2</v>
      </c>
      <c r="M337" s="69">
        <v>2</v>
      </c>
      <c r="N337" s="70">
        <f t="shared" si="99"/>
        <v>8.6771660375721283E-5</v>
      </c>
      <c r="O337" s="67" t="s">
        <v>16</v>
      </c>
    </row>
    <row r="338" spans="1:15" x14ac:dyDescent="0.3">
      <c r="A338" s="66" t="s">
        <v>29</v>
      </c>
      <c r="B338" s="67" t="s">
        <v>18</v>
      </c>
      <c r="C338" s="67" t="s">
        <v>16</v>
      </c>
      <c r="D338" s="68">
        <v>44999</v>
      </c>
      <c r="E338" s="69">
        <v>25583</v>
      </c>
      <c r="F338" s="70">
        <f t="shared" si="95"/>
        <v>0.9994136731423211</v>
      </c>
      <c r="G338" s="69">
        <v>15</v>
      </c>
      <c r="H338" s="69">
        <v>9323</v>
      </c>
      <c r="I338" s="70">
        <f t="shared" si="96"/>
        <v>0.36442168627604271</v>
      </c>
      <c r="J338" s="69">
        <v>214</v>
      </c>
      <c r="K338" s="70">
        <f t="shared" si="97"/>
        <v>8.3649298362193647E-3</v>
      </c>
      <c r="L338" s="70">
        <f t="shared" si="98"/>
        <v>2.2953984768851229E-2</v>
      </c>
      <c r="M338" s="69">
        <v>14</v>
      </c>
      <c r="N338" s="70">
        <f t="shared" si="99"/>
        <v>5.4723840050033225E-4</v>
      </c>
      <c r="O338" s="67" t="s">
        <v>16</v>
      </c>
    </row>
    <row r="339" spans="1:15" x14ac:dyDescent="0.3">
      <c r="A339" s="66" t="s">
        <v>17</v>
      </c>
      <c r="B339" s="67" t="s">
        <v>15</v>
      </c>
      <c r="C339" s="67" t="s">
        <v>16</v>
      </c>
      <c r="D339" s="68">
        <v>44999</v>
      </c>
      <c r="E339" s="69">
        <v>217659</v>
      </c>
      <c r="F339" s="70">
        <f t="shared" si="95"/>
        <v>0.99831387629273316</v>
      </c>
      <c r="G339" s="69">
        <v>367</v>
      </c>
      <c r="H339" s="69">
        <v>79540</v>
      </c>
      <c r="I339" s="70">
        <f t="shared" si="96"/>
        <v>0.36543400456677649</v>
      </c>
      <c r="J339" s="69">
        <v>1752</v>
      </c>
      <c r="K339" s="70">
        <f t="shared" si="97"/>
        <v>8.0492881066255018E-3</v>
      </c>
      <c r="L339" s="70">
        <f t="shared" si="98"/>
        <v>2.2026653256223282E-2</v>
      </c>
      <c r="M339" s="69">
        <v>56</v>
      </c>
      <c r="N339" s="70">
        <f t="shared" si="99"/>
        <v>2.5728318149031282E-4</v>
      </c>
      <c r="O339" s="67" t="s">
        <v>16</v>
      </c>
    </row>
    <row r="340" spans="1:15" x14ac:dyDescent="0.3">
      <c r="A340" s="66" t="s">
        <v>17</v>
      </c>
      <c r="B340" s="67" t="s">
        <v>18</v>
      </c>
      <c r="C340" s="67" t="s">
        <v>16</v>
      </c>
      <c r="D340" s="68">
        <v>44999</v>
      </c>
      <c r="E340" s="69">
        <v>431945</v>
      </c>
      <c r="F340" s="70">
        <f t="shared" si="95"/>
        <v>0.99856463207121282</v>
      </c>
      <c r="G340" s="69">
        <v>620</v>
      </c>
      <c r="H340" s="69">
        <v>175694</v>
      </c>
      <c r="I340" s="70">
        <f t="shared" si="96"/>
        <v>0.40675085948442508</v>
      </c>
      <c r="J340" s="69">
        <v>2966</v>
      </c>
      <c r="K340" s="70">
        <f t="shared" si="97"/>
        <v>6.8666149625531032E-3</v>
      </c>
      <c r="L340" s="70">
        <f t="shared" si="98"/>
        <v>1.6881623732170704E-2</v>
      </c>
      <c r="M340" s="69">
        <v>269</v>
      </c>
      <c r="N340" s="70">
        <f t="shared" si="99"/>
        <v>6.227644723286529E-4</v>
      </c>
      <c r="O340" s="67" t="s">
        <v>16</v>
      </c>
    </row>
    <row r="341" spans="1:15" x14ac:dyDescent="0.3">
      <c r="A341" s="76" t="s">
        <v>207</v>
      </c>
      <c r="B341" s="67" t="s">
        <v>18</v>
      </c>
      <c r="C341" s="67" t="s">
        <v>16</v>
      </c>
      <c r="D341" s="68">
        <v>44999</v>
      </c>
      <c r="E341" s="69">
        <v>5597</v>
      </c>
      <c r="F341" s="70">
        <f t="shared" si="95"/>
        <v>0.99874932999821331</v>
      </c>
      <c r="G341" s="69">
        <v>7</v>
      </c>
      <c r="H341" s="69">
        <v>2498</v>
      </c>
      <c r="I341" s="70">
        <f t="shared" si="96"/>
        <v>0.44631052349472933</v>
      </c>
      <c r="J341" s="69">
        <v>74</v>
      </c>
      <c r="K341" s="70">
        <f t="shared" si="97"/>
        <v>1.3221368590316241E-2</v>
      </c>
      <c r="L341" s="70">
        <f t="shared" si="98"/>
        <v>2.9623698959167333E-2</v>
      </c>
      <c r="M341" s="69">
        <v>4</v>
      </c>
      <c r="N341" s="70">
        <f t="shared" si="99"/>
        <v>7.1466857244952648E-4</v>
      </c>
      <c r="O341" s="67" t="s">
        <v>16</v>
      </c>
    </row>
    <row r="342" spans="1:15" x14ac:dyDescent="0.3">
      <c r="A342" s="76" t="s">
        <v>207</v>
      </c>
      <c r="B342" s="67" t="s">
        <v>15</v>
      </c>
      <c r="C342" s="67" t="s">
        <v>16</v>
      </c>
      <c r="D342" s="68">
        <v>44999</v>
      </c>
      <c r="E342" s="69">
        <v>17719</v>
      </c>
      <c r="F342" s="70">
        <f t="shared" si="95"/>
        <v>0.99892770472374293</v>
      </c>
      <c r="G342" s="69">
        <v>19</v>
      </c>
      <c r="H342" s="69">
        <v>7462</v>
      </c>
      <c r="I342" s="70">
        <f t="shared" si="96"/>
        <v>0.42112986060161406</v>
      </c>
      <c r="J342" s="69">
        <v>251</v>
      </c>
      <c r="K342" s="70">
        <f t="shared" si="97"/>
        <v>1.4165584965291494E-2</v>
      </c>
      <c r="L342" s="70">
        <f t="shared" si="98"/>
        <v>3.3637094612704366E-2</v>
      </c>
      <c r="M342" s="69">
        <v>5</v>
      </c>
      <c r="N342" s="70">
        <f t="shared" si="99"/>
        <v>2.8218296743608558E-4</v>
      </c>
      <c r="O342" s="67" t="s">
        <v>16</v>
      </c>
    </row>
    <row r="343" spans="1:15" x14ac:dyDescent="0.3">
      <c r="A343" s="76" t="s">
        <v>208</v>
      </c>
      <c r="B343" s="67" t="s">
        <v>18</v>
      </c>
      <c r="C343" s="67" t="s">
        <v>16</v>
      </c>
      <c r="D343" s="68">
        <v>44999</v>
      </c>
      <c r="E343" s="69">
        <v>46285</v>
      </c>
      <c r="F343" s="70">
        <f t="shared" si="95"/>
        <v>0.99812034136329264</v>
      </c>
      <c r="G343" s="69">
        <v>87</v>
      </c>
      <c r="H343" s="69">
        <v>21254</v>
      </c>
      <c r="I343" s="70">
        <f t="shared" si="96"/>
        <v>0.45919844442043861</v>
      </c>
      <c r="J343" s="69">
        <v>505</v>
      </c>
      <c r="K343" s="70">
        <f t="shared" si="97"/>
        <v>1.0910662201577185E-2</v>
      </c>
      <c r="L343" s="70">
        <f t="shared" si="98"/>
        <v>2.3760233367836642E-2</v>
      </c>
      <c r="M343" s="69">
        <v>51</v>
      </c>
      <c r="N343" s="70">
        <f t="shared" si="99"/>
        <v>1.1018688560008641E-3</v>
      </c>
      <c r="O343" s="67" t="s">
        <v>16</v>
      </c>
    </row>
    <row r="344" spans="1:15" x14ac:dyDescent="0.3">
      <c r="A344" s="76" t="s">
        <v>208</v>
      </c>
      <c r="B344" s="67" t="s">
        <v>15</v>
      </c>
      <c r="C344" s="67" t="s">
        <v>16</v>
      </c>
      <c r="D344" s="68">
        <v>44999</v>
      </c>
      <c r="E344" s="69">
        <v>184356</v>
      </c>
      <c r="F344" s="70">
        <f t="shared" si="95"/>
        <v>0.99834559222374097</v>
      </c>
      <c r="G344" s="69">
        <v>305</v>
      </c>
      <c r="H344" s="69">
        <v>79307</v>
      </c>
      <c r="I344" s="70">
        <f t="shared" si="96"/>
        <v>0.43018399184187117</v>
      </c>
      <c r="J344" s="69">
        <v>1504</v>
      </c>
      <c r="K344" s="70">
        <f t="shared" si="97"/>
        <v>8.1581288376836123E-3</v>
      </c>
      <c r="L344" s="70">
        <f t="shared" si="98"/>
        <v>1.8964278058683344E-2</v>
      </c>
      <c r="M344" s="69">
        <v>64</v>
      </c>
      <c r="N344" s="70">
        <f t="shared" si="99"/>
        <v>3.4715441862483458E-4</v>
      </c>
      <c r="O344" s="67" t="s">
        <v>16</v>
      </c>
    </row>
    <row r="345" spans="1:15" x14ac:dyDescent="0.3">
      <c r="A345" s="76" t="s">
        <v>209</v>
      </c>
      <c r="B345" s="67" t="s">
        <v>15</v>
      </c>
      <c r="C345" s="67" t="s">
        <v>27</v>
      </c>
      <c r="D345" s="68">
        <v>45000</v>
      </c>
      <c r="E345" s="69">
        <v>15938</v>
      </c>
      <c r="F345" s="70">
        <f t="shared" si="95"/>
        <v>0.99861965114819928</v>
      </c>
      <c r="G345" s="69">
        <v>22</v>
      </c>
      <c r="H345" s="69">
        <v>5734</v>
      </c>
      <c r="I345" s="70">
        <f t="shared" si="96"/>
        <v>0.35976910528297151</v>
      </c>
      <c r="J345" s="69">
        <v>185</v>
      </c>
      <c r="K345" s="70">
        <f t="shared" si="97"/>
        <v>1.1607478981051574E-2</v>
      </c>
      <c r="L345" s="70">
        <f t="shared" si="98"/>
        <v>3.2263690268573425E-2</v>
      </c>
      <c r="M345" s="69">
        <v>26</v>
      </c>
      <c r="N345" s="70">
        <f t="shared" si="99"/>
        <v>1.6313213703099511E-3</v>
      </c>
      <c r="O345" s="67" t="s">
        <v>27</v>
      </c>
    </row>
    <row r="346" spans="1:15" x14ac:dyDescent="0.3">
      <c r="A346" s="76" t="s">
        <v>210</v>
      </c>
      <c r="B346" s="67" t="s">
        <v>15</v>
      </c>
      <c r="C346" s="67" t="s">
        <v>27</v>
      </c>
      <c r="D346" s="68">
        <v>45000</v>
      </c>
      <c r="E346" s="69">
        <v>12600</v>
      </c>
      <c r="F346" s="70">
        <f t="shared" si="95"/>
        <v>0.99746031746031749</v>
      </c>
      <c r="G346" s="69">
        <v>32</v>
      </c>
      <c r="H346" s="69">
        <v>4692</v>
      </c>
      <c r="I346" s="70">
        <f t="shared" si="96"/>
        <v>0.37238095238095237</v>
      </c>
      <c r="J346" s="69">
        <v>145</v>
      </c>
      <c r="K346" s="70">
        <f t="shared" si="97"/>
        <v>1.1507936507936509E-2</v>
      </c>
      <c r="L346" s="70">
        <f t="shared" si="98"/>
        <v>3.0903665814151746E-2</v>
      </c>
      <c r="M346" s="69">
        <v>20</v>
      </c>
      <c r="N346" s="70">
        <f t="shared" si="99"/>
        <v>1.5873015873015873E-3</v>
      </c>
      <c r="O346" s="67" t="s">
        <v>27</v>
      </c>
    </row>
    <row r="347" spans="1:15" x14ac:dyDescent="0.3">
      <c r="A347" s="76" t="s">
        <v>211</v>
      </c>
      <c r="B347" s="67" t="s">
        <v>15</v>
      </c>
      <c r="C347" s="67" t="s">
        <v>27</v>
      </c>
      <c r="D347" s="68">
        <v>45000</v>
      </c>
      <c r="E347" s="69">
        <v>28932</v>
      </c>
      <c r="F347" s="70">
        <f t="shared" si="95"/>
        <v>0.99688925756947322</v>
      </c>
      <c r="G347" s="69">
        <v>90</v>
      </c>
      <c r="H347" s="69">
        <v>10301</v>
      </c>
      <c r="I347" s="70">
        <f t="shared" si="96"/>
        <v>0.35604175307617864</v>
      </c>
      <c r="J347" s="69">
        <v>291</v>
      </c>
      <c r="K347" s="70">
        <f t="shared" si="97"/>
        <v>1.00580671920365E-2</v>
      </c>
      <c r="L347" s="70">
        <f t="shared" si="98"/>
        <v>2.8249684496650811E-2</v>
      </c>
      <c r="M347" s="69">
        <v>65</v>
      </c>
      <c r="N347" s="70">
        <f t="shared" si="99"/>
        <v>2.2466473109359879E-3</v>
      </c>
      <c r="O347" s="67" t="s">
        <v>27</v>
      </c>
    </row>
    <row r="348" spans="1:15" x14ac:dyDescent="0.3">
      <c r="A348" s="76" t="s">
        <v>212</v>
      </c>
      <c r="B348" s="67" t="s">
        <v>15</v>
      </c>
      <c r="C348" s="67" t="s">
        <v>27</v>
      </c>
      <c r="D348" s="68">
        <v>45000</v>
      </c>
      <c r="E348" s="69">
        <v>247371</v>
      </c>
      <c r="F348" s="70">
        <f t="shared" si="95"/>
        <v>0.99847597333559712</v>
      </c>
      <c r="G348" s="69">
        <v>377</v>
      </c>
      <c r="H348" s="69">
        <v>74846</v>
      </c>
      <c r="I348" s="70">
        <f t="shared" si="96"/>
        <v>0.30256578176099869</v>
      </c>
      <c r="J348" s="69">
        <v>1609</v>
      </c>
      <c r="K348" s="70">
        <f t="shared" si="97"/>
        <v>6.504400273273747E-3</v>
      </c>
      <c r="L348" s="70">
        <f t="shared" si="98"/>
        <v>2.1497474814953371E-2</v>
      </c>
      <c r="M348" s="69">
        <v>395</v>
      </c>
      <c r="N348" s="70">
        <f t="shared" si="99"/>
        <v>1.5967918632337663E-3</v>
      </c>
      <c r="O348" s="67" t="s">
        <v>27</v>
      </c>
    </row>
    <row r="349" spans="1:15" x14ac:dyDescent="0.3">
      <c r="A349" s="76" t="s">
        <v>32</v>
      </c>
      <c r="B349" s="67"/>
      <c r="C349" s="67" t="s">
        <v>23</v>
      </c>
      <c r="D349" s="68">
        <v>45000</v>
      </c>
      <c r="E349" s="69">
        <v>295</v>
      </c>
      <c r="F349" s="70">
        <f t="shared" si="95"/>
        <v>0.99322033898305084</v>
      </c>
      <c r="G349" s="69">
        <v>2</v>
      </c>
      <c r="H349" s="69">
        <v>114</v>
      </c>
      <c r="I349" s="70">
        <f t="shared" si="96"/>
        <v>0.38644067796610171</v>
      </c>
      <c r="J349" s="69">
        <v>6</v>
      </c>
      <c r="K349" s="70">
        <f t="shared" si="97"/>
        <v>2.0338983050847456E-2</v>
      </c>
      <c r="L349" s="70">
        <f t="shared" si="98"/>
        <v>5.2631578947368418E-2</v>
      </c>
      <c r="M349" s="69">
        <v>0</v>
      </c>
      <c r="N349" s="70">
        <f t="shared" si="99"/>
        <v>0</v>
      </c>
      <c r="O349" s="67" t="s">
        <v>23</v>
      </c>
    </row>
    <row r="350" spans="1:15" x14ac:dyDescent="0.3">
      <c r="A350" s="66" t="s">
        <v>26</v>
      </c>
      <c r="B350" s="67"/>
      <c r="C350" s="67" t="s">
        <v>23</v>
      </c>
      <c r="D350" s="68">
        <v>45001</v>
      </c>
      <c r="E350" s="69">
        <v>1641</v>
      </c>
      <c r="F350" s="70">
        <f t="shared" si="95"/>
        <v>0.99878123095673366</v>
      </c>
      <c r="G350" s="69">
        <v>2</v>
      </c>
      <c r="H350" s="69">
        <v>587</v>
      </c>
      <c r="I350" s="70">
        <f t="shared" si="96"/>
        <v>0.35770871419865935</v>
      </c>
      <c r="J350" s="69">
        <v>21</v>
      </c>
      <c r="K350" s="70">
        <f t="shared" si="97"/>
        <v>1.2797074954296161E-2</v>
      </c>
      <c r="L350" s="70">
        <f t="shared" si="98"/>
        <v>3.5775127768313458E-2</v>
      </c>
      <c r="M350" s="69">
        <v>0</v>
      </c>
      <c r="N350" s="70">
        <f t="shared" si="99"/>
        <v>0</v>
      </c>
      <c r="O350" s="67" t="s">
        <v>23</v>
      </c>
    </row>
    <row r="351" spans="1:15" x14ac:dyDescent="0.3">
      <c r="A351" s="76" t="s">
        <v>213</v>
      </c>
      <c r="B351" s="67" t="s">
        <v>15</v>
      </c>
      <c r="C351" s="67" t="s">
        <v>16</v>
      </c>
      <c r="D351" s="68">
        <v>45001</v>
      </c>
      <c r="E351" s="69">
        <v>50647</v>
      </c>
      <c r="F351" s="70">
        <f t="shared" si="95"/>
        <v>0.9989732856832586</v>
      </c>
      <c r="G351" s="69">
        <v>52</v>
      </c>
      <c r="H351" s="69">
        <v>16653</v>
      </c>
      <c r="I351" s="70">
        <f t="shared" si="96"/>
        <v>0.32880525993642268</v>
      </c>
      <c r="J351" s="69">
        <v>222</v>
      </c>
      <c r="K351" s="70">
        <f t="shared" si="97"/>
        <v>4.3832803522419889E-3</v>
      </c>
      <c r="L351" s="70">
        <f t="shared" si="98"/>
        <v>1.3330931363718249E-2</v>
      </c>
      <c r="M351" s="69">
        <v>8</v>
      </c>
      <c r="N351" s="70">
        <f t="shared" si="99"/>
        <v>1.5795604872944103E-4</v>
      </c>
      <c r="O351" s="67" t="s">
        <v>16</v>
      </c>
    </row>
    <row r="352" spans="1:15" x14ac:dyDescent="0.3">
      <c r="A352" s="76" t="s">
        <v>214</v>
      </c>
      <c r="B352" s="67" t="s">
        <v>15</v>
      </c>
      <c r="C352" s="67" t="s">
        <v>16</v>
      </c>
      <c r="D352" s="68">
        <v>45001</v>
      </c>
      <c r="E352" s="69">
        <v>2682</v>
      </c>
      <c r="F352" s="70">
        <f t="shared" si="95"/>
        <v>0.9992542878448919</v>
      </c>
      <c r="G352" s="69">
        <v>2</v>
      </c>
      <c r="H352" s="69">
        <v>860</v>
      </c>
      <c r="I352" s="70">
        <f t="shared" si="96"/>
        <v>0.32065622669649513</v>
      </c>
      <c r="J352" s="69">
        <v>8</v>
      </c>
      <c r="K352" s="70">
        <f t="shared" si="97"/>
        <v>2.9828486204325128E-3</v>
      </c>
      <c r="L352" s="70">
        <f t="shared" si="98"/>
        <v>9.3023255813953487E-3</v>
      </c>
      <c r="M352" s="69">
        <v>0</v>
      </c>
      <c r="N352" s="70">
        <f t="shared" si="99"/>
        <v>0</v>
      </c>
      <c r="O352" s="67" t="s">
        <v>16</v>
      </c>
    </row>
    <row r="353" spans="1:15" x14ac:dyDescent="0.3">
      <c r="A353" s="66" t="s">
        <v>28</v>
      </c>
      <c r="B353" s="67" t="s">
        <v>15</v>
      </c>
      <c r="C353" s="67" t="s">
        <v>16</v>
      </c>
      <c r="D353" s="68">
        <v>45002</v>
      </c>
      <c r="E353" s="69">
        <v>96989</v>
      </c>
      <c r="F353" s="70">
        <f t="shared" si="95"/>
        <v>0.99896895524234708</v>
      </c>
      <c r="G353" s="69">
        <v>100</v>
      </c>
      <c r="H353" s="69">
        <v>29477</v>
      </c>
      <c r="I353" s="70">
        <f t="shared" si="96"/>
        <v>0.3039210632133541</v>
      </c>
      <c r="J353" s="69">
        <v>582</v>
      </c>
      <c r="K353" s="70">
        <f t="shared" si="97"/>
        <v>6.0006804895400513E-3</v>
      </c>
      <c r="L353" s="70">
        <f t="shared" si="98"/>
        <v>1.9744207348101912E-2</v>
      </c>
      <c r="M353" s="69">
        <v>31</v>
      </c>
      <c r="N353" s="70">
        <f t="shared" si="99"/>
        <v>3.1962387487240819E-4</v>
      </c>
      <c r="O353" s="67" t="s">
        <v>16</v>
      </c>
    </row>
    <row r="354" spans="1:15" x14ac:dyDescent="0.3">
      <c r="A354" s="66" t="s">
        <v>28</v>
      </c>
      <c r="B354" s="67" t="s">
        <v>18</v>
      </c>
      <c r="C354" s="67" t="s">
        <v>16</v>
      </c>
      <c r="D354" s="68">
        <v>45002</v>
      </c>
      <c r="E354" s="69">
        <v>188901</v>
      </c>
      <c r="F354" s="70">
        <f t="shared" si="95"/>
        <v>0.99876125589594544</v>
      </c>
      <c r="G354" s="69">
        <v>234</v>
      </c>
      <c r="H354" s="69">
        <v>57746</v>
      </c>
      <c r="I354" s="70">
        <f t="shared" si="96"/>
        <v>0.30569451723389501</v>
      </c>
      <c r="J354" s="69">
        <v>1075</v>
      </c>
      <c r="K354" s="70">
        <f t="shared" si="97"/>
        <v>5.6908115891392847E-3</v>
      </c>
      <c r="L354" s="70">
        <f t="shared" si="98"/>
        <v>1.8616008035188585E-2</v>
      </c>
      <c r="M354" s="69">
        <v>193</v>
      </c>
      <c r="N354" s="70">
        <f t="shared" si="99"/>
        <v>1.0216991969338436E-3</v>
      </c>
      <c r="O354" s="67" t="s">
        <v>16</v>
      </c>
    </row>
    <row r="355" spans="1:15" x14ac:dyDescent="0.3">
      <c r="A355" s="66" t="s">
        <v>22</v>
      </c>
      <c r="B355" s="67" t="s">
        <v>15</v>
      </c>
      <c r="C355" s="67" t="s">
        <v>16</v>
      </c>
      <c r="D355" s="68">
        <v>45002</v>
      </c>
      <c r="E355" s="69">
        <v>1764156</v>
      </c>
      <c r="F355" s="70">
        <f t="shared" si="95"/>
        <v>0.99782332174705635</v>
      </c>
      <c r="G355" s="69">
        <v>3840</v>
      </c>
      <c r="H355" s="69">
        <v>719220</v>
      </c>
      <c r="I355" s="70">
        <f t="shared" si="96"/>
        <v>0.40768503465679906</v>
      </c>
      <c r="J355" s="69">
        <v>9914</v>
      </c>
      <c r="K355" s="70">
        <f t="shared" si="97"/>
        <v>5.6196844270007869E-3</v>
      </c>
      <c r="L355" s="70">
        <f t="shared" si="98"/>
        <v>1.378437752009121E-2</v>
      </c>
      <c r="M355" s="69">
        <v>789</v>
      </c>
      <c r="N355" s="70">
        <f t="shared" si="99"/>
        <v>4.4723935978450887E-4</v>
      </c>
      <c r="O355" s="67" t="s">
        <v>16</v>
      </c>
    </row>
    <row r="356" spans="1:15" x14ac:dyDescent="0.3">
      <c r="A356" s="66" t="s">
        <v>22</v>
      </c>
      <c r="B356" s="67" t="s">
        <v>18</v>
      </c>
      <c r="C356" s="67" t="s">
        <v>16</v>
      </c>
      <c r="D356" s="68">
        <v>45002</v>
      </c>
      <c r="E356" s="69">
        <v>2165495</v>
      </c>
      <c r="F356" s="70">
        <f t="shared" si="95"/>
        <v>0.99802077585032523</v>
      </c>
      <c r="G356" s="69">
        <v>4286</v>
      </c>
      <c r="H356" s="69">
        <v>747271</v>
      </c>
      <c r="I356" s="70">
        <f t="shared" si="96"/>
        <v>0.34508091683425729</v>
      </c>
      <c r="J356" s="69">
        <v>9829</v>
      </c>
      <c r="K356" s="70">
        <f t="shared" si="97"/>
        <v>4.5389160445995025E-3</v>
      </c>
      <c r="L356" s="70">
        <f t="shared" si="98"/>
        <v>1.3153193419790142E-2</v>
      </c>
      <c r="M356" s="69">
        <v>1839</v>
      </c>
      <c r="N356" s="70">
        <f t="shared" si="99"/>
        <v>8.4922846739429096E-4</v>
      </c>
      <c r="O356" s="67" t="s">
        <v>16</v>
      </c>
    </row>
    <row r="357" spans="1:15" x14ac:dyDescent="0.3">
      <c r="A357" s="66" t="s">
        <v>33</v>
      </c>
      <c r="B357" s="67" t="s">
        <v>18</v>
      </c>
      <c r="C357" s="67" t="s">
        <v>21</v>
      </c>
      <c r="D357" s="68">
        <v>45002</v>
      </c>
      <c r="E357" s="69">
        <v>242816</v>
      </c>
      <c r="F357" s="70">
        <f t="shared" si="95"/>
        <v>0.99848856747496051</v>
      </c>
      <c r="G357" s="69">
        <v>367</v>
      </c>
      <c r="H357" s="69">
        <v>108423</v>
      </c>
      <c r="I357" s="70">
        <f t="shared" si="96"/>
        <v>0.44652329335793356</v>
      </c>
      <c r="J357" s="69">
        <v>2193</v>
      </c>
      <c r="K357" s="70">
        <f t="shared" si="97"/>
        <v>9.0315300474433317E-3</v>
      </c>
      <c r="L357" s="70">
        <f t="shared" si="98"/>
        <v>2.0226335740571651E-2</v>
      </c>
      <c r="M357" s="69">
        <v>109</v>
      </c>
      <c r="N357" s="70">
        <f t="shared" si="99"/>
        <v>4.4889957828149712E-4</v>
      </c>
      <c r="O357" s="67" t="s">
        <v>21</v>
      </c>
    </row>
    <row r="358" spans="1:15" x14ac:dyDescent="0.3">
      <c r="A358" s="66" t="s">
        <v>19</v>
      </c>
      <c r="B358" s="67" t="s">
        <v>18</v>
      </c>
      <c r="C358" s="67" t="s">
        <v>21</v>
      </c>
      <c r="D358" s="68">
        <v>45002</v>
      </c>
      <c r="E358" s="69">
        <v>332925</v>
      </c>
      <c r="F358" s="70">
        <f t="shared" si="95"/>
        <v>0.9977922955620635</v>
      </c>
      <c r="G358" s="69">
        <v>735</v>
      </c>
      <c r="H358" s="69">
        <v>121920</v>
      </c>
      <c r="I358" s="70">
        <f t="shared" si="96"/>
        <v>0.36620860554178869</v>
      </c>
      <c r="J358" s="69">
        <v>2847</v>
      </c>
      <c r="K358" s="70">
        <f t="shared" si="97"/>
        <v>8.5514755575580078E-3</v>
      </c>
      <c r="L358" s="70">
        <f t="shared" si="98"/>
        <v>2.3351377952755905E-2</v>
      </c>
      <c r="M358" s="69">
        <v>222</v>
      </c>
      <c r="N358" s="70">
        <f t="shared" si="99"/>
        <v>6.668168506420365E-4</v>
      </c>
      <c r="O358" s="67" t="s">
        <v>21</v>
      </c>
    </row>
    <row r="359" spans="1:15" x14ac:dyDescent="0.3">
      <c r="A359" s="66" t="s">
        <v>24</v>
      </c>
      <c r="B359" s="67" t="s">
        <v>18</v>
      </c>
      <c r="C359" s="67" t="s">
        <v>21</v>
      </c>
      <c r="D359" s="68">
        <v>45003</v>
      </c>
      <c r="E359" s="69">
        <v>14849</v>
      </c>
      <c r="F359" s="70">
        <f t="shared" si="95"/>
        <v>0.99905717556737828</v>
      </c>
      <c r="G359" s="69">
        <v>14</v>
      </c>
      <c r="H359" s="69">
        <v>4800</v>
      </c>
      <c r="I359" s="70">
        <f t="shared" si="96"/>
        <v>0.32325409118459153</v>
      </c>
      <c r="J359" s="69">
        <v>229</v>
      </c>
      <c r="K359" s="70">
        <f t="shared" si="97"/>
        <v>1.5421913933598222E-2</v>
      </c>
      <c r="L359" s="70">
        <f t="shared" si="98"/>
        <v>4.7708333333333332E-2</v>
      </c>
      <c r="M359" s="69">
        <v>12</v>
      </c>
      <c r="N359" s="70">
        <f t="shared" si="99"/>
        <v>8.0813522796147888E-4</v>
      </c>
      <c r="O359" s="67" t="s">
        <v>21</v>
      </c>
    </row>
    <row r="360" spans="1:15" x14ac:dyDescent="0.3">
      <c r="A360" s="76" t="s">
        <v>215</v>
      </c>
      <c r="B360" s="67" t="s">
        <v>15</v>
      </c>
      <c r="C360" s="67" t="s">
        <v>30</v>
      </c>
      <c r="D360" s="68">
        <v>45003</v>
      </c>
      <c r="E360" s="69">
        <v>18266</v>
      </c>
      <c r="F360" s="70">
        <f t="shared" si="95"/>
        <v>0.998905069528085</v>
      </c>
      <c r="G360" s="69">
        <v>20</v>
      </c>
      <c r="H360" s="69">
        <v>6480</v>
      </c>
      <c r="I360" s="70">
        <f t="shared" si="96"/>
        <v>0.35475747290047083</v>
      </c>
      <c r="J360" s="69">
        <v>1113</v>
      </c>
      <c r="K360" s="70">
        <f t="shared" si="97"/>
        <v>6.0932880762071609E-2</v>
      </c>
      <c r="L360" s="70">
        <f t="shared" si="98"/>
        <v>0.17175925925925925</v>
      </c>
      <c r="M360" s="69">
        <v>4</v>
      </c>
      <c r="N360" s="70">
        <f t="shared" si="99"/>
        <v>2.1898609438300668E-4</v>
      </c>
      <c r="O360" s="67" t="s">
        <v>31</v>
      </c>
    </row>
    <row r="361" spans="1:15" x14ac:dyDescent="0.3">
      <c r="A361" s="76" t="s">
        <v>75</v>
      </c>
      <c r="B361" s="67" t="s">
        <v>15</v>
      </c>
      <c r="C361" s="67" t="s">
        <v>16</v>
      </c>
      <c r="D361" s="68">
        <v>45003</v>
      </c>
      <c r="E361" s="69">
        <v>27585</v>
      </c>
      <c r="F361" s="70">
        <f t="shared" si="95"/>
        <v>0.99869494290375205</v>
      </c>
      <c r="G361" s="69">
        <v>36</v>
      </c>
      <c r="H361" s="69">
        <v>7974</v>
      </c>
      <c r="I361" s="70">
        <f t="shared" si="96"/>
        <v>0.28907014681892335</v>
      </c>
      <c r="J361" s="69">
        <v>250</v>
      </c>
      <c r="K361" s="70">
        <f t="shared" si="97"/>
        <v>9.0628965017219495E-3</v>
      </c>
      <c r="L361" s="70">
        <f t="shared" si="98"/>
        <v>3.1351893654376725E-2</v>
      </c>
      <c r="M361" s="69">
        <v>8</v>
      </c>
      <c r="N361" s="70">
        <f t="shared" si="99"/>
        <v>2.900126880551024E-4</v>
      </c>
      <c r="O361" s="67" t="s">
        <v>16</v>
      </c>
    </row>
    <row r="362" spans="1:15" x14ac:dyDescent="0.3">
      <c r="A362" s="76" t="s">
        <v>78</v>
      </c>
      <c r="B362" s="67" t="s">
        <v>15</v>
      </c>
      <c r="C362" s="67" t="s">
        <v>16</v>
      </c>
      <c r="D362" s="68">
        <v>45003</v>
      </c>
      <c r="E362" s="69">
        <v>391572</v>
      </c>
      <c r="F362" s="70">
        <f t="shared" ref="F362" si="100">(E362-G362)/E362</f>
        <v>0.99834513192976004</v>
      </c>
      <c r="G362" s="69">
        <v>648</v>
      </c>
      <c r="H362" s="69">
        <v>133428</v>
      </c>
      <c r="I362" s="70">
        <f t="shared" ref="I362" si="101">H362/E362</f>
        <v>0.34074959394440868</v>
      </c>
      <c r="J362" s="69">
        <v>3208</v>
      </c>
      <c r="K362" s="70">
        <f t="shared" ref="K362" si="102">J362/E362</f>
        <v>8.1926184711879294E-3</v>
      </c>
      <c r="L362" s="70">
        <f t="shared" ref="L362" si="103">J362/H362</f>
        <v>2.4042929520040772E-2</v>
      </c>
      <c r="M362" s="69">
        <v>112</v>
      </c>
      <c r="N362" s="70">
        <f t="shared" ref="N362" si="104">M362/E362</f>
        <v>2.8602658004147388E-4</v>
      </c>
      <c r="O362" s="67" t="s">
        <v>16</v>
      </c>
    </row>
    <row r="363" spans="1:15" x14ac:dyDescent="0.3">
      <c r="A363" s="76" t="s">
        <v>218</v>
      </c>
      <c r="B363" s="67" t="s">
        <v>15</v>
      </c>
      <c r="C363" s="67" t="s">
        <v>27</v>
      </c>
      <c r="D363" s="68">
        <v>45006</v>
      </c>
      <c r="E363" s="69">
        <v>237149</v>
      </c>
      <c r="F363" s="70">
        <f t="shared" ref="F363:F380" si="105">(E363-G363)/E363</f>
        <v>0.99809824203348951</v>
      </c>
      <c r="G363" s="69">
        <v>451</v>
      </c>
      <c r="H363" s="69">
        <v>103978</v>
      </c>
      <c r="I363" s="70">
        <f t="shared" ref="I363:I380" si="106">H363/E363</f>
        <v>0.43845008834108512</v>
      </c>
      <c r="J363" s="69">
        <v>4066</v>
      </c>
      <c r="K363" s="70">
        <f t="shared" ref="K363:K380" si="107">J363/E363</f>
        <v>1.7145339006278754E-2</v>
      </c>
      <c r="L363" s="70">
        <f t="shared" ref="L363:L380" si="108">J363/H363</f>
        <v>3.9104425936255745E-2</v>
      </c>
      <c r="M363" s="69">
        <v>1918</v>
      </c>
      <c r="N363" s="70">
        <f t="shared" ref="N363:N380" si="109">M363/E363</f>
        <v>8.0877423054704009E-3</v>
      </c>
      <c r="O363" s="67" t="s">
        <v>27</v>
      </c>
    </row>
    <row r="364" spans="1:15" x14ac:dyDescent="0.3">
      <c r="A364" s="66" t="s">
        <v>29</v>
      </c>
      <c r="B364" s="67" t="s">
        <v>15</v>
      </c>
      <c r="C364" s="67" t="s">
        <v>16</v>
      </c>
      <c r="D364" s="68">
        <v>45006</v>
      </c>
      <c r="E364" s="69">
        <v>23188</v>
      </c>
      <c r="F364" s="70">
        <f t="shared" si="105"/>
        <v>0.99844747283077451</v>
      </c>
      <c r="G364" s="69">
        <v>36</v>
      </c>
      <c r="H364" s="69">
        <v>7985</v>
      </c>
      <c r="I364" s="70">
        <f t="shared" si="106"/>
        <v>0.34435915128514749</v>
      </c>
      <c r="J364" s="69">
        <v>245</v>
      </c>
      <c r="K364" s="70">
        <f t="shared" si="107"/>
        <v>1.056580990167328E-2</v>
      </c>
      <c r="L364" s="70">
        <f t="shared" si="108"/>
        <v>3.0682529743268627E-2</v>
      </c>
      <c r="M364" s="69">
        <v>12</v>
      </c>
      <c r="N364" s="70">
        <f t="shared" si="109"/>
        <v>5.1750905640848713E-4</v>
      </c>
      <c r="O364" s="67" t="s">
        <v>16</v>
      </c>
    </row>
    <row r="365" spans="1:15" x14ac:dyDescent="0.3">
      <c r="A365" s="66" t="s">
        <v>29</v>
      </c>
      <c r="B365" s="67" t="s">
        <v>18</v>
      </c>
      <c r="C365" s="67" t="s">
        <v>16</v>
      </c>
      <c r="D365" s="68">
        <v>45006</v>
      </c>
      <c r="E365" s="69">
        <v>25573</v>
      </c>
      <c r="F365" s="70">
        <f t="shared" si="105"/>
        <v>0.99870957650647163</v>
      </c>
      <c r="G365" s="69">
        <v>33</v>
      </c>
      <c r="H365" s="69">
        <v>9149</v>
      </c>
      <c r="I365" s="70">
        <f t="shared" si="106"/>
        <v>0.35776013764517262</v>
      </c>
      <c r="J365" s="69">
        <v>197</v>
      </c>
      <c r="K365" s="70">
        <f t="shared" si="107"/>
        <v>7.703437218941853E-3</v>
      </c>
      <c r="L365" s="70">
        <f t="shared" si="108"/>
        <v>2.1532407913433162E-2</v>
      </c>
      <c r="M365" s="69">
        <v>49</v>
      </c>
      <c r="N365" s="70">
        <f t="shared" si="109"/>
        <v>1.9160833691784303E-3</v>
      </c>
      <c r="O365" s="67" t="s">
        <v>16</v>
      </c>
    </row>
    <row r="366" spans="1:15" x14ac:dyDescent="0.3">
      <c r="A366" s="66" t="s">
        <v>17</v>
      </c>
      <c r="B366" s="67" t="s">
        <v>15</v>
      </c>
      <c r="C366" s="67" t="s">
        <v>16</v>
      </c>
      <c r="D366" s="68">
        <v>45006</v>
      </c>
      <c r="E366" s="69">
        <v>219716</v>
      </c>
      <c r="F366" s="70">
        <f t="shared" si="105"/>
        <v>0.99801106883431334</v>
      </c>
      <c r="G366" s="69">
        <v>437</v>
      </c>
      <c r="H366" s="69">
        <v>87660</v>
      </c>
      <c r="I366" s="70">
        <f t="shared" si="106"/>
        <v>0.3989695789109578</v>
      </c>
      <c r="J366" s="69">
        <v>1774</v>
      </c>
      <c r="K366" s="70">
        <f t="shared" si="107"/>
        <v>8.0740592401099594E-3</v>
      </c>
      <c r="L366" s="70">
        <f t="shared" si="108"/>
        <v>2.0237280401551448E-2</v>
      </c>
      <c r="M366" s="69">
        <v>144</v>
      </c>
      <c r="N366" s="70">
        <f t="shared" si="109"/>
        <v>6.5539150539787726E-4</v>
      </c>
      <c r="O366" s="67" t="s">
        <v>16</v>
      </c>
    </row>
    <row r="367" spans="1:15" x14ac:dyDescent="0.3">
      <c r="A367" s="66" t="s">
        <v>17</v>
      </c>
      <c r="B367" s="67" t="s">
        <v>18</v>
      </c>
      <c r="C367" s="67" t="s">
        <v>16</v>
      </c>
      <c r="D367" s="68">
        <v>45006</v>
      </c>
      <c r="E367" s="69">
        <v>434922</v>
      </c>
      <c r="F367" s="70">
        <f t="shared" si="105"/>
        <v>0.99830774253774235</v>
      </c>
      <c r="G367" s="69">
        <v>736</v>
      </c>
      <c r="H367" s="69">
        <v>186460</v>
      </c>
      <c r="I367" s="70">
        <f t="shared" si="106"/>
        <v>0.42872055219096755</v>
      </c>
      <c r="J367" s="69">
        <v>2533</v>
      </c>
      <c r="K367" s="70">
        <f t="shared" si="107"/>
        <v>5.8240328150794855E-3</v>
      </c>
      <c r="L367" s="70">
        <f t="shared" si="108"/>
        <v>1.3584683041939291E-2</v>
      </c>
      <c r="M367" s="69">
        <v>542</v>
      </c>
      <c r="N367" s="70">
        <f t="shared" si="109"/>
        <v>1.2462004681299175E-3</v>
      </c>
      <c r="O367" s="67" t="s">
        <v>16</v>
      </c>
    </row>
    <row r="368" spans="1:15" x14ac:dyDescent="0.3">
      <c r="A368" s="76" t="s">
        <v>222</v>
      </c>
      <c r="B368" s="67" t="s">
        <v>15</v>
      </c>
      <c r="C368" s="67" t="s">
        <v>16</v>
      </c>
      <c r="D368" s="68">
        <v>45007</v>
      </c>
      <c r="E368" s="69">
        <v>26113</v>
      </c>
      <c r="F368" s="70">
        <f t="shared" si="105"/>
        <v>0.99766399877455669</v>
      </c>
      <c r="G368" s="69">
        <v>61</v>
      </c>
      <c r="H368" s="69">
        <v>11634</v>
      </c>
      <c r="I368" s="70">
        <f t="shared" si="106"/>
        <v>0.44552521732470418</v>
      </c>
      <c r="J368" s="69">
        <v>338</v>
      </c>
      <c r="K368" s="70">
        <f t="shared" si="107"/>
        <v>1.294374449507908E-2</v>
      </c>
      <c r="L368" s="70">
        <f t="shared" si="108"/>
        <v>2.9052776345195118E-2</v>
      </c>
      <c r="M368" s="69">
        <v>6</v>
      </c>
      <c r="N368" s="70">
        <f t="shared" si="109"/>
        <v>2.2977061233868189E-4</v>
      </c>
      <c r="O368" s="67" t="s">
        <v>16</v>
      </c>
    </row>
    <row r="369" spans="1:15" x14ac:dyDescent="0.3">
      <c r="A369" s="76" t="s">
        <v>223</v>
      </c>
      <c r="B369" s="67" t="s">
        <v>15</v>
      </c>
      <c r="C369" s="67" t="s">
        <v>16</v>
      </c>
      <c r="D369" s="68">
        <v>45007</v>
      </c>
      <c r="E369" s="69">
        <v>26544</v>
      </c>
      <c r="F369" s="70">
        <f t="shared" si="105"/>
        <v>0.99807866184448468</v>
      </c>
      <c r="G369" s="69">
        <v>51</v>
      </c>
      <c r="H369" s="69">
        <v>11592</v>
      </c>
      <c r="I369" s="70">
        <f t="shared" si="106"/>
        <v>0.43670886075949367</v>
      </c>
      <c r="J369" s="69">
        <v>310</v>
      </c>
      <c r="K369" s="70">
        <f t="shared" si="107"/>
        <v>1.1678722121760096E-2</v>
      </c>
      <c r="L369" s="70">
        <f t="shared" si="108"/>
        <v>2.6742581090407176E-2</v>
      </c>
      <c r="M369" s="69">
        <v>6</v>
      </c>
      <c r="N369" s="70">
        <f t="shared" si="109"/>
        <v>2.2603978300180831E-4</v>
      </c>
      <c r="O369" s="67" t="s">
        <v>16</v>
      </c>
    </row>
    <row r="370" spans="1:15" x14ac:dyDescent="0.3">
      <c r="A370" s="76" t="s">
        <v>224</v>
      </c>
      <c r="B370" s="67" t="s">
        <v>15</v>
      </c>
      <c r="C370" s="67" t="s">
        <v>16</v>
      </c>
      <c r="D370" s="68">
        <v>45007</v>
      </c>
      <c r="E370" s="69">
        <v>50753</v>
      </c>
      <c r="F370" s="70">
        <f t="shared" si="105"/>
        <v>0.99802967312277102</v>
      </c>
      <c r="G370" s="69">
        <v>100</v>
      </c>
      <c r="H370" s="69">
        <v>21904</v>
      </c>
      <c r="I370" s="70">
        <f t="shared" si="106"/>
        <v>0.43158039918822533</v>
      </c>
      <c r="J370" s="69">
        <v>456</v>
      </c>
      <c r="K370" s="70">
        <f t="shared" si="107"/>
        <v>8.9846905601639309E-3</v>
      </c>
      <c r="L370" s="70">
        <f t="shared" si="108"/>
        <v>2.0818115412710007E-2</v>
      </c>
      <c r="M370" s="69">
        <v>16</v>
      </c>
      <c r="N370" s="70">
        <f t="shared" si="109"/>
        <v>3.1525230035662919E-4</v>
      </c>
      <c r="O370" s="67" t="s">
        <v>16</v>
      </c>
    </row>
    <row r="371" spans="1:15" x14ac:dyDescent="0.3">
      <c r="A371" s="66" t="s">
        <v>26</v>
      </c>
      <c r="B371" s="67"/>
      <c r="C371" s="67" t="s">
        <v>23</v>
      </c>
      <c r="D371" s="68">
        <v>45008</v>
      </c>
      <c r="E371" s="69">
        <v>1640</v>
      </c>
      <c r="F371" s="70">
        <f t="shared" si="105"/>
        <v>0.99878048780487805</v>
      </c>
      <c r="G371" s="69">
        <v>2</v>
      </c>
      <c r="H371" s="69">
        <v>585</v>
      </c>
      <c r="I371" s="70">
        <f t="shared" si="106"/>
        <v>0.35670731707317072</v>
      </c>
      <c r="J371" s="69">
        <v>13</v>
      </c>
      <c r="K371" s="70">
        <f t="shared" si="107"/>
        <v>7.926829268292683E-3</v>
      </c>
      <c r="L371" s="70">
        <f t="shared" si="108"/>
        <v>2.2222222222222223E-2</v>
      </c>
      <c r="M371" s="69">
        <v>0</v>
      </c>
      <c r="N371" s="70">
        <f t="shared" si="109"/>
        <v>0</v>
      </c>
      <c r="O371" s="67" t="s">
        <v>23</v>
      </c>
    </row>
    <row r="372" spans="1:15" x14ac:dyDescent="0.3">
      <c r="A372" s="76" t="s">
        <v>219</v>
      </c>
      <c r="B372" s="67" t="s">
        <v>15</v>
      </c>
      <c r="C372" s="67" t="s">
        <v>27</v>
      </c>
      <c r="D372" s="68">
        <v>45009</v>
      </c>
      <c r="E372" s="69">
        <v>26683</v>
      </c>
      <c r="F372" s="70">
        <f t="shared" si="105"/>
        <v>0.99835101000637105</v>
      </c>
      <c r="G372" s="69">
        <v>44</v>
      </c>
      <c r="H372" s="69">
        <v>9041</v>
      </c>
      <c r="I372" s="70">
        <f t="shared" si="106"/>
        <v>0.33882996664542969</v>
      </c>
      <c r="J372" s="69">
        <v>144</v>
      </c>
      <c r="K372" s="70">
        <f t="shared" si="107"/>
        <v>5.3966945246036804E-3</v>
      </c>
      <c r="L372" s="70">
        <f t="shared" si="108"/>
        <v>1.5927441654684217E-2</v>
      </c>
      <c r="M372" s="69">
        <v>95</v>
      </c>
      <c r="N372" s="70">
        <f t="shared" si="109"/>
        <v>3.5603193044260392E-3</v>
      </c>
      <c r="O372" s="67" t="s">
        <v>27</v>
      </c>
    </row>
    <row r="373" spans="1:15" x14ac:dyDescent="0.3">
      <c r="A373" s="76" t="s">
        <v>225</v>
      </c>
      <c r="B373" s="67" t="s">
        <v>15</v>
      </c>
      <c r="C373" s="67" t="s">
        <v>102</v>
      </c>
      <c r="D373" s="68">
        <v>45009</v>
      </c>
      <c r="E373" s="69">
        <v>33786</v>
      </c>
      <c r="F373" s="70">
        <f t="shared" si="105"/>
        <v>0.99813532232285562</v>
      </c>
      <c r="G373" s="69">
        <v>63</v>
      </c>
      <c r="H373" s="69">
        <v>18749</v>
      </c>
      <c r="I373" s="70">
        <f t="shared" si="106"/>
        <v>0.55493399632984075</v>
      </c>
      <c r="J373" s="69">
        <v>1036</v>
      </c>
      <c r="K373" s="70">
        <f t="shared" si="107"/>
        <v>3.0663588468596459E-2</v>
      </c>
      <c r="L373" s="70">
        <f t="shared" si="108"/>
        <v>5.5256280334951197E-2</v>
      </c>
      <c r="M373" s="69">
        <v>13</v>
      </c>
      <c r="N373" s="70">
        <f t="shared" si="109"/>
        <v>3.8477475877582429E-4</v>
      </c>
      <c r="O373" s="67" t="s">
        <v>102</v>
      </c>
    </row>
    <row r="374" spans="1:15" x14ac:dyDescent="0.3">
      <c r="A374" s="76" t="s">
        <v>225</v>
      </c>
      <c r="B374" s="67" t="s">
        <v>18</v>
      </c>
      <c r="C374" s="67" t="s">
        <v>102</v>
      </c>
      <c r="D374" s="68">
        <v>45009</v>
      </c>
      <c r="E374" s="69">
        <v>7716</v>
      </c>
      <c r="F374" s="70">
        <f t="shared" si="105"/>
        <v>0.99805598755832037</v>
      </c>
      <c r="G374" s="69">
        <v>15</v>
      </c>
      <c r="H374" s="69">
        <v>3986</v>
      </c>
      <c r="I374" s="70">
        <f t="shared" si="106"/>
        <v>0.51658890616899944</v>
      </c>
      <c r="J374" s="69">
        <v>244</v>
      </c>
      <c r="K374" s="70">
        <f t="shared" si="107"/>
        <v>3.1622602384655259E-2</v>
      </c>
      <c r="L374" s="70">
        <f t="shared" si="108"/>
        <v>6.1214249874560964E-2</v>
      </c>
      <c r="M374" s="69">
        <v>9</v>
      </c>
      <c r="N374" s="70">
        <f t="shared" si="109"/>
        <v>1.1664074650077762E-3</v>
      </c>
      <c r="O374" s="67" t="s">
        <v>102</v>
      </c>
    </row>
    <row r="375" spans="1:15" x14ac:dyDescent="0.3">
      <c r="A375" s="66" t="s">
        <v>33</v>
      </c>
      <c r="B375" s="67" t="s">
        <v>18</v>
      </c>
      <c r="C375" s="67" t="s">
        <v>21</v>
      </c>
      <c r="D375" s="68">
        <v>45009</v>
      </c>
      <c r="E375" s="69">
        <v>242534</v>
      </c>
      <c r="F375" s="70">
        <f t="shared" si="105"/>
        <v>0.9979136945747813</v>
      </c>
      <c r="G375" s="69">
        <v>506</v>
      </c>
      <c r="H375" s="69">
        <v>109145</v>
      </c>
      <c r="I375" s="70">
        <f t="shared" si="106"/>
        <v>0.45001937872628167</v>
      </c>
      <c r="J375" s="69">
        <v>1804</v>
      </c>
      <c r="K375" s="70">
        <f t="shared" si="107"/>
        <v>7.4381323855624362E-3</v>
      </c>
      <c r="L375" s="70">
        <f t="shared" si="108"/>
        <v>1.6528471299647258E-2</v>
      </c>
      <c r="M375" s="69">
        <v>253</v>
      </c>
      <c r="N375" s="70">
        <f t="shared" si="109"/>
        <v>1.0431527126093661E-3</v>
      </c>
      <c r="O375" s="67" t="s">
        <v>21</v>
      </c>
    </row>
    <row r="376" spans="1:15" x14ac:dyDescent="0.3">
      <c r="A376" s="66" t="s">
        <v>19</v>
      </c>
      <c r="B376" s="67" t="s">
        <v>18</v>
      </c>
      <c r="C376" s="67" t="s">
        <v>21</v>
      </c>
      <c r="D376" s="68">
        <v>45009</v>
      </c>
      <c r="E376" s="69">
        <v>332843</v>
      </c>
      <c r="F376" s="70">
        <f t="shared" si="105"/>
        <v>0.99724494731750402</v>
      </c>
      <c r="G376" s="69">
        <v>917</v>
      </c>
      <c r="H376" s="69">
        <v>121892</v>
      </c>
      <c r="I376" s="70">
        <f t="shared" si="106"/>
        <v>0.3662147018263866</v>
      </c>
      <c r="J376" s="69">
        <v>2295</v>
      </c>
      <c r="K376" s="70">
        <f t="shared" si="107"/>
        <v>6.8951427549925944E-3</v>
      </c>
      <c r="L376" s="70">
        <f t="shared" si="108"/>
        <v>1.8828142946214682E-2</v>
      </c>
      <c r="M376" s="69">
        <v>358</v>
      </c>
      <c r="N376" s="70">
        <f t="shared" si="109"/>
        <v>1.0755821813888229E-3</v>
      </c>
      <c r="O376" s="67" t="s">
        <v>21</v>
      </c>
    </row>
    <row r="377" spans="1:15" x14ac:dyDescent="0.3">
      <c r="A377" s="66" t="s">
        <v>28</v>
      </c>
      <c r="B377" s="67" t="s">
        <v>15</v>
      </c>
      <c r="C377" s="67" t="s">
        <v>16</v>
      </c>
      <c r="D377" s="68">
        <v>45009</v>
      </c>
      <c r="E377" s="69">
        <v>106493</v>
      </c>
      <c r="F377" s="70">
        <f t="shared" si="105"/>
        <v>0.99699510765965837</v>
      </c>
      <c r="G377" s="69">
        <v>320</v>
      </c>
      <c r="H377" s="69">
        <v>32923</v>
      </c>
      <c r="I377" s="70">
        <f t="shared" si="106"/>
        <v>0.30915647037833471</v>
      </c>
      <c r="J377" s="69">
        <v>888</v>
      </c>
      <c r="K377" s="70">
        <f t="shared" si="107"/>
        <v>8.3385762444479917E-3</v>
      </c>
      <c r="L377" s="70">
        <f t="shared" si="108"/>
        <v>2.6972025635573917E-2</v>
      </c>
      <c r="M377" s="69">
        <v>47</v>
      </c>
      <c r="N377" s="70">
        <f t="shared" si="109"/>
        <v>4.4134356248767527E-4</v>
      </c>
      <c r="O377" s="67" t="s">
        <v>16</v>
      </c>
    </row>
    <row r="378" spans="1:15" x14ac:dyDescent="0.3">
      <c r="A378" s="66" t="s">
        <v>28</v>
      </c>
      <c r="B378" s="67" t="s">
        <v>18</v>
      </c>
      <c r="C378" s="67" t="s">
        <v>16</v>
      </c>
      <c r="D378" s="68">
        <v>45009</v>
      </c>
      <c r="E378" s="69">
        <v>203693</v>
      </c>
      <c r="F378" s="70">
        <f t="shared" si="105"/>
        <v>0.99774660886726596</v>
      </c>
      <c r="G378" s="69">
        <v>459</v>
      </c>
      <c r="H378" s="69">
        <v>61715</v>
      </c>
      <c r="I378" s="70">
        <f t="shared" si="106"/>
        <v>0.30298046570083409</v>
      </c>
      <c r="J378" s="69">
        <v>1427</v>
      </c>
      <c r="K378" s="70">
        <f t="shared" si="107"/>
        <v>7.0056408418551451E-3</v>
      </c>
      <c r="L378" s="70">
        <f t="shared" si="108"/>
        <v>2.312241756461152E-2</v>
      </c>
      <c r="M378" s="69">
        <v>457</v>
      </c>
      <c r="N378" s="70">
        <f t="shared" si="109"/>
        <v>2.2435724349879477E-3</v>
      </c>
      <c r="O378" s="67" t="s">
        <v>16</v>
      </c>
    </row>
    <row r="379" spans="1:15" x14ac:dyDescent="0.3">
      <c r="A379" s="66" t="s">
        <v>22</v>
      </c>
      <c r="B379" s="67" t="s">
        <v>15</v>
      </c>
      <c r="C379" s="67" t="s">
        <v>16</v>
      </c>
      <c r="D379" s="68">
        <v>45009</v>
      </c>
      <c r="E379" s="69">
        <v>1666806</v>
      </c>
      <c r="F379" s="70">
        <f t="shared" si="105"/>
        <v>0.99701704937467228</v>
      </c>
      <c r="G379" s="69">
        <v>4972</v>
      </c>
      <c r="H379" s="69">
        <v>607779</v>
      </c>
      <c r="I379" s="70">
        <f t="shared" si="106"/>
        <v>0.36463691635379281</v>
      </c>
      <c r="J379" s="69">
        <v>10543</v>
      </c>
      <c r="K379" s="70">
        <f t="shared" si="107"/>
        <v>6.3252712073270673E-3</v>
      </c>
      <c r="L379" s="70">
        <f t="shared" si="108"/>
        <v>1.7346765847454419E-2</v>
      </c>
      <c r="M379" s="69">
        <v>1458</v>
      </c>
      <c r="N379" s="70">
        <f t="shared" si="109"/>
        <v>8.7472687283343111E-4</v>
      </c>
      <c r="O379" s="67" t="s">
        <v>16</v>
      </c>
    </row>
    <row r="380" spans="1:15" x14ac:dyDescent="0.3">
      <c r="A380" s="66" t="s">
        <v>22</v>
      </c>
      <c r="B380" s="67" t="s">
        <v>18</v>
      </c>
      <c r="C380" s="67" t="s">
        <v>16</v>
      </c>
      <c r="D380" s="68">
        <v>45009</v>
      </c>
      <c r="E380" s="69">
        <v>2221901</v>
      </c>
      <c r="F380" s="70">
        <f t="shared" si="105"/>
        <v>0.99750033867395527</v>
      </c>
      <c r="G380" s="69">
        <v>5554</v>
      </c>
      <c r="H380" s="69">
        <v>761823</v>
      </c>
      <c r="I380" s="70">
        <f t="shared" si="106"/>
        <v>0.34286991184575732</v>
      </c>
      <c r="J380" s="69">
        <v>12121</v>
      </c>
      <c r="K380" s="70">
        <f t="shared" si="107"/>
        <v>5.455238554733087E-3</v>
      </c>
      <c r="L380" s="70">
        <f t="shared" si="108"/>
        <v>1.5910519897666519E-2</v>
      </c>
      <c r="M380" s="69">
        <v>3613</v>
      </c>
      <c r="N380" s="70">
        <f t="shared" si="109"/>
        <v>1.6260850505940634E-3</v>
      </c>
      <c r="O380" s="67" t="s">
        <v>16</v>
      </c>
    </row>
    <row r="381" spans="1:15" x14ac:dyDescent="0.3">
      <c r="A381" s="76" t="s">
        <v>226</v>
      </c>
      <c r="B381" s="67" t="s">
        <v>15</v>
      </c>
      <c r="C381" s="67" t="s">
        <v>102</v>
      </c>
      <c r="D381" s="68">
        <v>45012</v>
      </c>
      <c r="E381" s="69">
        <v>20759</v>
      </c>
      <c r="F381" s="70">
        <f t="shared" ref="F381:F411" si="110">(E381-G381)/E381</f>
        <v>0.99841032805048413</v>
      </c>
      <c r="G381" s="69">
        <v>33</v>
      </c>
      <c r="H381" s="69">
        <v>11538</v>
      </c>
      <c r="I381" s="70">
        <f t="shared" ref="I381:I411" si="111">H381/E381</f>
        <v>0.55580711980345876</v>
      </c>
      <c r="J381" s="69">
        <v>392</v>
      </c>
      <c r="K381" s="70">
        <f t="shared" ref="K381:K411" si="112">J381/E381</f>
        <v>1.8883375885158246E-2</v>
      </c>
      <c r="L381" s="70">
        <f t="shared" ref="L381:L411" si="113">J381/H381</f>
        <v>3.3974692321026172E-2</v>
      </c>
      <c r="M381" s="69">
        <v>8</v>
      </c>
      <c r="N381" s="70">
        <f t="shared" ref="N381:N411" si="114">M381/E381</f>
        <v>3.8537501806445399E-4</v>
      </c>
      <c r="O381" s="67" t="s">
        <v>102</v>
      </c>
    </row>
    <row r="382" spans="1:15" x14ac:dyDescent="0.3">
      <c r="A382" s="76" t="s">
        <v>226</v>
      </c>
      <c r="B382" s="67" t="s">
        <v>18</v>
      </c>
      <c r="C382" s="67" t="s">
        <v>102</v>
      </c>
      <c r="D382" s="68">
        <v>45012</v>
      </c>
      <c r="E382" s="69">
        <v>4891</v>
      </c>
      <c r="F382" s="70">
        <f t="shared" si="110"/>
        <v>0.99693314250664489</v>
      </c>
      <c r="G382" s="69">
        <v>15</v>
      </c>
      <c r="H382" s="69">
        <v>2550</v>
      </c>
      <c r="I382" s="70">
        <f t="shared" si="111"/>
        <v>0.52136577387037419</v>
      </c>
      <c r="J382" s="69">
        <v>105</v>
      </c>
      <c r="K382" s="70">
        <f t="shared" si="112"/>
        <v>2.1468002453485995E-2</v>
      </c>
      <c r="L382" s="70">
        <f t="shared" si="113"/>
        <v>4.1176470588235294E-2</v>
      </c>
      <c r="M382" s="69">
        <v>7</v>
      </c>
      <c r="N382" s="70">
        <f t="shared" si="114"/>
        <v>1.4312001635657329E-3</v>
      </c>
      <c r="O382" s="67" t="s">
        <v>102</v>
      </c>
    </row>
    <row r="383" spans="1:15" x14ac:dyDescent="0.3">
      <c r="A383" s="76" t="s">
        <v>227</v>
      </c>
      <c r="B383" s="67" t="s">
        <v>15</v>
      </c>
      <c r="C383" s="67" t="s">
        <v>16</v>
      </c>
      <c r="D383" s="68">
        <v>45012</v>
      </c>
      <c r="E383" s="69">
        <v>90553</v>
      </c>
      <c r="F383" s="70">
        <f t="shared" si="110"/>
        <v>0.997780305456473</v>
      </c>
      <c r="G383" s="69">
        <v>201</v>
      </c>
      <c r="H383" s="69">
        <v>32038</v>
      </c>
      <c r="I383" s="70">
        <f t="shared" si="111"/>
        <v>0.35380384967919343</v>
      </c>
      <c r="J383" s="69">
        <v>517</v>
      </c>
      <c r="K383" s="70">
        <f t="shared" si="112"/>
        <v>5.7093635771316249E-3</v>
      </c>
      <c r="L383" s="70">
        <f t="shared" si="113"/>
        <v>1.6137087208939385E-2</v>
      </c>
      <c r="M383" s="69">
        <v>100</v>
      </c>
      <c r="N383" s="70">
        <f t="shared" si="114"/>
        <v>1.1043256435457687E-3</v>
      </c>
      <c r="O383" s="67" t="s">
        <v>16</v>
      </c>
    </row>
    <row r="384" spans="1:15" x14ac:dyDescent="0.3">
      <c r="A384" s="76" t="s">
        <v>236</v>
      </c>
      <c r="B384" s="67" t="s">
        <v>15</v>
      </c>
      <c r="C384" s="67" t="s">
        <v>16</v>
      </c>
      <c r="D384" s="68">
        <v>45013</v>
      </c>
      <c r="E384" s="69">
        <v>90667</v>
      </c>
      <c r="F384" s="70">
        <f t="shared" si="110"/>
        <v>0.9973529509082687</v>
      </c>
      <c r="G384" s="69">
        <v>240</v>
      </c>
      <c r="H384" s="69">
        <v>32002</v>
      </c>
      <c r="I384" s="70">
        <f t="shared" si="111"/>
        <v>0.35296193763993516</v>
      </c>
      <c r="J384" s="69">
        <v>434</v>
      </c>
      <c r="K384" s="70">
        <f t="shared" si="112"/>
        <v>4.786747107547399E-3</v>
      </c>
      <c r="L384" s="70">
        <f t="shared" si="113"/>
        <v>1.3561652396725205E-2</v>
      </c>
      <c r="M384" s="69">
        <v>71</v>
      </c>
      <c r="N384" s="70">
        <f t="shared" si="114"/>
        <v>7.8308535630383712E-4</v>
      </c>
      <c r="O384" s="67" t="s">
        <v>16</v>
      </c>
    </row>
    <row r="385" spans="1:15" x14ac:dyDescent="0.3">
      <c r="A385" s="66" t="s">
        <v>29</v>
      </c>
      <c r="B385" s="67" t="s">
        <v>15</v>
      </c>
      <c r="C385" s="67" t="s">
        <v>16</v>
      </c>
      <c r="D385" s="68">
        <v>45013</v>
      </c>
      <c r="E385" s="69">
        <v>25783</v>
      </c>
      <c r="F385" s="70">
        <f t="shared" si="110"/>
        <v>0.99658689834387004</v>
      </c>
      <c r="G385" s="69">
        <v>88</v>
      </c>
      <c r="H385" s="69">
        <v>9075</v>
      </c>
      <c r="I385" s="70">
        <f t="shared" si="111"/>
        <v>0.35197610828840709</v>
      </c>
      <c r="J385" s="69">
        <v>341</v>
      </c>
      <c r="K385" s="70">
        <f t="shared" si="112"/>
        <v>1.3225768917503782E-2</v>
      </c>
      <c r="L385" s="70">
        <f t="shared" si="113"/>
        <v>3.7575757575757575E-2</v>
      </c>
      <c r="M385" s="69">
        <v>14</v>
      </c>
      <c r="N385" s="70">
        <f t="shared" si="114"/>
        <v>5.429934452934104E-4</v>
      </c>
      <c r="O385" s="67" t="s">
        <v>16</v>
      </c>
    </row>
    <row r="386" spans="1:15" x14ac:dyDescent="0.3">
      <c r="A386" s="66" t="s">
        <v>29</v>
      </c>
      <c r="B386" s="67" t="s">
        <v>18</v>
      </c>
      <c r="C386" s="67" t="s">
        <v>16</v>
      </c>
      <c r="D386" s="68">
        <v>45013</v>
      </c>
      <c r="E386" s="69">
        <v>26525</v>
      </c>
      <c r="F386" s="70">
        <f t="shared" si="110"/>
        <v>0.99841658812441092</v>
      </c>
      <c r="G386" s="69">
        <v>42</v>
      </c>
      <c r="H386" s="69">
        <v>9541</v>
      </c>
      <c r="I386" s="70">
        <f t="shared" si="111"/>
        <v>0.35969839773798301</v>
      </c>
      <c r="J386" s="69">
        <v>255</v>
      </c>
      <c r="K386" s="70">
        <f t="shared" si="112"/>
        <v>9.6135721017907641E-3</v>
      </c>
      <c r="L386" s="70">
        <f t="shared" si="113"/>
        <v>2.6726758201446391E-2</v>
      </c>
      <c r="M386" s="69">
        <v>34</v>
      </c>
      <c r="N386" s="70">
        <f t="shared" si="114"/>
        <v>1.2818096135721018E-3</v>
      </c>
      <c r="O386" s="67" t="s">
        <v>16</v>
      </c>
    </row>
    <row r="387" spans="1:15" x14ac:dyDescent="0.3">
      <c r="A387" s="66" t="s">
        <v>17</v>
      </c>
      <c r="B387" s="67" t="s">
        <v>15</v>
      </c>
      <c r="C387" s="67" t="s">
        <v>16</v>
      </c>
      <c r="D387" s="68">
        <v>45013</v>
      </c>
      <c r="E387" s="69">
        <v>225120</v>
      </c>
      <c r="F387" s="70">
        <f t="shared" si="110"/>
        <v>0.99740138592750538</v>
      </c>
      <c r="G387" s="69">
        <v>585</v>
      </c>
      <c r="H387" s="69">
        <v>82855</v>
      </c>
      <c r="I387" s="70">
        <f t="shared" si="111"/>
        <v>0.36804815209665959</v>
      </c>
      <c r="J387" s="69">
        <v>1732</v>
      </c>
      <c r="K387" s="70">
        <f t="shared" si="112"/>
        <v>7.6936744847192606E-3</v>
      </c>
      <c r="L387" s="70">
        <f t="shared" si="113"/>
        <v>2.0903988896264557E-2</v>
      </c>
      <c r="M387" s="69">
        <v>117</v>
      </c>
      <c r="N387" s="70">
        <f t="shared" si="114"/>
        <v>5.1972281449893392E-4</v>
      </c>
      <c r="O387" s="67" t="s">
        <v>16</v>
      </c>
    </row>
    <row r="388" spans="1:15" x14ac:dyDescent="0.3">
      <c r="A388" s="66" t="s">
        <v>17</v>
      </c>
      <c r="B388" s="67" t="s">
        <v>18</v>
      </c>
      <c r="C388" s="67" t="s">
        <v>16</v>
      </c>
      <c r="D388" s="68">
        <v>45013</v>
      </c>
      <c r="E388" s="69">
        <v>440828</v>
      </c>
      <c r="F388" s="70">
        <f t="shared" si="110"/>
        <v>0.9980173673178655</v>
      </c>
      <c r="G388" s="69">
        <v>874</v>
      </c>
      <c r="H388" s="69">
        <v>165876</v>
      </c>
      <c r="I388" s="70">
        <f t="shared" si="111"/>
        <v>0.37628281325142687</v>
      </c>
      <c r="J388" s="69">
        <v>2331</v>
      </c>
      <c r="K388" s="70">
        <f t="shared" si="112"/>
        <v>5.287776638507536E-3</v>
      </c>
      <c r="L388" s="70">
        <f t="shared" si="113"/>
        <v>1.4052665846777111E-2</v>
      </c>
      <c r="M388" s="69">
        <v>441</v>
      </c>
      <c r="N388" s="70">
        <f t="shared" si="114"/>
        <v>1.0003901748527771E-3</v>
      </c>
      <c r="O388" s="67" t="s">
        <v>16</v>
      </c>
    </row>
    <row r="389" spans="1:15" x14ac:dyDescent="0.3">
      <c r="A389" s="76" t="s">
        <v>32</v>
      </c>
      <c r="B389" s="67"/>
      <c r="C389" s="67" t="s">
        <v>23</v>
      </c>
      <c r="D389" s="68">
        <v>45014</v>
      </c>
      <c r="E389" s="69">
        <v>287</v>
      </c>
      <c r="F389" s="70">
        <f t="shared" si="110"/>
        <v>1</v>
      </c>
      <c r="G389" s="69">
        <v>0</v>
      </c>
      <c r="H389" s="69">
        <v>95</v>
      </c>
      <c r="I389" s="70">
        <f t="shared" si="111"/>
        <v>0.33101045296167247</v>
      </c>
      <c r="J389" s="69">
        <v>6</v>
      </c>
      <c r="K389" s="70">
        <f t="shared" si="112"/>
        <v>2.0905923344947737E-2</v>
      </c>
      <c r="L389" s="70">
        <f t="shared" si="113"/>
        <v>6.3157894736842107E-2</v>
      </c>
      <c r="M389" s="69">
        <v>0</v>
      </c>
      <c r="N389" s="70">
        <f t="shared" si="114"/>
        <v>0</v>
      </c>
      <c r="O389" s="67" t="s">
        <v>23</v>
      </c>
    </row>
    <row r="390" spans="1:15" x14ac:dyDescent="0.3">
      <c r="A390" s="76" t="s">
        <v>228</v>
      </c>
      <c r="B390" s="67" t="s">
        <v>15</v>
      </c>
      <c r="C390" s="67" t="s">
        <v>27</v>
      </c>
      <c r="D390" s="68">
        <v>45014</v>
      </c>
      <c r="E390" s="69">
        <v>12558</v>
      </c>
      <c r="F390" s="70">
        <f t="shared" si="110"/>
        <v>0.99665551839464883</v>
      </c>
      <c r="G390" s="69">
        <v>42</v>
      </c>
      <c r="H390" s="69">
        <v>4008</v>
      </c>
      <c r="I390" s="70">
        <f t="shared" si="111"/>
        <v>0.31915910176779744</v>
      </c>
      <c r="J390" s="69">
        <v>72</v>
      </c>
      <c r="K390" s="70">
        <f t="shared" si="112"/>
        <v>5.733397037744864E-3</v>
      </c>
      <c r="L390" s="70">
        <f t="shared" si="113"/>
        <v>1.7964071856287425E-2</v>
      </c>
      <c r="M390" s="69">
        <v>52</v>
      </c>
      <c r="N390" s="70">
        <f t="shared" si="114"/>
        <v>4.140786749482402E-3</v>
      </c>
      <c r="O390" s="67" t="s">
        <v>27</v>
      </c>
    </row>
    <row r="391" spans="1:15" x14ac:dyDescent="0.3">
      <c r="A391" s="76" t="s">
        <v>229</v>
      </c>
      <c r="B391" s="67" t="s">
        <v>15</v>
      </c>
      <c r="C391" s="67" t="s">
        <v>27</v>
      </c>
      <c r="D391" s="68">
        <v>45014</v>
      </c>
      <c r="E391" s="69">
        <v>15880</v>
      </c>
      <c r="F391" s="70">
        <f t="shared" si="110"/>
        <v>0.99798488664987406</v>
      </c>
      <c r="G391" s="69">
        <v>32</v>
      </c>
      <c r="H391" s="69">
        <v>5263</v>
      </c>
      <c r="I391" s="70">
        <f t="shared" si="111"/>
        <v>0.33142317380352643</v>
      </c>
      <c r="J391" s="69">
        <v>109</v>
      </c>
      <c r="K391" s="70">
        <f t="shared" si="112"/>
        <v>6.8639798488664989E-3</v>
      </c>
      <c r="L391" s="70">
        <f t="shared" si="113"/>
        <v>2.0710621318639558E-2</v>
      </c>
      <c r="M391" s="69">
        <v>58</v>
      </c>
      <c r="N391" s="70">
        <f t="shared" si="114"/>
        <v>3.6523929471032747E-3</v>
      </c>
      <c r="O391" s="67" t="s">
        <v>27</v>
      </c>
    </row>
    <row r="392" spans="1:15" x14ac:dyDescent="0.3">
      <c r="A392" s="76" t="s">
        <v>230</v>
      </c>
      <c r="B392" s="67" t="s">
        <v>15</v>
      </c>
      <c r="C392" s="67" t="s">
        <v>27</v>
      </c>
      <c r="D392" s="68">
        <v>45014</v>
      </c>
      <c r="E392" s="69">
        <v>28849</v>
      </c>
      <c r="F392" s="70">
        <f t="shared" si="110"/>
        <v>0.99584041041283922</v>
      </c>
      <c r="G392" s="69">
        <v>120</v>
      </c>
      <c r="H392" s="69">
        <v>8828</v>
      </c>
      <c r="I392" s="70">
        <f t="shared" si="111"/>
        <v>0.30600714062879131</v>
      </c>
      <c r="J392" s="69">
        <v>176</v>
      </c>
      <c r="K392" s="70">
        <f t="shared" si="112"/>
        <v>6.1007313945024089E-3</v>
      </c>
      <c r="L392" s="70">
        <f t="shared" si="113"/>
        <v>1.9936565473493428E-2</v>
      </c>
      <c r="M392" s="69">
        <v>141</v>
      </c>
      <c r="N392" s="70">
        <f t="shared" si="114"/>
        <v>4.8875177649138615E-3</v>
      </c>
      <c r="O392" s="67" t="s">
        <v>27</v>
      </c>
    </row>
    <row r="393" spans="1:15" x14ac:dyDescent="0.3">
      <c r="A393" s="76" t="s">
        <v>231</v>
      </c>
      <c r="B393" s="67" t="s">
        <v>15</v>
      </c>
      <c r="C393" s="67" t="s">
        <v>27</v>
      </c>
      <c r="D393" s="68">
        <v>45014</v>
      </c>
      <c r="E393" s="69">
        <v>246346</v>
      </c>
      <c r="F393" s="70">
        <f t="shared" si="110"/>
        <v>0.99771053721188896</v>
      </c>
      <c r="G393" s="69">
        <v>564</v>
      </c>
      <c r="H393" s="69">
        <v>90136</v>
      </c>
      <c r="I393" s="70">
        <f t="shared" si="111"/>
        <v>0.36589187565456716</v>
      </c>
      <c r="J393" s="69">
        <v>1605</v>
      </c>
      <c r="K393" s="70">
        <f t="shared" si="112"/>
        <v>6.5152265512734122E-3</v>
      </c>
      <c r="L393" s="70">
        <f t="shared" si="113"/>
        <v>1.780642584538919E-2</v>
      </c>
      <c r="M393" s="69">
        <v>1263</v>
      </c>
      <c r="N393" s="70">
        <f t="shared" si="114"/>
        <v>5.1269352861422549E-3</v>
      </c>
      <c r="O393" s="67" t="s">
        <v>27</v>
      </c>
    </row>
    <row r="394" spans="1:15" x14ac:dyDescent="0.3">
      <c r="A394" s="76" t="s">
        <v>232</v>
      </c>
      <c r="B394" s="67"/>
      <c r="C394" s="67" t="s">
        <v>98</v>
      </c>
      <c r="D394" s="68">
        <v>45015</v>
      </c>
      <c r="E394" s="69">
        <v>3513</v>
      </c>
      <c r="F394" s="70">
        <f t="shared" si="110"/>
        <v>0.98007401081696555</v>
      </c>
      <c r="G394" s="69">
        <v>70</v>
      </c>
      <c r="H394" s="69">
        <v>447</v>
      </c>
      <c r="I394" s="70">
        <f t="shared" si="111"/>
        <v>0.12724167378309137</v>
      </c>
      <c r="J394" s="69">
        <v>107</v>
      </c>
      <c r="K394" s="70">
        <f t="shared" si="112"/>
        <v>3.0458297751209791E-2</v>
      </c>
      <c r="L394" s="70">
        <f t="shared" si="113"/>
        <v>0.23937360178970918</v>
      </c>
      <c r="M394" s="69">
        <v>64</v>
      </c>
      <c r="N394" s="70">
        <f t="shared" si="114"/>
        <v>1.8218047253060064E-2</v>
      </c>
      <c r="O394" s="67" t="s">
        <v>98</v>
      </c>
    </row>
    <row r="395" spans="1:15" x14ac:dyDescent="0.3">
      <c r="A395" s="76" t="s">
        <v>233</v>
      </c>
      <c r="B395" s="67"/>
      <c r="C395" s="67" t="s">
        <v>98</v>
      </c>
      <c r="D395" s="68">
        <v>45015</v>
      </c>
      <c r="E395" s="69">
        <v>14099</v>
      </c>
      <c r="F395" s="70">
        <f t="shared" si="110"/>
        <v>0.96808284275480527</v>
      </c>
      <c r="G395" s="69">
        <v>450</v>
      </c>
      <c r="H395" s="69">
        <v>3304</v>
      </c>
      <c r="I395" s="70">
        <f t="shared" si="111"/>
        <v>0.2343428611958295</v>
      </c>
      <c r="J395" s="69">
        <v>661</v>
      </c>
      <c r="K395" s="70">
        <f t="shared" si="112"/>
        <v>4.6882757642385982E-2</v>
      </c>
      <c r="L395" s="70">
        <f t="shared" si="113"/>
        <v>0.20006053268765134</v>
      </c>
      <c r="M395" s="69">
        <v>154</v>
      </c>
      <c r="N395" s="70">
        <f t="shared" si="114"/>
        <v>1.092276047946663E-2</v>
      </c>
      <c r="O395" s="67" t="s">
        <v>98</v>
      </c>
    </row>
    <row r="396" spans="1:15" x14ac:dyDescent="0.3">
      <c r="A396" s="76" t="s">
        <v>234</v>
      </c>
      <c r="B396" s="67" t="s">
        <v>15</v>
      </c>
      <c r="C396" s="67" t="s">
        <v>16</v>
      </c>
      <c r="D396" s="68">
        <v>45015</v>
      </c>
      <c r="E396" s="69">
        <v>1023840</v>
      </c>
      <c r="F396" s="70">
        <f t="shared" si="110"/>
        <v>0.99733356774496018</v>
      </c>
      <c r="G396" s="69">
        <v>2730</v>
      </c>
      <c r="H396" s="69">
        <v>443119</v>
      </c>
      <c r="I396" s="70">
        <f t="shared" si="111"/>
        <v>0.43280102359743711</v>
      </c>
      <c r="J396" s="69">
        <v>4865</v>
      </c>
      <c r="K396" s="70">
        <f t="shared" si="112"/>
        <v>4.7517190185966561E-3</v>
      </c>
      <c r="L396" s="70">
        <f t="shared" si="113"/>
        <v>1.0978992099187802E-2</v>
      </c>
      <c r="M396" s="69">
        <v>960</v>
      </c>
      <c r="N396" s="70">
        <f t="shared" si="114"/>
        <v>9.3764650726676048E-4</v>
      </c>
      <c r="O396" s="67" t="s">
        <v>16</v>
      </c>
    </row>
    <row r="397" spans="1:15" x14ac:dyDescent="0.3">
      <c r="A397" s="66" t="s">
        <v>26</v>
      </c>
      <c r="B397" s="67"/>
      <c r="C397" s="67" t="s">
        <v>23</v>
      </c>
      <c r="D397" s="68">
        <v>45015</v>
      </c>
      <c r="E397" s="69">
        <v>1631</v>
      </c>
      <c r="F397" s="70">
        <f t="shared" si="110"/>
        <v>0.99816063764561613</v>
      </c>
      <c r="G397" s="69">
        <v>3</v>
      </c>
      <c r="H397" s="69">
        <v>615</v>
      </c>
      <c r="I397" s="70">
        <f t="shared" si="111"/>
        <v>0.37706928264868178</v>
      </c>
      <c r="J397" s="69">
        <v>23</v>
      </c>
      <c r="K397" s="70">
        <f t="shared" si="112"/>
        <v>1.4101778050275904E-2</v>
      </c>
      <c r="L397" s="70">
        <f t="shared" si="113"/>
        <v>3.7398373983739838E-2</v>
      </c>
      <c r="M397" s="69">
        <v>0</v>
      </c>
      <c r="N397" s="70">
        <f t="shared" si="114"/>
        <v>0</v>
      </c>
      <c r="O397" s="67" t="s">
        <v>23</v>
      </c>
    </row>
    <row r="398" spans="1:15" x14ac:dyDescent="0.3">
      <c r="A398" s="66" t="s">
        <v>28</v>
      </c>
      <c r="B398" s="67" t="s">
        <v>15</v>
      </c>
      <c r="C398" s="67" t="s">
        <v>16</v>
      </c>
      <c r="D398" s="68">
        <v>45016</v>
      </c>
      <c r="E398" s="69">
        <v>104288</v>
      </c>
      <c r="F398" s="70">
        <f t="shared" si="110"/>
        <v>0.99554119361767412</v>
      </c>
      <c r="G398" s="69">
        <v>465</v>
      </c>
      <c r="H398" s="69">
        <v>32278</v>
      </c>
      <c r="I398" s="70">
        <f t="shared" si="111"/>
        <v>0.30950828474992331</v>
      </c>
      <c r="J398" s="69">
        <v>708</v>
      </c>
      <c r="K398" s="70">
        <f t="shared" si="112"/>
        <v>6.7888922982509972E-3</v>
      </c>
      <c r="L398" s="70">
        <f t="shared" si="113"/>
        <v>2.1934444513290786E-2</v>
      </c>
      <c r="M398" s="69">
        <v>56</v>
      </c>
      <c r="N398" s="70">
        <f t="shared" si="114"/>
        <v>5.3697453206505061E-4</v>
      </c>
      <c r="O398" s="67" t="s">
        <v>16</v>
      </c>
    </row>
    <row r="399" spans="1:15" x14ac:dyDescent="0.3">
      <c r="A399" s="66" t="s">
        <v>28</v>
      </c>
      <c r="B399" s="67" t="s">
        <v>18</v>
      </c>
      <c r="C399" s="67" t="s">
        <v>16</v>
      </c>
      <c r="D399" s="68">
        <v>45016</v>
      </c>
      <c r="E399" s="69">
        <v>203955</v>
      </c>
      <c r="F399" s="70">
        <f t="shared" si="110"/>
        <v>0.99638645779706303</v>
      </c>
      <c r="G399" s="69">
        <v>737</v>
      </c>
      <c r="H399" s="69">
        <v>63325</v>
      </c>
      <c r="I399" s="70">
        <f t="shared" si="111"/>
        <v>0.31048515603932242</v>
      </c>
      <c r="J399" s="69">
        <v>1172</v>
      </c>
      <c r="K399" s="70">
        <f t="shared" si="112"/>
        <v>5.7463656198671279E-3</v>
      </c>
      <c r="L399" s="70">
        <f t="shared" si="113"/>
        <v>1.850769838136597E-2</v>
      </c>
      <c r="M399" s="69">
        <v>397</v>
      </c>
      <c r="N399" s="70">
        <f t="shared" si="114"/>
        <v>1.9465078080949229E-3</v>
      </c>
      <c r="O399" s="67" t="s">
        <v>16</v>
      </c>
    </row>
    <row r="400" spans="1:15" x14ac:dyDescent="0.3">
      <c r="A400" s="66" t="s">
        <v>22</v>
      </c>
      <c r="B400" s="67" t="s">
        <v>15</v>
      </c>
      <c r="C400" s="67" t="s">
        <v>16</v>
      </c>
      <c r="D400" s="68">
        <v>45016</v>
      </c>
      <c r="E400" s="69">
        <v>1832170</v>
      </c>
      <c r="F400" s="70">
        <f t="shared" si="110"/>
        <v>0.99662040094532711</v>
      </c>
      <c r="G400" s="69">
        <v>6192</v>
      </c>
      <c r="H400" s="69">
        <v>648690</v>
      </c>
      <c r="I400" s="70">
        <f t="shared" si="111"/>
        <v>0.35405557344569555</v>
      </c>
      <c r="J400" s="69">
        <v>9783</v>
      </c>
      <c r="K400" s="70">
        <f t="shared" si="112"/>
        <v>5.3395700180660088E-3</v>
      </c>
      <c r="L400" s="70">
        <f t="shared" si="113"/>
        <v>1.5081163575822041E-2</v>
      </c>
      <c r="M400" s="69">
        <v>1579</v>
      </c>
      <c r="N400" s="70">
        <f t="shared" si="114"/>
        <v>8.6181959097681989E-4</v>
      </c>
      <c r="O400" s="67" t="s">
        <v>16</v>
      </c>
    </row>
    <row r="401" spans="1:15" x14ac:dyDescent="0.3">
      <c r="A401" s="66" t="s">
        <v>22</v>
      </c>
      <c r="B401" s="67" t="s">
        <v>18</v>
      </c>
      <c r="C401" s="67" t="s">
        <v>16</v>
      </c>
      <c r="D401" s="68">
        <v>45016</v>
      </c>
      <c r="E401" s="69">
        <v>2233662</v>
      </c>
      <c r="F401" s="70">
        <f t="shared" si="110"/>
        <v>0.996934182521796</v>
      </c>
      <c r="G401" s="69">
        <v>6848</v>
      </c>
      <c r="H401" s="69">
        <v>765579</v>
      </c>
      <c r="I401" s="70">
        <f t="shared" si="111"/>
        <v>0.34274612721172676</v>
      </c>
      <c r="J401" s="69">
        <v>11408</v>
      </c>
      <c r="K401" s="70">
        <f t="shared" si="112"/>
        <v>5.1073080886902319E-3</v>
      </c>
      <c r="L401" s="70">
        <f t="shared" si="113"/>
        <v>1.4901140182789758E-2</v>
      </c>
      <c r="M401" s="69">
        <v>3808</v>
      </c>
      <c r="N401" s="70">
        <f t="shared" si="114"/>
        <v>1.7048237378797688E-3</v>
      </c>
      <c r="O401" s="67" t="s">
        <v>16</v>
      </c>
    </row>
    <row r="402" spans="1:15" x14ac:dyDescent="0.3">
      <c r="A402" s="66" t="s">
        <v>33</v>
      </c>
      <c r="B402" s="67" t="s">
        <v>18</v>
      </c>
      <c r="C402" s="67" t="s">
        <v>21</v>
      </c>
      <c r="D402" s="68">
        <v>45016</v>
      </c>
      <c r="E402" s="69">
        <v>241444</v>
      </c>
      <c r="F402" s="70">
        <f t="shared" si="110"/>
        <v>0.99723745464786862</v>
      </c>
      <c r="G402" s="69">
        <v>667</v>
      </c>
      <c r="H402" s="69">
        <v>108228</v>
      </c>
      <c r="I402" s="70">
        <f t="shared" si="111"/>
        <v>0.44825301105018139</v>
      </c>
      <c r="J402" s="69">
        <v>1997</v>
      </c>
      <c r="K402" s="70">
        <f t="shared" si="112"/>
        <v>8.2710690677755497E-3</v>
      </c>
      <c r="L402" s="70">
        <f t="shared" si="113"/>
        <v>1.8451786968252209E-2</v>
      </c>
      <c r="M402" s="69">
        <v>263</v>
      </c>
      <c r="N402" s="70">
        <f t="shared" si="114"/>
        <v>1.0892795016649824E-3</v>
      </c>
      <c r="O402" s="67" t="s">
        <v>21</v>
      </c>
    </row>
    <row r="403" spans="1:15" x14ac:dyDescent="0.3">
      <c r="A403" s="66" t="s">
        <v>19</v>
      </c>
      <c r="B403" s="67" t="s">
        <v>18</v>
      </c>
      <c r="C403" s="67" t="s">
        <v>21</v>
      </c>
      <c r="D403" s="68">
        <v>45016</v>
      </c>
      <c r="E403" s="69">
        <v>332771</v>
      </c>
      <c r="F403" s="70">
        <f t="shared" si="110"/>
        <v>0.99625267826823849</v>
      </c>
      <c r="G403" s="69">
        <v>1247</v>
      </c>
      <c r="H403" s="69">
        <v>120812</v>
      </c>
      <c r="I403" s="70">
        <f t="shared" si="111"/>
        <v>0.36304846275667052</v>
      </c>
      <c r="J403" s="69">
        <v>2503</v>
      </c>
      <c r="K403" s="70">
        <f t="shared" si="112"/>
        <v>7.5216890894939763E-3</v>
      </c>
      <c r="L403" s="70">
        <f t="shared" si="113"/>
        <v>2.0718140582061385E-2</v>
      </c>
      <c r="M403" s="69">
        <v>335</v>
      </c>
      <c r="N403" s="70">
        <f t="shared" si="114"/>
        <v>1.0066983000321542E-3</v>
      </c>
      <c r="O403" s="67" t="s">
        <v>21</v>
      </c>
    </row>
    <row r="404" spans="1:15" x14ac:dyDescent="0.3">
      <c r="A404" s="66" t="s">
        <v>24</v>
      </c>
      <c r="B404" s="67" t="s">
        <v>18</v>
      </c>
      <c r="C404" s="67" t="s">
        <v>21</v>
      </c>
      <c r="D404" s="68">
        <v>45017</v>
      </c>
      <c r="E404" s="69">
        <v>14810</v>
      </c>
      <c r="F404" s="70">
        <f t="shared" si="110"/>
        <v>0.99540850776502365</v>
      </c>
      <c r="G404" s="69">
        <v>68</v>
      </c>
      <c r="H404" s="69">
        <v>5047</v>
      </c>
      <c r="I404" s="70">
        <f t="shared" si="111"/>
        <v>0.34078325455773129</v>
      </c>
      <c r="J404" s="69">
        <v>211</v>
      </c>
      <c r="K404" s="70">
        <f t="shared" si="112"/>
        <v>1.4247130317353141E-2</v>
      </c>
      <c r="L404" s="70">
        <f t="shared" si="113"/>
        <v>4.1807014067763028E-2</v>
      </c>
      <c r="M404" s="69">
        <v>18</v>
      </c>
      <c r="N404" s="70">
        <f t="shared" si="114"/>
        <v>1.2153950033760973E-3</v>
      </c>
      <c r="O404" s="67" t="s">
        <v>21</v>
      </c>
    </row>
    <row r="405" spans="1:15" x14ac:dyDescent="0.3">
      <c r="A405" s="76" t="s">
        <v>235</v>
      </c>
      <c r="B405" s="67" t="s">
        <v>15</v>
      </c>
      <c r="C405" s="67" t="s">
        <v>27</v>
      </c>
      <c r="D405" s="68">
        <v>45017</v>
      </c>
      <c r="E405" s="69">
        <v>238250</v>
      </c>
      <c r="F405" s="70">
        <f t="shared" si="110"/>
        <v>0.99703672612801675</v>
      </c>
      <c r="G405" s="69">
        <v>706</v>
      </c>
      <c r="H405" s="69">
        <v>91446</v>
      </c>
      <c r="I405" s="70">
        <f t="shared" si="111"/>
        <v>0.38382371458551939</v>
      </c>
      <c r="J405" s="69">
        <v>3274</v>
      </c>
      <c r="K405" s="70">
        <f t="shared" si="112"/>
        <v>1.374186778593914E-2</v>
      </c>
      <c r="L405" s="70">
        <f t="shared" si="113"/>
        <v>3.5802550138879778E-2</v>
      </c>
      <c r="M405" s="69">
        <v>1488</v>
      </c>
      <c r="N405" s="70">
        <f t="shared" si="114"/>
        <v>6.2455403987408181E-3</v>
      </c>
      <c r="O405" s="67" t="s">
        <v>27</v>
      </c>
    </row>
    <row r="406" spans="1:15" x14ac:dyDescent="0.3">
      <c r="A406" s="76" t="s">
        <v>36</v>
      </c>
      <c r="B406" s="67" t="s">
        <v>15</v>
      </c>
      <c r="C406" s="67" t="s">
        <v>16</v>
      </c>
      <c r="D406" s="68">
        <v>45017</v>
      </c>
      <c r="E406" s="69">
        <v>1814</v>
      </c>
      <c r="F406" s="70">
        <f t="shared" si="110"/>
        <v>0.99448732083792724</v>
      </c>
      <c r="G406" s="69">
        <v>10</v>
      </c>
      <c r="H406" s="69">
        <v>885</v>
      </c>
      <c r="I406" s="70">
        <f t="shared" si="111"/>
        <v>0.48787210584343993</v>
      </c>
      <c r="J406" s="69">
        <v>122</v>
      </c>
      <c r="K406" s="70">
        <f t="shared" si="112"/>
        <v>6.7254685777287757E-2</v>
      </c>
      <c r="L406" s="70">
        <f t="shared" si="113"/>
        <v>0.13785310734463277</v>
      </c>
      <c r="M406" s="69">
        <v>1</v>
      </c>
      <c r="N406" s="70">
        <f t="shared" si="114"/>
        <v>5.5126791620727675E-4</v>
      </c>
      <c r="O406" s="67" t="s">
        <v>16</v>
      </c>
    </row>
    <row r="407" spans="1:15" x14ac:dyDescent="0.3">
      <c r="A407" s="76" t="s">
        <v>36</v>
      </c>
      <c r="B407" s="67" t="s">
        <v>18</v>
      </c>
      <c r="C407" s="67" t="s">
        <v>16</v>
      </c>
      <c r="D407" s="68">
        <v>45017</v>
      </c>
      <c r="E407" s="69">
        <v>1882</v>
      </c>
      <c r="F407" s="70">
        <f t="shared" si="110"/>
        <v>0.99734325185972372</v>
      </c>
      <c r="G407" s="69">
        <v>5</v>
      </c>
      <c r="H407" s="69">
        <v>802</v>
      </c>
      <c r="I407" s="70">
        <f t="shared" si="111"/>
        <v>0.42614240170031881</v>
      </c>
      <c r="J407" s="69">
        <v>68</v>
      </c>
      <c r="K407" s="70">
        <f t="shared" si="112"/>
        <v>3.6131774707757705E-2</v>
      </c>
      <c r="L407" s="70">
        <f t="shared" si="113"/>
        <v>8.4788029925187039E-2</v>
      </c>
      <c r="M407" s="69">
        <v>10</v>
      </c>
      <c r="N407" s="70">
        <f t="shared" si="114"/>
        <v>5.3134962805526037E-3</v>
      </c>
      <c r="O407" s="67" t="s">
        <v>16</v>
      </c>
    </row>
    <row r="408" spans="1:15" x14ac:dyDescent="0.3">
      <c r="A408" s="76" t="s">
        <v>37</v>
      </c>
      <c r="B408" s="67" t="s">
        <v>15</v>
      </c>
      <c r="C408" s="67" t="s">
        <v>16</v>
      </c>
      <c r="D408" s="68">
        <v>45017</v>
      </c>
      <c r="E408" s="69">
        <v>16166</v>
      </c>
      <c r="F408" s="70">
        <f t="shared" si="110"/>
        <v>0.99653593962637632</v>
      </c>
      <c r="G408" s="69">
        <v>56</v>
      </c>
      <c r="H408" s="69">
        <v>7099</v>
      </c>
      <c r="I408" s="70">
        <f t="shared" si="111"/>
        <v>0.43913151057775579</v>
      </c>
      <c r="J408" s="69">
        <v>748</v>
      </c>
      <c r="K408" s="70">
        <f t="shared" si="112"/>
        <v>4.6269949276258812E-2</v>
      </c>
      <c r="L408" s="70">
        <f t="shared" si="113"/>
        <v>0.10536695309198478</v>
      </c>
      <c r="M408" s="69">
        <v>10</v>
      </c>
      <c r="N408" s="70">
        <f t="shared" si="114"/>
        <v>6.1858220957565263E-4</v>
      </c>
      <c r="O408" s="67" t="s">
        <v>16</v>
      </c>
    </row>
    <row r="409" spans="1:15" x14ac:dyDescent="0.3">
      <c r="A409" s="76" t="s">
        <v>37</v>
      </c>
      <c r="B409" s="67" t="s">
        <v>18</v>
      </c>
      <c r="C409" s="67" t="s">
        <v>16</v>
      </c>
      <c r="D409" s="68">
        <v>45017</v>
      </c>
      <c r="E409" s="69">
        <v>22355</v>
      </c>
      <c r="F409" s="70">
        <f t="shared" si="110"/>
        <v>0.99655558040706782</v>
      </c>
      <c r="G409" s="69">
        <v>77</v>
      </c>
      <c r="H409" s="69">
        <v>9186</v>
      </c>
      <c r="I409" s="70">
        <f t="shared" si="111"/>
        <v>0.41091478416461641</v>
      </c>
      <c r="J409" s="69">
        <v>627</v>
      </c>
      <c r="K409" s="70">
        <f t="shared" si="112"/>
        <v>2.8047416685305301E-2</v>
      </c>
      <c r="L409" s="70">
        <f t="shared" si="113"/>
        <v>6.8256041802743306E-2</v>
      </c>
      <c r="M409" s="69">
        <v>57</v>
      </c>
      <c r="N409" s="70">
        <f t="shared" si="114"/>
        <v>2.5497651532095729E-3</v>
      </c>
      <c r="O409" s="67" t="s">
        <v>16</v>
      </c>
    </row>
    <row r="410" spans="1:15" x14ac:dyDescent="0.3">
      <c r="A410" s="76" t="s">
        <v>34</v>
      </c>
      <c r="B410" s="67" t="s">
        <v>15</v>
      </c>
      <c r="C410" s="67" t="s">
        <v>30</v>
      </c>
      <c r="D410" s="68">
        <v>45017</v>
      </c>
      <c r="E410" s="69">
        <v>9433</v>
      </c>
      <c r="F410" s="70">
        <f t="shared" si="110"/>
        <v>0.98272023746422132</v>
      </c>
      <c r="G410" s="69">
        <v>163</v>
      </c>
      <c r="H410" s="69">
        <v>3035</v>
      </c>
      <c r="I410" s="70">
        <f t="shared" si="111"/>
        <v>0.32174281776741226</v>
      </c>
      <c r="J410" s="69">
        <v>465</v>
      </c>
      <c r="K410" s="70">
        <f t="shared" si="112"/>
        <v>4.929502809286547E-2</v>
      </c>
      <c r="L410" s="70">
        <f t="shared" si="113"/>
        <v>0.15321252059308071</v>
      </c>
      <c r="M410" s="69">
        <v>25</v>
      </c>
      <c r="N410" s="70">
        <f t="shared" si="114"/>
        <v>2.6502703275734125E-3</v>
      </c>
      <c r="O410" s="67" t="s">
        <v>31</v>
      </c>
    </row>
    <row r="411" spans="1:15" x14ac:dyDescent="0.3">
      <c r="A411" s="76" t="s">
        <v>35</v>
      </c>
      <c r="B411" s="67" t="s">
        <v>15</v>
      </c>
      <c r="C411" s="67" t="s">
        <v>30</v>
      </c>
      <c r="D411" s="68">
        <v>45017</v>
      </c>
      <c r="E411" s="69">
        <v>85280</v>
      </c>
      <c r="F411" s="70">
        <f t="shared" si="110"/>
        <v>0.97646575984990625</v>
      </c>
      <c r="G411" s="69">
        <v>2007</v>
      </c>
      <c r="H411" s="69">
        <v>33611</v>
      </c>
      <c r="I411" s="70">
        <f t="shared" si="111"/>
        <v>0.394125234521576</v>
      </c>
      <c r="J411" s="69">
        <v>3564</v>
      </c>
      <c r="K411" s="70">
        <f t="shared" si="112"/>
        <v>4.1791744840525329E-2</v>
      </c>
      <c r="L411" s="70">
        <f t="shared" si="113"/>
        <v>0.10603671417095593</v>
      </c>
      <c r="M411" s="69">
        <v>317</v>
      </c>
      <c r="N411" s="70">
        <f t="shared" si="114"/>
        <v>3.7171669793621014E-3</v>
      </c>
      <c r="O411" s="67" t="s">
        <v>31</v>
      </c>
    </row>
    <row r="412" spans="1:15" x14ac:dyDescent="0.3">
      <c r="A412" s="76" t="s">
        <v>239</v>
      </c>
      <c r="B412" s="67"/>
      <c r="C412" s="67" t="s">
        <v>98</v>
      </c>
      <c r="D412" s="68">
        <v>45019</v>
      </c>
      <c r="E412" s="69">
        <v>26</v>
      </c>
      <c r="F412" s="70">
        <f t="shared" ref="F412:F445" si="115">(E412-G412)/E412</f>
        <v>0.92307692307692313</v>
      </c>
      <c r="G412" s="69">
        <v>2</v>
      </c>
      <c r="H412" s="69">
        <v>8</v>
      </c>
      <c r="I412" s="70">
        <f t="shared" ref="I412:I445" si="116">H412/E412</f>
        <v>0.30769230769230771</v>
      </c>
      <c r="J412" s="69">
        <v>1</v>
      </c>
      <c r="K412" s="70">
        <f t="shared" ref="K412:K445" si="117">J412/E412</f>
        <v>3.8461538461538464E-2</v>
      </c>
      <c r="L412" s="70">
        <f t="shared" ref="L412:L445" si="118">J412/H412</f>
        <v>0.125</v>
      </c>
      <c r="M412" s="69">
        <v>0</v>
      </c>
      <c r="N412" s="70">
        <f t="shared" ref="N412:N445" si="119">M412/E412</f>
        <v>0</v>
      </c>
      <c r="O412" s="67" t="s">
        <v>98</v>
      </c>
    </row>
    <row r="413" spans="1:15" x14ac:dyDescent="0.3">
      <c r="A413" s="76" t="s">
        <v>240</v>
      </c>
      <c r="B413" s="67"/>
      <c r="C413" s="67" t="s">
        <v>98</v>
      </c>
      <c r="D413" s="68">
        <v>45019</v>
      </c>
      <c r="E413" s="69">
        <v>346</v>
      </c>
      <c r="F413" s="70">
        <f t="shared" si="115"/>
        <v>0.97687861271676302</v>
      </c>
      <c r="G413" s="69">
        <v>8</v>
      </c>
      <c r="H413" s="69">
        <v>109</v>
      </c>
      <c r="I413" s="70">
        <f t="shared" si="116"/>
        <v>0.31502890173410403</v>
      </c>
      <c r="J413" s="69">
        <v>13</v>
      </c>
      <c r="K413" s="70">
        <f t="shared" si="117"/>
        <v>3.7572254335260118E-2</v>
      </c>
      <c r="L413" s="70">
        <f t="shared" si="118"/>
        <v>0.11926605504587157</v>
      </c>
      <c r="M413" s="69">
        <v>0</v>
      </c>
      <c r="N413" s="70">
        <f t="shared" si="119"/>
        <v>0</v>
      </c>
      <c r="O413" s="67" t="s">
        <v>98</v>
      </c>
    </row>
    <row r="414" spans="1:15" x14ac:dyDescent="0.3">
      <c r="A414" s="76" t="s">
        <v>241</v>
      </c>
      <c r="B414" s="67" t="s">
        <v>15</v>
      </c>
      <c r="C414" s="67" t="s">
        <v>16</v>
      </c>
      <c r="D414" s="68">
        <v>45019</v>
      </c>
      <c r="E414" s="69">
        <v>128556</v>
      </c>
      <c r="F414" s="70">
        <f t="shared" si="115"/>
        <v>0.99466380410093658</v>
      </c>
      <c r="G414" s="69">
        <v>686</v>
      </c>
      <c r="H414" s="69">
        <v>45200</v>
      </c>
      <c r="I414" s="70">
        <f t="shared" si="116"/>
        <v>0.3515977472852298</v>
      </c>
      <c r="J414" s="69">
        <v>1555</v>
      </c>
      <c r="K414" s="70">
        <f t="shared" si="117"/>
        <v>1.2095895951958679E-2</v>
      </c>
      <c r="L414" s="70">
        <f t="shared" si="118"/>
        <v>3.4402654867256639E-2</v>
      </c>
      <c r="M414" s="69">
        <v>68</v>
      </c>
      <c r="N414" s="70">
        <f t="shared" si="119"/>
        <v>5.289523631724696E-4</v>
      </c>
      <c r="O414" s="67" t="s">
        <v>16</v>
      </c>
    </row>
    <row r="415" spans="1:15" x14ac:dyDescent="0.3">
      <c r="A415" s="76" t="s">
        <v>241</v>
      </c>
      <c r="B415" s="67" t="s">
        <v>18</v>
      </c>
      <c r="C415" s="67" t="s">
        <v>16</v>
      </c>
      <c r="D415" s="68">
        <v>45019</v>
      </c>
      <c r="E415" s="69">
        <v>216603</v>
      </c>
      <c r="F415" s="70">
        <f t="shared" si="115"/>
        <v>0.99551252752731956</v>
      </c>
      <c r="G415" s="69">
        <v>972</v>
      </c>
      <c r="H415" s="69">
        <v>73144</v>
      </c>
      <c r="I415" s="70">
        <f t="shared" si="116"/>
        <v>0.33768692031042968</v>
      </c>
      <c r="J415" s="69">
        <v>1750</v>
      </c>
      <c r="K415" s="70">
        <f t="shared" si="117"/>
        <v>8.0792971473155964E-3</v>
      </c>
      <c r="L415" s="70">
        <f t="shared" si="118"/>
        <v>2.3925407415509133E-2</v>
      </c>
      <c r="M415" s="69">
        <v>567</v>
      </c>
      <c r="N415" s="70">
        <f t="shared" si="119"/>
        <v>2.6176922757302529E-3</v>
      </c>
      <c r="O415" s="67" t="s">
        <v>16</v>
      </c>
    </row>
    <row r="416" spans="1:15" x14ac:dyDescent="0.3">
      <c r="A416" s="76" t="s">
        <v>242</v>
      </c>
      <c r="B416" s="67" t="s">
        <v>15</v>
      </c>
      <c r="C416" s="67" t="s">
        <v>16</v>
      </c>
      <c r="D416" s="68">
        <v>45019</v>
      </c>
      <c r="E416" s="69">
        <v>2253005</v>
      </c>
      <c r="F416" s="70">
        <f t="shared" si="115"/>
        <v>0.99629960874476531</v>
      </c>
      <c r="G416" s="69">
        <v>8337</v>
      </c>
      <c r="H416" s="69">
        <v>838316</v>
      </c>
      <c r="I416" s="70">
        <f t="shared" si="116"/>
        <v>0.37208794476709994</v>
      </c>
      <c r="J416" s="69">
        <v>12156</v>
      </c>
      <c r="K416" s="70">
        <f t="shared" si="117"/>
        <v>5.395460729115115E-3</v>
      </c>
      <c r="L416" s="70">
        <f t="shared" si="118"/>
        <v>1.4500498618659312E-2</v>
      </c>
      <c r="M416" s="69">
        <v>1997</v>
      </c>
      <c r="N416" s="70">
        <f t="shared" si="119"/>
        <v>8.8637175683143178E-4</v>
      </c>
      <c r="O416" s="67" t="s">
        <v>16</v>
      </c>
    </row>
    <row r="417" spans="1:15" x14ac:dyDescent="0.3">
      <c r="A417" s="76" t="s">
        <v>242</v>
      </c>
      <c r="B417" s="67" t="s">
        <v>18</v>
      </c>
      <c r="C417" s="67" t="s">
        <v>16</v>
      </c>
      <c r="D417" s="68">
        <v>45019</v>
      </c>
      <c r="E417" s="69">
        <v>2403673</v>
      </c>
      <c r="F417" s="70">
        <f t="shared" si="115"/>
        <v>0.99669048160877127</v>
      </c>
      <c r="G417" s="69">
        <v>7955</v>
      </c>
      <c r="H417" s="69">
        <v>863594</v>
      </c>
      <c r="I417" s="70">
        <f t="shared" si="116"/>
        <v>0.35928098372781986</v>
      </c>
      <c r="J417" s="69">
        <v>10720</v>
      </c>
      <c r="K417" s="70">
        <f t="shared" si="117"/>
        <v>4.4598412512850127E-3</v>
      </c>
      <c r="L417" s="70">
        <f t="shared" si="118"/>
        <v>1.2413240481059388E-2</v>
      </c>
      <c r="M417" s="69">
        <v>4907</v>
      </c>
      <c r="N417" s="70">
        <f t="shared" si="119"/>
        <v>2.0414590503783168E-3</v>
      </c>
      <c r="O417" s="67" t="s">
        <v>16</v>
      </c>
    </row>
    <row r="418" spans="1:15" x14ac:dyDescent="0.3">
      <c r="A418" s="66" t="s">
        <v>29</v>
      </c>
      <c r="B418" s="67" t="s">
        <v>15</v>
      </c>
      <c r="C418" s="67" t="s">
        <v>16</v>
      </c>
      <c r="D418" s="68">
        <v>45020</v>
      </c>
      <c r="E418" s="69">
        <v>25867</v>
      </c>
      <c r="F418" s="70">
        <f t="shared" si="115"/>
        <v>0.99501295086403529</v>
      </c>
      <c r="G418" s="69">
        <v>129</v>
      </c>
      <c r="H418" s="69">
        <v>8935</v>
      </c>
      <c r="I418" s="70">
        <f t="shared" si="116"/>
        <v>0.34542080643290679</v>
      </c>
      <c r="J418" s="69">
        <v>260</v>
      </c>
      <c r="K418" s="70">
        <f t="shared" si="117"/>
        <v>1.0051416863184753E-2</v>
      </c>
      <c r="L418" s="70">
        <f t="shared" si="118"/>
        <v>2.9099048684946838E-2</v>
      </c>
      <c r="M418" s="69">
        <v>13</v>
      </c>
      <c r="N418" s="70">
        <f t="shared" si="119"/>
        <v>5.0257084315923767E-4</v>
      </c>
      <c r="O418" s="67" t="s">
        <v>16</v>
      </c>
    </row>
    <row r="419" spans="1:15" x14ac:dyDescent="0.3">
      <c r="A419" s="66" t="s">
        <v>29</v>
      </c>
      <c r="B419" s="67" t="s">
        <v>18</v>
      </c>
      <c r="C419" s="67" t="s">
        <v>16</v>
      </c>
      <c r="D419" s="68">
        <v>45020</v>
      </c>
      <c r="E419" s="69">
        <v>26633</v>
      </c>
      <c r="F419" s="70">
        <f t="shared" si="115"/>
        <v>0.99575714339353438</v>
      </c>
      <c r="G419" s="69">
        <v>113</v>
      </c>
      <c r="H419" s="69">
        <v>9755</v>
      </c>
      <c r="I419" s="70">
        <f t="shared" si="116"/>
        <v>0.36627492208913753</v>
      </c>
      <c r="J419" s="69">
        <v>202</v>
      </c>
      <c r="K419" s="70">
        <f t="shared" si="117"/>
        <v>7.5845755266023352E-3</v>
      </c>
      <c r="L419" s="70">
        <f t="shared" si="118"/>
        <v>2.0707329574577139E-2</v>
      </c>
      <c r="M419" s="69">
        <v>33</v>
      </c>
      <c r="N419" s="70">
        <f t="shared" si="119"/>
        <v>1.2390643187023618E-3</v>
      </c>
      <c r="O419" s="67" t="s">
        <v>16</v>
      </c>
    </row>
    <row r="420" spans="1:15" x14ac:dyDescent="0.3">
      <c r="A420" s="66" t="s">
        <v>17</v>
      </c>
      <c r="B420" s="67" t="s">
        <v>15</v>
      </c>
      <c r="C420" s="67" t="s">
        <v>16</v>
      </c>
      <c r="D420" s="68">
        <v>45020</v>
      </c>
      <c r="E420" s="69">
        <v>227842</v>
      </c>
      <c r="F420" s="70">
        <f t="shared" si="115"/>
        <v>0.99610256230194605</v>
      </c>
      <c r="G420" s="69">
        <v>888</v>
      </c>
      <c r="H420" s="69">
        <v>81592</v>
      </c>
      <c r="I420" s="70">
        <f t="shared" si="116"/>
        <v>0.35810781155362048</v>
      </c>
      <c r="J420" s="69">
        <v>1540</v>
      </c>
      <c r="K420" s="70">
        <f t="shared" si="117"/>
        <v>6.759069881760167E-3</v>
      </c>
      <c r="L420" s="70">
        <f t="shared" si="118"/>
        <v>1.887439945092656E-2</v>
      </c>
      <c r="M420" s="69">
        <v>128</v>
      </c>
      <c r="N420" s="70">
        <f t="shared" si="119"/>
        <v>5.6179282134110481E-4</v>
      </c>
      <c r="O420" s="67" t="s">
        <v>16</v>
      </c>
    </row>
    <row r="421" spans="1:15" x14ac:dyDescent="0.3">
      <c r="A421" s="66" t="s">
        <v>17</v>
      </c>
      <c r="B421" s="67" t="s">
        <v>18</v>
      </c>
      <c r="C421" s="67" t="s">
        <v>16</v>
      </c>
      <c r="D421" s="68">
        <v>45020</v>
      </c>
      <c r="E421" s="69">
        <v>443643</v>
      </c>
      <c r="F421" s="70">
        <f t="shared" si="115"/>
        <v>0.99684881763039201</v>
      </c>
      <c r="G421" s="69">
        <v>1398</v>
      </c>
      <c r="H421" s="69">
        <v>171518</v>
      </c>
      <c r="I421" s="70">
        <f t="shared" si="116"/>
        <v>0.38661265927784277</v>
      </c>
      <c r="J421" s="69">
        <v>2261</v>
      </c>
      <c r="K421" s="70">
        <f t="shared" si="117"/>
        <v>5.0964401557107852E-3</v>
      </c>
      <c r="L421" s="70">
        <f t="shared" si="118"/>
        <v>1.3182289905432666E-2</v>
      </c>
      <c r="M421" s="69">
        <v>463</v>
      </c>
      <c r="N421" s="70">
        <f t="shared" si="119"/>
        <v>1.0436319292764678E-3</v>
      </c>
      <c r="O421" s="67" t="s">
        <v>16</v>
      </c>
    </row>
    <row r="422" spans="1:15" x14ac:dyDescent="0.3">
      <c r="A422" s="76" t="s">
        <v>243</v>
      </c>
      <c r="B422" s="67" t="s">
        <v>15</v>
      </c>
      <c r="C422" s="67" t="s">
        <v>16</v>
      </c>
      <c r="D422" s="68">
        <v>45021</v>
      </c>
      <c r="E422" s="69">
        <v>128660</v>
      </c>
      <c r="F422" s="70">
        <f t="shared" si="115"/>
        <v>0.99486242810508319</v>
      </c>
      <c r="G422" s="69">
        <v>661</v>
      </c>
      <c r="H422" s="69">
        <v>43859</v>
      </c>
      <c r="I422" s="70">
        <f t="shared" si="116"/>
        <v>0.34089071972641072</v>
      </c>
      <c r="J422" s="69">
        <v>886</v>
      </c>
      <c r="K422" s="70">
        <f t="shared" si="117"/>
        <v>6.8863671692833825E-3</v>
      </c>
      <c r="L422" s="70">
        <f t="shared" si="118"/>
        <v>2.0201098976264847E-2</v>
      </c>
      <c r="M422" s="69">
        <v>71</v>
      </c>
      <c r="N422" s="70">
        <f t="shared" si="119"/>
        <v>5.5184206435566607E-4</v>
      </c>
      <c r="O422" s="67" t="s">
        <v>16</v>
      </c>
    </row>
    <row r="423" spans="1:15" x14ac:dyDescent="0.3">
      <c r="A423" s="76" t="s">
        <v>243</v>
      </c>
      <c r="B423" s="67" t="s">
        <v>18</v>
      </c>
      <c r="C423" s="67" t="s">
        <v>16</v>
      </c>
      <c r="D423" s="68">
        <v>45021</v>
      </c>
      <c r="E423" s="69">
        <v>216423</v>
      </c>
      <c r="F423" s="70">
        <f t="shared" si="115"/>
        <v>0.99594312988915223</v>
      </c>
      <c r="G423" s="69">
        <v>878</v>
      </c>
      <c r="H423" s="69">
        <v>71195</v>
      </c>
      <c r="I423" s="70">
        <f t="shared" si="116"/>
        <v>0.3289622637150395</v>
      </c>
      <c r="J423" s="69">
        <v>1475</v>
      </c>
      <c r="K423" s="70">
        <f t="shared" si="117"/>
        <v>6.8153569629845253E-3</v>
      </c>
      <c r="L423" s="70">
        <f t="shared" si="118"/>
        <v>2.0717747032797246E-2</v>
      </c>
      <c r="M423" s="69">
        <v>651</v>
      </c>
      <c r="N423" s="70">
        <f t="shared" si="119"/>
        <v>3.0079982256968991E-3</v>
      </c>
      <c r="O423" s="67" t="s">
        <v>16</v>
      </c>
    </row>
    <row r="424" spans="1:15" x14ac:dyDescent="0.3">
      <c r="A424" s="101" t="s">
        <v>244</v>
      </c>
      <c r="B424" s="67" t="s">
        <v>15</v>
      </c>
      <c r="C424" s="67" t="s">
        <v>16</v>
      </c>
      <c r="D424" s="68">
        <v>45021</v>
      </c>
      <c r="E424" s="69">
        <v>2259347</v>
      </c>
      <c r="F424" s="70">
        <f t="shared" si="115"/>
        <v>0.99637461620547885</v>
      </c>
      <c r="G424" s="69">
        <v>8191</v>
      </c>
      <c r="H424" s="69">
        <v>823705</v>
      </c>
      <c r="I424" s="70">
        <f t="shared" si="116"/>
        <v>0.36457657898498991</v>
      </c>
      <c r="J424" s="69">
        <v>11702</v>
      </c>
      <c r="K424" s="70">
        <f t="shared" si="117"/>
        <v>5.1793726240369452E-3</v>
      </c>
      <c r="L424" s="70">
        <f t="shared" si="118"/>
        <v>1.4206542390783108E-2</v>
      </c>
      <c r="M424" s="69">
        <v>2066</v>
      </c>
      <c r="N424" s="70">
        <f t="shared" si="119"/>
        <v>9.1442350378228752E-4</v>
      </c>
      <c r="O424" s="67" t="s">
        <v>16</v>
      </c>
    </row>
    <row r="425" spans="1:15" x14ac:dyDescent="0.3">
      <c r="A425" s="101" t="s">
        <v>244</v>
      </c>
      <c r="B425" s="67" t="s">
        <v>18</v>
      </c>
      <c r="C425" s="67" t="s">
        <v>16</v>
      </c>
      <c r="D425" s="68">
        <v>45021</v>
      </c>
      <c r="E425" s="69">
        <v>2406202</v>
      </c>
      <c r="F425" s="70">
        <f t="shared" si="115"/>
        <v>0.99671432406755545</v>
      </c>
      <c r="G425" s="69">
        <v>7906</v>
      </c>
      <c r="H425" s="69">
        <v>855191</v>
      </c>
      <c r="I425" s="70">
        <f t="shared" si="116"/>
        <v>0.35541114170796967</v>
      </c>
      <c r="J425" s="69">
        <v>12252</v>
      </c>
      <c r="K425" s="70">
        <f t="shared" si="117"/>
        <v>5.0918418320656375E-3</v>
      </c>
      <c r="L425" s="70">
        <f t="shared" si="118"/>
        <v>1.4326624110871138E-2</v>
      </c>
      <c r="M425" s="69">
        <v>5408</v>
      </c>
      <c r="N425" s="70">
        <f t="shared" si="119"/>
        <v>2.2475253532330203E-3</v>
      </c>
      <c r="O425" s="67" t="s">
        <v>16</v>
      </c>
    </row>
    <row r="426" spans="1:15" x14ac:dyDescent="0.3">
      <c r="A426" s="76" t="s">
        <v>245</v>
      </c>
      <c r="B426" s="67" t="s">
        <v>18</v>
      </c>
      <c r="C426" s="67" t="s">
        <v>16</v>
      </c>
      <c r="D426" s="68">
        <v>45021</v>
      </c>
      <c r="E426" s="69">
        <v>5712</v>
      </c>
      <c r="F426" s="70">
        <f t="shared" si="115"/>
        <v>0.99632352941176472</v>
      </c>
      <c r="G426" s="69">
        <v>21</v>
      </c>
      <c r="H426" s="69">
        <v>2824</v>
      </c>
      <c r="I426" s="70">
        <f t="shared" si="116"/>
        <v>0.49439775910364148</v>
      </c>
      <c r="J426" s="69">
        <v>54</v>
      </c>
      <c r="K426" s="70">
        <f t="shared" si="117"/>
        <v>9.4537815126050414E-3</v>
      </c>
      <c r="L426" s="70">
        <f t="shared" si="118"/>
        <v>1.9121813031161474E-2</v>
      </c>
      <c r="M426" s="69">
        <v>12</v>
      </c>
      <c r="N426" s="70">
        <f t="shared" si="119"/>
        <v>2.1008403361344537E-3</v>
      </c>
      <c r="O426" s="67" t="s">
        <v>16</v>
      </c>
    </row>
    <row r="427" spans="1:15" x14ac:dyDescent="0.3">
      <c r="A427" s="76" t="s">
        <v>245</v>
      </c>
      <c r="B427" s="67" t="s">
        <v>15</v>
      </c>
      <c r="C427" s="67" t="s">
        <v>16</v>
      </c>
      <c r="D427" s="68">
        <v>45021</v>
      </c>
      <c r="E427" s="69">
        <v>13550</v>
      </c>
      <c r="F427" s="70">
        <f t="shared" si="115"/>
        <v>0.99542435424354248</v>
      </c>
      <c r="G427" s="69">
        <v>62</v>
      </c>
      <c r="H427" s="69">
        <v>5986</v>
      </c>
      <c r="I427" s="70">
        <f t="shared" si="116"/>
        <v>0.44177121771217714</v>
      </c>
      <c r="J427" s="69">
        <v>107</v>
      </c>
      <c r="K427" s="70">
        <f t="shared" si="117"/>
        <v>7.8966789667896681E-3</v>
      </c>
      <c r="L427" s="70">
        <f t="shared" si="118"/>
        <v>1.7875041764116271E-2</v>
      </c>
      <c r="M427" s="69">
        <v>8</v>
      </c>
      <c r="N427" s="70">
        <f t="shared" si="119"/>
        <v>5.9040590405904064E-4</v>
      </c>
      <c r="O427" s="67" t="s">
        <v>16</v>
      </c>
    </row>
    <row r="428" spans="1:15" x14ac:dyDescent="0.3">
      <c r="A428" s="76" t="s">
        <v>246</v>
      </c>
      <c r="B428" s="67" t="s">
        <v>15</v>
      </c>
      <c r="C428" s="67" t="s">
        <v>16</v>
      </c>
      <c r="D428" s="68">
        <v>45021</v>
      </c>
      <c r="E428" s="69">
        <v>63802</v>
      </c>
      <c r="F428" s="70">
        <f t="shared" si="115"/>
        <v>0.99667722014983862</v>
      </c>
      <c r="G428" s="69">
        <v>212</v>
      </c>
      <c r="H428" s="69">
        <v>23301</v>
      </c>
      <c r="I428" s="70">
        <f t="shared" si="116"/>
        <v>0.36520798721043229</v>
      </c>
      <c r="J428" s="69">
        <v>267</v>
      </c>
      <c r="K428" s="70">
        <f t="shared" si="117"/>
        <v>4.1848217924203004E-3</v>
      </c>
      <c r="L428" s="70">
        <f t="shared" si="118"/>
        <v>1.1458735676580404E-2</v>
      </c>
      <c r="M428" s="69">
        <v>48</v>
      </c>
      <c r="N428" s="70">
        <f t="shared" si="119"/>
        <v>7.5232751324409892E-4</v>
      </c>
      <c r="O428" s="67" t="s">
        <v>16</v>
      </c>
    </row>
    <row r="429" spans="1:15" x14ac:dyDescent="0.3">
      <c r="A429" s="66" t="s">
        <v>26</v>
      </c>
      <c r="B429" s="67"/>
      <c r="C429" s="67" t="s">
        <v>23</v>
      </c>
      <c r="D429" s="68">
        <v>45022</v>
      </c>
      <c r="E429" s="69">
        <v>1631</v>
      </c>
      <c r="F429" s="70">
        <f t="shared" si="115"/>
        <v>0.99816063764561613</v>
      </c>
      <c r="G429" s="69">
        <v>3</v>
      </c>
      <c r="H429" s="69">
        <v>535</v>
      </c>
      <c r="I429" s="70">
        <f t="shared" si="116"/>
        <v>0.32801961986511341</v>
      </c>
      <c r="J429" s="69">
        <v>12</v>
      </c>
      <c r="K429" s="70">
        <f t="shared" si="117"/>
        <v>7.357449417535254E-3</v>
      </c>
      <c r="L429" s="70">
        <f t="shared" si="118"/>
        <v>2.2429906542056073E-2</v>
      </c>
      <c r="M429" s="69">
        <v>1</v>
      </c>
      <c r="N429" s="70">
        <f t="shared" si="119"/>
        <v>6.131207847946045E-4</v>
      </c>
      <c r="O429" s="67" t="s">
        <v>23</v>
      </c>
    </row>
    <row r="430" spans="1:15" x14ac:dyDescent="0.3">
      <c r="A430" s="76" t="s">
        <v>247</v>
      </c>
      <c r="B430" s="67" t="s">
        <v>15</v>
      </c>
      <c r="C430" s="67" t="s">
        <v>16</v>
      </c>
      <c r="D430" s="68">
        <v>45022</v>
      </c>
      <c r="E430" s="69">
        <v>2098</v>
      </c>
      <c r="F430" s="70">
        <f t="shared" si="115"/>
        <v>0.99475691134413724</v>
      </c>
      <c r="G430" s="69">
        <v>11</v>
      </c>
      <c r="H430" s="69">
        <v>642</v>
      </c>
      <c r="I430" s="70">
        <f t="shared" si="116"/>
        <v>0.30600571973307911</v>
      </c>
      <c r="J430" s="69">
        <v>29</v>
      </c>
      <c r="K430" s="70">
        <f t="shared" si="117"/>
        <v>1.3822688274547188E-2</v>
      </c>
      <c r="L430" s="70">
        <f t="shared" si="118"/>
        <v>4.5171339563862926E-2</v>
      </c>
      <c r="M430" s="69">
        <v>2</v>
      </c>
      <c r="N430" s="70">
        <f t="shared" si="119"/>
        <v>9.5328884652049568E-4</v>
      </c>
      <c r="O430" s="67" t="s">
        <v>16</v>
      </c>
    </row>
    <row r="431" spans="1:15" x14ac:dyDescent="0.3">
      <c r="A431" s="76" t="s">
        <v>248</v>
      </c>
      <c r="B431" s="67" t="s">
        <v>15</v>
      </c>
      <c r="C431" s="67" t="s">
        <v>16</v>
      </c>
      <c r="D431" s="68">
        <v>45022</v>
      </c>
      <c r="E431" s="69">
        <v>28979</v>
      </c>
      <c r="F431" s="70">
        <f t="shared" si="115"/>
        <v>0.99603160909624211</v>
      </c>
      <c r="G431" s="69">
        <v>115</v>
      </c>
      <c r="H431" s="69">
        <v>9600</v>
      </c>
      <c r="I431" s="70">
        <f t="shared" si="116"/>
        <v>0.33127437109631114</v>
      </c>
      <c r="J431" s="69">
        <v>142</v>
      </c>
      <c r="K431" s="70">
        <f t="shared" si="117"/>
        <v>4.9001000724662683E-3</v>
      </c>
      <c r="L431" s="70">
        <f t="shared" si="118"/>
        <v>1.4791666666666667E-2</v>
      </c>
      <c r="M431" s="69">
        <v>10</v>
      </c>
      <c r="N431" s="70">
        <f t="shared" si="119"/>
        <v>3.4507746989199077E-4</v>
      </c>
      <c r="O431" s="67" t="s">
        <v>16</v>
      </c>
    </row>
    <row r="432" spans="1:15" x14ac:dyDescent="0.3">
      <c r="A432" s="76" t="s">
        <v>249</v>
      </c>
      <c r="B432" s="67" t="s">
        <v>15</v>
      </c>
      <c r="C432" s="67" t="s">
        <v>16</v>
      </c>
      <c r="D432" s="68">
        <v>45022</v>
      </c>
      <c r="E432" s="69">
        <v>39331</v>
      </c>
      <c r="F432" s="70">
        <f t="shared" si="115"/>
        <v>0.99501665353029412</v>
      </c>
      <c r="G432" s="69">
        <v>196</v>
      </c>
      <c r="H432" s="69">
        <v>12040</v>
      </c>
      <c r="I432" s="70">
        <f t="shared" si="116"/>
        <v>0.30611985456764385</v>
      </c>
      <c r="J432" s="69">
        <v>316</v>
      </c>
      <c r="K432" s="70">
        <f t="shared" si="117"/>
        <v>8.0343749205461345E-3</v>
      </c>
      <c r="L432" s="70">
        <f t="shared" si="118"/>
        <v>2.6245847176079733E-2</v>
      </c>
      <c r="M432" s="69">
        <v>8</v>
      </c>
      <c r="N432" s="70">
        <f t="shared" si="119"/>
        <v>2.0340189672268694E-4</v>
      </c>
      <c r="O432" s="67" t="s">
        <v>16</v>
      </c>
    </row>
    <row r="433" spans="1:15" x14ac:dyDescent="0.3">
      <c r="A433" s="76" t="s">
        <v>250</v>
      </c>
      <c r="B433" s="67" t="s">
        <v>15</v>
      </c>
      <c r="C433" s="67" t="s">
        <v>16</v>
      </c>
      <c r="D433" s="68">
        <v>45022</v>
      </c>
      <c r="E433" s="69">
        <v>549333</v>
      </c>
      <c r="F433" s="70">
        <f t="shared" si="115"/>
        <v>0.99615897825180721</v>
      </c>
      <c r="G433" s="69">
        <v>2110</v>
      </c>
      <c r="H433" s="69">
        <v>185013</v>
      </c>
      <c r="I433" s="70">
        <f t="shared" si="116"/>
        <v>0.3367957140750692</v>
      </c>
      <c r="J433" s="69">
        <v>2826</v>
      </c>
      <c r="K433" s="70">
        <f t="shared" si="117"/>
        <v>5.1444205973425958E-3</v>
      </c>
      <c r="L433" s="70">
        <f t="shared" si="118"/>
        <v>1.527460232524201E-2</v>
      </c>
      <c r="M433" s="69">
        <v>224</v>
      </c>
      <c r="N433" s="70">
        <f t="shared" si="119"/>
        <v>4.0776723772283844E-4</v>
      </c>
      <c r="O433" s="67" t="s">
        <v>16</v>
      </c>
    </row>
    <row r="434" spans="1:15" x14ac:dyDescent="0.3">
      <c r="A434" s="76" t="s">
        <v>251</v>
      </c>
      <c r="B434" s="67" t="s">
        <v>18</v>
      </c>
      <c r="C434" s="67" t="s">
        <v>16</v>
      </c>
      <c r="D434" s="68">
        <v>45023</v>
      </c>
      <c r="E434" s="69">
        <v>7997</v>
      </c>
      <c r="F434" s="70">
        <f t="shared" si="115"/>
        <v>0.99687382768538202</v>
      </c>
      <c r="G434" s="69">
        <v>25</v>
      </c>
      <c r="H434" s="69">
        <v>3568</v>
      </c>
      <c r="I434" s="70">
        <f t="shared" si="116"/>
        <v>0.44616731274227833</v>
      </c>
      <c r="J434" s="69">
        <v>76</v>
      </c>
      <c r="K434" s="70">
        <f t="shared" si="117"/>
        <v>9.5035638364386645E-3</v>
      </c>
      <c r="L434" s="70">
        <f t="shared" si="118"/>
        <v>2.1300448430493273E-2</v>
      </c>
      <c r="M434" s="69">
        <v>29</v>
      </c>
      <c r="N434" s="70">
        <f t="shared" si="119"/>
        <v>3.6263598849568587E-3</v>
      </c>
      <c r="O434" s="67" t="s">
        <v>16</v>
      </c>
    </row>
    <row r="435" spans="1:15" x14ac:dyDescent="0.3">
      <c r="A435" s="76" t="s">
        <v>251</v>
      </c>
      <c r="B435" s="67" t="s">
        <v>15</v>
      </c>
      <c r="C435" s="67" t="s">
        <v>16</v>
      </c>
      <c r="D435" s="68">
        <v>45023</v>
      </c>
      <c r="E435" s="69">
        <v>18070</v>
      </c>
      <c r="F435" s="70">
        <f t="shared" si="115"/>
        <v>0.99501936912008859</v>
      </c>
      <c r="G435" s="69">
        <v>90</v>
      </c>
      <c r="H435" s="69">
        <v>7554</v>
      </c>
      <c r="I435" s="70">
        <f t="shared" si="116"/>
        <v>0.4180409518539015</v>
      </c>
      <c r="J435" s="69">
        <v>107</v>
      </c>
      <c r="K435" s="70">
        <f t="shared" si="117"/>
        <v>5.9214167127836191E-3</v>
      </c>
      <c r="L435" s="70">
        <f t="shared" si="118"/>
        <v>1.4164680963727826E-2</v>
      </c>
      <c r="M435" s="69">
        <v>14</v>
      </c>
      <c r="N435" s="70">
        <f t="shared" si="119"/>
        <v>7.7476480354178199E-4</v>
      </c>
      <c r="O435" s="67" t="s">
        <v>16</v>
      </c>
    </row>
    <row r="436" spans="1:15" x14ac:dyDescent="0.3">
      <c r="A436" s="76" t="s">
        <v>252</v>
      </c>
      <c r="B436" s="67" t="s">
        <v>18</v>
      </c>
      <c r="C436" s="67" t="s">
        <v>16</v>
      </c>
      <c r="D436" s="68">
        <v>45023</v>
      </c>
      <c r="E436" s="69">
        <v>7495</v>
      </c>
      <c r="F436" s="70">
        <f t="shared" si="115"/>
        <v>0.9945296864576384</v>
      </c>
      <c r="G436" s="69">
        <v>41</v>
      </c>
      <c r="H436" s="69">
        <v>2358</v>
      </c>
      <c r="I436" s="70">
        <f t="shared" si="116"/>
        <v>0.31460973982655105</v>
      </c>
      <c r="J436" s="69">
        <v>30</v>
      </c>
      <c r="K436" s="70">
        <f t="shared" si="117"/>
        <v>4.0026684456304206E-3</v>
      </c>
      <c r="L436" s="70">
        <f t="shared" si="118"/>
        <v>1.2722646310432569E-2</v>
      </c>
      <c r="M436" s="69">
        <v>17</v>
      </c>
      <c r="N436" s="70">
        <f t="shared" si="119"/>
        <v>2.2681787858572383E-3</v>
      </c>
      <c r="O436" s="67" t="s">
        <v>16</v>
      </c>
    </row>
    <row r="437" spans="1:15" x14ac:dyDescent="0.3">
      <c r="A437" s="76" t="s">
        <v>252</v>
      </c>
      <c r="B437" s="67" t="s">
        <v>15</v>
      </c>
      <c r="C437" s="67" t="s">
        <v>16</v>
      </c>
      <c r="D437" s="68">
        <v>45023</v>
      </c>
      <c r="E437" s="69">
        <v>14161</v>
      </c>
      <c r="F437" s="70">
        <f t="shared" si="115"/>
        <v>0.99343266718452083</v>
      </c>
      <c r="G437" s="69">
        <v>93</v>
      </c>
      <c r="H437" s="69">
        <v>4084</v>
      </c>
      <c r="I437" s="70">
        <f t="shared" si="116"/>
        <v>0.28839771202598685</v>
      </c>
      <c r="J437" s="69">
        <v>42</v>
      </c>
      <c r="K437" s="70">
        <f t="shared" si="117"/>
        <v>2.9658922392486408E-3</v>
      </c>
      <c r="L437" s="70">
        <f t="shared" si="118"/>
        <v>1.028403525954946E-2</v>
      </c>
      <c r="M437" s="69">
        <v>6</v>
      </c>
      <c r="N437" s="70">
        <f t="shared" si="119"/>
        <v>4.236988913212344E-4</v>
      </c>
      <c r="O437" s="67" t="s">
        <v>16</v>
      </c>
    </row>
    <row r="438" spans="1:15" x14ac:dyDescent="0.3">
      <c r="A438" s="76" t="s">
        <v>253</v>
      </c>
      <c r="B438" s="67" t="s">
        <v>18</v>
      </c>
      <c r="C438" s="67" t="s">
        <v>16</v>
      </c>
      <c r="D438" s="68">
        <v>45023</v>
      </c>
      <c r="E438" s="69">
        <v>110189</v>
      </c>
      <c r="F438" s="70">
        <f t="shared" si="115"/>
        <v>0.99620651789198555</v>
      </c>
      <c r="G438" s="69">
        <v>418</v>
      </c>
      <c r="H438" s="69">
        <v>40968</v>
      </c>
      <c r="I438" s="70">
        <f t="shared" si="116"/>
        <v>0.37179754784960384</v>
      </c>
      <c r="J438" s="69">
        <v>548</v>
      </c>
      <c r="K438" s="70">
        <f t="shared" si="117"/>
        <v>4.9732731942389898E-3</v>
      </c>
      <c r="L438" s="70">
        <f t="shared" si="118"/>
        <v>1.3376293692638156E-2</v>
      </c>
      <c r="M438" s="69">
        <v>305</v>
      </c>
      <c r="N438" s="70">
        <f t="shared" si="119"/>
        <v>2.7679713946038172E-3</v>
      </c>
      <c r="O438" s="67" t="s">
        <v>16</v>
      </c>
    </row>
    <row r="439" spans="1:15" x14ac:dyDescent="0.3">
      <c r="A439" s="76" t="s">
        <v>253</v>
      </c>
      <c r="B439" s="67" t="s">
        <v>15</v>
      </c>
      <c r="C439" s="67" t="s">
        <v>16</v>
      </c>
      <c r="D439" s="68">
        <v>45023</v>
      </c>
      <c r="E439" s="69">
        <v>210578</v>
      </c>
      <c r="F439" s="70">
        <f t="shared" si="115"/>
        <v>0.99554084472262061</v>
      </c>
      <c r="G439" s="69">
        <v>939</v>
      </c>
      <c r="H439" s="69">
        <v>74769</v>
      </c>
      <c r="I439" s="70">
        <f t="shared" si="116"/>
        <v>0.35506558139976635</v>
      </c>
      <c r="J439" s="69">
        <v>785</v>
      </c>
      <c r="K439" s="70">
        <f t="shared" si="117"/>
        <v>3.7278348165525363E-3</v>
      </c>
      <c r="L439" s="70">
        <f t="shared" si="118"/>
        <v>1.049900359774773E-2</v>
      </c>
      <c r="M439" s="69">
        <v>185</v>
      </c>
      <c r="N439" s="70">
        <f t="shared" si="119"/>
        <v>8.7853431982448313E-4</v>
      </c>
      <c r="O439" s="67" t="s">
        <v>16</v>
      </c>
    </row>
    <row r="440" spans="1:15" x14ac:dyDescent="0.3">
      <c r="A440" s="66" t="s">
        <v>28</v>
      </c>
      <c r="B440" s="67" t="s">
        <v>15</v>
      </c>
      <c r="C440" s="67" t="s">
        <v>16</v>
      </c>
      <c r="D440" s="68">
        <v>45023</v>
      </c>
      <c r="E440" s="69">
        <v>104313</v>
      </c>
      <c r="F440" s="70">
        <f t="shared" si="115"/>
        <v>0.99350991726822158</v>
      </c>
      <c r="G440" s="69">
        <v>677</v>
      </c>
      <c r="H440" s="69">
        <v>32141</v>
      </c>
      <c r="I440" s="70">
        <f t="shared" si="116"/>
        <v>0.30812075196763589</v>
      </c>
      <c r="J440" s="69">
        <v>781</v>
      </c>
      <c r="K440" s="70">
        <f t="shared" si="117"/>
        <v>7.4870821469998948E-3</v>
      </c>
      <c r="L440" s="70">
        <f t="shared" si="118"/>
        <v>2.4299181730499983E-2</v>
      </c>
      <c r="M440" s="69">
        <v>32</v>
      </c>
      <c r="N440" s="70">
        <f t="shared" si="119"/>
        <v>3.0676905083738365E-4</v>
      </c>
      <c r="O440" s="67" t="s">
        <v>16</v>
      </c>
    </row>
    <row r="441" spans="1:15" x14ac:dyDescent="0.3">
      <c r="A441" s="66" t="s">
        <v>28</v>
      </c>
      <c r="B441" s="67" t="s">
        <v>18</v>
      </c>
      <c r="C441" s="67" t="s">
        <v>16</v>
      </c>
      <c r="D441" s="68">
        <v>45023</v>
      </c>
      <c r="E441" s="69">
        <v>203399</v>
      </c>
      <c r="F441" s="70">
        <f t="shared" si="115"/>
        <v>0.99458207759133521</v>
      </c>
      <c r="G441" s="69">
        <v>1102</v>
      </c>
      <c r="H441" s="69">
        <v>62426</v>
      </c>
      <c r="I441" s="70">
        <f t="shared" si="116"/>
        <v>0.30691399662731872</v>
      </c>
      <c r="J441" s="69">
        <v>1360</v>
      </c>
      <c r="K441" s="70">
        <f t="shared" si="117"/>
        <v>6.686365223034528E-3</v>
      </c>
      <c r="L441" s="70">
        <f t="shared" si="118"/>
        <v>2.1785794380546567E-2</v>
      </c>
      <c r="M441" s="69">
        <v>359</v>
      </c>
      <c r="N441" s="70">
        <f t="shared" si="119"/>
        <v>1.7650037610804381E-3</v>
      </c>
      <c r="O441" s="67" t="s">
        <v>16</v>
      </c>
    </row>
    <row r="442" spans="1:15" x14ac:dyDescent="0.3">
      <c r="A442" s="66" t="s">
        <v>22</v>
      </c>
      <c r="B442" s="67" t="s">
        <v>15</v>
      </c>
      <c r="C442" s="67" t="s">
        <v>16</v>
      </c>
      <c r="D442" s="68">
        <v>45023</v>
      </c>
      <c r="E442" s="69">
        <v>1847801</v>
      </c>
      <c r="F442" s="70">
        <f t="shared" si="115"/>
        <v>0.99565645867709784</v>
      </c>
      <c r="G442" s="69">
        <v>8026</v>
      </c>
      <c r="H442" s="69">
        <v>709708</v>
      </c>
      <c r="I442" s="70">
        <f t="shared" si="116"/>
        <v>0.38408248507279735</v>
      </c>
      <c r="J442" s="69">
        <v>12062</v>
      </c>
      <c r="K442" s="70">
        <f t="shared" si="117"/>
        <v>6.5277592121662448E-3</v>
      </c>
      <c r="L442" s="70">
        <f t="shared" si="118"/>
        <v>1.6995722184334965E-2</v>
      </c>
      <c r="M442" s="69">
        <v>1547</v>
      </c>
      <c r="N442" s="70">
        <f t="shared" si="119"/>
        <v>8.3721136637549172E-4</v>
      </c>
      <c r="O442" s="67" t="s">
        <v>16</v>
      </c>
    </row>
    <row r="443" spans="1:15" x14ac:dyDescent="0.3">
      <c r="A443" s="66" t="s">
        <v>22</v>
      </c>
      <c r="B443" s="67" t="s">
        <v>18</v>
      </c>
      <c r="C443" s="67" t="s">
        <v>16</v>
      </c>
      <c r="D443" s="68">
        <v>45023</v>
      </c>
      <c r="E443" s="69">
        <v>2240811</v>
      </c>
      <c r="F443" s="70">
        <f t="shared" si="115"/>
        <v>0.99608043694894388</v>
      </c>
      <c r="G443" s="69">
        <v>8783</v>
      </c>
      <c r="H443" s="69">
        <v>769127</v>
      </c>
      <c r="I443" s="70">
        <f t="shared" si="116"/>
        <v>0.34323599803821025</v>
      </c>
      <c r="J443" s="69">
        <v>12471</v>
      </c>
      <c r="K443" s="70">
        <f t="shared" si="117"/>
        <v>5.5653957428805911E-3</v>
      </c>
      <c r="L443" s="70">
        <f t="shared" si="118"/>
        <v>1.6214487334341401E-2</v>
      </c>
      <c r="M443" s="69">
        <v>3565</v>
      </c>
      <c r="N443" s="70">
        <f t="shared" si="119"/>
        <v>1.5909418509637806E-3</v>
      </c>
      <c r="O443" s="67" t="s">
        <v>16</v>
      </c>
    </row>
    <row r="444" spans="1:15" x14ac:dyDescent="0.3">
      <c r="A444" s="66" t="s">
        <v>33</v>
      </c>
      <c r="B444" s="67" t="s">
        <v>18</v>
      </c>
      <c r="C444" s="67" t="s">
        <v>21</v>
      </c>
      <c r="D444" s="68">
        <v>45023</v>
      </c>
      <c r="E444" s="69">
        <v>238042</v>
      </c>
      <c r="F444" s="70">
        <f t="shared" si="115"/>
        <v>0.99618974802765903</v>
      </c>
      <c r="G444" s="69">
        <v>907</v>
      </c>
      <c r="H444" s="69">
        <v>105398</v>
      </c>
      <c r="I444" s="70">
        <f t="shared" si="116"/>
        <v>0.44277060350694414</v>
      </c>
      <c r="J444" s="69">
        <v>3143</v>
      </c>
      <c r="K444" s="70">
        <f t="shared" si="117"/>
        <v>1.3203552314297477E-2</v>
      </c>
      <c r="L444" s="70">
        <f t="shared" si="118"/>
        <v>2.982030019544963E-2</v>
      </c>
      <c r="M444" s="69">
        <v>197</v>
      </c>
      <c r="N444" s="70">
        <f t="shared" si="119"/>
        <v>8.2758504801673657E-4</v>
      </c>
      <c r="O444" s="67" t="s">
        <v>21</v>
      </c>
    </row>
    <row r="445" spans="1:15" x14ac:dyDescent="0.3">
      <c r="A445" s="66" t="s">
        <v>19</v>
      </c>
      <c r="B445" s="67" t="s">
        <v>18</v>
      </c>
      <c r="C445" s="67" t="s">
        <v>21</v>
      </c>
      <c r="D445" s="68">
        <v>45023</v>
      </c>
      <c r="E445" s="69">
        <v>332850</v>
      </c>
      <c r="F445" s="70">
        <f t="shared" si="115"/>
        <v>0.99486555505482954</v>
      </c>
      <c r="G445" s="69">
        <v>1709</v>
      </c>
      <c r="H445" s="69">
        <v>119937</v>
      </c>
      <c r="I445" s="70">
        <f t="shared" si="116"/>
        <v>0.36033348355114919</v>
      </c>
      <c r="J445" s="69">
        <v>3704</v>
      </c>
      <c r="K445" s="70">
        <f t="shared" si="117"/>
        <v>1.1128135796905513E-2</v>
      </c>
      <c r="L445" s="70">
        <f t="shared" si="118"/>
        <v>3.0882880178760515E-2</v>
      </c>
      <c r="M445" s="69">
        <v>290</v>
      </c>
      <c r="N445" s="70">
        <f t="shared" si="119"/>
        <v>8.7126333183115516E-4</v>
      </c>
      <c r="O445" s="67" t="s">
        <v>21</v>
      </c>
    </row>
    <row r="446" spans="1:15" x14ac:dyDescent="0.3">
      <c r="A446" s="66" t="s">
        <v>29</v>
      </c>
      <c r="B446" s="67" t="s">
        <v>15</v>
      </c>
      <c r="C446" s="67" t="s">
        <v>16</v>
      </c>
      <c r="D446" s="68">
        <v>45027</v>
      </c>
      <c r="E446" s="69">
        <v>25937</v>
      </c>
      <c r="F446" s="70">
        <f t="shared" ref="F446:F469" si="120">(E446-G446)/E446</f>
        <v>0.99390831630489263</v>
      </c>
      <c r="G446" s="69">
        <v>158</v>
      </c>
      <c r="H446" s="69">
        <v>9232</v>
      </c>
      <c r="I446" s="70">
        <f t="shared" ref="I446:I469" si="121">H446/E446</f>
        <v>0.35593939160272969</v>
      </c>
      <c r="J446" s="69">
        <v>286</v>
      </c>
      <c r="K446" s="70">
        <f t="shared" ref="K446:K469" si="122">J446/E446</f>
        <v>1.1026718587346261E-2</v>
      </c>
      <c r="L446" s="70">
        <f t="shared" ref="L446:L469" si="123">J446/H446</f>
        <v>3.0979202772963604E-2</v>
      </c>
      <c r="M446" s="69">
        <v>19</v>
      </c>
      <c r="N446" s="70">
        <f t="shared" ref="N446:N469" si="124">M446/E446</f>
        <v>7.3254424181670968E-4</v>
      </c>
      <c r="O446" s="67" t="s">
        <v>16</v>
      </c>
    </row>
    <row r="447" spans="1:15" x14ac:dyDescent="0.3">
      <c r="A447" s="66" t="s">
        <v>29</v>
      </c>
      <c r="B447" s="67" t="s">
        <v>18</v>
      </c>
      <c r="C447" s="67" t="s">
        <v>16</v>
      </c>
      <c r="D447" s="68">
        <v>45027</v>
      </c>
      <c r="E447" s="69">
        <v>26722</v>
      </c>
      <c r="F447" s="70">
        <f t="shared" si="120"/>
        <v>0.99550931816480803</v>
      </c>
      <c r="G447" s="69">
        <v>120</v>
      </c>
      <c r="H447" s="69">
        <v>10200</v>
      </c>
      <c r="I447" s="70">
        <f t="shared" si="121"/>
        <v>0.38170795599131802</v>
      </c>
      <c r="J447" s="69">
        <v>287</v>
      </c>
      <c r="K447" s="70">
        <f t="shared" si="122"/>
        <v>1.0740214055834144E-2</v>
      </c>
      <c r="L447" s="70">
        <f t="shared" si="123"/>
        <v>2.8137254901960784E-2</v>
      </c>
      <c r="M447" s="69">
        <v>34</v>
      </c>
      <c r="N447" s="70">
        <f t="shared" si="124"/>
        <v>1.2723598533043933E-3</v>
      </c>
      <c r="O447" s="67" t="s">
        <v>16</v>
      </c>
    </row>
    <row r="448" spans="1:15" x14ac:dyDescent="0.3">
      <c r="A448" s="66" t="s">
        <v>17</v>
      </c>
      <c r="B448" s="67" t="s">
        <v>15</v>
      </c>
      <c r="C448" s="67" t="s">
        <v>16</v>
      </c>
      <c r="D448" s="68">
        <v>45027</v>
      </c>
      <c r="E448" s="69">
        <v>229129</v>
      </c>
      <c r="F448" s="70">
        <f t="shared" si="120"/>
        <v>0.99498099323961608</v>
      </c>
      <c r="G448" s="69">
        <v>1150</v>
      </c>
      <c r="H448" s="69">
        <v>82143</v>
      </c>
      <c r="I448" s="70">
        <f t="shared" si="121"/>
        <v>0.35850110636366411</v>
      </c>
      <c r="J448" s="69">
        <v>1645</v>
      </c>
      <c r="K448" s="70">
        <f t="shared" si="122"/>
        <v>7.1793618442013013E-3</v>
      </c>
      <c r="L448" s="70">
        <f t="shared" si="123"/>
        <v>2.0026052128604994E-2</v>
      </c>
      <c r="M448" s="69">
        <v>125</v>
      </c>
      <c r="N448" s="70">
        <f t="shared" si="124"/>
        <v>5.4554421308520532E-4</v>
      </c>
      <c r="O448" s="67" t="s">
        <v>16</v>
      </c>
    </row>
    <row r="449" spans="1:15" x14ac:dyDescent="0.3">
      <c r="A449" s="66" t="s">
        <v>17</v>
      </c>
      <c r="B449" s="67" t="s">
        <v>18</v>
      </c>
      <c r="C449" s="67" t="s">
        <v>16</v>
      </c>
      <c r="D449" s="68">
        <v>45027</v>
      </c>
      <c r="E449" s="69">
        <v>445785</v>
      </c>
      <c r="F449" s="70">
        <f t="shared" si="120"/>
        <v>0.99608331370503722</v>
      </c>
      <c r="G449" s="69">
        <v>1746</v>
      </c>
      <c r="H449" s="69">
        <v>173279</v>
      </c>
      <c r="I449" s="70">
        <f t="shared" si="121"/>
        <v>0.38870531758583171</v>
      </c>
      <c r="J449" s="69">
        <v>2565</v>
      </c>
      <c r="K449" s="70">
        <f t="shared" si="122"/>
        <v>5.7538948147649654E-3</v>
      </c>
      <c r="L449" s="70">
        <f t="shared" si="123"/>
        <v>1.4802717005522884E-2</v>
      </c>
      <c r="M449" s="69">
        <v>457</v>
      </c>
      <c r="N449" s="70">
        <f t="shared" si="124"/>
        <v>1.0251578675819061E-3</v>
      </c>
      <c r="O449" s="67" t="s">
        <v>16</v>
      </c>
    </row>
    <row r="450" spans="1:15" x14ac:dyDescent="0.3">
      <c r="A450" s="76" t="s">
        <v>256</v>
      </c>
      <c r="B450" s="67" t="s">
        <v>15</v>
      </c>
      <c r="C450" s="67" t="s">
        <v>30</v>
      </c>
      <c r="D450" s="68">
        <v>45027</v>
      </c>
      <c r="E450" s="69">
        <v>73905</v>
      </c>
      <c r="F450" s="70">
        <f t="shared" si="120"/>
        <v>0.99548068466274275</v>
      </c>
      <c r="G450" s="69">
        <v>334</v>
      </c>
      <c r="H450" s="69">
        <v>32069</v>
      </c>
      <c r="I450" s="70">
        <f t="shared" si="121"/>
        <v>0.43392192679791625</v>
      </c>
      <c r="J450" s="69">
        <v>2423</v>
      </c>
      <c r="K450" s="70">
        <f t="shared" si="122"/>
        <v>3.2785332521480276E-2</v>
      </c>
      <c r="L450" s="70">
        <f t="shared" si="123"/>
        <v>7.5555832735663728E-2</v>
      </c>
      <c r="M450" s="69">
        <v>53</v>
      </c>
      <c r="N450" s="70">
        <f t="shared" si="124"/>
        <v>7.1713686489412079E-4</v>
      </c>
      <c r="O450" s="67" t="s">
        <v>31</v>
      </c>
    </row>
    <row r="451" spans="1:15" x14ac:dyDescent="0.3">
      <c r="A451" s="76" t="s">
        <v>257</v>
      </c>
      <c r="B451" s="67" t="s">
        <v>15</v>
      </c>
      <c r="C451" s="67" t="s">
        <v>16</v>
      </c>
      <c r="D451" s="68">
        <v>45028</v>
      </c>
      <c r="E451" s="69">
        <v>249215</v>
      </c>
      <c r="F451" s="70">
        <f t="shared" si="120"/>
        <v>0.99455088979395301</v>
      </c>
      <c r="G451" s="69">
        <v>1358</v>
      </c>
      <c r="H451" s="69">
        <v>86040</v>
      </c>
      <c r="I451" s="70">
        <f t="shared" si="121"/>
        <v>0.34524406636839677</v>
      </c>
      <c r="J451" s="69">
        <v>977</v>
      </c>
      <c r="K451" s="70">
        <f t="shared" si="122"/>
        <v>3.9203097726862347E-3</v>
      </c>
      <c r="L451" s="70">
        <f t="shared" si="123"/>
        <v>1.1355183635518363E-2</v>
      </c>
      <c r="M451" s="69">
        <v>106</v>
      </c>
      <c r="N451" s="70">
        <f t="shared" si="124"/>
        <v>4.2533555363842465E-4</v>
      </c>
      <c r="O451" s="67" t="s">
        <v>16</v>
      </c>
    </row>
    <row r="452" spans="1:15" x14ac:dyDescent="0.3">
      <c r="A452" s="76" t="s">
        <v>32</v>
      </c>
      <c r="B452" s="67"/>
      <c r="C452" s="67" t="s">
        <v>23</v>
      </c>
      <c r="D452" s="68">
        <v>45028</v>
      </c>
      <c r="E452" s="69">
        <v>283</v>
      </c>
      <c r="F452" s="70">
        <f t="shared" si="120"/>
        <v>1</v>
      </c>
      <c r="G452" s="69">
        <v>0</v>
      </c>
      <c r="H452" s="69">
        <v>84</v>
      </c>
      <c r="I452" s="70">
        <f t="shared" si="121"/>
        <v>0.29681978798586572</v>
      </c>
      <c r="J452" s="69">
        <v>2</v>
      </c>
      <c r="K452" s="70">
        <f t="shared" si="122"/>
        <v>7.0671378091872791E-3</v>
      </c>
      <c r="L452" s="70">
        <f t="shared" si="123"/>
        <v>2.3809523809523808E-2</v>
      </c>
      <c r="M452" s="69">
        <v>0</v>
      </c>
      <c r="N452" s="70">
        <f t="shared" si="124"/>
        <v>0</v>
      </c>
      <c r="O452" s="67" t="s">
        <v>23</v>
      </c>
    </row>
    <row r="453" spans="1:15" x14ac:dyDescent="0.3">
      <c r="A453" s="76" t="s">
        <v>262</v>
      </c>
      <c r="B453" s="65" t="s">
        <v>265</v>
      </c>
      <c r="C453" s="67" t="s">
        <v>102</v>
      </c>
      <c r="D453" s="68">
        <v>45028</v>
      </c>
      <c r="E453" s="69">
        <v>31437</v>
      </c>
      <c r="F453" s="70">
        <f>(E453-G453)/E453</f>
        <v>0.99605560327003217</v>
      </c>
      <c r="G453" s="69">
        <v>124</v>
      </c>
      <c r="H453" s="69">
        <v>14920</v>
      </c>
      <c r="I453" s="70">
        <f>H453/E453</f>
        <v>0.47459999363806982</v>
      </c>
      <c r="J453" s="69">
        <v>779</v>
      </c>
      <c r="K453" s="70">
        <f>J453/E453</f>
        <v>2.4779718166491712E-2</v>
      </c>
      <c r="L453" s="70">
        <f>J453/H453</f>
        <v>5.2211796246648796E-2</v>
      </c>
      <c r="M453" s="69">
        <v>13</v>
      </c>
      <c r="N453" s="70">
        <f>M453/E453</f>
        <v>4.1352546362566405E-4</v>
      </c>
      <c r="O453" s="67" t="s">
        <v>102</v>
      </c>
    </row>
    <row r="454" spans="1:15" x14ac:dyDescent="0.3">
      <c r="A454" s="76" t="s">
        <v>258</v>
      </c>
      <c r="B454" s="67" t="s">
        <v>15</v>
      </c>
      <c r="C454" s="67" t="s">
        <v>16</v>
      </c>
      <c r="D454" s="68">
        <v>45029</v>
      </c>
      <c r="E454" s="69">
        <v>22178</v>
      </c>
      <c r="F454" s="70">
        <f t="shared" si="120"/>
        <v>0.99526557850121744</v>
      </c>
      <c r="G454" s="69">
        <v>105</v>
      </c>
      <c r="H454" s="69">
        <v>7786</v>
      </c>
      <c r="I454" s="70">
        <f t="shared" si="121"/>
        <v>0.35106862656686805</v>
      </c>
      <c r="J454" s="69">
        <v>53</v>
      </c>
      <c r="K454" s="70">
        <f t="shared" si="122"/>
        <v>2.3897556136712058E-3</v>
      </c>
      <c r="L454" s="70">
        <f t="shared" si="123"/>
        <v>6.8070896480863091E-3</v>
      </c>
      <c r="M454" s="69">
        <v>16</v>
      </c>
      <c r="N454" s="70">
        <f t="shared" si="124"/>
        <v>7.2143565695734517E-4</v>
      </c>
      <c r="O454" s="67" t="s">
        <v>16</v>
      </c>
    </row>
    <row r="455" spans="1:15" x14ac:dyDescent="0.3">
      <c r="A455" s="76" t="s">
        <v>259</v>
      </c>
      <c r="B455" s="67" t="s">
        <v>15</v>
      </c>
      <c r="C455" s="67" t="s">
        <v>16</v>
      </c>
      <c r="D455" s="68">
        <v>45029</v>
      </c>
      <c r="E455" s="69">
        <v>2294</v>
      </c>
      <c r="F455" s="70">
        <f t="shared" si="120"/>
        <v>0.98823016564952049</v>
      </c>
      <c r="G455" s="69">
        <v>27</v>
      </c>
      <c r="H455" s="69">
        <v>676</v>
      </c>
      <c r="I455" s="70">
        <f t="shared" si="121"/>
        <v>0.2946817785527463</v>
      </c>
      <c r="J455" s="69">
        <v>6</v>
      </c>
      <c r="K455" s="70">
        <f t="shared" si="122"/>
        <v>2.6155187445510027E-3</v>
      </c>
      <c r="L455" s="70">
        <f t="shared" si="123"/>
        <v>8.8757396449704144E-3</v>
      </c>
      <c r="M455" s="69">
        <v>1</v>
      </c>
      <c r="N455" s="70">
        <f t="shared" si="124"/>
        <v>4.3591979075850045E-4</v>
      </c>
      <c r="O455" s="67" t="s">
        <v>16</v>
      </c>
    </row>
    <row r="456" spans="1:15" x14ac:dyDescent="0.3">
      <c r="A456" s="76" t="s">
        <v>260</v>
      </c>
      <c r="B456" s="67" t="s">
        <v>15</v>
      </c>
      <c r="C456" s="67" t="s">
        <v>16</v>
      </c>
      <c r="D456" s="68">
        <v>45029</v>
      </c>
      <c r="E456" s="69">
        <v>418356</v>
      </c>
      <c r="F456" s="70">
        <f t="shared" si="120"/>
        <v>0.99500425474954346</v>
      </c>
      <c r="G456" s="69">
        <v>2090</v>
      </c>
      <c r="H456" s="69">
        <v>149159</v>
      </c>
      <c r="I456" s="70">
        <f t="shared" si="121"/>
        <v>0.35653606019753509</v>
      </c>
      <c r="J456" s="69">
        <v>1081</v>
      </c>
      <c r="K456" s="70">
        <f t="shared" si="122"/>
        <v>2.5839237395902056E-3</v>
      </c>
      <c r="L456" s="70">
        <f t="shared" si="123"/>
        <v>7.2472998612219171E-3</v>
      </c>
      <c r="M456" s="69">
        <v>196</v>
      </c>
      <c r="N456" s="70">
        <f t="shared" si="124"/>
        <v>4.6850051152606869E-4</v>
      </c>
      <c r="O456" s="67" t="s">
        <v>16</v>
      </c>
    </row>
    <row r="457" spans="1:15" x14ac:dyDescent="0.3">
      <c r="A457" s="76" t="s">
        <v>261</v>
      </c>
      <c r="B457" s="67" t="s">
        <v>15</v>
      </c>
      <c r="C457" s="67" t="s">
        <v>16</v>
      </c>
      <c r="D457" s="68">
        <v>45029</v>
      </c>
      <c r="E457" s="69">
        <v>43324</v>
      </c>
      <c r="F457" s="70">
        <f t="shared" si="120"/>
        <v>0.99249838426738068</v>
      </c>
      <c r="G457" s="69">
        <v>325</v>
      </c>
      <c r="H457" s="69">
        <v>13991</v>
      </c>
      <c r="I457" s="70">
        <f t="shared" si="121"/>
        <v>0.32293878681562183</v>
      </c>
      <c r="J457" s="69">
        <v>154</v>
      </c>
      <c r="K457" s="70">
        <f t="shared" si="122"/>
        <v>3.5546117625334687E-3</v>
      </c>
      <c r="L457" s="70">
        <f t="shared" si="123"/>
        <v>1.1007075977414052E-2</v>
      </c>
      <c r="M457" s="69">
        <v>19</v>
      </c>
      <c r="N457" s="70">
        <f t="shared" si="124"/>
        <v>4.385559966762072E-4</v>
      </c>
      <c r="O457" s="67" t="s">
        <v>16</v>
      </c>
    </row>
    <row r="458" spans="1:15" x14ac:dyDescent="0.3">
      <c r="A458" s="66" t="s">
        <v>26</v>
      </c>
      <c r="B458" s="67"/>
      <c r="C458" s="67" t="s">
        <v>23</v>
      </c>
      <c r="D458" s="68">
        <v>45029</v>
      </c>
      <c r="E458" s="69">
        <v>1639</v>
      </c>
      <c r="F458" s="70">
        <f t="shared" si="120"/>
        <v>0.99755948749237344</v>
      </c>
      <c r="G458" s="69">
        <v>4</v>
      </c>
      <c r="H458" s="69">
        <v>559</v>
      </c>
      <c r="I458" s="70">
        <f t="shared" si="121"/>
        <v>0.3410616229408176</v>
      </c>
      <c r="J458" s="69">
        <v>13</v>
      </c>
      <c r="K458" s="70">
        <f t="shared" si="122"/>
        <v>7.9316656497864547E-3</v>
      </c>
      <c r="L458" s="70">
        <f t="shared" si="123"/>
        <v>2.3255813953488372E-2</v>
      </c>
      <c r="M458" s="69">
        <v>0</v>
      </c>
      <c r="N458" s="70">
        <f t="shared" si="124"/>
        <v>0</v>
      </c>
      <c r="O458" s="67" t="s">
        <v>23</v>
      </c>
    </row>
    <row r="459" spans="1:15" x14ac:dyDescent="0.3">
      <c r="A459" s="66" t="s">
        <v>28</v>
      </c>
      <c r="B459" s="67" t="s">
        <v>15</v>
      </c>
      <c r="C459" s="67" t="s">
        <v>16</v>
      </c>
      <c r="D459" s="68">
        <v>45030</v>
      </c>
      <c r="E459" s="69">
        <v>105155</v>
      </c>
      <c r="F459" s="70">
        <f t="shared" si="120"/>
        <v>0.99282012267604969</v>
      </c>
      <c r="G459" s="69">
        <v>755</v>
      </c>
      <c r="H459" s="69">
        <v>32793</v>
      </c>
      <c r="I459" s="70">
        <f t="shared" si="121"/>
        <v>0.31185392991298561</v>
      </c>
      <c r="J459" s="69">
        <v>553</v>
      </c>
      <c r="K459" s="70">
        <f t="shared" si="122"/>
        <v>5.2589035233702626E-3</v>
      </c>
      <c r="L459" s="70">
        <f t="shared" si="123"/>
        <v>1.686335498429543E-2</v>
      </c>
      <c r="M459" s="69">
        <v>55</v>
      </c>
      <c r="N459" s="70">
        <f t="shared" si="124"/>
        <v>5.230374209500261E-4</v>
      </c>
      <c r="O459" s="67" t="s">
        <v>16</v>
      </c>
    </row>
    <row r="460" spans="1:15" x14ac:dyDescent="0.3">
      <c r="A460" s="66" t="s">
        <v>28</v>
      </c>
      <c r="B460" s="67" t="s">
        <v>18</v>
      </c>
      <c r="C460" s="67" t="s">
        <v>16</v>
      </c>
      <c r="D460" s="68">
        <v>45030</v>
      </c>
      <c r="E460" s="69">
        <v>207014</v>
      </c>
      <c r="F460" s="70">
        <f t="shared" si="120"/>
        <v>0.99446414252176185</v>
      </c>
      <c r="G460" s="69">
        <v>1146</v>
      </c>
      <c r="H460" s="69">
        <v>63483</v>
      </c>
      <c r="I460" s="70">
        <f t="shared" si="121"/>
        <v>0.30666041910208969</v>
      </c>
      <c r="J460" s="69">
        <v>1099</v>
      </c>
      <c r="K460" s="70">
        <f t="shared" si="122"/>
        <v>5.3088196933540723E-3</v>
      </c>
      <c r="L460" s="70">
        <f t="shared" si="123"/>
        <v>1.7311721248208182E-2</v>
      </c>
      <c r="M460" s="69">
        <v>498</v>
      </c>
      <c r="N460" s="70">
        <f t="shared" si="124"/>
        <v>2.4056344015380604E-3</v>
      </c>
      <c r="O460" s="67" t="s">
        <v>16</v>
      </c>
    </row>
    <row r="461" spans="1:15" x14ac:dyDescent="0.3">
      <c r="A461" s="66" t="s">
        <v>22</v>
      </c>
      <c r="B461" s="67" t="s">
        <v>15</v>
      </c>
      <c r="C461" s="67" t="s">
        <v>16</v>
      </c>
      <c r="D461" s="68">
        <v>45030</v>
      </c>
      <c r="E461" s="69">
        <v>1885869</v>
      </c>
      <c r="F461" s="70">
        <f t="shared" si="120"/>
        <v>0.9949179927131736</v>
      </c>
      <c r="G461" s="69">
        <v>9584</v>
      </c>
      <c r="H461" s="69">
        <v>642469</v>
      </c>
      <c r="I461" s="70">
        <f t="shared" si="121"/>
        <v>0.34067530671536572</v>
      </c>
      <c r="J461" s="69">
        <v>7776</v>
      </c>
      <c r="K461" s="70">
        <f t="shared" si="122"/>
        <v>4.1232980657723312E-3</v>
      </c>
      <c r="L461" s="70">
        <f t="shared" si="123"/>
        <v>1.2103307708231837E-2</v>
      </c>
      <c r="M461" s="69">
        <v>1601</v>
      </c>
      <c r="N461" s="70">
        <f t="shared" si="124"/>
        <v>8.4894549939576924E-4</v>
      </c>
      <c r="O461" s="67" t="s">
        <v>16</v>
      </c>
    </row>
    <row r="462" spans="1:15" x14ac:dyDescent="0.3">
      <c r="A462" s="66" t="s">
        <v>22</v>
      </c>
      <c r="B462" s="67" t="s">
        <v>18</v>
      </c>
      <c r="C462" s="67" t="s">
        <v>16</v>
      </c>
      <c r="D462" s="68">
        <v>45030</v>
      </c>
      <c r="E462" s="69">
        <v>2273969</v>
      </c>
      <c r="F462" s="70">
        <f t="shared" si="120"/>
        <v>0.99563582441097487</v>
      </c>
      <c r="G462" s="69">
        <v>9924</v>
      </c>
      <c r="H462" s="69">
        <v>761356</v>
      </c>
      <c r="I462" s="70">
        <f t="shared" si="121"/>
        <v>0.33481371118075925</v>
      </c>
      <c r="J462" s="69">
        <v>9006</v>
      </c>
      <c r="K462" s="70">
        <f t="shared" si="122"/>
        <v>3.960476154248365E-3</v>
      </c>
      <c r="L462" s="70">
        <f t="shared" si="123"/>
        <v>1.1828894761451936E-2</v>
      </c>
      <c r="M462" s="69">
        <v>3810</v>
      </c>
      <c r="N462" s="70">
        <f t="shared" si="124"/>
        <v>1.6754845822436453E-3</v>
      </c>
      <c r="O462" s="67" t="s">
        <v>16</v>
      </c>
    </row>
    <row r="463" spans="1:15" x14ac:dyDescent="0.3">
      <c r="A463" s="66" t="s">
        <v>33</v>
      </c>
      <c r="B463" s="67" t="s">
        <v>18</v>
      </c>
      <c r="C463" s="67" t="s">
        <v>21</v>
      </c>
      <c r="D463" s="68">
        <v>45030</v>
      </c>
      <c r="E463" s="69">
        <v>238448</v>
      </c>
      <c r="F463" s="70">
        <f t="shared" si="120"/>
        <v>0.99592363953566398</v>
      </c>
      <c r="G463" s="69">
        <v>972</v>
      </c>
      <c r="H463" s="69">
        <v>106462</v>
      </c>
      <c r="I463" s="70">
        <f t="shared" si="121"/>
        <v>0.44647889686640274</v>
      </c>
      <c r="J463" s="69">
        <v>2225</v>
      </c>
      <c r="K463" s="70">
        <f t="shared" si="122"/>
        <v>9.331174931221901E-3</v>
      </c>
      <c r="L463" s="70">
        <f t="shared" si="123"/>
        <v>2.0899475869324266E-2</v>
      </c>
      <c r="M463" s="69">
        <v>223</v>
      </c>
      <c r="N463" s="70">
        <f t="shared" si="124"/>
        <v>9.352143863651614E-4</v>
      </c>
      <c r="O463" s="67" t="s">
        <v>21</v>
      </c>
    </row>
    <row r="464" spans="1:15" x14ac:dyDescent="0.3">
      <c r="A464" s="66" t="s">
        <v>19</v>
      </c>
      <c r="B464" s="67" t="s">
        <v>18</v>
      </c>
      <c r="C464" s="67" t="s">
        <v>21</v>
      </c>
      <c r="D464" s="68">
        <v>45030</v>
      </c>
      <c r="E464" s="69">
        <v>332969</v>
      </c>
      <c r="F464" s="70">
        <f t="shared" si="120"/>
        <v>0.99439287140844945</v>
      </c>
      <c r="G464" s="69">
        <v>1867</v>
      </c>
      <c r="H464" s="69">
        <v>120031</v>
      </c>
      <c r="I464" s="70">
        <f t="shared" si="121"/>
        <v>0.36048701230444874</v>
      </c>
      <c r="J464" s="69">
        <v>2852</v>
      </c>
      <c r="K464" s="70">
        <f t="shared" si="122"/>
        <v>8.5653619406010767E-3</v>
      </c>
      <c r="L464" s="70">
        <f t="shared" si="123"/>
        <v>2.3760528530129717E-2</v>
      </c>
      <c r="M464" s="69">
        <v>329</v>
      </c>
      <c r="N464" s="70">
        <f t="shared" si="124"/>
        <v>9.8807997140874966E-4</v>
      </c>
      <c r="O464" s="67" t="s">
        <v>21</v>
      </c>
    </row>
    <row r="465" spans="1:15" x14ac:dyDescent="0.3">
      <c r="A465" s="66" t="s">
        <v>24</v>
      </c>
      <c r="B465" s="67" t="s">
        <v>18</v>
      </c>
      <c r="C465" s="67" t="s">
        <v>21</v>
      </c>
      <c r="D465" s="68">
        <v>45031</v>
      </c>
      <c r="E465" s="69">
        <v>14896</v>
      </c>
      <c r="F465" s="70">
        <f t="shared" si="120"/>
        <v>0.9938238453276047</v>
      </c>
      <c r="G465" s="69">
        <v>92</v>
      </c>
      <c r="H465" s="69">
        <v>4369</v>
      </c>
      <c r="I465" s="70">
        <f t="shared" si="121"/>
        <v>0.29330021482277119</v>
      </c>
      <c r="J465" s="69">
        <v>141</v>
      </c>
      <c r="K465" s="70">
        <f t="shared" si="122"/>
        <v>9.4656283566058007E-3</v>
      </c>
      <c r="L465" s="70">
        <f t="shared" si="123"/>
        <v>3.2272831311512935E-2</v>
      </c>
      <c r="M465" s="69">
        <v>13</v>
      </c>
      <c r="N465" s="70">
        <f t="shared" si="124"/>
        <v>8.7271750805585397E-4</v>
      </c>
      <c r="O465" s="67" t="s">
        <v>21</v>
      </c>
    </row>
    <row r="466" spans="1:15" x14ac:dyDescent="0.3">
      <c r="A466" s="76" t="s">
        <v>75</v>
      </c>
      <c r="B466" s="67" t="s">
        <v>15</v>
      </c>
      <c r="C466" s="67" t="s">
        <v>16</v>
      </c>
      <c r="D466" s="68">
        <v>45031</v>
      </c>
      <c r="E466" s="69">
        <v>25186</v>
      </c>
      <c r="F466" s="70">
        <f t="shared" si="120"/>
        <v>0.99166203446359091</v>
      </c>
      <c r="G466" s="69">
        <v>210</v>
      </c>
      <c r="H466" s="69">
        <v>7636</v>
      </c>
      <c r="I466" s="70">
        <f t="shared" si="121"/>
        <v>0.30318430874295244</v>
      </c>
      <c r="J466" s="69">
        <v>186</v>
      </c>
      <c r="K466" s="70">
        <f t="shared" si="122"/>
        <v>7.3850551893909315E-3</v>
      </c>
      <c r="L466" s="70">
        <f t="shared" si="123"/>
        <v>2.4358302776322682E-2</v>
      </c>
      <c r="M466" s="69">
        <v>8</v>
      </c>
      <c r="N466" s="70">
        <f t="shared" si="124"/>
        <v>3.1763678233939492E-4</v>
      </c>
      <c r="O466" s="67" t="s">
        <v>16</v>
      </c>
    </row>
    <row r="467" spans="1:15" x14ac:dyDescent="0.3">
      <c r="A467" s="76" t="s">
        <v>78</v>
      </c>
      <c r="B467" s="67" t="s">
        <v>15</v>
      </c>
      <c r="C467" s="67" t="s">
        <v>16</v>
      </c>
      <c r="D467" s="68">
        <v>45031</v>
      </c>
      <c r="E467" s="69">
        <v>395764</v>
      </c>
      <c r="F467" s="70">
        <f t="shared" si="120"/>
        <v>0.99420108953820963</v>
      </c>
      <c r="G467" s="69">
        <v>2295</v>
      </c>
      <c r="H467" s="69">
        <v>134485</v>
      </c>
      <c r="I467" s="70">
        <f t="shared" si="121"/>
        <v>0.33981109954417277</v>
      </c>
      <c r="J467" s="69">
        <v>2675</v>
      </c>
      <c r="K467" s="70">
        <f t="shared" si="122"/>
        <v>6.7590786428275438E-3</v>
      </c>
      <c r="L467" s="70">
        <f t="shared" si="123"/>
        <v>1.9890694129456817E-2</v>
      </c>
      <c r="M467" s="69">
        <v>548</v>
      </c>
      <c r="N467" s="70">
        <f t="shared" si="124"/>
        <v>1.384663587390465E-3</v>
      </c>
      <c r="O467" s="67" t="s">
        <v>16</v>
      </c>
    </row>
    <row r="468" spans="1:15" x14ac:dyDescent="0.3">
      <c r="A468" s="76" t="s">
        <v>262</v>
      </c>
      <c r="B468" s="67" t="s">
        <v>18</v>
      </c>
      <c r="C468" s="67" t="s">
        <v>16</v>
      </c>
      <c r="D468" s="68">
        <v>45031</v>
      </c>
      <c r="E468" s="69">
        <v>1081731</v>
      </c>
      <c r="F468" s="70">
        <f t="shared" si="120"/>
        <v>0.99594908530863957</v>
      </c>
      <c r="G468" s="69">
        <v>4382</v>
      </c>
      <c r="H468" s="69">
        <v>381238</v>
      </c>
      <c r="I468" s="70">
        <f t="shared" si="121"/>
        <v>0.35243327592534557</v>
      </c>
      <c r="J468" s="69">
        <v>7312</v>
      </c>
      <c r="K468" s="70">
        <f t="shared" si="122"/>
        <v>6.7595363357433593E-3</v>
      </c>
      <c r="L468" s="70">
        <f t="shared" si="123"/>
        <v>1.9179620079845135E-2</v>
      </c>
      <c r="M468" s="69">
        <v>2756</v>
      </c>
      <c r="N468" s="70">
        <f t="shared" si="124"/>
        <v>2.5477683453649751E-3</v>
      </c>
      <c r="O468" s="67" t="s">
        <v>16</v>
      </c>
    </row>
    <row r="469" spans="1:15" x14ac:dyDescent="0.3">
      <c r="A469" s="76" t="s">
        <v>262</v>
      </c>
      <c r="B469" s="67" t="s">
        <v>15</v>
      </c>
      <c r="C469" s="67" t="s">
        <v>16</v>
      </c>
      <c r="D469" s="68">
        <v>45031</v>
      </c>
      <c r="E469" s="69">
        <v>867344</v>
      </c>
      <c r="F469" s="70">
        <f t="shared" si="120"/>
        <v>0.99517607777306349</v>
      </c>
      <c r="G469" s="69">
        <v>4184</v>
      </c>
      <c r="H469" s="69">
        <v>328333</v>
      </c>
      <c r="I469" s="70">
        <f t="shared" si="121"/>
        <v>0.37854991791031012</v>
      </c>
      <c r="J469" s="69">
        <v>7233</v>
      </c>
      <c r="K469" s="70">
        <f t="shared" si="122"/>
        <v>8.3392517847589876E-3</v>
      </c>
      <c r="L469" s="70">
        <f t="shared" si="123"/>
        <v>2.2029463989303541E-2</v>
      </c>
      <c r="M469" s="69">
        <v>896</v>
      </c>
      <c r="N469" s="70">
        <f t="shared" si="124"/>
        <v>1.0330387942961501E-3</v>
      </c>
      <c r="O469" s="67" t="s">
        <v>16</v>
      </c>
    </row>
    <row r="470" spans="1:15" x14ac:dyDescent="0.3">
      <c r="A470" s="76" t="s">
        <v>266</v>
      </c>
      <c r="B470" s="67" t="s">
        <v>15</v>
      </c>
      <c r="C470" s="67" t="s">
        <v>16</v>
      </c>
      <c r="D470" s="68">
        <v>45033</v>
      </c>
      <c r="E470" s="69">
        <v>98596</v>
      </c>
      <c r="F470" s="70">
        <f t="shared" ref="F470" si="125">(E470-G470)/E470</f>
        <v>0.99344801006126005</v>
      </c>
      <c r="G470" s="69">
        <v>646</v>
      </c>
      <c r="H470" s="69">
        <v>33372</v>
      </c>
      <c r="I470" s="70">
        <f t="shared" ref="I470" si="126">H470/E470</f>
        <v>0.33847214897156069</v>
      </c>
      <c r="J470" s="69">
        <v>298</v>
      </c>
      <c r="K470" s="70">
        <f t="shared" ref="K470" si="127">J470/E470</f>
        <v>3.022434987220577E-3</v>
      </c>
      <c r="L470" s="70">
        <f t="shared" ref="L470" si="128">J470/H470</f>
        <v>8.9296416157257589E-3</v>
      </c>
      <c r="M470" s="69">
        <v>58</v>
      </c>
      <c r="N470" s="70">
        <f t="shared" ref="N470" si="129">M470/E470</f>
        <v>5.8825915858655529E-4</v>
      </c>
      <c r="O470" s="67" t="s">
        <v>16</v>
      </c>
    </row>
    <row r="471" spans="1:15" x14ac:dyDescent="0.3">
      <c r="A471" s="76" t="s">
        <v>266</v>
      </c>
      <c r="B471" s="67" t="s">
        <v>18</v>
      </c>
      <c r="C471" s="67" t="s">
        <v>16</v>
      </c>
      <c r="D471" s="68">
        <v>45033</v>
      </c>
      <c r="E471" s="69">
        <v>168703</v>
      </c>
      <c r="F471" s="70">
        <f t="shared" ref="F471:F497" si="130">(E471-G471)/E471</f>
        <v>0.99504454574014689</v>
      </c>
      <c r="G471" s="69">
        <v>836</v>
      </c>
      <c r="H471" s="69">
        <v>55341</v>
      </c>
      <c r="I471" s="70">
        <f t="shared" ref="I471:I497" si="131">H471/E471</f>
        <v>0.32803803133317133</v>
      </c>
      <c r="J471" s="69">
        <v>679</v>
      </c>
      <c r="K471" s="70">
        <f t="shared" ref="K471:K497" si="132">J471/E471</f>
        <v>4.0248246919141924E-3</v>
      </c>
      <c r="L471" s="70">
        <f t="shared" ref="L471:L497" si="133">J471/H471</f>
        <v>1.2269384362407619E-2</v>
      </c>
      <c r="M471" s="69">
        <v>535</v>
      </c>
      <c r="N471" s="70">
        <f t="shared" ref="N471:N497" si="134">M471/E471</f>
        <v>3.1712536232313591E-3</v>
      </c>
      <c r="O471" s="67" t="s">
        <v>16</v>
      </c>
    </row>
    <row r="472" spans="1:15" x14ac:dyDescent="0.3">
      <c r="A472" s="76" t="s">
        <v>267</v>
      </c>
      <c r="B472" s="67" t="s">
        <v>15</v>
      </c>
      <c r="C472" s="67" t="s">
        <v>16</v>
      </c>
      <c r="D472" s="68">
        <v>45033</v>
      </c>
      <c r="E472" s="69">
        <v>1440021</v>
      </c>
      <c r="F472" s="70">
        <f t="shared" si="130"/>
        <v>0.99512437665839593</v>
      </c>
      <c r="G472" s="69">
        <v>7021</v>
      </c>
      <c r="H472" s="69">
        <v>594956</v>
      </c>
      <c r="I472" s="70">
        <f t="shared" si="131"/>
        <v>0.4131578636700437</v>
      </c>
      <c r="J472" s="69">
        <v>4024</v>
      </c>
      <c r="K472" s="70">
        <f t="shared" si="132"/>
        <v>2.7944036927239255E-3</v>
      </c>
      <c r="L472" s="70">
        <f t="shared" si="133"/>
        <v>6.7635253699433236E-3</v>
      </c>
      <c r="M472" s="69">
        <v>1467</v>
      </c>
      <c r="N472" s="70">
        <f t="shared" si="134"/>
        <v>1.0187351434458247E-3</v>
      </c>
      <c r="O472" s="67" t="s">
        <v>16</v>
      </c>
    </row>
    <row r="473" spans="1:15" x14ac:dyDescent="0.3">
      <c r="A473" s="76" t="s">
        <v>267</v>
      </c>
      <c r="B473" s="67" t="s">
        <v>18</v>
      </c>
      <c r="C473" s="67" t="s">
        <v>16</v>
      </c>
      <c r="D473" s="68">
        <v>45033</v>
      </c>
      <c r="E473" s="69">
        <v>1679912</v>
      </c>
      <c r="F473" s="70">
        <f t="shared" si="130"/>
        <v>0.99606527008557588</v>
      </c>
      <c r="G473" s="69">
        <v>6610</v>
      </c>
      <c r="H473" s="69">
        <v>619606</v>
      </c>
      <c r="I473" s="70">
        <f t="shared" si="131"/>
        <v>0.36883241503126352</v>
      </c>
      <c r="J473" s="69">
        <v>5407</v>
      </c>
      <c r="K473" s="70">
        <f t="shared" si="132"/>
        <v>3.2186209753844249E-3</v>
      </c>
      <c r="L473" s="70">
        <f t="shared" si="133"/>
        <v>8.7265133003876661E-3</v>
      </c>
      <c r="M473" s="69">
        <v>3701</v>
      </c>
      <c r="N473" s="70">
        <f t="shared" si="134"/>
        <v>2.2030915905118841E-3</v>
      </c>
      <c r="O473" s="67" t="s">
        <v>16</v>
      </c>
    </row>
    <row r="474" spans="1:15" x14ac:dyDescent="0.3">
      <c r="A474" s="76" t="s">
        <v>268</v>
      </c>
      <c r="B474" s="67" t="s">
        <v>15</v>
      </c>
      <c r="C474" s="67" t="s">
        <v>102</v>
      </c>
      <c r="D474" s="68">
        <v>45034</v>
      </c>
      <c r="E474" s="69">
        <v>17656</v>
      </c>
      <c r="F474" s="70">
        <f t="shared" si="130"/>
        <v>0.99637516991391029</v>
      </c>
      <c r="G474" s="69">
        <v>64</v>
      </c>
      <c r="H474" s="69">
        <v>9469</v>
      </c>
      <c r="I474" s="70">
        <f t="shared" si="131"/>
        <v>0.53630493883099228</v>
      </c>
      <c r="J474" s="69">
        <v>683</v>
      </c>
      <c r="K474" s="70">
        <f t="shared" si="132"/>
        <v>3.8683733574988673E-2</v>
      </c>
      <c r="L474" s="70">
        <f t="shared" si="133"/>
        <v>7.2130108776005911E-2</v>
      </c>
      <c r="M474" s="69">
        <v>8</v>
      </c>
      <c r="N474" s="70">
        <f t="shared" si="134"/>
        <v>4.5310376076121433E-4</v>
      </c>
      <c r="O474" s="67" t="s">
        <v>102</v>
      </c>
    </row>
    <row r="475" spans="1:15" x14ac:dyDescent="0.3">
      <c r="A475" s="76" t="s">
        <v>268</v>
      </c>
      <c r="B475" s="67" t="s">
        <v>18</v>
      </c>
      <c r="C475" s="67" t="s">
        <v>102</v>
      </c>
      <c r="D475" s="68">
        <v>45034</v>
      </c>
      <c r="E475" s="69">
        <v>4667</v>
      </c>
      <c r="F475" s="70">
        <f t="shared" si="130"/>
        <v>0.99678594386115282</v>
      </c>
      <c r="G475" s="69">
        <v>15</v>
      </c>
      <c r="H475" s="69">
        <v>2719</v>
      </c>
      <c r="I475" s="70">
        <f t="shared" si="131"/>
        <v>0.58260124276837366</v>
      </c>
      <c r="J475" s="69">
        <v>207</v>
      </c>
      <c r="K475" s="70">
        <f t="shared" si="132"/>
        <v>4.4353974716091711E-2</v>
      </c>
      <c r="L475" s="70">
        <f t="shared" si="133"/>
        <v>7.6130930489150428E-2</v>
      </c>
      <c r="M475" s="69">
        <v>3</v>
      </c>
      <c r="N475" s="70">
        <f t="shared" si="134"/>
        <v>6.4281122776944509E-4</v>
      </c>
      <c r="O475" s="67" t="s">
        <v>102</v>
      </c>
    </row>
    <row r="476" spans="1:15" x14ac:dyDescent="0.3">
      <c r="A476" s="66" t="s">
        <v>29</v>
      </c>
      <c r="B476" s="67" t="s">
        <v>15</v>
      </c>
      <c r="C476" s="67" t="s">
        <v>16</v>
      </c>
      <c r="D476" s="68">
        <v>45034</v>
      </c>
      <c r="E476" s="69">
        <v>26069</v>
      </c>
      <c r="F476" s="70">
        <f t="shared" si="130"/>
        <v>0.99397752119375504</v>
      </c>
      <c r="G476" s="69">
        <v>157</v>
      </c>
      <c r="H476" s="69">
        <v>9248</v>
      </c>
      <c r="I476" s="70">
        <f t="shared" si="131"/>
        <v>0.35475085350416202</v>
      </c>
      <c r="J476" s="69">
        <v>233</v>
      </c>
      <c r="K476" s="70">
        <f t="shared" si="132"/>
        <v>8.9378188653189607E-3</v>
      </c>
      <c r="L476" s="70">
        <f t="shared" si="133"/>
        <v>2.5194636678200693E-2</v>
      </c>
      <c r="M476" s="69">
        <v>13</v>
      </c>
      <c r="N476" s="70">
        <f t="shared" si="134"/>
        <v>4.9867658905213084E-4</v>
      </c>
      <c r="O476" s="67" t="s">
        <v>16</v>
      </c>
    </row>
    <row r="477" spans="1:15" x14ac:dyDescent="0.3">
      <c r="A477" s="66" t="s">
        <v>29</v>
      </c>
      <c r="B477" s="67" t="s">
        <v>18</v>
      </c>
      <c r="C477" s="67" t="s">
        <v>16</v>
      </c>
      <c r="D477" s="68">
        <v>45034</v>
      </c>
      <c r="E477" s="69">
        <v>26859</v>
      </c>
      <c r="F477" s="70">
        <f t="shared" si="130"/>
        <v>0.99545776089951232</v>
      </c>
      <c r="G477" s="69">
        <v>122</v>
      </c>
      <c r="H477" s="69">
        <v>9867</v>
      </c>
      <c r="I477" s="70">
        <f t="shared" si="131"/>
        <v>0.36736289511895454</v>
      </c>
      <c r="J477" s="69">
        <v>176</v>
      </c>
      <c r="K477" s="70">
        <f t="shared" si="132"/>
        <v>6.5527383744741052E-3</v>
      </c>
      <c r="L477" s="70">
        <f t="shared" si="133"/>
        <v>1.7837235228539576E-2</v>
      </c>
      <c r="M477" s="69">
        <v>37</v>
      </c>
      <c r="N477" s="70">
        <f t="shared" si="134"/>
        <v>1.3775643173610335E-3</v>
      </c>
      <c r="O477" s="67" t="s">
        <v>16</v>
      </c>
    </row>
    <row r="478" spans="1:15" x14ac:dyDescent="0.3">
      <c r="A478" s="66" t="s">
        <v>17</v>
      </c>
      <c r="B478" s="67" t="s">
        <v>15</v>
      </c>
      <c r="C478" s="67" t="s">
        <v>16</v>
      </c>
      <c r="D478" s="68">
        <v>45034</v>
      </c>
      <c r="E478" s="69">
        <v>230740</v>
      </c>
      <c r="F478" s="70">
        <f t="shared" si="130"/>
        <v>0.99862182543122124</v>
      </c>
      <c r="G478" s="69">
        <v>318</v>
      </c>
      <c r="H478" s="69">
        <v>82884</v>
      </c>
      <c r="I478" s="70">
        <f t="shared" si="131"/>
        <v>0.35920949986998352</v>
      </c>
      <c r="J478" s="69">
        <v>1364</v>
      </c>
      <c r="K478" s="70">
        <f t="shared" si="132"/>
        <v>5.9114154459564876E-3</v>
      </c>
      <c r="L478" s="70">
        <f t="shared" si="133"/>
        <v>1.6456734713575599E-2</v>
      </c>
      <c r="M478" s="69">
        <v>117</v>
      </c>
      <c r="N478" s="70">
        <f t="shared" si="134"/>
        <v>5.0706422813556382E-4</v>
      </c>
      <c r="O478" s="67" t="s">
        <v>16</v>
      </c>
    </row>
    <row r="479" spans="1:15" x14ac:dyDescent="0.3">
      <c r="A479" s="66" t="s">
        <v>17</v>
      </c>
      <c r="B479" s="67" t="s">
        <v>18</v>
      </c>
      <c r="C479" s="67" t="s">
        <v>16</v>
      </c>
      <c r="D479" s="68">
        <v>45034</v>
      </c>
      <c r="E479" s="69">
        <v>448953</v>
      </c>
      <c r="F479" s="70">
        <f t="shared" si="130"/>
        <v>0.99873928896788755</v>
      </c>
      <c r="G479" s="69">
        <v>566</v>
      </c>
      <c r="H479" s="69">
        <v>174098</v>
      </c>
      <c r="I479" s="70">
        <f t="shared" si="131"/>
        <v>0.38778669482106143</v>
      </c>
      <c r="J479" s="69">
        <v>2058</v>
      </c>
      <c r="K479" s="70">
        <f t="shared" si="132"/>
        <v>4.5839987704726333E-3</v>
      </c>
      <c r="L479" s="70">
        <f t="shared" si="133"/>
        <v>1.1820928442601294E-2</v>
      </c>
      <c r="M479" s="69">
        <v>462</v>
      </c>
      <c r="N479" s="70">
        <f t="shared" si="134"/>
        <v>1.0290609484734483E-3</v>
      </c>
      <c r="O479" s="67" t="s">
        <v>16</v>
      </c>
    </row>
    <row r="480" spans="1:15" x14ac:dyDescent="0.3">
      <c r="A480" s="76" t="s">
        <v>269</v>
      </c>
      <c r="B480" s="67" t="s">
        <v>18</v>
      </c>
      <c r="C480" s="67" t="s">
        <v>16</v>
      </c>
      <c r="D480" s="68">
        <v>45035</v>
      </c>
      <c r="E480" s="69">
        <v>4792</v>
      </c>
      <c r="F480" s="70">
        <f t="shared" si="130"/>
        <v>0.99436560934891483</v>
      </c>
      <c r="G480" s="69">
        <v>27</v>
      </c>
      <c r="H480" s="69">
        <v>1995</v>
      </c>
      <c r="I480" s="70">
        <f t="shared" si="131"/>
        <v>0.41631886477462438</v>
      </c>
      <c r="J480" s="69">
        <v>43</v>
      </c>
      <c r="K480" s="70">
        <f t="shared" si="132"/>
        <v>8.9732888146911525E-3</v>
      </c>
      <c r="L480" s="70">
        <f t="shared" si="133"/>
        <v>2.155388471177945E-2</v>
      </c>
      <c r="M480" s="69">
        <v>13</v>
      </c>
      <c r="N480" s="70">
        <f t="shared" si="134"/>
        <v>2.7128547579298831E-3</v>
      </c>
      <c r="O480" s="67" t="s">
        <v>16</v>
      </c>
    </row>
    <row r="481" spans="1:15" x14ac:dyDescent="0.3">
      <c r="A481" s="76" t="s">
        <v>269</v>
      </c>
      <c r="B481" s="67" t="s">
        <v>15</v>
      </c>
      <c r="C481" s="67" t="s">
        <v>16</v>
      </c>
      <c r="D481" s="68">
        <v>45035</v>
      </c>
      <c r="E481" s="69">
        <v>37739</v>
      </c>
      <c r="F481" s="70">
        <f t="shared" si="130"/>
        <v>0.9951774026868756</v>
      </c>
      <c r="G481" s="69">
        <v>182</v>
      </c>
      <c r="H481" s="69">
        <v>13962</v>
      </c>
      <c r="I481" s="70">
        <f t="shared" si="131"/>
        <v>0.3699621081639683</v>
      </c>
      <c r="J481" s="69">
        <v>190</v>
      </c>
      <c r="K481" s="70">
        <f t="shared" si="132"/>
        <v>5.0345796126023473E-3</v>
      </c>
      <c r="L481" s="70">
        <f t="shared" si="133"/>
        <v>1.3608365563672826E-2</v>
      </c>
      <c r="M481" s="69">
        <v>19</v>
      </c>
      <c r="N481" s="70">
        <f t="shared" si="134"/>
        <v>5.0345796126023473E-4</v>
      </c>
      <c r="O481" s="67" t="s">
        <v>16</v>
      </c>
    </row>
    <row r="482" spans="1:15" x14ac:dyDescent="0.3">
      <c r="A482" s="76" t="s">
        <v>270</v>
      </c>
      <c r="B482" s="67" t="s">
        <v>15</v>
      </c>
      <c r="C482" s="67" t="s">
        <v>16</v>
      </c>
      <c r="D482" s="68">
        <v>45035</v>
      </c>
      <c r="E482" s="69">
        <v>129791</v>
      </c>
      <c r="F482" s="70">
        <f t="shared" si="130"/>
        <v>0.99406738525783755</v>
      </c>
      <c r="G482" s="69">
        <v>770</v>
      </c>
      <c r="H482" s="69">
        <v>43752</v>
      </c>
      <c r="I482" s="70">
        <f t="shared" si="131"/>
        <v>0.33709579246634974</v>
      </c>
      <c r="J482" s="69">
        <v>569</v>
      </c>
      <c r="K482" s="70">
        <f t="shared" si="132"/>
        <v>4.3839711536239031E-3</v>
      </c>
      <c r="L482" s="70">
        <f t="shared" si="133"/>
        <v>1.3005119765953557E-2</v>
      </c>
      <c r="M482" s="69">
        <v>81</v>
      </c>
      <c r="N482" s="70">
        <f t="shared" si="134"/>
        <v>6.2408025209760305E-4</v>
      </c>
      <c r="O482" s="67" t="s">
        <v>16</v>
      </c>
    </row>
    <row r="483" spans="1:15" x14ac:dyDescent="0.3">
      <c r="A483" s="76" t="s">
        <v>270</v>
      </c>
      <c r="B483" s="67" t="s">
        <v>18</v>
      </c>
      <c r="C483" s="67" t="s">
        <v>16</v>
      </c>
      <c r="D483" s="68">
        <v>45035</v>
      </c>
      <c r="E483" s="69">
        <v>220238</v>
      </c>
      <c r="F483" s="70">
        <f t="shared" si="130"/>
        <v>0.99562291702612626</v>
      </c>
      <c r="G483" s="69">
        <v>964</v>
      </c>
      <c r="H483" s="69">
        <v>72297</v>
      </c>
      <c r="I483" s="70">
        <f t="shared" si="131"/>
        <v>0.32826760141301681</v>
      </c>
      <c r="J483" s="69">
        <v>981</v>
      </c>
      <c r="K483" s="70">
        <f t="shared" si="132"/>
        <v>4.4542721964420306E-3</v>
      </c>
      <c r="L483" s="70">
        <f t="shared" si="133"/>
        <v>1.3569027760487988E-2</v>
      </c>
      <c r="M483" s="69">
        <v>612</v>
      </c>
      <c r="N483" s="70">
        <f t="shared" si="134"/>
        <v>2.7788120124592488E-3</v>
      </c>
      <c r="O483" s="67" t="s">
        <v>16</v>
      </c>
    </row>
    <row r="484" spans="1:15" x14ac:dyDescent="0.3">
      <c r="A484" s="76" t="s">
        <v>271</v>
      </c>
      <c r="B484" s="67" t="s">
        <v>15</v>
      </c>
      <c r="C484" s="67" t="s">
        <v>16</v>
      </c>
      <c r="D484" s="68">
        <v>45035</v>
      </c>
      <c r="E484" s="69">
        <v>2319334</v>
      </c>
      <c r="F484" s="70">
        <f t="shared" si="130"/>
        <v>0.99541894354155114</v>
      </c>
      <c r="G484" s="69">
        <v>10625</v>
      </c>
      <c r="H484" s="69">
        <v>993500</v>
      </c>
      <c r="I484" s="70">
        <f t="shared" si="131"/>
        <v>0.42835572625589935</v>
      </c>
      <c r="J484" s="69">
        <v>9306</v>
      </c>
      <c r="K484" s="70">
        <f t="shared" si="132"/>
        <v>4.0123587202188218E-3</v>
      </c>
      <c r="L484" s="70">
        <f t="shared" si="133"/>
        <v>9.3668847508807246E-3</v>
      </c>
      <c r="M484" s="69">
        <v>2525</v>
      </c>
      <c r="N484" s="70">
        <f t="shared" si="134"/>
        <v>1.0886745936549026E-3</v>
      </c>
      <c r="O484" s="67" t="s">
        <v>16</v>
      </c>
    </row>
    <row r="485" spans="1:15" x14ac:dyDescent="0.3">
      <c r="A485" s="76" t="s">
        <v>271</v>
      </c>
      <c r="B485" s="67" t="s">
        <v>18</v>
      </c>
      <c r="C485" s="67" t="s">
        <v>16</v>
      </c>
      <c r="D485" s="68">
        <v>45035</v>
      </c>
      <c r="E485" s="69">
        <v>2446269</v>
      </c>
      <c r="F485" s="70">
        <f t="shared" si="130"/>
        <v>0.99636998220555462</v>
      </c>
      <c r="G485" s="69">
        <v>8880</v>
      </c>
      <c r="H485" s="69">
        <v>920184</v>
      </c>
      <c r="I485" s="70">
        <f t="shared" si="131"/>
        <v>0.37615814123467206</v>
      </c>
      <c r="J485" s="69">
        <v>9242</v>
      </c>
      <c r="K485" s="70">
        <f t="shared" si="132"/>
        <v>3.7779982495792573E-3</v>
      </c>
      <c r="L485" s="70">
        <f t="shared" si="133"/>
        <v>1.0043643445223998E-2</v>
      </c>
      <c r="M485" s="69">
        <v>5845</v>
      </c>
      <c r="N485" s="70">
        <f t="shared" si="134"/>
        <v>2.3893529288888508E-3</v>
      </c>
      <c r="O485" s="67" t="s">
        <v>16</v>
      </c>
    </row>
    <row r="486" spans="1:15" x14ac:dyDescent="0.3">
      <c r="A486" s="76" t="s">
        <v>272</v>
      </c>
      <c r="B486" s="67" t="s">
        <v>18</v>
      </c>
      <c r="C486" s="67" t="s">
        <v>16</v>
      </c>
      <c r="D486" s="68">
        <v>45035</v>
      </c>
      <c r="E486" s="69">
        <v>94696</v>
      </c>
      <c r="F486" s="70">
        <f t="shared" si="130"/>
        <v>0.9963884430176565</v>
      </c>
      <c r="G486" s="69">
        <v>342</v>
      </c>
      <c r="H486" s="69">
        <v>38081</v>
      </c>
      <c r="I486" s="70">
        <f t="shared" si="131"/>
        <v>0.40213947790825377</v>
      </c>
      <c r="J486" s="69">
        <v>537</v>
      </c>
      <c r="K486" s="70">
        <f t="shared" si="132"/>
        <v>5.6707780687674245E-3</v>
      </c>
      <c r="L486" s="70">
        <f t="shared" si="133"/>
        <v>1.410152044326567E-2</v>
      </c>
      <c r="M486" s="69">
        <v>262</v>
      </c>
      <c r="N486" s="70">
        <f t="shared" si="134"/>
        <v>2.7667483315029144E-3</v>
      </c>
      <c r="O486" s="67" t="s">
        <v>16</v>
      </c>
    </row>
    <row r="487" spans="1:15" x14ac:dyDescent="0.3">
      <c r="A487" s="76" t="s">
        <v>272</v>
      </c>
      <c r="B487" s="67" t="s">
        <v>15</v>
      </c>
      <c r="C487" s="67" t="s">
        <v>16</v>
      </c>
      <c r="D487" s="68">
        <v>45035</v>
      </c>
      <c r="E487" s="69">
        <v>187009</v>
      </c>
      <c r="F487" s="70">
        <f t="shared" si="130"/>
        <v>0.99566865765818757</v>
      </c>
      <c r="G487" s="69">
        <v>810</v>
      </c>
      <c r="H487" s="69">
        <v>70717</v>
      </c>
      <c r="I487" s="70">
        <f t="shared" si="131"/>
        <v>0.37814757578512265</v>
      </c>
      <c r="J487" s="69">
        <v>829</v>
      </c>
      <c r="K487" s="70">
        <f t="shared" si="132"/>
        <v>4.4329417300771621E-3</v>
      </c>
      <c r="L487" s="70">
        <f t="shared" si="133"/>
        <v>1.172278235784889E-2</v>
      </c>
      <c r="M487" s="69">
        <v>142</v>
      </c>
      <c r="N487" s="70">
        <f t="shared" si="134"/>
        <v>7.5932174387328955E-4</v>
      </c>
      <c r="O487" s="67" t="s">
        <v>16</v>
      </c>
    </row>
    <row r="488" spans="1:15" x14ac:dyDescent="0.3">
      <c r="A488" s="66" t="s">
        <v>26</v>
      </c>
      <c r="B488" s="67"/>
      <c r="C488" s="67" t="s">
        <v>23</v>
      </c>
      <c r="D488" s="68">
        <v>45036</v>
      </c>
      <c r="E488" s="69">
        <v>1642</v>
      </c>
      <c r="F488" s="70">
        <f t="shared" si="130"/>
        <v>0.99695493300852622</v>
      </c>
      <c r="G488" s="69">
        <v>5</v>
      </c>
      <c r="H488" s="69">
        <v>565</v>
      </c>
      <c r="I488" s="70">
        <f t="shared" si="131"/>
        <v>0.34409257003654081</v>
      </c>
      <c r="J488" s="69">
        <v>19</v>
      </c>
      <c r="K488" s="70">
        <f t="shared" si="132"/>
        <v>1.1571254567600487E-2</v>
      </c>
      <c r="L488" s="70">
        <f t="shared" si="133"/>
        <v>3.3628318584070796E-2</v>
      </c>
      <c r="M488" s="69">
        <v>1</v>
      </c>
      <c r="N488" s="70">
        <f t="shared" si="134"/>
        <v>6.0901339829476245E-4</v>
      </c>
      <c r="O488" s="67" t="s">
        <v>23</v>
      </c>
    </row>
    <row r="489" spans="1:15" x14ac:dyDescent="0.3">
      <c r="A489" s="76" t="s">
        <v>273</v>
      </c>
      <c r="B489" s="67" t="s">
        <v>15</v>
      </c>
      <c r="C489" s="67" t="s">
        <v>16</v>
      </c>
      <c r="D489" s="68">
        <v>45037</v>
      </c>
      <c r="E489" s="69">
        <v>42910</v>
      </c>
      <c r="F489" s="70">
        <f t="shared" si="130"/>
        <v>0.99594500116522955</v>
      </c>
      <c r="G489" s="69">
        <v>174</v>
      </c>
      <c r="H489" s="69">
        <v>17265</v>
      </c>
      <c r="I489" s="70">
        <f t="shared" si="131"/>
        <v>0.40235376369144721</v>
      </c>
      <c r="J489" s="69">
        <v>397</v>
      </c>
      <c r="K489" s="70">
        <f t="shared" si="132"/>
        <v>9.2519226287578644E-3</v>
      </c>
      <c r="L489" s="70">
        <f t="shared" si="133"/>
        <v>2.2994497538372429E-2</v>
      </c>
      <c r="M489" s="69">
        <v>17</v>
      </c>
      <c r="N489" s="70">
        <f t="shared" si="134"/>
        <v>3.9617804707527381E-4</v>
      </c>
      <c r="O489" s="67" t="s">
        <v>16</v>
      </c>
    </row>
    <row r="490" spans="1:15" x14ac:dyDescent="0.3">
      <c r="A490" s="76" t="s">
        <v>273</v>
      </c>
      <c r="B490" s="67" t="s">
        <v>18</v>
      </c>
      <c r="C490" s="67" t="s">
        <v>16</v>
      </c>
      <c r="D490" s="68">
        <v>45037</v>
      </c>
      <c r="E490" s="69">
        <v>13892</v>
      </c>
      <c r="F490" s="70">
        <f t="shared" si="130"/>
        <v>0.9967607255974662</v>
      </c>
      <c r="G490" s="69">
        <v>45</v>
      </c>
      <c r="H490" s="69">
        <v>5459</v>
      </c>
      <c r="I490" s="70">
        <f t="shared" si="131"/>
        <v>0.39295997696515983</v>
      </c>
      <c r="J490" s="69">
        <v>123</v>
      </c>
      <c r="K490" s="70">
        <f t="shared" si="132"/>
        <v>8.8540167002591416E-3</v>
      </c>
      <c r="L490" s="70">
        <f t="shared" si="133"/>
        <v>2.2531599193991572E-2</v>
      </c>
      <c r="M490" s="69">
        <v>9</v>
      </c>
      <c r="N490" s="70">
        <f t="shared" si="134"/>
        <v>6.4785488050676646E-4</v>
      </c>
      <c r="O490" s="67" t="s">
        <v>16</v>
      </c>
    </row>
    <row r="491" spans="1:15" x14ac:dyDescent="0.3">
      <c r="A491" s="66" t="s">
        <v>28</v>
      </c>
      <c r="B491" s="67" t="s">
        <v>15</v>
      </c>
      <c r="C491" s="67" t="s">
        <v>16</v>
      </c>
      <c r="D491" s="68">
        <v>45037</v>
      </c>
      <c r="E491" s="69">
        <v>105314</v>
      </c>
      <c r="F491" s="70">
        <f t="shared" si="130"/>
        <v>0.99466357749207135</v>
      </c>
      <c r="G491" s="69">
        <v>562</v>
      </c>
      <c r="H491" s="69">
        <v>32307</v>
      </c>
      <c r="I491" s="70">
        <f t="shared" si="131"/>
        <v>0.30676833089617717</v>
      </c>
      <c r="J491" s="69">
        <v>644</v>
      </c>
      <c r="K491" s="70">
        <f t="shared" si="132"/>
        <v>6.1150464325730675E-3</v>
      </c>
      <c r="L491" s="70">
        <f t="shared" si="133"/>
        <v>1.9933760485343732E-2</v>
      </c>
      <c r="M491" s="69">
        <v>81</v>
      </c>
      <c r="N491" s="70">
        <f t="shared" si="134"/>
        <v>7.6912851092922124E-4</v>
      </c>
      <c r="O491" s="67" t="s">
        <v>16</v>
      </c>
    </row>
    <row r="492" spans="1:15" x14ac:dyDescent="0.3">
      <c r="A492" s="66" t="s">
        <v>28</v>
      </c>
      <c r="B492" s="67" t="s">
        <v>18</v>
      </c>
      <c r="C492" s="67" t="s">
        <v>16</v>
      </c>
      <c r="D492" s="68">
        <v>45037</v>
      </c>
      <c r="E492" s="69">
        <v>206840</v>
      </c>
      <c r="F492" s="70">
        <f t="shared" si="130"/>
        <v>0.99593405530845103</v>
      </c>
      <c r="G492" s="69">
        <v>841</v>
      </c>
      <c r="H492" s="69">
        <v>62825</v>
      </c>
      <c r="I492" s="70">
        <f t="shared" si="131"/>
        <v>0.30373718816476503</v>
      </c>
      <c r="J492" s="69">
        <v>1163</v>
      </c>
      <c r="K492" s="70">
        <f t="shared" si="132"/>
        <v>5.6227035389673176E-3</v>
      </c>
      <c r="L492" s="70">
        <f t="shared" si="133"/>
        <v>1.8511738957421409E-2</v>
      </c>
      <c r="M492" s="69">
        <v>425</v>
      </c>
      <c r="N492" s="70">
        <f t="shared" si="134"/>
        <v>2.0547282923999224E-3</v>
      </c>
      <c r="O492" s="67" t="s">
        <v>16</v>
      </c>
    </row>
    <row r="493" spans="1:15" x14ac:dyDescent="0.3">
      <c r="A493" s="66" t="s">
        <v>22</v>
      </c>
      <c r="B493" s="67" t="s">
        <v>15</v>
      </c>
      <c r="C493" s="67" t="s">
        <v>16</v>
      </c>
      <c r="D493" s="68">
        <v>45037</v>
      </c>
      <c r="E493" s="69">
        <v>1903092</v>
      </c>
      <c r="F493" s="70">
        <f t="shared" si="130"/>
        <v>0.99565496570843659</v>
      </c>
      <c r="G493" s="69">
        <v>8269</v>
      </c>
      <c r="H493" s="69">
        <v>642254</v>
      </c>
      <c r="I493" s="70">
        <f t="shared" si="131"/>
        <v>0.33747921803044728</v>
      </c>
      <c r="J493" s="69">
        <v>7210</v>
      </c>
      <c r="K493" s="70">
        <f t="shared" si="132"/>
        <v>3.7885714405819582E-3</v>
      </c>
      <c r="L493" s="70">
        <f t="shared" si="133"/>
        <v>1.1226088120899208E-2</v>
      </c>
      <c r="M493" s="69">
        <v>1729</v>
      </c>
      <c r="N493" s="70">
        <f t="shared" si="134"/>
        <v>9.0852150079975119E-4</v>
      </c>
      <c r="O493" s="67" t="s">
        <v>16</v>
      </c>
    </row>
    <row r="494" spans="1:15" x14ac:dyDescent="0.3">
      <c r="A494" s="66" t="s">
        <v>22</v>
      </c>
      <c r="B494" s="67" t="s">
        <v>18</v>
      </c>
      <c r="C494" s="67" t="s">
        <v>16</v>
      </c>
      <c r="D494" s="68">
        <v>45037</v>
      </c>
      <c r="E494" s="69">
        <v>2279587</v>
      </c>
      <c r="F494" s="70">
        <f t="shared" si="130"/>
        <v>0.99632301816074575</v>
      </c>
      <c r="G494" s="69">
        <v>8382</v>
      </c>
      <c r="H494" s="69">
        <v>757186</v>
      </c>
      <c r="I494" s="70">
        <f t="shared" si="131"/>
        <v>0.33215929025740187</v>
      </c>
      <c r="J494" s="69">
        <v>8619</v>
      </c>
      <c r="K494" s="70">
        <f t="shared" si="132"/>
        <v>3.7809480401493779E-3</v>
      </c>
      <c r="L494" s="70">
        <f t="shared" si="133"/>
        <v>1.1382936293064055E-2</v>
      </c>
      <c r="M494" s="69">
        <v>3679</v>
      </c>
      <c r="N494" s="70">
        <f t="shared" si="134"/>
        <v>1.6138888316173062E-3</v>
      </c>
      <c r="O494" s="67" t="s">
        <v>16</v>
      </c>
    </row>
    <row r="495" spans="1:15" x14ac:dyDescent="0.3">
      <c r="A495" s="66" t="s">
        <v>19</v>
      </c>
      <c r="B495" s="67" t="s">
        <v>18</v>
      </c>
      <c r="C495" s="67" t="s">
        <v>21</v>
      </c>
      <c r="D495" s="68">
        <v>45037</v>
      </c>
      <c r="E495" s="69">
        <v>332852</v>
      </c>
      <c r="F495" s="70">
        <f t="shared" si="130"/>
        <v>0.99491365531827958</v>
      </c>
      <c r="G495" s="69">
        <v>1693</v>
      </c>
      <c r="H495" s="69">
        <v>123871</v>
      </c>
      <c r="I495" s="70">
        <f t="shared" si="131"/>
        <v>0.3721503851561655</v>
      </c>
      <c r="J495" s="69">
        <v>2630</v>
      </c>
      <c r="K495" s="70">
        <f t="shared" si="132"/>
        <v>7.9014096355136815E-3</v>
      </c>
      <c r="L495" s="70">
        <f t="shared" si="133"/>
        <v>2.1231765304227785E-2</v>
      </c>
      <c r="M495" s="69">
        <v>304</v>
      </c>
      <c r="N495" s="70">
        <f t="shared" si="134"/>
        <v>9.1331883239397687E-4</v>
      </c>
      <c r="O495" s="67" t="s">
        <v>21</v>
      </c>
    </row>
    <row r="496" spans="1:15" x14ac:dyDescent="0.3">
      <c r="A496" s="66" t="s">
        <v>33</v>
      </c>
      <c r="B496" s="67" t="s">
        <v>18</v>
      </c>
      <c r="C496" s="67" t="s">
        <v>21</v>
      </c>
      <c r="D496" s="68">
        <v>45037</v>
      </c>
      <c r="E496" s="69">
        <v>237372</v>
      </c>
      <c r="F496" s="70">
        <f t="shared" si="130"/>
        <v>0.99668031612827124</v>
      </c>
      <c r="G496" s="69">
        <v>788</v>
      </c>
      <c r="H496" s="69">
        <v>109976</v>
      </c>
      <c r="I496" s="70">
        <f t="shared" si="131"/>
        <v>0.46330653994573917</v>
      </c>
      <c r="J496" s="69">
        <v>2393</v>
      </c>
      <c r="K496" s="70">
        <f t="shared" si="132"/>
        <v>1.0081222722140775E-2</v>
      </c>
      <c r="L496" s="70">
        <f t="shared" si="133"/>
        <v>2.1759292936640723E-2</v>
      </c>
      <c r="M496" s="69">
        <v>217</v>
      </c>
      <c r="N496" s="70">
        <f t="shared" si="134"/>
        <v>9.1417690376287015E-4</v>
      </c>
      <c r="O496" s="67" t="s">
        <v>21</v>
      </c>
    </row>
    <row r="497" spans="1:15" x14ac:dyDescent="0.3">
      <c r="A497" s="76" t="s">
        <v>274</v>
      </c>
      <c r="B497" s="67" t="s">
        <v>15</v>
      </c>
      <c r="C497" s="67" t="s">
        <v>27</v>
      </c>
      <c r="D497" s="68">
        <v>45037</v>
      </c>
      <c r="E497" s="69">
        <v>162082</v>
      </c>
      <c r="F497" s="70">
        <f t="shared" si="130"/>
        <v>0.99534803371133129</v>
      </c>
      <c r="G497" s="69">
        <v>754</v>
      </c>
      <c r="H497" s="69">
        <v>66927</v>
      </c>
      <c r="I497" s="70">
        <f t="shared" si="131"/>
        <v>0.41292062042669758</v>
      </c>
      <c r="J497" s="69">
        <v>1518</v>
      </c>
      <c r="K497" s="70">
        <f t="shared" si="132"/>
        <v>9.365629742969608E-3</v>
      </c>
      <c r="L497" s="70">
        <f t="shared" si="133"/>
        <v>2.2681429019678158E-2</v>
      </c>
      <c r="M497" s="69">
        <v>891</v>
      </c>
      <c r="N497" s="70">
        <f t="shared" si="134"/>
        <v>5.497217457829987E-3</v>
      </c>
      <c r="O497" s="67" t="s">
        <v>27</v>
      </c>
    </row>
    <row r="498" spans="1:15" x14ac:dyDescent="0.3">
      <c r="A498" s="65" t="s">
        <v>296</v>
      </c>
      <c r="B498" s="67" t="s">
        <v>18</v>
      </c>
      <c r="C498" s="67" t="s">
        <v>16</v>
      </c>
      <c r="D498" s="68">
        <v>45040</v>
      </c>
      <c r="E498" s="69">
        <v>23526</v>
      </c>
      <c r="F498" s="70">
        <f t="shared" ref="F498:F531" si="135">(E498-G498)/E498</f>
        <v>0.99634446994814252</v>
      </c>
      <c r="G498" s="69">
        <v>86</v>
      </c>
      <c r="H498" s="69">
        <v>11998</v>
      </c>
      <c r="I498" s="70">
        <f t="shared" ref="I498:I531" si="136">H498/E498</f>
        <v>0.50998894839751763</v>
      </c>
      <c r="J498" s="69">
        <v>332</v>
      </c>
      <c r="K498" s="70">
        <f t="shared" ref="K498:K531" si="137">J498/E498</f>
        <v>1.4112046246705772E-2</v>
      </c>
      <c r="L498" s="70">
        <f t="shared" ref="L498:L531" si="138">J498/H498</f>
        <v>2.7671278546424403E-2</v>
      </c>
      <c r="M498" s="69">
        <v>179</v>
      </c>
      <c r="N498" s="70">
        <f t="shared" ref="N498:N531" si="139">M498/E498</f>
        <v>7.6086032474708834E-3</v>
      </c>
      <c r="O498" s="67" t="s">
        <v>16</v>
      </c>
    </row>
    <row r="499" spans="1:15" x14ac:dyDescent="0.3">
      <c r="A499" s="66" t="s">
        <v>29</v>
      </c>
      <c r="B499" s="67" t="s">
        <v>18</v>
      </c>
      <c r="C499" s="67" t="s">
        <v>16</v>
      </c>
      <c r="D499" s="68">
        <v>45041</v>
      </c>
      <c r="E499" s="69">
        <v>26947</v>
      </c>
      <c r="F499" s="70">
        <f t="shared" si="135"/>
        <v>0.99654878094036436</v>
      </c>
      <c r="G499" s="69">
        <v>93</v>
      </c>
      <c r="H499" s="69">
        <v>9894</v>
      </c>
      <c r="I499" s="70">
        <f t="shared" si="136"/>
        <v>0.36716517608639182</v>
      </c>
      <c r="J499" s="69">
        <v>179</v>
      </c>
      <c r="K499" s="70">
        <f t="shared" si="137"/>
        <v>6.6426689427394516E-3</v>
      </c>
      <c r="L499" s="70">
        <f t="shared" si="138"/>
        <v>1.8091772791590865E-2</v>
      </c>
      <c r="M499" s="69">
        <v>26</v>
      </c>
      <c r="N499" s="70">
        <f t="shared" si="139"/>
        <v>9.6485694140349579E-4</v>
      </c>
      <c r="O499" s="67" t="s">
        <v>16</v>
      </c>
    </row>
    <row r="500" spans="1:15" x14ac:dyDescent="0.3">
      <c r="A500" s="66" t="s">
        <v>29</v>
      </c>
      <c r="B500" s="67" t="s">
        <v>15</v>
      </c>
      <c r="C500" s="67" t="s">
        <v>16</v>
      </c>
      <c r="D500" s="68">
        <v>45041</v>
      </c>
      <c r="E500" s="69">
        <v>26154</v>
      </c>
      <c r="F500" s="70">
        <f t="shared" si="135"/>
        <v>0.99445591496520613</v>
      </c>
      <c r="G500" s="69">
        <v>145</v>
      </c>
      <c r="H500" s="69">
        <v>9001</v>
      </c>
      <c r="I500" s="70">
        <f t="shared" si="136"/>
        <v>0.34415385791848285</v>
      </c>
      <c r="J500" s="69">
        <v>223</v>
      </c>
      <c r="K500" s="70">
        <f t="shared" si="137"/>
        <v>8.5264204328209837E-3</v>
      </c>
      <c r="L500" s="70">
        <f t="shared" si="138"/>
        <v>2.477502499722253E-2</v>
      </c>
      <c r="M500" s="69">
        <v>14</v>
      </c>
      <c r="N500" s="70">
        <f t="shared" si="139"/>
        <v>5.3529096887665372E-4</v>
      </c>
      <c r="O500" s="67" t="s">
        <v>16</v>
      </c>
    </row>
    <row r="501" spans="1:15" x14ac:dyDescent="0.3">
      <c r="A501" s="66" t="s">
        <v>17</v>
      </c>
      <c r="B501" s="67" t="s">
        <v>15</v>
      </c>
      <c r="C501" s="67" t="s">
        <v>16</v>
      </c>
      <c r="D501" s="68">
        <v>45041</v>
      </c>
      <c r="E501" s="69">
        <v>232199</v>
      </c>
      <c r="F501" s="70">
        <f t="shared" si="135"/>
        <v>0.99478895257946842</v>
      </c>
      <c r="G501" s="69">
        <v>1210</v>
      </c>
      <c r="H501" s="69">
        <v>82640</v>
      </c>
      <c r="I501" s="70">
        <f t="shared" si="136"/>
        <v>0.35590161887002097</v>
      </c>
      <c r="J501" s="69">
        <v>1568</v>
      </c>
      <c r="K501" s="70">
        <f t="shared" si="137"/>
        <v>6.7528283928871358E-3</v>
      </c>
      <c r="L501" s="70">
        <f t="shared" si="138"/>
        <v>1.8973862536302032E-2</v>
      </c>
      <c r="M501" s="69">
        <v>127</v>
      </c>
      <c r="N501" s="70">
        <f t="shared" si="139"/>
        <v>5.4694464661777186E-4</v>
      </c>
      <c r="O501" s="67" t="s">
        <v>16</v>
      </c>
    </row>
    <row r="502" spans="1:15" x14ac:dyDescent="0.3">
      <c r="A502" s="66" t="s">
        <v>17</v>
      </c>
      <c r="B502" s="67" t="s">
        <v>18</v>
      </c>
      <c r="C502" s="67" t="s">
        <v>16</v>
      </c>
      <c r="D502" s="68">
        <v>45041</v>
      </c>
      <c r="E502" s="69">
        <v>450922</v>
      </c>
      <c r="F502" s="70">
        <f t="shared" si="135"/>
        <v>0.99647167359321565</v>
      </c>
      <c r="G502" s="69">
        <v>1591</v>
      </c>
      <c r="H502" s="69">
        <v>173036</v>
      </c>
      <c r="I502" s="70">
        <f t="shared" si="136"/>
        <v>0.38373820749486609</v>
      </c>
      <c r="J502" s="69">
        <v>2250</v>
      </c>
      <c r="K502" s="70">
        <f t="shared" si="137"/>
        <v>4.9897765023662628E-3</v>
      </c>
      <c r="L502" s="70">
        <f t="shared" si="138"/>
        <v>1.300307450472734E-2</v>
      </c>
      <c r="M502" s="69">
        <v>405</v>
      </c>
      <c r="N502" s="70">
        <f t="shared" si="139"/>
        <v>8.9815977042592731E-4</v>
      </c>
      <c r="O502" s="67" t="s">
        <v>16</v>
      </c>
    </row>
    <row r="503" spans="1:15" x14ac:dyDescent="0.3">
      <c r="A503" s="76" t="s">
        <v>277</v>
      </c>
      <c r="B503" s="67" t="s">
        <v>15</v>
      </c>
      <c r="C503" s="67" t="s">
        <v>16</v>
      </c>
      <c r="D503" s="68">
        <v>45041</v>
      </c>
      <c r="E503" s="69">
        <v>16590</v>
      </c>
      <c r="F503" s="70">
        <f t="shared" si="135"/>
        <v>0.99590114526823392</v>
      </c>
      <c r="G503" s="69">
        <v>68</v>
      </c>
      <c r="H503" s="69">
        <v>6846</v>
      </c>
      <c r="I503" s="70">
        <f t="shared" si="136"/>
        <v>0.41265822784810124</v>
      </c>
      <c r="J503" s="69">
        <v>205</v>
      </c>
      <c r="K503" s="70">
        <f t="shared" si="137"/>
        <v>1.2356841470765521E-2</v>
      </c>
      <c r="L503" s="70">
        <f t="shared" si="138"/>
        <v>2.9944493134677185E-2</v>
      </c>
      <c r="M503" s="69">
        <v>4</v>
      </c>
      <c r="N503" s="70">
        <f t="shared" si="139"/>
        <v>2.4110910186859555E-4</v>
      </c>
      <c r="O503" s="67" t="s">
        <v>16</v>
      </c>
    </row>
    <row r="504" spans="1:15" x14ac:dyDescent="0.3">
      <c r="A504" s="76" t="s">
        <v>278</v>
      </c>
      <c r="B504" s="67" t="s">
        <v>15</v>
      </c>
      <c r="C504" s="67" t="s">
        <v>16</v>
      </c>
      <c r="D504" s="68">
        <v>45041</v>
      </c>
      <c r="E504" s="69">
        <v>2390</v>
      </c>
      <c r="F504" s="70">
        <f t="shared" si="135"/>
        <v>0.99497907949790798</v>
      </c>
      <c r="G504" s="69">
        <v>12</v>
      </c>
      <c r="H504" s="69">
        <v>1041</v>
      </c>
      <c r="I504" s="70">
        <f t="shared" si="136"/>
        <v>0.43556485355648533</v>
      </c>
      <c r="J504" s="69">
        <v>50</v>
      </c>
      <c r="K504" s="70">
        <f t="shared" si="137"/>
        <v>2.0920502092050208E-2</v>
      </c>
      <c r="L504" s="70">
        <f t="shared" si="138"/>
        <v>4.8030739673390971E-2</v>
      </c>
      <c r="M504" s="69">
        <v>0</v>
      </c>
      <c r="N504" s="70">
        <f t="shared" si="139"/>
        <v>0</v>
      </c>
      <c r="O504" s="67" t="s">
        <v>16</v>
      </c>
    </row>
    <row r="505" spans="1:15" x14ac:dyDescent="0.3">
      <c r="A505" s="76" t="s">
        <v>279</v>
      </c>
      <c r="B505" s="67" t="s">
        <v>15</v>
      </c>
      <c r="C505" s="67" t="s">
        <v>16</v>
      </c>
      <c r="D505" s="68">
        <v>45041</v>
      </c>
      <c r="E505" s="69">
        <v>17694</v>
      </c>
      <c r="F505" s="70">
        <f t="shared" si="135"/>
        <v>0.99559172600881651</v>
      </c>
      <c r="G505" s="69">
        <v>78</v>
      </c>
      <c r="H505" s="69">
        <v>7266</v>
      </c>
      <c r="I505" s="70">
        <f t="shared" si="136"/>
        <v>0.41064767717870465</v>
      </c>
      <c r="J505" s="69">
        <v>219</v>
      </c>
      <c r="K505" s="70">
        <f t="shared" si="137"/>
        <v>1.2377076975245847E-2</v>
      </c>
      <c r="L505" s="70">
        <f t="shared" si="138"/>
        <v>3.014037985136251E-2</v>
      </c>
      <c r="M505" s="69">
        <v>6</v>
      </c>
      <c r="N505" s="70">
        <f t="shared" si="139"/>
        <v>3.3909799932180403E-4</v>
      </c>
      <c r="O505" s="67" t="s">
        <v>16</v>
      </c>
    </row>
    <row r="506" spans="1:15" x14ac:dyDescent="0.3">
      <c r="A506" s="76" t="s">
        <v>280</v>
      </c>
      <c r="B506" s="67" t="s">
        <v>15</v>
      </c>
      <c r="C506" s="67" t="s">
        <v>16</v>
      </c>
      <c r="D506" s="68">
        <v>45041</v>
      </c>
      <c r="E506" s="69">
        <v>1978</v>
      </c>
      <c r="F506" s="70">
        <f t="shared" si="135"/>
        <v>0.99393326592517695</v>
      </c>
      <c r="G506" s="69">
        <v>12</v>
      </c>
      <c r="H506" s="69">
        <v>762</v>
      </c>
      <c r="I506" s="70">
        <f t="shared" si="136"/>
        <v>0.38523761375126392</v>
      </c>
      <c r="J506" s="69">
        <v>31</v>
      </c>
      <c r="K506" s="70">
        <f t="shared" si="137"/>
        <v>1.5672396359959553E-2</v>
      </c>
      <c r="L506" s="70">
        <f t="shared" si="138"/>
        <v>4.0682414698162729E-2</v>
      </c>
      <c r="M506" s="69">
        <v>0</v>
      </c>
      <c r="N506" s="70">
        <f t="shared" si="139"/>
        <v>0</v>
      </c>
      <c r="O506" s="67" t="s">
        <v>16</v>
      </c>
    </row>
    <row r="507" spans="1:15" x14ac:dyDescent="0.3">
      <c r="A507" s="76" t="s">
        <v>281</v>
      </c>
      <c r="B507" s="67" t="s">
        <v>15</v>
      </c>
      <c r="C507" s="67" t="s">
        <v>16</v>
      </c>
      <c r="D507" s="68">
        <v>45041</v>
      </c>
      <c r="E507" s="69">
        <v>32027</v>
      </c>
      <c r="F507" s="70">
        <f t="shared" si="135"/>
        <v>0.995784806569457</v>
      </c>
      <c r="G507" s="69">
        <v>135</v>
      </c>
      <c r="H507" s="69">
        <v>12976</v>
      </c>
      <c r="I507" s="70">
        <f t="shared" si="136"/>
        <v>0.40515814781278298</v>
      </c>
      <c r="J507" s="69">
        <v>378</v>
      </c>
      <c r="K507" s="70">
        <f t="shared" si="137"/>
        <v>1.1802541605520342E-2</v>
      </c>
      <c r="L507" s="70">
        <f t="shared" si="138"/>
        <v>2.9130702836004933E-2</v>
      </c>
      <c r="M507" s="69">
        <v>14</v>
      </c>
      <c r="N507" s="70">
        <f t="shared" si="139"/>
        <v>4.3713117057482748E-4</v>
      </c>
      <c r="O507" s="67" t="s">
        <v>16</v>
      </c>
    </row>
    <row r="508" spans="1:15" x14ac:dyDescent="0.3">
      <c r="A508" s="76" t="s">
        <v>282</v>
      </c>
      <c r="B508" s="67" t="s">
        <v>15</v>
      </c>
      <c r="C508" s="67" t="s">
        <v>16</v>
      </c>
      <c r="D508" s="68">
        <v>45041</v>
      </c>
      <c r="E508" s="69">
        <v>3489</v>
      </c>
      <c r="F508" s="70">
        <f t="shared" si="135"/>
        <v>0.9957007738607051</v>
      </c>
      <c r="G508" s="69">
        <v>15</v>
      </c>
      <c r="H508" s="69">
        <v>1449</v>
      </c>
      <c r="I508" s="70">
        <f t="shared" si="136"/>
        <v>0.41530524505588995</v>
      </c>
      <c r="J508" s="69">
        <v>67</v>
      </c>
      <c r="K508" s="70">
        <f t="shared" si="137"/>
        <v>1.9203210088850675E-2</v>
      </c>
      <c r="L508" s="70">
        <f t="shared" si="138"/>
        <v>4.6238785369220152E-2</v>
      </c>
      <c r="M508" s="69">
        <v>0</v>
      </c>
      <c r="N508" s="70">
        <f t="shared" si="139"/>
        <v>0</v>
      </c>
      <c r="O508" s="67" t="s">
        <v>16</v>
      </c>
    </row>
    <row r="509" spans="1:15" x14ac:dyDescent="0.3">
      <c r="A509" s="76" t="s">
        <v>283</v>
      </c>
      <c r="B509" s="67" t="s">
        <v>15</v>
      </c>
      <c r="C509" s="67" t="s">
        <v>16</v>
      </c>
      <c r="D509" s="68">
        <v>45041</v>
      </c>
      <c r="E509" s="69">
        <v>101678</v>
      </c>
      <c r="F509" s="70">
        <f t="shared" si="135"/>
        <v>0.99633155648222826</v>
      </c>
      <c r="G509" s="69">
        <v>373</v>
      </c>
      <c r="H509" s="69">
        <v>41540</v>
      </c>
      <c r="I509" s="70">
        <f t="shared" si="136"/>
        <v>0.40854462125533547</v>
      </c>
      <c r="J509" s="69">
        <v>1508</v>
      </c>
      <c r="K509" s="70">
        <f t="shared" si="137"/>
        <v>1.4831133578551899E-2</v>
      </c>
      <c r="L509" s="70">
        <f t="shared" si="138"/>
        <v>3.6302359171882521E-2</v>
      </c>
      <c r="M509" s="69">
        <v>36</v>
      </c>
      <c r="N509" s="70">
        <f t="shared" si="139"/>
        <v>3.540588917956687E-4</v>
      </c>
      <c r="O509" s="67" t="s">
        <v>16</v>
      </c>
    </row>
    <row r="510" spans="1:15" x14ac:dyDescent="0.3">
      <c r="A510" s="76" t="s">
        <v>284</v>
      </c>
      <c r="B510" s="67" t="s">
        <v>15</v>
      </c>
      <c r="C510" s="67" t="s">
        <v>16</v>
      </c>
      <c r="D510" s="68">
        <v>45041</v>
      </c>
      <c r="E510" s="69">
        <v>6202</v>
      </c>
      <c r="F510" s="70">
        <f t="shared" si="135"/>
        <v>0.99500161238310225</v>
      </c>
      <c r="G510" s="69">
        <v>31</v>
      </c>
      <c r="H510" s="69">
        <v>2674</v>
      </c>
      <c r="I510" s="70">
        <f t="shared" si="136"/>
        <v>0.43115124153498874</v>
      </c>
      <c r="J510" s="69">
        <v>173</v>
      </c>
      <c r="K510" s="70">
        <f t="shared" si="137"/>
        <v>2.7894227668494035E-2</v>
      </c>
      <c r="L510" s="70">
        <f t="shared" si="138"/>
        <v>6.4697083021690346E-2</v>
      </c>
      <c r="M510" s="69">
        <v>1</v>
      </c>
      <c r="N510" s="70">
        <f t="shared" si="139"/>
        <v>1.6123831022250886E-4</v>
      </c>
      <c r="O510" s="67" t="s">
        <v>16</v>
      </c>
    </row>
    <row r="511" spans="1:15" x14ac:dyDescent="0.3">
      <c r="A511" s="76" t="s">
        <v>285</v>
      </c>
      <c r="B511" s="67" t="s">
        <v>18</v>
      </c>
      <c r="C511" s="67" t="s">
        <v>16</v>
      </c>
      <c r="D511" s="68">
        <v>45042</v>
      </c>
      <c r="E511" s="69">
        <v>168853</v>
      </c>
      <c r="F511" s="70">
        <f t="shared" si="135"/>
        <v>0.9959313722587102</v>
      </c>
      <c r="G511" s="69">
        <v>687</v>
      </c>
      <c r="H511" s="69">
        <v>54051</v>
      </c>
      <c r="I511" s="70">
        <f t="shared" si="136"/>
        <v>0.32010683849265337</v>
      </c>
      <c r="J511" s="69">
        <v>448</v>
      </c>
      <c r="K511" s="70">
        <f t="shared" si="137"/>
        <v>2.6531953829662487E-3</v>
      </c>
      <c r="L511" s="70">
        <f t="shared" si="138"/>
        <v>8.2884682984588638E-3</v>
      </c>
      <c r="M511" s="69">
        <v>350</v>
      </c>
      <c r="N511" s="70">
        <f t="shared" si="139"/>
        <v>2.0728088929423817E-3</v>
      </c>
      <c r="O511" s="67" t="s">
        <v>16</v>
      </c>
    </row>
    <row r="512" spans="1:15" x14ac:dyDescent="0.3">
      <c r="A512" s="76" t="s">
        <v>285</v>
      </c>
      <c r="B512" s="67" t="s">
        <v>15</v>
      </c>
      <c r="C512" s="67" t="s">
        <v>16</v>
      </c>
      <c r="D512" s="68">
        <v>45042</v>
      </c>
      <c r="E512" s="69">
        <v>98865</v>
      </c>
      <c r="F512" s="70">
        <f t="shared" si="135"/>
        <v>0.99458858038739695</v>
      </c>
      <c r="G512" s="69">
        <v>535</v>
      </c>
      <c r="H512" s="69">
        <v>32708</v>
      </c>
      <c r="I512" s="70">
        <f t="shared" si="136"/>
        <v>0.33083497698882314</v>
      </c>
      <c r="J512" s="69">
        <v>217</v>
      </c>
      <c r="K512" s="70">
        <f t="shared" si="137"/>
        <v>2.1949122540838519E-3</v>
      </c>
      <c r="L512" s="70">
        <f t="shared" si="138"/>
        <v>6.6344625168154583E-3</v>
      </c>
      <c r="M512" s="69">
        <v>39</v>
      </c>
      <c r="N512" s="70">
        <f t="shared" si="139"/>
        <v>3.9447731755424062E-4</v>
      </c>
      <c r="O512" s="67" t="s">
        <v>16</v>
      </c>
    </row>
    <row r="513" spans="1:15" x14ac:dyDescent="0.3">
      <c r="A513" s="76" t="s">
        <v>286</v>
      </c>
      <c r="B513" s="67" t="s">
        <v>18</v>
      </c>
      <c r="C513" s="67" t="s">
        <v>16</v>
      </c>
      <c r="D513" s="68">
        <v>45042</v>
      </c>
      <c r="E513" s="69">
        <v>1685835</v>
      </c>
      <c r="F513" s="70">
        <f t="shared" si="135"/>
        <v>0.99615324156871821</v>
      </c>
      <c r="G513" s="69">
        <v>6485</v>
      </c>
      <c r="H513" s="69">
        <v>588709</v>
      </c>
      <c r="I513" s="70">
        <f t="shared" si="136"/>
        <v>0.34920914561626731</v>
      </c>
      <c r="J513" s="69">
        <v>4209</v>
      </c>
      <c r="K513" s="70">
        <f t="shared" si="137"/>
        <v>2.4966856186993389E-3</v>
      </c>
      <c r="L513" s="70">
        <f t="shared" si="138"/>
        <v>7.1495424734461339E-3</v>
      </c>
      <c r="M513" s="69">
        <v>2855</v>
      </c>
      <c r="N513" s="70">
        <f t="shared" si="139"/>
        <v>1.6935227943422695E-3</v>
      </c>
      <c r="O513" s="67" t="s">
        <v>16</v>
      </c>
    </row>
    <row r="514" spans="1:15" x14ac:dyDescent="0.3">
      <c r="A514" s="76" t="s">
        <v>286</v>
      </c>
      <c r="B514" s="67" t="s">
        <v>15</v>
      </c>
      <c r="C514" s="67" t="s">
        <v>16</v>
      </c>
      <c r="D514" s="68">
        <v>45042</v>
      </c>
      <c r="E514" s="69">
        <v>1453228</v>
      </c>
      <c r="F514" s="70">
        <f t="shared" si="135"/>
        <v>0.99542191590032669</v>
      </c>
      <c r="G514" s="69">
        <v>6653</v>
      </c>
      <c r="H514" s="69">
        <v>524882</v>
      </c>
      <c r="I514" s="70">
        <f t="shared" si="136"/>
        <v>0.361183516970496</v>
      </c>
      <c r="J514" s="69">
        <v>2828</v>
      </c>
      <c r="K514" s="70">
        <f t="shared" si="137"/>
        <v>1.9460126009132773E-3</v>
      </c>
      <c r="L514" s="70">
        <f t="shared" si="138"/>
        <v>5.3878776563113231E-3</v>
      </c>
      <c r="M514" s="69">
        <v>1146</v>
      </c>
      <c r="N514" s="70">
        <f t="shared" si="139"/>
        <v>7.885892647265261E-4</v>
      </c>
      <c r="O514" s="67" t="s">
        <v>16</v>
      </c>
    </row>
    <row r="515" spans="1:15" x14ac:dyDescent="0.3">
      <c r="A515" s="76" t="s">
        <v>32</v>
      </c>
      <c r="B515" s="67"/>
      <c r="C515" s="67" t="s">
        <v>23</v>
      </c>
      <c r="D515" s="68">
        <v>45042</v>
      </c>
      <c r="E515" s="69">
        <v>267</v>
      </c>
      <c r="F515" s="70">
        <f t="shared" si="135"/>
        <v>1</v>
      </c>
      <c r="G515" s="69">
        <v>0</v>
      </c>
      <c r="H515" s="69">
        <v>85</v>
      </c>
      <c r="I515" s="70">
        <f t="shared" si="136"/>
        <v>0.31835205992509363</v>
      </c>
      <c r="J515" s="69">
        <v>3</v>
      </c>
      <c r="K515" s="70">
        <f t="shared" si="137"/>
        <v>1.1235955056179775E-2</v>
      </c>
      <c r="L515" s="70">
        <f t="shared" si="138"/>
        <v>3.5294117647058823E-2</v>
      </c>
      <c r="M515" s="69">
        <v>0</v>
      </c>
      <c r="N515" s="70">
        <f t="shared" si="139"/>
        <v>0</v>
      </c>
      <c r="O515" s="67" t="s">
        <v>23</v>
      </c>
    </row>
    <row r="516" spans="1:15" x14ac:dyDescent="0.3">
      <c r="A516" s="76" t="s">
        <v>287</v>
      </c>
      <c r="B516" s="67" t="s">
        <v>15</v>
      </c>
      <c r="C516" s="67" t="s">
        <v>16</v>
      </c>
      <c r="D516" s="68">
        <v>45042</v>
      </c>
      <c r="E516" s="69">
        <v>137025</v>
      </c>
      <c r="F516" s="70">
        <f t="shared" si="135"/>
        <v>0.99436599160737094</v>
      </c>
      <c r="G516" s="69">
        <v>772</v>
      </c>
      <c r="H516" s="69">
        <v>50585</v>
      </c>
      <c r="I516" s="70">
        <f t="shared" si="136"/>
        <v>0.3691662105455209</v>
      </c>
      <c r="J516" s="69">
        <v>2943</v>
      </c>
      <c r="K516" s="70">
        <f t="shared" si="137"/>
        <v>2.1477832512315272E-2</v>
      </c>
      <c r="L516" s="70">
        <f t="shared" si="138"/>
        <v>5.8179302164673319E-2</v>
      </c>
      <c r="M516" s="69">
        <v>57</v>
      </c>
      <c r="N516" s="70">
        <f t="shared" si="139"/>
        <v>4.1598248494800218E-4</v>
      </c>
      <c r="O516" s="67" t="s">
        <v>16</v>
      </c>
    </row>
    <row r="517" spans="1:15" x14ac:dyDescent="0.3">
      <c r="A517" s="76" t="s">
        <v>287</v>
      </c>
      <c r="B517" s="67" t="s">
        <v>18</v>
      </c>
      <c r="C517" s="67" t="s">
        <v>16</v>
      </c>
      <c r="D517" s="68">
        <v>45042</v>
      </c>
      <c r="E517" s="69">
        <v>232449</v>
      </c>
      <c r="F517" s="70">
        <f t="shared" si="135"/>
        <v>0.99603784055857414</v>
      </c>
      <c r="G517" s="69">
        <v>921</v>
      </c>
      <c r="H517" s="69">
        <v>80566</v>
      </c>
      <c r="I517" s="70">
        <f t="shared" si="136"/>
        <v>0.34659645771760689</v>
      </c>
      <c r="J517" s="69">
        <v>4092</v>
      </c>
      <c r="K517" s="70">
        <f t="shared" si="137"/>
        <v>1.7603861492198287E-2</v>
      </c>
      <c r="L517" s="70">
        <f t="shared" si="138"/>
        <v>5.0790656108035646E-2</v>
      </c>
      <c r="M517" s="69">
        <v>518</v>
      </c>
      <c r="N517" s="70">
        <f t="shared" si="139"/>
        <v>2.2284458096184538E-3</v>
      </c>
      <c r="O517" s="67" t="s">
        <v>16</v>
      </c>
    </row>
    <row r="518" spans="1:15" x14ac:dyDescent="0.3">
      <c r="A518" s="76" t="s">
        <v>288</v>
      </c>
      <c r="B518" s="67" t="s">
        <v>15</v>
      </c>
      <c r="C518" s="67" t="s">
        <v>16</v>
      </c>
      <c r="D518" s="68">
        <v>45042</v>
      </c>
      <c r="E518" s="69">
        <v>2463351</v>
      </c>
      <c r="F518" s="70">
        <f t="shared" si="135"/>
        <v>0.99542452537214554</v>
      </c>
      <c r="G518" s="69">
        <v>11271</v>
      </c>
      <c r="H518" s="69">
        <v>909114</v>
      </c>
      <c r="I518" s="70">
        <f t="shared" si="136"/>
        <v>0.36905581056049258</v>
      </c>
      <c r="J518" s="69">
        <v>26045</v>
      </c>
      <c r="K518" s="70">
        <f t="shared" si="137"/>
        <v>1.0572995890557213E-2</v>
      </c>
      <c r="L518" s="70">
        <f t="shared" si="138"/>
        <v>2.8648772321183041E-2</v>
      </c>
      <c r="M518" s="69">
        <v>2093</v>
      </c>
      <c r="N518" s="70">
        <f t="shared" si="139"/>
        <v>8.4965561140089253E-4</v>
      </c>
      <c r="O518" s="67" t="s">
        <v>16</v>
      </c>
    </row>
    <row r="519" spans="1:15" x14ac:dyDescent="0.3">
      <c r="A519" s="76" t="s">
        <v>288</v>
      </c>
      <c r="B519" s="67" t="s">
        <v>18</v>
      </c>
      <c r="C519" s="67" t="s">
        <v>16</v>
      </c>
      <c r="D519" s="68">
        <v>45042</v>
      </c>
      <c r="E519" s="69">
        <v>2581365</v>
      </c>
      <c r="F519" s="70">
        <f t="shared" si="135"/>
        <v>0.99633411005417671</v>
      </c>
      <c r="G519" s="69">
        <v>9463</v>
      </c>
      <c r="H519" s="69">
        <v>913513</v>
      </c>
      <c r="I519" s="70">
        <f t="shared" si="136"/>
        <v>0.35388757498455276</v>
      </c>
      <c r="J519" s="69">
        <v>22378</v>
      </c>
      <c r="K519" s="70">
        <f t="shared" si="137"/>
        <v>8.6690568749479436E-3</v>
      </c>
      <c r="L519" s="70">
        <f t="shared" si="138"/>
        <v>2.4496640989236058E-2</v>
      </c>
      <c r="M519" s="69">
        <v>5022</v>
      </c>
      <c r="N519" s="70">
        <f t="shared" si="139"/>
        <v>1.9454823320220116E-3</v>
      </c>
      <c r="O519" s="67" t="s">
        <v>16</v>
      </c>
    </row>
    <row r="520" spans="1:15" x14ac:dyDescent="0.3">
      <c r="A520" s="76" t="s">
        <v>289</v>
      </c>
      <c r="B520" s="67" t="s">
        <v>18</v>
      </c>
      <c r="C520" s="67" t="s">
        <v>21</v>
      </c>
      <c r="D520" s="68">
        <v>45043</v>
      </c>
      <c r="E520" s="69">
        <v>1074</v>
      </c>
      <c r="F520" s="70">
        <f t="shared" si="135"/>
        <v>0.9981378026070763</v>
      </c>
      <c r="G520" s="69">
        <v>2</v>
      </c>
      <c r="H520" s="69">
        <v>596</v>
      </c>
      <c r="I520" s="70">
        <f t="shared" si="136"/>
        <v>0.55493482309124764</v>
      </c>
      <c r="J520" s="69">
        <v>37</v>
      </c>
      <c r="K520" s="70">
        <f t="shared" si="137"/>
        <v>3.4450651769087522E-2</v>
      </c>
      <c r="L520" s="70">
        <f t="shared" si="138"/>
        <v>6.2080536912751678E-2</v>
      </c>
      <c r="M520" s="69">
        <v>2</v>
      </c>
      <c r="N520" s="70">
        <f t="shared" si="139"/>
        <v>1.8621973929236499E-3</v>
      </c>
      <c r="O520" s="67" t="s">
        <v>21</v>
      </c>
    </row>
    <row r="521" spans="1:15" x14ac:dyDescent="0.3">
      <c r="A521" s="76" t="s">
        <v>289</v>
      </c>
      <c r="B521" s="67" t="s">
        <v>15</v>
      </c>
      <c r="C521" s="67" t="s">
        <v>21</v>
      </c>
      <c r="D521" s="68">
        <v>45043</v>
      </c>
      <c r="E521" s="69">
        <v>2062</v>
      </c>
      <c r="F521" s="70">
        <f t="shared" si="135"/>
        <v>0.99563530552861301</v>
      </c>
      <c r="G521" s="69">
        <v>9</v>
      </c>
      <c r="H521" s="69">
        <v>1140</v>
      </c>
      <c r="I521" s="70">
        <f t="shared" si="136"/>
        <v>0.55286129970902032</v>
      </c>
      <c r="J521" s="69">
        <v>50</v>
      </c>
      <c r="K521" s="70">
        <f t="shared" si="137"/>
        <v>2.4248302618816681E-2</v>
      </c>
      <c r="L521" s="70">
        <f t="shared" si="138"/>
        <v>4.3859649122807015E-2</v>
      </c>
      <c r="M521" s="69">
        <v>0</v>
      </c>
      <c r="N521" s="70">
        <f t="shared" si="139"/>
        <v>0</v>
      </c>
      <c r="O521" s="67" t="s">
        <v>21</v>
      </c>
    </row>
    <row r="522" spans="1:15" x14ac:dyDescent="0.3">
      <c r="A522" s="76" t="s">
        <v>290</v>
      </c>
      <c r="B522" s="67" t="s">
        <v>18</v>
      </c>
      <c r="C522" s="67" t="s">
        <v>21</v>
      </c>
      <c r="D522" s="68">
        <v>45043</v>
      </c>
      <c r="E522" s="69">
        <v>678768</v>
      </c>
      <c r="F522" s="70">
        <f t="shared" si="135"/>
        <v>0.99574523253895297</v>
      </c>
      <c r="G522" s="69">
        <v>2888</v>
      </c>
      <c r="H522" s="69">
        <v>258730</v>
      </c>
      <c r="I522" s="70">
        <f t="shared" si="136"/>
        <v>0.38117589515121514</v>
      </c>
      <c r="J522" s="69">
        <v>2941</v>
      </c>
      <c r="K522" s="70">
        <f t="shared" si="137"/>
        <v>4.3328501048959288E-3</v>
      </c>
      <c r="L522" s="70">
        <f t="shared" si="138"/>
        <v>1.136706218838171E-2</v>
      </c>
      <c r="M522" s="69">
        <v>1372</v>
      </c>
      <c r="N522" s="70">
        <f t="shared" si="139"/>
        <v>2.0213091954835822E-3</v>
      </c>
      <c r="O522" s="67" t="s">
        <v>21</v>
      </c>
    </row>
    <row r="523" spans="1:15" x14ac:dyDescent="0.3">
      <c r="A523" s="76" t="s">
        <v>290</v>
      </c>
      <c r="B523" s="67" t="s">
        <v>15</v>
      </c>
      <c r="C523" s="67" t="s">
        <v>21</v>
      </c>
      <c r="D523" s="68">
        <v>45043</v>
      </c>
      <c r="E523" s="69">
        <v>1710636</v>
      </c>
      <c r="F523" s="70">
        <f t="shared" si="135"/>
        <v>0.98448764085404494</v>
      </c>
      <c r="G523" s="69">
        <v>26536</v>
      </c>
      <c r="H523" s="69">
        <v>678239</v>
      </c>
      <c r="I523" s="70">
        <f t="shared" si="136"/>
        <v>0.39648353010225434</v>
      </c>
      <c r="J523" s="69">
        <v>7716</v>
      </c>
      <c r="K523" s="70">
        <f t="shared" si="137"/>
        <v>4.510603073944428E-3</v>
      </c>
      <c r="L523" s="70">
        <f t="shared" si="138"/>
        <v>1.1376520666018911E-2</v>
      </c>
      <c r="M523" s="69">
        <v>1287</v>
      </c>
      <c r="N523" s="70">
        <f t="shared" si="139"/>
        <v>7.5235175689041965E-4</v>
      </c>
      <c r="O523" s="67" t="s">
        <v>21</v>
      </c>
    </row>
    <row r="524" spans="1:15" x14ac:dyDescent="0.3">
      <c r="A524" s="66" t="s">
        <v>26</v>
      </c>
      <c r="B524" s="67"/>
      <c r="C524" s="67" t="s">
        <v>23</v>
      </c>
      <c r="D524" s="68">
        <v>45043</v>
      </c>
      <c r="E524" s="69">
        <v>1646</v>
      </c>
      <c r="F524" s="70">
        <f t="shared" si="135"/>
        <v>0.99696233292831105</v>
      </c>
      <c r="G524" s="69">
        <v>5</v>
      </c>
      <c r="H524" s="69">
        <v>567</v>
      </c>
      <c r="I524" s="70">
        <f t="shared" si="136"/>
        <v>0.34447144592952611</v>
      </c>
      <c r="J524" s="69">
        <v>16</v>
      </c>
      <c r="K524" s="70">
        <f t="shared" si="137"/>
        <v>9.7205346294046164E-3</v>
      </c>
      <c r="L524" s="70">
        <f t="shared" si="138"/>
        <v>2.821869488536155E-2</v>
      </c>
      <c r="M524" s="69">
        <v>0</v>
      </c>
      <c r="N524" s="70">
        <f t="shared" si="139"/>
        <v>0</v>
      </c>
      <c r="O524" s="67" t="s">
        <v>23</v>
      </c>
    </row>
    <row r="525" spans="1:15" x14ac:dyDescent="0.3">
      <c r="A525" s="76" t="s">
        <v>291</v>
      </c>
      <c r="B525" s="67" t="s">
        <v>18</v>
      </c>
      <c r="C525" s="67" t="s">
        <v>16</v>
      </c>
      <c r="D525" s="68">
        <v>45043</v>
      </c>
      <c r="E525" s="69">
        <v>296</v>
      </c>
      <c r="F525" s="70">
        <f t="shared" si="135"/>
        <v>0.9932432432432432</v>
      </c>
      <c r="G525" s="69">
        <v>2</v>
      </c>
      <c r="H525" s="69">
        <v>214</v>
      </c>
      <c r="I525" s="70">
        <f t="shared" si="136"/>
        <v>0.72297297297297303</v>
      </c>
      <c r="J525" s="69">
        <v>4</v>
      </c>
      <c r="K525" s="70">
        <f t="shared" si="137"/>
        <v>1.3513513513513514E-2</v>
      </c>
      <c r="L525" s="70">
        <f t="shared" si="138"/>
        <v>1.8691588785046728E-2</v>
      </c>
      <c r="M525" s="69">
        <v>1</v>
      </c>
      <c r="N525" s="70">
        <f t="shared" si="139"/>
        <v>3.3783783783783786E-3</v>
      </c>
      <c r="O525" s="67" t="s">
        <v>16</v>
      </c>
    </row>
    <row r="526" spans="1:15" x14ac:dyDescent="0.3">
      <c r="A526" s="76" t="s">
        <v>291</v>
      </c>
      <c r="B526" s="67" t="s">
        <v>15</v>
      </c>
      <c r="C526" s="67" t="s">
        <v>16</v>
      </c>
      <c r="D526" s="68">
        <v>45043</v>
      </c>
      <c r="E526" s="69">
        <v>579</v>
      </c>
      <c r="F526" s="70">
        <f t="shared" si="135"/>
        <v>0.99654576856649391</v>
      </c>
      <c r="G526" s="69">
        <v>2</v>
      </c>
      <c r="H526" s="69">
        <v>415</v>
      </c>
      <c r="I526" s="70">
        <f t="shared" si="136"/>
        <v>0.71675302245250427</v>
      </c>
      <c r="J526" s="69">
        <v>11</v>
      </c>
      <c r="K526" s="70">
        <f t="shared" si="137"/>
        <v>1.8998272884283247E-2</v>
      </c>
      <c r="L526" s="70">
        <f t="shared" si="138"/>
        <v>2.6506024096385541E-2</v>
      </c>
      <c r="M526" s="69">
        <v>0</v>
      </c>
      <c r="N526" s="70">
        <f t="shared" si="139"/>
        <v>0</v>
      </c>
      <c r="O526" s="67" t="s">
        <v>16</v>
      </c>
    </row>
    <row r="527" spans="1:15" x14ac:dyDescent="0.3">
      <c r="A527" s="76" t="s">
        <v>292</v>
      </c>
      <c r="B527" s="67" t="s">
        <v>15</v>
      </c>
      <c r="C527" s="67" t="s">
        <v>16</v>
      </c>
      <c r="D527" s="68">
        <v>45043</v>
      </c>
      <c r="E527" s="69">
        <v>200</v>
      </c>
      <c r="F527" s="70">
        <f t="shared" si="135"/>
        <v>1</v>
      </c>
      <c r="G527" s="69">
        <v>0</v>
      </c>
      <c r="H527" s="69">
        <v>130</v>
      </c>
      <c r="I527" s="70">
        <f t="shared" si="136"/>
        <v>0.65</v>
      </c>
      <c r="J527" s="69">
        <v>3</v>
      </c>
      <c r="K527" s="70">
        <f t="shared" si="137"/>
        <v>1.4999999999999999E-2</v>
      </c>
      <c r="L527" s="70">
        <f t="shared" si="138"/>
        <v>2.3076923076923078E-2</v>
      </c>
      <c r="M527" s="69">
        <v>0</v>
      </c>
      <c r="N527" s="70">
        <f t="shared" si="139"/>
        <v>0</v>
      </c>
      <c r="O527" s="67" t="s">
        <v>16</v>
      </c>
    </row>
    <row r="528" spans="1:15" x14ac:dyDescent="0.3">
      <c r="A528" s="76" t="s">
        <v>292</v>
      </c>
      <c r="B528" s="67" t="s">
        <v>18</v>
      </c>
      <c r="C528" s="67" t="s">
        <v>16</v>
      </c>
      <c r="D528" s="68">
        <v>45043</v>
      </c>
      <c r="E528" s="69">
        <v>93</v>
      </c>
      <c r="F528" s="70">
        <f t="shared" si="135"/>
        <v>1</v>
      </c>
      <c r="G528" s="69">
        <v>0</v>
      </c>
      <c r="H528" s="69">
        <v>61</v>
      </c>
      <c r="I528" s="70">
        <f t="shared" si="136"/>
        <v>0.65591397849462363</v>
      </c>
      <c r="J528" s="69">
        <v>3</v>
      </c>
      <c r="K528" s="70">
        <f t="shared" si="137"/>
        <v>3.2258064516129031E-2</v>
      </c>
      <c r="L528" s="70">
        <f t="shared" si="138"/>
        <v>4.9180327868852458E-2</v>
      </c>
      <c r="M528" s="69">
        <v>0</v>
      </c>
      <c r="N528" s="70">
        <f t="shared" si="139"/>
        <v>0</v>
      </c>
      <c r="O528" s="67" t="s">
        <v>16</v>
      </c>
    </row>
    <row r="529" spans="1:15" x14ac:dyDescent="0.3">
      <c r="A529" s="76" t="s">
        <v>293</v>
      </c>
      <c r="B529" s="67" t="s">
        <v>18</v>
      </c>
      <c r="C529" s="67" t="s">
        <v>16</v>
      </c>
      <c r="D529" s="68">
        <v>45044</v>
      </c>
      <c r="E529" s="69">
        <v>36959</v>
      </c>
      <c r="F529" s="70">
        <f t="shared" si="135"/>
        <v>0.9953461944316675</v>
      </c>
      <c r="G529" s="69">
        <v>172</v>
      </c>
      <c r="H529" s="69">
        <v>14761</v>
      </c>
      <c r="I529" s="70">
        <f t="shared" si="136"/>
        <v>0.39938851159392841</v>
      </c>
      <c r="J529" s="69">
        <v>200</v>
      </c>
      <c r="K529" s="70">
        <f t="shared" si="137"/>
        <v>5.4114018236424144E-3</v>
      </c>
      <c r="L529" s="70">
        <f t="shared" si="138"/>
        <v>1.3549217532687487E-2</v>
      </c>
      <c r="M529" s="69">
        <v>78</v>
      </c>
      <c r="N529" s="70">
        <f t="shared" si="139"/>
        <v>2.1104467112205419E-3</v>
      </c>
      <c r="O529" s="67" t="s">
        <v>16</v>
      </c>
    </row>
    <row r="530" spans="1:15" x14ac:dyDescent="0.3">
      <c r="A530" s="76" t="s">
        <v>293</v>
      </c>
      <c r="B530" s="67" t="s">
        <v>15</v>
      </c>
      <c r="C530" s="67" t="s">
        <v>16</v>
      </c>
      <c r="D530" s="68">
        <v>45044</v>
      </c>
      <c r="E530" s="69">
        <v>100800</v>
      </c>
      <c r="F530" s="70">
        <f t="shared" si="135"/>
        <v>0.99488095238095242</v>
      </c>
      <c r="G530" s="69">
        <v>516</v>
      </c>
      <c r="H530" s="69">
        <v>36145</v>
      </c>
      <c r="I530" s="70">
        <f t="shared" si="136"/>
        <v>0.35858134920634921</v>
      </c>
      <c r="J530" s="69">
        <v>406</v>
      </c>
      <c r="K530" s="70">
        <f t="shared" si="137"/>
        <v>4.0277777777777777E-3</v>
      </c>
      <c r="L530" s="70">
        <f t="shared" si="138"/>
        <v>1.1232535620417762E-2</v>
      </c>
      <c r="M530" s="69">
        <v>62</v>
      </c>
      <c r="N530" s="70">
        <f t="shared" si="139"/>
        <v>6.1507936507936511E-4</v>
      </c>
      <c r="O530" s="67" t="s">
        <v>16</v>
      </c>
    </row>
    <row r="531" spans="1:15" x14ac:dyDescent="0.3">
      <c r="A531" s="76" t="s">
        <v>294</v>
      </c>
      <c r="B531" s="67" t="s">
        <v>18</v>
      </c>
      <c r="C531" s="67" t="s">
        <v>16</v>
      </c>
      <c r="D531" s="68">
        <v>45044</v>
      </c>
      <c r="E531" s="69">
        <v>2801</v>
      </c>
      <c r="F531" s="70">
        <f t="shared" si="135"/>
        <v>0.99607283113173861</v>
      </c>
      <c r="G531" s="69">
        <v>11</v>
      </c>
      <c r="H531" s="69">
        <v>977</v>
      </c>
      <c r="I531" s="70">
        <f t="shared" si="136"/>
        <v>0.34880399857193861</v>
      </c>
      <c r="J531" s="69">
        <v>9</v>
      </c>
      <c r="K531" s="70">
        <f t="shared" si="137"/>
        <v>3.2131381649410924E-3</v>
      </c>
      <c r="L531" s="70">
        <f t="shared" si="138"/>
        <v>9.2118730808597744E-3</v>
      </c>
      <c r="M531" s="69">
        <v>2</v>
      </c>
      <c r="N531" s="70">
        <f t="shared" si="139"/>
        <v>7.140307033202428E-4</v>
      </c>
      <c r="O531" s="67" t="s">
        <v>16</v>
      </c>
    </row>
    <row r="532" spans="1:15" x14ac:dyDescent="0.3">
      <c r="A532" s="76" t="s">
        <v>294</v>
      </c>
      <c r="B532" s="67" t="s">
        <v>15</v>
      </c>
      <c r="C532" s="67" t="s">
        <v>16</v>
      </c>
      <c r="D532" s="68">
        <v>45044</v>
      </c>
      <c r="E532" s="69">
        <v>9694</v>
      </c>
      <c r="F532" s="70">
        <f t="shared" ref="F532:F575" si="140">(E532-G532)/E532</f>
        <v>0.99453270063957089</v>
      </c>
      <c r="G532" s="69">
        <v>53</v>
      </c>
      <c r="H532" s="69">
        <v>3036</v>
      </c>
      <c r="I532" s="70">
        <f t="shared" ref="I532:I575" si="141">H532/E532</f>
        <v>0.31318341242005365</v>
      </c>
      <c r="J532" s="69">
        <v>34</v>
      </c>
      <c r="K532" s="70">
        <f t="shared" ref="K532:K541" si="142">J532/E532</f>
        <v>3.5073241180111408E-3</v>
      </c>
      <c r="L532" s="70">
        <f t="shared" ref="L532:L541" si="143">J532/H532</f>
        <v>1.1198945981554678E-2</v>
      </c>
      <c r="M532" s="69">
        <v>5</v>
      </c>
      <c r="N532" s="70">
        <f t="shared" ref="N532:N541" si="144">M532/E532</f>
        <v>5.1578295853105011E-4</v>
      </c>
      <c r="O532" s="67" t="s">
        <v>16</v>
      </c>
    </row>
    <row r="533" spans="1:15" x14ac:dyDescent="0.3">
      <c r="A533" s="76" t="s">
        <v>295</v>
      </c>
      <c r="B533" s="67" t="s">
        <v>18</v>
      </c>
      <c r="C533" s="67" t="s">
        <v>16</v>
      </c>
      <c r="D533" s="68">
        <v>45044</v>
      </c>
      <c r="E533" s="69">
        <v>114888</v>
      </c>
      <c r="F533" s="70">
        <f t="shared" si="140"/>
        <v>0.99691003412018664</v>
      </c>
      <c r="G533" s="69">
        <v>355</v>
      </c>
      <c r="H533" s="69">
        <v>40585</v>
      </c>
      <c r="I533" s="70">
        <f t="shared" si="141"/>
        <v>0.35325708516120047</v>
      </c>
      <c r="J533" s="69">
        <v>607</v>
      </c>
      <c r="K533" s="70">
        <f t="shared" si="142"/>
        <v>5.2834064480189406E-3</v>
      </c>
      <c r="L533" s="70">
        <f t="shared" si="143"/>
        <v>1.495626462978933E-2</v>
      </c>
      <c r="M533" s="69">
        <v>222</v>
      </c>
      <c r="N533" s="70">
        <f t="shared" si="144"/>
        <v>1.9323166910382285E-3</v>
      </c>
      <c r="O533" s="67" t="s">
        <v>16</v>
      </c>
    </row>
    <row r="534" spans="1:15" x14ac:dyDescent="0.3">
      <c r="A534" s="76" t="s">
        <v>295</v>
      </c>
      <c r="B534" s="67" t="s">
        <v>15</v>
      </c>
      <c r="C534" s="67" t="s">
        <v>16</v>
      </c>
      <c r="D534" s="68">
        <v>45044</v>
      </c>
      <c r="E534" s="69">
        <v>199283</v>
      </c>
      <c r="F534" s="70">
        <f t="shared" si="140"/>
        <v>0.99559420522573427</v>
      </c>
      <c r="G534" s="69">
        <v>878</v>
      </c>
      <c r="H534" s="69">
        <v>83997</v>
      </c>
      <c r="I534" s="70">
        <f t="shared" si="141"/>
        <v>0.42149606338724327</v>
      </c>
      <c r="J534" s="69">
        <v>1082</v>
      </c>
      <c r="K534" s="70">
        <f t="shared" si="142"/>
        <v>5.4294646307010636E-3</v>
      </c>
      <c r="L534" s="70">
        <f t="shared" si="143"/>
        <v>1.288141243139636E-2</v>
      </c>
      <c r="M534" s="69">
        <v>158</v>
      </c>
      <c r="N534" s="70">
        <f t="shared" si="144"/>
        <v>7.9284233978814053E-4</v>
      </c>
      <c r="O534" s="67" t="s">
        <v>16</v>
      </c>
    </row>
    <row r="535" spans="1:15" x14ac:dyDescent="0.3">
      <c r="A535" s="66" t="s">
        <v>28</v>
      </c>
      <c r="B535" s="67" t="s">
        <v>15</v>
      </c>
      <c r="C535" s="67" t="s">
        <v>16</v>
      </c>
      <c r="D535" s="68">
        <v>45044</v>
      </c>
      <c r="E535" s="69">
        <v>105579</v>
      </c>
      <c r="F535" s="70">
        <f t="shared" si="140"/>
        <v>0.99390977372394129</v>
      </c>
      <c r="G535" s="69">
        <v>643</v>
      </c>
      <c r="H535" s="69">
        <v>32098</v>
      </c>
      <c r="I535" s="70">
        <f t="shared" si="141"/>
        <v>0.3040187916157569</v>
      </c>
      <c r="J535" s="69">
        <v>796</v>
      </c>
      <c r="K535" s="70">
        <f t="shared" si="142"/>
        <v>7.5393780960228834E-3</v>
      </c>
      <c r="L535" s="70">
        <f t="shared" si="143"/>
        <v>2.4799052900492242E-2</v>
      </c>
      <c r="M535" s="69">
        <v>59</v>
      </c>
      <c r="N535" s="70">
        <f t="shared" si="144"/>
        <v>5.5882325083586701E-4</v>
      </c>
      <c r="O535" s="67" t="s">
        <v>16</v>
      </c>
    </row>
    <row r="536" spans="1:15" x14ac:dyDescent="0.3">
      <c r="A536" s="66" t="s">
        <v>28</v>
      </c>
      <c r="B536" s="67" t="s">
        <v>18</v>
      </c>
      <c r="C536" s="67" t="s">
        <v>16</v>
      </c>
      <c r="D536" s="68">
        <v>45044</v>
      </c>
      <c r="E536" s="69">
        <v>206556</v>
      </c>
      <c r="F536" s="70">
        <f t="shared" si="140"/>
        <v>0.99555568465694533</v>
      </c>
      <c r="G536" s="69">
        <v>918</v>
      </c>
      <c r="H536" s="69">
        <v>62029</v>
      </c>
      <c r="I536" s="70">
        <f t="shared" si="141"/>
        <v>0.30030112899165362</v>
      </c>
      <c r="J536" s="69">
        <v>1292</v>
      </c>
      <c r="K536" s="70">
        <f t="shared" si="142"/>
        <v>6.2549623346695327E-3</v>
      </c>
      <c r="L536" s="70">
        <f t="shared" si="143"/>
        <v>2.0828967096035725E-2</v>
      </c>
      <c r="M536" s="69">
        <v>481</v>
      </c>
      <c r="N536" s="70">
        <f t="shared" si="144"/>
        <v>2.3286663180929141E-3</v>
      </c>
      <c r="O536" s="67" t="s">
        <v>16</v>
      </c>
    </row>
    <row r="537" spans="1:15" x14ac:dyDescent="0.3">
      <c r="A537" s="66" t="s">
        <v>22</v>
      </c>
      <c r="B537" s="67" t="s">
        <v>15</v>
      </c>
      <c r="C537" s="67" t="s">
        <v>16</v>
      </c>
      <c r="D537" s="68">
        <v>45044</v>
      </c>
      <c r="E537" s="69">
        <v>1923125</v>
      </c>
      <c r="F537" s="70">
        <f t="shared" si="140"/>
        <v>0.99572674683132922</v>
      </c>
      <c r="G537" s="69">
        <v>8218</v>
      </c>
      <c r="H537" s="69">
        <v>637758</v>
      </c>
      <c r="I537" s="70">
        <f t="shared" si="141"/>
        <v>0.33162586935326616</v>
      </c>
      <c r="J537" s="69">
        <v>8871</v>
      </c>
      <c r="K537" s="70">
        <f t="shared" si="142"/>
        <v>4.6128046798830031E-3</v>
      </c>
      <c r="L537" s="70">
        <f t="shared" si="143"/>
        <v>1.3909664794483174E-2</v>
      </c>
      <c r="M537" s="69">
        <v>1698</v>
      </c>
      <c r="N537" s="70">
        <f t="shared" si="144"/>
        <v>8.8293792655183621E-4</v>
      </c>
      <c r="O537" s="67" t="s">
        <v>16</v>
      </c>
    </row>
    <row r="538" spans="1:15" x14ac:dyDescent="0.3">
      <c r="A538" s="66" t="s">
        <v>22</v>
      </c>
      <c r="B538" s="67" t="s">
        <v>18</v>
      </c>
      <c r="C538" s="67" t="s">
        <v>16</v>
      </c>
      <c r="D538" s="68">
        <v>45044</v>
      </c>
      <c r="E538" s="69">
        <v>2276123</v>
      </c>
      <c r="F538" s="70">
        <f t="shared" si="140"/>
        <v>0.99639518602465682</v>
      </c>
      <c r="G538" s="69">
        <v>8205</v>
      </c>
      <c r="H538" s="69">
        <v>739935</v>
      </c>
      <c r="I538" s="70">
        <f t="shared" si="141"/>
        <v>0.32508568297934692</v>
      </c>
      <c r="J538" s="69">
        <v>10283</v>
      </c>
      <c r="K538" s="70">
        <f t="shared" si="142"/>
        <v>4.5177699096226346E-3</v>
      </c>
      <c r="L538" s="70">
        <f t="shared" si="143"/>
        <v>1.389716664301594E-2</v>
      </c>
      <c r="M538" s="69">
        <v>4468</v>
      </c>
      <c r="N538" s="70">
        <f t="shared" si="144"/>
        <v>1.9629870617712663E-3</v>
      </c>
      <c r="O538" s="67" t="s">
        <v>16</v>
      </c>
    </row>
    <row r="539" spans="1:15" x14ac:dyDescent="0.3">
      <c r="A539" s="66" t="s">
        <v>33</v>
      </c>
      <c r="B539" s="67" t="s">
        <v>18</v>
      </c>
      <c r="C539" s="67" t="s">
        <v>21</v>
      </c>
      <c r="D539" s="68">
        <v>45044</v>
      </c>
      <c r="E539" s="69">
        <v>235331</v>
      </c>
      <c r="F539" s="70">
        <f t="shared" ref="F539" si="145">(E539-G539)/E539</f>
        <v>0.99658778486472244</v>
      </c>
      <c r="G539" s="69">
        <v>803</v>
      </c>
      <c r="H539" s="69">
        <v>104943</v>
      </c>
      <c r="I539" s="70">
        <f t="shared" ref="I539" si="146">H539/E539</f>
        <v>0.44593784924213131</v>
      </c>
      <c r="J539" s="69">
        <v>1611</v>
      </c>
      <c r="K539" s="70">
        <f t="shared" ref="K539" si="147">J539/E539</f>
        <v>6.845676940139633E-3</v>
      </c>
      <c r="L539" s="70">
        <f t="shared" ref="L539" si="148">J539/H539</f>
        <v>1.5351190646350876E-2</v>
      </c>
      <c r="M539" s="69">
        <v>230</v>
      </c>
      <c r="N539" s="70">
        <f t="shared" ref="N539" si="149">M539/E539</f>
        <v>9.7734680088896065E-4</v>
      </c>
      <c r="O539" s="67" t="s">
        <v>21</v>
      </c>
    </row>
    <row r="540" spans="1:15" x14ac:dyDescent="0.3">
      <c r="A540" s="66" t="s">
        <v>19</v>
      </c>
      <c r="B540" s="67" t="s">
        <v>18</v>
      </c>
      <c r="C540" s="67" t="s">
        <v>21</v>
      </c>
      <c r="D540" s="68">
        <v>45044</v>
      </c>
      <c r="E540" s="69">
        <v>332784</v>
      </c>
      <c r="F540" s="70">
        <f t="shared" si="140"/>
        <v>0.99478340304822344</v>
      </c>
      <c r="G540" s="69">
        <v>1736</v>
      </c>
      <c r="H540" s="69">
        <v>119981</v>
      </c>
      <c r="I540" s="70">
        <f t="shared" si="141"/>
        <v>0.36053716524832924</v>
      </c>
      <c r="J540" s="69">
        <v>1983</v>
      </c>
      <c r="K540" s="70">
        <f t="shared" si="142"/>
        <v>5.9588201355834413E-3</v>
      </c>
      <c r="L540" s="70">
        <f t="shared" si="143"/>
        <v>1.6527616872671506E-2</v>
      </c>
      <c r="M540" s="69">
        <v>297</v>
      </c>
      <c r="N540" s="70">
        <f t="shared" si="144"/>
        <v>8.9247079186499352E-4</v>
      </c>
      <c r="O540" s="67" t="s">
        <v>21</v>
      </c>
    </row>
    <row r="541" spans="1:15" x14ac:dyDescent="0.3">
      <c r="A541" s="66" t="s">
        <v>24</v>
      </c>
      <c r="B541" s="67" t="s">
        <v>18</v>
      </c>
      <c r="C541" s="67" t="s">
        <v>21</v>
      </c>
      <c r="D541" s="68">
        <v>45045</v>
      </c>
      <c r="E541" s="69">
        <v>14780</v>
      </c>
      <c r="F541" s="70">
        <f t="shared" si="140"/>
        <v>0.99499323410013529</v>
      </c>
      <c r="G541" s="69">
        <v>74</v>
      </c>
      <c r="H541" s="69">
        <v>4768</v>
      </c>
      <c r="I541" s="70">
        <f t="shared" si="141"/>
        <v>0.32259810554803792</v>
      </c>
      <c r="J541" s="69">
        <v>171</v>
      </c>
      <c r="K541" s="70">
        <f t="shared" si="142"/>
        <v>1.1569688768606225E-2</v>
      </c>
      <c r="L541" s="70">
        <f t="shared" si="143"/>
        <v>3.5864093959731544E-2</v>
      </c>
      <c r="M541" s="69">
        <v>17</v>
      </c>
      <c r="N541" s="70">
        <f t="shared" si="144"/>
        <v>1.1502029769959404E-3</v>
      </c>
      <c r="O541" s="67" t="s">
        <v>21</v>
      </c>
    </row>
    <row r="542" spans="1:15" x14ac:dyDescent="0.3">
      <c r="A542" s="76" t="s">
        <v>34</v>
      </c>
      <c r="B542" s="67" t="s">
        <v>15</v>
      </c>
      <c r="C542" s="67" t="s">
        <v>30</v>
      </c>
      <c r="D542" s="68">
        <v>45047</v>
      </c>
      <c r="E542" s="69">
        <v>9461</v>
      </c>
      <c r="F542" s="70">
        <f t="shared" si="140"/>
        <v>0.98182010358313077</v>
      </c>
      <c r="G542" s="69">
        <v>172</v>
      </c>
      <c r="H542" s="69">
        <v>3456</v>
      </c>
      <c r="I542" s="70">
        <f t="shared" si="141"/>
        <v>0.36528908149244266</v>
      </c>
      <c r="J542" s="69">
        <v>567</v>
      </c>
      <c r="K542" s="70">
        <f t="shared" ref="K542:K575" si="150">J542/E542</f>
        <v>5.9930239932353871E-2</v>
      </c>
      <c r="L542" s="70">
        <f t="shared" ref="L542:L575" si="151">J542/H542</f>
        <v>0.1640625</v>
      </c>
      <c r="M542" s="69">
        <v>29</v>
      </c>
      <c r="N542" s="70">
        <f t="shared" ref="N542:N575" si="152">M542/E542</f>
        <v>3.0652150935419091E-3</v>
      </c>
      <c r="O542" s="67" t="s">
        <v>31</v>
      </c>
    </row>
    <row r="543" spans="1:15" x14ac:dyDescent="0.3">
      <c r="A543" s="76" t="s">
        <v>35</v>
      </c>
      <c r="B543" s="67" t="s">
        <v>15</v>
      </c>
      <c r="C543" s="67" t="s">
        <v>30</v>
      </c>
      <c r="D543" s="68">
        <v>45047</v>
      </c>
      <c r="E543" s="69">
        <v>85261</v>
      </c>
      <c r="F543" s="70">
        <f t="shared" si="140"/>
        <v>0.97441972296829737</v>
      </c>
      <c r="G543" s="69">
        <v>2181</v>
      </c>
      <c r="H543" s="69">
        <v>37997</v>
      </c>
      <c r="I543" s="70">
        <f t="shared" si="141"/>
        <v>0.44565510608601822</v>
      </c>
      <c r="J543" s="69">
        <v>4302</v>
      </c>
      <c r="K543" s="70">
        <f t="shared" si="150"/>
        <v>5.0456832549465758E-2</v>
      </c>
      <c r="L543" s="70">
        <f t="shared" si="151"/>
        <v>0.11321946469458115</v>
      </c>
      <c r="M543" s="69">
        <v>357</v>
      </c>
      <c r="N543" s="70">
        <f t="shared" si="152"/>
        <v>4.1871430079403246E-3</v>
      </c>
      <c r="O543" s="67" t="s">
        <v>31</v>
      </c>
    </row>
    <row r="544" spans="1:15" x14ac:dyDescent="0.3">
      <c r="A544" s="66" t="s">
        <v>29</v>
      </c>
      <c r="B544" s="67" t="s">
        <v>15</v>
      </c>
      <c r="C544" s="67" t="s">
        <v>16</v>
      </c>
      <c r="D544" s="68">
        <v>45048</v>
      </c>
      <c r="E544" s="69">
        <v>26231</v>
      </c>
      <c r="F544" s="70">
        <f t="shared" si="140"/>
        <v>0.99332850444130993</v>
      </c>
      <c r="G544" s="69">
        <v>175</v>
      </c>
      <c r="H544" s="69">
        <v>9283</v>
      </c>
      <c r="I544" s="70">
        <f t="shared" si="141"/>
        <v>0.35389424726468682</v>
      </c>
      <c r="J544" s="69">
        <v>316</v>
      </c>
      <c r="K544" s="70">
        <f t="shared" si="150"/>
        <v>1.2046814837406123E-2</v>
      </c>
      <c r="L544" s="70">
        <f t="shared" si="151"/>
        <v>3.4040719594958524E-2</v>
      </c>
      <c r="M544" s="69">
        <v>10</v>
      </c>
      <c r="N544" s="70">
        <f t="shared" si="152"/>
        <v>3.8122831763943424E-4</v>
      </c>
      <c r="O544" s="67" t="s">
        <v>16</v>
      </c>
    </row>
    <row r="545" spans="1:15" x14ac:dyDescent="0.3">
      <c r="A545" s="66" t="s">
        <v>29</v>
      </c>
      <c r="B545" s="67" t="s">
        <v>18</v>
      </c>
      <c r="C545" s="67" t="s">
        <v>16</v>
      </c>
      <c r="D545" s="68">
        <v>45048</v>
      </c>
      <c r="E545" s="69">
        <v>27102</v>
      </c>
      <c r="F545" s="70">
        <f t="shared" si="140"/>
        <v>0.99535089661279608</v>
      </c>
      <c r="G545" s="69">
        <v>126</v>
      </c>
      <c r="H545" s="69">
        <v>10104</v>
      </c>
      <c r="I545" s="70">
        <f t="shared" si="141"/>
        <v>0.37281381447863626</v>
      </c>
      <c r="J545" s="69">
        <v>271</v>
      </c>
      <c r="K545" s="70">
        <f t="shared" si="150"/>
        <v>9.9992620470813962E-3</v>
      </c>
      <c r="L545" s="70">
        <f t="shared" si="151"/>
        <v>2.6821060965954078E-2</v>
      </c>
      <c r="M545" s="69">
        <v>25</v>
      </c>
      <c r="N545" s="70">
        <f t="shared" si="152"/>
        <v>9.2244114825474136E-4</v>
      </c>
      <c r="O545" s="67" t="s">
        <v>16</v>
      </c>
    </row>
    <row r="546" spans="1:15" x14ac:dyDescent="0.3">
      <c r="A546" s="66" t="s">
        <v>17</v>
      </c>
      <c r="B546" s="67" t="s">
        <v>15</v>
      </c>
      <c r="C546" s="67" t="s">
        <v>16</v>
      </c>
      <c r="D546" s="68">
        <v>45048</v>
      </c>
      <c r="E546" s="69">
        <v>233675</v>
      </c>
      <c r="F546" s="70">
        <f t="shared" si="140"/>
        <v>0.99459933668556755</v>
      </c>
      <c r="G546" s="69">
        <v>1262</v>
      </c>
      <c r="H546" s="69">
        <v>82903</v>
      </c>
      <c r="I546" s="70">
        <f t="shared" si="141"/>
        <v>0.35477907349951854</v>
      </c>
      <c r="J546" s="69">
        <v>2098</v>
      </c>
      <c r="K546" s="70">
        <f t="shared" si="150"/>
        <v>8.978281801647588E-3</v>
      </c>
      <c r="L546" s="70">
        <f t="shared" si="151"/>
        <v>2.5306683714702724E-2</v>
      </c>
      <c r="M546" s="69">
        <v>123</v>
      </c>
      <c r="N546" s="70">
        <f t="shared" si="152"/>
        <v>5.2637209799935808E-4</v>
      </c>
      <c r="O546" s="67" t="s">
        <v>16</v>
      </c>
    </row>
    <row r="547" spans="1:15" x14ac:dyDescent="0.3">
      <c r="A547" s="66" t="s">
        <v>17</v>
      </c>
      <c r="B547" s="67" t="s">
        <v>18</v>
      </c>
      <c r="C547" s="67" t="s">
        <v>16</v>
      </c>
      <c r="D547" s="68">
        <v>45048</v>
      </c>
      <c r="E547" s="69">
        <v>453737</v>
      </c>
      <c r="F547" s="70">
        <f t="shared" si="140"/>
        <v>0.99624011266438484</v>
      </c>
      <c r="G547" s="69">
        <v>1706</v>
      </c>
      <c r="H547" s="69">
        <v>173750</v>
      </c>
      <c r="I547" s="70">
        <f t="shared" si="141"/>
        <v>0.38293108122105979</v>
      </c>
      <c r="J547" s="69">
        <v>2701</v>
      </c>
      <c r="K547" s="70">
        <f t="shared" si="150"/>
        <v>5.9527876280752951E-3</v>
      </c>
      <c r="L547" s="70">
        <f t="shared" si="151"/>
        <v>1.5545323741007195E-2</v>
      </c>
      <c r="M547" s="69">
        <v>405</v>
      </c>
      <c r="N547" s="70">
        <f t="shared" si="152"/>
        <v>8.9258755622750624E-4</v>
      </c>
      <c r="O547" s="67" t="s">
        <v>16</v>
      </c>
    </row>
    <row r="548" spans="1:15" x14ac:dyDescent="0.3">
      <c r="A548" s="76" t="s">
        <v>301</v>
      </c>
      <c r="B548" s="67" t="s">
        <v>15</v>
      </c>
      <c r="C548" s="67" t="s">
        <v>30</v>
      </c>
      <c r="D548" s="68">
        <v>45048</v>
      </c>
      <c r="E548" s="69">
        <v>60488</v>
      </c>
      <c r="F548" s="70">
        <f t="shared" si="140"/>
        <v>0.99537098267424939</v>
      </c>
      <c r="G548" s="69">
        <v>280</v>
      </c>
      <c r="H548" s="69">
        <v>26778</v>
      </c>
      <c r="I548" s="70">
        <f t="shared" si="141"/>
        <v>0.44269937838910195</v>
      </c>
      <c r="J548" s="69">
        <v>1613</v>
      </c>
      <c r="K548" s="70">
        <f t="shared" si="150"/>
        <v>2.6666446237270203E-2</v>
      </c>
      <c r="L548" s="70">
        <f t="shared" si="151"/>
        <v>6.0236014638882666E-2</v>
      </c>
      <c r="M548" s="69">
        <v>46</v>
      </c>
      <c r="N548" s="70">
        <f t="shared" si="152"/>
        <v>7.6048141780187808E-4</v>
      </c>
      <c r="O548" s="67" t="s">
        <v>31</v>
      </c>
    </row>
    <row r="549" spans="1:15" x14ac:dyDescent="0.3">
      <c r="A549" s="76" t="s">
        <v>302</v>
      </c>
      <c r="B549" s="67" t="s">
        <v>15</v>
      </c>
      <c r="C549" s="67" t="s">
        <v>16</v>
      </c>
      <c r="D549" s="68">
        <v>45049</v>
      </c>
      <c r="E549" s="69">
        <v>12366</v>
      </c>
      <c r="F549" s="70">
        <f t="shared" si="140"/>
        <v>0.9929645803008248</v>
      </c>
      <c r="G549" s="69">
        <v>87</v>
      </c>
      <c r="H549" s="69">
        <v>4740</v>
      </c>
      <c r="I549" s="70">
        <f t="shared" si="141"/>
        <v>0.38330907326540514</v>
      </c>
      <c r="J549" s="69">
        <v>82</v>
      </c>
      <c r="K549" s="70">
        <f t="shared" si="150"/>
        <v>6.6310852337053208E-3</v>
      </c>
      <c r="L549" s="70">
        <f t="shared" si="151"/>
        <v>1.729957805907173E-2</v>
      </c>
      <c r="M549" s="69">
        <v>4</v>
      </c>
      <c r="N549" s="70">
        <f t="shared" si="152"/>
        <v>3.2346757237586933E-4</v>
      </c>
      <c r="O549" s="67" t="s">
        <v>16</v>
      </c>
    </row>
    <row r="550" spans="1:15" x14ac:dyDescent="0.3">
      <c r="A550" s="76" t="s">
        <v>302</v>
      </c>
      <c r="B550" s="67" t="s">
        <v>18</v>
      </c>
      <c r="C550" s="67" t="s">
        <v>16</v>
      </c>
      <c r="D550" s="68">
        <v>45049</v>
      </c>
      <c r="E550" s="69">
        <v>3939</v>
      </c>
      <c r="F550" s="70">
        <f t="shared" si="140"/>
        <v>0.9951764407209952</v>
      </c>
      <c r="G550" s="69">
        <v>19</v>
      </c>
      <c r="H550" s="69">
        <v>1614</v>
      </c>
      <c r="I550" s="70">
        <f t="shared" si="141"/>
        <v>0.40974866717440978</v>
      </c>
      <c r="J550" s="69">
        <v>20</v>
      </c>
      <c r="K550" s="70">
        <f t="shared" si="150"/>
        <v>5.0774308200050777E-3</v>
      </c>
      <c r="L550" s="70">
        <f t="shared" si="151"/>
        <v>1.2391573729863693E-2</v>
      </c>
      <c r="M550" s="69">
        <v>10</v>
      </c>
      <c r="N550" s="70">
        <f t="shared" si="152"/>
        <v>2.5387154100025388E-3</v>
      </c>
      <c r="O550" s="67" t="s">
        <v>16</v>
      </c>
    </row>
    <row r="551" spans="1:15" x14ac:dyDescent="0.3">
      <c r="A551" s="76" t="s">
        <v>303</v>
      </c>
      <c r="B551" s="67" t="s">
        <v>15</v>
      </c>
      <c r="C551" s="67" t="s">
        <v>16</v>
      </c>
      <c r="D551" s="68">
        <v>45049</v>
      </c>
      <c r="E551" s="69">
        <v>228233</v>
      </c>
      <c r="F551" s="70">
        <f t="shared" si="140"/>
        <v>0.9948648968378806</v>
      </c>
      <c r="G551" s="69">
        <v>1172</v>
      </c>
      <c r="H551" s="69">
        <v>100400</v>
      </c>
      <c r="I551" s="70">
        <f t="shared" si="141"/>
        <v>0.43990132890511013</v>
      </c>
      <c r="J551" s="69">
        <v>2500</v>
      </c>
      <c r="K551" s="70">
        <f t="shared" si="150"/>
        <v>1.0953718349230829E-2</v>
      </c>
      <c r="L551" s="70">
        <f t="shared" si="151"/>
        <v>2.4900398406374501E-2</v>
      </c>
      <c r="M551" s="69">
        <v>150</v>
      </c>
      <c r="N551" s="70">
        <f t="shared" si="152"/>
        <v>6.5722310095384985E-4</v>
      </c>
      <c r="O551" s="67" t="s">
        <v>16</v>
      </c>
    </row>
    <row r="552" spans="1:15" x14ac:dyDescent="0.3">
      <c r="A552" s="76" t="s">
        <v>303</v>
      </c>
      <c r="B552" s="67" t="s">
        <v>18</v>
      </c>
      <c r="C552" s="67" t="s">
        <v>16</v>
      </c>
      <c r="D552" s="68">
        <v>45049</v>
      </c>
      <c r="E552" s="69">
        <v>293839</v>
      </c>
      <c r="F552" s="70">
        <f t="shared" si="140"/>
        <v>0.99577659874965541</v>
      </c>
      <c r="G552" s="69">
        <v>1241</v>
      </c>
      <c r="H552" s="69">
        <v>125796</v>
      </c>
      <c r="I552" s="70">
        <f t="shared" si="141"/>
        <v>0.42811199330245475</v>
      </c>
      <c r="J552" s="69">
        <v>2451</v>
      </c>
      <c r="K552" s="70">
        <f t="shared" si="150"/>
        <v>8.3413025500359041E-3</v>
      </c>
      <c r="L552" s="70">
        <f t="shared" si="151"/>
        <v>1.9483926356958885E-2</v>
      </c>
      <c r="M552" s="69">
        <v>545</v>
      </c>
      <c r="N552" s="70">
        <f t="shared" si="152"/>
        <v>1.8547571969684078E-3</v>
      </c>
      <c r="O552" s="67" t="s">
        <v>16</v>
      </c>
    </row>
    <row r="553" spans="1:15" x14ac:dyDescent="0.3">
      <c r="A553" s="76" t="s">
        <v>304</v>
      </c>
      <c r="B553" s="67" t="s">
        <v>15</v>
      </c>
      <c r="C553" s="67" t="s">
        <v>30</v>
      </c>
      <c r="D553" s="68">
        <v>45049</v>
      </c>
      <c r="E553" s="69">
        <v>32024</v>
      </c>
      <c r="F553" s="70">
        <f t="shared" si="140"/>
        <v>0.99313015238571067</v>
      </c>
      <c r="G553" s="69">
        <v>220</v>
      </c>
      <c r="H553" s="69">
        <v>13089</v>
      </c>
      <c r="I553" s="70">
        <f t="shared" si="141"/>
        <v>0.40872470647014741</v>
      </c>
      <c r="J553" s="69">
        <v>2663</v>
      </c>
      <c r="K553" s="70">
        <f t="shared" si="150"/>
        <v>8.3156382712965271E-2</v>
      </c>
      <c r="L553" s="70">
        <f t="shared" si="151"/>
        <v>0.20345328138131255</v>
      </c>
      <c r="M553" s="69">
        <v>27</v>
      </c>
      <c r="N553" s="70">
        <f t="shared" si="152"/>
        <v>8.4311766175368473E-4</v>
      </c>
      <c r="O553" s="67" t="s">
        <v>31</v>
      </c>
    </row>
    <row r="554" spans="1:15" x14ac:dyDescent="0.3">
      <c r="A554" s="76" t="s">
        <v>305</v>
      </c>
      <c r="B554" s="67" t="s">
        <v>15</v>
      </c>
      <c r="C554" s="67" t="s">
        <v>16</v>
      </c>
      <c r="D554" s="68">
        <v>45050</v>
      </c>
      <c r="E554" s="69">
        <v>130464</v>
      </c>
      <c r="F554" s="70">
        <f t="shared" si="140"/>
        <v>0.99317052980132448</v>
      </c>
      <c r="G554" s="69">
        <v>891</v>
      </c>
      <c r="H554" s="69">
        <v>43901</v>
      </c>
      <c r="I554" s="70">
        <f t="shared" si="141"/>
        <v>0.33649895756683834</v>
      </c>
      <c r="J554" s="69">
        <v>640</v>
      </c>
      <c r="K554" s="70">
        <f t="shared" si="150"/>
        <v>4.9055678194751045E-3</v>
      </c>
      <c r="L554" s="70">
        <f t="shared" si="151"/>
        <v>1.4578255620600897E-2</v>
      </c>
      <c r="M554" s="69">
        <v>64</v>
      </c>
      <c r="N554" s="70">
        <f t="shared" si="152"/>
        <v>4.9055678194751039E-4</v>
      </c>
      <c r="O554" s="67" t="s">
        <v>16</v>
      </c>
    </row>
    <row r="555" spans="1:15" x14ac:dyDescent="0.3">
      <c r="A555" s="76" t="s">
        <v>305</v>
      </c>
      <c r="B555" s="67" t="s">
        <v>18</v>
      </c>
      <c r="C555" s="67" t="s">
        <v>16</v>
      </c>
      <c r="D555" s="68">
        <v>45050</v>
      </c>
      <c r="E555" s="69">
        <v>221169</v>
      </c>
      <c r="F555" s="70">
        <f t="shared" si="140"/>
        <v>0.99514850634582608</v>
      </c>
      <c r="G555" s="69">
        <v>1073</v>
      </c>
      <c r="H555" s="69">
        <v>71390</v>
      </c>
      <c r="I555" s="70">
        <f t="shared" si="141"/>
        <v>0.3227848387432235</v>
      </c>
      <c r="J555" s="69">
        <v>1107</v>
      </c>
      <c r="K555" s="70">
        <f t="shared" si="150"/>
        <v>5.0052222508579413E-3</v>
      </c>
      <c r="L555" s="70">
        <f t="shared" si="151"/>
        <v>1.5506373441658495E-2</v>
      </c>
      <c r="M555" s="69">
        <v>451</v>
      </c>
      <c r="N555" s="70">
        <f t="shared" si="152"/>
        <v>2.0391646207199021E-3</v>
      </c>
      <c r="O555" s="67" t="s">
        <v>16</v>
      </c>
    </row>
    <row r="556" spans="1:15" x14ac:dyDescent="0.3">
      <c r="A556" s="76" t="s">
        <v>306</v>
      </c>
      <c r="B556" s="67" t="s">
        <v>15</v>
      </c>
      <c r="C556" s="67" t="s">
        <v>16</v>
      </c>
      <c r="D556" s="68">
        <v>45050</v>
      </c>
      <c r="E556" s="69">
        <v>2357839</v>
      </c>
      <c r="F556" s="70">
        <f t="shared" si="140"/>
        <v>0.9949313757215823</v>
      </c>
      <c r="G556" s="69">
        <v>11951</v>
      </c>
      <c r="H556" s="69">
        <v>823345</v>
      </c>
      <c r="I556" s="70">
        <f t="shared" si="141"/>
        <v>0.349194749938397</v>
      </c>
      <c r="J556" s="69">
        <v>9861</v>
      </c>
      <c r="K556" s="70">
        <f t="shared" si="150"/>
        <v>4.1822193966593989E-3</v>
      </c>
      <c r="L556" s="70">
        <f t="shared" si="151"/>
        <v>1.1976753365842994E-2</v>
      </c>
      <c r="M556" s="69">
        <v>2101</v>
      </c>
      <c r="N556" s="70">
        <f t="shared" si="152"/>
        <v>8.9107017060961334E-4</v>
      </c>
      <c r="O556" s="67" t="s">
        <v>16</v>
      </c>
    </row>
    <row r="557" spans="1:15" x14ac:dyDescent="0.3">
      <c r="A557" s="76" t="s">
        <v>306</v>
      </c>
      <c r="B557" s="67" t="s">
        <v>18</v>
      </c>
      <c r="C557" s="67" t="s">
        <v>16</v>
      </c>
      <c r="D557" s="68">
        <v>45050</v>
      </c>
      <c r="E557" s="69">
        <v>2456614</v>
      </c>
      <c r="F557" s="70">
        <f t="shared" si="140"/>
        <v>0.99600547745799706</v>
      </c>
      <c r="G557" s="69">
        <v>9813</v>
      </c>
      <c r="H557" s="69">
        <v>858291</v>
      </c>
      <c r="I557" s="70">
        <f t="shared" si="141"/>
        <v>0.3493796746253176</v>
      </c>
      <c r="J557" s="69">
        <v>11555</v>
      </c>
      <c r="K557" s="70">
        <f t="shared" si="150"/>
        <v>4.703628653097312E-3</v>
      </c>
      <c r="L557" s="70">
        <f t="shared" si="151"/>
        <v>1.3462799912850071E-2</v>
      </c>
      <c r="M557" s="69">
        <v>4569</v>
      </c>
      <c r="N557" s="70">
        <f t="shared" si="152"/>
        <v>1.8598770502814036E-3</v>
      </c>
      <c r="O557" s="67" t="s">
        <v>16</v>
      </c>
    </row>
    <row r="558" spans="1:15" x14ac:dyDescent="0.3">
      <c r="A558" s="66" t="s">
        <v>26</v>
      </c>
      <c r="B558" s="67"/>
      <c r="C558" s="67" t="s">
        <v>23</v>
      </c>
      <c r="D558" s="68">
        <v>45050</v>
      </c>
      <c r="E558" s="69">
        <v>1644</v>
      </c>
      <c r="F558" s="70">
        <f t="shared" si="140"/>
        <v>0.99817518248175185</v>
      </c>
      <c r="G558" s="69">
        <v>3</v>
      </c>
      <c r="H558" s="69">
        <v>579</v>
      </c>
      <c r="I558" s="70">
        <f t="shared" si="141"/>
        <v>0.3521897810218978</v>
      </c>
      <c r="J558" s="69">
        <v>18</v>
      </c>
      <c r="K558" s="70">
        <f t="shared" si="150"/>
        <v>1.0948905109489052E-2</v>
      </c>
      <c r="L558" s="70">
        <f t="shared" si="151"/>
        <v>3.1088082901554404E-2</v>
      </c>
      <c r="M558" s="69">
        <v>0</v>
      </c>
      <c r="N558" s="70">
        <f t="shared" si="152"/>
        <v>0</v>
      </c>
      <c r="O558" s="67" t="s">
        <v>23</v>
      </c>
    </row>
    <row r="559" spans="1:15" x14ac:dyDescent="0.3">
      <c r="A559" s="76" t="s">
        <v>307</v>
      </c>
      <c r="B559" s="67" t="s">
        <v>15</v>
      </c>
      <c r="C559" s="67" t="s">
        <v>16</v>
      </c>
      <c r="D559" s="68">
        <v>45050</v>
      </c>
      <c r="E559" s="69">
        <v>39627</v>
      </c>
      <c r="F559" s="70">
        <f t="shared" si="140"/>
        <v>0.99593711358417236</v>
      </c>
      <c r="G559" s="69">
        <v>161</v>
      </c>
      <c r="H559" s="69">
        <v>14780</v>
      </c>
      <c r="I559" s="70">
        <f t="shared" si="141"/>
        <v>0.37297802003684355</v>
      </c>
      <c r="J559" s="69">
        <v>103</v>
      </c>
      <c r="K559" s="70">
        <f t="shared" si="150"/>
        <v>2.5992378933555405E-3</v>
      </c>
      <c r="L559" s="70">
        <f t="shared" si="151"/>
        <v>6.9688768606224628E-3</v>
      </c>
      <c r="M559" s="69">
        <v>18</v>
      </c>
      <c r="N559" s="70">
        <f t="shared" si="152"/>
        <v>4.5423574835339541E-4</v>
      </c>
      <c r="O559" s="67" t="s">
        <v>16</v>
      </c>
    </row>
    <row r="560" spans="1:15" x14ac:dyDescent="0.3">
      <c r="A560" s="76" t="s">
        <v>308</v>
      </c>
      <c r="B560" s="67" t="s">
        <v>15</v>
      </c>
      <c r="C560" s="67" t="s">
        <v>16</v>
      </c>
      <c r="D560" s="68">
        <v>45050</v>
      </c>
      <c r="E560" s="69">
        <v>388622</v>
      </c>
      <c r="F560" s="70">
        <f t="shared" si="140"/>
        <v>0.99453196164910895</v>
      </c>
      <c r="G560" s="69">
        <v>2125</v>
      </c>
      <c r="H560" s="69">
        <v>136973</v>
      </c>
      <c r="I560" s="70">
        <f t="shared" si="141"/>
        <v>0.35245817272310881</v>
      </c>
      <c r="J560" s="69">
        <v>1340</v>
      </c>
      <c r="K560" s="70">
        <f t="shared" si="150"/>
        <v>3.4480806542089744E-3</v>
      </c>
      <c r="L560" s="70">
        <f t="shared" si="151"/>
        <v>9.7829499244376627E-3</v>
      </c>
      <c r="M560" s="69">
        <v>202</v>
      </c>
      <c r="N560" s="70">
        <f t="shared" si="152"/>
        <v>5.1978529264941255E-4</v>
      </c>
      <c r="O560" s="67" t="s">
        <v>16</v>
      </c>
    </row>
    <row r="561" spans="1:15" x14ac:dyDescent="0.3">
      <c r="A561" s="76" t="s">
        <v>309</v>
      </c>
      <c r="B561" s="67" t="s">
        <v>18</v>
      </c>
      <c r="C561" s="67" t="s">
        <v>21</v>
      </c>
      <c r="D561" s="68">
        <v>45051</v>
      </c>
      <c r="E561" s="69">
        <v>220</v>
      </c>
      <c r="F561" s="70">
        <f t="shared" si="140"/>
        <v>1</v>
      </c>
      <c r="G561" s="69">
        <v>0</v>
      </c>
      <c r="H561" s="69">
        <v>96</v>
      </c>
      <c r="I561" s="70">
        <f t="shared" si="141"/>
        <v>0.43636363636363634</v>
      </c>
      <c r="J561" s="69">
        <v>7</v>
      </c>
      <c r="K561" s="70">
        <f t="shared" si="150"/>
        <v>3.1818181818181815E-2</v>
      </c>
      <c r="L561" s="70">
        <f t="shared" si="151"/>
        <v>7.2916666666666671E-2</v>
      </c>
      <c r="M561" s="69">
        <v>0</v>
      </c>
      <c r="N561" s="70">
        <f t="shared" si="152"/>
        <v>0</v>
      </c>
      <c r="O561" s="67" t="s">
        <v>21</v>
      </c>
    </row>
    <row r="562" spans="1:15" x14ac:dyDescent="0.3">
      <c r="A562" s="76" t="s">
        <v>309</v>
      </c>
      <c r="B562" s="67" t="s">
        <v>15</v>
      </c>
      <c r="C562" s="67" t="s">
        <v>21</v>
      </c>
      <c r="D562" s="68">
        <v>45051</v>
      </c>
      <c r="E562" s="69">
        <v>188</v>
      </c>
      <c r="F562" s="70">
        <f t="shared" si="140"/>
        <v>0.99468085106382975</v>
      </c>
      <c r="G562" s="69">
        <v>1</v>
      </c>
      <c r="H562" s="69">
        <v>79</v>
      </c>
      <c r="I562" s="70">
        <f t="shared" si="141"/>
        <v>0.42021276595744683</v>
      </c>
      <c r="J562" s="69">
        <v>5</v>
      </c>
      <c r="K562" s="70">
        <f t="shared" si="150"/>
        <v>2.6595744680851064E-2</v>
      </c>
      <c r="L562" s="70">
        <f t="shared" si="151"/>
        <v>6.3291139240506333E-2</v>
      </c>
      <c r="M562" s="69">
        <v>0</v>
      </c>
      <c r="N562" s="70">
        <f t="shared" si="152"/>
        <v>0</v>
      </c>
      <c r="O562" s="67" t="s">
        <v>21</v>
      </c>
    </row>
    <row r="563" spans="1:15" x14ac:dyDescent="0.3">
      <c r="A563" s="76" t="s">
        <v>310</v>
      </c>
      <c r="B563" s="67" t="s">
        <v>15</v>
      </c>
      <c r="C563" s="67" t="s">
        <v>21</v>
      </c>
      <c r="D563" s="68">
        <v>45051</v>
      </c>
      <c r="E563" s="69">
        <v>5270</v>
      </c>
      <c r="F563" s="70">
        <f t="shared" si="140"/>
        <v>0.99696394686907019</v>
      </c>
      <c r="G563" s="69">
        <v>16</v>
      </c>
      <c r="H563" s="69">
        <v>3116</v>
      </c>
      <c r="I563" s="70">
        <f t="shared" si="141"/>
        <v>0.59127134724857688</v>
      </c>
      <c r="J563" s="69">
        <v>304</v>
      </c>
      <c r="K563" s="70">
        <f t="shared" si="150"/>
        <v>5.7685009487666035E-2</v>
      </c>
      <c r="L563" s="70">
        <f t="shared" si="151"/>
        <v>9.7560975609756101E-2</v>
      </c>
      <c r="M563" s="69">
        <v>3</v>
      </c>
      <c r="N563" s="70">
        <f t="shared" si="152"/>
        <v>5.6925996204933583E-4</v>
      </c>
      <c r="O563" s="67" t="s">
        <v>21</v>
      </c>
    </row>
    <row r="564" spans="1:15" x14ac:dyDescent="0.3">
      <c r="A564" s="76" t="s">
        <v>310</v>
      </c>
      <c r="B564" s="67" t="s">
        <v>18</v>
      </c>
      <c r="C564" s="67" t="s">
        <v>21</v>
      </c>
      <c r="D564" s="68">
        <v>45051</v>
      </c>
      <c r="E564" s="69">
        <v>2868</v>
      </c>
      <c r="F564" s="70">
        <f t="shared" si="140"/>
        <v>0.997907949790795</v>
      </c>
      <c r="G564" s="69">
        <v>6</v>
      </c>
      <c r="H564" s="69">
        <v>1708</v>
      </c>
      <c r="I564" s="70">
        <f t="shared" si="141"/>
        <v>0.59553695955369601</v>
      </c>
      <c r="J564" s="69">
        <v>168</v>
      </c>
      <c r="K564" s="70">
        <f t="shared" si="150"/>
        <v>5.8577405857740586E-2</v>
      </c>
      <c r="L564" s="70">
        <f t="shared" si="151"/>
        <v>9.8360655737704916E-2</v>
      </c>
      <c r="M564" s="69">
        <v>1</v>
      </c>
      <c r="N564" s="70">
        <f t="shared" si="152"/>
        <v>3.4867503486750347E-4</v>
      </c>
      <c r="O564" s="67" t="s">
        <v>21</v>
      </c>
    </row>
    <row r="565" spans="1:15" x14ac:dyDescent="0.3">
      <c r="A565" s="66" t="s">
        <v>311</v>
      </c>
      <c r="B565" s="67" t="s">
        <v>18</v>
      </c>
      <c r="C565" s="67" t="s">
        <v>16</v>
      </c>
      <c r="D565" s="68">
        <v>45051</v>
      </c>
      <c r="E565" s="69">
        <v>208040</v>
      </c>
      <c r="F565" s="70">
        <f t="shared" si="140"/>
        <v>0.99474139588540667</v>
      </c>
      <c r="G565" s="69">
        <v>1094</v>
      </c>
      <c r="H565" s="69">
        <v>61907</v>
      </c>
      <c r="I565" s="70">
        <f t="shared" si="141"/>
        <v>0.29757258219573157</v>
      </c>
      <c r="J565" s="69">
        <v>1132</v>
      </c>
      <c r="K565" s="70">
        <f t="shared" si="150"/>
        <v>5.4412612959046334E-3</v>
      </c>
      <c r="L565" s="70">
        <f t="shared" si="151"/>
        <v>1.8285492755261926E-2</v>
      </c>
      <c r="M565" s="69">
        <v>407</v>
      </c>
      <c r="N565" s="70">
        <f t="shared" si="152"/>
        <v>1.9563545472024609E-3</v>
      </c>
      <c r="O565" s="67" t="s">
        <v>16</v>
      </c>
    </row>
    <row r="566" spans="1:15" x14ac:dyDescent="0.3">
      <c r="A566" s="66" t="s">
        <v>314</v>
      </c>
      <c r="B566" s="67" t="s">
        <v>15</v>
      </c>
      <c r="C566" s="67" t="s">
        <v>16</v>
      </c>
      <c r="D566" s="68">
        <v>45051</v>
      </c>
      <c r="E566" s="69">
        <v>105718</v>
      </c>
      <c r="F566" s="70">
        <f t="shared" si="140"/>
        <v>0.99290565466618741</v>
      </c>
      <c r="G566" s="69">
        <v>750</v>
      </c>
      <c r="H566" s="69">
        <v>31664</v>
      </c>
      <c r="I566" s="70">
        <f t="shared" si="141"/>
        <v>0.29951380086645607</v>
      </c>
      <c r="J566" s="69">
        <v>620</v>
      </c>
      <c r="K566" s="70">
        <f t="shared" si="150"/>
        <v>5.8646588092850791E-3</v>
      </c>
      <c r="L566" s="70">
        <f t="shared" si="151"/>
        <v>1.9580596260737746E-2</v>
      </c>
      <c r="M566" s="69">
        <v>42</v>
      </c>
      <c r="N566" s="70">
        <f t="shared" si="152"/>
        <v>3.9728333869350538E-4</v>
      </c>
      <c r="O566" s="67" t="s">
        <v>16</v>
      </c>
    </row>
    <row r="567" spans="1:15" x14ac:dyDescent="0.3">
      <c r="A567" s="66" t="s">
        <v>22</v>
      </c>
      <c r="B567" s="67" t="s">
        <v>15</v>
      </c>
      <c r="C567" s="67" t="s">
        <v>16</v>
      </c>
      <c r="D567" s="68">
        <v>45051</v>
      </c>
      <c r="E567" s="69">
        <v>1937286</v>
      </c>
      <c r="F567" s="70">
        <f t="shared" si="140"/>
        <v>0.99512100949472615</v>
      </c>
      <c r="G567" s="69">
        <v>9452</v>
      </c>
      <c r="H567" s="69">
        <v>660433</v>
      </c>
      <c r="I567" s="70">
        <f t="shared" si="141"/>
        <v>0.34090629881184298</v>
      </c>
      <c r="J567" s="69">
        <v>10979</v>
      </c>
      <c r="K567" s="70">
        <f t="shared" si="150"/>
        <v>5.6672065972706151E-3</v>
      </c>
      <c r="L567" s="70">
        <f t="shared" si="151"/>
        <v>1.6623942171272485E-2</v>
      </c>
      <c r="M567" s="69">
        <v>1432</v>
      </c>
      <c r="N567" s="70">
        <f t="shared" si="152"/>
        <v>7.3917841764200025E-4</v>
      </c>
      <c r="O567" s="67" t="s">
        <v>16</v>
      </c>
    </row>
    <row r="568" spans="1:15" x14ac:dyDescent="0.3">
      <c r="A568" s="66" t="s">
        <v>312</v>
      </c>
      <c r="B568" s="67" t="s">
        <v>18</v>
      </c>
      <c r="C568" s="67" t="s">
        <v>16</v>
      </c>
      <c r="D568" s="68">
        <v>45051</v>
      </c>
      <c r="E568" s="69">
        <v>2294957</v>
      </c>
      <c r="F568" s="70">
        <f t="shared" si="140"/>
        <v>0.99584436658290332</v>
      </c>
      <c r="G568" s="69">
        <v>9537</v>
      </c>
      <c r="H568" s="69">
        <v>756783</v>
      </c>
      <c r="I568" s="70">
        <f t="shared" si="141"/>
        <v>0.32975911966978033</v>
      </c>
      <c r="J568" s="69">
        <v>11975</v>
      </c>
      <c r="K568" s="70">
        <f t="shared" si="150"/>
        <v>5.2179626894970146E-3</v>
      </c>
      <c r="L568" s="70">
        <f t="shared" si="151"/>
        <v>1.5823558404456761E-2</v>
      </c>
      <c r="M568" s="69">
        <v>3699</v>
      </c>
      <c r="N568" s="70">
        <f t="shared" si="152"/>
        <v>1.6117949050897249E-3</v>
      </c>
      <c r="O568" s="67" t="s">
        <v>16</v>
      </c>
    </row>
    <row r="569" spans="1:15" x14ac:dyDescent="0.3">
      <c r="A569" s="66" t="s">
        <v>33</v>
      </c>
      <c r="B569" s="67" t="s">
        <v>18</v>
      </c>
      <c r="C569" s="67" t="s">
        <v>21</v>
      </c>
      <c r="D569" s="68">
        <v>45051</v>
      </c>
      <c r="E569" s="69">
        <v>234667</v>
      </c>
      <c r="F569" s="70">
        <f t="shared" si="140"/>
        <v>0.9958238695683671</v>
      </c>
      <c r="G569" s="69">
        <v>980</v>
      </c>
      <c r="H569" s="69">
        <v>103613</v>
      </c>
      <c r="I569" s="70">
        <f t="shared" si="141"/>
        <v>0.44153204327834761</v>
      </c>
      <c r="J569" s="69">
        <v>2426</v>
      </c>
      <c r="K569" s="70">
        <f t="shared" si="150"/>
        <v>1.03380534970831E-2</v>
      </c>
      <c r="L569" s="70">
        <f t="shared" si="151"/>
        <v>2.3414050360476002E-2</v>
      </c>
      <c r="M569" s="69">
        <v>200</v>
      </c>
      <c r="N569" s="70">
        <f t="shared" si="152"/>
        <v>8.522715166597775E-4</v>
      </c>
      <c r="O569" s="67" t="s">
        <v>21</v>
      </c>
    </row>
    <row r="570" spans="1:15" x14ac:dyDescent="0.3">
      <c r="A570" s="66" t="s">
        <v>19</v>
      </c>
      <c r="B570" s="67" t="s">
        <v>18</v>
      </c>
      <c r="C570" s="67" t="s">
        <v>21</v>
      </c>
      <c r="D570" s="68">
        <v>45051</v>
      </c>
      <c r="E570" s="69">
        <v>332694</v>
      </c>
      <c r="F570" s="70">
        <f t="shared" si="140"/>
        <v>0.99370893373490354</v>
      </c>
      <c r="G570" s="69">
        <v>2093</v>
      </c>
      <c r="H570" s="69">
        <v>118691</v>
      </c>
      <c r="I570" s="70">
        <f t="shared" si="141"/>
        <v>0.3567572604254961</v>
      </c>
      <c r="J570" s="69">
        <v>2503</v>
      </c>
      <c r="K570" s="70">
        <f t="shared" si="150"/>
        <v>7.5234299386222779E-3</v>
      </c>
      <c r="L570" s="70">
        <f t="shared" si="151"/>
        <v>2.1088372328146195E-2</v>
      </c>
      <c r="M570" s="69">
        <v>295</v>
      </c>
      <c r="N570" s="70">
        <f t="shared" si="152"/>
        <v>8.8670069192711622E-4</v>
      </c>
      <c r="O570" s="67" t="s">
        <v>21</v>
      </c>
    </row>
    <row r="571" spans="1:15" x14ac:dyDescent="0.3">
      <c r="A571" s="76" t="s">
        <v>36</v>
      </c>
      <c r="B571" s="67" t="s">
        <v>15</v>
      </c>
      <c r="C571" s="67" t="s">
        <v>16</v>
      </c>
      <c r="D571" s="68">
        <v>45052</v>
      </c>
      <c r="E571" s="69">
        <v>1921</v>
      </c>
      <c r="F571" s="70">
        <f t="shared" si="140"/>
        <v>0.99427381572097862</v>
      </c>
      <c r="G571" s="69">
        <v>11</v>
      </c>
      <c r="H571" s="69">
        <v>896</v>
      </c>
      <c r="I571" s="70">
        <f t="shared" si="141"/>
        <v>0.46642373763664757</v>
      </c>
      <c r="J571" s="69">
        <v>62</v>
      </c>
      <c r="K571" s="70">
        <f t="shared" si="150"/>
        <v>3.2274856845393024E-2</v>
      </c>
      <c r="L571" s="70">
        <f t="shared" si="151"/>
        <v>6.9196428571428575E-2</v>
      </c>
      <c r="M571" s="69">
        <v>0</v>
      </c>
      <c r="N571" s="70">
        <f t="shared" si="152"/>
        <v>0</v>
      </c>
      <c r="O571" s="67" t="s">
        <v>16</v>
      </c>
    </row>
    <row r="572" spans="1:15" x14ac:dyDescent="0.3">
      <c r="A572" s="76" t="s">
        <v>36</v>
      </c>
      <c r="B572" s="67" t="s">
        <v>18</v>
      </c>
      <c r="C572" s="67" t="s">
        <v>16</v>
      </c>
      <c r="D572" s="68">
        <v>45052</v>
      </c>
      <c r="E572" s="69">
        <v>1919</v>
      </c>
      <c r="F572" s="70">
        <f t="shared" si="140"/>
        <v>0.99687337154768108</v>
      </c>
      <c r="G572" s="69">
        <v>6</v>
      </c>
      <c r="H572" s="69">
        <v>780</v>
      </c>
      <c r="I572" s="70">
        <f t="shared" si="141"/>
        <v>0.4064616988014591</v>
      </c>
      <c r="J572" s="69">
        <v>43</v>
      </c>
      <c r="K572" s="70">
        <f t="shared" si="150"/>
        <v>2.2407503908285567E-2</v>
      </c>
      <c r="L572" s="70">
        <f t="shared" si="151"/>
        <v>5.5128205128205127E-2</v>
      </c>
      <c r="M572" s="69">
        <v>5</v>
      </c>
      <c r="N572" s="70">
        <f t="shared" si="152"/>
        <v>2.6055237102657635E-3</v>
      </c>
      <c r="O572" s="67" t="s">
        <v>16</v>
      </c>
    </row>
    <row r="573" spans="1:15" x14ac:dyDescent="0.3">
      <c r="A573" s="76" t="s">
        <v>37</v>
      </c>
      <c r="B573" s="67" t="s">
        <v>15</v>
      </c>
      <c r="C573" s="67" t="s">
        <v>16</v>
      </c>
      <c r="D573" s="68">
        <v>45052</v>
      </c>
      <c r="E573" s="69">
        <v>19221</v>
      </c>
      <c r="F573" s="70">
        <f t="shared" si="140"/>
        <v>0.99531762135164659</v>
      </c>
      <c r="G573" s="69">
        <v>90</v>
      </c>
      <c r="H573" s="69">
        <v>7921</v>
      </c>
      <c r="I573" s="70">
        <f t="shared" si="141"/>
        <v>0.41210134748452215</v>
      </c>
      <c r="J573" s="69">
        <v>441</v>
      </c>
      <c r="K573" s="70">
        <f t="shared" si="150"/>
        <v>2.2943655376931483E-2</v>
      </c>
      <c r="L573" s="70">
        <f t="shared" si="151"/>
        <v>5.5674788536800912E-2</v>
      </c>
      <c r="M573" s="69">
        <v>11</v>
      </c>
      <c r="N573" s="70">
        <f t="shared" si="152"/>
        <v>5.722907236876333E-4</v>
      </c>
      <c r="O573" s="67" t="s">
        <v>16</v>
      </c>
    </row>
    <row r="574" spans="1:15" x14ac:dyDescent="0.3">
      <c r="A574" s="76" t="s">
        <v>37</v>
      </c>
      <c r="B574" s="67" t="s">
        <v>18</v>
      </c>
      <c r="C574" s="67" t="s">
        <v>16</v>
      </c>
      <c r="D574" s="68">
        <v>45052</v>
      </c>
      <c r="E574" s="69">
        <v>20062</v>
      </c>
      <c r="F574" s="70">
        <f t="shared" si="140"/>
        <v>0.99636128003190105</v>
      </c>
      <c r="G574" s="69">
        <v>73</v>
      </c>
      <c r="H574" s="69">
        <v>7657</v>
      </c>
      <c r="I574" s="70">
        <f t="shared" si="141"/>
        <v>0.38166683281826336</v>
      </c>
      <c r="J574" s="69">
        <v>265</v>
      </c>
      <c r="K574" s="70">
        <f t="shared" si="150"/>
        <v>1.3209051938989134E-2</v>
      </c>
      <c r="L574" s="70">
        <f t="shared" si="151"/>
        <v>3.4608854642810501E-2</v>
      </c>
      <c r="M574" s="69">
        <v>34</v>
      </c>
      <c r="N574" s="70">
        <f t="shared" si="152"/>
        <v>1.6947462865118134E-3</v>
      </c>
      <c r="O574" s="67" t="s">
        <v>16</v>
      </c>
    </row>
    <row r="575" spans="1:15" x14ac:dyDescent="0.3">
      <c r="A575" s="76" t="s">
        <v>313</v>
      </c>
      <c r="B575" s="67" t="s">
        <v>15</v>
      </c>
      <c r="C575" s="67" t="s">
        <v>27</v>
      </c>
      <c r="D575" s="68">
        <v>45052</v>
      </c>
      <c r="E575" s="69">
        <v>161590</v>
      </c>
      <c r="F575" s="70">
        <f t="shared" si="140"/>
        <v>0.994616003465561</v>
      </c>
      <c r="G575" s="69">
        <v>870</v>
      </c>
      <c r="H575" s="69">
        <v>57413</v>
      </c>
      <c r="I575" s="70">
        <f t="shared" si="141"/>
        <v>0.35530045176062874</v>
      </c>
      <c r="J575" s="69">
        <v>1096</v>
      </c>
      <c r="K575" s="70">
        <f t="shared" si="150"/>
        <v>6.782597933040411E-3</v>
      </c>
      <c r="L575" s="70">
        <f t="shared" si="151"/>
        <v>1.9089753191785831E-2</v>
      </c>
      <c r="M575" s="69">
        <v>784</v>
      </c>
      <c r="N575" s="70">
        <f t="shared" si="152"/>
        <v>4.8517853827588341E-3</v>
      </c>
      <c r="O575" s="67" t="s">
        <v>27</v>
      </c>
    </row>
    <row r="576" spans="1:15" x14ac:dyDescent="0.3">
      <c r="A576" s="76" t="s">
        <v>315</v>
      </c>
      <c r="B576" s="67" t="s">
        <v>15</v>
      </c>
      <c r="C576" s="67" t="s">
        <v>16</v>
      </c>
      <c r="D576" s="68">
        <v>45054</v>
      </c>
      <c r="E576" s="69">
        <v>7040</v>
      </c>
      <c r="F576" s="70">
        <f t="shared" ref="F576:F606" si="153">(E576-G576)/E576</f>
        <v>0.9951704545454545</v>
      </c>
      <c r="G576" s="69">
        <v>34</v>
      </c>
      <c r="H576" s="69">
        <v>3298</v>
      </c>
      <c r="I576" s="70">
        <f t="shared" ref="I576:I606" si="154">H576/E576</f>
        <v>0.46846590909090907</v>
      </c>
      <c r="J576" s="69">
        <v>821</v>
      </c>
      <c r="K576" s="70">
        <f t="shared" ref="K576:K606" si="155">J576/E576</f>
        <v>0.11661931818181819</v>
      </c>
      <c r="L576" s="70">
        <f t="shared" ref="L576:L606" si="156">J576/H576</f>
        <v>0.24893875075803518</v>
      </c>
      <c r="M576" s="69">
        <v>2</v>
      </c>
      <c r="N576" s="70">
        <f t="shared" ref="N576:N606" si="157">M576/E576</f>
        <v>2.8409090909090908E-4</v>
      </c>
      <c r="O576" s="67" t="s">
        <v>16</v>
      </c>
    </row>
    <row r="577" spans="1:15" x14ac:dyDescent="0.3">
      <c r="A577" s="66" t="s">
        <v>29</v>
      </c>
      <c r="B577" s="67" t="s">
        <v>18</v>
      </c>
      <c r="C577" s="67" t="s">
        <v>16</v>
      </c>
      <c r="D577" s="68">
        <v>45055</v>
      </c>
      <c r="E577" s="69">
        <v>27234</v>
      </c>
      <c r="F577" s="70">
        <f t="shared" si="153"/>
        <v>0.99449217889402952</v>
      </c>
      <c r="G577" s="69">
        <v>150</v>
      </c>
      <c r="H577" s="69">
        <v>9741</v>
      </c>
      <c r="I577" s="70">
        <f t="shared" si="154"/>
        <v>0.35767790262172283</v>
      </c>
      <c r="J577" s="69">
        <v>164</v>
      </c>
      <c r="K577" s="70">
        <f t="shared" si="155"/>
        <v>6.0218844091943892E-3</v>
      </c>
      <c r="L577" s="70">
        <f t="shared" si="156"/>
        <v>1.6836053793245046E-2</v>
      </c>
      <c r="M577" s="69">
        <v>28</v>
      </c>
      <c r="N577" s="70">
        <f t="shared" si="157"/>
        <v>1.0281266064478226E-3</v>
      </c>
      <c r="O577" s="67" t="s">
        <v>16</v>
      </c>
    </row>
    <row r="578" spans="1:15" x14ac:dyDescent="0.3">
      <c r="A578" s="66" t="s">
        <v>29</v>
      </c>
      <c r="B578" s="67" t="s">
        <v>15</v>
      </c>
      <c r="C578" s="67" t="s">
        <v>16</v>
      </c>
      <c r="D578" s="68">
        <v>45055</v>
      </c>
      <c r="E578" s="69">
        <v>26291</v>
      </c>
      <c r="F578" s="70">
        <f t="shared" si="153"/>
        <v>0.99231676239017153</v>
      </c>
      <c r="G578" s="69">
        <v>202</v>
      </c>
      <c r="H578" s="69">
        <v>8968</v>
      </c>
      <c r="I578" s="70">
        <f t="shared" si="154"/>
        <v>0.34110532121258225</v>
      </c>
      <c r="J578" s="69">
        <v>227</v>
      </c>
      <c r="K578" s="70">
        <f t="shared" si="155"/>
        <v>8.6341333536191084E-3</v>
      </c>
      <c r="L578" s="70">
        <f t="shared" si="156"/>
        <v>2.5312221231043711E-2</v>
      </c>
      <c r="M578" s="69">
        <v>9</v>
      </c>
      <c r="N578" s="70">
        <f t="shared" si="157"/>
        <v>3.4232246776463431E-4</v>
      </c>
      <c r="O578" s="67" t="s">
        <v>16</v>
      </c>
    </row>
    <row r="579" spans="1:15" x14ac:dyDescent="0.3">
      <c r="A579" s="66" t="s">
        <v>17</v>
      </c>
      <c r="B579" s="67" t="s">
        <v>18</v>
      </c>
      <c r="C579" s="67" t="s">
        <v>16</v>
      </c>
      <c r="D579" s="68">
        <v>45055</v>
      </c>
      <c r="E579" s="69">
        <v>456838</v>
      </c>
      <c r="F579" s="70">
        <f t="shared" si="153"/>
        <v>0.99563740319325456</v>
      </c>
      <c r="G579" s="69">
        <v>1993</v>
      </c>
      <c r="H579" s="69">
        <v>170245</v>
      </c>
      <c r="I579" s="70">
        <f t="shared" si="154"/>
        <v>0.37265945477390233</v>
      </c>
      <c r="J579" s="69">
        <v>1981</v>
      </c>
      <c r="K579" s="70">
        <f t="shared" si="155"/>
        <v>4.3363292895949989E-3</v>
      </c>
      <c r="L579" s="70">
        <f t="shared" si="156"/>
        <v>1.1636171400041117E-2</v>
      </c>
      <c r="M579" s="69">
        <v>377</v>
      </c>
      <c r="N579" s="70">
        <f t="shared" si="157"/>
        <v>8.2523783047820014E-4</v>
      </c>
      <c r="O579" s="67" t="s">
        <v>16</v>
      </c>
    </row>
    <row r="580" spans="1:15" x14ac:dyDescent="0.3">
      <c r="A580" s="66" t="s">
        <v>17</v>
      </c>
      <c r="B580" s="67" t="s">
        <v>15</v>
      </c>
      <c r="C580" s="67" t="s">
        <v>16</v>
      </c>
      <c r="D580" s="68">
        <v>45055</v>
      </c>
      <c r="E580" s="69">
        <v>234727</v>
      </c>
      <c r="F580" s="70">
        <f t="shared" si="153"/>
        <v>0.9941762132179085</v>
      </c>
      <c r="G580" s="69">
        <v>1367</v>
      </c>
      <c r="H580" s="69">
        <v>80262</v>
      </c>
      <c r="I580" s="70">
        <f t="shared" si="154"/>
        <v>0.34193765523352659</v>
      </c>
      <c r="J580" s="69">
        <v>1635</v>
      </c>
      <c r="K580" s="70">
        <f t="shared" si="155"/>
        <v>6.9655386896266729E-3</v>
      </c>
      <c r="L580" s="70">
        <f t="shared" si="156"/>
        <v>2.0370785676908126E-2</v>
      </c>
      <c r="M580" s="69">
        <v>89</v>
      </c>
      <c r="N580" s="70">
        <f t="shared" si="157"/>
        <v>3.791638797411461E-4</v>
      </c>
      <c r="O580" s="67" t="s">
        <v>16</v>
      </c>
    </row>
    <row r="581" spans="1:15" x14ac:dyDescent="0.3">
      <c r="A581" s="76" t="s">
        <v>316</v>
      </c>
      <c r="B581" s="67" t="s">
        <v>15</v>
      </c>
      <c r="C581" s="67" t="s">
        <v>16</v>
      </c>
      <c r="D581" s="68">
        <v>45056</v>
      </c>
      <c r="E581" s="69">
        <v>130588</v>
      </c>
      <c r="F581" s="70">
        <f t="shared" si="153"/>
        <v>0.9930468343186204</v>
      </c>
      <c r="G581" s="69">
        <v>908</v>
      </c>
      <c r="H581" s="69">
        <v>42121</v>
      </c>
      <c r="I581" s="70">
        <f t="shared" si="154"/>
        <v>0.32254877936717002</v>
      </c>
      <c r="J581" s="69">
        <v>426</v>
      </c>
      <c r="K581" s="70">
        <f t="shared" si="155"/>
        <v>3.2621680399424141E-3</v>
      </c>
      <c r="L581" s="70">
        <f t="shared" si="156"/>
        <v>1.0113719997151065E-2</v>
      </c>
      <c r="M581" s="69">
        <v>63</v>
      </c>
      <c r="N581" s="70">
        <f t="shared" si="157"/>
        <v>4.8243330168162466E-4</v>
      </c>
      <c r="O581" s="67" t="s">
        <v>16</v>
      </c>
    </row>
    <row r="582" spans="1:15" x14ac:dyDescent="0.3">
      <c r="A582" s="76" t="s">
        <v>316</v>
      </c>
      <c r="B582" s="67" t="s">
        <v>18</v>
      </c>
      <c r="C582" s="67" t="s">
        <v>16</v>
      </c>
      <c r="D582" s="68">
        <v>45056</v>
      </c>
      <c r="E582" s="69">
        <v>221157</v>
      </c>
      <c r="F582" s="70">
        <f t="shared" si="153"/>
        <v>0.9950939830075467</v>
      </c>
      <c r="G582" s="69">
        <v>1085</v>
      </c>
      <c r="H582" s="69">
        <v>68677</v>
      </c>
      <c r="I582" s="70">
        <f t="shared" si="154"/>
        <v>0.31053504976102947</v>
      </c>
      <c r="J582" s="69">
        <v>771</v>
      </c>
      <c r="K582" s="70">
        <f t="shared" si="155"/>
        <v>3.4862111531626851E-3</v>
      </c>
      <c r="L582" s="70">
        <f t="shared" si="156"/>
        <v>1.1226465920177061E-2</v>
      </c>
      <c r="M582" s="69">
        <v>484</v>
      </c>
      <c r="N582" s="70">
        <f t="shared" si="157"/>
        <v>2.1884905293524512E-3</v>
      </c>
      <c r="O582" s="67" t="s">
        <v>16</v>
      </c>
    </row>
    <row r="583" spans="1:15" x14ac:dyDescent="0.3">
      <c r="A583" s="76" t="s">
        <v>317</v>
      </c>
      <c r="B583" s="67" t="s">
        <v>15</v>
      </c>
      <c r="C583" s="67" t="s">
        <v>16</v>
      </c>
      <c r="D583" s="68">
        <v>45056</v>
      </c>
      <c r="E583" s="69">
        <v>2369822</v>
      </c>
      <c r="F583" s="70">
        <f t="shared" si="153"/>
        <v>0.99496249085374344</v>
      </c>
      <c r="G583" s="69">
        <v>11938</v>
      </c>
      <c r="H583" s="69">
        <v>839360</v>
      </c>
      <c r="I583" s="70">
        <f t="shared" si="154"/>
        <v>0.35418693893465414</v>
      </c>
      <c r="J583" s="69">
        <v>8081</v>
      </c>
      <c r="K583" s="70">
        <f t="shared" si="155"/>
        <v>3.4099607481068196E-3</v>
      </c>
      <c r="L583" s="70">
        <f t="shared" si="156"/>
        <v>9.6275733892489512E-3</v>
      </c>
      <c r="M583" s="69">
        <v>2041</v>
      </c>
      <c r="N583" s="70">
        <f t="shared" si="157"/>
        <v>8.6124611890682089E-4</v>
      </c>
      <c r="O583" s="67" t="s">
        <v>16</v>
      </c>
    </row>
    <row r="584" spans="1:15" x14ac:dyDescent="0.3">
      <c r="A584" s="76" t="s">
        <v>317</v>
      </c>
      <c r="B584" s="67" t="s">
        <v>18</v>
      </c>
      <c r="C584" s="67" t="s">
        <v>16</v>
      </c>
      <c r="D584" s="68">
        <v>45056</v>
      </c>
      <c r="E584" s="69">
        <v>2460240</v>
      </c>
      <c r="F584" s="70">
        <f t="shared" si="153"/>
        <v>0.99606379865378991</v>
      </c>
      <c r="G584" s="69">
        <v>9684</v>
      </c>
      <c r="H584" s="69">
        <v>834397</v>
      </c>
      <c r="I584" s="70">
        <f t="shared" si="154"/>
        <v>0.33915268429096346</v>
      </c>
      <c r="J584" s="69">
        <v>8376</v>
      </c>
      <c r="K584" s="70">
        <f t="shared" si="155"/>
        <v>3.4045458979611743E-3</v>
      </c>
      <c r="L584" s="70">
        <f t="shared" si="156"/>
        <v>1.0038387002829588E-2</v>
      </c>
      <c r="M584" s="69">
        <v>4371</v>
      </c>
      <c r="N584" s="70">
        <f t="shared" si="157"/>
        <v>1.7766559360062432E-3</v>
      </c>
      <c r="O584" s="67" t="s">
        <v>16</v>
      </c>
    </row>
    <row r="585" spans="1:15" x14ac:dyDescent="0.3">
      <c r="A585" s="76" t="s">
        <v>32</v>
      </c>
      <c r="B585" s="67"/>
      <c r="C585" s="67" t="s">
        <v>23</v>
      </c>
      <c r="D585" s="68">
        <v>45056</v>
      </c>
      <c r="E585" s="69">
        <v>257</v>
      </c>
      <c r="F585" s="70">
        <f t="shared" si="153"/>
        <v>1</v>
      </c>
      <c r="G585" s="69">
        <v>0</v>
      </c>
      <c r="H585" s="69">
        <v>96</v>
      </c>
      <c r="I585" s="70">
        <f t="shared" si="154"/>
        <v>0.37354085603112841</v>
      </c>
      <c r="J585" s="69">
        <v>4</v>
      </c>
      <c r="K585" s="70">
        <f t="shared" si="155"/>
        <v>1.556420233463035E-2</v>
      </c>
      <c r="L585" s="70">
        <f t="shared" si="156"/>
        <v>4.1666666666666664E-2</v>
      </c>
      <c r="M585" s="69">
        <v>0</v>
      </c>
      <c r="N585" s="70">
        <f t="shared" si="157"/>
        <v>0</v>
      </c>
      <c r="O585" s="67" t="s">
        <v>23</v>
      </c>
    </row>
    <row r="586" spans="1:15" x14ac:dyDescent="0.3">
      <c r="A586" s="76" t="s">
        <v>318</v>
      </c>
      <c r="B586" s="67" t="s">
        <v>15</v>
      </c>
      <c r="C586" s="67" t="s">
        <v>16</v>
      </c>
      <c r="D586" s="68">
        <v>45057</v>
      </c>
      <c r="E586" s="69">
        <v>130580</v>
      </c>
      <c r="F586" s="70">
        <f t="shared" si="153"/>
        <v>0.99362076887731654</v>
      </c>
      <c r="G586" s="69">
        <v>833</v>
      </c>
      <c r="H586" s="69">
        <v>41081</v>
      </c>
      <c r="I586" s="70">
        <f t="shared" si="154"/>
        <v>0.31460407413080105</v>
      </c>
      <c r="J586" s="69">
        <v>377</v>
      </c>
      <c r="K586" s="70">
        <f t="shared" si="155"/>
        <v>2.8871190075049776E-3</v>
      </c>
      <c r="L586" s="70">
        <f t="shared" si="156"/>
        <v>9.1769917966943362E-3</v>
      </c>
      <c r="M586" s="69">
        <v>62</v>
      </c>
      <c r="N586" s="70">
        <f t="shared" si="157"/>
        <v>4.7480471741461172E-4</v>
      </c>
      <c r="O586" s="67" t="s">
        <v>16</v>
      </c>
    </row>
    <row r="587" spans="1:15" x14ac:dyDescent="0.3">
      <c r="A587" s="76" t="s">
        <v>318</v>
      </c>
      <c r="B587" s="67" t="s">
        <v>18</v>
      </c>
      <c r="C587" s="67" t="s">
        <v>16</v>
      </c>
      <c r="D587" s="68">
        <v>45057</v>
      </c>
      <c r="E587" s="69">
        <v>220984</v>
      </c>
      <c r="F587" s="70">
        <f t="shared" si="153"/>
        <v>0.99538428121492961</v>
      </c>
      <c r="G587" s="69">
        <v>1020</v>
      </c>
      <c r="H587" s="69">
        <v>66437</v>
      </c>
      <c r="I587" s="70">
        <f t="shared" si="154"/>
        <v>0.3006416754154147</v>
      </c>
      <c r="J587" s="69">
        <v>765</v>
      </c>
      <c r="K587" s="70">
        <f t="shared" si="155"/>
        <v>3.4617890888028091E-3</v>
      </c>
      <c r="L587" s="70">
        <f t="shared" si="156"/>
        <v>1.1514668031368063E-2</v>
      </c>
      <c r="M587" s="69">
        <v>484</v>
      </c>
      <c r="N587" s="70">
        <f t="shared" si="157"/>
        <v>2.1902038156608621E-3</v>
      </c>
      <c r="O587" s="67" t="s">
        <v>16</v>
      </c>
    </row>
    <row r="588" spans="1:15" x14ac:dyDescent="0.3">
      <c r="A588" s="76" t="s">
        <v>319</v>
      </c>
      <c r="B588" s="67" t="s">
        <v>15</v>
      </c>
      <c r="C588" s="67" t="s">
        <v>16</v>
      </c>
      <c r="D588" s="68">
        <v>45057</v>
      </c>
      <c r="E588" s="69">
        <v>2373312</v>
      </c>
      <c r="F588" s="70">
        <f t="shared" si="153"/>
        <v>0.99518436682576927</v>
      </c>
      <c r="G588" s="69">
        <v>11429</v>
      </c>
      <c r="H588" s="69">
        <v>908815</v>
      </c>
      <c r="I588" s="70">
        <f t="shared" si="154"/>
        <v>0.38293111061672463</v>
      </c>
      <c r="J588" s="69">
        <v>9785</v>
      </c>
      <c r="K588" s="70">
        <f t="shared" si="155"/>
        <v>4.1229303184747729E-3</v>
      </c>
      <c r="L588" s="70">
        <f t="shared" si="156"/>
        <v>1.07667677140012E-2</v>
      </c>
      <c r="M588" s="69">
        <v>2018</v>
      </c>
      <c r="N588" s="70">
        <f t="shared" si="157"/>
        <v>8.5028854191947798E-4</v>
      </c>
      <c r="O588" s="67" t="s">
        <v>16</v>
      </c>
    </row>
    <row r="589" spans="1:15" x14ac:dyDescent="0.3">
      <c r="A589" s="76" t="s">
        <v>319</v>
      </c>
      <c r="B589" s="67" t="s">
        <v>18</v>
      </c>
      <c r="C589" s="67" t="s">
        <v>16</v>
      </c>
      <c r="D589" s="68">
        <v>45057</v>
      </c>
      <c r="E589" s="69">
        <v>2461320</v>
      </c>
      <c r="F589" s="70">
        <f t="shared" si="153"/>
        <v>0.99626013683714432</v>
      </c>
      <c r="G589" s="69">
        <v>9205</v>
      </c>
      <c r="H589" s="69">
        <v>826621</v>
      </c>
      <c r="I589" s="70">
        <f t="shared" si="154"/>
        <v>0.3358445874571368</v>
      </c>
      <c r="J589" s="69">
        <v>9128</v>
      </c>
      <c r="K589" s="70">
        <f t="shared" si="155"/>
        <v>3.7085791363983553E-3</v>
      </c>
      <c r="L589" s="70">
        <f t="shared" si="156"/>
        <v>1.1042545495456805E-2</v>
      </c>
      <c r="M589" s="69">
        <v>4400</v>
      </c>
      <c r="N589" s="70">
        <f t="shared" si="157"/>
        <v>1.7876586547056052E-3</v>
      </c>
      <c r="O589" s="67" t="s">
        <v>16</v>
      </c>
    </row>
    <row r="590" spans="1:15" x14ac:dyDescent="0.3">
      <c r="A590" s="76" t="s">
        <v>320</v>
      </c>
      <c r="B590" s="67" t="s">
        <v>18</v>
      </c>
      <c r="C590" s="67" t="s">
        <v>102</v>
      </c>
      <c r="D590" s="68">
        <v>45057</v>
      </c>
      <c r="E590" s="69">
        <v>15504</v>
      </c>
      <c r="F590" s="70">
        <f t="shared" si="153"/>
        <v>0.99696852425180593</v>
      </c>
      <c r="G590" s="69">
        <v>47</v>
      </c>
      <c r="H590" s="69">
        <v>7033</v>
      </c>
      <c r="I590" s="70">
        <f t="shared" si="154"/>
        <v>0.45362487100103199</v>
      </c>
      <c r="J590" s="69">
        <v>114</v>
      </c>
      <c r="K590" s="70">
        <f t="shared" si="155"/>
        <v>7.3529411764705881E-3</v>
      </c>
      <c r="L590" s="70">
        <f t="shared" si="156"/>
        <v>1.6209299018910849E-2</v>
      </c>
      <c r="M590" s="69">
        <v>18</v>
      </c>
      <c r="N590" s="70">
        <f t="shared" si="157"/>
        <v>1.1609907120743034E-3</v>
      </c>
      <c r="O590" s="67" t="s">
        <v>102</v>
      </c>
    </row>
    <row r="591" spans="1:15" x14ac:dyDescent="0.3">
      <c r="A591" s="76" t="s">
        <v>320</v>
      </c>
      <c r="B591" s="67" t="s">
        <v>15</v>
      </c>
      <c r="C591" s="67" t="s">
        <v>102</v>
      </c>
      <c r="D591" s="68">
        <v>45057</v>
      </c>
      <c r="E591" s="69">
        <v>79468</v>
      </c>
      <c r="F591" s="70">
        <f t="shared" si="153"/>
        <v>0.99656465495545377</v>
      </c>
      <c r="G591" s="69">
        <v>273</v>
      </c>
      <c r="H591" s="69">
        <v>31746</v>
      </c>
      <c r="I591" s="70">
        <f t="shared" si="154"/>
        <v>0.39948155232294758</v>
      </c>
      <c r="J591" s="69">
        <v>456</v>
      </c>
      <c r="K591" s="70">
        <f t="shared" si="155"/>
        <v>5.7381587557255751E-3</v>
      </c>
      <c r="L591" s="70">
        <f t="shared" si="156"/>
        <v>1.4364014364014363E-2</v>
      </c>
      <c r="M591" s="69">
        <v>33</v>
      </c>
      <c r="N591" s="70">
        <f t="shared" si="157"/>
        <v>4.1526148890119291E-4</v>
      </c>
      <c r="O591" s="67" t="s">
        <v>102</v>
      </c>
    </row>
    <row r="592" spans="1:15" x14ac:dyDescent="0.3">
      <c r="A592" s="76" t="s">
        <v>321</v>
      </c>
      <c r="B592" s="67" t="s">
        <v>18</v>
      </c>
      <c r="C592" s="67" t="s">
        <v>102</v>
      </c>
      <c r="D592" s="68">
        <v>45057</v>
      </c>
      <c r="E592" s="69">
        <v>1985</v>
      </c>
      <c r="F592" s="70">
        <f t="shared" si="153"/>
        <v>0.99546599496221666</v>
      </c>
      <c r="G592" s="69">
        <v>9</v>
      </c>
      <c r="H592" s="69">
        <v>716</v>
      </c>
      <c r="I592" s="70">
        <f t="shared" si="154"/>
        <v>0.36070528967254406</v>
      </c>
      <c r="J592" s="69">
        <v>18</v>
      </c>
      <c r="K592" s="70">
        <f t="shared" si="155"/>
        <v>9.0680100755667504E-3</v>
      </c>
      <c r="L592" s="70">
        <f t="shared" si="156"/>
        <v>2.5139664804469275E-2</v>
      </c>
      <c r="M592" s="69">
        <v>3</v>
      </c>
      <c r="N592" s="70">
        <f t="shared" si="157"/>
        <v>1.5113350125944584E-3</v>
      </c>
      <c r="O592" s="67" t="s">
        <v>102</v>
      </c>
    </row>
    <row r="593" spans="1:15" x14ac:dyDescent="0.3">
      <c r="A593" s="76" t="s">
        <v>321</v>
      </c>
      <c r="B593" s="67" t="s">
        <v>15</v>
      </c>
      <c r="C593" s="67" t="s">
        <v>102</v>
      </c>
      <c r="D593" s="68">
        <v>45057</v>
      </c>
      <c r="E593" s="69">
        <v>2815</v>
      </c>
      <c r="F593" s="70">
        <f t="shared" si="153"/>
        <v>0.99502664298401422</v>
      </c>
      <c r="G593" s="69">
        <v>14</v>
      </c>
      <c r="H593" s="69">
        <v>1106</v>
      </c>
      <c r="I593" s="70">
        <f t="shared" si="154"/>
        <v>0.39289520426287744</v>
      </c>
      <c r="J593" s="69">
        <v>24</v>
      </c>
      <c r="K593" s="70">
        <f t="shared" si="155"/>
        <v>8.5257548845470692E-3</v>
      </c>
      <c r="L593" s="70">
        <f t="shared" si="156"/>
        <v>2.1699819168173599E-2</v>
      </c>
      <c r="M593" s="69">
        <v>0</v>
      </c>
      <c r="N593" s="70">
        <f t="shared" si="157"/>
        <v>0</v>
      </c>
      <c r="O593" s="67" t="s">
        <v>102</v>
      </c>
    </row>
    <row r="594" spans="1:15" x14ac:dyDescent="0.3">
      <c r="A594" s="66" t="s">
        <v>26</v>
      </c>
      <c r="B594" s="67"/>
      <c r="C594" s="67" t="s">
        <v>23</v>
      </c>
      <c r="D594" s="68">
        <v>45057</v>
      </c>
      <c r="E594" s="69">
        <v>1647</v>
      </c>
      <c r="F594" s="70">
        <f t="shared" si="153"/>
        <v>0.99696417729204612</v>
      </c>
      <c r="G594" s="69">
        <v>5</v>
      </c>
      <c r="H594" s="69">
        <v>571</v>
      </c>
      <c r="I594" s="70">
        <f t="shared" si="154"/>
        <v>0.34669095324833032</v>
      </c>
      <c r="J594" s="69">
        <v>15</v>
      </c>
      <c r="K594" s="70">
        <f t="shared" si="155"/>
        <v>9.1074681238615673E-3</v>
      </c>
      <c r="L594" s="70">
        <f t="shared" si="156"/>
        <v>2.6269702276707531E-2</v>
      </c>
      <c r="M594" s="69">
        <v>0</v>
      </c>
      <c r="N594" s="70">
        <f t="shared" si="157"/>
        <v>0</v>
      </c>
      <c r="O594" s="67" t="s">
        <v>23</v>
      </c>
    </row>
    <row r="595" spans="1:15" x14ac:dyDescent="0.3">
      <c r="A595" s="76" t="s">
        <v>322</v>
      </c>
      <c r="B595" s="67" t="s">
        <v>18</v>
      </c>
      <c r="C595" s="67" t="s">
        <v>16</v>
      </c>
      <c r="D595" s="68">
        <v>45058</v>
      </c>
      <c r="E595" s="69">
        <v>6075</v>
      </c>
      <c r="F595" s="70">
        <f t="shared" si="153"/>
        <v>0.99654320987654321</v>
      </c>
      <c r="G595" s="69">
        <v>21</v>
      </c>
      <c r="H595" s="69">
        <v>2373</v>
      </c>
      <c r="I595" s="70">
        <f t="shared" si="154"/>
        <v>0.39061728395061729</v>
      </c>
      <c r="J595" s="69">
        <v>30</v>
      </c>
      <c r="K595" s="70">
        <f t="shared" si="155"/>
        <v>4.9382716049382715E-3</v>
      </c>
      <c r="L595" s="70">
        <f t="shared" si="156"/>
        <v>1.2642225031605562E-2</v>
      </c>
      <c r="M595" s="69">
        <v>21</v>
      </c>
      <c r="N595" s="70">
        <f t="shared" si="157"/>
        <v>3.4567901234567903E-3</v>
      </c>
      <c r="O595" s="67" t="s">
        <v>16</v>
      </c>
    </row>
    <row r="596" spans="1:15" x14ac:dyDescent="0.3">
      <c r="A596" s="76" t="s">
        <v>322</v>
      </c>
      <c r="B596" s="67" t="s">
        <v>15</v>
      </c>
      <c r="C596" s="67" t="s">
        <v>16</v>
      </c>
      <c r="D596" s="68">
        <v>45058</v>
      </c>
      <c r="E596" s="69">
        <v>20181</v>
      </c>
      <c r="F596" s="70">
        <f t="shared" si="153"/>
        <v>0.9940042614340221</v>
      </c>
      <c r="G596" s="69">
        <v>121</v>
      </c>
      <c r="H596" s="69">
        <v>7234</v>
      </c>
      <c r="I596" s="70">
        <f t="shared" si="154"/>
        <v>0.35845597344036467</v>
      </c>
      <c r="J596" s="69">
        <v>76</v>
      </c>
      <c r="K596" s="70">
        <f t="shared" si="155"/>
        <v>3.7659184381348795E-3</v>
      </c>
      <c r="L596" s="70">
        <f t="shared" si="156"/>
        <v>1.0505944152612662E-2</v>
      </c>
      <c r="M596" s="69">
        <v>14</v>
      </c>
      <c r="N596" s="70">
        <f t="shared" si="157"/>
        <v>6.9372181755116198E-4</v>
      </c>
      <c r="O596" s="67" t="s">
        <v>16</v>
      </c>
    </row>
    <row r="597" spans="1:15" x14ac:dyDescent="0.3">
      <c r="A597" s="76" t="s">
        <v>323</v>
      </c>
      <c r="B597" s="67" t="s">
        <v>18</v>
      </c>
      <c r="C597" s="67" t="s">
        <v>16</v>
      </c>
      <c r="D597" s="68">
        <v>45058</v>
      </c>
      <c r="E597" s="69">
        <v>106309</v>
      </c>
      <c r="F597" s="70">
        <f t="shared" si="153"/>
        <v>0.99571061716317533</v>
      </c>
      <c r="G597" s="69">
        <v>456</v>
      </c>
      <c r="H597" s="69">
        <v>50001</v>
      </c>
      <c r="I597" s="70">
        <f t="shared" si="154"/>
        <v>0.47033647198261669</v>
      </c>
      <c r="J597" s="69">
        <v>684</v>
      </c>
      <c r="K597" s="70">
        <f t="shared" si="155"/>
        <v>6.4340742552370916E-3</v>
      </c>
      <c r="L597" s="70">
        <f t="shared" si="156"/>
        <v>1.367972640547189E-2</v>
      </c>
      <c r="M597" s="69">
        <v>282</v>
      </c>
      <c r="N597" s="70">
        <f t="shared" si="157"/>
        <v>2.6526446490889766E-3</v>
      </c>
      <c r="O597" s="67" t="s">
        <v>16</v>
      </c>
    </row>
    <row r="598" spans="1:15" x14ac:dyDescent="0.3">
      <c r="A598" s="76" t="s">
        <v>323</v>
      </c>
      <c r="B598" s="67" t="s">
        <v>15</v>
      </c>
      <c r="C598" s="67" t="s">
        <v>16</v>
      </c>
      <c r="D598" s="68">
        <v>45058</v>
      </c>
      <c r="E598" s="69">
        <v>225593</v>
      </c>
      <c r="F598" s="70">
        <f t="shared" si="153"/>
        <v>0.99542982273386138</v>
      </c>
      <c r="G598" s="69">
        <v>1031</v>
      </c>
      <c r="H598" s="69">
        <v>92249</v>
      </c>
      <c r="I598" s="70">
        <f t="shared" si="154"/>
        <v>0.40891782989720427</v>
      </c>
      <c r="J598" s="69">
        <v>927</v>
      </c>
      <c r="K598" s="70">
        <f t="shared" si="155"/>
        <v>4.1091700540353644E-3</v>
      </c>
      <c r="L598" s="70">
        <f t="shared" si="156"/>
        <v>1.0048889418855489E-2</v>
      </c>
      <c r="M598" s="69">
        <v>132</v>
      </c>
      <c r="N598" s="70">
        <f t="shared" si="157"/>
        <v>5.8512453843869274E-4</v>
      </c>
      <c r="O598" s="67" t="s">
        <v>16</v>
      </c>
    </row>
    <row r="599" spans="1:15" x14ac:dyDescent="0.3">
      <c r="A599" s="66" t="s">
        <v>28</v>
      </c>
      <c r="B599" s="67" t="s">
        <v>18</v>
      </c>
      <c r="C599" s="67" t="s">
        <v>16</v>
      </c>
      <c r="D599" s="68">
        <v>45058</v>
      </c>
      <c r="E599" s="69">
        <v>207586</v>
      </c>
      <c r="F599" s="70">
        <f t="shared" si="153"/>
        <v>0.99540431435645949</v>
      </c>
      <c r="G599" s="69">
        <v>954</v>
      </c>
      <c r="H599" s="69">
        <v>61169</v>
      </c>
      <c r="I599" s="70">
        <f t="shared" si="154"/>
        <v>0.29466823388860519</v>
      </c>
      <c r="J599" s="69">
        <v>953</v>
      </c>
      <c r="K599" s="70">
        <f t="shared" si="155"/>
        <v>4.590868362991724E-3</v>
      </c>
      <c r="L599" s="70">
        <f t="shared" si="156"/>
        <v>1.5579787147084308E-2</v>
      </c>
      <c r="M599" s="69">
        <v>465</v>
      </c>
      <c r="N599" s="70">
        <f t="shared" si="157"/>
        <v>2.2400354551848391E-3</v>
      </c>
      <c r="O599" s="67" t="s">
        <v>16</v>
      </c>
    </row>
    <row r="600" spans="1:15" x14ac:dyDescent="0.3">
      <c r="A600" s="66" t="s">
        <v>28</v>
      </c>
      <c r="B600" s="67" t="s">
        <v>15</v>
      </c>
      <c r="C600" s="67" t="s">
        <v>16</v>
      </c>
      <c r="D600" s="68">
        <v>45058</v>
      </c>
      <c r="E600" s="69">
        <v>105535</v>
      </c>
      <c r="F600" s="70">
        <f t="shared" si="153"/>
        <v>0.99416307386175207</v>
      </c>
      <c r="G600" s="69">
        <v>616</v>
      </c>
      <c r="H600" s="69">
        <v>31712</v>
      </c>
      <c r="I600" s="70">
        <f t="shared" si="154"/>
        <v>0.30048798976642821</v>
      </c>
      <c r="J600" s="69">
        <v>462</v>
      </c>
      <c r="K600" s="70">
        <f t="shared" si="155"/>
        <v>4.3776946036859811E-3</v>
      </c>
      <c r="L600" s="70">
        <f t="shared" si="156"/>
        <v>1.45686175580222E-2</v>
      </c>
      <c r="M600" s="69">
        <v>47</v>
      </c>
      <c r="N600" s="70">
        <f t="shared" si="157"/>
        <v>4.4534988392476427E-4</v>
      </c>
      <c r="O600" s="67" t="s">
        <v>16</v>
      </c>
    </row>
    <row r="601" spans="1:15" x14ac:dyDescent="0.3">
      <c r="A601" s="66" t="s">
        <v>22</v>
      </c>
      <c r="B601" s="67" t="s">
        <v>18</v>
      </c>
      <c r="C601" s="67" t="s">
        <v>16</v>
      </c>
      <c r="D601" s="68">
        <v>45058</v>
      </c>
      <c r="E601" s="69">
        <v>2297937</v>
      </c>
      <c r="F601" s="70">
        <f t="shared" si="153"/>
        <v>0.99615133051950511</v>
      </c>
      <c r="G601" s="69">
        <v>8844</v>
      </c>
      <c r="H601" s="69">
        <v>760330</v>
      </c>
      <c r="I601" s="70">
        <f t="shared" si="154"/>
        <v>0.33087504139582591</v>
      </c>
      <c r="J601" s="69">
        <v>9322</v>
      </c>
      <c r="K601" s="70">
        <f t="shared" si="155"/>
        <v>4.0566821457681387E-3</v>
      </c>
      <c r="L601" s="70">
        <f t="shared" si="156"/>
        <v>1.2260465850354452E-2</v>
      </c>
      <c r="M601" s="69">
        <v>3747</v>
      </c>
      <c r="N601" s="70">
        <f t="shared" si="157"/>
        <v>1.6305930058134754E-3</v>
      </c>
      <c r="O601" s="67" t="s">
        <v>16</v>
      </c>
    </row>
    <row r="602" spans="1:15" x14ac:dyDescent="0.3">
      <c r="A602" s="66" t="s">
        <v>22</v>
      </c>
      <c r="B602" s="67" t="s">
        <v>15</v>
      </c>
      <c r="C602" s="67" t="s">
        <v>16</v>
      </c>
      <c r="D602" s="68">
        <v>45058</v>
      </c>
      <c r="E602" s="69">
        <v>1931207</v>
      </c>
      <c r="F602" s="70">
        <f t="shared" si="153"/>
        <v>0.99541789150515714</v>
      </c>
      <c r="G602" s="69">
        <v>8849</v>
      </c>
      <c r="H602" s="69">
        <v>658589</v>
      </c>
      <c r="I602" s="70">
        <f t="shared" si="154"/>
        <v>0.34102455096734841</v>
      </c>
      <c r="J602" s="69">
        <v>8211</v>
      </c>
      <c r="K602" s="70">
        <f t="shared" si="155"/>
        <v>4.2517451521250698E-3</v>
      </c>
      <c r="L602" s="70">
        <f t="shared" si="156"/>
        <v>1.2467563229874778E-2</v>
      </c>
      <c r="M602" s="69">
        <v>1511</v>
      </c>
      <c r="N602" s="70">
        <f t="shared" si="157"/>
        <v>7.8241224270624542E-4</v>
      </c>
      <c r="O602" s="67" t="s">
        <v>16</v>
      </c>
    </row>
    <row r="603" spans="1:15" x14ac:dyDescent="0.3">
      <c r="A603" s="66" t="s">
        <v>33</v>
      </c>
      <c r="B603" s="67" t="s">
        <v>18</v>
      </c>
      <c r="C603" s="67" t="s">
        <v>21</v>
      </c>
      <c r="D603" s="68">
        <v>45058</v>
      </c>
      <c r="E603" s="69">
        <v>234031</v>
      </c>
      <c r="F603" s="70">
        <f t="shared" si="153"/>
        <v>0.99615008268135419</v>
      </c>
      <c r="G603" s="69">
        <v>901</v>
      </c>
      <c r="H603" s="69">
        <v>104160</v>
      </c>
      <c r="I603" s="70">
        <f t="shared" si="154"/>
        <v>0.445069242963539</v>
      </c>
      <c r="J603" s="69">
        <v>1430</v>
      </c>
      <c r="K603" s="70">
        <f t="shared" si="155"/>
        <v>6.1103016267075733E-3</v>
      </c>
      <c r="L603" s="70">
        <f t="shared" si="156"/>
        <v>1.3728878648233488E-2</v>
      </c>
      <c r="M603" s="69">
        <v>214</v>
      </c>
      <c r="N603" s="70">
        <f t="shared" si="157"/>
        <v>9.144087749058885E-4</v>
      </c>
      <c r="O603" s="67" t="s">
        <v>21</v>
      </c>
    </row>
    <row r="604" spans="1:15" x14ac:dyDescent="0.3">
      <c r="A604" s="66" t="s">
        <v>19</v>
      </c>
      <c r="B604" s="67" t="s">
        <v>18</v>
      </c>
      <c r="C604" s="67" t="s">
        <v>21</v>
      </c>
      <c r="D604" s="68">
        <v>45058</v>
      </c>
      <c r="E604" s="69">
        <v>332479</v>
      </c>
      <c r="F604" s="70">
        <f t="shared" si="153"/>
        <v>0.99393044372727302</v>
      </c>
      <c r="G604" s="69">
        <v>2018</v>
      </c>
      <c r="H604" s="69">
        <v>119256</v>
      </c>
      <c r="I604" s="70">
        <f t="shared" si="154"/>
        <v>0.35868731558985678</v>
      </c>
      <c r="J604" s="69">
        <v>1813</v>
      </c>
      <c r="K604" s="70">
        <f t="shared" si="155"/>
        <v>5.4529759774301538E-3</v>
      </c>
      <c r="L604" s="70">
        <f t="shared" si="156"/>
        <v>1.5202589387536056E-2</v>
      </c>
      <c r="M604" s="69">
        <v>282</v>
      </c>
      <c r="N604" s="70">
        <f t="shared" si="157"/>
        <v>8.4817386962785619E-4</v>
      </c>
      <c r="O604" s="67" t="s">
        <v>21</v>
      </c>
    </row>
    <row r="605" spans="1:15" x14ac:dyDescent="0.3">
      <c r="A605" s="66" t="s">
        <v>24</v>
      </c>
      <c r="B605" s="67" t="s">
        <v>18</v>
      </c>
      <c r="C605" s="67" t="s">
        <v>21</v>
      </c>
      <c r="D605" s="68">
        <v>45059</v>
      </c>
      <c r="E605" s="69">
        <v>14811</v>
      </c>
      <c r="F605" s="70">
        <f t="shared" si="153"/>
        <v>0.99520626561339542</v>
      </c>
      <c r="G605" s="69">
        <v>71</v>
      </c>
      <c r="H605" s="69">
        <v>3710</v>
      </c>
      <c r="I605" s="70">
        <f t="shared" si="154"/>
        <v>0.25048950104651946</v>
      </c>
      <c r="J605" s="69">
        <v>105</v>
      </c>
      <c r="K605" s="70">
        <f t="shared" si="155"/>
        <v>7.0893255013165894E-3</v>
      </c>
      <c r="L605" s="70">
        <f t="shared" si="156"/>
        <v>2.8301886792452831E-2</v>
      </c>
      <c r="M605" s="69">
        <v>12</v>
      </c>
      <c r="N605" s="70">
        <f t="shared" si="157"/>
        <v>8.1020862872189592E-4</v>
      </c>
      <c r="O605" s="67" t="s">
        <v>21</v>
      </c>
    </row>
    <row r="606" spans="1:15" x14ac:dyDescent="0.3">
      <c r="A606" s="76" t="s">
        <v>324</v>
      </c>
      <c r="B606" s="67" t="s">
        <v>15</v>
      </c>
      <c r="C606" s="67" t="s">
        <v>30</v>
      </c>
      <c r="D606" s="68">
        <v>45059</v>
      </c>
      <c r="E606" s="69">
        <v>26950</v>
      </c>
      <c r="F606" s="70">
        <f t="shared" si="153"/>
        <v>0.99491651205936915</v>
      </c>
      <c r="G606" s="69">
        <v>137</v>
      </c>
      <c r="H606" s="69">
        <v>12181</v>
      </c>
      <c r="I606" s="70">
        <f t="shared" si="154"/>
        <v>0.45198515769944342</v>
      </c>
      <c r="J606" s="69">
        <v>1462</v>
      </c>
      <c r="K606" s="70">
        <f t="shared" si="155"/>
        <v>5.4248608534322819E-2</v>
      </c>
      <c r="L606" s="70">
        <f t="shared" si="156"/>
        <v>0.12002298661850423</v>
      </c>
      <c r="M606" s="69">
        <v>11</v>
      </c>
      <c r="N606" s="70">
        <f t="shared" si="157"/>
        <v>4.0816326530612246E-4</v>
      </c>
      <c r="O606" s="67" t="s">
        <v>31</v>
      </c>
    </row>
    <row r="607" spans="1:15" x14ac:dyDescent="0.3">
      <c r="A607" s="76" t="s">
        <v>329</v>
      </c>
      <c r="B607" s="67" t="s">
        <v>15</v>
      </c>
      <c r="C607" s="67" t="s">
        <v>16</v>
      </c>
      <c r="D607" s="68">
        <v>45061</v>
      </c>
      <c r="E607" s="69">
        <v>21300</v>
      </c>
      <c r="F607" s="70">
        <f t="shared" ref="F607:F641" si="158">(E607-G607)/E607</f>
        <v>0.99497652582159624</v>
      </c>
      <c r="G607" s="69">
        <v>107</v>
      </c>
      <c r="H607" s="69">
        <v>10352</v>
      </c>
      <c r="I607" s="70">
        <f t="shared" ref="I607:I641" si="159">H607/E607</f>
        <v>0.48600938967136148</v>
      </c>
      <c r="J607" s="69">
        <v>593</v>
      </c>
      <c r="K607" s="70">
        <f t="shared" ref="K607:K641" si="160">J607/E607</f>
        <v>2.7840375586854461E-2</v>
      </c>
      <c r="L607" s="70">
        <f t="shared" ref="L607:L641" si="161">J607/H607</f>
        <v>5.7283616692426584E-2</v>
      </c>
      <c r="M607" s="69">
        <v>21</v>
      </c>
      <c r="N607" s="70">
        <f t="shared" ref="N607:N641" si="162">M607/E607</f>
        <v>9.8591549295774642E-4</v>
      </c>
      <c r="O607" s="67" t="s">
        <v>16</v>
      </c>
    </row>
    <row r="608" spans="1:15" x14ac:dyDescent="0.3">
      <c r="A608" s="76" t="s">
        <v>329</v>
      </c>
      <c r="B608" s="67" t="s">
        <v>18</v>
      </c>
      <c r="C608" s="67" t="s">
        <v>16</v>
      </c>
      <c r="D608" s="68">
        <v>45061</v>
      </c>
      <c r="E608" s="69">
        <v>14376</v>
      </c>
      <c r="F608" s="70">
        <f t="shared" si="158"/>
        <v>0.99186143572621033</v>
      </c>
      <c r="G608" s="69">
        <v>117</v>
      </c>
      <c r="H608" s="69">
        <v>5935</v>
      </c>
      <c r="I608" s="70">
        <f t="shared" si="159"/>
        <v>0.41284084585420144</v>
      </c>
      <c r="J608" s="69">
        <v>314</v>
      </c>
      <c r="K608" s="70">
        <f t="shared" si="160"/>
        <v>2.1841958820255983E-2</v>
      </c>
      <c r="L608" s="70">
        <f t="shared" si="161"/>
        <v>5.2906486941870258E-2</v>
      </c>
      <c r="M608" s="69">
        <v>29</v>
      </c>
      <c r="N608" s="70">
        <f t="shared" si="162"/>
        <v>2.0172509738452978E-3</v>
      </c>
      <c r="O608" s="67" t="s">
        <v>16</v>
      </c>
    </row>
    <row r="609" spans="1:15" x14ac:dyDescent="0.3">
      <c r="A609" s="76" t="s">
        <v>343</v>
      </c>
      <c r="B609" s="67" t="s">
        <v>15</v>
      </c>
      <c r="C609" s="67" t="s">
        <v>102</v>
      </c>
      <c r="D609" s="68">
        <v>45062</v>
      </c>
      <c r="E609" s="69">
        <v>2430</v>
      </c>
      <c r="F609" s="70">
        <f t="shared" si="158"/>
        <v>0.99506172839506168</v>
      </c>
      <c r="G609" s="69">
        <v>12</v>
      </c>
      <c r="H609" s="69">
        <v>1480</v>
      </c>
      <c r="I609" s="70">
        <f t="shared" si="159"/>
        <v>0.60905349794238683</v>
      </c>
      <c r="J609" s="69">
        <v>14</v>
      </c>
      <c r="K609" s="70">
        <f t="shared" ref="K609:K611" si="163">J609/E609</f>
        <v>5.7613168724279839E-3</v>
      </c>
      <c r="L609" s="70">
        <f t="shared" ref="L609:L611" si="164">J609/H609</f>
        <v>9.45945945945946E-3</v>
      </c>
      <c r="M609" s="69">
        <v>0</v>
      </c>
      <c r="N609" s="70">
        <f t="shared" si="162"/>
        <v>0</v>
      </c>
      <c r="O609" s="67" t="s">
        <v>102</v>
      </c>
    </row>
    <row r="610" spans="1:15" x14ac:dyDescent="0.3">
      <c r="A610" s="76" t="s">
        <v>344</v>
      </c>
      <c r="B610" s="67" t="s">
        <v>15</v>
      </c>
      <c r="C610" s="67" t="s">
        <v>102</v>
      </c>
      <c r="D610" s="68">
        <v>45062</v>
      </c>
      <c r="E610" s="69">
        <v>73338</v>
      </c>
      <c r="F610" s="70">
        <f t="shared" si="158"/>
        <v>0.99614115465379471</v>
      </c>
      <c r="G610" s="69">
        <v>283</v>
      </c>
      <c r="H610" s="69">
        <v>44742</v>
      </c>
      <c r="I610" s="70">
        <f t="shared" si="159"/>
        <v>0.61007935858627182</v>
      </c>
      <c r="J610" s="69">
        <v>243</v>
      </c>
      <c r="K610" s="70">
        <f t="shared" si="163"/>
        <v>3.3134255092857729E-3</v>
      </c>
      <c r="L610" s="70">
        <f t="shared" si="164"/>
        <v>5.4311385275579993E-3</v>
      </c>
      <c r="M610" s="69">
        <v>26</v>
      </c>
      <c r="N610" s="70">
        <f t="shared" si="162"/>
        <v>3.5452289399765468E-4</v>
      </c>
      <c r="O610" s="67" t="s">
        <v>102</v>
      </c>
    </row>
    <row r="611" spans="1:15" x14ac:dyDescent="0.3">
      <c r="A611" s="66" t="s">
        <v>29</v>
      </c>
      <c r="B611" s="67" t="s">
        <v>18</v>
      </c>
      <c r="C611" s="67" t="s">
        <v>16</v>
      </c>
      <c r="D611" s="68">
        <v>45062</v>
      </c>
      <c r="E611" s="69">
        <v>27366</v>
      </c>
      <c r="F611" s="70">
        <f t="shared" si="158"/>
        <v>0.99601695534604984</v>
      </c>
      <c r="G611" s="69">
        <v>109</v>
      </c>
      <c r="H611" s="69">
        <v>9978</v>
      </c>
      <c r="I611" s="70">
        <f t="shared" si="159"/>
        <v>0.36461302345976759</v>
      </c>
      <c r="J611" s="69">
        <v>292</v>
      </c>
      <c r="K611" s="70">
        <f t="shared" si="163"/>
        <v>1.0670174669297669E-2</v>
      </c>
      <c r="L611" s="70">
        <f t="shared" si="164"/>
        <v>2.9264381639607137E-2</v>
      </c>
      <c r="M611" s="69">
        <v>26</v>
      </c>
      <c r="N611" s="70">
        <f t="shared" si="162"/>
        <v>9.5008404589636778E-4</v>
      </c>
      <c r="O611" s="67" t="s">
        <v>16</v>
      </c>
    </row>
    <row r="612" spans="1:15" x14ac:dyDescent="0.3">
      <c r="A612" s="66" t="s">
        <v>29</v>
      </c>
      <c r="B612" s="67" t="s">
        <v>15</v>
      </c>
      <c r="C612" s="67" t="s">
        <v>16</v>
      </c>
      <c r="D612" s="68">
        <v>45062</v>
      </c>
      <c r="E612" s="69">
        <v>26370</v>
      </c>
      <c r="F612" s="70">
        <f t="shared" si="158"/>
        <v>0.99378081152825182</v>
      </c>
      <c r="G612" s="69">
        <v>164</v>
      </c>
      <c r="H612" s="69">
        <v>9486</v>
      </c>
      <c r="I612" s="70">
        <f t="shared" si="159"/>
        <v>0.35972696245733787</v>
      </c>
      <c r="J612" s="69">
        <v>361</v>
      </c>
      <c r="K612" s="70">
        <f t="shared" si="160"/>
        <v>1.3689799014031096E-2</v>
      </c>
      <c r="L612" s="70">
        <f t="shared" si="161"/>
        <v>3.8056082648113006E-2</v>
      </c>
      <c r="M612" s="69">
        <v>12</v>
      </c>
      <c r="N612" s="70">
        <f t="shared" si="162"/>
        <v>4.5506257110352672E-4</v>
      </c>
      <c r="O612" s="67" t="s">
        <v>16</v>
      </c>
    </row>
    <row r="613" spans="1:15" x14ac:dyDescent="0.3">
      <c r="A613" s="66" t="s">
        <v>17</v>
      </c>
      <c r="B613" s="67" t="s">
        <v>18</v>
      </c>
      <c r="C613" s="67" t="s">
        <v>16</v>
      </c>
      <c r="D613" s="68">
        <v>45062</v>
      </c>
      <c r="E613" s="69">
        <v>461672</v>
      </c>
      <c r="F613" s="70">
        <f t="shared" si="158"/>
        <v>0.99591268259716859</v>
      </c>
      <c r="G613" s="69">
        <v>1887</v>
      </c>
      <c r="H613" s="69">
        <v>175151</v>
      </c>
      <c r="I613" s="70">
        <f t="shared" si="159"/>
        <v>0.37938406487722887</v>
      </c>
      <c r="J613" s="69">
        <v>2805</v>
      </c>
      <c r="K613" s="70">
        <f t="shared" si="160"/>
        <v>6.0757420852899898E-3</v>
      </c>
      <c r="L613" s="70">
        <f t="shared" si="161"/>
        <v>1.6014752984567601E-2</v>
      </c>
      <c r="M613" s="69">
        <v>411</v>
      </c>
      <c r="N613" s="70">
        <f t="shared" si="162"/>
        <v>8.9024242319222309E-4</v>
      </c>
      <c r="O613" s="67" t="s">
        <v>16</v>
      </c>
    </row>
    <row r="614" spans="1:15" x14ac:dyDescent="0.3">
      <c r="A614" s="66" t="s">
        <v>17</v>
      </c>
      <c r="B614" s="67" t="s">
        <v>15</v>
      </c>
      <c r="C614" s="67" t="s">
        <v>16</v>
      </c>
      <c r="D614" s="68">
        <v>45062</v>
      </c>
      <c r="E614" s="69">
        <v>237056</v>
      </c>
      <c r="F614" s="70">
        <f t="shared" si="158"/>
        <v>0.99441060340172782</v>
      </c>
      <c r="G614" s="69">
        <v>1325</v>
      </c>
      <c r="H614" s="69">
        <v>84680</v>
      </c>
      <c r="I614" s="70">
        <f t="shared" si="159"/>
        <v>0.35721517278617709</v>
      </c>
      <c r="J614" s="69">
        <v>2295</v>
      </c>
      <c r="K614" s="70">
        <f t="shared" si="160"/>
        <v>9.6812567494600436E-3</v>
      </c>
      <c r="L614" s="70">
        <f t="shared" si="161"/>
        <v>2.7102031176192726E-2</v>
      </c>
      <c r="M614" s="69">
        <v>124</v>
      </c>
      <c r="N614" s="70">
        <f t="shared" si="162"/>
        <v>5.2308315334773222E-4</v>
      </c>
      <c r="O614" s="67" t="s">
        <v>16</v>
      </c>
    </row>
    <row r="615" spans="1:15" x14ac:dyDescent="0.3">
      <c r="A615" s="76" t="s">
        <v>330</v>
      </c>
      <c r="B615" s="67" t="s">
        <v>15</v>
      </c>
      <c r="C615" s="67" t="s">
        <v>21</v>
      </c>
      <c r="D615" s="68">
        <v>45062</v>
      </c>
      <c r="E615" s="69">
        <v>46794</v>
      </c>
      <c r="F615" s="70">
        <f t="shared" si="158"/>
        <v>0.99444373210240633</v>
      </c>
      <c r="G615" s="69">
        <v>260</v>
      </c>
      <c r="H615" s="69">
        <v>15307</v>
      </c>
      <c r="I615" s="70">
        <f t="shared" si="159"/>
        <v>0.32711458734025728</v>
      </c>
      <c r="J615" s="69">
        <v>389</v>
      </c>
      <c r="K615" s="70">
        <f t="shared" si="160"/>
        <v>8.3130315852459717E-3</v>
      </c>
      <c r="L615" s="70">
        <f t="shared" si="161"/>
        <v>2.5413209642647153E-2</v>
      </c>
      <c r="M615" s="69">
        <v>34</v>
      </c>
      <c r="N615" s="70">
        <f t="shared" si="162"/>
        <v>7.265888789161004E-4</v>
      </c>
      <c r="O615" s="67" t="s">
        <v>21</v>
      </c>
    </row>
    <row r="616" spans="1:15" x14ac:dyDescent="0.3">
      <c r="A616" s="76" t="s">
        <v>330</v>
      </c>
      <c r="B616" s="67" t="s">
        <v>18</v>
      </c>
      <c r="C616" s="67" t="s">
        <v>21</v>
      </c>
      <c r="D616" s="68">
        <v>45062</v>
      </c>
      <c r="E616" s="69">
        <v>64902</v>
      </c>
      <c r="F616" s="70">
        <f t="shared" si="158"/>
        <v>0.99619426211827067</v>
      </c>
      <c r="G616" s="69">
        <v>247</v>
      </c>
      <c r="H616" s="69">
        <v>19668</v>
      </c>
      <c r="I616" s="70">
        <f t="shared" si="159"/>
        <v>0.30304150873624852</v>
      </c>
      <c r="J616" s="69">
        <v>536</v>
      </c>
      <c r="K616" s="70">
        <f t="shared" si="160"/>
        <v>8.2586052818094981E-3</v>
      </c>
      <c r="L616" s="70">
        <f t="shared" si="161"/>
        <v>2.7252389668497051E-2</v>
      </c>
      <c r="M616" s="69">
        <v>121</v>
      </c>
      <c r="N616" s="70">
        <f t="shared" si="162"/>
        <v>1.8643493266771441E-3</v>
      </c>
      <c r="O616" s="67" t="s">
        <v>21</v>
      </c>
    </row>
    <row r="617" spans="1:15" x14ac:dyDescent="0.3">
      <c r="A617" s="76" t="s">
        <v>331</v>
      </c>
      <c r="B617" s="67" t="s">
        <v>15</v>
      </c>
      <c r="C617" s="67" t="s">
        <v>21</v>
      </c>
      <c r="D617" s="68">
        <v>45062</v>
      </c>
      <c r="E617" s="69">
        <v>757753</v>
      </c>
      <c r="F617" s="70">
        <f t="shared" si="158"/>
        <v>0.99529794009393557</v>
      </c>
      <c r="G617" s="69">
        <v>3563</v>
      </c>
      <c r="H617" s="69">
        <v>342575</v>
      </c>
      <c r="I617" s="70">
        <f t="shared" si="159"/>
        <v>0.45209322826831433</v>
      </c>
      <c r="J617" s="69">
        <v>5908</v>
      </c>
      <c r="K617" s="70">
        <f t="shared" si="160"/>
        <v>7.7967358756745268E-3</v>
      </c>
      <c r="L617" s="70">
        <f t="shared" si="161"/>
        <v>1.7245858571115814E-2</v>
      </c>
      <c r="M617" s="69">
        <v>643</v>
      </c>
      <c r="N617" s="70">
        <f t="shared" si="162"/>
        <v>8.4856147055834821E-4</v>
      </c>
      <c r="O617" s="67" t="s">
        <v>21</v>
      </c>
    </row>
    <row r="618" spans="1:15" x14ac:dyDescent="0.3">
      <c r="A618" s="76" t="s">
        <v>331</v>
      </c>
      <c r="B618" s="67" t="s">
        <v>18</v>
      </c>
      <c r="C618" s="67" t="s">
        <v>21</v>
      </c>
      <c r="D618" s="68">
        <v>45062</v>
      </c>
      <c r="E618" s="69">
        <v>666595</v>
      </c>
      <c r="F618" s="70">
        <f t="shared" si="158"/>
        <v>0.99612958393027251</v>
      </c>
      <c r="G618" s="69">
        <v>2580</v>
      </c>
      <c r="H618" s="69">
        <v>315111</v>
      </c>
      <c r="I618" s="70">
        <f t="shared" si="159"/>
        <v>0.47271731711158949</v>
      </c>
      <c r="J618" s="69">
        <v>5650</v>
      </c>
      <c r="K618" s="70">
        <f t="shared" si="160"/>
        <v>8.4759111604497481E-3</v>
      </c>
      <c r="L618" s="70">
        <f t="shared" si="161"/>
        <v>1.7930189679192413E-2</v>
      </c>
      <c r="M618" s="69">
        <v>1488</v>
      </c>
      <c r="N618" s="70">
        <f t="shared" si="162"/>
        <v>2.2322399657963231E-3</v>
      </c>
      <c r="O618" s="67" t="s">
        <v>21</v>
      </c>
    </row>
    <row r="619" spans="1:15" x14ac:dyDescent="0.3">
      <c r="A619" s="76" t="s">
        <v>332</v>
      </c>
      <c r="B619" s="67" t="s">
        <v>18</v>
      </c>
      <c r="C619" s="67" t="s">
        <v>16</v>
      </c>
      <c r="D619" s="68">
        <v>45063</v>
      </c>
      <c r="E619" s="69">
        <v>35967</v>
      </c>
      <c r="F619" s="70">
        <f t="shared" si="158"/>
        <v>0.9953012483665582</v>
      </c>
      <c r="G619" s="69">
        <v>169</v>
      </c>
      <c r="H619" s="69">
        <v>14234</v>
      </c>
      <c r="I619" s="70">
        <f t="shared" si="159"/>
        <v>0.39575166124503014</v>
      </c>
      <c r="J619" s="69">
        <v>336</v>
      </c>
      <c r="K619" s="70">
        <f t="shared" si="160"/>
        <v>9.34189673867712E-3</v>
      </c>
      <c r="L619" s="70">
        <f t="shared" si="161"/>
        <v>2.360545173528172E-2</v>
      </c>
      <c r="M619" s="69">
        <v>47</v>
      </c>
      <c r="N619" s="70">
        <f t="shared" si="162"/>
        <v>1.3067534128506687E-3</v>
      </c>
      <c r="O619" s="67" t="s">
        <v>16</v>
      </c>
    </row>
    <row r="620" spans="1:15" x14ac:dyDescent="0.3">
      <c r="A620" s="76" t="s">
        <v>332</v>
      </c>
      <c r="B620" s="67" t="s">
        <v>15</v>
      </c>
      <c r="C620" s="67" t="s">
        <v>16</v>
      </c>
      <c r="D620" s="68">
        <v>45063</v>
      </c>
      <c r="E620" s="69">
        <v>118710</v>
      </c>
      <c r="F620" s="70">
        <f t="shared" si="158"/>
        <v>0.99595653272681328</v>
      </c>
      <c r="G620" s="69">
        <v>480</v>
      </c>
      <c r="H620" s="69">
        <v>46689</v>
      </c>
      <c r="I620" s="70">
        <f t="shared" si="159"/>
        <v>0.39330300732878443</v>
      </c>
      <c r="J620" s="69">
        <v>923</v>
      </c>
      <c r="K620" s="70">
        <f t="shared" si="160"/>
        <v>7.7752506107320362E-3</v>
      </c>
      <c r="L620" s="70">
        <f t="shared" si="161"/>
        <v>1.9769110497119234E-2</v>
      </c>
      <c r="M620" s="69">
        <v>53</v>
      </c>
      <c r="N620" s="70">
        <f t="shared" si="162"/>
        <v>4.4646617808103784E-4</v>
      </c>
      <c r="O620" s="67" t="s">
        <v>16</v>
      </c>
    </row>
    <row r="621" spans="1:15" x14ac:dyDescent="0.3">
      <c r="A621" s="76" t="s">
        <v>333</v>
      </c>
      <c r="B621" s="67" t="s">
        <v>15</v>
      </c>
      <c r="C621" s="67" t="s">
        <v>16</v>
      </c>
      <c r="D621" s="68">
        <v>45064</v>
      </c>
      <c r="E621" s="69">
        <v>717</v>
      </c>
      <c r="F621" s="70">
        <f t="shared" si="158"/>
        <v>0.99581589958159</v>
      </c>
      <c r="G621" s="69">
        <v>3</v>
      </c>
      <c r="H621" s="69">
        <v>246</v>
      </c>
      <c r="I621" s="70">
        <f t="shared" si="159"/>
        <v>0.34309623430962344</v>
      </c>
      <c r="J621" s="69">
        <v>4</v>
      </c>
      <c r="K621" s="70">
        <f t="shared" si="160"/>
        <v>5.5788005578800556E-3</v>
      </c>
      <c r="L621" s="70">
        <f t="shared" si="161"/>
        <v>1.6260162601626018E-2</v>
      </c>
      <c r="M621" s="69">
        <v>0</v>
      </c>
      <c r="N621" s="70">
        <f t="shared" si="162"/>
        <v>0</v>
      </c>
      <c r="O621" s="67" t="s">
        <v>16</v>
      </c>
    </row>
    <row r="622" spans="1:15" x14ac:dyDescent="0.3">
      <c r="A622" s="76" t="s">
        <v>334</v>
      </c>
      <c r="B622" s="67" t="s">
        <v>15</v>
      </c>
      <c r="C622" s="67" t="s">
        <v>16</v>
      </c>
      <c r="D622" s="68">
        <v>45064</v>
      </c>
      <c r="E622" s="69">
        <v>13286</v>
      </c>
      <c r="F622" s="70">
        <f t="shared" si="158"/>
        <v>0.99480656329971395</v>
      </c>
      <c r="G622" s="69">
        <v>69</v>
      </c>
      <c r="H622" s="69">
        <v>4642</v>
      </c>
      <c r="I622" s="70">
        <f t="shared" si="159"/>
        <v>0.34939033569170558</v>
      </c>
      <c r="J622" s="69">
        <v>116</v>
      </c>
      <c r="K622" s="70">
        <f t="shared" si="160"/>
        <v>8.7309950323648956E-3</v>
      </c>
      <c r="L622" s="70">
        <f t="shared" si="161"/>
        <v>2.4989228780697974E-2</v>
      </c>
      <c r="M622" s="69">
        <v>8</v>
      </c>
      <c r="N622" s="70">
        <f t="shared" si="162"/>
        <v>6.0213758843895835E-4</v>
      </c>
      <c r="O622" s="67" t="s">
        <v>16</v>
      </c>
    </row>
    <row r="623" spans="1:15" x14ac:dyDescent="0.3">
      <c r="A623" s="76" t="s">
        <v>335</v>
      </c>
      <c r="B623" s="67" t="s">
        <v>15</v>
      </c>
      <c r="C623" s="67" t="s">
        <v>16</v>
      </c>
      <c r="D623" s="68">
        <v>45064</v>
      </c>
      <c r="E623" s="69">
        <v>13364</v>
      </c>
      <c r="F623" s="70">
        <f t="shared" si="158"/>
        <v>0.99648308889554027</v>
      </c>
      <c r="G623" s="69">
        <v>47</v>
      </c>
      <c r="H623" s="69">
        <v>4940</v>
      </c>
      <c r="I623" s="70">
        <f t="shared" si="159"/>
        <v>0.36964980544747084</v>
      </c>
      <c r="J623" s="69">
        <v>79</v>
      </c>
      <c r="K623" s="70">
        <f t="shared" si="160"/>
        <v>5.9114037713259501E-3</v>
      </c>
      <c r="L623" s="70">
        <f t="shared" si="161"/>
        <v>1.5991902834008098E-2</v>
      </c>
      <c r="M623" s="69">
        <v>7</v>
      </c>
      <c r="N623" s="70">
        <f t="shared" si="162"/>
        <v>5.2379527087698292E-4</v>
      </c>
      <c r="O623" s="67" t="s">
        <v>16</v>
      </c>
    </row>
    <row r="624" spans="1:15" x14ac:dyDescent="0.3">
      <c r="A624" s="76" t="s">
        <v>336</v>
      </c>
      <c r="B624" s="67" t="s">
        <v>15</v>
      </c>
      <c r="C624" s="67" t="s">
        <v>16</v>
      </c>
      <c r="D624" s="68">
        <v>45064</v>
      </c>
      <c r="E624" s="69">
        <v>253984</v>
      </c>
      <c r="F624" s="70">
        <f t="shared" si="158"/>
        <v>0.99608243038931588</v>
      </c>
      <c r="G624" s="69">
        <v>995</v>
      </c>
      <c r="H624" s="69">
        <v>94016</v>
      </c>
      <c r="I624" s="70">
        <f t="shared" si="159"/>
        <v>0.37016504976691444</v>
      </c>
      <c r="J624" s="69">
        <v>1518</v>
      </c>
      <c r="K624" s="70">
        <f t="shared" si="160"/>
        <v>5.9767544412246444E-3</v>
      </c>
      <c r="L624" s="70">
        <f t="shared" si="161"/>
        <v>1.6146187882913547E-2</v>
      </c>
      <c r="M624" s="69">
        <v>125</v>
      </c>
      <c r="N624" s="70">
        <f t="shared" si="162"/>
        <v>4.921569862668515E-4</v>
      </c>
      <c r="O624" s="67" t="s">
        <v>16</v>
      </c>
    </row>
    <row r="625" spans="1:15" x14ac:dyDescent="0.3">
      <c r="A625" s="66" t="s">
        <v>26</v>
      </c>
      <c r="B625" s="67"/>
      <c r="C625" s="67" t="s">
        <v>23</v>
      </c>
      <c r="D625" s="68">
        <v>45064</v>
      </c>
      <c r="E625" s="69">
        <v>1648</v>
      </c>
      <c r="F625" s="70">
        <f t="shared" si="158"/>
        <v>0.99817961165048541</v>
      </c>
      <c r="G625" s="69">
        <v>3</v>
      </c>
      <c r="H625" s="69">
        <v>542</v>
      </c>
      <c r="I625" s="70">
        <f t="shared" si="159"/>
        <v>0.32888349514563109</v>
      </c>
      <c r="J625" s="69">
        <v>20</v>
      </c>
      <c r="K625" s="70">
        <f t="shared" si="160"/>
        <v>1.2135922330097087E-2</v>
      </c>
      <c r="L625" s="70">
        <f t="shared" si="161"/>
        <v>3.6900369003690037E-2</v>
      </c>
      <c r="M625" s="69">
        <v>0</v>
      </c>
      <c r="N625" s="70">
        <f t="shared" si="162"/>
        <v>0</v>
      </c>
      <c r="O625" s="67" t="s">
        <v>23</v>
      </c>
    </row>
    <row r="626" spans="1:15" x14ac:dyDescent="0.3">
      <c r="A626" s="76" t="s">
        <v>337</v>
      </c>
      <c r="B626" s="67" t="s">
        <v>18</v>
      </c>
      <c r="C626" s="67" t="s">
        <v>102</v>
      </c>
      <c r="D626" s="68">
        <v>45064</v>
      </c>
      <c r="E626" s="69">
        <v>6050</v>
      </c>
      <c r="F626" s="70">
        <f t="shared" si="158"/>
        <v>0.99752066115702476</v>
      </c>
      <c r="G626" s="69">
        <v>15</v>
      </c>
      <c r="H626" s="69">
        <v>3398</v>
      </c>
      <c r="I626" s="70">
        <f t="shared" si="159"/>
        <v>0.56165289256198347</v>
      </c>
      <c r="J626" s="69">
        <v>575</v>
      </c>
      <c r="K626" s="70">
        <f t="shared" si="160"/>
        <v>9.5041322314049589E-2</v>
      </c>
      <c r="L626" s="70">
        <f t="shared" si="161"/>
        <v>0.16921718658034138</v>
      </c>
      <c r="M626" s="69">
        <v>7</v>
      </c>
      <c r="N626" s="70">
        <f t="shared" si="162"/>
        <v>1.1570247933884298E-3</v>
      </c>
      <c r="O626" s="67" t="s">
        <v>102</v>
      </c>
    </row>
    <row r="627" spans="1:15" x14ac:dyDescent="0.3">
      <c r="A627" s="76" t="s">
        <v>337</v>
      </c>
      <c r="B627" s="67" t="s">
        <v>15</v>
      </c>
      <c r="C627" s="67" t="s">
        <v>102</v>
      </c>
      <c r="D627" s="68">
        <v>45064</v>
      </c>
      <c r="E627" s="69">
        <v>24753</v>
      </c>
      <c r="F627" s="70">
        <f t="shared" si="158"/>
        <v>0.99680846766048559</v>
      </c>
      <c r="G627" s="69">
        <v>79</v>
      </c>
      <c r="H627" s="69">
        <v>11565</v>
      </c>
      <c r="I627" s="70">
        <f t="shared" si="159"/>
        <v>0.46721609501878558</v>
      </c>
      <c r="J627" s="69">
        <v>1862</v>
      </c>
      <c r="K627" s="70">
        <f t="shared" si="160"/>
        <v>7.5223205268048321E-2</v>
      </c>
      <c r="L627" s="70">
        <f t="shared" si="161"/>
        <v>0.16100302637267619</v>
      </c>
      <c r="M627" s="69">
        <v>7</v>
      </c>
      <c r="N627" s="70">
        <f t="shared" si="162"/>
        <v>2.8279400476709894E-4</v>
      </c>
      <c r="O627" s="67" t="s">
        <v>102</v>
      </c>
    </row>
    <row r="628" spans="1:15" x14ac:dyDescent="0.3">
      <c r="A628" s="76" t="s">
        <v>338</v>
      </c>
      <c r="B628" s="67" t="s">
        <v>18</v>
      </c>
      <c r="C628" s="67" t="s">
        <v>16</v>
      </c>
      <c r="D628" s="68">
        <v>45065</v>
      </c>
      <c r="E628" s="69">
        <v>23087</v>
      </c>
      <c r="F628" s="70">
        <f t="shared" si="158"/>
        <v>0.99631827435353226</v>
      </c>
      <c r="G628" s="69">
        <v>85</v>
      </c>
      <c r="H628" s="69">
        <v>9486</v>
      </c>
      <c r="I628" s="70">
        <f t="shared" si="159"/>
        <v>0.41088058214579631</v>
      </c>
      <c r="J628" s="69">
        <v>86</v>
      </c>
      <c r="K628" s="70">
        <f t="shared" si="160"/>
        <v>3.7250400658379174E-3</v>
      </c>
      <c r="L628" s="70">
        <f t="shared" si="161"/>
        <v>9.065991988193127E-3</v>
      </c>
      <c r="M628" s="69">
        <v>31</v>
      </c>
      <c r="N628" s="70">
        <f t="shared" si="162"/>
        <v>1.3427470004764585E-3</v>
      </c>
      <c r="O628" s="67" t="s">
        <v>16</v>
      </c>
    </row>
    <row r="629" spans="1:15" x14ac:dyDescent="0.3">
      <c r="A629" s="76" t="s">
        <v>338</v>
      </c>
      <c r="B629" s="67" t="s">
        <v>15</v>
      </c>
      <c r="C629" s="67" t="s">
        <v>16</v>
      </c>
      <c r="D629" s="68">
        <v>45065</v>
      </c>
      <c r="E629" s="69">
        <v>56205</v>
      </c>
      <c r="F629" s="70">
        <f t="shared" si="158"/>
        <v>0.99564095721021262</v>
      </c>
      <c r="G629" s="69">
        <v>245</v>
      </c>
      <c r="H629" s="69">
        <v>20987</v>
      </c>
      <c r="I629" s="70">
        <f t="shared" si="159"/>
        <v>0.37340094297660348</v>
      </c>
      <c r="J629" s="69">
        <v>202</v>
      </c>
      <c r="K629" s="70">
        <f t="shared" si="160"/>
        <v>3.593986300151232E-3</v>
      </c>
      <c r="L629" s="70">
        <f t="shared" si="161"/>
        <v>9.6250059560680414E-3</v>
      </c>
      <c r="M629" s="69">
        <v>32</v>
      </c>
      <c r="N629" s="70">
        <f t="shared" si="162"/>
        <v>5.6934436438039321E-4</v>
      </c>
      <c r="O629" s="67" t="s">
        <v>16</v>
      </c>
    </row>
    <row r="630" spans="1:15" x14ac:dyDescent="0.3">
      <c r="A630" s="76" t="s">
        <v>339</v>
      </c>
      <c r="B630" s="67" t="s">
        <v>18</v>
      </c>
      <c r="C630" s="67" t="s">
        <v>16</v>
      </c>
      <c r="D630" s="68">
        <v>45065</v>
      </c>
      <c r="E630" s="69">
        <v>574</v>
      </c>
      <c r="F630" s="70">
        <f t="shared" si="158"/>
        <v>0.99303135888501737</v>
      </c>
      <c r="G630" s="69">
        <v>4</v>
      </c>
      <c r="H630" s="69">
        <v>204</v>
      </c>
      <c r="I630" s="70">
        <f t="shared" si="159"/>
        <v>0.35540069686411152</v>
      </c>
      <c r="J630" s="69">
        <v>4</v>
      </c>
      <c r="K630" s="70">
        <f t="shared" si="160"/>
        <v>6.9686411149825784E-3</v>
      </c>
      <c r="L630" s="70">
        <f t="shared" si="161"/>
        <v>1.9607843137254902E-2</v>
      </c>
      <c r="M630" s="69">
        <v>1</v>
      </c>
      <c r="N630" s="70">
        <f t="shared" si="162"/>
        <v>1.7421602787456446E-3</v>
      </c>
      <c r="O630" s="67" t="s">
        <v>16</v>
      </c>
    </row>
    <row r="631" spans="1:15" x14ac:dyDescent="0.3">
      <c r="A631" s="76" t="s">
        <v>339</v>
      </c>
      <c r="B631" s="67" t="s">
        <v>15</v>
      </c>
      <c r="C631" s="67" t="s">
        <v>16</v>
      </c>
      <c r="D631" s="68">
        <v>45065</v>
      </c>
      <c r="E631" s="69">
        <v>1935</v>
      </c>
      <c r="F631" s="70">
        <f t="shared" si="158"/>
        <v>0.99379844961240305</v>
      </c>
      <c r="G631" s="69">
        <v>12</v>
      </c>
      <c r="H631" s="69">
        <v>658</v>
      </c>
      <c r="I631" s="70">
        <f t="shared" si="159"/>
        <v>0.34005167958656329</v>
      </c>
      <c r="J631" s="69">
        <v>7</v>
      </c>
      <c r="K631" s="70">
        <f t="shared" si="160"/>
        <v>3.6175710594315244E-3</v>
      </c>
      <c r="L631" s="70">
        <f t="shared" si="161"/>
        <v>1.0638297872340425E-2</v>
      </c>
      <c r="M631" s="69">
        <v>0</v>
      </c>
      <c r="N631" s="70">
        <f t="shared" si="162"/>
        <v>0</v>
      </c>
      <c r="O631" s="67" t="s">
        <v>16</v>
      </c>
    </row>
    <row r="632" spans="1:15" x14ac:dyDescent="0.3">
      <c r="A632" s="66" t="s">
        <v>28</v>
      </c>
      <c r="B632" s="67" t="s">
        <v>18</v>
      </c>
      <c r="C632" s="67" t="s">
        <v>16</v>
      </c>
      <c r="D632" s="68">
        <v>45065</v>
      </c>
      <c r="E632" s="69">
        <v>207227</v>
      </c>
      <c r="F632" s="70">
        <f t="shared" si="158"/>
        <v>0.99592717165234257</v>
      </c>
      <c r="G632" s="69">
        <v>844</v>
      </c>
      <c r="H632" s="69">
        <v>58476</v>
      </c>
      <c r="I632" s="70">
        <f t="shared" si="159"/>
        <v>0.28218330622940063</v>
      </c>
      <c r="J632" s="69">
        <v>1096</v>
      </c>
      <c r="K632" s="70">
        <f t="shared" si="160"/>
        <v>5.2888861007494197E-3</v>
      </c>
      <c r="L632" s="70">
        <f t="shared" si="161"/>
        <v>1.8742732061016485E-2</v>
      </c>
      <c r="M632" s="69">
        <v>314</v>
      </c>
      <c r="N632" s="70">
        <f t="shared" si="162"/>
        <v>1.5152465653606915E-3</v>
      </c>
      <c r="O632" s="67" t="s">
        <v>16</v>
      </c>
    </row>
    <row r="633" spans="1:15" x14ac:dyDescent="0.3">
      <c r="A633" s="66" t="s">
        <v>340</v>
      </c>
      <c r="B633" s="67" t="s">
        <v>15</v>
      </c>
      <c r="C633" s="67" t="s">
        <v>16</v>
      </c>
      <c r="D633" s="68">
        <v>45065</v>
      </c>
      <c r="E633" s="69">
        <v>105851</v>
      </c>
      <c r="F633" s="70">
        <f t="shared" si="158"/>
        <v>0.99482291145100188</v>
      </c>
      <c r="G633" s="69">
        <v>548</v>
      </c>
      <c r="H633" s="69">
        <v>31394</v>
      </c>
      <c r="I633" s="70">
        <f t="shared" si="159"/>
        <v>0.29658671150957477</v>
      </c>
      <c r="J633" s="69">
        <v>679</v>
      </c>
      <c r="K633" s="70">
        <f t="shared" si="160"/>
        <v>6.4146772349812468E-3</v>
      </c>
      <c r="L633" s="70">
        <f t="shared" si="161"/>
        <v>2.162833662483277E-2</v>
      </c>
      <c r="M633" s="69">
        <v>41</v>
      </c>
      <c r="N633" s="70">
        <f t="shared" si="162"/>
        <v>3.8733691698708561E-4</v>
      </c>
      <c r="O633" s="67" t="s">
        <v>16</v>
      </c>
    </row>
    <row r="634" spans="1:15" x14ac:dyDescent="0.3">
      <c r="A634" s="66" t="s">
        <v>22</v>
      </c>
      <c r="B634" s="67" t="s">
        <v>18</v>
      </c>
      <c r="C634" s="67" t="s">
        <v>16</v>
      </c>
      <c r="D634" s="68">
        <v>45065</v>
      </c>
      <c r="E634" s="69">
        <v>2307120</v>
      </c>
      <c r="F634" s="70">
        <f t="shared" si="158"/>
        <v>0.99607952772287522</v>
      </c>
      <c r="G634" s="69">
        <v>9045</v>
      </c>
      <c r="H634" s="69">
        <v>731790</v>
      </c>
      <c r="I634" s="70">
        <f t="shared" si="159"/>
        <v>0.31718766254031</v>
      </c>
      <c r="J634" s="69">
        <v>10032</v>
      </c>
      <c r="K634" s="70">
        <f t="shared" si="160"/>
        <v>4.3482783730365128E-3</v>
      </c>
      <c r="L634" s="70">
        <f t="shared" si="161"/>
        <v>1.3708850899848317E-2</v>
      </c>
      <c r="M634" s="69">
        <v>3033</v>
      </c>
      <c r="N634" s="70">
        <f t="shared" si="162"/>
        <v>1.3146260272547592E-3</v>
      </c>
      <c r="O634" s="67" t="s">
        <v>16</v>
      </c>
    </row>
    <row r="635" spans="1:15" x14ac:dyDescent="0.3">
      <c r="A635" s="66" t="s">
        <v>22</v>
      </c>
      <c r="B635" s="67" t="s">
        <v>15</v>
      </c>
      <c r="C635" s="67" t="s">
        <v>16</v>
      </c>
      <c r="D635" s="68">
        <v>45065</v>
      </c>
      <c r="E635" s="69">
        <v>1973420</v>
      </c>
      <c r="F635" s="70">
        <f t="shared" si="158"/>
        <v>0.99528787587031653</v>
      </c>
      <c r="G635" s="69">
        <v>9299</v>
      </c>
      <c r="H635" s="69">
        <v>658700</v>
      </c>
      <c r="I635" s="70">
        <f t="shared" si="159"/>
        <v>0.33378601615469589</v>
      </c>
      <c r="J635" s="69">
        <v>10141</v>
      </c>
      <c r="K635" s="70">
        <f t="shared" si="160"/>
        <v>5.1387945799677721E-3</v>
      </c>
      <c r="L635" s="70">
        <f t="shared" si="161"/>
        <v>1.5395475937452559E-2</v>
      </c>
      <c r="M635" s="69">
        <v>1539</v>
      </c>
      <c r="N635" s="70">
        <f t="shared" si="162"/>
        <v>7.7986439784739187E-4</v>
      </c>
      <c r="O635" s="67" t="s">
        <v>16</v>
      </c>
    </row>
    <row r="636" spans="1:15" x14ac:dyDescent="0.3">
      <c r="A636" s="66" t="s">
        <v>33</v>
      </c>
      <c r="B636" s="67" t="s">
        <v>18</v>
      </c>
      <c r="C636" s="67" t="s">
        <v>21</v>
      </c>
      <c r="D636" s="68">
        <v>45065</v>
      </c>
      <c r="E636" s="69">
        <v>233791</v>
      </c>
      <c r="F636" s="70">
        <f t="shared" si="158"/>
        <v>0.99679200653575206</v>
      </c>
      <c r="G636" s="69">
        <v>750</v>
      </c>
      <c r="H636" s="69">
        <v>102602</v>
      </c>
      <c r="I636" s="70">
        <f t="shared" si="159"/>
        <v>0.43886206055836197</v>
      </c>
      <c r="J636" s="69">
        <v>2824</v>
      </c>
      <c r="K636" s="70">
        <f t="shared" si="160"/>
        <v>1.2079164724048403E-2</v>
      </c>
      <c r="L636" s="70">
        <f t="shared" si="161"/>
        <v>2.7523829944835383E-2</v>
      </c>
      <c r="M636" s="69">
        <v>187</v>
      </c>
      <c r="N636" s="70">
        <f t="shared" si="162"/>
        <v>7.9985970375249691E-4</v>
      </c>
      <c r="O636" s="67" t="s">
        <v>21</v>
      </c>
    </row>
    <row r="637" spans="1:15" x14ac:dyDescent="0.3">
      <c r="A637" s="66" t="s">
        <v>19</v>
      </c>
      <c r="B637" s="67" t="s">
        <v>18</v>
      </c>
      <c r="C637" s="67" t="s">
        <v>21</v>
      </c>
      <c r="D637" s="68">
        <v>45065</v>
      </c>
      <c r="E637" s="69">
        <v>332248</v>
      </c>
      <c r="F637" s="70">
        <f t="shared" si="158"/>
        <v>0.99467867376176833</v>
      </c>
      <c r="G637" s="69">
        <v>1768</v>
      </c>
      <c r="H637" s="69">
        <v>117822</v>
      </c>
      <c r="I637" s="70">
        <f t="shared" si="159"/>
        <v>0.35462064481953237</v>
      </c>
      <c r="J637" s="69">
        <v>2942</v>
      </c>
      <c r="K637" s="70">
        <f t="shared" si="160"/>
        <v>8.8548313308131274E-3</v>
      </c>
      <c r="L637" s="70">
        <f t="shared" si="161"/>
        <v>2.4969869803602045E-2</v>
      </c>
      <c r="M637" s="69">
        <v>257</v>
      </c>
      <c r="N637" s="70">
        <f t="shared" si="162"/>
        <v>7.7351857648503522E-4</v>
      </c>
      <c r="O637" s="67" t="s">
        <v>21</v>
      </c>
    </row>
    <row r="638" spans="1:15" x14ac:dyDescent="0.3">
      <c r="A638" s="76" t="s">
        <v>341</v>
      </c>
      <c r="B638" s="67" t="s">
        <v>15</v>
      </c>
      <c r="C638" s="67" t="s">
        <v>30</v>
      </c>
      <c r="D638" s="68">
        <v>45066</v>
      </c>
      <c r="E638" s="69">
        <v>19839</v>
      </c>
      <c r="F638" s="70">
        <f t="shared" si="158"/>
        <v>0.99616916175210446</v>
      </c>
      <c r="G638" s="69">
        <v>76</v>
      </c>
      <c r="H638" s="69">
        <v>8789</v>
      </c>
      <c r="I638" s="70">
        <f t="shared" si="159"/>
        <v>0.44301628106255353</v>
      </c>
      <c r="J638" s="69">
        <v>1247</v>
      </c>
      <c r="K638" s="70">
        <f t="shared" si="160"/>
        <v>6.2855990725338984E-2</v>
      </c>
      <c r="L638" s="70">
        <f t="shared" si="161"/>
        <v>0.141881897826829</v>
      </c>
      <c r="M638" s="69">
        <v>21</v>
      </c>
      <c r="N638" s="70">
        <f t="shared" si="162"/>
        <v>1.0585210948132466E-3</v>
      </c>
      <c r="O638" s="67" t="s">
        <v>31</v>
      </c>
    </row>
    <row r="639" spans="1:15" x14ac:dyDescent="0.3">
      <c r="A639" s="76" t="s">
        <v>342</v>
      </c>
      <c r="B639" s="67" t="s">
        <v>15</v>
      </c>
      <c r="C639" s="67" t="s">
        <v>30</v>
      </c>
      <c r="D639" s="68">
        <v>45066</v>
      </c>
      <c r="E639" s="69">
        <v>6687</v>
      </c>
      <c r="F639" s="70">
        <f t="shared" si="158"/>
        <v>0.99581277104830268</v>
      </c>
      <c r="G639" s="69">
        <v>28</v>
      </c>
      <c r="H639" s="69">
        <v>2412</v>
      </c>
      <c r="I639" s="70">
        <f t="shared" si="159"/>
        <v>0.36069986541049798</v>
      </c>
      <c r="J639" s="69">
        <v>502</v>
      </c>
      <c r="K639" s="70">
        <f t="shared" si="160"/>
        <v>7.5071033348287727E-2</v>
      </c>
      <c r="L639" s="70">
        <f t="shared" si="161"/>
        <v>0.20812603648424544</v>
      </c>
      <c r="M639" s="69">
        <v>4</v>
      </c>
      <c r="N639" s="70">
        <f t="shared" si="162"/>
        <v>5.98175564528189E-4</v>
      </c>
      <c r="O639" s="67" t="s">
        <v>31</v>
      </c>
    </row>
    <row r="640" spans="1:15" x14ac:dyDescent="0.3">
      <c r="A640" s="76" t="s">
        <v>75</v>
      </c>
      <c r="B640" s="67" t="s">
        <v>15</v>
      </c>
      <c r="C640" s="67" t="s">
        <v>16</v>
      </c>
      <c r="D640" s="68">
        <v>45066</v>
      </c>
      <c r="E640" s="69">
        <v>28779</v>
      </c>
      <c r="F640" s="70">
        <f t="shared" si="158"/>
        <v>0.99530907953716252</v>
      </c>
      <c r="G640" s="69">
        <v>135</v>
      </c>
      <c r="H640" s="69">
        <v>8554</v>
      </c>
      <c r="I640" s="70">
        <f t="shared" si="159"/>
        <v>0.29723061954897667</v>
      </c>
      <c r="J640" s="69">
        <v>273</v>
      </c>
      <c r="K640" s="70">
        <f t="shared" si="160"/>
        <v>9.4860836026269147E-3</v>
      </c>
      <c r="L640" s="70">
        <f t="shared" si="161"/>
        <v>3.1914893617021274E-2</v>
      </c>
      <c r="M640" s="69">
        <v>11</v>
      </c>
      <c r="N640" s="70">
        <f t="shared" si="162"/>
        <v>3.8222314882379514E-4</v>
      </c>
      <c r="O640" s="67" t="s">
        <v>16</v>
      </c>
    </row>
    <row r="641" spans="1:15" x14ac:dyDescent="0.3">
      <c r="A641" s="76" t="s">
        <v>78</v>
      </c>
      <c r="B641" s="67" t="s">
        <v>15</v>
      </c>
      <c r="C641" s="67" t="s">
        <v>16</v>
      </c>
      <c r="D641" s="68">
        <v>45066</v>
      </c>
      <c r="E641" s="69">
        <v>449224</v>
      </c>
      <c r="F641" s="70">
        <f t="shared" si="158"/>
        <v>0.99554119993588941</v>
      </c>
      <c r="G641" s="69">
        <v>2003</v>
      </c>
      <c r="H641" s="69">
        <v>156660</v>
      </c>
      <c r="I641" s="70">
        <f t="shared" si="159"/>
        <v>0.34873470696133779</v>
      </c>
      <c r="J641" s="69">
        <v>4322</v>
      </c>
      <c r="K641" s="70">
        <f t="shared" si="160"/>
        <v>9.6210353854647122E-3</v>
      </c>
      <c r="L641" s="70">
        <f t="shared" si="161"/>
        <v>2.758840801736244E-2</v>
      </c>
      <c r="M641" s="69">
        <v>261</v>
      </c>
      <c r="N641" s="70">
        <f t="shared" si="162"/>
        <v>5.8100190550816524E-4</v>
      </c>
      <c r="O641" s="67" t="s">
        <v>16</v>
      </c>
    </row>
    <row r="642" spans="1:15" x14ac:dyDescent="0.3">
      <c r="A642" s="76" t="s">
        <v>253</v>
      </c>
      <c r="B642" s="67" t="s">
        <v>18</v>
      </c>
      <c r="C642" s="67" t="s">
        <v>21</v>
      </c>
      <c r="D642" s="68">
        <v>45069</v>
      </c>
      <c r="E642" s="69">
        <v>502625</v>
      </c>
      <c r="F642" s="70">
        <f t="shared" ref="F642:F705" si="165">(E642-G642)/E642</f>
        <v>0.99686048246704795</v>
      </c>
      <c r="G642" s="69">
        <v>1578</v>
      </c>
      <c r="H642" s="69">
        <v>259787</v>
      </c>
      <c r="I642" s="70">
        <f t="shared" ref="I642:I705" si="166">H642/E642</f>
        <v>0.51686048246704797</v>
      </c>
      <c r="J642" s="69">
        <v>4026</v>
      </c>
      <c r="K642" s="70">
        <f t="shared" ref="K642:K700" si="167">J642/E642</f>
        <v>8.0099477741855264E-3</v>
      </c>
      <c r="L642" s="70">
        <f t="shared" ref="L642:L700" si="168">J642/H642</f>
        <v>1.5497311258838973E-2</v>
      </c>
      <c r="M642" s="69">
        <v>1157</v>
      </c>
      <c r="N642" s="70">
        <f t="shared" ref="N642:N700" si="169">M642/E642</f>
        <v>2.3019149465307136E-3</v>
      </c>
      <c r="O642" s="67" t="s">
        <v>21</v>
      </c>
    </row>
    <row r="643" spans="1:15" x14ac:dyDescent="0.3">
      <c r="A643" s="76" t="s">
        <v>253</v>
      </c>
      <c r="B643" s="67" t="s">
        <v>15</v>
      </c>
      <c r="C643" s="67" t="s">
        <v>21</v>
      </c>
      <c r="D643" s="68">
        <v>45069</v>
      </c>
      <c r="E643" s="69">
        <v>732891</v>
      </c>
      <c r="F643" s="70">
        <f t="shared" si="165"/>
        <v>0.99644421885382684</v>
      </c>
      <c r="G643" s="69">
        <v>2606</v>
      </c>
      <c r="H643" s="69">
        <v>364040</v>
      </c>
      <c r="I643" s="70">
        <f t="shared" si="166"/>
        <v>0.49671779295966251</v>
      </c>
      <c r="J643" s="69">
        <v>5131</v>
      </c>
      <c r="K643" s="70">
        <f t="shared" si="167"/>
        <v>7.0010410825074943E-3</v>
      </c>
      <c r="L643" s="70">
        <f t="shared" si="168"/>
        <v>1.4094604988462807E-2</v>
      </c>
      <c r="M643" s="69">
        <v>539</v>
      </c>
      <c r="N643" s="70">
        <f t="shared" si="169"/>
        <v>7.354436062115649E-4</v>
      </c>
      <c r="O643" s="67" t="s">
        <v>21</v>
      </c>
    </row>
    <row r="644" spans="1:15" x14ac:dyDescent="0.3">
      <c r="A644" s="66" t="s">
        <v>17</v>
      </c>
      <c r="B644" s="67" t="s">
        <v>18</v>
      </c>
      <c r="C644" s="67" t="s">
        <v>16</v>
      </c>
      <c r="D644" s="68">
        <v>45069</v>
      </c>
      <c r="E644" s="69">
        <v>464080</v>
      </c>
      <c r="F644" s="70">
        <f t="shared" si="165"/>
        <v>0.99620755042234099</v>
      </c>
      <c r="G644" s="69">
        <v>1760</v>
      </c>
      <c r="H644" s="69">
        <v>174393</v>
      </c>
      <c r="I644" s="70">
        <f t="shared" si="166"/>
        <v>0.37578219272539215</v>
      </c>
      <c r="J644" s="69">
        <v>2518</v>
      </c>
      <c r="K644" s="70">
        <f t="shared" si="167"/>
        <v>5.4257886571280811E-3</v>
      </c>
      <c r="L644" s="70">
        <f t="shared" si="168"/>
        <v>1.4438652927583102E-2</v>
      </c>
      <c r="M644" s="69">
        <v>361</v>
      </c>
      <c r="N644" s="70">
        <f t="shared" si="169"/>
        <v>7.7788312359937937E-4</v>
      </c>
      <c r="O644" s="67" t="s">
        <v>16</v>
      </c>
    </row>
    <row r="645" spans="1:15" x14ac:dyDescent="0.3">
      <c r="A645" s="66" t="s">
        <v>17</v>
      </c>
      <c r="B645" s="67" t="s">
        <v>15</v>
      </c>
      <c r="C645" s="67" t="s">
        <v>16</v>
      </c>
      <c r="D645" s="68">
        <v>45069</v>
      </c>
      <c r="E645" s="69">
        <v>238668</v>
      </c>
      <c r="F645" s="70">
        <f t="shared" si="165"/>
        <v>0.995114552432668</v>
      </c>
      <c r="G645" s="69">
        <v>1166</v>
      </c>
      <c r="H645" s="69">
        <v>83877</v>
      </c>
      <c r="I645" s="70">
        <f t="shared" si="166"/>
        <v>0.35143798079340338</v>
      </c>
      <c r="J645" s="69">
        <v>1825</v>
      </c>
      <c r="K645" s="70">
        <f t="shared" si="167"/>
        <v>7.6466053262272274E-3</v>
      </c>
      <c r="L645" s="70">
        <f t="shared" si="168"/>
        <v>2.1758050478677109E-2</v>
      </c>
      <c r="M645" s="69">
        <v>98</v>
      </c>
      <c r="N645" s="70">
        <f t="shared" si="169"/>
        <v>4.1061223121658541E-4</v>
      </c>
      <c r="O645" s="67" t="s">
        <v>16</v>
      </c>
    </row>
    <row r="646" spans="1:15" x14ac:dyDescent="0.3">
      <c r="A646" s="66" t="s">
        <v>29</v>
      </c>
      <c r="B646" s="67" t="s">
        <v>18</v>
      </c>
      <c r="C646" s="67" t="s">
        <v>16</v>
      </c>
      <c r="D646" s="68">
        <v>45069</v>
      </c>
      <c r="E646" s="69">
        <v>27442</v>
      </c>
      <c r="F646" s="70">
        <f t="shared" si="165"/>
        <v>0.99606442679105023</v>
      </c>
      <c r="G646" s="69">
        <v>108</v>
      </c>
      <c r="H646" s="69">
        <v>9456</v>
      </c>
      <c r="I646" s="70">
        <f t="shared" si="166"/>
        <v>0.34458129873915894</v>
      </c>
      <c r="J646" s="69">
        <v>169</v>
      </c>
      <c r="K646" s="70">
        <f t="shared" si="167"/>
        <v>6.158443262152904E-3</v>
      </c>
      <c r="L646" s="70">
        <f t="shared" si="168"/>
        <v>1.7872250423011844E-2</v>
      </c>
      <c r="M646" s="69">
        <v>23</v>
      </c>
      <c r="N646" s="70">
        <f t="shared" si="169"/>
        <v>8.3813133153560235E-4</v>
      </c>
      <c r="O646" s="67" t="s">
        <v>16</v>
      </c>
    </row>
    <row r="647" spans="1:15" x14ac:dyDescent="0.3">
      <c r="A647" s="66" t="s">
        <v>29</v>
      </c>
      <c r="B647" s="67" t="s">
        <v>15</v>
      </c>
      <c r="C647" s="67" t="s">
        <v>16</v>
      </c>
      <c r="D647" s="68">
        <v>45069</v>
      </c>
      <c r="E647" s="69">
        <v>26439</v>
      </c>
      <c r="F647" s="70">
        <f t="shared" si="165"/>
        <v>0.99406180264003929</v>
      </c>
      <c r="G647" s="69">
        <v>157</v>
      </c>
      <c r="H647" s="69">
        <v>8868</v>
      </c>
      <c r="I647" s="70">
        <f t="shared" si="166"/>
        <v>0.33541359355497563</v>
      </c>
      <c r="J647" s="69">
        <v>237</v>
      </c>
      <c r="K647" s="70">
        <f t="shared" si="167"/>
        <v>8.9640304096221483E-3</v>
      </c>
      <c r="L647" s="70">
        <f t="shared" si="168"/>
        <v>2.6725304465493909E-2</v>
      </c>
      <c r="M647" s="69">
        <v>11</v>
      </c>
      <c r="N647" s="70">
        <f t="shared" si="169"/>
        <v>4.1605204432845419E-4</v>
      </c>
      <c r="O647" s="67" t="s">
        <v>16</v>
      </c>
    </row>
    <row r="648" spans="1:15" x14ac:dyDescent="0.3">
      <c r="A648" s="76" t="s">
        <v>32</v>
      </c>
      <c r="B648" s="67"/>
      <c r="C648" s="67" t="s">
        <v>23</v>
      </c>
      <c r="D648" s="68">
        <v>45070</v>
      </c>
      <c r="E648" s="69">
        <v>261</v>
      </c>
      <c r="F648" s="70">
        <f t="shared" si="165"/>
        <v>1</v>
      </c>
      <c r="G648" s="69">
        <v>0</v>
      </c>
      <c r="H648" s="69">
        <v>78</v>
      </c>
      <c r="I648" s="70">
        <f t="shared" si="166"/>
        <v>0.2988505747126437</v>
      </c>
      <c r="J648" s="69">
        <v>6</v>
      </c>
      <c r="K648" s="70">
        <f t="shared" si="167"/>
        <v>2.2988505747126436E-2</v>
      </c>
      <c r="L648" s="70">
        <f t="shared" si="168"/>
        <v>7.6923076923076927E-2</v>
      </c>
      <c r="M648" s="69">
        <v>0</v>
      </c>
      <c r="N648" s="70">
        <f t="shared" si="169"/>
        <v>0</v>
      </c>
      <c r="O648" s="67" t="s">
        <v>23</v>
      </c>
    </row>
    <row r="649" spans="1:15" x14ac:dyDescent="0.3">
      <c r="A649" s="66" t="s">
        <v>26</v>
      </c>
      <c r="B649" s="67"/>
      <c r="C649" s="67" t="s">
        <v>23</v>
      </c>
      <c r="D649" s="68">
        <v>45071</v>
      </c>
      <c r="E649" s="69">
        <v>1647</v>
      </c>
      <c r="F649" s="70">
        <f t="shared" si="165"/>
        <v>0.99817850637522765</v>
      </c>
      <c r="G649" s="69">
        <v>3</v>
      </c>
      <c r="H649" s="69">
        <v>580</v>
      </c>
      <c r="I649" s="70">
        <f t="shared" si="166"/>
        <v>0.35215543412264722</v>
      </c>
      <c r="J649" s="69">
        <v>18</v>
      </c>
      <c r="K649" s="70">
        <f t="shared" si="167"/>
        <v>1.092896174863388E-2</v>
      </c>
      <c r="L649" s="70">
        <f t="shared" si="168"/>
        <v>3.1034482758620689E-2</v>
      </c>
      <c r="M649" s="69">
        <v>0</v>
      </c>
      <c r="N649" s="70">
        <f t="shared" si="169"/>
        <v>0</v>
      </c>
      <c r="O649" s="67" t="s">
        <v>23</v>
      </c>
    </row>
    <row r="650" spans="1:15" x14ac:dyDescent="0.3">
      <c r="A650" s="76" t="s">
        <v>345</v>
      </c>
      <c r="B650" s="67" t="s">
        <v>18</v>
      </c>
      <c r="C650" s="67" t="s">
        <v>16</v>
      </c>
      <c r="D650" s="68">
        <v>45071</v>
      </c>
      <c r="E650" s="69">
        <v>2481476</v>
      </c>
      <c r="F650" s="70">
        <f t="shared" si="165"/>
        <v>0.99655608194477807</v>
      </c>
      <c r="G650" s="69">
        <v>8546</v>
      </c>
      <c r="H650" s="69">
        <v>815710</v>
      </c>
      <c r="I650" s="70">
        <f t="shared" si="166"/>
        <v>0.32871968135093793</v>
      </c>
      <c r="J650" s="69">
        <v>8133</v>
      </c>
      <c r="K650" s="70">
        <f t="shared" si="167"/>
        <v>3.2774848517575831E-3</v>
      </c>
      <c r="L650" s="70">
        <f t="shared" si="168"/>
        <v>9.9704551862794377E-3</v>
      </c>
      <c r="M650" s="69">
        <v>4095</v>
      </c>
      <c r="N650" s="70">
        <f t="shared" si="169"/>
        <v>1.6502275258757288E-3</v>
      </c>
      <c r="O650" s="67" t="s">
        <v>16</v>
      </c>
    </row>
    <row r="651" spans="1:15" x14ac:dyDescent="0.3">
      <c r="A651" s="76" t="s">
        <v>345</v>
      </c>
      <c r="B651" s="67" t="s">
        <v>15</v>
      </c>
      <c r="C651" s="67" t="s">
        <v>16</v>
      </c>
      <c r="D651" s="68">
        <v>45071</v>
      </c>
      <c r="E651" s="69">
        <v>2419383</v>
      </c>
      <c r="F651" s="70">
        <f t="shared" si="165"/>
        <v>0.99569229014174276</v>
      </c>
      <c r="G651" s="69">
        <v>10422</v>
      </c>
      <c r="H651" s="69">
        <v>849741</v>
      </c>
      <c r="I651" s="70">
        <f t="shared" si="166"/>
        <v>0.35122219177368774</v>
      </c>
      <c r="J651" s="69">
        <v>8029</v>
      </c>
      <c r="K651" s="70">
        <f t="shared" si="167"/>
        <v>3.3186147046581709E-3</v>
      </c>
      <c r="L651" s="70">
        <f t="shared" si="168"/>
        <v>9.4487614461347628E-3</v>
      </c>
      <c r="M651" s="69">
        <v>1964</v>
      </c>
      <c r="N651" s="70">
        <f t="shared" si="169"/>
        <v>8.1177721757985405E-4</v>
      </c>
      <c r="O651" s="67" t="s">
        <v>16</v>
      </c>
    </row>
    <row r="652" spans="1:15" x14ac:dyDescent="0.3">
      <c r="A652" s="76" t="s">
        <v>346</v>
      </c>
      <c r="B652" s="67" t="s">
        <v>18</v>
      </c>
      <c r="C652" s="67" t="s">
        <v>16</v>
      </c>
      <c r="D652" s="68">
        <v>45071</v>
      </c>
      <c r="E652" s="69">
        <v>221290</v>
      </c>
      <c r="F652" s="70">
        <f t="shared" si="165"/>
        <v>0.99633964480997783</v>
      </c>
      <c r="G652" s="69">
        <v>810</v>
      </c>
      <c r="H652" s="69">
        <v>64694</v>
      </c>
      <c r="I652" s="70">
        <f t="shared" si="166"/>
        <v>0.29234940575715124</v>
      </c>
      <c r="J652" s="69">
        <v>746</v>
      </c>
      <c r="K652" s="70">
        <f t="shared" si="167"/>
        <v>3.3711419404401466E-3</v>
      </c>
      <c r="L652" s="70">
        <f t="shared" si="168"/>
        <v>1.1531208458280521E-2</v>
      </c>
      <c r="M652" s="69">
        <v>524</v>
      </c>
      <c r="N652" s="70">
        <f t="shared" si="169"/>
        <v>2.3679334809525963E-3</v>
      </c>
      <c r="O652" s="67" t="s">
        <v>16</v>
      </c>
    </row>
    <row r="653" spans="1:15" x14ac:dyDescent="0.3">
      <c r="A653" s="76" t="s">
        <v>346</v>
      </c>
      <c r="B653" s="67" t="s">
        <v>15</v>
      </c>
      <c r="C653" s="67" t="s">
        <v>16</v>
      </c>
      <c r="D653" s="68">
        <v>45071</v>
      </c>
      <c r="E653" s="69">
        <v>130988</v>
      </c>
      <c r="F653" s="70">
        <f t="shared" si="165"/>
        <v>0.99519803340764035</v>
      </c>
      <c r="G653" s="69">
        <v>629</v>
      </c>
      <c r="H653" s="69">
        <v>41583</v>
      </c>
      <c r="I653" s="70">
        <f t="shared" si="166"/>
        <v>0.31745656090634256</v>
      </c>
      <c r="J653" s="69">
        <v>413</v>
      </c>
      <c r="K653" s="70">
        <f t="shared" si="167"/>
        <v>3.1529605765413626E-3</v>
      </c>
      <c r="L653" s="70">
        <f t="shared" si="168"/>
        <v>9.9319433422312003E-3</v>
      </c>
      <c r="M653" s="69">
        <v>68</v>
      </c>
      <c r="N653" s="70">
        <f t="shared" si="169"/>
        <v>5.1913152349833576E-4</v>
      </c>
      <c r="O653" s="67" t="s">
        <v>16</v>
      </c>
    </row>
    <row r="654" spans="1:15" x14ac:dyDescent="0.3">
      <c r="A654" s="76" t="s">
        <v>347</v>
      </c>
      <c r="B654" s="67" t="s">
        <v>18</v>
      </c>
      <c r="C654" s="67" t="s">
        <v>16</v>
      </c>
      <c r="D654" s="68">
        <v>45071</v>
      </c>
      <c r="E654" s="69">
        <v>329288</v>
      </c>
      <c r="F654" s="70">
        <f t="shared" si="165"/>
        <v>0.99648332159082631</v>
      </c>
      <c r="G654" s="69">
        <v>1158</v>
      </c>
      <c r="H654" s="69">
        <v>118987</v>
      </c>
      <c r="I654" s="70">
        <f t="shared" si="166"/>
        <v>0.36134629868079005</v>
      </c>
      <c r="J654" s="69">
        <v>1173</v>
      </c>
      <c r="K654" s="70">
        <f t="shared" si="167"/>
        <v>3.5622312383081071E-3</v>
      </c>
      <c r="L654" s="70">
        <f t="shared" si="168"/>
        <v>9.8582198055249728E-3</v>
      </c>
      <c r="M654" s="69">
        <v>582</v>
      </c>
      <c r="N654" s="70">
        <f t="shared" si="169"/>
        <v>1.7674497704137412E-3</v>
      </c>
      <c r="O654" s="67" t="s">
        <v>16</v>
      </c>
    </row>
    <row r="655" spans="1:15" x14ac:dyDescent="0.3">
      <c r="A655" s="76" t="s">
        <v>347</v>
      </c>
      <c r="B655" s="67" t="s">
        <v>15</v>
      </c>
      <c r="C655" s="67" t="s">
        <v>16</v>
      </c>
      <c r="D655" s="68">
        <v>45071</v>
      </c>
      <c r="E655" s="69">
        <v>438841</v>
      </c>
      <c r="F655" s="70">
        <f t="shared" si="165"/>
        <v>0.99581853108529061</v>
      </c>
      <c r="G655" s="69">
        <v>1835</v>
      </c>
      <c r="H655" s="69">
        <v>156849</v>
      </c>
      <c r="I655" s="70">
        <f t="shared" si="166"/>
        <v>0.3574164674677161</v>
      </c>
      <c r="J655" s="69">
        <v>1225</v>
      </c>
      <c r="K655" s="70">
        <f t="shared" si="167"/>
        <v>2.7914438258959395E-3</v>
      </c>
      <c r="L655" s="70">
        <f t="shared" si="168"/>
        <v>7.8100593564511094E-3</v>
      </c>
      <c r="M655" s="69">
        <v>272</v>
      </c>
      <c r="N655" s="70">
        <f t="shared" si="169"/>
        <v>6.1981446583158825E-4</v>
      </c>
      <c r="O655" s="67" t="s">
        <v>16</v>
      </c>
    </row>
    <row r="656" spans="1:15" x14ac:dyDescent="0.3">
      <c r="A656" s="66" t="s">
        <v>22</v>
      </c>
      <c r="B656" s="67" t="s">
        <v>18</v>
      </c>
      <c r="C656" s="67" t="s">
        <v>16</v>
      </c>
      <c r="D656" s="68">
        <v>45072</v>
      </c>
      <c r="E656" s="69">
        <v>2318694</v>
      </c>
      <c r="F656" s="70">
        <f t="shared" si="165"/>
        <v>0.99658083386596075</v>
      </c>
      <c r="G656" s="69">
        <v>7928</v>
      </c>
      <c r="H656" s="69">
        <v>753668</v>
      </c>
      <c r="I656" s="70">
        <f t="shared" si="166"/>
        <v>0.32503987158288244</v>
      </c>
      <c r="J656" s="69">
        <v>9182</v>
      </c>
      <c r="K656" s="70">
        <f t="shared" si="167"/>
        <v>3.9599878207301183E-3</v>
      </c>
      <c r="L656" s="70">
        <f t="shared" si="168"/>
        <v>1.2183083267433406E-2</v>
      </c>
      <c r="M656" s="69">
        <v>3868</v>
      </c>
      <c r="N656" s="70">
        <f t="shared" si="169"/>
        <v>1.6681804498566866E-3</v>
      </c>
      <c r="O656" s="67" t="s">
        <v>16</v>
      </c>
    </row>
    <row r="657" spans="1:15" x14ac:dyDescent="0.3">
      <c r="A657" s="66" t="s">
        <v>22</v>
      </c>
      <c r="B657" s="67" t="s">
        <v>15</v>
      </c>
      <c r="C657" s="67" t="s">
        <v>16</v>
      </c>
      <c r="D657" s="68">
        <v>45072</v>
      </c>
      <c r="E657" s="69">
        <v>1967463</v>
      </c>
      <c r="F657" s="70">
        <f t="shared" si="165"/>
        <v>0.99604668550310727</v>
      </c>
      <c r="G657" s="69">
        <v>7778</v>
      </c>
      <c r="H657" s="69">
        <v>670046</v>
      </c>
      <c r="I657" s="70">
        <f t="shared" si="166"/>
        <v>0.34056345659359288</v>
      </c>
      <c r="J657" s="69">
        <v>7770</v>
      </c>
      <c r="K657" s="70">
        <f t="shared" si="167"/>
        <v>3.9492483467287566E-3</v>
      </c>
      <c r="L657" s="70">
        <f t="shared" si="168"/>
        <v>1.1596218767069724E-2</v>
      </c>
      <c r="M657" s="69">
        <v>1522</v>
      </c>
      <c r="N657" s="70">
        <f t="shared" si="169"/>
        <v>7.7358506868998298E-4</v>
      </c>
      <c r="O657" s="67" t="s">
        <v>16</v>
      </c>
    </row>
    <row r="658" spans="1:15" x14ac:dyDescent="0.3">
      <c r="A658" s="66" t="s">
        <v>28</v>
      </c>
      <c r="B658" s="67" t="s">
        <v>18</v>
      </c>
      <c r="C658" s="67" t="s">
        <v>16</v>
      </c>
      <c r="D658" s="68">
        <v>45072</v>
      </c>
      <c r="E658" s="69">
        <v>207896</v>
      </c>
      <c r="F658" s="70">
        <f t="shared" si="165"/>
        <v>0.99636356639858392</v>
      </c>
      <c r="G658" s="69">
        <v>756</v>
      </c>
      <c r="H658" s="69">
        <v>62785</v>
      </c>
      <c r="I658" s="70">
        <f t="shared" si="166"/>
        <v>0.30200196251972139</v>
      </c>
      <c r="J658" s="69">
        <v>1151</v>
      </c>
      <c r="K658" s="70">
        <f t="shared" si="167"/>
        <v>5.5364220571824376E-3</v>
      </c>
      <c r="L658" s="70">
        <f t="shared" si="168"/>
        <v>1.8332404236680738E-2</v>
      </c>
      <c r="M658" s="69">
        <v>437</v>
      </c>
      <c r="N658" s="70">
        <f t="shared" si="169"/>
        <v>2.1020125447339054E-3</v>
      </c>
      <c r="O658" s="67" t="s">
        <v>16</v>
      </c>
    </row>
    <row r="659" spans="1:15" x14ac:dyDescent="0.3">
      <c r="A659" s="66" t="s">
        <v>28</v>
      </c>
      <c r="B659" s="67" t="s">
        <v>15</v>
      </c>
      <c r="C659" s="67" t="s">
        <v>16</v>
      </c>
      <c r="D659" s="68">
        <v>45072</v>
      </c>
      <c r="E659" s="69">
        <v>105649</v>
      </c>
      <c r="F659" s="70">
        <f t="shared" si="165"/>
        <v>0.9956459597345928</v>
      </c>
      <c r="G659" s="69">
        <v>460</v>
      </c>
      <c r="H659" s="69">
        <v>33115</v>
      </c>
      <c r="I659" s="70">
        <f t="shared" si="166"/>
        <v>0.3134435725846908</v>
      </c>
      <c r="J659" s="69">
        <v>601</v>
      </c>
      <c r="K659" s="70">
        <f t="shared" si="167"/>
        <v>5.68864825980369E-3</v>
      </c>
      <c r="L659" s="70">
        <f t="shared" si="168"/>
        <v>1.8148875132115355E-2</v>
      </c>
      <c r="M659" s="69">
        <v>46</v>
      </c>
      <c r="N659" s="70">
        <f t="shared" si="169"/>
        <v>4.3540402654071501E-4</v>
      </c>
      <c r="O659" s="67" t="s">
        <v>16</v>
      </c>
    </row>
    <row r="660" spans="1:15" x14ac:dyDescent="0.3">
      <c r="A660" s="66" t="s">
        <v>33</v>
      </c>
      <c r="B660" s="67" t="s">
        <v>18</v>
      </c>
      <c r="C660" s="67" t="s">
        <v>21</v>
      </c>
      <c r="D660" s="68">
        <v>45072</v>
      </c>
      <c r="E660" s="69">
        <v>234084</v>
      </c>
      <c r="F660" s="70">
        <f t="shared" si="165"/>
        <v>0.99713350762973973</v>
      </c>
      <c r="G660" s="69">
        <v>671</v>
      </c>
      <c r="H660" s="69">
        <v>104116</v>
      </c>
      <c r="I660" s="70">
        <f t="shared" si="166"/>
        <v>0.44478050614309395</v>
      </c>
      <c r="J660" s="69">
        <v>1860</v>
      </c>
      <c r="K660" s="70">
        <f t="shared" si="167"/>
        <v>7.9458655867124615E-3</v>
      </c>
      <c r="L660" s="70">
        <f t="shared" si="168"/>
        <v>1.7864689384916824E-2</v>
      </c>
      <c r="M660" s="69">
        <v>209</v>
      </c>
      <c r="N660" s="70">
        <f t="shared" si="169"/>
        <v>8.928418858187659E-4</v>
      </c>
      <c r="O660" s="67" t="s">
        <v>21</v>
      </c>
    </row>
    <row r="661" spans="1:15" x14ac:dyDescent="0.3">
      <c r="A661" s="66" t="s">
        <v>19</v>
      </c>
      <c r="B661" s="67" t="s">
        <v>18</v>
      </c>
      <c r="C661" s="67" t="s">
        <v>21</v>
      </c>
      <c r="D661" s="68">
        <v>45072</v>
      </c>
      <c r="E661" s="69">
        <v>332318</v>
      </c>
      <c r="F661" s="70">
        <f t="shared" si="165"/>
        <v>0.99514621537202319</v>
      </c>
      <c r="G661" s="69">
        <v>1613</v>
      </c>
      <c r="H661" s="69">
        <v>119992</v>
      </c>
      <c r="I661" s="70">
        <f t="shared" si="166"/>
        <v>0.36107583699950047</v>
      </c>
      <c r="J661" s="69">
        <v>2391</v>
      </c>
      <c r="K661" s="70">
        <f t="shared" si="167"/>
        <v>7.1949157132625979E-3</v>
      </c>
      <c r="L661" s="70">
        <f t="shared" si="168"/>
        <v>1.9926328421894794E-2</v>
      </c>
      <c r="M661" s="69">
        <v>279</v>
      </c>
      <c r="N661" s="70">
        <f t="shared" si="169"/>
        <v>8.3955729150993923E-4</v>
      </c>
      <c r="O661" s="67" t="s">
        <v>21</v>
      </c>
    </row>
    <row r="662" spans="1:15" x14ac:dyDescent="0.3">
      <c r="A662" s="66" t="s">
        <v>24</v>
      </c>
      <c r="B662" s="67" t="s">
        <v>18</v>
      </c>
      <c r="C662" s="67" t="s">
        <v>21</v>
      </c>
      <c r="D662" s="68">
        <v>45073</v>
      </c>
      <c r="E662" s="69">
        <v>14918</v>
      </c>
      <c r="F662" s="70">
        <f t="shared" si="165"/>
        <v>0.99597801313849044</v>
      </c>
      <c r="G662" s="69">
        <v>60</v>
      </c>
      <c r="H662" s="69">
        <v>4659</v>
      </c>
      <c r="I662" s="70">
        <f t="shared" si="166"/>
        <v>0.31230727979621931</v>
      </c>
      <c r="J662" s="69">
        <v>206</v>
      </c>
      <c r="K662" s="70">
        <f t="shared" si="167"/>
        <v>1.3808821557849578E-2</v>
      </c>
      <c r="L662" s="70">
        <f t="shared" si="168"/>
        <v>4.4215496887744149E-2</v>
      </c>
      <c r="M662" s="69">
        <v>11</v>
      </c>
      <c r="N662" s="70">
        <f t="shared" si="169"/>
        <v>7.3736425794342401E-4</v>
      </c>
      <c r="O662" s="67" t="s">
        <v>21</v>
      </c>
    </row>
    <row r="663" spans="1:15" x14ac:dyDescent="0.3">
      <c r="A663" s="76" t="s">
        <v>352</v>
      </c>
      <c r="B663" s="67" t="s">
        <v>18</v>
      </c>
      <c r="C663" s="67" t="s">
        <v>21</v>
      </c>
      <c r="D663" s="68">
        <v>45075</v>
      </c>
      <c r="E663" s="88">
        <v>2481752</v>
      </c>
      <c r="F663" s="70">
        <f t="shared" si="165"/>
        <v>0.99678050022725884</v>
      </c>
      <c r="G663" s="88">
        <v>7990</v>
      </c>
      <c r="H663" s="88">
        <v>1153095</v>
      </c>
      <c r="I663" s="70">
        <f t="shared" si="166"/>
        <v>0.4646294230849819</v>
      </c>
      <c r="J663" s="69">
        <v>11575</v>
      </c>
      <c r="K663" s="70">
        <f t="shared" si="167"/>
        <v>4.6640437884204388E-3</v>
      </c>
      <c r="L663" s="70">
        <f t="shared" si="168"/>
        <v>1.0038201535866516E-2</v>
      </c>
      <c r="M663" s="69">
        <v>8098</v>
      </c>
      <c r="N663" s="70">
        <f t="shared" si="169"/>
        <v>3.2630174167281823E-3</v>
      </c>
      <c r="O663" s="67" t="s">
        <v>21</v>
      </c>
    </row>
    <row r="664" spans="1:15" x14ac:dyDescent="0.3">
      <c r="A664" s="76" t="s">
        <v>352</v>
      </c>
      <c r="B664" s="67" t="s">
        <v>15</v>
      </c>
      <c r="C664" s="67" t="s">
        <v>21</v>
      </c>
      <c r="D664" s="68">
        <v>45075</v>
      </c>
      <c r="E664" s="88">
        <v>2425899</v>
      </c>
      <c r="F664" s="70">
        <f t="shared" si="165"/>
        <v>0.99596108494211832</v>
      </c>
      <c r="G664" s="88">
        <v>9798</v>
      </c>
      <c r="H664" s="88">
        <v>1122112</v>
      </c>
      <c r="I664" s="70">
        <f t="shared" si="166"/>
        <v>0.46255511874154692</v>
      </c>
      <c r="J664" s="69">
        <v>9114</v>
      </c>
      <c r="K664" s="70">
        <f t="shared" si="167"/>
        <v>3.7569577298972464E-3</v>
      </c>
      <c r="L664" s="70">
        <f t="shared" si="168"/>
        <v>8.1221838818228489E-3</v>
      </c>
      <c r="M664" s="69">
        <v>3095</v>
      </c>
      <c r="N664" s="70">
        <f t="shared" si="169"/>
        <v>1.2758156872977812E-3</v>
      </c>
      <c r="O664" s="67" t="s">
        <v>21</v>
      </c>
    </row>
    <row r="665" spans="1:15" x14ac:dyDescent="0.3">
      <c r="A665" s="76" t="s">
        <v>359</v>
      </c>
      <c r="B665" s="67" t="s">
        <v>15</v>
      </c>
      <c r="C665" s="67" t="s">
        <v>101</v>
      </c>
      <c r="D665" s="68">
        <v>45076</v>
      </c>
      <c r="E665" s="88">
        <v>1310769</v>
      </c>
      <c r="F665" s="70">
        <f t="shared" si="165"/>
        <v>0.99621672468604305</v>
      </c>
      <c r="G665" s="88">
        <v>4959</v>
      </c>
      <c r="H665" s="88">
        <v>456523</v>
      </c>
      <c r="I665" s="70">
        <f t="shared" si="166"/>
        <v>0.3482863876091058</v>
      </c>
      <c r="J665" s="69">
        <v>5249</v>
      </c>
      <c r="K665" s="70">
        <f t="shared" si="167"/>
        <v>4.004519484363759E-3</v>
      </c>
      <c r="L665" s="70">
        <f t="shared" si="168"/>
        <v>1.1497777768042354E-2</v>
      </c>
      <c r="M665" s="69">
        <v>658</v>
      </c>
      <c r="N665" s="70">
        <f t="shared" si="169"/>
        <v>5.0199539354378998E-4</v>
      </c>
      <c r="O665" s="67" t="s">
        <v>101</v>
      </c>
    </row>
    <row r="666" spans="1:15" x14ac:dyDescent="0.3">
      <c r="A666" s="76" t="s">
        <v>360</v>
      </c>
      <c r="B666" s="67" t="s">
        <v>15</v>
      </c>
      <c r="C666" s="67" t="s">
        <v>101</v>
      </c>
      <c r="D666" s="68">
        <v>45076</v>
      </c>
      <c r="E666" s="88">
        <v>287647</v>
      </c>
      <c r="F666" s="70">
        <f t="shared" si="165"/>
        <v>0.99646789293821947</v>
      </c>
      <c r="G666" s="88">
        <v>1016</v>
      </c>
      <c r="H666" s="88">
        <v>100465</v>
      </c>
      <c r="I666" s="70">
        <f t="shared" si="166"/>
        <v>0.34926489760018353</v>
      </c>
      <c r="J666" s="69">
        <v>424</v>
      </c>
      <c r="K666" s="70">
        <f t="shared" si="167"/>
        <v>1.4740289312942601E-3</v>
      </c>
      <c r="L666" s="70">
        <f t="shared" si="168"/>
        <v>4.2203752550639528E-3</v>
      </c>
      <c r="M666" s="69">
        <v>194</v>
      </c>
      <c r="N666" s="70">
        <f t="shared" si="169"/>
        <v>6.744377657336944E-4</v>
      </c>
      <c r="O666" s="67" t="s">
        <v>101</v>
      </c>
    </row>
    <row r="667" spans="1:15" x14ac:dyDescent="0.3">
      <c r="A667" s="76" t="s">
        <v>361</v>
      </c>
      <c r="B667" s="67" t="s">
        <v>15</v>
      </c>
      <c r="C667" s="67" t="s">
        <v>101</v>
      </c>
      <c r="D667" s="68">
        <v>45076</v>
      </c>
      <c r="E667" s="88">
        <v>450862</v>
      </c>
      <c r="F667" s="70">
        <f t="shared" si="165"/>
        <v>0.99622279100922229</v>
      </c>
      <c r="G667" s="88">
        <v>1703</v>
      </c>
      <c r="H667" s="88">
        <v>156226</v>
      </c>
      <c r="I667" s="70">
        <f t="shared" si="166"/>
        <v>0.34650513904476316</v>
      </c>
      <c r="J667" s="69">
        <v>569</v>
      </c>
      <c r="K667" s="70">
        <f t="shared" si="167"/>
        <v>1.2620269616867245E-3</v>
      </c>
      <c r="L667" s="70">
        <f t="shared" si="168"/>
        <v>3.6421594356893217E-3</v>
      </c>
      <c r="M667" s="69">
        <v>267</v>
      </c>
      <c r="N667" s="70">
        <f t="shared" si="169"/>
        <v>5.9219894335739095E-4</v>
      </c>
      <c r="O667" s="67" t="s">
        <v>101</v>
      </c>
    </row>
    <row r="668" spans="1:15" x14ac:dyDescent="0.3">
      <c r="A668" s="76" t="s">
        <v>17</v>
      </c>
      <c r="B668" s="67" t="s">
        <v>18</v>
      </c>
      <c r="C668" s="67" t="s">
        <v>16</v>
      </c>
      <c r="D668" s="68">
        <v>45076</v>
      </c>
      <c r="E668" s="88">
        <v>466072</v>
      </c>
      <c r="F668" s="70">
        <f t="shared" si="165"/>
        <v>0.9965970922947528</v>
      </c>
      <c r="G668" s="88">
        <v>1586</v>
      </c>
      <c r="H668" s="88">
        <v>179341</v>
      </c>
      <c r="I668" s="70">
        <f t="shared" si="166"/>
        <v>0.38479247841535213</v>
      </c>
      <c r="J668" s="69">
        <v>2007</v>
      </c>
      <c r="K668" s="70">
        <f t="shared" si="167"/>
        <v>4.3062016169175578E-3</v>
      </c>
      <c r="L668" s="70">
        <f t="shared" si="168"/>
        <v>1.1190971389698953E-2</v>
      </c>
      <c r="M668" s="69">
        <v>464</v>
      </c>
      <c r="N668" s="70">
        <f t="shared" si="169"/>
        <v>9.955543349525395E-4</v>
      </c>
      <c r="O668" s="67" t="s">
        <v>16</v>
      </c>
    </row>
    <row r="669" spans="1:15" x14ac:dyDescent="0.3">
      <c r="A669" s="76" t="s">
        <v>17</v>
      </c>
      <c r="B669" s="67" t="s">
        <v>15</v>
      </c>
      <c r="C669" s="67" t="s">
        <v>16</v>
      </c>
      <c r="D669" s="68">
        <v>45076</v>
      </c>
      <c r="E669" s="88">
        <v>240159</v>
      </c>
      <c r="F669" s="70">
        <f t="shared" si="165"/>
        <v>0.99586107537090007</v>
      </c>
      <c r="G669" s="88">
        <v>994</v>
      </c>
      <c r="H669" s="88">
        <v>83019</v>
      </c>
      <c r="I669" s="70">
        <f t="shared" si="166"/>
        <v>0.34568348469139193</v>
      </c>
      <c r="J669" s="69">
        <v>1214</v>
      </c>
      <c r="K669" s="70">
        <f t="shared" si="167"/>
        <v>5.0549844061642491E-3</v>
      </c>
      <c r="L669" s="70">
        <f t="shared" si="168"/>
        <v>1.4623158554065936E-2</v>
      </c>
      <c r="M669" s="69">
        <v>114</v>
      </c>
      <c r="N669" s="70">
        <f t="shared" si="169"/>
        <v>4.746855208424419E-4</v>
      </c>
      <c r="O669" s="67" t="s">
        <v>16</v>
      </c>
    </row>
    <row r="670" spans="1:15" x14ac:dyDescent="0.3">
      <c r="A670" s="76" t="s">
        <v>29</v>
      </c>
      <c r="B670" s="67" t="s">
        <v>18</v>
      </c>
      <c r="C670" s="67" t="s">
        <v>16</v>
      </c>
      <c r="D670" s="68">
        <v>45076</v>
      </c>
      <c r="E670" s="88">
        <v>27485</v>
      </c>
      <c r="F670" s="70">
        <f t="shared" si="165"/>
        <v>0.99687102055666732</v>
      </c>
      <c r="G670" s="88">
        <v>86</v>
      </c>
      <c r="H670" s="88">
        <v>9660</v>
      </c>
      <c r="I670" s="70">
        <f t="shared" si="166"/>
        <v>0.35146443514644349</v>
      </c>
      <c r="J670" s="69">
        <v>131</v>
      </c>
      <c r="K670" s="70">
        <f t="shared" si="167"/>
        <v>4.7662361287975257E-3</v>
      </c>
      <c r="L670" s="70">
        <f t="shared" si="168"/>
        <v>1.3561076604554866E-2</v>
      </c>
      <c r="M670" s="69">
        <v>21</v>
      </c>
      <c r="N670" s="70">
        <f t="shared" si="169"/>
        <v>7.640531198835729E-4</v>
      </c>
      <c r="O670" s="67" t="s">
        <v>16</v>
      </c>
    </row>
    <row r="671" spans="1:15" x14ac:dyDescent="0.3">
      <c r="A671" s="76" t="s">
        <v>29</v>
      </c>
      <c r="B671" s="67" t="s">
        <v>15</v>
      </c>
      <c r="C671" s="67" t="s">
        <v>16</v>
      </c>
      <c r="D671" s="68">
        <v>45076</v>
      </c>
      <c r="E671" s="88">
        <v>26485</v>
      </c>
      <c r="F671" s="70">
        <f t="shared" si="165"/>
        <v>0.99463847460826882</v>
      </c>
      <c r="G671" s="88">
        <v>142</v>
      </c>
      <c r="H671" s="88">
        <v>8841</v>
      </c>
      <c r="I671" s="70">
        <f t="shared" si="166"/>
        <v>0.33381159146686806</v>
      </c>
      <c r="J671" s="69">
        <v>187</v>
      </c>
      <c r="K671" s="70">
        <f t="shared" si="167"/>
        <v>7.0606003398149897E-3</v>
      </c>
      <c r="L671" s="70">
        <f t="shared" si="168"/>
        <v>2.1151453455491461E-2</v>
      </c>
      <c r="M671" s="69">
        <v>9</v>
      </c>
      <c r="N671" s="70">
        <f t="shared" si="169"/>
        <v>3.3981498961676421E-4</v>
      </c>
      <c r="O671" s="67" t="s">
        <v>16</v>
      </c>
    </row>
    <row r="672" spans="1:15" x14ac:dyDescent="0.3">
      <c r="A672" s="76" t="s">
        <v>353</v>
      </c>
      <c r="B672" s="67" t="s">
        <v>15</v>
      </c>
      <c r="C672" s="67" t="s">
        <v>16</v>
      </c>
      <c r="D672" s="68">
        <v>45077</v>
      </c>
      <c r="E672" s="88">
        <v>258019</v>
      </c>
      <c r="F672" s="70">
        <f t="shared" si="165"/>
        <v>0.9964343711122049</v>
      </c>
      <c r="G672" s="88">
        <v>920</v>
      </c>
      <c r="H672" s="88">
        <v>100166</v>
      </c>
      <c r="I672" s="70">
        <f t="shared" si="166"/>
        <v>0.38821172084226357</v>
      </c>
      <c r="J672" s="69">
        <v>1345</v>
      </c>
      <c r="K672" s="70">
        <f t="shared" si="167"/>
        <v>5.2127944066134666E-3</v>
      </c>
      <c r="L672" s="70">
        <f t="shared" si="168"/>
        <v>1.342771000139768E-2</v>
      </c>
      <c r="M672" s="69">
        <v>294</v>
      </c>
      <c r="N672" s="70">
        <f t="shared" si="169"/>
        <v>1.1394509706649509E-3</v>
      </c>
      <c r="O672" s="67" t="s">
        <v>16</v>
      </c>
    </row>
    <row r="673" spans="1:15" x14ac:dyDescent="0.3">
      <c r="A673" s="76" t="s">
        <v>354</v>
      </c>
      <c r="B673" s="67" t="s">
        <v>15</v>
      </c>
      <c r="C673" s="67" t="s">
        <v>16</v>
      </c>
      <c r="D673" s="68">
        <v>45077</v>
      </c>
      <c r="E673" s="88">
        <v>8297</v>
      </c>
      <c r="F673" s="70">
        <f t="shared" si="165"/>
        <v>0.99529950584548632</v>
      </c>
      <c r="G673" s="88">
        <v>39</v>
      </c>
      <c r="H673" s="88">
        <v>3122</v>
      </c>
      <c r="I673" s="70">
        <f t="shared" si="166"/>
        <v>0.37628058334337711</v>
      </c>
      <c r="J673" s="69">
        <v>56</v>
      </c>
      <c r="K673" s="70">
        <f t="shared" si="167"/>
        <v>6.7494275039170788E-3</v>
      </c>
      <c r="L673" s="70">
        <f t="shared" si="168"/>
        <v>1.7937219730941704E-2</v>
      </c>
      <c r="M673" s="69">
        <v>1</v>
      </c>
      <c r="N673" s="70">
        <f t="shared" si="169"/>
        <v>1.205254911413764E-4</v>
      </c>
      <c r="O673" s="67" t="s">
        <v>16</v>
      </c>
    </row>
    <row r="674" spans="1:15" x14ac:dyDescent="0.3">
      <c r="A674" s="76" t="s">
        <v>362</v>
      </c>
      <c r="B674" s="67" t="s">
        <v>15</v>
      </c>
      <c r="C674" s="67" t="s">
        <v>16</v>
      </c>
      <c r="D674" s="68">
        <v>45077</v>
      </c>
      <c r="E674" s="88">
        <v>257961</v>
      </c>
      <c r="F674" s="70">
        <f t="shared" si="165"/>
        <v>0.99632502587600447</v>
      </c>
      <c r="G674" s="88">
        <v>948</v>
      </c>
      <c r="H674" s="88">
        <v>97125</v>
      </c>
      <c r="I674" s="70">
        <f t="shared" si="166"/>
        <v>0.37651040273529718</v>
      </c>
      <c r="J674" s="69">
        <v>1066</v>
      </c>
      <c r="K674" s="70">
        <f t="shared" si="167"/>
        <v>4.1324076120033649E-3</v>
      </c>
      <c r="L674" s="70">
        <f t="shared" si="168"/>
        <v>1.0975546975546976E-2</v>
      </c>
      <c r="M674" s="69">
        <v>274</v>
      </c>
      <c r="N674" s="70">
        <f t="shared" si="169"/>
        <v>1.0621760653742231E-3</v>
      </c>
      <c r="O674" s="67" t="s">
        <v>16</v>
      </c>
    </row>
    <row r="675" spans="1:15" x14ac:dyDescent="0.3">
      <c r="A675" s="76" t="s">
        <v>363</v>
      </c>
      <c r="B675" s="67" t="s">
        <v>15</v>
      </c>
      <c r="C675" s="67" t="s">
        <v>16</v>
      </c>
      <c r="D675" s="68">
        <v>45077</v>
      </c>
      <c r="E675" s="88">
        <v>8311</v>
      </c>
      <c r="F675" s="70">
        <f t="shared" si="165"/>
        <v>0.99614968114546987</v>
      </c>
      <c r="G675" s="88">
        <v>32</v>
      </c>
      <c r="H675" s="88">
        <v>3266</v>
      </c>
      <c r="I675" s="70">
        <f t="shared" si="166"/>
        <v>0.39297316809048249</v>
      </c>
      <c r="J675" s="69">
        <v>45</v>
      </c>
      <c r="K675" s="70">
        <f t="shared" si="167"/>
        <v>5.4145108891830102E-3</v>
      </c>
      <c r="L675" s="70">
        <f t="shared" si="168"/>
        <v>1.3778322106552358E-2</v>
      </c>
      <c r="M675" s="69">
        <v>1</v>
      </c>
      <c r="N675" s="70">
        <f t="shared" si="169"/>
        <v>1.203224642040669E-4</v>
      </c>
      <c r="O675" s="67" t="s">
        <v>16</v>
      </c>
    </row>
    <row r="676" spans="1:15" x14ac:dyDescent="0.3">
      <c r="A676" s="76" t="s">
        <v>365</v>
      </c>
      <c r="B676" s="67" t="s">
        <v>15</v>
      </c>
      <c r="C676" s="67" t="s">
        <v>16</v>
      </c>
      <c r="D676" s="68">
        <v>45077</v>
      </c>
      <c r="E676" s="88">
        <v>195664</v>
      </c>
      <c r="F676" s="70">
        <f t="shared" si="165"/>
        <v>0.99633555482868597</v>
      </c>
      <c r="G676" s="88">
        <v>717</v>
      </c>
      <c r="H676" s="88">
        <v>86760</v>
      </c>
      <c r="I676" s="70">
        <f t="shared" si="166"/>
        <v>0.44341319813557933</v>
      </c>
      <c r="J676" s="69">
        <v>1136</v>
      </c>
      <c r="K676" s="70">
        <f t="shared" si="167"/>
        <v>5.8058712895576086E-3</v>
      </c>
      <c r="L676" s="70">
        <f t="shared" si="168"/>
        <v>1.3093591516828032E-2</v>
      </c>
      <c r="M676" s="69">
        <v>151</v>
      </c>
      <c r="N676" s="70">
        <f t="shared" si="169"/>
        <v>7.7173113091830896E-4</v>
      </c>
      <c r="O676" s="67" t="s">
        <v>16</v>
      </c>
    </row>
    <row r="677" spans="1:15" x14ac:dyDescent="0.3">
      <c r="A677" s="76" t="s">
        <v>364</v>
      </c>
      <c r="B677" s="67" t="s">
        <v>15</v>
      </c>
      <c r="C677" s="67" t="s">
        <v>16</v>
      </c>
      <c r="D677" s="68">
        <v>45077</v>
      </c>
      <c r="E677" s="88">
        <v>8820</v>
      </c>
      <c r="F677" s="70">
        <f t="shared" si="165"/>
        <v>0.99591836734693873</v>
      </c>
      <c r="G677" s="88">
        <v>36</v>
      </c>
      <c r="H677" s="88">
        <v>2854</v>
      </c>
      <c r="I677" s="70">
        <f t="shared" si="166"/>
        <v>0.3235827664399093</v>
      </c>
      <c r="J677" s="69">
        <v>48</v>
      </c>
      <c r="K677" s="70">
        <f t="shared" si="167"/>
        <v>5.4421768707482989E-3</v>
      </c>
      <c r="L677" s="70">
        <f t="shared" si="168"/>
        <v>1.6818500350385426E-2</v>
      </c>
      <c r="M677" s="69">
        <v>1</v>
      </c>
      <c r="N677" s="70">
        <f t="shared" si="169"/>
        <v>1.1337868480725624E-4</v>
      </c>
      <c r="O677" s="67" t="s">
        <v>16</v>
      </c>
    </row>
    <row r="678" spans="1:15" x14ac:dyDescent="0.3">
      <c r="A678" s="76" t="s">
        <v>366</v>
      </c>
      <c r="B678" s="67" t="s">
        <v>15</v>
      </c>
      <c r="C678" s="67" t="s">
        <v>16</v>
      </c>
      <c r="D678" s="68">
        <v>45077</v>
      </c>
      <c r="E678" s="88">
        <v>195645</v>
      </c>
      <c r="F678" s="70">
        <f t="shared" si="165"/>
        <v>0.99621763909121108</v>
      </c>
      <c r="G678" s="88">
        <v>740</v>
      </c>
      <c r="H678" s="88">
        <v>72047</v>
      </c>
      <c r="I678" s="70">
        <f t="shared" si="166"/>
        <v>0.36825372485880037</v>
      </c>
      <c r="J678" s="69">
        <v>642</v>
      </c>
      <c r="K678" s="70">
        <f t="shared" si="167"/>
        <v>3.2814536533006212E-3</v>
      </c>
      <c r="L678" s="70">
        <f t="shared" si="168"/>
        <v>8.9108498618957078E-3</v>
      </c>
      <c r="M678" s="69">
        <v>129</v>
      </c>
      <c r="N678" s="70">
        <f t="shared" si="169"/>
        <v>6.5935750977535838E-4</v>
      </c>
      <c r="O678" s="67" t="s">
        <v>16</v>
      </c>
    </row>
    <row r="679" spans="1:15" x14ac:dyDescent="0.3">
      <c r="A679" s="76" t="s">
        <v>367</v>
      </c>
      <c r="B679" s="67" t="s">
        <v>15</v>
      </c>
      <c r="C679" s="67" t="s">
        <v>16</v>
      </c>
      <c r="D679" s="68">
        <v>45077</v>
      </c>
      <c r="E679" s="88">
        <v>8822</v>
      </c>
      <c r="F679" s="70">
        <f t="shared" si="165"/>
        <v>0.99625935162094759</v>
      </c>
      <c r="G679" s="88">
        <v>33</v>
      </c>
      <c r="H679" s="88">
        <v>2924</v>
      </c>
      <c r="I679" s="70">
        <f t="shared" si="166"/>
        <v>0.33144411698027659</v>
      </c>
      <c r="J679" s="69">
        <v>40</v>
      </c>
      <c r="K679" s="70">
        <f t="shared" si="167"/>
        <v>4.534119247336205E-3</v>
      </c>
      <c r="L679" s="70">
        <f t="shared" si="168"/>
        <v>1.3679890560875513E-2</v>
      </c>
      <c r="M679" s="69">
        <v>2</v>
      </c>
      <c r="N679" s="70">
        <f t="shared" si="169"/>
        <v>2.2670596236681024E-4</v>
      </c>
      <c r="O679" s="67" t="s">
        <v>16</v>
      </c>
    </row>
    <row r="680" spans="1:15" x14ac:dyDescent="0.3">
      <c r="A680" s="76" t="s">
        <v>26</v>
      </c>
      <c r="B680" s="67"/>
      <c r="C680" s="67" t="s">
        <v>23</v>
      </c>
      <c r="D680" s="68">
        <v>45078</v>
      </c>
      <c r="E680" s="88">
        <v>1642</v>
      </c>
      <c r="F680" s="70">
        <f t="shared" si="165"/>
        <v>0.99878197320341044</v>
      </c>
      <c r="G680" s="88">
        <v>2</v>
      </c>
      <c r="H680" s="88">
        <v>592</v>
      </c>
      <c r="I680" s="70">
        <f t="shared" si="166"/>
        <v>0.36053593179049936</v>
      </c>
      <c r="J680" s="69">
        <v>16</v>
      </c>
      <c r="K680" s="70">
        <f t="shared" si="167"/>
        <v>9.7442143727161992E-3</v>
      </c>
      <c r="L680" s="70">
        <f t="shared" si="168"/>
        <v>2.7027027027027029E-2</v>
      </c>
      <c r="M680" s="69">
        <v>0</v>
      </c>
      <c r="N680" s="70">
        <f t="shared" si="169"/>
        <v>0</v>
      </c>
      <c r="O680" s="67" t="s">
        <v>23</v>
      </c>
    </row>
    <row r="681" spans="1:15" x14ac:dyDescent="0.3">
      <c r="A681" s="76" t="s">
        <v>35</v>
      </c>
      <c r="B681" s="67" t="s">
        <v>15</v>
      </c>
      <c r="C681" s="67" t="s">
        <v>30</v>
      </c>
      <c r="D681" s="68">
        <v>45078</v>
      </c>
      <c r="E681" s="88">
        <v>85165</v>
      </c>
      <c r="F681" s="70">
        <f t="shared" si="165"/>
        <v>0.97362766394645683</v>
      </c>
      <c r="G681" s="88">
        <v>2246</v>
      </c>
      <c r="H681" s="88">
        <v>36569</v>
      </c>
      <c r="I681" s="70">
        <f t="shared" si="166"/>
        <v>0.42939000763224328</v>
      </c>
      <c r="J681" s="69">
        <v>3507</v>
      </c>
      <c r="K681" s="70">
        <f t="shared" si="167"/>
        <v>4.1178888040861859E-2</v>
      </c>
      <c r="L681" s="70">
        <f t="shared" si="168"/>
        <v>9.5900899669118647E-2</v>
      </c>
      <c r="M681" s="69">
        <v>300</v>
      </c>
      <c r="N681" s="70">
        <f t="shared" si="169"/>
        <v>3.5225738272764632E-3</v>
      </c>
      <c r="O681" s="67" t="s">
        <v>31</v>
      </c>
    </row>
    <row r="682" spans="1:15" x14ac:dyDescent="0.3">
      <c r="A682" s="76" t="s">
        <v>34</v>
      </c>
      <c r="B682" s="67" t="s">
        <v>15</v>
      </c>
      <c r="C682" s="67" t="s">
        <v>30</v>
      </c>
      <c r="D682" s="68">
        <v>45078</v>
      </c>
      <c r="E682" s="88">
        <v>9428</v>
      </c>
      <c r="F682" s="70">
        <f t="shared" si="165"/>
        <v>0.98016546457361053</v>
      </c>
      <c r="G682" s="88">
        <v>187</v>
      </c>
      <c r="H682" s="88">
        <v>3260</v>
      </c>
      <c r="I682" s="70">
        <f t="shared" si="166"/>
        <v>0.3457785320322444</v>
      </c>
      <c r="J682" s="69">
        <v>431</v>
      </c>
      <c r="K682" s="70">
        <f t="shared" si="167"/>
        <v>4.5714891811624948E-2</v>
      </c>
      <c r="L682" s="70">
        <f t="shared" si="168"/>
        <v>0.1322085889570552</v>
      </c>
      <c r="M682" s="69">
        <v>23</v>
      </c>
      <c r="N682" s="70">
        <f t="shared" si="169"/>
        <v>2.43954179041154E-3</v>
      </c>
      <c r="O682" s="67" t="s">
        <v>31</v>
      </c>
    </row>
    <row r="683" spans="1:15" x14ac:dyDescent="0.3">
      <c r="A683" s="76" t="s">
        <v>355</v>
      </c>
      <c r="B683" s="67" t="s">
        <v>18</v>
      </c>
      <c r="C683" s="67" t="s">
        <v>16</v>
      </c>
      <c r="D683" s="68">
        <v>45078</v>
      </c>
      <c r="E683" s="88">
        <v>777819</v>
      </c>
      <c r="F683" s="70">
        <f t="shared" si="165"/>
        <v>0.99682445401822273</v>
      </c>
      <c r="G683" s="88">
        <v>2470</v>
      </c>
      <c r="H683" s="88">
        <v>278042</v>
      </c>
      <c r="I683" s="70">
        <f t="shared" si="166"/>
        <v>0.35746362585640101</v>
      </c>
      <c r="J683" s="69">
        <v>3021</v>
      </c>
      <c r="K683" s="70">
        <f t="shared" si="167"/>
        <v>3.8839370084814075E-3</v>
      </c>
      <c r="L683" s="70">
        <f t="shared" si="168"/>
        <v>1.0865264959970077E-2</v>
      </c>
      <c r="M683" s="69">
        <v>1201</v>
      </c>
      <c r="N683" s="70">
        <f t="shared" si="169"/>
        <v>1.544061021908696E-3</v>
      </c>
      <c r="O683" s="67" t="s">
        <v>16</v>
      </c>
    </row>
    <row r="684" spans="1:15" x14ac:dyDescent="0.3">
      <c r="A684" s="76" t="s">
        <v>355</v>
      </c>
      <c r="B684" s="67" t="s">
        <v>15</v>
      </c>
      <c r="C684" s="67" t="s">
        <v>16</v>
      </c>
      <c r="D684" s="68">
        <v>45078</v>
      </c>
      <c r="E684" s="88">
        <v>952046</v>
      </c>
      <c r="F684" s="70">
        <f t="shared" si="165"/>
        <v>0.99643504620575052</v>
      </c>
      <c r="G684" s="88">
        <v>3394</v>
      </c>
      <c r="H684" s="88">
        <v>390491</v>
      </c>
      <c r="I684" s="70">
        <f t="shared" si="166"/>
        <v>0.41015980320278644</v>
      </c>
      <c r="J684" s="69">
        <v>3987</v>
      </c>
      <c r="K684" s="70">
        <f t="shared" si="167"/>
        <v>4.1878228572989123E-3</v>
      </c>
      <c r="L684" s="70">
        <f t="shared" si="168"/>
        <v>1.0210222514731453E-2</v>
      </c>
      <c r="M684" s="69">
        <v>748</v>
      </c>
      <c r="N684" s="70">
        <f t="shared" si="169"/>
        <v>7.8567632236257491E-4</v>
      </c>
      <c r="O684" s="67" t="s">
        <v>16</v>
      </c>
    </row>
    <row r="685" spans="1:15" x14ac:dyDescent="0.3">
      <c r="A685" s="76" t="s">
        <v>356</v>
      </c>
      <c r="B685" s="67" t="s">
        <v>18</v>
      </c>
      <c r="C685" s="67" t="s">
        <v>16</v>
      </c>
      <c r="D685" s="68">
        <v>45078</v>
      </c>
      <c r="E685" s="88">
        <v>56372</v>
      </c>
      <c r="F685" s="70">
        <f t="shared" si="165"/>
        <v>0.99652309657276661</v>
      </c>
      <c r="G685" s="88">
        <v>196</v>
      </c>
      <c r="H685" s="88">
        <v>15882</v>
      </c>
      <c r="I685" s="70">
        <f t="shared" si="166"/>
        <v>0.28173561342510467</v>
      </c>
      <c r="J685" s="69">
        <v>179</v>
      </c>
      <c r="K685" s="70">
        <f t="shared" si="167"/>
        <v>3.1753352728304831E-3</v>
      </c>
      <c r="L685" s="70">
        <f t="shared" si="168"/>
        <v>1.1270620828611006E-2</v>
      </c>
      <c r="M685" s="69">
        <v>77</v>
      </c>
      <c r="N685" s="70">
        <f t="shared" si="169"/>
        <v>1.365926346413113E-3</v>
      </c>
      <c r="O685" s="67" t="s">
        <v>16</v>
      </c>
    </row>
    <row r="686" spans="1:15" x14ac:dyDescent="0.3">
      <c r="A686" s="76" t="s">
        <v>356</v>
      </c>
      <c r="B686" s="67" t="s">
        <v>15</v>
      </c>
      <c r="C686" s="67" t="s">
        <v>16</v>
      </c>
      <c r="D686" s="68">
        <v>45078</v>
      </c>
      <c r="E686" s="88">
        <v>49791</v>
      </c>
      <c r="F686" s="70">
        <f t="shared" si="165"/>
        <v>0.99568195055331288</v>
      </c>
      <c r="G686" s="88">
        <v>215</v>
      </c>
      <c r="H686" s="88">
        <v>15141</v>
      </c>
      <c r="I686" s="70">
        <f t="shared" si="166"/>
        <v>0.30409110080134966</v>
      </c>
      <c r="J686" s="69">
        <v>115</v>
      </c>
      <c r="K686" s="70">
        <f t="shared" si="167"/>
        <v>2.3096543552047558E-3</v>
      </c>
      <c r="L686" s="70">
        <f t="shared" si="168"/>
        <v>7.5952711181560004E-3</v>
      </c>
      <c r="M686" s="69">
        <v>18</v>
      </c>
      <c r="N686" s="70">
        <f t="shared" si="169"/>
        <v>3.6151111646683137E-4</v>
      </c>
      <c r="O686" s="67" t="s">
        <v>16</v>
      </c>
    </row>
    <row r="687" spans="1:15" x14ac:dyDescent="0.3">
      <c r="A687" s="76" t="s">
        <v>357</v>
      </c>
      <c r="B687" s="67" t="s">
        <v>18</v>
      </c>
      <c r="C687" s="67" t="s">
        <v>16</v>
      </c>
      <c r="D687" s="68">
        <v>45078</v>
      </c>
      <c r="E687" s="88">
        <v>270741</v>
      </c>
      <c r="F687" s="70">
        <f t="shared" si="165"/>
        <v>0.99653174066727979</v>
      </c>
      <c r="G687" s="88">
        <v>939</v>
      </c>
      <c r="H687" s="88">
        <v>105814</v>
      </c>
      <c r="I687" s="70">
        <f t="shared" si="166"/>
        <v>0.39083108949143275</v>
      </c>
      <c r="J687" s="69">
        <v>2135</v>
      </c>
      <c r="K687" s="70">
        <f t="shared" si="167"/>
        <v>7.8857653624681886E-3</v>
      </c>
      <c r="L687" s="70">
        <f t="shared" si="168"/>
        <v>2.01769142079498E-2</v>
      </c>
      <c r="M687" s="69">
        <v>544</v>
      </c>
      <c r="N687" s="70">
        <f t="shared" si="169"/>
        <v>2.0093004014907238E-3</v>
      </c>
      <c r="O687" s="67" t="s">
        <v>16</v>
      </c>
    </row>
    <row r="688" spans="1:15" x14ac:dyDescent="0.3">
      <c r="A688" s="76" t="s">
        <v>357</v>
      </c>
      <c r="B688" s="67" t="s">
        <v>15</v>
      </c>
      <c r="C688" s="67" t="s">
        <v>16</v>
      </c>
      <c r="D688" s="68">
        <v>45078</v>
      </c>
      <c r="E688" s="88">
        <v>340747</v>
      </c>
      <c r="F688" s="70">
        <f t="shared" si="165"/>
        <v>0.99639028370022331</v>
      </c>
      <c r="G688" s="88">
        <v>1230</v>
      </c>
      <c r="H688" s="88">
        <v>130245</v>
      </c>
      <c r="I688" s="70">
        <f t="shared" si="166"/>
        <v>0.38223373940196098</v>
      </c>
      <c r="J688" s="69">
        <v>2677</v>
      </c>
      <c r="K688" s="70">
        <f t="shared" si="167"/>
        <v>7.8562687272375111E-3</v>
      </c>
      <c r="L688" s="70">
        <f t="shared" si="168"/>
        <v>2.0553572114092672E-2</v>
      </c>
      <c r="M688" s="69">
        <v>204</v>
      </c>
      <c r="N688" s="70">
        <f t="shared" si="169"/>
        <v>5.9868465459710573E-4</v>
      </c>
      <c r="O688" s="67" t="s">
        <v>16</v>
      </c>
    </row>
    <row r="689" spans="1:15" x14ac:dyDescent="0.3">
      <c r="A689" s="76" t="s">
        <v>358</v>
      </c>
      <c r="B689" s="67" t="s">
        <v>18</v>
      </c>
      <c r="C689" s="67" t="s">
        <v>16</v>
      </c>
      <c r="D689" s="68">
        <v>45078</v>
      </c>
      <c r="E689" s="88">
        <v>15144</v>
      </c>
      <c r="F689" s="70">
        <f t="shared" si="165"/>
        <v>0.9972266244057052</v>
      </c>
      <c r="G689" s="88">
        <v>42</v>
      </c>
      <c r="H689" s="88">
        <v>4968</v>
      </c>
      <c r="I689" s="70">
        <f t="shared" si="166"/>
        <v>0.32805071315372425</v>
      </c>
      <c r="J689" s="69">
        <v>105</v>
      </c>
      <c r="K689" s="70">
        <f t="shared" si="167"/>
        <v>6.9334389857369253E-3</v>
      </c>
      <c r="L689" s="70">
        <f t="shared" si="168"/>
        <v>2.1135265700483092E-2</v>
      </c>
      <c r="M689" s="69">
        <v>27</v>
      </c>
      <c r="N689" s="70">
        <f t="shared" si="169"/>
        <v>1.7828843106180666E-3</v>
      </c>
      <c r="O689" s="67" t="s">
        <v>16</v>
      </c>
    </row>
    <row r="690" spans="1:15" x14ac:dyDescent="0.3">
      <c r="A690" s="76" t="s">
        <v>358</v>
      </c>
      <c r="B690" s="67" t="s">
        <v>15</v>
      </c>
      <c r="C690" s="67" t="s">
        <v>16</v>
      </c>
      <c r="D690" s="68">
        <v>45078</v>
      </c>
      <c r="E690" s="88">
        <v>9957</v>
      </c>
      <c r="F690" s="70">
        <f t="shared" si="165"/>
        <v>0.99608315757758359</v>
      </c>
      <c r="G690" s="88">
        <v>39</v>
      </c>
      <c r="H690" s="88">
        <v>3378</v>
      </c>
      <c r="I690" s="70">
        <f t="shared" si="166"/>
        <v>0.33925881289545046</v>
      </c>
      <c r="J690" s="69">
        <v>58</v>
      </c>
      <c r="K690" s="70">
        <f t="shared" si="167"/>
        <v>5.8250477051320681E-3</v>
      </c>
      <c r="L690" s="70">
        <f t="shared" si="168"/>
        <v>1.7169923031379514E-2</v>
      </c>
      <c r="M690" s="69">
        <v>7</v>
      </c>
      <c r="N690" s="70">
        <f t="shared" si="169"/>
        <v>7.0302299889524959E-4</v>
      </c>
      <c r="O690" s="67" t="s">
        <v>16</v>
      </c>
    </row>
    <row r="691" spans="1:15" x14ac:dyDescent="0.3">
      <c r="A691" s="76" t="s">
        <v>33</v>
      </c>
      <c r="B691" s="67" t="s">
        <v>18</v>
      </c>
      <c r="C691" s="67" t="s">
        <v>21</v>
      </c>
      <c r="D691" s="68">
        <v>45079</v>
      </c>
      <c r="E691" s="88">
        <v>233832</v>
      </c>
      <c r="F691" s="70">
        <f t="shared" si="165"/>
        <v>0.99743833179376651</v>
      </c>
      <c r="G691" s="88">
        <v>599</v>
      </c>
      <c r="H691" s="88">
        <v>111353</v>
      </c>
      <c r="I691" s="70">
        <f t="shared" si="166"/>
        <v>0.47620941530671596</v>
      </c>
      <c r="J691" s="69">
        <v>1661</v>
      </c>
      <c r="K691" s="70">
        <f t="shared" si="167"/>
        <v>7.1033904683704538E-3</v>
      </c>
      <c r="L691" s="70">
        <f t="shared" si="168"/>
        <v>1.4916526721327669E-2</v>
      </c>
      <c r="M691" s="69">
        <v>194</v>
      </c>
      <c r="N691" s="70">
        <f t="shared" si="169"/>
        <v>8.2965547914742204E-4</v>
      </c>
      <c r="O691" s="67" t="s">
        <v>21</v>
      </c>
    </row>
    <row r="692" spans="1:15" x14ac:dyDescent="0.3">
      <c r="A692" s="76" t="s">
        <v>19</v>
      </c>
      <c r="B692" s="67" t="s">
        <v>18</v>
      </c>
      <c r="C692" s="67" t="s">
        <v>21</v>
      </c>
      <c r="D692" s="68">
        <v>45079</v>
      </c>
      <c r="E692" s="88">
        <v>332161</v>
      </c>
      <c r="F692" s="70">
        <f t="shared" si="165"/>
        <v>0.99540584234753626</v>
      </c>
      <c r="G692" s="88">
        <v>1526</v>
      </c>
      <c r="H692" s="88">
        <v>127397</v>
      </c>
      <c r="I692" s="70">
        <f t="shared" si="166"/>
        <v>0.38353990986298814</v>
      </c>
      <c r="J692" s="69">
        <v>2215</v>
      </c>
      <c r="K692" s="70">
        <f t="shared" si="167"/>
        <v>6.6684529490217094E-3</v>
      </c>
      <c r="L692" s="70">
        <f t="shared" si="168"/>
        <v>1.738659466078479E-2</v>
      </c>
      <c r="M692" s="69">
        <v>262</v>
      </c>
      <c r="N692" s="70">
        <f t="shared" si="169"/>
        <v>7.8877411857502838E-4</v>
      </c>
      <c r="O692" s="67" t="s">
        <v>21</v>
      </c>
    </row>
    <row r="693" spans="1:15" x14ac:dyDescent="0.3">
      <c r="A693" s="76" t="s">
        <v>22</v>
      </c>
      <c r="B693" s="67" t="s">
        <v>18</v>
      </c>
      <c r="C693" s="67" t="s">
        <v>16</v>
      </c>
      <c r="D693" s="68">
        <v>45079</v>
      </c>
      <c r="E693" s="88">
        <v>2320888</v>
      </c>
      <c r="F693" s="70">
        <f t="shared" si="165"/>
        <v>0.99674995088086971</v>
      </c>
      <c r="G693" s="88">
        <v>7543</v>
      </c>
      <c r="H693" s="88">
        <v>797702</v>
      </c>
      <c r="I693" s="70">
        <f t="shared" si="166"/>
        <v>0.34370551271754607</v>
      </c>
      <c r="J693" s="69">
        <v>9359</v>
      </c>
      <c r="K693" s="70">
        <f t="shared" si="167"/>
        <v>4.0325082468434499E-3</v>
      </c>
      <c r="L693" s="70">
        <f t="shared" si="168"/>
        <v>1.1732451466838493E-2</v>
      </c>
      <c r="M693" s="69">
        <v>3181</v>
      </c>
      <c r="N693" s="70">
        <f t="shared" si="169"/>
        <v>1.3705960821892311E-3</v>
      </c>
      <c r="O693" s="67" t="s">
        <v>16</v>
      </c>
    </row>
    <row r="694" spans="1:15" x14ac:dyDescent="0.3">
      <c r="A694" s="76" t="s">
        <v>22</v>
      </c>
      <c r="B694" s="67" t="s">
        <v>15</v>
      </c>
      <c r="C694" s="67" t="s">
        <v>16</v>
      </c>
      <c r="D694" s="68">
        <v>45079</v>
      </c>
      <c r="E694" s="88">
        <v>2004464</v>
      </c>
      <c r="F694" s="70">
        <f t="shared" si="165"/>
        <v>0.9961815228410188</v>
      </c>
      <c r="G694" s="88">
        <v>7654</v>
      </c>
      <c r="H694" s="88">
        <v>697790</v>
      </c>
      <c r="I694" s="70">
        <f t="shared" si="166"/>
        <v>0.34811800062261034</v>
      </c>
      <c r="J694" s="69">
        <v>7713</v>
      </c>
      <c r="K694" s="70">
        <f t="shared" si="167"/>
        <v>3.8479114616176693E-3</v>
      </c>
      <c r="L694" s="70">
        <f t="shared" si="168"/>
        <v>1.1053468808667364E-2</v>
      </c>
      <c r="M694" s="69">
        <v>1556</v>
      </c>
      <c r="N694" s="70">
        <f t="shared" si="169"/>
        <v>7.7626737122742041E-4</v>
      </c>
      <c r="O694" s="67" t="s">
        <v>16</v>
      </c>
    </row>
    <row r="695" spans="1:15" x14ac:dyDescent="0.3">
      <c r="A695" s="76" t="s">
        <v>28</v>
      </c>
      <c r="B695" s="67" t="s">
        <v>18</v>
      </c>
      <c r="C695" s="67" t="s">
        <v>16</v>
      </c>
      <c r="D695" s="68">
        <v>45079</v>
      </c>
      <c r="E695" s="88">
        <v>207349</v>
      </c>
      <c r="F695" s="70">
        <f t="shared" si="165"/>
        <v>0.99667709996190001</v>
      </c>
      <c r="G695" s="88">
        <v>689</v>
      </c>
      <c r="H695" s="88">
        <v>61389</v>
      </c>
      <c r="I695" s="70">
        <f t="shared" si="166"/>
        <v>0.29606605288667898</v>
      </c>
      <c r="J695" s="69">
        <v>887</v>
      </c>
      <c r="K695" s="70">
        <f t="shared" si="167"/>
        <v>4.2778118052172907E-3</v>
      </c>
      <c r="L695" s="70">
        <f t="shared" si="168"/>
        <v>1.4448842626529183E-2</v>
      </c>
      <c r="M695" s="69">
        <v>300</v>
      </c>
      <c r="N695" s="70">
        <f t="shared" si="169"/>
        <v>1.446836010783751E-3</v>
      </c>
      <c r="O695" s="67" t="s">
        <v>16</v>
      </c>
    </row>
    <row r="696" spans="1:15" x14ac:dyDescent="0.3">
      <c r="A696" s="76" t="s">
        <v>28</v>
      </c>
      <c r="B696" s="67" t="s">
        <v>15</v>
      </c>
      <c r="C696" s="67" t="s">
        <v>16</v>
      </c>
      <c r="D696" s="68">
        <v>45079</v>
      </c>
      <c r="E696" s="88">
        <v>106058</v>
      </c>
      <c r="F696" s="70">
        <f t="shared" si="165"/>
        <v>0.99576646740462771</v>
      </c>
      <c r="G696" s="88">
        <v>449</v>
      </c>
      <c r="H696" s="88">
        <v>31956</v>
      </c>
      <c r="I696" s="70">
        <f t="shared" si="166"/>
        <v>0.30130683211073184</v>
      </c>
      <c r="J696" s="69">
        <v>427</v>
      </c>
      <c r="K696" s="70">
        <f t="shared" si="167"/>
        <v>4.0260989270022064E-3</v>
      </c>
      <c r="L696" s="70">
        <f t="shared" si="168"/>
        <v>1.3362122919013644E-2</v>
      </c>
      <c r="M696" s="69">
        <v>45</v>
      </c>
      <c r="N696" s="70">
        <f t="shared" si="169"/>
        <v>4.2429613984800769E-4</v>
      </c>
      <c r="O696" s="67" t="s">
        <v>16</v>
      </c>
    </row>
    <row r="697" spans="1:15" x14ac:dyDescent="0.3">
      <c r="A697" s="76" t="s">
        <v>37</v>
      </c>
      <c r="B697" s="67" t="s">
        <v>18</v>
      </c>
      <c r="C697" s="67" t="s">
        <v>16</v>
      </c>
      <c r="D697" s="68">
        <v>45080</v>
      </c>
      <c r="E697" s="88">
        <v>21555</v>
      </c>
      <c r="F697" s="70">
        <f t="shared" si="165"/>
        <v>0.99642774298306658</v>
      </c>
      <c r="G697" s="88">
        <v>77</v>
      </c>
      <c r="H697" s="88">
        <v>8360</v>
      </c>
      <c r="I697" s="70">
        <f t="shared" si="166"/>
        <v>0.38784504755277199</v>
      </c>
      <c r="J697" s="69">
        <v>475</v>
      </c>
      <c r="K697" s="70">
        <f t="shared" si="167"/>
        <v>2.2036650429134771E-2</v>
      </c>
      <c r="L697" s="70">
        <f t="shared" si="168"/>
        <v>5.6818181818181816E-2</v>
      </c>
      <c r="M697" s="69">
        <v>28</v>
      </c>
      <c r="N697" s="70">
        <f t="shared" si="169"/>
        <v>1.2990025516121549E-3</v>
      </c>
      <c r="O697" s="67" t="s">
        <v>16</v>
      </c>
    </row>
    <row r="698" spans="1:15" x14ac:dyDescent="0.3">
      <c r="A698" s="76" t="s">
        <v>37</v>
      </c>
      <c r="B698" s="67" t="s">
        <v>15</v>
      </c>
      <c r="C698" s="67" t="s">
        <v>16</v>
      </c>
      <c r="D698" s="68">
        <v>45080</v>
      </c>
      <c r="E698" s="88">
        <v>19657</v>
      </c>
      <c r="F698" s="70">
        <f t="shared" si="165"/>
        <v>0.99679503484763698</v>
      </c>
      <c r="G698" s="88">
        <v>63</v>
      </c>
      <c r="H698" s="88">
        <v>8518</v>
      </c>
      <c r="I698" s="70">
        <f t="shared" si="166"/>
        <v>0.43333163758457549</v>
      </c>
      <c r="J698" s="69">
        <v>756</v>
      </c>
      <c r="K698" s="70">
        <f t="shared" si="167"/>
        <v>3.8459581828356314E-2</v>
      </c>
      <c r="L698" s="70">
        <f t="shared" si="168"/>
        <v>8.8753228457384356E-2</v>
      </c>
      <c r="M698" s="69">
        <v>15</v>
      </c>
      <c r="N698" s="70">
        <f t="shared" si="169"/>
        <v>7.6308694103881572E-4</v>
      </c>
      <c r="O698" s="67" t="s">
        <v>16</v>
      </c>
    </row>
    <row r="699" spans="1:15" x14ac:dyDescent="0.3">
      <c r="A699" s="76" t="s">
        <v>36</v>
      </c>
      <c r="B699" s="67" t="s">
        <v>18</v>
      </c>
      <c r="C699" s="67" t="s">
        <v>16</v>
      </c>
      <c r="D699" s="68">
        <v>45080</v>
      </c>
      <c r="E699" s="88">
        <v>2019</v>
      </c>
      <c r="F699" s="70">
        <f t="shared" si="165"/>
        <v>0.99455175829618625</v>
      </c>
      <c r="G699" s="88">
        <v>11</v>
      </c>
      <c r="H699" s="88">
        <v>838</v>
      </c>
      <c r="I699" s="70">
        <f t="shared" si="166"/>
        <v>0.4150569588905399</v>
      </c>
      <c r="J699" s="69">
        <v>56</v>
      </c>
      <c r="K699" s="70">
        <f t="shared" si="167"/>
        <v>2.7736503219415551E-2</v>
      </c>
      <c r="L699" s="70">
        <f t="shared" si="168"/>
        <v>6.6825775656324582E-2</v>
      </c>
      <c r="M699" s="69">
        <v>7</v>
      </c>
      <c r="N699" s="70">
        <f t="shared" si="169"/>
        <v>3.4670629024269439E-3</v>
      </c>
      <c r="O699" s="67" t="s">
        <v>16</v>
      </c>
    </row>
    <row r="700" spans="1:15" x14ac:dyDescent="0.3">
      <c r="A700" s="76" t="s">
        <v>36</v>
      </c>
      <c r="B700" s="67" t="s">
        <v>15</v>
      </c>
      <c r="C700" s="67" t="s">
        <v>16</v>
      </c>
      <c r="D700" s="68">
        <v>45080</v>
      </c>
      <c r="E700" s="88">
        <v>1906</v>
      </c>
      <c r="F700" s="70">
        <f t="shared" si="165"/>
        <v>0.99632738719832115</v>
      </c>
      <c r="G700" s="88">
        <v>7</v>
      </c>
      <c r="H700" s="88">
        <v>958</v>
      </c>
      <c r="I700" s="70">
        <f t="shared" si="166"/>
        <v>0.50262329485834212</v>
      </c>
      <c r="J700" s="69">
        <v>102</v>
      </c>
      <c r="K700" s="70">
        <f t="shared" si="167"/>
        <v>5.3515215110178385E-2</v>
      </c>
      <c r="L700" s="70">
        <f t="shared" si="168"/>
        <v>0.10647181628392484</v>
      </c>
      <c r="M700" s="69">
        <v>0</v>
      </c>
      <c r="N700" s="70">
        <f t="shared" si="169"/>
        <v>0</v>
      </c>
      <c r="O700" s="67" t="s">
        <v>16</v>
      </c>
    </row>
    <row r="701" spans="1:15" x14ac:dyDescent="0.3">
      <c r="A701" s="76" t="s">
        <v>29</v>
      </c>
      <c r="B701" s="67" t="s">
        <v>18</v>
      </c>
      <c r="C701" s="67" t="s">
        <v>16</v>
      </c>
      <c r="D701" s="68">
        <v>45083</v>
      </c>
      <c r="E701" s="69">
        <v>27567</v>
      </c>
      <c r="F701" s="70">
        <f t="shared" si="165"/>
        <v>0.99684405267167264</v>
      </c>
      <c r="G701" s="67">
        <v>87</v>
      </c>
      <c r="H701" s="69">
        <v>9529</v>
      </c>
      <c r="I701" s="70">
        <f t="shared" si="166"/>
        <v>0.34566692059346321</v>
      </c>
      <c r="J701" s="69">
        <v>190</v>
      </c>
      <c r="K701" s="70">
        <f t="shared" ref="K701:K725" si="170">J701/E701</f>
        <v>6.8922987630137484E-3</v>
      </c>
      <c r="L701" s="70">
        <f t="shared" ref="L701:L725" si="171">J701/H701</f>
        <v>1.993913317242103E-2</v>
      </c>
      <c r="M701" s="69">
        <v>25</v>
      </c>
      <c r="N701" s="70">
        <f t="shared" ref="N701:N725" si="172">M701/E701</f>
        <v>9.0688141618601946E-4</v>
      </c>
      <c r="O701" s="67" t="s">
        <v>16</v>
      </c>
    </row>
    <row r="702" spans="1:15" x14ac:dyDescent="0.3">
      <c r="A702" s="76" t="s">
        <v>29</v>
      </c>
      <c r="B702" s="67" t="s">
        <v>15</v>
      </c>
      <c r="C702" s="67" t="s">
        <v>16</v>
      </c>
      <c r="D702" s="68">
        <v>45083</v>
      </c>
      <c r="E702" s="69">
        <v>26511</v>
      </c>
      <c r="F702" s="70">
        <f t="shared" si="165"/>
        <v>0.99505865489796685</v>
      </c>
      <c r="G702" s="67">
        <v>131</v>
      </c>
      <c r="H702" s="69">
        <v>8974</v>
      </c>
      <c r="I702" s="70">
        <f t="shared" si="166"/>
        <v>0.3385009995850779</v>
      </c>
      <c r="J702" s="69">
        <v>231</v>
      </c>
      <c r="K702" s="70">
        <f t="shared" si="170"/>
        <v>8.7133642638904611E-3</v>
      </c>
      <c r="L702" s="70">
        <f t="shared" si="171"/>
        <v>2.5741029641185648E-2</v>
      </c>
      <c r="M702" s="69">
        <v>11</v>
      </c>
      <c r="N702" s="70">
        <f t="shared" si="172"/>
        <v>4.1492210780430766E-4</v>
      </c>
      <c r="O702" s="67" t="s">
        <v>16</v>
      </c>
    </row>
    <row r="703" spans="1:15" x14ac:dyDescent="0.3">
      <c r="A703" s="76" t="s">
        <v>17</v>
      </c>
      <c r="B703" s="67" t="s">
        <v>15</v>
      </c>
      <c r="C703" s="67" t="s">
        <v>16</v>
      </c>
      <c r="D703" s="68">
        <v>45083</v>
      </c>
      <c r="E703" s="69">
        <v>241761</v>
      </c>
      <c r="F703" s="70">
        <f t="shared" si="165"/>
        <v>0.99558655035344823</v>
      </c>
      <c r="G703" s="67">
        <v>1067</v>
      </c>
      <c r="H703" s="69">
        <v>84542</v>
      </c>
      <c r="I703" s="70">
        <f t="shared" si="166"/>
        <v>0.34969246487233258</v>
      </c>
      <c r="J703" s="69">
        <v>1607</v>
      </c>
      <c r="K703" s="70">
        <f t="shared" si="170"/>
        <v>6.6470605267185357E-3</v>
      </c>
      <c r="L703" s="70">
        <f t="shared" si="171"/>
        <v>1.9008303565091908E-2</v>
      </c>
      <c r="M703" s="69">
        <v>100</v>
      </c>
      <c r="N703" s="70">
        <f t="shared" si="172"/>
        <v>4.1363164447532892E-4</v>
      </c>
      <c r="O703" s="67" t="s">
        <v>16</v>
      </c>
    </row>
    <row r="704" spans="1:15" x14ac:dyDescent="0.3">
      <c r="A704" s="76" t="s">
        <v>17</v>
      </c>
      <c r="B704" s="67" t="s">
        <v>18</v>
      </c>
      <c r="C704" s="67" t="s">
        <v>16</v>
      </c>
      <c r="D704" s="68">
        <v>45083</v>
      </c>
      <c r="E704" s="69">
        <v>469199</v>
      </c>
      <c r="F704" s="70">
        <f t="shared" si="165"/>
        <v>0.99670502281547912</v>
      </c>
      <c r="G704" s="67">
        <v>1546</v>
      </c>
      <c r="H704" s="69">
        <v>176408</v>
      </c>
      <c r="I704" s="70">
        <f t="shared" si="166"/>
        <v>0.37597693089712469</v>
      </c>
      <c r="J704" s="69">
        <v>2434</v>
      </c>
      <c r="K704" s="70">
        <f t="shared" si="170"/>
        <v>5.1875643383724173E-3</v>
      </c>
      <c r="L704" s="70">
        <f t="shared" si="171"/>
        <v>1.3797560201351413E-2</v>
      </c>
      <c r="M704" s="69">
        <v>368</v>
      </c>
      <c r="N704" s="70">
        <f t="shared" si="172"/>
        <v>7.8431539709163914E-4</v>
      </c>
      <c r="O704" s="67" t="s">
        <v>16</v>
      </c>
    </row>
    <row r="705" spans="1:15" x14ac:dyDescent="0.3">
      <c r="A705" s="76" t="s">
        <v>294</v>
      </c>
      <c r="B705" s="67" t="s">
        <v>15</v>
      </c>
      <c r="C705" s="67" t="s">
        <v>21</v>
      </c>
      <c r="D705" s="68">
        <v>45083</v>
      </c>
      <c r="E705" s="69">
        <v>19952</v>
      </c>
      <c r="F705" s="70">
        <f t="shared" si="165"/>
        <v>0.99624097834803527</v>
      </c>
      <c r="G705" s="67">
        <v>75</v>
      </c>
      <c r="H705" s="69">
        <v>7063</v>
      </c>
      <c r="I705" s="70">
        <f t="shared" si="166"/>
        <v>0.35399959903769046</v>
      </c>
      <c r="J705" s="69">
        <v>80</v>
      </c>
      <c r="K705" s="70">
        <f t="shared" si="170"/>
        <v>4.0096230954290296E-3</v>
      </c>
      <c r="L705" s="70">
        <f t="shared" si="171"/>
        <v>1.132663174288546E-2</v>
      </c>
      <c r="M705" s="69">
        <v>18</v>
      </c>
      <c r="N705" s="70">
        <f t="shared" si="172"/>
        <v>9.0216519647153166E-4</v>
      </c>
      <c r="O705" s="67" t="s">
        <v>21</v>
      </c>
    </row>
    <row r="706" spans="1:15" x14ac:dyDescent="0.3">
      <c r="A706" s="76" t="s">
        <v>294</v>
      </c>
      <c r="B706" s="67" t="s">
        <v>18</v>
      </c>
      <c r="C706" s="67" t="s">
        <v>21</v>
      </c>
      <c r="D706" s="68">
        <v>45083</v>
      </c>
      <c r="E706" s="69">
        <v>19377</v>
      </c>
      <c r="F706" s="70">
        <f t="shared" ref="F706:F725" si="173">(E706-G706)/E706</f>
        <v>0.99710997574443927</v>
      </c>
      <c r="G706" s="67">
        <v>56</v>
      </c>
      <c r="H706" s="69">
        <v>6271</v>
      </c>
      <c r="I706" s="70">
        <f t="shared" ref="I706:I725" si="174">H706/E706</f>
        <v>0.32363110904680809</v>
      </c>
      <c r="J706" s="69">
        <v>74</v>
      </c>
      <c r="K706" s="70">
        <f t="shared" si="170"/>
        <v>3.818960623419518E-3</v>
      </c>
      <c r="L706" s="70">
        <f t="shared" si="171"/>
        <v>1.1800350821240632E-2</v>
      </c>
      <c r="M706" s="69">
        <v>27</v>
      </c>
      <c r="N706" s="70">
        <f t="shared" si="172"/>
        <v>1.3934045517882026E-3</v>
      </c>
      <c r="O706" s="67" t="s">
        <v>21</v>
      </c>
    </row>
    <row r="707" spans="1:15" x14ac:dyDescent="0.3">
      <c r="A707" s="76" t="s">
        <v>293</v>
      </c>
      <c r="B707" s="67" t="s">
        <v>15</v>
      </c>
      <c r="C707" s="67" t="s">
        <v>21</v>
      </c>
      <c r="D707" s="68">
        <v>45083</v>
      </c>
      <c r="E707" s="69">
        <v>328632</v>
      </c>
      <c r="F707" s="70">
        <f t="shared" si="173"/>
        <v>0.99668626305411523</v>
      </c>
      <c r="G707" s="67">
        <v>1089</v>
      </c>
      <c r="H707" s="69">
        <v>142276</v>
      </c>
      <c r="I707" s="70">
        <f t="shared" si="174"/>
        <v>0.43293410258282822</v>
      </c>
      <c r="J707" s="69">
        <v>1477</v>
      </c>
      <c r="K707" s="70">
        <f t="shared" si="170"/>
        <v>4.4943888604883275E-3</v>
      </c>
      <c r="L707" s="70">
        <f t="shared" si="171"/>
        <v>1.0381230847085945E-2</v>
      </c>
      <c r="M707" s="69">
        <v>236</v>
      </c>
      <c r="N707" s="70">
        <f t="shared" si="172"/>
        <v>7.1812848414031503E-4</v>
      </c>
      <c r="O707" s="67" t="s">
        <v>21</v>
      </c>
    </row>
    <row r="708" spans="1:15" x14ac:dyDescent="0.3">
      <c r="A708" s="76" t="s">
        <v>293</v>
      </c>
      <c r="B708" s="67" t="s">
        <v>18</v>
      </c>
      <c r="C708" s="67" t="s">
        <v>21</v>
      </c>
      <c r="D708" s="68">
        <v>45083</v>
      </c>
      <c r="E708" s="69">
        <v>230568</v>
      </c>
      <c r="F708" s="70">
        <f t="shared" si="173"/>
        <v>0.99710714409631862</v>
      </c>
      <c r="G708" s="67">
        <v>667</v>
      </c>
      <c r="H708" s="69">
        <v>87841</v>
      </c>
      <c r="I708" s="70">
        <f t="shared" si="174"/>
        <v>0.38097654488046911</v>
      </c>
      <c r="J708" s="69">
        <v>989</v>
      </c>
      <c r="K708" s="70">
        <f t="shared" si="170"/>
        <v>4.2894070295964749E-3</v>
      </c>
      <c r="L708" s="70">
        <f t="shared" si="171"/>
        <v>1.1258979292130098E-2</v>
      </c>
      <c r="M708" s="69">
        <v>361</v>
      </c>
      <c r="N708" s="70">
        <f t="shared" si="172"/>
        <v>1.5656986225321813E-3</v>
      </c>
      <c r="O708" s="67" t="s">
        <v>21</v>
      </c>
    </row>
    <row r="709" spans="1:15" x14ac:dyDescent="0.3">
      <c r="A709" s="76" t="s">
        <v>372</v>
      </c>
      <c r="B709" s="67" t="s">
        <v>15</v>
      </c>
      <c r="C709" s="67" t="s">
        <v>30</v>
      </c>
      <c r="D709" s="68">
        <v>45084</v>
      </c>
      <c r="E709" s="69">
        <v>5243</v>
      </c>
      <c r="F709" s="70">
        <f t="shared" si="173"/>
        <v>0.99713904253290098</v>
      </c>
      <c r="G709" s="67">
        <v>15</v>
      </c>
      <c r="H709" s="69">
        <v>3042</v>
      </c>
      <c r="I709" s="70">
        <f t="shared" si="174"/>
        <v>0.58020217432767496</v>
      </c>
      <c r="J709" s="69">
        <v>732</v>
      </c>
      <c r="K709" s="70">
        <f t="shared" si="170"/>
        <v>0.13961472439443068</v>
      </c>
      <c r="L709" s="70">
        <f t="shared" si="171"/>
        <v>0.24063116370808679</v>
      </c>
      <c r="M709" s="69">
        <v>2</v>
      </c>
      <c r="N709" s="70">
        <f t="shared" si="172"/>
        <v>3.8146099561319857E-4</v>
      </c>
      <c r="O709" s="67" t="s">
        <v>31</v>
      </c>
    </row>
    <row r="710" spans="1:15" x14ac:dyDescent="0.3">
      <c r="A710" s="76" t="s">
        <v>32</v>
      </c>
      <c r="B710" s="67"/>
      <c r="C710" s="67" t="s">
        <v>23</v>
      </c>
      <c r="D710" s="68">
        <v>45084</v>
      </c>
      <c r="E710" s="69">
        <v>259</v>
      </c>
      <c r="F710" s="70">
        <f t="shared" si="173"/>
        <v>1</v>
      </c>
      <c r="G710" s="67">
        <v>0</v>
      </c>
      <c r="H710" s="69">
        <v>94</v>
      </c>
      <c r="I710" s="70">
        <f t="shared" si="174"/>
        <v>0.36293436293436293</v>
      </c>
      <c r="J710" s="69">
        <v>6</v>
      </c>
      <c r="K710" s="70">
        <f t="shared" si="170"/>
        <v>2.3166023166023165E-2</v>
      </c>
      <c r="L710" s="70">
        <f t="shared" si="171"/>
        <v>6.3829787234042548E-2</v>
      </c>
      <c r="M710" s="69">
        <v>0</v>
      </c>
      <c r="N710" s="70">
        <f t="shared" si="172"/>
        <v>0</v>
      </c>
      <c r="O710" s="67" t="s">
        <v>23</v>
      </c>
    </row>
    <row r="711" spans="1:15" x14ac:dyDescent="0.3">
      <c r="A711" s="66" t="s">
        <v>26</v>
      </c>
      <c r="B711" s="67"/>
      <c r="C711" s="67" t="s">
        <v>23</v>
      </c>
      <c r="D711" s="68">
        <v>45085</v>
      </c>
      <c r="E711" s="69">
        <v>1642</v>
      </c>
      <c r="F711" s="70">
        <f t="shared" si="173"/>
        <v>0.99817295980511567</v>
      </c>
      <c r="G711" s="67">
        <v>3</v>
      </c>
      <c r="H711" s="69">
        <v>560</v>
      </c>
      <c r="I711" s="70">
        <f t="shared" si="174"/>
        <v>0.34104750304506698</v>
      </c>
      <c r="J711" s="69">
        <v>20</v>
      </c>
      <c r="K711" s="70">
        <f t="shared" si="170"/>
        <v>1.2180267965895249E-2</v>
      </c>
      <c r="L711" s="70">
        <f t="shared" si="171"/>
        <v>3.5714285714285712E-2</v>
      </c>
      <c r="M711" s="69">
        <v>0</v>
      </c>
      <c r="N711" s="70">
        <f t="shared" si="172"/>
        <v>0</v>
      </c>
      <c r="O711" s="67" t="s">
        <v>23</v>
      </c>
    </row>
    <row r="712" spans="1:15" x14ac:dyDescent="0.3">
      <c r="A712" s="76" t="s">
        <v>368</v>
      </c>
      <c r="B712" s="67" t="s">
        <v>18</v>
      </c>
      <c r="C712" s="67" t="s">
        <v>16</v>
      </c>
      <c r="D712" s="68">
        <v>45086</v>
      </c>
      <c r="E712" s="69">
        <v>199685</v>
      </c>
      <c r="F712" s="70">
        <f t="shared" si="173"/>
        <v>0.99670981796329217</v>
      </c>
      <c r="G712" s="67">
        <v>657</v>
      </c>
      <c r="H712" s="69">
        <v>71319</v>
      </c>
      <c r="I712" s="70">
        <f t="shared" si="174"/>
        <v>0.35715752309888071</v>
      </c>
      <c r="J712" s="69">
        <v>767</v>
      </c>
      <c r="K712" s="70">
        <f t="shared" si="170"/>
        <v>3.8410496532037958E-3</v>
      </c>
      <c r="L712" s="70">
        <f t="shared" si="171"/>
        <v>1.0754497399010082E-2</v>
      </c>
      <c r="M712" s="69">
        <v>133</v>
      </c>
      <c r="N712" s="70">
        <f t="shared" si="172"/>
        <v>6.6604902721786809E-4</v>
      </c>
      <c r="O712" s="67" t="s">
        <v>16</v>
      </c>
    </row>
    <row r="713" spans="1:15" x14ac:dyDescent="0.3">
      <c r="A713" s="76" t="s">
        <v>368</v>
      </c>
      <c r="B713" s="67" t="s">
        <v>15</v>
      </c>
      <c r="C713" s="67" t="s">
        <v>16</v>
      </c>
      <c r="D713" s="68">
        <v>45086</v>
      </c>
      <c r="E713" s="69">
        <v>344891</v>
      </c>
      <c r="F713" s="70">
        <f t="shared" si="173"/>
        <v>0.99699325294078422</v>
      </c>
      <c r="G713" s="67">
        <v>1037</v>
      </c>
      <c r="H713" s="69">
        <v>129030</v>
      </c>
      <c r="I713" s="70">
        <f t="shared" si="174"/>
        <v>0.37411819966308196</v>
      </c>
      <c r="J713" s="69">
        <v>1359</v>
      </c>
      <c r="K713" s="70">
        <f t="shared" si="170"/>
        <v>3.9403753649703823E-3</v>
      </c>
      <c r="L713" s="70">
        <f t="shared" si="171"/>
        <v>1.0532434317600557E-2</v>
      </c>
      <c r="M713" s="69">
        <v>97</v>
      </c>
      <c r="N713" s="70">
        <f t="shared" si="172"/>
        <v>2.812482784415946E-4</v>
      </c>
      <c r="O713" s="67" t="s">
        <v>16</v>
      </c>
    </row>
    <row r="714" spans="1:15" x14ac:dyDescent="0.3">
      <c r="A714" s="76" t="s">
        <v>369</v>
      </c>
      <c r="B714" s="67" t="s">
        <v>15</v>
      </c>
      <c r="C714" s="67" t="s">
        <v>16</v>
      </c>
      <c r="D714" s="68">
        <v>45086</v>
      </c>
      <c r="E714" s="69">
        <v>90282</v>
      </c>
      <c r="F714" s="70">
        <f t="shared" si="173"/>
        <v>0.99627832790589488</v>
      </c>
      <c r="G714" s="67">
        <v>336</v>
      </c>
      <c r="H714" s="69">
        <v>26772</v>
      </c>
      <c r="I714" s="70">
        <f t="shared" si="174"/>
        <v>0.29653751578387716</v>
      </c>
      <c r="J714" s="69">
        <v>410</v>
      </c>
      <c r="K714" s="70">
        <f t="shared" si="170"/>
        <v>4.5413260672116261E-3</v>
      </c>
      <c r="L714" s="70">
        <f t="shared" si="171"/>
        <v>1.5314507694606305E-2</v>
      </c>
      <c r="M714" s="69">
        <v>39</v>
      </c>
      <c r="N714" s="70">
        <f t="shared" si="172"/>
        <v>4.3197979663720345E-4</v>
      </c>
      <c r="O714" s="67" t="s">
        <v>16</v>
      </c>
    </row>
    <row r="715" spans="1:15" x14ac:dyDescent="0.3">
      <c r="A715" s="76" t="s">
        <v>369</v>
      </c>
      <c r="B715" s="67" t="s">
        <v>18</v>
      </c>
      <c r="C715" s="67" t="s">
        <v>16</v>
      </c>
      <c r="D715" s="68">
        <v>45086</v>
      </c>
      <c r="E715" s="69">
        <v>185304</v>
      </c>
      <c r="F715" s="70">
        <f t="shared" si="173"/>
        <v>0.99699952510469281</v>
      </c>
      <c r="G715" s="67">
        <v>556</v>
      </c>
      <c r="H715" s="69">
        <v>53144</v>
      </c>
      <c r="I715" s="70">
        <f t="shared" si="174"/>
        <v>0.28679359323058323</v>
      </c>
      <c r="J715" s="69">
        <v>712</v>
      </c>
      <c r="K715" s="70">
        <f t="shared" si="170"/>
        <v>3.8423347580192548E-3</v>
      </c>
      <c r="L715" s="70">
        <f t="shared" si="171"/>
        <v>1.3397561342766822E-2</v>
      </c>
      <c r="M715" s="69">
        <v>425</v>
      </c>
      <c r="N715" s="70">
        <f t="shared" si="172"/>
        <v>2.2935284721322799E-3</v>
      </c>
      <c r="O715" s="67" t="s">
        <v>16</v>
      </c>
    </row>
    <row r="716" spans="1:15" x14ac:dyDescent="0.3">
      <c r="A716" s="76" t="s">
        <v>370</v>
      </c>
      <c r="B716" s="67" t="s">
        <v>15</v>
      </c>
      <c r="C716" s="67" t="s">
        <v>16</v>
      </c>
      <c r="D716" s="68">
        <v>45086</v>
      </c>
      <c r="E716" s="69">
        <v>1519807</v>
      </c>
      <c r="F716" s="70">
        <f t="shared" si="173"/>
        <v>0.99625873548417665</v>
      </c>
      <c r="G716" s="67">
        <v>5686</v>
      </c>
      <c r="H716" s="69">
        <v>534128</v>
      </c>
      <c r="I716" s="70">
        <f t="shared" si="174"/>
        <v>0.35144462421873301</v>
      </c>
      <c r="J716" s="69">
        <v>6437</v>
      </c>
      <c r="K716" s="70">
        <f t="shared" si="170"/>
        <v>4.235406206182759E-3</v>
      </c>
      <c r="L716" s="70">
        <f t="shared" si="171"/>
        <v>1.205141838660396E-2</v>
      </c>
      <c r="M716" s="69">
        <v>1306</v>
      </c>
      <c r="N716" s="70">
        <f t="shared" si="172"/>
        <v>8.5931963729605142E-4</v>
      </c>
      <c r="O716" s="67" t="s">
        <v>16</v>
      </c>
    </row>
    <row r="717" spans="1:15" x14ac:dyDescent="0.3">
      <c r="A717" s="76" t="s">
        <v>370</v>
      </c>
      <c r="B717" s="67" t="s">
        <v>18</v>
      </c>
      <c r="C717" s="67" t="s">
        <v>16</v>
      </c>
      <c r="D717" s="68">
        <v>45086</v>
      </c>
      <c r="E717" s="69">
        <v>2000203</v>
      </c>
      <c r="F717" s="70">
        <f t="shared" si="173"/>
        <v>0.99692481213156869</v>
      </c>
      <c r="G717" s="67">
        <v>6151</v>
      </c>
      <c r="H717" s="69">
        <v>657234</v>
      </c>
      <c r="I717" s="70">
        <f t="shared" si="174"/>
        <v>0.3285836487596509</v>
      </c>
      <c r="J717" s="69">
        <v>7867</v>
      </c>
      <c r="K717" s="70">
        <f t="shared" si="170"/>
        <v>3.9331007902697872E-3</v>
      </c>
      <c r="L717" s="70">
        <f t="shared" si="171"/>
        <v>1.1969861571373362E-2</v>
      </c>
      <c r="M717" s="69">
        <v>3565</v>
      </c>
      <c r="N717" s="70">
        <f t="shared" si="172"/>
        <v>1.782319094611897E-3</v>
      </c>
      <c r="O717" s="67" t="s">
        <v>16</v>
      </c>
    </row>
    <row r="718" spans="1:15" x14ac:dyDescent="0.3">
      <c r="A718" s="76" t="s">
        <v>28</v>
      </c>
      <c r="B718" s="67" t="s">
        <v>15</v>
      </c>
      <c r="C718" s="67" t="s">
        <v>16</v>
      </c>
      <c r="D718" s="68">
        <v>45086</v>
      </c>
      <c r="E718" s="69">
        <v>106034</v>
      </c>
      <c r="F718" s="70">
        <f t="shared" si="173"/>
        <v>0.99648226040703924</v>
      </c>
      <c r="G718" s="67">
        <v>373</v>
      </c>
      <c r="H718" s="69">
        <v>31170</v>
      </c>
      <c r="I718" s="70">
        <f t="shared" si="174"/>
        <v>0.2939623139747628</v>
      </c>
      <c r="J718" s="69">
        <v>509</v>
      </c>
      <c r="K718" s="70">
        <f t="shared" si="170"/>
        <v>4.8003470584906732E-3</v>
      </c>
      <c r="L718" s="70">
        <f t="shared" si="171"/>
        <v>1.6329804299005456E-2</v>
      </c>
      <c r="M718" s="69">
        <v>44</v>
      </c>
      <c r="N718" s="70">
        <f t="shared" si="172"/>
        <v>4.1496123884791669E-4</v>
      </c>
      <c r="O718" s="67" t="s">
        <v>16</v>
      </c>
    </row>
    <row r="719" spans="1:15" x14ac:dyDescent="0.3">
      <c r="A719" s="76" t="s">
        <v>28</v>
      </c>
      <c r="B719" s="67" t="s">
        <v>18</v>
      </c>
      <c r="C719" s="67" t="s">
        <v>16</v>
      </c>
      <c r="D719" s="68">
        <v>45086</v>
      </c>
      <c r="E719" s="69">
        <v>207094</v>
      </c>
      <c r="F719" s="70">
        <f t="shared" si="173"/>
        <v>0.99731040010816341</v>
      </c>
      <c r="G719" s="67">
        <v>557</v>
      </c>
      <c r="H719" s="69">
        <v>59750</v>
      </c>
      <c r="I719" s="70">
        <f t="shared" si="174"/>
        <v>0.28851632591963072</v>
      </c>
      <c r="J719" s="69">
        <v>965</v>
      </c>
      <c r="K719" s="70">
        <f t="shared" si="170"/>
        <v>4.6597197407940352E-3</v>
      </c>
      <c r="L719" s="70">
        <f t="shared" si="171"/>
        <v>1.6150627615062762E-2</v>
      </c>
      <c r="M719" s="69">
        <v>369</v>
      </c>
      <c r="N719" s="70">
        <f t="shared" si="172"/>
        <v>1.7817995692777193E-3</v>
      </c>
      <c r="O719" s="67" t="s">
        <v>16</v>
      </c>
    </row>
    <row r="720" spans="1:15" x14ac:dyDescent="0.3">
      <c r="A720" s="76" t="s">
        <v>22</v>
      </c>
      <c r="B720" s="67" t="s">
        <v>15</v>
      </c>
      <c r="C720" s="67" t="s">
        <v>16</v>
      </c>
      <c r="D720" s="68">
        <v>45086</v>
      </c>
      <c r="E720" s="69">
        <v>2145816</v>
      </c>
      <c r="F720" s="70">
        <f t="shared" si="173"/>
        <v>0.99601969600375806</v>
      </c>
      <c r="G720" s="67">
        <v>8541</v>
      </c>
      <c r="H720" s="69">
        <v>746541</v>
      </c>
      <c r="I720" s="70">
        <f t="shared" si="174"/>
        <v>0.3479054122068248</v>
      </c>
      <c r="J720" s="69">
        <v>10386</v>
      </c>
      <c r="K720" s="70">
        <f t="shared" si="170"/>
        <v>4.8401167667684458E-3</v>
      </c>
      <c r="L720" s="70">
        <f t="shared" si="171"/>
        <v>1.3912162895272999E-2</v>
      </c>
      <c r="M720" s="69">
        <v>2620</v>
      </c>
      <c r="N720" s="70">
        <f t="shared" si="172"/>
        <v>1.2209807364657547E-3</v>
      </c>
      <c r="O720" s="67" t="s">
        <v>16</v>
      </c>
    </row>
    <row r="721" spans="1:15" x14ac:dyDescent="0.3">
      <c r="A721" s="76" t="s">
        <v>22</v>
      </c>
      <c r="B721" s="67" t="s">
        <v>18</v>
      </c>
      <c r="C721" s="67" t="s">
        <v>16</v>
      </c>
      <c r="D721" s="68">
        <v>45086</v>
      </c>
      <c r="E721" s="69">
        <v>2339774</v>
      </c>
      <c r="F721" s="70">
        <f t="shared" si="173"/>
        <v>0.99648983192393792</v>
      </c>
      <c r="G721" s="67">
        <v>8213</v>
      </c>
      <c r="H721" s="69">
        <v>729358</v>
      </c>
      <c r="I721" s="70">
        <f t="shared" si="174"/>
        <v>0.31172155943266316</v>
      </c>
      <c r="J721" s="69">
        <v>8938</v>
      </c>
      <c r="K721" s="70">
        <f t="shared" si="170"/>
        <v>3.8200270624427829E-3</v>
      </c>
      <c r="L721" s="70">
        <f t="shared" si="171"/>
        <v>1.2254612960987609E-2</v>
      </c>
      <c r="M721" s="69">
        <v>3283</v>
      </c>
      <c r="N721" s="70">
        <f t="shared" si="172"/>
        <v>1.4031269686730428E-3</v>
      </c>
      <c r="O721" s="67" t="s">
        <v>16</v>
      </c>
    </row>
    <row r="722" spans="1:15" x14ac:dyDescent="0.3">
      <c r="A722" s="76" t="s">
        <v>33</v>
      </c>
      <c r="B722" s="67" t="s">
        <v>18</v>
      </c>
      <c r="C722" s="67" t="s">
        <v>21</v>
      </c>
      <c r="D722" s="68">
        <v>45086</v>
      </c>
      <c r="E722" s="69">
        <v>233139</v>
      </c>
      <c r="F722" s="70">
        <f t="shared" si="173"/>
        <v>0.99747789945054233</v>
      </c>
      <c r="G722" s="67">
        <v>588</v>
      </c>
      <c r="H722" s="69">
        <v>101650</v>
      </c>
      <c r="I722" s="70">
        <f t="shared" si="174"/>
        <v>0.43600598784416161</v>
      </c>
      <c r="J722" s="69">
        <v>2115</v>
      </c>
      <c r="K722" s="70">
        <f t="shared" si="170"/>
        <v>9.0718412620797041E-3</v>
      </c>
      <c r="L722" s="70">
        <f t="shared" si="171"/>
        <v>2.0806689621249385E-2</v>
      </c>
      <c r="M722" s="69">
        <v>198</v>
      </c>
      <c r="N722" s="70">
        <f t="shared" si="172"/>
        <v>8.4927875645001479E-4</v>
      </c>
      <c r="O722" s="67" t="s">
        <v>21</v>
      </c>
    </row>
    <row r="723" spans="1:15" x14ac:dyDescent="0.3">
      <c r="A723" s="76" t="s">
        <v>19</v>
      </c>
      <c r="B723" s="67" t="s">
        <v>18</v>
      </c>
      <c r="C723" s="67" t="s">
        <v>21</v>
      </c>
      <c r="D723" s="68">
        <v>45086</v>
      </c>
      <c r="E723" s="69">
        <v>332040</v>
      </c>
      <c r="F723" s="70">
        <f t="shared" si="173"/>
        <v>0.99566317311167329</v>
      </c>
      <c r="G723" s="67">
        <v>1440</v>
      </c>
      <c r="H723" s="69">
        <v>117637</v>
      </c>
      <c r="I723" s="70">
        <f t="shared" si="174"/>
        <v>0.35428562823756177</v>
      </c>
      <c r="J723" s="69">
        <v>2574</v>
      </c>
      <c r="K723" s="70">
        <f t="shared" si="170"/>
        <v>7.7520780628839896E-3</v>
      </c>
      <c r="L723" s="70">
        <f t="shared" si="171"/>
        <v>2.1880870814454636E-2</v>
      </c>
      <c r="M723" s="69">
        <v>276</v>
      </c>
      <c r="N723" s="70">
        <f t="shared" si="172"/>
        <v>8.3122515359595225E-4</v>
      </c>
      <c r="O723" s="67" t="s">
        <v>21</v>
      </c>
    </row>
    <row r="724" spans="1:15" x14ac:dyDescent="0.3">
      <c r="A724" s="76" t="s">
        <v>24</v>
      </c>
      <c r="B724" s="67" t="s">
        <v>18</v>
      </c>
      <c r="C724" s="67" t="s">
        <v>21</v>
      </c>
      <c r="D724" s="68">
        <v>45087</v>
      </c>
      <c r="E724" s="69">
        <v>14891</v>
      </c>
      <c r="F724" s="70">
        <f t="shared" si="173"/>
        <v>0.99697804042710358</v>
      </c>
      <c r="G724" s="67">
        <v>45</v>
      </c>
      <c r="H724" s="69">
        <v>4585</v>
      </c>
      <c r="I724" s="70">
        <f t="shared" si="174"/>
        <v>0.30790410314955341</v>
      </c>
      <c r="J724" s="69">
        <v>194</v>
      </c>
      <c r="K724" s="70">
        <f t="shared" si="170"/>
        <v>1.3028003492042172E-2</v>
      </c>
      <c r="L724" s="70">
        <f t="shared" si="171"/>
        <v>4.2311886586695747E-2</v>
      </c>
      <c r="M724" s="69">
        <v>14</v>
      </c>
      <c r="N724" s="70">
        <f t="shared" si="172"/>
        <v>9.4016520045665168E-4</v>
      </c>
      <c r="O724" s="67" t="s">
        <v>21</v>
      </c>
    </row>
    <row r="725" spans="1:15" x14ac:dyDescent="0.3">
      <c r="A725" s="76" t="s">
        <v>371</v>
      </c>
      <c r="B725" s="67" t="s">
        <v>15</v>
      </c>
      <c r="C725" s="67" t="s">
        <v>30</v>
      </c>
      <c r="D725" s="68">
        <v>45087</v>
      </c>
      <c r="E725" s="69">
        <v>64687</v>
      </c>
      <c r="F725" s="70">
        <f t="shared" si="173"/>
        <v>0.99693910677570452</v>
      </c>
      <c r="G725" s="67">
        <v>198</v>
      </c>
      <c r="H725" s="69">
        <v>31224</v>
      </c>
      <c r="I725" s="70">
        <f t="shared" si="174"/>
        <v>0.48269358603738</v>
      </c>
      <c r="J725" s="69">
        <v>4097</v>
      </c>
      <c r="K725" s="70">
        <f t="shared" si="170"/>
        <v>6.3335755252214507E-2</v>
      </c>
      <c r="L725" s="70">
        <f t="shared" si="171"/>
        <v>0.13121316935690494</v>
      </c>
      <c r="M725" s="69">
        <v>41</v>
      </c>
      <c r="N725" s="70">
        <f t="shared" si="172"/>
        <v>6.3382132422279598E-4</v>
      </c>
      <c r="O725" s="67" t="s">
        <v>31</v>
      </c>
    </row>
    <row r="726" spans="1:15" x14ac:dyDescent="0.3">
      <c r="A726" s="76" t="s">
        <v>29</v>
      </c>
      <c r="B726" s="67" t="s">
        <v>15</v>
      </c>
      <c r="C726" s="67" t="s">
        <v>16</v>
      </c>
      <c r="D726" s="68">
        <v>45090</v>
      </c>
      <c r="E726" s="69">
        <v>26538</v>
      </c>
      <c r="F726" s="70">
        <f t="shared" ref="F726" si="175">(E726-G726)/E726</f>
        <v>0.99649559122767351</v>
      </c>
      <c r="G726" s="67">
        <v>93</v>
      </c>
      <c r="H726" s="69">
        <v>9069</v>
      </c>
      <c r="I726" s="70">
        <f t="shared" ref="I726" si="176">H726/E726</f>
        <v>0.34173637802396561</v>
      </c>
      <c r="J726" s="69">
        <v>200</v>
      </c>
      <c r="K726" s="70">
        <f t="shared" ref="K726" si="177">J726/E726</f>
        <v>7.5363629512397315E-3</v>
      </c>
      <c r="L726" s="70">
        <f t="shared" ref="L726" si="178">J726/H726</f>
        <v>2.2053148086889404E-2</v>
      </c>
      <c r="M726" s="69">
        <v>9</v>
      </c>
      <c r="N726" s="70">
        <f t="shared" ref="N726" si="179">M726/E726</f>
        <v>3.3913633280578795E-4</v>
      </c>
      <c r="O726" s="67" t="s">
        <v>16</v>
      </c>
    </row>
    <row r="727" spans="1:15" x14ac:dyDescent="0.3">
      <c r="A727" s="76" t="s">
        <v>29</v>
      </c>
      <c r="B727" s="67" t="s">
        <v>18</v>
      </c>
      <c r="C727" s="67" t="s">
        <v>16</v>
      </c>
      <c r="D727" s="68">
        <v>45090</v>
      </c>
      <c r="E727" s="69">
        <v>27681</v>
      </c>
      <c r="F727" s="70">
        <f t="shared" ref="F727:F768" si="180">(E727-G727)/E727</f>
        <v>0.99765181893717714</v>
      </c>
      <c r="G727" s="67">
        <v>65</v>
      </c>
      <c r="H727" s="69">
        <v>9708</v>
      </c>
      <c r="I727" s="70">
        <f t="shared" ref="I727:I768" si="181">H727/E727</f>
        <v>0.35070987319822261</v>
      </c>
      <c r="J727" s="69">
        <v>154</v>
      </c>
      <c r="K727" s="70">
        <f t="shared" ref="K727:K768" si="182">J727/E727</f>
        <v>5.5633828257649655E-3</v>
      </c>
      <c r="L727" s="70">
        <f t="shared" ref="L727:L768" si="183">J727/H727</f>
        <v>1.5863205603625877E-2</v>
      </c>
      <c r="M727" s="69">
        <v>26</v>
      </c>
      <c r="N727" s="70">
        <f t="shared" ref="N727:N768" si="184">M727/E727</f>
        <v>9.3927242512914998E-4</v>
      </c>
      <c r="O727" s="67" t="s">
        <v>16</v>
      </c>
    </row>
    <row r="728" spans="1:15" x14ac:dyDescent="0.3">
      <c r="A728" s="76" t="s">
        <v>17</v>
      </c>
      <c r="B728" s="67" t="s">
        <v>15</v>
      </c>
      <c r="C728" s="67" t="s">
        <v>16</v>
      </c>
      <c r="D728" s="68">
        <v>45090</v>
      </c>
      <c r="E728" s="69">
        <v>243577</v>
      </c>
      <c r="F728" s="70">
        <f t="shared" si="180"/>
        <v>0.99639949584730902</v>
      </c>
      <c r="G728" s="67">
        <v>877</v>
      </c>
      <c r="H728" s="69">
        <v>86167</v>
      </c>
      <c r="I728" s="70">
        <f t="shared" si="181"/>
        <v>0.35375671758827804</v>
      </c>
      <c r="J728" s="69">
        <v>1483</v>
      </c>
      <c r="K728" s="70">
        <f t="shared" si="182"/>
        <v>6.0884237838547978E-3</v>
      </c>
      <c r="L728" s="70">
        <f t="shared" si="183"/>
        <v>1.7210765142107766E-2</v>
      </c>
      <c r="M728" s="69">
        <v>105</v>
      </c>
      <c r="N728" s="70">
        <f t="shared" si="184"/>
        <v>4.3107518361750082E-4</v>
      </c>
      <c r="O728" s="67" t="s">
        <v>16</v>
      </c>
    </row>
    <row r="729" spans="1:15" x14ac:dyDescent="0.3">
      <c r="A729" s="76" t="s">
        <v>17</v>
      </c>
      <c r="B729" s="67" t="s">
        <v>18</v>
      </c>
      <c r="C729" s="67" t="s">
        <v>16</v>
      </c>
      <c r="D729" s="68">
        <v>45090</v>
      </c>
      <c r="E729" s="69">
        <v>473963</v>
      </c>
      <c r="F729" s="70">
        <f t="shared" si="180"/>
        <v>0.99730991659686519</v>
      </c>
      <c r="G729" s="67">
        <v>1275</v>
      </c>
      <c r="H729" s="69">
        <v>180894</v>
      </c>
      <c r="I729" s="70">
        <f t="shared" si="181"/>
        <v>0.38166270362876425</v>
      </c>
      <c r="J729" s="69">
        <v>2183</v>
      </c>
      <c r="K729" s="70">
        <f t="shared" si="182"/>
        <v>4.605844760034011E-3</v>
      </c>
      <c r="L729" s="70">
        <f t="shared" si="183"/>
        <v>1.2067840834964122E-2</v>
      </c>
      <c r="M729" s="69">
        <v>348</v>
      </c>
      <c r="N729" s="70">
        <f t="shared" si="184"/>
        <v>7.3423452885562797E-4</v>
      </c>
      <c r="O729" s="67" t="s">
        <v>16</v>
      </c>
    </row>
    <row r="730" spans="1:15" x14ac:dyDescent="0.3">
      <c r="A730" s="76" t="s">
        <v>637</v>
      </c>
      <c r="B730" s="67" t="s">
        <v>18</v>
      </c>
      <c r="C730" s="67" t="s">
        <v>21</v>
      </c>
      <c r="D730" s="68">
        <v>45090</v>
      </c>
      <c r="E730" s="69">
        <v>51342</v>
      </c>
      <c r="F730" s="70">
        <f t="shared" si="180"/>
        <v>0.99785750457714928</v>
      </c>
      <c r="G730" s="67">
        <v>110</v>
      </c>
      <c r="H730" s="69">
        <v>16467</v>
      </c>
      <c r="I730" s="70">
        <f t="shared" si="181"/>
        <v>0.32073156480074794</v>
      </c>
      <c r="J730" s="69">
        <v>209</v>
      </c>
      <c r="K730" s="70">
        <f t="shared" si="182"/>
        <v>4.0707413034163061E-3</v>
      </c>
      <c r="L730" s="70">
        <f t="shared" si="183"/>
        <v>1.2692050768203072E-2</v>
      </c>
      <c r="M730" s="69">
        <v>76</v>
      </c>
      <c r="N730" s="70">
        <f t="shared" si="184"/>
        <v>1.4802695648786569E-3</v>
      </c>
      <c r="O730" s="67" t="s">
        <v>21</v>
      </c>
    </row>
    <row r="731" spans="1:15" x14ac:dyDescent="0.3">
      <c r="A731" s="76" t="s">
        <v>637</v>
      </c>
      <c r="B731" s="67" t="s">
        <v>15</v>
      </c>
      <c r="C731" s="67" t="s">
        <v>21</v>
      </c>
      <c r="D731" s="68">
        <v>45090</v>
      </c>
      <c r="E731" s="69">
        <v>46205</v>
      </c>
      <c r="F731" s="70">
        <f t="shared" si="180"/>
        <v>0.99722973704144569</v>
      </c>
      <c r="G731" s="67">
        <v>128</v>
      </c>
      <c r="H731" s="69">
        <v>15250</v>
      </c>
      <c r="I731" s="70">
        <f t="shared" si="181"/>
        <v>0.33005086029650471</v>
      </c>
      <c r="J731" s="69">
        <v>175</v>
      </c>
      <c r="K731" s="70">
        <f t="shared" si="182"/>
        <v>3.7874688886484148E-3</v>
      </c>
      <c r="L731" s="70">
        <f t="shared" si="183"/>
        <v>1.1475409836065573E-2</v>
      </c>
      <c r="M731" s="69">
        <v>20</v>
      </c>
      <c r="N731" s="70">
        <f t="shared" si="184"/>
        <v>4.3285358727410453E-4</v>
      </c>
      <c r="O731" s="67" t="s">
        <v>21</v>
      </c>
    </row>
    <row r="732" spans="1:15" x14ac:dyDescent="0.3">
      <c r="A732" s="76" t="s">
        <v>638</v>
      </c>
      <c r="B732" s="67" t="s">
        <v>15</v>
      </c>
      <c r="C732" s="67" t="s">
        <v>21</v>
      </c>
      <c r="D732" s="68">
        <v>45090</v>
      </c>
      <c r="E732" s="69">
        <v>791462</v>
      </c>
      <c r="F732" s="70">
        <f t="shared" si="180"/>
        <v>0.99723928628285374</v>
      </c>
      <c r="G732" s="67">
        <v>2185</v>
      </c>
      <c r="H732" s="69">
        <v>365535</v>
      </c>
      <c r="I732" s="70">
        <f t="shared" si="181"/>
        <v>0.46184782086821602</v>
      </c>
      <c r="J732" s="69">
        <v>3029</v>
      </c>
      <c r="K732" s="70">
        <f t="shared" si="182"/>
        <v>3.8270946678425496E-3</v>
      </c>
      <c r="L732" s="70">
        <f t="shared" si="183"/>
        <v>8.2864841943999894E-3</v>
      </c>
      <c r="M732" s="69">
        <v>679</v>
      </c>
      <c r="N732" s="70">
        <f t="shared" si="184"/>
        <v>8.5790600180425593E-4</v>
      </c>
      <c r="O732" s="67" t="s">
        <v>21</v>
      </c>
    </row>
    <row r="733" spans="1:15" x14ac:dyDescent="0.3">
      <c r="A733" s="76" t="s">
        <v>638</v>
      </c>
      <c r="B733" s="67" t="s">
        <v>18</v>
      </c>
      <c r="C733" s="67" t="s">
        <v>21</v>
      </c>
      <c r="D733" s="68">
        <v>45090</v>
      </c>
      <c r="E733" s="69">
        <v>575537</v>
      </c>
      <c r="F733" s="70">
        <f t="shared" si="180"/>
        <v>0.99763525194731184</v>
      </c>
      <c r="G733" s="67">
        <v>1361</v>
      </c>
      <c r="H733" s="69">
        <v>259170</v>
      </c>
      <c r="I733" s="70">
        <f t="shared" si="181"/>
        <v>0.45030988450785964</v>
      </c>
      <c r="J733" s="69">
        <v>2376</v>
      </c>
      <c r="K733" s="70">
        <f t="shared" si="182"/>
        <v>4.1283184226209605E-3</v>
      </c>
      <c r="L733" s="70">
        <f t="shared" si="183"/>
        <v>9.167727746266929E-3</v>
      </c>
      <c r="M733" s="69">
        <v>1093</v>
      </c>
      <c r="N733" s="70">
        <f t="shared" si="184"/>
        <v>1.8990959747157872E-3</v>
      </c>
      <c r="O733" s="67" t="s">
        <v>21</v>
      </c>
    </row>
    <row r="734" spans="1:15" x14ac:dyDescent="0.3">
      <c r="A734" s="76" t="s">
        <v>639</v>
      </c>
      <c r="B734" s="67" t="s">
        <v>15</v>
      </c>
      <c r="C734" s="67" t="s">
        <v>16</v>
      </c>
      <c r="D734" s="68">
        <v>45091</v>
      </c>
      <c r="E734" s="69">
        <v>8778</v>
      </c>
      <c r="F734" s="70">
        <f t="shared" si="180"/>
        <v>0.99851902483481436</v>
      </c>
      <c r="G734" s="67">
        <v>13</v>
      </c>
      <c r="H734" s="69">
        <v>2802</v>
      </c>
      <c r="I734" s="70">
        <f t="shared" si="181"/>
        <v>0.31920710868079288</v>
      </c>
      <c r="J734" s="69">
        <v>37</v>
      </c>
      <c r="K734" s="70">
        <f t="shared" si="182"/>
        <v>4.2150831624515831E-3</v>
      </c>
      <c r="L734" s="70">
        <f t="shared" si="183"/>
        <v>1.3204853675945753E-2</v>
      </c>
      <c r="M734" s="69">
        <v>3</v>
      </c>
      <c r="N734" s="70">
        <f t="shared" si="184"/>
        <v>3.4176349965823653E-4</v>
      </c>
      <c r="O734" s="67" t="s">
        <v>16</v>
      </c>
    </row>
    <row r="735" spans="1:15" x14ac:dyDescent="0.3">
      <c r="A735" s="76" t="s">
        <v>640</v>
      </c>
      <c r="B735" s="67" t="s">
        <v>15</v>
      </c>
      <c r="C735" s="67" t="s">
        <v>16</v>
      </c>
      <c r="D735" s="68">
        <v>45091</v>
      </c>
      <c r="E735" s="69">
        <v>8784</v>
      </c>
      <c r="F735" s="70">
        <f t="shared" si="180"/>
        <v>0.99749544626593811</v>
      </c>
      <c r="G735" s="67">
        <v>22</v>
      </c>
      <c r="H735" s="69">
        <v>2864</v>
      </c>
      <c r="I735" s="70">
        <f t="shared" si="181"/>
        <v>0.32604735883424407</v>
      </c>
      <c r="J735" s="69">
        <v>57</v>
      </c>
      <c r="K735" s="70">
        <f t="shared" si="182"/>
        <v>6.4890710382513664E-3</v>
      </c>
      <c r="L735" s="70">
        <f t="shared" si="183"/>
        <v>1.9902234636871508E-2</v>
      </c>
      <c r="M735" s="69">
        <v>4</v>
      </c>
      <c r="N735" s="70">
        <f t="shared" si="184"/>
        <v>4.5537340619307832E-4</v>
      </c>
      <c r="O735" s="67" t="s">
        <v>16</v>
      </c>
    </row>
    <row r="736" spans="1:15" x14ac:dyDescent="0.3">
      <c r="A736" s="76" t="s">
        <v>641</v>
      </c>
      <c r="B736" s="67" t="s">
        <v>15</v>
      </c>
      <c r="C736" s="67" t="s">
        <v>16</v>
      </c>
      <c r="D736" s="68">
        <v>45091</v>
      </c>
      <c r="E736" s="69">
        <v>8285</v>
      </c>
      <c r="F736" s="70">
        <f t="shared" si="180"/>
        <v>0.99710319855159923</v>
      </c>
      <c r="G736" s="67">
        <v>24</v>
      </c>
      <c r="H736" s="69">
        <v>3208</v>
      </c>
      <c r="I736" s="70">
        <f t="shared" si="181"/>
        <v>0.38720579360289681</v>
      </c>
      <c r="J736" s="69">
        <v>46</v>
      </c>
      <c r="K736" s="70">
        <f t="shared" si="182"/>
        <v>5.552202776101388E-3</v>
      </c>
      <c r="L736" s="70">
        <f t="shared" si="183"/>
        <v>1.4339152119700748E-2</v>
      </c>
      <c r="M736" s="69">
        <v>5</v>
      </c>
      <c r="N736" s="70">
        <f t="shared" si="184"/>
        <v>6.0350030175015089E-4</v>
      </c>
      <c r="O736" s="67" t="s">
        <v>16</v>
      </c>
    </row>
    <row r="737" spans="1:15" x14ac:dyDescent="0.3">
      <c r="A737" s="76" t="s">
        <v>642</v>
      </c>
      <c r="B737" s="67" t="s">
        <v>15</v>
      </c>
      <c r="C737" s="67" t="s">
        <v>16</v>
      </c>
      <c r="D737" s="68">
        <v>45091</v>
      </c>
      <c r="E737" s="69">
        <v>8267</v>
      </c>
      <c r="F737" s="70">
        <f t="shared" si="180"/>
        <v>0.9972178541187855</v>
      </c>
      <c r="G737" s="67">
        <v>23</v>
      </c>
      <c r="H737" s="69">
        <v>3188</v>
      </c>
      <c r="I737" s="70">
        <f t="shared" si="181"/>
        <v>0.38562961170920529</v>
      </c>
      <c r="J737" s="69">
        <v>48</v>
      </c>
      <c r="K737" s="70">
        <f t="shared" si="182"/>
        <v>5.8062174912301926E-3</v>
      </c>
      <c r="L737" s="70">
        <f t="shared" si="183"/>
        <v>1.5056461731493099E-2</v>
      </c>
      <c r="M737" s="69">
        <v>2</v>
      </c>
      <c r="N737" s="70">
        <f t="shared" si="184"/>
        <v>2.4192572880125802E-4</v>
      </c>
      <c r="O737" s="67" t="s">
        <v>16</v>
      </c>
    </row>
    <row r="738" spans="1:15" x14ac:dyDescent="0.3">
      <c r="A738" s="76" t="s">
        <v>643</v>
      </c>
      <c r="B738" s="67" t="s">
        <v>15</v>
      </c>
      <c r="C738" s="67" t="s">
        <v>16</v>
      </c>
      <c r="D738" s="68">
        <v>45091</v>
      </c>
      <c r="E738" s="69">
        <v>194624</v>
      </c>
      <c r="F738" s="70">
        <f t="shared" si="180"/>
        <v>0.99729221473199603</v>
      </c>
      <c r="G738" s="67">
        <v>527</v>
      </c>
      <c r="H738" s="69">
        <v>71968</v>
      </c>
      <c r="I738" s="70">
        <f t="shared" si="181"/>
        <v>0.3697796777375863</v>
      </c>
      <c r="J738" s="69">
        <v>577</v>
      </c>
      <c r="K738" s="70">
        <f t="shared" si="182"/>
        <v>2.9646908911542258E-3</v>
      </c>
      <c r="L738" s="70">
        <f t="shared" si="183"/>
        <v>8.0174522009782128E-3</v>
      </c>
      <c r="M738" s="69">
        <v>131</v>
      </c>
      <c r="N738" s="70">
        <f t="shared" si="184"/>
        <v>6.7309273265373231E-4</v>
      </c>
      <c r="O738" s="67" t="s">
        <v>16</v>
      </c>
    </row>
    <row r="739" spans="1:15" x14ac:dyDescent="0.3">
      <c r="A739" s="76" t="s">
        <v>644</v>
      </c>
      <c r="B739" s="67" t="s">
        <v>15</v>
      </c>
      <c r="C739" s="67" t="s">
        <v>16</v>
      </c>
      <c r="D739" s="68">
        <v>45091</v>
      </c>
      <c r="E739" s="69">
        <v>194610</v>
      </c>
      <c r="F739" s="70">
        <f t="shared" si="180"/>
        <v>0.99717897333127792</v>
      </c>
      <c r="G739" s="67">
        <v>549</v>
      </c>
      <c r="H739" s="69">
        <v>84181</v>
      </c>
      <c r="I739" s="70">
        <f t="shared" si="181"/>
        <v>0.43256256101947482</v>
      </c>
      <c r="J739" s="69">
        <v>915</v>
      </c>
      <c r="K739" s="70">
        <f t="shared" si="182"/>
        <v>4.7017111145367663E-3</v>
      </c>
      <c r="L739" s="70">
        <f t="shared" si="183"/>
        <v>1.0869436096031171E-2</v>
      </c>
      <c r="M739" s="69">
        <v>165</v>
      </c>
      <c r="N739" s="70">
        <f t="shared" si="184"/>
        <v>8.4784954524433484E-4</v>
      </c>
      <c r="O739" s="67" t="s">
        <v>16</v>
      </c>
    </row>
    <row r="740" spans="1:15" x14ac:dyDescent="0.3">
      <c r="A740" s="76" t="s">
        <v>645</v>
      </c>
      <c r="B740" s="67" t="s">
        <v>15</v>
      </c>
      <c r="C740" s="67" t="s">
        <v>16</v>
      </c>
      <c r="D740" s="68">
        <v>45091</v>
      </c>
      <c r="E740" s="69">
        <v>256121</v>
      </c>
      <c r="F740" s="70">
        <f t="shared" si="180"/>
        <v>0.99704046134444269</v>
      </c>
      <c r="G740" s="67">
        <v>758</v>
      </c>
      <c r="H740" s="69">
        <v>96521</v>
      </c>
      <c r="I740" s="70">
        <f t="shared" si="181"/>
        <v>0.37685703241827107</v>
      </c>
      <c r="J740" s="69">
        <v>857</v>
      </c>
      <c r="K740" s="70">
        <f t="shared" si="182"/>
        <v>3.3460747068768276E-3</v>
      </c>
      <c r="L740" s="70">
        <f t="shared" si="183"/>
        <v>8.8788968203810572E-3</v>
      </c>
      <c r="M740" s="69">
        <v>252</v>
      </c>
      <c r="N740" s="70">
        <f t="shared" si="184"/>
        <v>9.839099488132563E-4</v>
      </c>
      <c r="O740" s="67" t="s">
        <v>16</v>
      </c>
    </row>
    <row r="741" spans="1:15" x14ac:dyDescent="0.3">
      <c r="A741" s="76" t="s">
        <v>646</v>
      </c>
      <c r="B741" s="67" t="s">
        <v>15</v>
      </c>
      <c r="C741" s="67" t="s">
        <v>16</v>
      </c>
      <c r="D741" s="68">
        <v>45091</v>
      </c>
      <c r="E741" s="69">
        <v>256196</v>
      </c>
      <c r="F741" s="70">
        <f t="shared" si="180"/>
        <v>0.99724039407328768</v>
      </c>
      <c r="G741" s="67">
        <v>707</v>
      </c>
      <c r="H741" s="69">
        <v>98914</v>
      </c>
      <c r="I741" s="70">
        <f t="shared" si="181"/>
        <v>0.38608721447641647</v>
      </c>
      <c r="J741" s="69">
        <v>1005</v>
      </c>
      <c r="K741" s="70">
        <f t="shared" si="182"/>
        <v>3.9227778731908379E-3</v>
      </c>
      <c r="L741" s="70">
        <f t="shared" si="183"/>
        <v>1.0160341306589563E-2</v>
      </c>
      <c r="M741" s="69">
        <v>286</v>
      </c>
      <c r="N741" s="70">
        <f t="shared" si="184"/>
        <v>1.1163328076941091E-3</v>
      </c>
      <c r="O741" s="67" t="s">
        <v>16</v>
      </c>
    </row>
    <row r="742" spans="1:15" x14ac:dyDescent="0.3">
      <c r="A742" s="76" t="s">
        <v>647</v>
      </c>
      <c r="B742" s="67" t="s">
        <v>15</v>
      </c>
      <c r="C742" s="67" t="s">
        <v>16</v>
      </c>
      <c r="D742" s="68">
        <v>45091</v>
      </c>
      <c r="E742" s="69">
        <v>130942</v>
      </c>
      <c r="F742" s="70">
        <f t="shared" si="180"/>
        <v>0.99699103419834734</v>
      </c>
      <c r="G742" s="67">
        <v>394</v>
      </c>
      <c r="H742" s="69">
        <v>40065</v>
      </c>
      <c r="I742" s="70">
        <f t="shared" si="181"/>
        <v>0.30597516457668278</v>
      </c>
      <c r="J742" s="69">
        <v>621</v>
      </c>
      <c r="K742" s="70">
        <f t="shared" si="182"/>
        <v>4.742557773670786E-3</v>
      </c>
      <c r="L742" s="70">
        <f t="shared" si="183"/>
        <v>1.5499812804193186E-2</v>
      </c>
      <c r="M742" s="69">
        <v>86</v>
      </c>
      <c r="N742" s="70">
        <f t="shared" si="184"/>
        <v>6.5677933741656606E-4</v>
      </c>
      <c r="O742" s="67" t="s">
        <v>16</v>
      </c>
    </row>
    <row r="743" spans="1:15" x14ac:dyDescent="0.3">
      <c r="A743" s="76" t="s">
        <v>647</v>
      </c>
      <c r="B743" s="67" t="s">
        <v>18</v>
      </c>
      <c r="C743" s="67" t="s">
        <v>16</v>
      </c>
      <c r="D743" s="68">
        <v>45091</v>
      </c>
      <c r="E743" s="69">
        <v>220276</v>
      </c>
      <c r="F743" s="70">
        <f t="shared" si="180"/>
        <v>0.99768472280230258</v>
      </c>
      <c r="G743" s="67">
        <v>510</v>
      </c>
      <c r="H743" s="69">
        <v>64731</v>
      </c>
      <c r="I743" s="70">
        <f t="shared" si="181"/>
        <v>0.29386315349833847</v>
      </c>
      <c r="J743" s="69">
        <v>931</v>
      </c>
      <c r="K743" s="70">
        <f t="shared" si="182"/>
        <v>4.2265158256006097E-3</v>
      </c>
      <c r="L743" s="70">
        <f t="shared" si="183"/>
        <v>1.4382598754846982E-2</v>
      </c>
      <c r="M743" s="69">
        <v>491</v>
      </c>
      <c r="N743" s="70">
        <f t="shared" si="184"/>
        <v>2.229021772685177E-3</v>
      </c>
      <c r="O743" s="67" t="s">
        <v>16</v>
      </c>
    </row>
    <row r="744" spans="1:15" x14ac:dyDescent="0.3">
      <c r="A744" s="76" t="s">
        <v>648</v>
      </c>
      <c r="B744" s="67" t="s">
        <v>18</v>
      </c>
      <c r="C744" s="67" t="s">
        <v>16</v>
      </c>
      <c r="D744" s="68">
        <v>45091</v>
      </c>
      <c r="E744" s="69">
        <v>2507932</v>
      </c>
      <c r="F744" s="70">
        <f t="shared" si="180"/>
        <v>0.99748079294015946</v>
      </c>
      <c r="G744" s="67">
        <v>6318</v>
      </c>
      <c r="H744" s="69">
        <v>838369</v>
      </c>
      <c r="I744" s="70">
        <f t="shared" si="181"/>
        <v>0.3342869742879791</v>
      </c>
      <c r="J744" s="69">
        <v>9671</v>
      </c>
      <c r="K744" s="70">
        <f t="shared" si="182"/>
        <v>3.8561651591829445E-3</v>
      </c>
      <c r="L744" s="70">
        <f t="shared" si="183"/>
        <v>1.1535493320960103E-2</v>
      </c>
      <c r="M744" s="69">
        <v>4761</v>
      </c>
      <c r="N744" s="70">
        <f t="shared" si="184"/>
        <v>1.8983768299937957E-3</v>
      </c>
      <c r="O744" s="67" t="s">
        <v>16</v>
      </c>
    </row>
    <row r="745" spans="1:15" x14ac:dyDescent="0.3">
      <c r="A745" s="76" t="s">
        <v>648</v>
      </c>
      <c r="B745" s="67" t="s">
        <v>15</v>
      </c>
      <c r="C745" s="67" t="s">
        <v>16</v>
      </c>
      <c r="D745" s="68">
        <v>45091</v>
      </c>
      <c r="E745" s="69">
        <v>2462411</v>
      </c>
      <c r="F745" s="70">
        <f t="shared" si="180"/>
        <v>0.99682790565831614</v>
      </c>
      <c r="G745" s="67">
        <v>7811</v>
      </c>
      <c r="H745" s="69">
        <v>924108</v>
      </c>
      <c r="I745" s="70">
        <f t="shared" si="181"/>
        <v>0.37528584789460412</v>
      </c>
      <c r="J745" s="69">
        <v>10712</v>
      </c>
      <c r="K745" s="70">
        <f t="shared" si="182"/>
        <v>4.3502079872125331E-3</v>
      </c>
      <c r="L745" s="70">
        <f t="shared" si="183"/>
        <v>1.1591718716859933E-2</v>
      </c>
      <c r="M745" s="69">
        <v>2463</v>
      </c>
      <c r="N745" s="70">
        <f t="shared" si="184"/>
        <v>1.000239196462329E-3</v>
      </c>
      <c r="O745" s="67" t="s">
        <v>16</v>
      </c>
    </row>
    <row r="746" spans="1:15" x14ac:dyDescent="0.3">
      <c r="A746" s="76" t="s">
        <v>649</v>
      </c>
      <c r="B746" s="67" t="s">
        <v>15</v>
      </c>
      <c r="C746" s="67" t="s">
        <v>16</v>
      </c>
      <c r="D746" s="68">
        <v>45092</v>
      </c>
      <c r="E746" s="69">
        <v>21427</v>
      </c>
      <c r="F746" s="70">
        <f t="shared" si="180"/>
        <v>0.99710645447332802</v>
      </c>
      <c r="G746" s="67">
        <v>62</v>
      </c>
      <c r="H746" s="69">
        <v>6281</v>
      </c>
      <c r="I746" s="70">
        <f t="shared" si="181"/>
        <v>0.29313482988752509</v>
      </c>
      <c r="J746" s="69">
        <v>54</v>
      </c>
      <c r="K746" s="70">
        <f t="shared" si="182"/>
        <v>2.520184813552994E-3</v>
      </c>
      <c r="L746" s="70">
        <f t="shared" si="183"/>
        <v>8.5973571087406466E-3</v>
      </c>
      <c r="M746" s="69">
        <v>7</v>
      </c>
      <c r="N746" s="70">
        <f t="shared" si="184"/>
        <v>3.2669062397909179E-4</v>
      </c>
      <c r="O746" s="67" t="s">
        <v>16</v>
      </c>
    </row>
    <row r="747" spans="1:15" x14ac:dyDescent="0.3">
      <c r="A747" s="76" t="s">
        <v>650</v>
      </c>
      <c r="B747" s="67" t="s">
        <v>15</v>
      </c>
      <c r="C747" s="67" t="s">
        <v>16</v>
      </c>
      <c r="D747" s="68">
        <v>45092</v>
      </c>
      <c r="E747" s="69">
        <v>370302</v>
      </c>
      <c r="F747" s="70">
        <f t="shared" si="180"/>
        <v>0.99729680098946261</v>
      </c>
      <c r="G747" s="67">
        <v>1001</v>
      </c>
      <c r="H747" s="69">
        <v>125205</v>
      </c>
      <c r="I747" s="70">
        <f t="shared" si="181"/>
        <v>0.3381159161981302</v>
      </c>
      <c r="J747" s="69">
        <v>830</v>
      </c>
      <c r="K747" s="70">
        <f t="shared" si="182"/>
        <v>2.2414137649810154E-3</v>
      </c>
      <c r="L747" s="70">
        <f t="shared" si="183"/>
        <v>6.6291282297032865E-3</v>
      </c>
      <c r="M747" s="69">
        <v>210</v>
      </c>
      <c r="N747" s="70">
        <f t="shared" si="184"/>
        <v>5.6710468752531719E-4</v>
      </c>
      <c r="O747" s="67" t="s">
        <v>16</v>
      </c>
    </row>
    <row r="748" spans="1:15" x14ac:dyDescent="0.3">
      <c r="A748" s="76" t="s">
        <v>651</v>
      </c>
      <c r="B748" s="67" t="s">
        <v>15</v>
      </c>
      <c r="C748" s="67" t="s">
        <v>16</v>
      </c>
      <c r="D748" s="68">
        <v>45092</v>
      </c>
      <c r="E748" s="69">
        <v>1143</v>
      </c>
      <c r="F748" s="70">
        <f t="shared" si="180"/>
        <v>0.99475065616797897</v>
      </c>
      <c r="G748" s="67">
        <v>6</v>
      </c>
      <c r="H748" s="69">
        <v>339</v>
      </c>
      <c r="I748" s="70">
        <f t="shared" si="181"/>
        <v>0.29658792650918636</v>
      </c>
      <c r="J748" s="69">
        <v>4</v>
      </c>
      <c r="K748" s="70">
        <f t="shared" si="182"/>
        <v>3.499562554680665E-3</v>
      </c>
      <c r="L748" s="70">
        <f t="shared" si="183"/>
        <v>1.1799410029498525E-2</v>
      </c>
      <c r="M748" s="69">
        <v>0</v>
      </c>
      <c r="N748" s="70">
        <f t="shared" si="184"/>
        <v>0</v>
      </c>
      <c r="O748" s="67" t="s">
        <v>16</v>
      </c>
    </row>
    <row r="749" spans="1:15" x14ac:dyDescent="0.3">
      <c r="A749" s="76" t="s">
        <v>652</v>
      </c>
      <c r="B749" s="67" t="s">
        <v>15</v>
      </c>
      <c r="C749" s="67" t="s">
        <v>16</v>
      </c>
      <c r="D749" s="68">
        <v>45092</v>
      </c>
      <c r="E749" s="69">
        <v>19550</v>
      </c>
      <c r="F749" s="70">
        <f t="shared" si="180"/>
        <v>0.99713554987212272</v>
      </c>
      <c r="G749" s="67">
        <v>56</v>
      </c>
      <c r="H749" s="69">
        <v>6574</v>
      </c>
      <c r="I749" s="70">
        <f t="shared" si="181"/>
        <v>0.33626598465473145</v>
      </c>
      <c r="J749" s="69">
        <v>37</v>
      </c>
      <c r="K749" s="70">
        <f t="shared" si="182"/>
        <v>1.8925831202046036E-3</v>
      </c>
      <c r="L749" s="70">
        <f t="shared" si="183"/>
        <v>5.6282324307879526E-3</v>
      </c>
      <c r="M749" s="69">
        <v>9</v>
      </c>
      <c r="N749" s="70">
        <f t="shared" si="184"/>
        <v>4.6035805626598467E-4</v>
      </c>
      <c r="O749" s="67" t="s">
        <v>16</v>
      </c>
    </row>
    <row r="750" spans="1:15" x14ac:dyDescent="0.3">
      <c r="A750" s="76" t="s">
        <v>653</v>
      </c>
      <c r="B750" s="67" t="s">
        <v>18</v>
      </c>
      <c r="C750" s="67" t="s">
        <v>102</v>
      </c>
      <c r="D750" s="68">
        <v>45092</v>
      </c>
      <c r="E750" s="69">
        <v>2073</v>
      </c>
      <c r="F750" s="70">
        <f t="shared" si="180"/>
        <v>0.99807042932947421</v>
      </c>
      <c r="G750" s="67">
        <v>4</v>
      </c>
      <c r="H750" s="69">
        <v>764</v>
      </c>
      <c r="I750" s="70">
        <f t="shared" si="181"/>
        <v>0.36854799807042932</v>
      </c>
      <c r="J750" s="69">
        <v>12</v>
      </c>
      <c r="K750" s="70">
        <f t="shared" si="182"/>
        <v>5.7887120115774236E-3</v>
      </c>
      <c r="L750" s="70">
        <f t="shared" si="183"/>
        <v>1.5706806282722512E-2</v>
      </c>
      <c r="M750" s="69">
        <v>2</v>
      </c>
      <c r="N750" s="70">
        <f t="shared" si="184"/>
        <v>9.6478533526290404E-4</v>
      </c>
      <c r="O750" s="67" t="s">
        <v>102</v>
      </c>
    </row>
    <row r="751" spans="1:15" x14ac:dyDescent="0.3">
      <c r="A751" s="76" t="s">
        <v>653</v>
      </c>
      <c r="B751" s="67" t="s">
        <v>15</v>
      </c>
      <c r="C751" s="67" t="s">
        <v>102</v>
      </c>
      <c r="D751" s="68">
        <v>45092</v>
      </c>
      <c r="E751" s="69">
        <v>2899</v>
      </c>
      <c r="F751" s="70">
        <f t="shared" si="180"/>
        <v>0.99689548120041394</v>
      </c>
      <c r="G751" s="67">
        <v>9</v>
      </c>
      <c r="H751" s="69">
        <v>1177</v>
      </c>
      <c r="I751" s="70">
        <f t="shared" si="181"/>
        <v>0.40600206967919972</v>
      </c>
      <c r="J751" s="69">
        <v>29</v>
      </c>
      <c r="K751" s="70">
        <f t="shared" si="182"/>
        <v>1.0003449465332874E-2</v>
      </c>
      <c r="L751" s="70">
        <f t="shared" si="183"/>
        <v>2.4638912489379779E-2</v>
      </c>
      <c r="M751" s="69">
        <v>0</v>
      </c>
      <c r="N751" s="70">
        <f t="shared" si="184"/>
        <v>0</v>
      </c>
      <c r="O751" s="67" t="s">
        <v>102</v>
      </c>
    </row>
    <row r="752" spans="1:15" x14ac:dyDescent="0.3">
      <c r="A752" s="76" t="s">
        <v>654</v>
      </c>
      <c r="B752" s="67" t="s">
        <v>18</v>
      </c>
      <c r="C752" s="67" t="s">
        <v>102</v>
      </c>
      <c r="D752" s="68">
        <v>45092</v>
      </c>
      <c r="E752" s="69">
        <v>16260</v>
      </c>
      <c r="F752" s="70">
        <f t="shared" si="180"/>
        <v>0.99772447724477242</v>
      </c>
      <c r="G752" s="67">
        <v>37</v>
      </c>
      <c r="H752" s="69">
        <v>7339</v>
      </c>
      <c r="I752" s="70">
        <f t="shared" si="181"/>
        <v>0.45135301353013529</v>
      </c>
      <c r="J752" s="69">
        <v>146</v>
      </c>
      <c r="K752" s="70">
        <f t="shared" si="182"/>
        <v>8.9790897908979088E-3</v>
      </c>
      <c r="L752" s="70">
        <f t="shared" si="183"/>
        <v>1.9893718490257527E-2</v>
      </c>
      <c r="M752" s="69">
        <v>25</v>
      </c>
      <c r="N752" s="70">
        <f t="shared" si="184"/>
        <v>1.5375153751537515E-3</v>
      </c>
      <c r="O752" s="67" t="s">
        <v>102</v>
      </c>
    </row>
    <row r="753" spans="1:15" x14ac:dyDescent="0.3">
      <c r="A753" s="76" t="s">
        <v>654</v>
      </c>
      <c r="B753" s="67" t="s">
        <v>15</v>
      </c>
      <c r="C753" s="67" t="s">
        <v>102</v>
      </c>
      <c r="D753" s="68">
        <v>45092</v>
      </c>
      <c r="E753" s="69">
        <v>84433</v>
      </c>
      <c r="F753" s="70">
        <f t="shared" si="180"/>
        <v>0.99816422488837298</v>
      </c>
      <c r="G753" s="67">
        <v>155</v>
      </c>
      <c r="H753" s="69">
        <v>34218</v>
      </c>
      <c r="I753" s="70">
        <f t="shared" si="181"/>
        <v>0.40526808238484952</v>
      </c>
      <c r="J753" s="69">
        <v>561</v>
      </c>
      <c r="K753" s="70">
        <f t="shared" si="182"/>
        <v>6.6443215330498741E-3</v>
      </c>
      <c r="L753" s="70">
        <f t="shared" si="183"/>
        <v>1.6394879887778362E-2</v>
      </c>
      <c r="M753" s="69">
        <v>29</v>
      </c>
      <c r="N753" s="70">
        <f t="shared" si="184"/>
        <v>3.434676015302074E-4</v>
      </c>
      <c r="O753" s="67" t="s">
        <v>102</v>
      </c>
    </row>
    <row r="754" spans="1:15" x14ac:dyDescent="0.3">
      <c r="A754" s="66" t="s">
        <v>26</v>
      </c>
      <c r="B754" s="67"/>
      <c r="C754" s="67" t="s">
        <v>23</v>
      </c>
      <c r="D754" s="68">
        <v>45092</v>
      </c>
      <c r="E754" s="69">
        <v>1641</v>
      </c>
      <c r="F754" s="70">
        <f t="shared" si="180"/>
        <v>0.99878123095673366</v>
      </c>
      <c r="G754" s="67">
        <v>2</v>
      </c>
      <c r="H754" s="69">
        <v>580</v>
      </c>
      <c r="I754" s="70">
        <f t="shared" si="181"/>
        <v>0.35344302254722731</v>
      </c>
      <c r="J754" s="69">
        <v>15</v>
      </c>
      <c r="K754" s="70">
        <f t="shared" si="182"/>
        <v>9.140767824497258E-3</v>
      </c>
      <c r="L754" s="70">
        <f t="shared" si="183"/>
        <v>2.5862068965517241E-2</v>
      </c>
      <c r="M754" s="69">
        <v>0</v>
      </c>
      <c r="N754" s="70">
        <f t="shared" si="184"/>
        <v>0</v>
      </c>
      <c r="O754" s="67" t="s">
        <v>23</v>
      </c>
    </row>
    <row r="755" spans="1:15" x14ac:dyDescent="0.3">
      <c r="A755" s="76" t="s">
        <v>658</v>
      </c>
      <c r="B755" s="67" t="s">
        <v>18</v>
      </c>
      <c r="C755" s="67" t="s">
        <v>21</v>
      </c>
      <c r="D755" s="68">
        <v>45093</v>
      </c>
      <c r="E755" s="69">
        <v>352</v>
      </c>
      <c r="F755" s="70">
        <f t="shared" si="180"/>
        <v>1</v>
      </c>
      <c r="G755" s="67">
        <v>0</v>
      </c>
      <c r="H755" s="69">
        <v>132</v>
      </c>
      <c r="I755" s="70">
        <f t="shared" si="181"/>
        <v>0.375</v>
      </c>
      <c r="J755" s="69">
        <v>1</v>
      </c>
      <c r="K755" s="70">
        <f t="shared" si="182"/>
        <v>2.840909090909091E-3</v>
      </c>
      <c r="L755" s="70">
        <f t="shared" si="183"/>
        <v>7.575757575757576E-3</v>
      </c>
      <c r="M755" s="69">
        <v>0</v>
      </c>
      <c r="N755" s="70">
        <f t="shared" si="184"/>
        <v>0</v>
      </c>
      <c r="O755" s="67" t="s">
        <v>21</v>
      </c>
    </row>
    <row r="756" spans="1:15" x14ac:dyDescent="0.3">
      <c r="A756" s="76" t="s">
        <v>658</v>
      </c>
      <c r="B756" s="67" t="s">
        <v>15</v>
      </c>
      <c r="C756" s="67" t="s">
        <v>21</v>
      </c>
      <c r="D756" s="68">
        <v>45093</v>
      </c>
      <c r="E756" s="69">
        <v>282</v>
      </c>
      <c r="F756" s="70">
        <f t="shared" si="180"/>
        <v>1</v>
      </c>
      <c r="G756" s="67">
        <v>0</v>
      </c>
      <c r="H756" s="69">
        <v>127</v>
      </c>
      <c r="I756" s="70">
        <f t="shared" si="181"/>
        <v>0.450354609929078</v>
      </c>
      <c r="J756" s="69">
        <v>6</v>
      </c>
      <c r="K756" s="70">
        <f t="shared" si="182"/>
        <v>2.1276595744680851E-2</v>
      </c>
      <c r="L756" s="70">
        <f t="shared" si="183"/>
        <v>4.7244094488188976E-2</v>
      </c>
      <c r="M756" s="69">
        <v>0</v>
      </c>
      <c r="N756" s="70">
        <f t="shared" si="184"/>
        <v>0</v>
      </c>
      <c r="O756" s="67" t="s">
        <v>21</v>
      </c>
    </row>
    <row r="757" spans="1:15" x14ac:dyDescent="0.3">
      <c r="A757" s="76" t="s">
        <v>659</v>
      </c>
      <c r="B757" s="67" t="s">
        <v>18</v>
      </c>
      <c r="C757" s="67" t="s">
        <v>21</v>
      </c>
      <c r="D757" s="68">
        <v>45093</v>
      </c>
      <c r="E757" s="69">
        <v>5999</v>
      </c>
      <c r="F757" s="70">
        <f t="shared" si="180"/>
        <v>0.99799966661110184</v>
      </c>
      <c r="G757" s="67">
        <v>12</v>
      </c>
      <c r="H757" s="69">
        <v>3120</v>
      </c>
      <c r="I757" s="70">
        <f t="shared" si="181"/>
        <v>0.52008668111351897</v>
      </c>
      <c r="J757" s="69">
        <v>57</v>
      </c>
      <c r="K757" s="70">
        <f t="shared" si="182"/>
        <v>9.5015835972662114E-3</v>
      </c>
      <c r="L757" s="70">
        <f t="shared" si="183"/>
        <v>1.826923076923077E-2</v>
      </c>
      <c r="M757" s="69">
        <v>3</v>
      </c>
      <c r="N757" s="70">
        <f t="shared" si="184"/>
        <v>5.0008334722453744E-4</v>
      </c>
      <c r="O757" s="67" t="s">
        <v>21</v>
      </c>
    </row>
    <row r="758" spans="1:15" x14ac:dyDescent="0.3">
      <c r="A758" s="76" t="s">
        <v>659</v>
      </c>
      <c r="B758" s="67" t="s">
        <v>15</v>
      </c>
      <c r="C758" s="67" t="s">
        <v>21</v>
      </c>
      <c r="D758" s="68">
        <v>45093</v>
      </c>
      <c r="E758" s="69">
        <v>10322</v>
      </c>
      <c r="F758" s="70">
        <f t="shared" si="180"/>
        <v>0.99786863011044369</v>
      </c>
      <c r="G758" s="67">
        <v>22</v>
      </c>
      <c r="H758" s="69">
        <v>5500</v>
      </c>
      <c r="I758" s="70">
        <f t="shared" si="181"/>
        <v>0.5328424723890719</v>
      </c>
      <c r="J758" s="69">
        <v>118</v>
      </c>
      <c r="K758" s="70">
        <f t="shared" si="182"/>
        <v>1.1431893043983725E-2</v>
      </c>
      <c r="L758" s="70">
        <f t="shared" si="183"/>
        <v>2.1454545454545455E-2</v>
      </c>
      <c r="M758" s="69">
        <v>1</v>
      </c>
      <c r="N758" s="70">
        <f t="shared" si="184"/>
        <v>9.6880449525285791E-5</v>
      </c>
      <c r="O758" s="67" t="s">
        <v>21</v>
      </c>
    </row>
    <row r="759" spans="1:15" x14ac:dyDescent="0.3">
      <c r="A759" s="76" t="s">
        <v>655</v>
      </c>
      <c r="B759" s="67" t="s">
        <v>18</v>
      </c>
      <c r="C759" s="67" t="s">
        <v>16</v>
      </c>
      <c r="D759" s="68">
        <v>45093</v>
      </c>
      <c r="E759" s="69">
        <v>105614</v>
      </c>
      <c r="F759" s="70">
        <f t="shared" si="180"/>
        <v>0.99721627814494296</v>
      </c>
      <c r="G759" s="67">
        <v>294</v>
      </c>
      <c r="H759" s="69">
        <v>35336</v>
      </c>
      <c r="I759" s="70">
        <f t="shared" si="181"/>
        <v>0.33457685534114795</v>
      </c>
      <c r="J759" s="69">
        <v>282</v>
      </c>
      <c r="K759" s="70">
        <f t="shared" si="182"/>
        <v>2.6701005548506827E-3</v>
      </c>
      <c r="L759" s="70">
        <f t="shared" si="183"/>
        <v>7.9805297713380127E-3</v>
      </c>
      <c r="M759" s="69">
        <v>30</v>
      </c>
      <c r="N759" s="70">
        <f t="shared" si="184"/>
        <v>2.8405325051603005E-4</v>
      </c>
      <c r="O759" s="67" t="s">
        <v>16</v>
      </c>
    </row>
    <row r="760" spans="1:15" x14ac:dyDescent="0.3">
      <c r="A760" s="76" t="s">
        <v>655</v>
      </c>
      <c r="B760" s="67" t="s">
        <v>15</v>
      </c>
      <c r="C760" s="67" t="s">
        <v>16</v>
      </c>
      <c r="D760" s="68">
        <v>45093</v>
      </c>
      <c r="E760" s="69">
        <v>187116</v>
      </c>
      <c r="F760" s="70">
        <f t="shared" si="180"/>
        <v>0.99722097522392528</v>
      </c>
      <c r="G760" s="67">
        <v>520</v>
      </c>
      <c r="H760" s="69">
        <v>72724</v>
      </c>
      <c r="I760" s="70">
        <f t="shared" si="181"/>
        <v>0.38865730349088268</v>
      </c>
      <c r="J760" s="69">
        <v>553</v>
      </c>
      <c r="K760" s="70">
        <f t="shared" si="182"/>
        <v>2.9553859637871695E-3</v>
      </c>
      <c r="L760" s="70">
        <f t="shared" si="183"/>
        <v>7.6040921841482867E-3</v>
      </c>
      <c r="M760" s="69">
        <v>21</v>
      </c>
      <c r="N760" s="70">
        <f t="shared" si="184"/>
        <v>1.1222984672609504E-4</v>
      </c>
      <c r="O760" s="67" t="s">
        <v>16</v>
      </c>
    </row>
    <row r="761" spans="1:15" x14ac:dyDescent="0.3">
      <c r="A761" s="76" t="s">
        <v>28</v>
      </c>
      <c r="B761" s="67" t="s">
        <v>18</v>
      </c>
      <c r="C761" s="67" t="s">
        <v>16</v>
      </c>
      <c r="D761" s="68">
        <v>45093</v>
      </c>
      <c r="E761" s="69">
        <v>206333</v>
      </c>
      <c r="F761" s="70">
        <f t="shared" si="180"/>
        <v>0.99789175749880044</v>
      </c>
      <c r="G761" s="67">
        <v>435</v>
      </c>
      <c r="H761" s="69">
        <v>59044</v>
      </c>
      <c r="I761" s="70">
        <f t="shared" si="181"/>
        <v>0.28615878216281448</v>
      </c>
      <c r="J761" s="69">
        <v>1033</v>
      </c>
      <c r="K761" s="70">
        <f t="shared" si="182"/>
        <v>5.0064701235381639E-3</v>
      </c>
      <c r="L761" s="70">
        <f t="shared" si="183"/>
        <v>1.7495427139082718E-2</v>
      </c>
      <c r="M761" s="69">
        <v>54</v>
      </c>
      <c r="N761" s="70">
        <f t="shared" si="184"/>
        <v>2.6171286221787109E-4</v>
      </c>
      <c r="O761" s="67" t="s">
        <v>16</v>
      </c>
    </row>
    <row r="762" spans="1:15" x14ac:dyDescent="0.3">
      <c r="A762" s="76" t="s">
        <v>28</v>
      </c>
      <c r="B762" s="67" t="s">
        <v>15</v>
      </c>
      <c r="C762" s="67" t="s">
        <v>16</v>
      </c>
      <c r="D762" s="68">
        <v>45093</v>
      </c>
      <c r="E762" s="69">
        <v>105902</v>
      </c>
      <c r="F762" s="70">
        <f t="shared" si="180"/>
        <v>0.99721440577137355</v>
      </c>
      <c r="G762" s="67">
        <v>295</v>
      </c>
      <c r="H762" s="69">
        <v>32236</v>
      </c>
      <c r="I762" s="70">
        <f t="shared" si="181"/>
        <v>0.30439462899661951</v>
      </c>
      <c r="J762" s="69">
        <v>622</v>
      </c>
      <c r="K762" s="70">
        <f t="shared" si="182"/>
        <v>5.8733546108666506E-3</v>
      </c>
      <c r="L762" s="70">
        <f t="shared" si="183"/>
        <v>1.9295197915374117E-2</v>
      </c>
      <c r="M762" s="69">
        <v>13</v>
      </c>
      <c r="N762" s="70">
        <f t="shared" si="184"/>
        <v>1.2275499990557306E-4</v>
      </c>
      <c r="O762" s="67" t="s">
        <v>16</v>
      </c>
    </row>
    <row r="763" spans="1:15" x14ac:dyDescent="0.3">
      <c r="A763" s="76" t="s">
        <v>22</v>
      </c>
      <c r="B763" s="67" t="s">
        <v>18</v>
      </c>
      <c r="C763" s="67" t="s">
        <v>16</v>
      </c>
      <c r="D763" s="68">
        <v>45093</v>
      </c>
      <c r="E763" s="69">
        <v>2346541</v>
      </c>
      <c r="F763" s="70">
        <f t="shared" si="180"/>
        <v>0.99746435284957735</v>
      </c>
      <c r="G763" s="67">
        <v>5950</v>
      </c>
      <c r="H763" s="69">
        <v>759705</v>
      </c>
      <c r="I763" s="70">
        <f t="shared" si="181"/>
        <v>0.32375526359863305</v>
      </c>
      <c r="J763" s="69">
        <v>9756</v>
      </c>
      <c r="K763" s="70">
        <f t="shared" si="182"/>
        <v>4.1576090083233147E-3</v>
      </c>
      <c r="L763" s="70">
        <f t="shared" si="183"/>
        <v>1.2841826761703557E-2</v>
      </c>
      <c r="M763" s="69">
        <v>819</v>
      </c>
      <c r="N763" s="70">
        <f t="shared" si="184"/>
        <v>3.4902437246994619E-4</v>
      </c>
      <c r="O763" s="67" t="s">
        <v>16</v>
      </c>
    </row>
    <row r="764" spans="1:15" x14ac:dyDescent="0.3">
      <c r="A764" s="76" t="s">
        <v>22</v>
      </c>
      <c r="B764" s="67" t="s">
        <v>15</v>
      </c>
      <c r="C764" s="67" t="s">
        <v>16</v>
      </c>
      <c r="D764" s="68">
        <v>45093</v>
      </c>
      <c r="E764" s="69">
        <v>2037103</v>
      </c>
      <c r="F764" s="70">
        <f t="shared" si="180"/>
        <v>0.99706200422855396</v>
      </c>
      <c r="G764" s="67">
        <v>5985</v>
      </c>
      <c r="H764" s="69">
        <v>696383</v>
      </c>
      <c r="I764" s="70">
        <f t="shared" si="181"/>
        <v>0.34184967574050013</v>
      </c>
      <c r="J764" s="69">
        <v>9043</v>
      </c>
      <c r="K764" s="70">
        <f t="shared" si="182"/>
        <v>4.4391471614346452E-3</v>
      </c>
      <c r="L764" s="70">
        <f t="shared" si="183"/>
        <v>1.2985670241806592E-2</v>
      </c>
      <c r="M764" s="69">
        <v>400</v>
      </c>
      <c r="N764" s="70">
        <f t="shared" si="184"/>
        <v>1.9635727795796286E-4</v>
      </c>
      <c r="O764" s="67" t="s">
        <v>16</v>
      </c>
    </row>
    <row r="765" spans="1:15" x14ac:dyDescent="0.3">
      <c r="A765" s="76" t="s">
        <v>33</v>
      </c>
      <c r="B765" s="67" t="s">
        <v>18</v>
      </c>
      <c r="C765" s="67" t="s">
        <v>21</v>
      </c>
      <c r="D765" s="68">
        <v>45093</v>
      </c>
      <c r="E765" s="69">
        <v>232748</v>
      </c>
      <c r="F765" s="70">
        <f t="shared" si="180"/>
        <v>0.99796775912145319</v>
      </c>
      <c r="G765" s="67">
        <v>473</v>
      </c>
      <c r="H765" s="69">
        <v>102640</v>
      </c>
      <c r="I765" s="70">
        <f t="shared" si="181"/>
        <v>0.44099197415230207</v>
      </c>
      <c r="J765" s="69">
        <v>1887</v>
      </c>
      <c r="K765" s="70">
        <f t="shared" si="182"/>
        <v>8.1074810524687652E-3</v>
      </c>
      <c r="L765" s="70">
        <f t="shared" si="183"/>
        <v>1.8384645362431801E-2</v>
      </c>
      <c r="M765" s="69">
        <v>41</v>
      </c>
      <c r="N765" s="70">
        <f t="shared" si="184"/>
        <v>1.761561860896764E-4</v>
      </c>
      <c r="O765" s="67" t="s">
        <v>21</v>
      </c>
    </row>
    <row r="766" spans="1:15" x14ac:dyDescent="0.3">
      <c r="A766" s="76" t="s">
        <v>19</v>
      </c>
      <c r="B766" s="67" t="s">
        <v>18</v>
      </c>
      <c r="C766" s="67" t="s">
        <v>21</v>
      </c>
      <c r="D766" s="68">
        <v>45093</v>
      </c>
      <c r="E766" s="69">
        <v>331907</v>
      </c>
      <c r="F766" s="70">
        <f t="shared" si="180"/>
        <v>0.99636645204831475</v>
      </c>
      <c r="G766" s="67">
        <v>1206</v>
      </c>
      <c r="H766" s="69">
        <v>119489</v>
      </c>
      <c r="I766" s="70">
        <f t="shared" si="181"/>
        <v>0.3600074719725706</v>
      </c>
      <c r="J766" s="69">
        <v>2322</v>
      </c>
      <c r="K766" s="70">
        <f t="shared" si="182"/>
        <v>6.9959356084686375E-3</v>
      </c>
      <c r="L766" s="70">
        <f t="shared" si="183"/>
        <v>1.9432751131903354E-2</v>
      </c>
      <c r="M766" s="69">
        <v>69</v>
      </c>
      <c r="N766" s="70">
        <f t="shared" si="184"/>
        <v>2.0788955942477864E-4</v>
      </c>
      <c r="O766" s="67" t="s">
        <v>21</v>
      </c>
    </row>
    <row r="767" spans="1:15" x14ac:dyDescent="0.3">
      <c r="A767" s="76" t="s">
        <v>75</v>
      </c>
      <c r="B767" s="67" t="s">
        <v>15</v>
      </c>
      <c r="C767" s="67" t="s">
        <v>16</v>
      </c>
      <c r="D767" s="68">
        <v>45094</v>
      </c>
      <c r="E767" s="69">
        <v>29593</v>
      </c>
      <c r="F767" s="70">
        <f t="shared" si="180"/>
        <v>0.99797249349508332</v>
      </c>
      <c r="G767" s="67">
        <v>60</v>
      </c>
      <c r="H767" s="69">
        <v>8584</v>
      </c>
      <c r="I767" s="70">
        <f t="shared" si="181"/>
        <v>0.29006859730341633</v>
      </c>
      <c r="J767" s="69">
        <v>261</v>
      </c>
      <c r="K767" s="70">
        <f t="shared" si="182"/>
        <v>8.8196532963876594E-3</v>
      </c>
      <c r="L767" s="70">
        <f t="shared" si="183"/>
        <v>3.0405405405405407E-2</v>
      </c>
      <c r="M767" s="69">
        <v>2</v>
      </c>
      <c r="N767" s="70">
        <f t="shared" si="184"/>
        <v>6.7583550163890106E-5</v>
      </c>
      <c r="O767" s="67" t="s">
        <v>16</v>
      </c>
    </row>
    <row r="768" spans="1:15" x14ac:dyDescent="0.3">
      <c r="A768" s="76" t="s">
        <v>78</v>
      </c>
      <c r="B768" s="67" t="s">
        <v>15</v>
      </c>
      <c r="C768" s="67" t="s">
        <v>16</v>
      </c>
      <c r="D768" s="68">
        <v>45094</v>
      </c>
      <c r="E768" s="69">
        <v>476813</v>
      </c>
      <c r="F768" s="70">
        <f t="shared" si="180"/>
        <v>0.99746231751231618</v>
      </c>
      <c r="G768" s="67">
        <v>1210</v>
      </c>
      <c r="H768" s="69">
        <v>153105</v>
      </c>
      <c r="I768" s="70">
        <f t="shared" si="181"/>
        <v>0.32110072502217851</v>
      </c>
      <c r="J768" s="69">
        <v>2584</v>
      </c>
      <c r="K768" s="70">
        <f t="shared" si="182"/>
        <v>5.4193153290703067E-3</v>
      </c>
      <c r="L768" s="70">
        <f t="shared" si="183"/>
        <v>1.6877306423696156E-2</v>
      </c>
      <c r="M768" s="69">
        <v>52</v>
      </c>
      <c r="N768" s="70">
        <f t="shared" si="184"/>
        <v>1.0905742922277707E-4</v>
      </c>
      <c r="O768" s="67" t="s">
        <v>16</v>
      </c>
    </row>
    <row r="769" spans="1:15" x14ac:dyDescent="0.3">
      <c r="A769" s="95" t="s">
        <v>668</v>
      </c>
      <c r="B769" s="58" t="s">
        <v>15</v>
      </c>
      <c r="C769" s="58" t="s">
        <v>16</v>
      </c>
      <c r="D769" s="83">
        <v>45096</v>
      </c>
      <c r="E769" s="59">
        <v>32908</v>
      </c>
      <c r="F769" s="60">
        <f t="shared" ref="F769" si="185">(E769-G769)/E769</f>
        <v>0.99796402090677039</v>
      </c>
      <c r="G769" s="58">
        <v>67</v>
      </c>
      <c r="H769" s="59">
        <v>10420</v>
      </c>
      <c r="I769" s="60">
        <f t="shared" ref="I769" si="186">H769/E769</f>
        <v>0.31664033061869457</v>
      </c>
      <c r="J769" s="59">
        <v>162</v>
      </c>
      <c r="K769" s="60">
        <f t="shared" ref="K769" si="187">J769/E769</f>
        <v>4.922815120943236E-3</v>
      </c>
      <c r="L769" s="60">
        <f t="shared" ref="L769" si="188">J769/H769</f>
        <v>1.5547024952015355E-2</v>
      </c>
      <c r="M769" s="59">
        <v>10</v>
      </c>
      <c r="N769" s="60">
        <f t="shared" ref="N769" si="189">M769/E769</f>
        <v>3.0387747660143429E-4</v>
      </c>
      <c r="O769" s="58" t="s">
        <v>16</v>
      </c>
    </row>
    <row r="770" spans="1:15" x14ac:dyDescent="0.3">
      <c r="A770" s="95" t="s">
        <v>668</v>
      </c>
      <c r="B770" s="58" t="s">
        <v>18</v>
      </c>
      <c r="C770" s="58" t="s">
        <v>16</v>
      </c>
      <c r="D770" s="83">
        <v>45096</v>
      </c>
      <c r="E770" s="59">
        <v>72284</v>
      </c>
      <c r="F770" s="60">
        <f t="shared" ref="F770:F798" si="190">(E770-G770)/E770</f>
        <v>0.99807702949477062</v>
      </c>
      <c r="G770" s="58">
        <v>139</v>
      </c>
      <c r="H770" s="59">
        <v>20984</v>
      </c>
      <c r="I770" s="60">
        <f t="shared" ref="I770:I798" si="191">H770/E770</f>
        <v>0.2902993746887278</v>
      </c>
      <c r="J770" s="59">
        <v>260</v>
      </c>
      <c r="K770" s="60">
        <f t="shared" ref="K770:K798" si="192">J770/E770</f>
        <v>3.5969232471916332E-3</v>
      </c>
      <c r="L770" s="60">
        <f t="shared" ref="L770:L798" si="193">J770/H770</f>
        <v>1.2390392680137247E-2</v>
      </c>
      <c r="M770" s="59">
        <v>103</v>
      </c>
      <c r="N770" s="60">
        <f t="shared" ref="N770:N798" si="194">M770/E770</f>
        <v>1.4249349786951469E-3</v>
      </c>
      <c r="O770" s="58" t="s">
        <v>16</v>
      </c>
    </row>
    <row r="771" spans="1:15" x14ac:dyDescent="0.3">
      <c r="A771" s="95" t="s">
        <v>669</v>
      </c>
      <c r="B771" s="58" t="s">
        <v>15</v>
      </c>
      <c r="C771" s="58" t="s">
        <v>16</v>
      </c>
      <c r="D771" s="83">
        <v>45096</v>
      </c>
      <c r="E771" s="59">
        <v>533727</v>
      </c>
      <c r="F771" s="60">
        <f t="shared" si="190"/>
        <v>0.99751371019266399</v>
      </c>
      <c r="G771" s="58">
        <v>1327</v>
      </c>
      <c r="H771" s="59">
        <v>216067</v>
      </c>
      <c r="I771" s="60">
        <f t="shared" si="191"/>
        <v>0.40482681220923805</v>
      </c>
      <c r="J771" s="59">
        <v>2517</v>
      </c>
      <c r="K771" s="60">
        <f t="shared" si="192"/>
        <v>4.7158940806816966E-3</v>
      </c>
      <c r="L771" s="60">
        <f t="shared" si="193"/>
        <v>1.1649164379567449E-2</v>
      </c>
      <c r="M771" s="59">
        <v>374</v>
      </c>
      <c r="N771" s="60">
        <f t="shared" si="194"/>
        <v>7.0073277162294579E-4</v>
      </c>
      <c r="O771" s="58" t="s">
        <v>16</v>
      </c>
    </row>
    <row r="772" spans="1:15" x14ac:dyDescent="0.3">
      <c r="A772" s="95" t="s">
        <v>669</v>
      </c>
      <c r="B772" s="58" t="s">
        <v>18</v>
      </c>
      <c r="C772" s="58" t="s">
        <v>16</v>
      </c>
      <c r="D772" s="83">
        <v>45096</v>
      </c>
      <c r="E772" s="59">
        <v>660849</v>
      </c>
      <c r="F772" s="60">
        <f t="shared" si="190"/>
        <v>0.99770446804035418</v>
      </c>
      <c r="G772" s="58">
        <v>1517</v>
      </c>
      <c r="H772" s="59">
        <v>234778</v>
      </c>
      <c r="I772" s="60">
        <f t="shared" si="191"/>
        <v>0.35526723956607331</v>
      </c>
      <c r="J772" s="59">
        <v>2263</v>
      </c>
      <c r="K772" s="60">
        <f t="shared" si="192"/>
        <v>3.4243828771776913E-3</v>
      </c>
      <c r="L772" s="60">
        <f t="shared" si="193"/>
        <v>9.6388929116015976E-3</v>
      </c>
      <c r="M772" s="59">
        <v>989</v>
      </c>
      <c r="N772" s="60">
        <f t="shared" si="194"/>
        <v>1.4965597284704979E-3</v>
      </c>
      <c r="O772" s="58" t="s">
        <v>16</v>
      </c>
    </row>
    <row r="773" spans="1:15" x14ac:dyDescent="0.3">
      <c r="A773" s="95" t="s">
        <v>29</v>
      </c>
      <c r="B773" s="58" t="s">
        <v>15</v>
      </c>
      <c r="C773" s="58" t="s">
        <v>16</v>
      </c>
      <c r="D773" s="83">
        <v>45097</v>
      </c>
      <c r="E773" s="59">
        <v>26581</v>
      </c>
      <c r="F773" s="60">
        <f t="shared" si="190"/>
        <v>0.99702795229675334</v>
      </c>
      <c r="G773" s="58">
        <v>79</v>
      </c>
      <c r="H773" s="59">
        <v>8881</v>
      </c>
      <c r="I773" s="60">
        <f t="shared" si="191"/>
        <v>0.33411083104473122</v>
      </c>
      <c r="J773" s="59">
        <v>191</v>
      </c>
      <c r="K773" s="60">
        <f t="shared" si="192"/>
        <v>7.1855836875964032E-3</v>
      </c>
      <c r="L773" s="60">
        <f t="shared" si="193"/>
        <v>2.1506587096047743E-2</v>
      </c>
      <c r="M773" s="59">
        <v>8</v>
      </c>
      <c r="N773" s="60">
        <f t="shared" si="194"/>
        <v>3.0096685602498023E-4</v>
      </c>
      <c r="O773" s="58" t="s">
        <v>16</v>
      </c>
    </row>
    <row r="774" spans="1:15" x14ac:dyDescent="0.3">
      <c r="A774" s="95" t="s">
        <v>29</v>
      </c>
      <c r="B774" s="58" t="s">
        <v>18</v>
      </c>
      <c r="C774" s="58" t="s">
        <v>16</v>
      </c>
      <c r="D774" s="83">
        <v>45097</v>
      </c>
      <c r="E774" s="59">
        <v>27747</v>
      </c>
      <c r="F774" s="60">
        <f t="shared" si="190"/>
        <v>0.99834216311673329</v>
      </c>
      <c r="G774" s="58">
        <v>46</v>
      </c>
      <c r="H774" s="59">
        <v>9448</v>
      </c>
      <c r="I774" s="60">
        <f t="shared" si="191"/>
        <v>0.34050527985007389</v>
      </c>
      <c r="J774" s="59">
        <v>165</v>
      </c>
      <c r="K774" s="60">
        <f t="shared" si="192"/>
        <v>5.946588820413018E-3</v>
      </c>
      <c r="L774" s="60">
        <f t="shared" si="193"/>
        <v>1.7464013547840811E-2</v>
      </c>
      <c r="M774" s="59">
        <v>20</v>
      </c>
      <c r="N774" s="60">
        <f t="shared" si="194"/>
        <v>7.2079864489854757E-4</v>
      </c>
      <c r="O774" s="58" t="s">
        <v>16</v>
      </c>
    </row>
    <row r="775" spans="1:15" x14ac:dyDescent="0.3">
      <c r="A775" s="95" t="s">
        <v>17</v>
      </c>
      <c r="B775" s="58" t="s">
        <v>15</v>
      </c>
      <c r="C775" s="58" t="s">
        <v>16</v>
      </c>
      <c r="D775" s="83">
        <v>45097</v>
      </c>
      <c r="E775" s="59">
        <v>245145</v>
      </c>
      <c r="F775" s="60">
        <f t="shared" si="190"/>
        <v>0.99704256664423097</v>
      </c>
      <c r="G775" s="58">
        <v>725</v>
      </c>
      <c r="H775" s="59">
        <v>85179</v>
      </c>
      <c r="I775" s="60">
        <f t="shared" si="191"/>
        <v>0.34746374594627671</v>
      </c>
      <c r="J775" s="59">
        <v>1355</v>
      </c>
      <c r="K775" s="60">
        <f t="shared" si="192"/>
        <v>5.5273409614717819E-3</v>
      </c>
      <c r="L775" s="60">
        <f t="shared" si="193"/>
        <v>1.590767677479191E-2</v>
      </c>
      <c r="M775" s="59">
        <v>117</v>
      </c>
      <c r="N775" s="60">
        <f t="shared" si="194"/>
        <v>4.7726855534479596E-4</v>
      </c>
      <c r="O775" s="58" t="s">
        <v>16</v>
      </c>
    </row>
    <row r="776" spans="1:15" x14ac:dyDescent="0.3">
      <c r="A776" s="95" t="s">
        <v>17</v>
      </c>
      <c r="B776" s="58" t="s">
        <v>18</v>
      </c>
      <c r="C776" s="58" t="s">
        <v>16</v>
      </c>
      <c r="D776" s="83">
        <v>45097</v>
      </c>
      <c r="E776" s="59">
        <v>477617</v>
      </c>
      <c r="F776" s="60">
        <f t="shared" si="190"/>
        <v>0.99774296141050256</v>
      </c>
      <c r="G776" s="58">
        <v>1078</v>
      </c>
      <c r="H776" s="59">
        <v>177179</v>
      </c>
      <c r="I776" s="60">
        <f t="shared" si="191"/>
        <v>0.37096460134375453</v>
      </c>
      <c r="J776" s="59">
        <v>2060</v>
      </c>
      <c r="K776" s="60">
        <f t="shared" si="192"/>
        <v>4.3130793083160776E-3</v>
      </c>
      <c r="L776" s="60">
        <f t="shared" si="193"/>
        <v>1.1626660044361916E-2</v>
      </c>
      <c r="M776" s="59">
        <v>406</v>
      </c>
      <c r="N776" s="60">
        <f t="shared" si="194"/>
        <v>8.5005349474579005E-4</v>
      </c>
      <c r="O776" s="58" t="s">
        <v>16</v>
      </c>
    </row>
    <row r="777" spans="1:15" x14ac:dyDescent="0.3">
      <c r="A777" s="95" t="s">
        <v>670</v>
      </c>
      <c r="B777" s="58"/>
      <c r="C777" s="58" t="s">
        <v>98</v>
      </c>
      <c r="D777" s="83">
        <v>45097</v>
      </c>
      <c r="E777" s="59">
        <v>7347</v>
      </c>
      <c r="F777" s="60">
        <f t="shared" si="190"/>
        <v>0.978494623655914</v>
      </c>
      <c r="G777" s="58">
        <v>158</v>
      </c>
      <c r="H777" s="59">
        <v>2291</v>
      </c>
      <c r="I777" s="60">
        <f t="shared" si="191"/>
        <v>0.31182795698924731</v>
      </c>
      <c r="J777" s="59">
        <v>185</v>
      </c>
      <c r="K777" s="60">
        <f t="shared" si="192"/>
        <v>2.5180345719341229E-2</v>
      </c>
      <c r="L777" s="60">
        <f t="shared" si="193"/>
        <v>8.0750763858577046E-2</v>
      </c>
      <c r="M777" s="59">
        <v>65</v>
      </c>
      <c r="N777" s="60">
        <f t="shared" si="194"/>
        <v>8.8471484959847559E-3</v>
      </c>
      <c r="O777" s="58" t="s">
        <v>98</v>
      </c>
    </row>
    <row r="778" spans="1:15" x14ac:dyDescent="0.3">
      <c r="A778" s="95" t="s">
        <v>671</v>
      </c>
      <c r="B778" s="58"/>
      <c r="C778" s="58" t="s">
        <v>98</v>
      </c>
      <c r="D778" s="83">
        <v>45097</v>
      </c>
      <c r="E778" s="59">
        <v>830</v>
      </c>
      <c r="F778" s="60">
        <f t="shared" si="190"/>
        <v>0.99036144578313257</v>
      </c>
      <c r="G778" s="58">
        <v>8</v>
      </c>
      <c r="H778" s="59">
        <v>196</v>
      </c>
      <c r="I778" s="60">
        <f t="shared" si="191"/>
        <v>0.236144578313253</v>
      </c>
      <c r="J778" s="59">
        <v>9</v>
      </c>
      <c r="K778" s="60">
        <f t="shared" si="192"/>
        <v>1.0843373493975903E-2</v>
      </c>
      <c r="L778" s="60">
        <f t="shared" si="193"/>
        <v>4.5918367346938778E-2</v>
      </c>
      <c r="M778" s="59">
        <v>4</v>
      </c>
      <c r="N778" s="60">
        <f t="shared" si="194"/>
        <v>4.8192771084337354E-3</v>
      </c>
      <c r="O778" s="58" t="s">
        <v>98</v>
      </c>
    </row>
    <row r="779" spans="1:15" x14ac:dyDescent="0.3">
      <c r="A779" s="95" t="s">
        <v>672</v>
      </c>
      <c r="B779" s="58" t="s">
        <v>15</v>
      </c>
      <c r="C779" s="58" t="s">
        <v>16</v>
      </c>
      <c r="D779" s="83">
        <v>45098</v>
      </c>
      <c r="E779" s="59">
        <v>130899</v>
      </c>
      <c r="F779" s="60">
        <f t="shared" si="190"/>
        <v>0.99750189077074691</v>
      </c>
      <c r="G779" s="58">
        <v>327</v>
      </c>
      <c r="H779" s="59">
        <v>40398</v>
      </c>
      <c r="I779" s="60">
        <f t="shared" si="191"/>
        <v>0.30861962276258798</v>
      </c>
      <c r="J779" s="59">
        <v>480</v>
      </c>
      <c r="K779" s="60">
        <f t="shared" si="192"/>
        <v>3.6669493273439827E-3</v>
      </c>
      <c r="L779" s="60">
        <f t="shared" si="193"/>
        <v>1.1881776325560671E-2</v>
      </c>
      <c r="M779" s="59">
        <v>77</v>
      </c>
      <c r="N779" s="60">
        <f t="shared" si="194"/>
        <v>5.8823978792809728E-4</v>
      </c>
      <c r="O779" s="58" t="s">
        <v>16</v>
      </c>
    </row>
    <row r="780" spans="1:15" x14ac:dyDescent="0.3">
      <c r="A780" s="95" t="s">
        <v>672</v>
      </c>
      <c r="B780" s="58" t="s">
        <v>18</v>
      </c>
      <c r="C780" s="58" t="s">
        <v>16</v>
      </c>
      <c r="D780" s="83">
        <v>45098</v>
      </c>
      <c r="E780" s="59">
        <v>219906</v>
      </c>
      <c r="F780" s="60">
        <f t="shared" si="190"/>
        <v>0.99808099824470453</v>
      </c>
      <c r="G780" s="58">
        <v>422</v>
      </c>
      <c r="H780" s="59">
        <v>63059</v>
      </c>
      <c r="I780" s="60">
        <f t="shared" si="191"/>
        <v>0.28675434049093701</v>
      </c>
      <c r="J780" s="59">
        <v>753</v>
      </c>
      <c r="K780" s="60">
        <f t="shared" si="192"/>
        <v>3.424190335870781E-3</v>
      </c>
      <c r="L780" s="60">
        <f t="shared" si="193"/>
        <v>1.1941197925752073E-2</v>
      </c>
      <c r="M780" s="59">
        <v>367</v>
      </c>
      <c r="N780" s="60">
        <f t="shared" si="194"/>
        <v>1.6688948914536212E-3</v>
      </c>
      <c r="O780" s="58" t="s">
        <v>16</v>
      </c>
    </row>
    <row r="781" spans="1:15" x14ac:dyDescent="0.3">
      <c r="A781" s="95" t="s">
        <v>673</v>
      </c>
      <c r="B781" s="58" t="s">
        <v>15</v>
      </c>
      <c r="C781" s="58" t="s">
        <v>16</v>
      </c>
      <c r="D781" s="83">
        <v>45098</v>
      </c>
      <c r="E781" s="59">
        <v>2476464</v>
      </c>
      <c r="F781" s="60">
        <f t="shared" si="190"/>
        <v>0.99721215410359287</v>
      </c>
      <c r="G781" s="58">
        <v>6904</v>
      </c>
      <c r="H781" s="59">
        <v>879794</v>
      </c>
      <c r="I781" s="60">
        <f t="shared" si="191"/>
        <v>0.35526218026993328</v>
      </c>
      <c r="J781" s="59">
        <v>9961</v>
      </c>
      <c r="K781" s="60">
        <f t="shared" si="192"/>
        <v>4.0222672326349178E-3</v>
      </c>
      <c r="L781" s="60">
        <f t="shared" si="193"/>
        <v>1.1321968551729155E-2</v>
      </c>
      <c r="M781" s="59">
        <v>2058</v>
      </c>
      <c r="N781" s="60">
        <f t="shared" si="194"/>
        <v>8.310235884713042E-4</v>
      </c>
      <c r="O781" s="58" t="s">
        <v>16</v>
      </c>
    </row>
    <row r="782" spans="1:15" x14ac:dyDescent="0.3">
      <c r="A782" s="95" t="s">
        <v>673</v>
      </c>
      <c r="B782" s="58" t="s">
        <v>18</v>
      </c>
      <c r="C782" s="58" t="s">
        <v>16</v>
      </c>
      <c r="D782" s="83">
        <v>45098</v>
      </c>
      <c r="E782" s="59">
        <v>2511962</v>
      </c>
      <c r="F782" s="60">
        <f t="shared" si="190"/>
        <v>0.99773961548781387</v>
      </c>
      <c r="G782" s="58">
        <v>5678</v>
      </c>
      <c r="H782" s="59">
        <v>847258</v>
      </c>
      <c r="I782" s="60">
        <f t="shared" si="191"/>
        <v>0.33728933797565408</v>
      </c>
      <c r="J782" s="59">
        <v>10431</v>
      </c>
      <c r="K782" s="60">
        <f t="shared" si="192"/>
        <v>4.152530969815626E-3</v>
      </c>
      <c r="L782" s="60">
        <f t="shared" si="193"/>
        <v>1.231148009225053E-2</v>
      </c>
      <c r="M782" s="59">
        <v>4497</v>
      </c>
      <c r="N782" s="60">
        <f t="shared" si="194"/>
        <v>1.7902340879360436E-3</v>
      </c>
      <c r="O782" s="58" t="s">
        <v>16</v>
      </c>
    </row>
    <row r="783" spans="1:15" x14ac:dyDescent="0.3">
      <c r="A783" s="95" t="s">
        <v>32</v>
      </c>
      <c r="B783" s="58"/>
      <c r="C783" s="58" t="s">
        <v>23</v>
      </c>
      <c r="D783" s="83">
        <v>45098</v>
      </c>
      <c r="E783" s="59">
        <v>261</v>
      </c>
      <c r="F783" s="60">
        <f t="shared" si="190"/>
        <v>1</v>
      </c>
      <c r="G783" s="58">
        <v>0</v>
      </c>
      <c r="H783" s="59">
        <v>88</v>
      </c>
      <c r="I783" s="60">
        <f t="shared" si="191"/>
        <v>0.33716475095785442</v>
      </c>
      <c r="J783" s="59">
        <v>4</v>
      </c>
      <c r="K783" s="60">
        <f t="shared" si="192"/>
        <v>1.532567049808429E-2</v>
      </c>
      <c r="L783" s="60">
        <f t="shared" si="193"/>
        <v>4.5454545454545456E-2</v>
      </c>
      <c r="M783" s="59">
        <v>0</v>
      </c>
      <c r="N783" s="60">
        <f t="shared" si="194"/>
        <v>0</v>
      </c>
      <c r="O783" s="58" t="s">
        <v>23</v>
      </c>
    </row>
    <row r="784" spans="1:15" x14ac:dyDescent="0.3">
      <c r="A784" s="95" t="s">
        <v>674</v>
      </c>
      <c r="B784" s="58" t="s">
        <v>15</v>
      </c>
      <c r="C784" s="58" t="s">
        <v>30</v>
      </c>
      <c r="D784" s="83">
        <v>45098</v>
      </c>
      <c r="E784" s="59">
        <v>22194</v>
      </c>
      <c r="F784" s="60">
        <f t="shared" si="190"/>
        <v>0.99729656663963229</v>
      </c>
      <c r="G784" s="58">
        <v>60</v>
      </c>
      <c r="H784" s="59">
        <v>10093</v>
      </c>
      <c r="I784" s="60">
        <f t="shared" si="191"/>
        <v>0.45476254843651437</v>
      </c>
      <c r="J784" s="59">
        <v>1326</v>
      </c>
      <c r="K784" s="60">
        <f t="shared" si="192"/>
        <v>5.974587726412544E-2</v>
      </c>
      <c r="L784" s="60">
        <f t="shared" si="193"/>
        <v>0.13137818289903894</v>
      </c>
      <c r="M784" s="59">
        <v>20</v>
      </c>
      <c r="N784" s="60">
        <f t="shared" si="194"/>
        <v>9.0114445345588893E-4</v>
      </c>
      <c r="O784" s="58" t="s">
        <v>31</v>
      </c>
    </row>
    <row r="785" spans="1:15" x14ac:dyDescent="0.3">
      <c r="A785" s="95" t="s">
        <v>675</v>
      </c>
      <c r="B785" s="58" t="s">
        <v>15</v>
      </c>
      <c r="C785" s="58" t="s">
        <v>30</v>
      </c>
      <c r="D785" s="83">
        <v>45098</v>
      </c>
      <c r="E785" s="59">
        <v>6472</v>
      </c>
      <c r="F785" s="60">
        <f t="shared" si="190"/>
        <v>0.9984548825710754</v>
      </c>
      <c r="G785" s="58">
        <v>10</v>
      </c>
      <c r="H785" s="59">
        <v>2389</v>
      </c>
      <c r="I785" s="60">
        <f t="shared" si="191"/>
        <v>0.36912855377008652</v>
      </c>
      <c r="J785" s="59">
        <v>432</v>
      </c>
      <c r="K785" s="60">
        <f t="shared" si="192"/>
        <v>6.6749072929542644E-2</v>
      </c>
      <c r="L785" s="60">
        <f t="shared" si="193"/>
        <v>0.18082879866052742</v>
      </c>
      <c r="M785" s="59">
        <v>5</v>
      </c>
      <c r="N785" s="60">
        <f t="shared" si="194"/>
        <v>7.7255871446229912E-4</v>
      </c>
      <c r="O785" s="58" t="s">
        <v>31</v>
      </c>
    </row>
    <row r="786" spans="1:15" x14ac:dyDescent="0.3">
      <c r="A786" s="95" t="s">
        <v>676</v>
      </c>
      <c r="B786" s="58" t="s">
        <v>15</v>
      </c>
      <c r="C786" s="58" t="s">
        <v>102</v>
      </c>
      <c r="D786" s="83">
        <v>45099</v>
      </c>
      <c r="E786" s="59">
        <v>858</v>
      </c>
      <c r="F786" s="60">
        <f t="shared" si="190"/>
        <v>0.99650349650349646</v>
      </c>
      <c r="G786" s="58">
        <v>3</v>
      </c>
      <c r="H786" s="59">
        <v>359</v>
      </c>
      <c r="I786" s="60">
        <f t="shared" si="191"/>
        <v>0.4184149184149184</v>
      </c>
      <c r="J786" s="59">
        <v>34</v>
      </c>
      <c r="K786" s="60">
        <f t="shared" si="192"/>
        <v>3.9627039627039624E-2</v>
      </c>
      <c r="L786" s="60">
        <f t="shared" si="193"/>
        <v>9.4707520891364902E-2</v>
      </c>
      <c r="M786" s="59">
        <v>0</v>
      </c>
      <c r="N786" s="60">
        <f t="shared" si="194"/>
        <v>0</v>
      </c>
      <c r="O786" s="58" t="s">
        <v>102</v>
      </c>
    </row>
    <row r="787" spans="1:15" x14ac:dyDescent="0.3">
      <c r="A787" s="95" t="s">
        <v>677</v>
      </c>
      <c r="B787" s="58" t="s">
        <v>15</v>
      </c>
      <c r="C787" s="58" t="s">
        <v>102</v>
      </c>
      <c r="D787" s="83">
        <v>45099</v>
      </c>
      <c r="E787" s="59">
        <v>23693</v>
      </c>
      <c r="F787" s="60">
        <f t="shared" si="190"/>
        <v>0.99860718355632461</v>
      </c>
      <c r="G787" s="58">
        <v>33</v>
      </c>
      <c r="H787" s="59">
        <v>10787</v>
      </c>
      <c r="I787" s="60">
        <f t="shared" si="191"/>
        <v>0.45528215084624152</v>
      </c>
      <c r="J787" s="59">
        <v>1034</v>
      </c>
      <c r="K787" s="60">
        <f t="shared" si="192"/>
        <v>4.3641581901827542E-2</v>
      </c>
      <c r="L787" s="60">
        <f t="shared" si="193"/>
        <v>9.5856123111152311E-2</v>
      </c>
      <c r="M787" s="59">
        <v>4</v>
      </c>
      <c r="N787" s="60">
        <f t="shared" si="194"/>
        <v>1.6882623559701177E-4</v>
      </c>
      <c r="O787" s="58" t="s">
        <v>102</v>
      </c>
    </row>
    <row r="788" spans="1:15" x14ac:dyDescent="0.3">
      <c r="A788" s="95" t="s">
        <v>678</v>
      </c>
      <c r="B788" s="58" t="s">
        <v>15</v>
      </c>
      <c r="C788" s="58" t="s">
        <v>102</v>
      </c>
      <c r="D788" s="83">
        <v>45099</v>
      </c>
      <c r="E788" s="59">
        <v>23646</v>
      </c>
      <c r="F788" s="60">
        <f t="shared" si="190"/>
        <v>0.99906961008204342</v>
      </c>
      <c r="G788" s="58">
        <v>22</v>
      </c>
      <c r="H788" s="59">
        <v>10977</v>
      </c>
      <c r="I788" s="60">
        <f t="shared" si="191"/>
        <v>0.46422227860949</v>
      </c>
      <c r="J788" s="59">
        <v>1392</v>
      </c>
      <c r="K788" s="60">
        <f t="shared" si="192"/>
        <v>5.8868307536158335E-2</v>
      </c>
      <c r="L788" s="60">
        <f t="shared" si="193"/>
        <v>0.12681060399016125</v>
      </c>
      <c r="M788" s="59">
        <v>2</v>
      </c>
      <c r="N788" s="60">
        <f t="shared" si="194"/>
        <v>8.4580901632411398E-5</v>
      </c>
      <c r="O788" s="58" t="s">
        <v>102</v>
      </c>
    </row>
    <row r="789" spans="1:15" x14ac:dyDescent="0.3">
      <c r="A789" s="95" t="s">
        <v>679</v>
      </c>
      <c r="B789" s="58" t="s">
        <v>15</v>
      </c>
      <c r="C789" s="58" t="s">
        <v>102</v>
      </c>
      <c r="D789" s="83">
        <v>45099</v>
      </c>
      <c r="E789" s="59">
        <v>856</v>
      </c>
      <c r="F789" s="60">
        <f t="shared" si="190"/>
        <v>0.99883177570093462</v>
      </c>
      <c r="G789" s="58">
        <v>1</v>
      </c>
      <c r="H789" s="59">
        <v>380</v>
      </c>
      <c r="I789" s="60">
        <f t="shared" si="191"/>
        <v>0.44392523364485981</v>
      </c>
      <c r="J789" s="59">
        <v>47</v>
      </c>
      <c r="K789" s="60">
        <f t="shared" si="192"/>
        <v>5.4906542056074766E-2</v>
      </c>
      <c r="L789" s="60">
        <f t="shared" si="193"/>
        <v>0.12368421052631579</v>
      </c>
      <c r="M789" s="59">
        <v>0</v>
      </c>
      <c r="N789" s="60">
        <f t="shared" si="194"/>
        <v>0</v>
      </c>
      <c r="O789" s="58" t="s">
        <v>102</v>
      </c>
    </row>
    <row r="790" spans="1:15" x14ac:dyDescent="0.3">
      <c r="A790" s="95" t="s">
        <v>26</v>
      </c>
      <c r="B790" s="58"/>
      <c r="C790" s="58" t="s">
        <v>23</v>
      </c>
      <c r="D790" s="83">
        <v>45099</v>
      </c>
      <c r="E790" s="59">
        <v>1641</v>
      </c>
      <c r="F790" s="60">
        <f t="shared" si="190"/>
        <v>1</v>
      </c>
      <c r="G790" s="58">
        <v>0</v>
      </c>
      <c r="H790" s="59">
        <v>595</v>
      </c>
      <c r="I790" s="60">
        <f t="shared" si="191"/>
        <v>0.36258379037172456</v>
      </c>
      <c r="J790" s="59">
        <v>22</v>
      </c>
      <c r="K790" s="60">
        <f t="shared" si="192"/>
        <v>1.3406459475929311E-2</v>
      </c>
      <c r="L790" s="60">
        <f t="shared" si="193"/>
        <v>3.6974789915966387E-2</v>
      </c>
      <c r="M790" s="59">
        <v>0</v>
      </c>
      <c r="N790" s="60">
        <f t="shared" si="194"/>
        <v>0</v>
      </c>
      <c r="O790" s="58" t="s">
        <v>23</v>
      </c>
    </row>
    <row r="791" spans="1:15" x14ac:dyDescent="0.3">
      <c r="A791" s="95" t="s">
        <v>28</v>
      </c>
      <c r="B791" s="58" t="s">
        <v>15</v>
      </c>
      <c r="C791" s="58" t="s">
        <v>16</v>
      </c>
      <c r="D791" s="83">
        <v>45100</v>
      </c>
      <c r="E791" s="59">
        <v>105766</v>
      </c>
      <c r="F791" s="60">
        <f t="shared" si="190"/>
        <v>0.99779702361817602</v>
      </c>
      <c r="G791" s="58">
        <v>233</v>
      </c>
      <c r="H791" s="59">
        <v>30486</v>
      </c>
      <c r="I791" s="60">
        <f t="shared" si="191"/>
        <v>0.28824007715144756</v>
      </c>
      <c r="J791" s="59">
        <v>562</v>
      </c>
      <c r="K791" s="60">
        <f t="shared" si="192"/>
        <v>5.313616852296579E-3</v>
      </c>
      <c r="L791" s="60">
        <f t="shared" si="193"/>
        <v>1.8434691333726955E-2</v>
      </c>
      <c r="M791" s="59">
        <v>41</v>
      </c>
      <c r="N791" s="60">
        <f t="shared" si="194"/>
        <v>3.8764820452697466E-4</v>
      </c>
      <c r="O791" s="58" t="s">
        <v>16</v>
      </c>
    </row>
    <row r="792" spans="1:15" x14ac:dyDescent="0.3">
      <c r="A792" s="95" t="s">
        <v>28</v>
      </c>
      <c r="B792" s="58" t="s">
        <v>18</v>
      </c>
      <c r="C792" s="58" t="s">
        <v>16</v>
      </c>
      <c r="D792" s="83">
        <v>45100</v>
      </c>
      <c r="E792" s="59">
        <v>205889</v>
      </c>
      <c r="F792" s="60">
        <f t="shared" si="190"/>
        <v>0.99813491735838245</v>
      </c>
      <c r="G792" s="58">
        <v>384</v>
      </c>
      <c r="H792" s="59">
        <v>55466</v>
      </c>
      <c r="I792" s="60">
        <f t="shared" si="191"/>
        <v>0.26939758802072961</v>
      </c>
      <c r="J792" s="59">
        <v>915</v>
      </c>
      <c r="K792" s="60">
        <f t="shared" si="192"/>
        <v>4.4441422319793679E-3</v>
      </c>
      <c r="L792" s="60">
        <f t="shared" si="193"/>
        <v>1.6496592507121481E-2</v>
      </c>
      <c r="M792" s="59">
        <v>288</v>
      </c>
      <c r="N792" s="60">
        <f t="shared" si="194"/>
        <v>1.398811981213178E-3</v>
      </c>
      <c r="O792" s="58" t="s">
        <v>16</v>
      </c>
    </row>
    <row r="793" spans="1:15" x14ac:dyDescent="0.3">
      <c r="A793" s="95" t="s">
        <v>22</v>
      </c>
      <c r="B793" s="58" t="s">
        <v>15</v>
      </c>
      <c r="C793" s="58" t="s">
        <v>16</v>
      </c>
      <c r="D793" s="83">
        <v>45100</v>
      </c>
      <c r="E793" s="59">
        <v>2049144</v>
      </c>
      <c r="F793" s="60">
        <f t="shared" si="190"/>
        <v>0.99746577107318957</v>
      </c>
      <c r="G793" s="58">
        <v>5193</v>
      </c>
      <c r="H793" s="59">
        <v>693803</v>
      </c>
      <c r="I793" s="60">
        <f t="shared" si="191"/>
        <v>0.33858186637932719</v>
      </c>
      <c r="J793" s="59">
        <v>8856</v>
      </c>
      <c r="K793" s="60">
        <f t="shared" si="192"/>
        <v>4.3218046169522491E-3</v>
      </c>
      <c r="L793" s="60">
        <f t="shared" si="193"/>
        <v>1.2764430248932333E-2</v>
      </c>
      <c r="M793" s="59">
        <v>1566</v>
      </c>
      <c r="N793" s="60">
        <f t="shared" si="194"/>
        <v>7.6422154811960508E-4</v>
      </c>
      <c r="O793" s="58" t="s">
        <v>16</v>
      </c>
    </row>
    <row r="794" spans="1:15" x14ac:dyDescent="0.3">
      <c r="A794" s="95" t="s">
        <v>22</v>
      </c>
      <c r="B794" s="58" t="s">
        <v>18</v>
      </c>
      <c r="C794" s="58" t="s">
        <v>16</v>
      </c>
      <c r="D794" s="83">
        <v>45100</v>
      </c>
      <c r="E794" s="59">
        <v>2348491</v>
      </c>
      <c r="F794" s="60">
        <f t="shared" si="190"/>
        <v>0.9977300317523039</v>
      </c>
      <c r="G794" s="58">
        <v>5331</v>
      </c>
      <c r="H794" s="59">
        <v>752290</v>
      </c>
      <c r="I794" s="60">
        <f t="shared" si="191"/>
        <v>0.32032909642830226</v>
      </c>
      <c r="J794" s="59">
        <v>9193</v>
      </c>
      <c r="K794" s="60">
        <f t="shared" si="192"/>
        <v>3.9144284564003014E-3</v>
      </c>
      <c r="L794" s="60">
        <f t="shared" si="193"/>
        <v>1.2220021534248761E-2</v>
      </c>
      <c r="M794" s="59">
        <v>3179</v>
      </c>
      <c r="N794" s="60">
        <f t="shared" si="194"/>
        <v>1.3536351640266026E-3</v>
      </c>
      <c r="O794" s="58" t="s">
        <v>16</v>
      </c>
    </row>
    <row r="795" spans="1:15" x14ac:dyDescent="0.3">
      <c r="A795" s="95" t="s">
        <v>33</v>
      </c>
      <c r="B795" s="58" t="s">
        <v>18</v>
      </c>
      <c r="C795" s="58" t="s">
        <v>21</v>
      </c>
      <c r="D795" s="83">
        <v>45100</v>
      </c>
      <c r="E795" s="59">
        <v>232835</v>
      </c>
      <c r="F795" s="60">
        <f t="shared" si="190"/>
        <v>0.99823909635578845</v>
      </c>
      <c r="G795" s="58">
        <v>410</v>
      </c>
      <c r="H795" s="59">
        <v>105363</v>
      </c>
      <c r="I795" s="60">
        <f t="shared" si="191"/>
        <v>0.45252217235381281</v>
      </c>
      <c r="J795" s="59">
        <v>2008</v>
      </c>
      <c r="K795" s="60">
        <f t="shared" si="192"/>
        <v>8.624132969699572E-3</v>
      </c>
      <c r="L795" s="60">
        <f t="shared" si="193"/>
        <v>1.9057923559503812E-2</v>
      </c>
      <c r="M795" s="59">
        <v>231</v>
      </c>
      <c r="N795" s="60">
        <f t="shared" si="194"/>
        <v>9.9211888247041895E-4</v>
      </c>
      <c r="O795" s="58" t="s">
        <v>21</v>
      </c>
    </row>
    <row r="796" spans="1:15" x14ac:dyDescent="0.3">
      <c r="A796" s="95" t="s">
        <v>19</v>
      </c>
      <c r="B796" s="58" t="s">
        <v>18</v>
      </c>
      <c r="C796" s="58" t="s">
        <v>21</v>
      </c>
      <c r="D796" s="83">
        <v>45100</v>
      </c>
      <c r="E796" s="59">
        <v>331811</v>
      </c>
      <c r="F796" s="60">
        <f t="shared" si="190"/>
        <v>0.99681445160045934</v>
      </c>
      <c r="G796" s="58">
        <v>1057</v>
      </c>
      <c r="H796" s="59">
        <v>121188</v>
      </c>
      <c r="I796" s="60">
        <f t="shared" si="191"/>
        <v>0.36523201461072718</v>
      </c>
      <c r="J796" s="59">
        <v>2461</v>
      </c>
      <c r="K796" s="60">
        <f t="shared" si="192"/>
        <v>7.416872858344057E-3</v>
      </c>
      <c r="L796" s="60">
        <f t="shared" si="193"/>
        <v>2.0307291150939037E-2</v>
      </c>
      <c r="M796" s="59">
        <v>278</v>
      </c>
      <c r="N796" s="60">
        <f t="shared" si="194"/>
        <v>8.3782635295394066E-4</v>
      </c>
      <c r="O796" s="58" t="s">
        <v>21</v>
      </c>
    </row>
    <row r="797" spans="1:15" x14ac:dyDescent="0.3">
      <c r="A797" s="95" t="s">
        <v>24</v>
      </c>
      <c r="B797" s="58" t="s">
        <v>18</v>
      </c>
      <c r="C797" s="58" t="s">
        <v>21</v>
      </c>
      <c r="D797" s="83">
        <v>45101</v>
      </c>
      <c r="E797" s="59">
        <v>14954</v>
      </c>
      <c r="F797" s="60">
        <f t="shared" si="190"/>
        <v>0.99819446301992776</v>
      </c>
      <c r="G797" s="58">
        <v>27</v>
      </c>
      <c r="H797" s="59">
        <v>4698</v>
      </c>
      <c r="I797" s="60">
        <f t="shared" si="191"/>
        <v>0.31416343453256651</v>
      </c>
      <c r="J797" s="59">
        <v>191</v>
      </c>
      <c r="K797" s="60">
        <f t="shared" si="192"/>
        <v>1.2772502340510901E-2</v>
      </c>
      <c r="L797" s="60">
        <f t="shared" si="193"/>
        <v>4.0655598126862494E-2</v>
      </c>
      <c r="M797" s="59">
        <v>16</v>
      </c>
      <c r="N797" s="60">
        <f t="shared" si="194"/>
        <v>1.0699478400427978E-3</v>
      </c>
      <c r="O797" s="58" t="s">
        <v>21</v>
      </c>
    </row>
    <row r="798" spans="1:15" x14ac:dyDescent="0.3">
      <c r="A798" s="95" t="s">
        <v>680</v>
      </c>
      <c r="B798" s="58" t="s">
        <v>15</v>
      </c>
      <c r="C798" s="58" t="s">
        <v>30</v>
      </c>
      <c r="D798" s="83">
        <v>45101</v>
      </c>
      <c r="E798" s="59">
        <v>20681</v>
      </c>
      <c r="F798" s="60">
        <f t="shared" si="190"/>
        <v>0.99734055413181177</v>
      </c>
      <c r="G798" s="58">
        <v>55</v>
      </c>
      <c r="H798" s="59">
        <v>9552</v>
      </c>
      <c r="I798" s="60">
        <f t="shared" si="191"/>
        <v>0.46187321696242928</v>
      </c>
      <c r="J798" s="59">
        <v>1704</v>
      </c>
      <c r="K798" s="60">
        <f t="shared" si="192"/>
        <v>8.2394468352594175E-2</v>
      </c>
      <c r="L798" s="60">
        <f t="shared" si="193"/>
        <v>0.17839195979899497</v>
      </c>
      <c r="M798" s="59">
        <v>17</v>
      </c>
      <c r="N798" s="60">
        <f t="shared" si="194"/>
        <v>8.2201054107635025E-4</v>
      </c>
      <c r="O798" s="58" t="s">
        <v>31</v>
      </c>
    </row>
    <row r="801" spans="4:14" x14ac:dyDescent="0.3">
      <c r="D801" s="30" t="s">
        <v>39</v>
      </c>
      <c r="E801" s="31">
        <f>SUM(E2:E798)</f>
        <v>323128325</v>
      </c>
      <c r="F801" s="32">
        <f t="shared" ref="F801" si="195">(E801-G801)/E801</f>
        <v>0.99687596251427357</v>
      </c>
      <c r="G801" s="31">
        <f>SUM(G2:G798)</f>
        <v>1009465</v>
      </c>
      <c r="H801" s="31">
        <f>SUM(H2:H798)</f>
        <v>120178596</v>
      </c>
      <c r="I801" s="32">
        <f>H801/E801</f>
        <v>0.37192219530739062</v>
      </c>
      <c r="J801" s="31">
        <f>SUM(J2:J798)</f>
        <v>1989848</v>
      </c>
      <c r="K801" s="32">
        <f>J801/E801</f>
        <v>6.1580735764962726E-3</v>
      </c>
      <c r="L801" s="32">
        <f>J801/H801</f>
        <v>1.6557424252152189E-2</v>
      </c>
      <c r="M801" s="31">
        <f>SUM(M2:M798)</f>
        <v>540782</v>
      </c>
      <c r="N801" s="32">
        <f>M801/E801</f>
        <v>1.6735827786066109E-3</v>
      </c>
    </row>
    <row r="802" spans="4:14" x14ac:dyDescent="0.3">
      <c r="D802" s="19"/>
      <c r="I802" s="22"/>
      <c r="K802" s="22"/>
      <c r="L802" s="22"/>
      <c r="M802" s="16">
        <f>M801/J801</f>
        <v>0.27177050709400918</v>
      </c>
      <c r="N802" s="22"/>
    </row>
    <row r="803" spans="4:14" x14ac:dyDescent="0.3">
      <c r="D803" s="19"/>
      <c r="I803" s="22"/>
      <c r="K803" s="22"/>
      <c r="L803" s="22"/>
      <c r="N803" s="22"/>
    </row>
    <row r="804" spans="4:14" x14ac:dyDescent="0.3">
      <c r="D804" s="30" t="s">
        <v>40</v>
      </c>
      <c r="E804" s="31">
        <f>SUM(E769:E798)</f>
        <v>12813458</v>
      </c>
      <c r="F804" s="32">
        <f t="shared" ref="F804" si="196">(E804-G804)/E804</f>
        <v>0.99755772407417265</v>
      </c>
      <c r="G804" s="31">
        <f>SUM(G769:G798)</f>
        <v>31294</v>
      </c>
      <c r="H804" s="31">
        <f>SUM(H769:H798)</f>
        <v>4404446</v>
      </c>
      <c r="I804" s="32">
        <f>H804/E804</f>
        <v>0.34373593763681903</v>
      </c>
      <c r="J804" s="31">
        <f>SUM(J769:J798)</f>
        <v>60973</v>
      </c>
      <c r="K804" s="32">
        <f>J804/E804</f>
        <v>4.7585124952218205E-3</v>
      </c>
      <c r="L804" s="32">
        <f>J804/H804</f>
        <v>1.3843511760616432E-2</v>
      </c>
      <c r="M804" s="31">
        <f>SUM(M769:M798)</f>
        <v>14742</v>
      </c>
      <c r="N804" s="32">
        <f>M804/E804</f>
        <v>1.1505090975441601E-3</v>
      </c>
    </row>
    <row r="805" spans="4:14" x14ac:dyDescent="0.3">
      <c r="M805" s="16">
        <f>M804/J804</f>
        <v>0.2417791481475407</v>
      </c>
    </row>
    <row r="806" spans="4:14" x14ac:dyDescent="0.3">
      <c r="M806" s="16"/>
    </row>
    <row r="808" spans="4:14" x14ac:dyDescent="0.3">
      <c r="D808" s="36" t="s">
        <v>41</v>
      </c>
      <c r="E808" s="41"/>
      <c r="F808" s="42"/>
      <c r="G808" s="41"/>
      <c r="H808" s="41"/>
      <c r="I808" s="43">
        <v>0.23899999999999999</v>
      </c>
      <c r="J808" s="41"/>
      <c r="K808" s="43">
        <v>2.9000000000000001E-2</v>
      </c>
      <c r="L808" s="43">
        <v>0.124</v>
      </c>
      <c r="M808" s="41"/>
      <c r="N808" s="43">
        <v>1E-3</v>
      </c>
    </row>
    <row r="809" spans="4:14" x14ac:dyDescent="0.3">
      <c r="D809" s="19"/>
      <c r="I809" s="22"/>
      <c r="K809" s="22"/>
      <c r="L809" s="22"/>
      <c r="N809" s="22"/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83A8FE9-4E42-4D66-9905-D9FD027F4BF1}">
          <x14:formula1>
            <xm:f>'List Sheet'!$A$2:$A$4</xm:f>
          </x14:formula1>
          <xm:sqref>C2:C18 C38 C61 C68 C107 C98 C128 C136 C120:C123 C154 C159:C171 C174:C197 C204:C219 C222:C223 O246 C251:C259 C262:C292 O273:O288 O262:O269 C228:C237 C240:C241 C246:C248 O240:O241 O293:O296 O300:O318 C327 C336 C345:C349 O323:O331 O336:O356 C363 C372 O361:O372 C383:C384 C389:C393 C405 O377:O380 O405:O409 O383:O393 O396:O401 C451:C453 C368:C370 C474:C475 C497 C515 O497 O515 O169 O214 O474:O475 O575 C575 C585 O585 C590:C593 O590:O593 C626:C627 O626:O627 C609:C610 O609:O610 C663:C709 O701:O708 O712:O724 C712:C753 O726:O753 C807:C1048576 C784:C800 C755:C782 O755:O782 O786:O797</xm:sqref>
        </x14:dataValidation>
        <x14:dataValidation type="list" allowBlank="1" showInputMessage="1" showErrorMessage="1" xr:uid="{16C60639-9FF9-4A4A-8175-A6DA0E8C677C}">
          <x14:formula1>
            <xm:f>'List Sheet'!$B$2:$B$3</xm:f>
          </x14:formula1>
          <xm:sqref>B2:B18 B22:B46 B49:B58 B60:B64 B66 B68:B70 B72:B74 B78:B79 B81 B83:B88 B90 B92 B94 B100 B96:B98 B102 B104 B106:B107 B109 B111:B112 B114:B131 B133 B146 B135:B144 B148:B248 B807:B1048576 B251:B800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2F37-6676-4A8F-B367-99F28D3E0864}">
  <dimension ref="A1:N546"/>
  <sheetViews>
    <sheetView zoomScale="80" zoomScaleNormal="80" workbookViewId="0">
      <pane xSplit="1" ySplit="1" topLeftCell="B520" activePane="bottomRight" state="frozen"/>
      <selection pane="topRight" activeCell="B1" sqref="B1"/>
      <selection pane="bottomLeft" activeCell="A2" sqref="A2"/>
      <selection pane="bottomRight" activeCell="D548" sqref="D548"/>
    </sheetView>
  </sheetViews>
  <sheetFormatPr defaultColWidth="19.6640625" defaultRowHeight="24" customHeight="1" x14ac:dyDescent="0.3"/>
  <cols>
    <col min="1" max="1" width="41.33203125" style="4" bestFit="1" customWidth="1"/>
    <col min="2" max="2" width="19.6640625" style="1"/>
    <col min="3" max="3" width="19.6640625" style="5"/>
    <col min="4" max="4" width="17" style="2" customWidth="1"/>
    <col min="5" max="5" width="17.44140625" style="6" customWidth="1"/>
    <col min="6" max="7" width="17.44140625" style="2" customWidth="1"/>
    <col min="8" max="8" width="17.44140625" style="18" customWidth="1"/>
    <col min="9" max="9" width="17.44140625" style="2" customWidth="1"/>
    <col min="10" max="11" width="17.44140625" style="6" customWidth="1"/>
    <col min="12" max="12" width="17.44140625" style="2" customWidth="1"/>
    <col min="13" max="13" width="20.109375" style="6" customWidth="1"/>
    <col min="14" max="16384" width="19.6640625" style="1"/>
  </cols>
  <sheetData>
    <row r="1" spans="1:14" ht="24" customHeight="1" x14ac:dyDescent="0.3">
      <c r="A1" s="61" t="s">
        <v>0</v>
      </c>
      <c r="B1" s="61" t="s">
        <v>2</v>
      </c>
      <c r="C1" s="62" t="s">
        <v>3</v>
      </c>
      <c r="D1" s="63" t="s">
        <v>4</v>
      </c>
      <c r="E1" s="64" t="s">
        <v>5</v>
      </c>
      <c r="F1" s="63" t="s">
        <v>6</v>
      </c>
      <c r="G1" s="63" t="s">
        <v>7</v>
      </c>
      <c r="H1" s="64" t="s">
        <v>8</v>
      </c>
      <c r="I1" s="63" t="s">
        <v>9</v>
      </c>
      <c r="J1" s="64" t="s">
        <v>10</v>
      </c>
      <c r="K1" s="64" t="s">
        <v>11</v>
      </c>
      <c r="L1" s="63" t="s">
        <v>12</v>
      </c>
      <c r="M1" s="64" t="s">
        <v>13</v>
      </c>
      <c r="N1" s="64" t="s">
        <v>14</v>
      </c>
    </row>
    <row r="2" spans="1:14" ht="24" customHeight="1" x14ac:dyDescent="0.3">
      <c r="A2" s="66" t="s">
        <v>66</v>
      </c>
      <c r="B2" s="67" t="s">
        <v>27</v>
      </c>
      <c r="C2" s="68">
        <v>44928</v>
      </c>
      <c r="D2" s="69">
        <v>13198</v>
      </c>
      <c r="E2" s="70">
        <f t="shared" ref="E2:E18" si="0">(D2-F2)/D2</f>
        <v>0.99712077587513259</v>
      </c>
      <c r="F2" s="69">
        <v>38</v>
      </c>
      <c r="G2" s="69">
        <v>5485</v>
      </c>
      <c r="H2" s="70">
        <f t="shared" ref="H2:H18" si="1">G2/D2</f>
        <v>0.4155932717078345</v>
      </c>
      <c r="I2" s="69">
        <v>299</v>
      </c>
      <c r="J2" s="70">
        <f t="shared" ref="J2:J18" si="2">I2/D2</f>
        <v>2.2654947719351417E-2</v>
      </c>
      <c r="K2" s="70">
        <f t="shared" ref="K2:K18" si="3">I2/G2</f>
        <v>5.4512306289881497E-2</v>
      </c>
      <c r="L2" s="69">
        <v>90</v>
      </c>
      <c r="M2" s="70">
        <f t="shared" ref="M2:M18" si="4">L2/D2</f>
        <v>6.8192150325806942E-3</v>
      </c>
      <c r="N2" s="67" t="s">
        <v>27</v>
      </c>
    </row>
    <row r="3" spans="1:14" ht="24" customHeight="1" x14ac:dyDescent="0.3">
      <c r="A3" s="66" t="s">
        <v>67</v>
      </c>
      <c r="B3" s="67" t="s">
        <v>27</v>
      </c>
      <c r="C3" s="68">
        <v>44928</v>
      </c>
      <c r="D3" s="69">
        <v>12645</v>
      </c>
      <c r="E3" s="70">
        <f t="shared" si="0"/>
        <v>0.99596678529062865</v>
      </c>
      <c r="F3" s="69">
        <v>51</v>
      </c>
      <c r="G3" s="69">
        <v>5245</v>
      </c>
      <c r="H3" s="70">
        <f t="shared" si="1"/>
        <v>0.41478845393436142</v>
      </c>
      <c r="I3" s="69">
        <v>196</v>
      </c>
      <c r="J3" s="70">
        <f t="shared" si="2"/>
        <v>1.5500197706603401E-2</v>
      </c>
      <c r="K3" s="70">
        <f t="shared" si="3"/>
        <v>3.7368922783603431E-2</v>
      </c>
      <c r="L3" s="69">
        <v>64</v>
      </c>
      <c r="M3" s="70">
        <f t="shared" si="4"/>
        <v>5.0612890470541714E-3</v>
      </c>
      <c r="N3" s="67" t="s">
        <v>27</v>
      </c>
    </row>
    <row r="4" spans="1:14" ht="24" customHeight="1" x14ac:dyDescent="0.3">
      <c r="A4" s="66" t="s">
        <v>68</v>
      </c>
      <c r="B4" s="67" t="s">
        <v>27</v>
      </c>
      <c r="C4" s="68">
        <v>44928</v>
      </c>
      <c r="D4" s="69">
        <v>11705</v>
      </c>
      <c r="E4" s="70">
        <f t="shared" si="0"/>
        <v>0.99589918838103375</v>
      </c>
      <c r="F4" s="69">
        <v>48</v>
      </c>
      <c r="G4" s="69">
        <v>4726</v>
      </c>
      <c r="H4" s="70">
        <f t="shared" si="1"/>
        <v>0.40375907731738575</v>
      </c>
      <c r="I4" s="69">
        <v>265</v>
      </c>
      <c r="J4" s="70">
        <f t="shared" si="2"/>
        <v>2.2639897479709525E-2</v>
      </c>
      <c r="K4" s="70">
        <f t="shared" si="3"/>
        <v>5.6072788827761323E-2</v>
      </c>
      <c r="L4" s="69">
        <v>81</v>
      </c>
      <c r="M4" s="70">
        <f t="shared" si="4"/>
        <v>6.9201196070055532E-3</v>
      </c>
      <c r="N4" s="67" t="s">
        <v>27</v>
      </c>
    </row>
    <row r="5" spans="1:14" ht="24" customHeight="1" x14ac:dyDescent="0.3">
      <c r="A5" s="66" t="s">
        <v>17</v>
      </c>
      <c r="B5" s="67" t="s">
        <v>16</v>
      </c>
      <c r="C5" s="68">
        <v>44929</v>
      </c>
      <c r="D5" s="69">
        <v>549585</v>
      </c>
      <c r="E5" s="70">
        <f t="shared" si="0"/>
        <v>0.99829871630412037</v>
      </c>
      <c r="F5" s="69">
        <v>935</v>
      </c>
      <c r="G5" s="69">
        <v>211629</v>
      </c>
      <c r="H5" s="70">
        <f t="shared" si="1"/>
        <v>0.38507055323562323</v>
      </c>
      <c r="I5" s="69">
        <v>3917</v>
      </c>
      <c r="J5" s="70">
        <f t="shared" si="2"/>
        <v>7.1271959751448817E-3</v>
      </c>
      <c r="K5" s="70">
        <f t="shared" si="3"/>
        <v>1.8508805503971573E-2</v>
      </c>
      <c r="L5" s="69">
        <v>763</v>
      </c>
      <c r="M5" s="70">
        <f t="shared" si="4"/>
        <v>1.3883202780279665E-3</v>
      </c>
      <c r="N5" s="67" t="s">
        <v>16</v>
      </c>
    </row>
    <row r="6" spans="1:14" ht="24" customHeight="1" x14ac:dyDescent="0.3">
      <c r="A6" s="66" t="s">
        <v>29</v>
      </c>
      <c r="B6" s="67" t="s">
        <v>16</v>
      </c>
      <c r="C6" s="68">
        <v>44929</v>
      </c>
      <c r="D6" s="69">
        <v>40131</v>
      </c>
      <c r="E6" s="70">
        <f t="shared" si="0"/>
        <v>0.99897834591712142</v>
      </c>
      <c r="F6" s="69">
        <v>41</v>
      </c>
      <c r="G6" s="69">
        <v>14743</v>
      </c>
      <c r="H6" s="70">
        <f t="shared" si="1"/>
        <v>0.36737185716777554</v>
      </c>
      <c r="I6" s="69">
        <v>602</v>
      </c>
      <c r="J6" s="70">
        <f t="shared" si="2"/>
        <v>1.5000872143729287E-2</v>
      </c>
      <c r="K6" s="70">
        <f t="shared" si="3"/>
        <v>4.0832937665332698E-2</v>
      </c>
      <c r="L6" s="69">
        <v>57</v>
      </c>
      <c r="M6" s="70">
        <f t="shared" si="4"/>
        <v>1.4203483591238694E-3</v>
      </c>
      <c r="N6" s="67" t="s">
        <v>16</v>
      </c>
    </row>
    <row r="7" spans="1:14" ht="24" customHeight="1" x14ac:dyDescent="0.3">
      <c r="A7" s="66" t="s">
        <v>32</v>
      </c>
      <c r="B7" s="67" t="s">
        <v>23</v>
      </c>
      <c r="C7" s="68">
        <v>44930</v>
      </c>
      <c r="D7" s="69">
        <v>321</v>
      </c>
      <c r="E7" s="70">
        <f t="shared" si="0"/>
        <v>1</v>
      </c>
      <c r="F7" s="69">
        <v>0</v>
      </c>
      <c r="G7" s="69">
        <v>108</v>
      </c>
      <c r="H7" s="70">
        <f t="shared" si="1"/>
        <v>0.3364485981308411</v>
      </c>
      <c r="I7" s="69">
        <v>4</v>
      </c>
      <c r="J7" s="70">
        <f t="shared" si="2"/>
        <v>1.2461059190031152E-2</v>
      </c>
      <c r="K7" s="70">
        <f t="shared" si="3"/>
        <v>3.7037037037037035E-2</v>
      </c>
      <c r="L7" s="69">
        <v>0</v>
      </c>
      <c r="M7" s="70">
        <f t="shared" si="4"/>
        <v>0</v>
      </c>
      <c r="N7" s="67" t="s">
        <v>23</v>
      </c>
    </row>
    <row r="8" spans="1:14" ht="24" customHeight="1" x14ac:dyDescent="0.3">
      <c r="A8" s="66" t="s">
        <v>26</v>
      </c>
      <c r="B8" s="67" t="s">
        <v>23</v>
      </c>
      <c r="C8" s="68">
        <v>44931</v>
      </c>
      <c r="D8" s="69">
        <v>1678</v>
      </c>
      <c r="E8" s="70">
        <f t="shared" si="0"/>
        <v>0.99880810488676997</v>
      </c>
      <c r="F8" s="69">
        <v>2</v>
      </c>
      <c r="G8" s="69">
        <v>591</v>
      </c>
      <c r="H8" s="70">
        <f t="shared" si="1"/>
        <v>0.35220500595947557</v>
      </c>
      <c r="I8" s="69">
        <v>23</v>
      </c>
      <c r="J8" s="70">
        <f t="shared" si="2"/>
        <v>1.3706793802145411E-2</v>
      </c>
      <c r="K8" s="70">
        <f t="shared" si="3"/>
        <v>3.8917089678510999E-2</v>
      </c>
      <c r="L8" s="69">
        <v>0</v>
      </c>
      <c r="M8" s="70">
        <f t="shared" si="4"/>
        <v>0</v>
      </c>
      <c r="N8" s="67" t="s">
        <v>23</v>
      </c>
    </row>
    <row r="9" spans="1:14" ht="24" customHeight="1" x14ac:dyDescent="0.3">
      <c r="A9" s="66" t="s">
        <v>35</v>
      </c>
      <c r="B9" s="67" t="s">
        <v>30</v>
      </c>
      <c r="C9" s="68">
        <v>44931</v>
      </c>
      <c r="D9" s="69">
        <v>85400</v>
      </c>
      <c r="E9" s="70">
        <f t="shared" si="0"/>
        <v>0.97702576112412176</v>
      </c>
      <c r="F9" s="69">
        <v>1962</v>
      </c>
      <c r="G9" s="69">
        <v>30869</v>
      </c>
      <c r="H9" s="70">
        <f t="shared" si="1"/>
        <v>0.36146370023419205</v>
      </c>
      <c r="I9" s="69">
        <v>3607</v>
      </c>
      <c r="J9" s="70">
        <f t="shared" si="2"/>
        <v>4.2236533957845435E-2</v>
      </c>
      <c r="K9" s="70">
        <f t="shared" si="3"/>
        <v>0.11684861835498396</v>
      </c>
      <c r="L9" s="69">
        <v>336</v>
      </c>
      <c r="M9" s="70">
        <f t="shared" si="4"/>
        <v>3.9344262295081967E-3</v>
      </c>
      <c r="N9" s="67" t="s">
        <v>31</v>
      </c>
    </row>
    <row r="10" spans="1:14" ht="24" customHeight="1" x14ac:dyDescent="0.3">
      <c r="A10" s="66" t="s">
        <v>34</v>
      </c>
      <c r="B10" s="67" t="s">
        <v>30</v>
      </c>
      <c r="C10" s="68">
        <v>44931</v>
      </c>
      <c r="D10" s="69">
        <v>9491</v>
      </c>
      <c r="E10" s="70">
        <f t="shared" si="0"/>
        <v>0.98672426509324618</v>
      </c>
      <c r="F10" s="69">
        <v>126</v>
      </c>
      <c r="G10" s="69">
        <v>2942</v>
      </c>
      <c r="H10" s="70">
        <f t="shared" si="1"/>
        <v>0.3099778737751554</v>
      </c>
      <c r="I10" s="69">
        <v>391</v>
      </c>
      <c r="J10" s="70">
        <f t="shared" si="2"/>
        <v>4.1196923401116844E-2</v>
      </c>
      <c r="K10" s="70">
        <f t="shared" si="3"/>
        <v>0.13290278721957852</v>
      </c>
      <c r="L10" s="69">
        <v>17</v>
      </c>
      <c r="M10" s="70">
        <f t="shared" si="4"/>
        <v>1.7911705826572542E-3</v>
      </c>
      <c r="N10" s="67" t="s">
        <v>31</v>
      </c>
    </row>
    <row r="11" spans="1:14" ht="24" customHeight="1" x14ac:dyDescent="0.3">
      <c r="A11" s="66" t="s">
        <v>38</v>
      </c>
      <c r="B11" s="67" t="s">
        <v>16</v>
      </c>
      <c r="C11" s="68">
        <v>44932</v>
      </c>
      <c r="D11" s="69">
        <v>6368</v>
      </c>
      <c r="E11" s="70">
        <f t="shared" si="0"/>
        <v>0.99874371859296485</v>
      </c>
      <c r="F11" s="69">
        <v>8</v>
      </c>
      <c r="G11" s="69">
        <v>2479</v>
      </c>
      <c r="H11" s="70">
        <f t="shared" si="1"/>
        <v>0.38929020100502515</v>
      </c>
      <c r="I11" s="69">
        <v>39</v>
      </c>
      <c r="J11" s="70">
        <f t="shared" si="2"/>
        <v>6.124371859296482E-3</v>
      </c>
      <c r="K11" s="70">
        <f t="shared" si="3"/>
        <v>1.5732150060508269E-2</v>
      </c>
      <c r="L11" s="69">
        <v>8</v>
      </c>
      <c r="M11" s="70">
        <f t="shared" si="4"/>
        <v>1.2562814070351759E-3</v>
      </c>
      <c r="N11" s="67" t="s">
        <v>16</v>
      </c>
    </row>
    <row r="12" spans="1:14" ht="24" customHeight="1" x14ac:dyDescent="0.3">
      <c r="A12" s="66" t="s">
        <v>22</v>
      </c>
      <c r="B12" s="67" t="s">
        <v>16</v>
      </c>
      <c r="C12" s="68">
        <v>44932</v>
      </c>
      <c r="D12" s="69">
        <v>4261604</v>
      </c>
      <c r="E12" s="70">
        <f t="shared" si="0"/>
        <v>0.99585179664745949</v>
      </c>
      <c r="F12" s="69">
        <v>17678</v>
      </c>
      <c r="G12" s="69">
        <v>1548958</v>
      </c>
      <c r="H12" s="70">
        <f t="shared" si="1"/>
        <v>0.3634683091155349</v>
      </c>
      <c r="I12" s="69">
        <v>36774</v>
      </c>
      <c r="J12" s="70">
        <f t="shared" si="2"/>
        <v>8.6291452701846537E-3</v>
      </c>
      <c r="K12" s="70">
        <f t="shared" si="3"/>
        <v>2.3741121450678457E-2</v>
      </c>
      <c r="L12" s="69">
        <v>14481</v>
      </c>
      <c r="M12" s="70">
        <f t="shared" si="4"/>
        <v>3.3980163337560222E-3</v>
      </c>
      <c r="N12" s="67" t="s">
        <v>16</v>
      </c>
    </row>
    <row r="13" spans="1:14" ht="24" customHeight="1" x14ac:dyDescent="0.3">
      <c r="A13" s="66" t="s">
        <v>28</v>
      </c>
      <c r="B13" s="67" t="s">
        <v>16</v>
      </c>
      <c r="C13" s="68">
        <v>44932</v>
      </c>
      <c r="D13" s="69">
        <v>319646</v>
      </c>
      <c r="E13" s="70">
        <f t="shared" si="0"/>
        <v>0.99764114051169106</v>
      </c>
      <c r="F13" s="69">
        <v>754</v>
      </c>
      <c r="G13" s="69">
        <v>108910</v>
      </c>
      <c r="H13" s="70">
        <f t="shared" si="1"/>
        <v>0.34072067224366959</v>
      </c>
      <c r="I13" s="69">
        <v>4376</v>
      </c>
      <c r="J13" s="70">
        <f t="shared" si="2"/>
        <v>1.3690144722599376E-2</v>
      </c>
      <c r="K13" s="70">
        <f t="shared" si="3"/>
        <v>4.0179965108805435E-2</v>
      </c>
      <c r="L13" s="69">
        <v>1982</v>
      </c>
      <c r="M13" s="70">
        <f t="shared" si="4"/>
        <v>6.2006094241754944E-3</v>
      </c>
      <c r="N13" s="67" t="s">
        <v>16</v>
      </c>
    </row>
    <row r="14" spans="1:14" ht="24" customHeight="1" x14ac:dyDescent="0.3">
      <c r="A14" s="66" t="s">
        <v>19</v>
      </c>
      <c r="B14" s="67" t="s">
        <v>21</v>
      </c>
      <c r="C14" s="68">
        <v>44932</v>
      </c>
      <c r="D14" s="69">
        <v>327320</v>
      </c>
      <c r="E14" s="70">
        <f t="shared" si="0"/>
        <v>0.99716179885127709</v>
      </c>
      <c r="F14" s="69">
        <v>929</v>
      </c>
      <c r="G14" s="69">
        <v>123722</v>
      </c>
      <c r="H14" s="70">
        <f t="shared" si="1"/>
        <v>0.37798484663326409</v>
      </c>
      <c r="I14" s="69">
        <v>3484</v>
      </c>
      <c r="J14" s="70">
        <f t="shared" si="2"/>
        <v>1.0644018086276427E-2</v>
      </c>
      <c r="K14" s="70">
        <f t="shared" si="3"/>
        <v>2.815990688802315E-2</v>
      </c>
      <c r="L14" s="69">
        <v>473</v>
      </c>
      <c r="M14" s="70">
        <f t="shared" si="4"/>
        <v>1.4450690455823049E-3</v>
      </c>
      <c r="N14" s="67" t="s">
        <v>21</v>
      </c>
    </row>
    <row r="15" spans="1:14" ht="24" customHeight="1" x14ac:dyDescent="0.3">
      <c r="A15" s="66" t="s">
        <v>33</v>
      </c>
      <c r="B15" s="67" t="s">
        <v>21</v>
      </c>
      <c r="C15" s="68">
        <v>44932</v>
      </c>
      <c r="D15" s="69">
        <v>229503</v>
      </c>
      <c r="E15" s="70">
        <f t="shared" si="0"/>
        <v>0.99866232685411516</v>
      </c>
      <c r="F15" s="69">
        <v>307</v>
      </c>
      <c r="G15" s="69">
        <v>105460</v>
      </c>
      <c r="H15" s="70">
        <f t="shared" si="1"/>
        <v>0.45951469043977639</v>
      </c>
      <c r="I15" s="69">
        <v>2616</v>
      </c>
      <c r="J15" s="70">
        <f t="shared" si="2"/>
        <v>1.1398543809884839E-2</v>
      </c>
      <c r="K15" s="70">
        <f t="shared" si="3"/>
        <v>2.4805613502749856E-2</v>
      </c>
      <c r="L15" s="69">
        <v>317</v>
      </c>
      <c r="M15" s="70">
        <f t="shared" si="4"/>
        <v>1.3812455610602041E-3</v>
      </c>
      <c r="N15" s="67" t="s">
        <v>21</v>
      </c>
    </row>
    <row r="16" spans="1:14" ht="24" customHeight="1" x14ac:dyDescent="0.3">
      <c r="A16" s="66" t="s">
        <v>24</v>
      </c>
      <c r="B16" s="67"/>
      <c r="C16" s="68">
        <v>44933</v>
      </c>
      <c r="D16" s="69">
        <f>'All Email Performance'!E21</f>
        <v>13458</v>
      </c>
      <c r="E16" s="70">
        <f t="shared" si="0"/>
        <v>0.99903403180264527</v>
      </c>
      <c r="F16" s="69">
        <f>'All Email Performance'!G21</f>
        <v>13</v>
      </c>
      <c r="G16" s="69">
        <f>'All Email Performance'!H21</f>
        <v>4436</v>
      </c>
      <c r="H16" s="70">
        <f t="shared" si="1"/>
        <v>0.32961807103581514</v>
      </c>
      <c r="I16" s="69">
        <f>'All Email Performance'!J21</f>
        <v>200</v>
      </c>
      <c r="J16" s="70">
        <f t="shared" ref="J16" si="5">I16/D16</f>
        <v>1.486104919007282E-2</v>
      </c>
      <c r="K16" s="70">
        <f t="shared" ref="K16" si="6">I16/G16</f>
        <v>4.5085662759242563E-2</v>
      </c>
      <c r="L16" s="69">
        <f>'All Email Performance'!M21</f>
        <v>42</v>
      </c>
      <c r="M16" s="70">
        <f t="shared" si="4"/>
        <v>3.120820329915292E-3</v>
      </c>
      <c r="N16" s="67" t="s">
        <v>21</v>
      </c>
    </row>
    <row r="17" spans="1:14" ht="24" customHeight="1" x14ac:dyDescent="0.3">
      <c r="A17" s="66" t="s">
        <v>37</v>
      </c>
      <c r="B17" s="67" t="s">
        <v>16</v>
      </c>
      <c r="C17" s="68">
        <v>44933</v>
      </c>
      <c r="D17" s="69">
        <v>17329</v>
      </c>
      <c r="E17" s="70">
        <f t="shared" si="0"/>
        <v>0.9987881585781061</v>
      </c>
      <c r="F17" s="69">
        <v>21</v>
      </c>
      <c r="G17" s="69">
        <v>8094</v>
      </c>
      <c r="H17" s="70">
        <f t="shared" si="1"/>
        <v>0.46707830803854811</v>
      </c>
      <c r="I17" s="69">
        <v>858</v>
      </c>
      <c r="J17" s="70">
        <f t="shared" si="2"/>
        <v>4.9512378094523628E-2</v>
      </c>
      <c r="K17" s="70">
        <f t="shared" si="3"/>
        <v>0.10600444773906598</v>
      </c>
      <c r="L17" s="69">
        <v>28</v>
      </c>
      <c r="M17" s="70">
        <f t="shared" si="4"/>
        <v>1.6157885625252466E-3</v>
      </c>
      <c r="N17" s="67" t="s">
        <v>16</v>
      </c>
    </row>
    <row r="18" spans="1:14" ht="24" customHeight="1" x14ac:dyDescent="0.3">
      <c r="A18" s="66" t="s">
        <v>36</v>
      </c>
      <c r="B18" s="67" t="s">
        <v>16</v>
      </c>
      <c r="C18" s="68">
        <v>44933</v>
      </c>
      <c r="D18" s="69">
        <v>1891</v>
      </c>
      <c r="E18" s="70">
        <f t="shared" si="0"/>
        <v>0.99788471708090953</v>
      </c>
      <c r="F18" s="69">
        <v>4</v>
      </c>
      <c r="G18" s="69">
        <v>923</v>
      </c>
      <c r="H18" s="70">
        <f t="shared" si="1"/>
        <v>0.48810153358011632</v>
      </c>
      <c r="I18" s="69">
        <v>118</v>
      </c>
      <c r="J18" s="70">
        <f t="shared" si="2"/>
        <v>6.2400846113167638E-2</v>
      </c>
      <c r="K18" s="70">
        <f t="shared" si="3"/>
        <v>0.12784398699891658</v>
      </c>
      <c r="L18" s="69">
        <v>8</v>
      </c>
      <c r="M18" s="70">
        <f t="shared" si="4"/>
        <v>4.2305658381808567E-3</v>
      </c>
      <c r="N18" s="67" t="s">
        <v>16</v>
      </c>
    </row>
    <row r="19" spans="1:14" ht="24" customHeight="1" x14ac:dyDescent="0.3">
      <c r="A19" s="66" t="s">
        <v>59</v>
      </c>
      <c r="B19" s="67" t="s">
        <v>16</v>
      </c>
      <c r="C19" s="68">
        <v>44935</v>
      </c>
      <c r="D19" s="69">
        <f>SUM('All Email Performance'!E26:E27)</f>
        <v>186248</v>
      </c>
      <c r="E19" s="70">
        <f t="shared" ref="E19" si="7">(D19-F19)/D19</f>
        <v>0.99895300889137062</v>
      </c>
      <c r="F19" s="69">
        <f>SUM('All Email Performance'!G26:G27)</f>
        <v>195</v>
      </c>
      <c r="G19" s="69">
        <f>SUM('All Email Performance'!H26:H27)</f>
        <v>67718</v>
      </c>
      <c r="H19" s="70">
        <f t="shared" ref="H19" si="8">G19/D19</f>
        <v>0.36359048150852624</v>
      </c>
      <c r="I19" s="69">
        <f>SUM('All Email Performance'!J26:J27)</f>
        <v>1416</v>
      </c>
      <c r="J19" s="70">
        <f t="shared" ref="J19" si="9">I19/D19</f>
        <v>7.6027662042008502E-3</v>
      </c>
      <c r="K19" s="70">
        <f t="shared" ref="K19" si="10">I19/G19</f>
        <v>2.0910245429575591E-2</v>
      </c>
      <c r="L19" s="69">
        <f>SUM('All Email Performance'!M26:M27)</f>
        <v>811</v>
      </c>
      <c r="M19" s="70">
        <f t="shared" ref="M19" si="11">L19/D19</f>
        <v>4.3544091748636228E-3</v>
      </c>
      <c r="N19" s="67" t="s">
        <v>16</v>
      </c>
    </row>
    <row r="20" spans="1:14" ht="24" customHeight="1" x14ac:dyDescent="0.3">
      <c r="A20" s="66" t="s">
        <v>60</v>
      </c>
      <c r="B20" s="67" t="s">
        <v>16</v>
      </c>
      <c r="C20" s="68">
        <v>44935</v>
      </c>
      <c r="D20" s="69">
        <f>SUM('All Email Performance'!E28:E29)</f>
        <v>2643844</v>
      </c>
      <c r="E20" s="70">
        <f t="shared" ref="E20:E31" si="12">(D20-F20)/D20</f>
        <v>0.998066829964249</v>
      </c>
      <c r="F20" s="69">
        <f>SUM('All Email Performance'!G28:G29)</f>
        <v>5111</v>
      </c>
      <c r="G20" s="69">
        <f>SUM('All Email Performance'!H28:H29)</f>
        <v>1028904</v>
      </c>
      <c r="H20" s="70">
        <f t="shared" ref="H20:H31" si="13">G20/D20</f>
        <v>0.38916970895408354</v>
      </c>
      <c r="I20" s="69">
        <f>SUM('All Email Performance'!J28:J29)</f>
        <v>14390</v>
      </c>
      <c r="J20" s="70">
        <f t="shared" ref="J20:J31" si="14">I20/D20</f>
        <v>5.4428324817954463E-3</v>
      </c>
      <c r="K20" s="70">
        <f t="shared" ref="K20:K31" si="15">I20/G20</f>
        <v>1.3985755716762692E-2</v>
      </c>
      <c r="L20" s="69">
        <f>SUM('All Email Performance'!M28:M29)</f>
        <v>6305</v>
      </c>
      <c r="M20" s="70">
        <f t="shared" ref="M20:M31" si="16">L20/D20</f>
        <v>2.3847851839972406E-3</v>
      </c>
      <c r="N20" s="67" t="s">
        <v>16</v>
      </c>
    </row>
    <row r="21" spans="1:14" ht="24" customHeight="1" x14ac:dyDescent="0.3">
      <c r="A21" s="66" t="s">
        <v>29</v>
      </c>
      <c r="B21" s="67" t="s">
        <v>16</v>
      </c>
      <c r="C21" s="68">
        <v>44936</v>
      </c>
      <c r="D21" s="69">
        <f>SUM('All Email Performance'!E30:E31)</f>
        <v>40844</v>
      </c>
      <c r="E21" s="70">
        <f t="shared" si="12"/>
        <v>0.99933894819312508</v>
      </c>
      <c r="F21" s="69">
        <f>SUM('All Email Performance'!G30:G31)</f>
        <v>27</v>
      </c>
      <c r="G21" s="69">
        <f>SUM('All Email Performance'!H30:H31)</f>
        <v>15322</v>
      </c>
      <c r="H21" s="70">
        <f t="shared" si="13"/>
        <v>0.37513465870140045</v>
      </c>
      <c r="I21" s="69">
        <f>SUM('All Email Performance'!J30:J31)</f>
        <v>580</v>
      </c>
      <c r="J21" s="70">
        <f t="shared" si="14"/>
        <v>1.420037214768387E-2</v>
      </c>
      <c r="K21" s="70">
        <f t="shared" si="15"/>
        <v>3.7854066048818691E-2</v>
      </c>
      <c r="L21" s="69">
        <f>SUM('All Email Performance'!M30:M31)</f>
        <v>47</v>
      </c>
      <c r="M21" s="70">
        <f t="shared" si="16"/>
        <v>1.150719811967486E-3</v>
      </c>
      <c r="N21" s="67" t="s">
        <v>16</v>
      </c>
    </row>
    <row r="22" spans="1:14" ht="24" customHeight="1" x14ac:dyDescent="0.3">
      <c r="A22" s="66" t="s">
        <v>17</v>
      </c>
      <c r="B22" s="67" t="s">
        <v>16</v>
      </c>
      <c r="C22" s="68">
        <v>44936</v>
      </c>
      <c r="D22" s="69">
        <f>SUM('All Email Performance'!E32:E33)</f>
        <v>554909</v>
      </c>
      <c r="E22" s="70">
        <f t="shared" si="12"/>
        <v>0.99850606135420406</v>
      </c>
      <c r="F22" s="69">
        <f>SUM('All Email Performance'!G32:G33)</f>
        <v>829</v>
      </c>
      <c r="G22" s="69">
        <f>SUM('All Email Performance'!H32:H33)</f>
        <v>213766</v>
      </c>
      <c r="H22" s="70">
        <f t="shared" si="13"/>
        <v>0.38522712733078757</v>
      </c>
      <c r="I22" s="69">
        <f>SUM('All Email Performance'!J32:J33)</f>
        <v>4220</v>
      </c>
      <c r="J22" s="70">
        <f t="shared" si="14"/>
        <v>7.6048505250410426E-3</v>
      </c>
      <c r="K22" s="70">
        <f t="shared" si="15"/>
        <v>1.9741212353695161E-2</v>
      </c>
      <c r="L22" s="69">
        <f>SUM('All Email Performance'!M32:M33)</f>
        <v>679</v>
      </c>
      <c r="M22" s="70">
        <f t="shared" si="16"/>
        <v>1.2236240536736653E-3</v>
      </c>
      <c r="N22" s="67" t="s">
        <v>16</v>
      </c>
    </row>
    <row r="23" spans="1:14" ht="24" customHeight="1" x14ac:dyDescent="0.3">
      <c r="A23" s="66" t="s">
        <v>61</v>
      </c>
      <c r="B23" s="67" t="s">
        <v>21</v>
      </c>
      <c r="C23" s="68">
        <v>44936</v>
      </c>
      <c r="D23" s="69">
        <f>SUM('All Email Performance'!E34:E35)</f>
        <v>17075</v>
      </c>
      <c r="E23" s="70">
        <f t="shared" si="12"/>
        <v>0.9991800878477306</v>
      </c>
      <c r="F23" s="69">
        <f>SUM('All Email Performance'!G34:G35)</f>
        <v>14</v>
      </c>
      <c r="G23" s="69">
        <f>SUM('All Email Performance'!H34:H35)</f>
        <v>6036</v>
      </c>
      <c r="H23" s="70">
        <f t="shared" si="13"/>
        <v>0.35349926793557834</v>
      </c>
      <c r="I23" s="69">
        <f>SUM('All Email Performance'!J34:J35)</f>
        <v>145</v>
      </c>
      <c r="J23" s="70">
        <f t="shared" si="14"/>
        <v>8.4919472913616394E-3</v>
      </c>
      <c r="K23" s="70">
        <f t="shared" si="15"/>
        <v>2.4022531477799869E-2</v>
      </c>
      <c r="L23" s="69">
        <f>SUM('All Email Performance'!M34:M35)</f>
        <v>38</v>
      </c>
      <c r="M23" s="70">
        <f t="shared" si="16"/>
        <v>2.225475841874085E-3</v>
      </c>
      <c r="N23" s="67" t="s">
        <v>21</v>
      </c>
    </row>
    <row r="24" spans="1:14" ht="24" customHeight="1" x14ac:dyDescent="0.3">
      <c r="A24" s="66" t="s">
        <v>62</v>
      </c>
      <c r="B24" s="67" t="s">
        <v>21</v>
      </c>
      <c r="C24" s="72">
        <v>44936</v>
      </c>
      <c r="D24" s="69">
        <f>SUM('All Email Performance'!E36:E37)</f>
        <v>322579</v>
      </c>
      <c r="E24" s="70">
        <f t="shared" si="12"/>
        <v>0.99871969347043665</v>
      </c>
      <c r="F24" s="69">
        <f>SUM('All Email Performance'!G36:G37)</f>
        <v>413</v>
      </c>
      <c r="G24" s="69">
        <f>SUM('All Email Performance'!H36:H37)</f>
        <v>148850</v>
      </c>
      <c r="H24" s="70">
        <f t="shared" si="13"/>
        <v>0.46143735333050201</v>
      </c>
      <c r="I24" s="69">
        <f>SUM('All Email Performance'!J36:J37)</f>
        <v>2098</v>
      </c>
      <c r="J24" s="70">
        <f t="shared" si="14"/>
        <v>6.5038331695491643E-3</v>
      </c>
      <c r="K24" s="70">
        <f t="shared" si="15"/>
        <v>1.4094726234464226E-2</v>
      </c>
      <c r="L24" s="69">
        <f>SUM('All Email Performance'!M36:M37)</f>
        <v>543</v>
      </c>
      <c r="M24" s="70">
        <f t="shared" si="16"/>
        <v>1.6833085848737828E-3</v>
      </c>
      <c r="N24" s="67" t="s">
        <v>21</v>
      </c>
    </row>
    <row r="25" spans="1:14" ht="24" customHeight="1" x14ac:dyDescent="0.3">
      <c r="A25" s="66" t="s">
        <v>26</v>
      </c>
      <c r="B25" s="67" t="s">
        <v>23</v>
      </c>
      <c r="C25" s="72">
        <v>44938</v>
      </c>
      <c r="D25" s="69">
        <f>'All Email Performance'!E38</f>
        <v>1672</v>
      </c>
      <c r="E25" s="70">
        <f t="shared" si="12"/>
        <v>1</v>
      </c>
      <c r="F25" s="69">
        <f>'All Email Performance'!G38</f>
        <v>0</v>
      </c>
      <c r="G25" s="69">
        <f>'All Email Performance'!H38</f>
        <v>601</v>
      </c>
      <c r="H25" s="70">
        <f t="shared" si="13"/>
        <v>0.35944976076555024</v>
      </c>
      <c r="I25" s="69">
        <f>'All Email Performance'!J38</f>
        <v>18</v>
      </c>
      <c r="J25" s="70">
        <f t="shared" si="14"/>
        <v>1.076555023923445E-2</v>
      </c>
      <c r="K25" s="70">
        <f t="shared" si="15"/>
        <v>2.9950083194675542E-2</v>
      </c>
      <c r="L25" s="69">
        <f>'All Email Performance'!M38</f>
        <v>0</v>
      </c>
      <c r="M25" s="70">
        <f t="shared" si="16"/>
        <v>0</v>
      </c>
      <c r="N25" s="67" t="s">
        <v>23</v>
      </c>
    </row>
    <row r="26" spans="1:14" ht="24" customHeight="1" x14ac:dyDescent="0.3">
      <c r="A26" s="66" t="s">
        <v>63</v>
      </c>
      <c r="B26" s="67" t="s">
        <v>16</v>
      </c>
      <c r="C26" s="72">
        <v>44938</v>
      </c>
      <c r="D26" s="69">
        <f>SUM('All Email Performance'!E39:E40)</f>
        <v>91091</v>
      </c>
      <c r="E26" s="70">
        <f t="shared" si="12"/>
        <v>0.99880339440778998</v>
      </c>
      <c r="F26" s="69">
        <f>SUM('All Email Performance'!G39:G40)</f>
        <v>109</v>
      </c>
      <c r="G26" s="69">
        <f>SUM('All Email Performance'!H39:H40)</f>
        <v>25335</v>
      </c>
      <c r="H26" s="70">
        <f t="shared" si="13"/>
        <v>0.27812846494165178</v>
      </c>
      <c r="I26" s="69">
        <f>SUM('All Email Performance'!J39:J40)</f>
        <v>334</v>
      </c>
      <c r="J26" s="70">
        <f t="shared" si="14"/>
        <v>3.6666630073223482E-3</v>
      </c>
      <c r="K26" s="70">
        <f t="shared" si="15"/>
        <v>1.318334320110519E-2</v>
      </c>
      <c r="L26" s="69">
        <f>SUM('All Email Performance'!M39:M40)</f>
        <v>192</v>
      </c>
      <c r="M26" s="70">
        <f t="shared" si="16"/>
        <v>2.1077823275625473E-3</v>
      </c>
      <c r="N26" s="67" t="s">
        <v>16</v>
      </c>
    </row>
    <row r="27" spans="1:14" ht="24" customHeight="1" x14ac:dyDescent="0.3">
      <c r="A27" s="66" t="s">
        <v>64</v>
      </c>
      <c r="B27" s="67" t="s">
        <v>16</v>
      </c>
      <c r="C27" s="72">
        <v>44938</v>
      </c>
      <c r="D27" s="69">
        <f>SUM('All Email Performance'!E41:E42)</f>
        <v>1437667</v>
      </c>
      <c r="E27" s="70">
        <f t="shared" si="12"/>
        <v>0.99757245593033717</v>
      </c>
      <c r="F27" s="69">
        <f>SUM('All Email Performance'!G41:G42)</f>
        <v>3490</v>
      </c>
      <c r="G27" s="69">
        <f>SUM('All Email Performance'!H41:H42)</f>
        <v>513567</v>
      </c>
      <c r="H27" s="70">
        <f t="shared" si="13"/>
        <v>0.35722250006434036</v>
      </c>
      <c r="I27" s="69">
        <f>SUM('All Email Performance'!J41:J42)</f>
        <v>5806</v>
      </c>
      <c r="J27" s="70">
        <f t="shared" si="14"/>
        <v>4.0384873548603394E-3</v>
      </c>
      <c r="K27" s="70">
        <f t="shared" si="15"/>
        <v>1.1305243522266813E-2</v>
      </c>
      <c r="L27" s="69">
        <f>SUM('All Email Performance'!M41:M42)</f>
        <v>2879</v>
      </c>
      <c r="M27" s="70">
        <f t="shared" si="16"/>
        <v>2.0025499646301962E-3</v>
      </c>
      <c r="N27" s="67" t="s">
        <v>16</v>
      </c>
    </row>
    <row r="28" spans="1:14" ht="24" customHeight="1" x14ac:dyDescent="0.3">
      <c r="A28" s="66" t="s">
        <v>28</v>
      </c>
      <c r="B28" s="67" t="s">
        <v>16</v>
      </c>
      <c r="C28" s="72">
        <v>44939</v>
      </c>
      <c r="D28" s="69">
        <f>SUM('All Email Performance'!E43:E44)</f>
        <v>322909</v>
      </c>
      <c r="E28" s="70">
        <f t="shared" si="12"/>
        <v>0.99769594529728189</v>
      </c>
      <c r="F28" s="69">
        <f>SUM('All Email Performance'!G43:G44)</f>
        <v>744</v>
      </c>
      <c r="G28" s="69">
        <f>SUM('All Email Performance'!H43:H44)</f>
        <v>112948</v>
      </c>
      <c r="H28" s="70">
        <f t="shared" si="13"/>
        <v>0.34978275613253268</v>
      </c>
      <c r="I28" s="69">
        <f>SUM('All Email Performance'!J43:J44)</f>
        <v>3685</v>
      </c>
      <c r="J28" s="70">
        <f t="shared" si="14"/>
        <v>1.1411883843435767E-2</v>
      </c>
      <c r="K28" s="70">
        <f t="shared" si="15"/>
        <v>3.2625633034670823E-2</v>
      </c>
      <c r="L28" s="69">
        <f>SUM('All Email Performance'!M43:M44)</f>
        <v>1417</v>
      </c>
      <c r="M28" s="70">
        <f t="shared" si="16"/>
        <v>4.3882332174080005E-3</v>
      </c>
      <c r="N28" s="67" t="s">
        <v>16</v>
      </c>
    </row>
    <row r="29" spans="1:14" ht="24" customHeight="1" x14ac:dyDescent="0.3">
      <c r="A29" s="66" t="s">
        <v>22</v>
      </c>
      <c r="B29" s="67" t="s">
        <v>16</v>
      </c>
      <c r="C29" s="72">
        <v>44939</v>
      </c>
      <c r="D29" s="69">
        <f>SUM('All Email Performance'!E45:E46)</f>
        <v>4292344</v>
      </c>
      <c r="E29" s="70">
        <f t="shared" si="12"/>
        <v>0.99592879787826882</v>
      </c>
      <c r="F29" s="69">
        <f>SUM('All Email Performance'!G45:G46)</f>
        <v>17475</v>
      </c>
      <c r="G29" s="69">
        <f>SUM('All Email Performance'!H45:H46)</f>
        <v>1562080</v>
      </c>
      <c r="H29" s="70">
        <f t="shared" si="13"/>
        <v>0.36392236968891589</v>
      </c>
      <c r="I29" s="69">
        <f>SUM('All Email Performance'!J45:J46)</f>
        <v>31910</v>
      </c>
      <c r="J29" s="70">
        <f t="shared" si="14"/>
        <v>7.4341665066919149E-3</v>
      </c>
      <c r="K29" s="70">
        <f t="shared" si="15"/>
        <v>2.0427891017105397E-2</v>
      </c>
      <c r="L29" s="69">
        <f>SUM('All Email Performance'!M45:M46)</f>
        <v>12369</v>
      </c>
      <c r="M29" s="70">
        <f t="shared" si="16"/>
        <v>2.8816422914845594E-3</v>
      </c>
      <c r="N29" s="67" t="s">
        <v>16</v>
      </c>
    </row>
    <row r="30" spans="1:14" ht="24" customHeight="1" x14ac:dyDescent="0.3">
      <c r="A30" s="66" t="s">
        <v>33</v>
      </c>
      <c r="B30" s="67" t="s">
        <v>21</v>
      </c>
      <c r="C30" s="72">
        <v>44939</v>
      </c>
      <c r="D30" s="69">
        <f>'All Email Performance'!E47</f>
        <v>252620</v>
      </c>
      <c r="E30" s="70">
        <f t="shared" si="12"/>
        <v>0.99887974032143145</v>
      </c>
      <c r="F30" s="69">
        <f>'All Email Performance'!G47</f>
        <v>283</v>
      </c>
      <c r="G30" s="69">
        <f>'All Email Performance'!H47</f>
        <v>95330</v>
      </c>
      <c r="H30" s="70">
        <f t="shared" si="13"/>
        <v>0.37736521257224287</v>
      </c>
      <c r="I30" s="69">
        <f>'All Email Performance'!J47</f>
        <v>2226</v>
      </c>
      <c r="J30" s="70">
        <f t="shared" si="14"/>
        <v>8.8116538674689257E-3</v>
      </c>
      <c r="K30" s="70">
        <f t="shared" si="15"/>
        <v>2.3350466799538446E-2</v>
      </c>
      <c r="L30" s="69">
        <f>'All Email Performance'!M47</f>
        <v>330</v>
      </c>
      <c r="M30" s="70">
        <f t="shared" si="16"/>
        <v>1.3063098725358245E-3</v>
      </c>
      <c r="N30" s="73" t="s">
        <v>21</v>
      </c>
    </row>
    <row r="31" spans="1:14" ht="24" customHeight="1" x14ac:dyDescent="0.3">
      <c r="A31" s="66" t="s">
        <v>19</v>
      </c>
      <c r="B31" s="67" t="s">
        <v>21</v>
      </c>
      <c r="C31" s="72">
        <v>44939</v>
      </c>
      <c r="D31" s="69">
        <f>'All Email Performance'!E48</f>
        <v>334315</v>
      </c>
      <c r="E31" s="70">
        <f t="shared" si="12"/>
        <v>0.99789121038541495</v>
      </c>
      <c r="F31" s="69">
        <f>'All Email Performance'!G48</f>
        <v>705</v>
      </c>
      <c r="G31" s="69">
        <f>'All Email Performance'!H48</f>
        <v>101194</v>
      </c>
      <c r="H31" s="70">
        <f t="shared" si="13"/>
        <v>0.30269057625293511</v>
      </c>
      <c r="I31" s="69">
        <f>'All Email Performance'!J48</f>
        <v>2570</v>
      </c>
      <c r="J31" s="70">
        <f t="shared" si="14"/>
        <v>7.6873607226717313E-3</v>
      </c>
      <c r="K31" s="70">
        <f t="shared" si="15"/>
        <v>2.5396762653912289E-2</v>
      </c>
      <c r="L31" s="69">
        <f>'All Email Performance'!M48</f>
        <v>321</v>
      </c>
      <c r="M31" s="70">
        <f t="shared" si="16"/>
        <v>9.6017229259829804E-4</v>
      </c>
      <c r="N31" s="73" t="s">
        <v>21</v>
      </c>
    </row>
    <row r="32" spans="1:14" ht="24" customHeight="1" x14ac:dyDescent="0.3">
      <c r="A32" s="66" t="s">
        <v>69</v>
      </c>
      <c r="B32" s="67" t="s">
        <v>16</v>
      </c>
      <c r="C32" s="72">
        <v>44942</v>
      </c>
      <c r="D32" s="69">
        <f>SUM('All Email Performance'!E49:E50)</f>
        <v>345663</v>
      </c>
      <c r="E32" s="70">
        <f t="shared" ref="E32:E52" si="17">(D32-F32)/D32</f>
        <v>0.99765378417707418</v>
      </c>
      <c r="F32" s="69">
        <f>SUM('All Email Performance'!G49:G50)</f>
        <v>811</v>
      </c>
      <c r="G32" s="69">
        <f>SUM('All Email Performance'!H49:H50)</f>
        <v>128665</v>
      </c>
      <c r="H32" s="70">
        <f t="shared" ref="H32:H52" si="18">G32/D32</f>
        <v>0.37222670635850524</v>
      </c>
      <c r="I32" s="69">
        <f>SUM('All Email Performance'!J49:J50)</f>
        <v>3462</v>
      </c>
      <c r="J32" s="70">
        <f t="shared" ref="J32:J52" si="19">I32/D32</f>
        <v>1.0015535362477327E-2</v>
      </c>
      <c r="K32" s="70">
        <f t="shared" ref="K32:K52" si="20">I32/G32</f>
        <v>2.6907084288656589E-2</v>
      </c>
      <c r="L32" s="69">
        <f>SUM('All Email Performance'!M49:M50)</f>
        <v>2181</v>
      </c>
      <c r="M32" s="70">
        <f t="shared" ref="M32:M52" si="21">L32/D32</f>
        <v>6.3096136988916949E-3</v>
      </c>
      <c r="N32" s="67" t="s">
        <v>16</v>
      </c>
    </row>
    <row r="33" spans="1:14" ht="24" customHeight="1" x14ac:dyDescent="0.3">
      <c r="A33" s="66" t="s">
        <v>70</v>
      </c>
      <c r="B33" s="67" t="s">
        <v>16</v>
      </c>
      <c r="C33" s="72">
        <v>44942</v>
      </c>
      <c r="D33" s="69">
        <f>SUM('All Email Performance'!E51:E52)</f>
        <v>4461073</v>
      </c>
      <c r="E33" s="70">
        <f t="shared" si="17"/>
        <v>0.99606350310788461</v>
      </c>
      <c r="F33" s="69">
        <f>SUM('All Email Performance'!G51:G52)</f>
        <v>17561</v>
      </c>
      <c r="G33" s="69">
        <f>SUM('All Email Performance'!H51:H52)</f>
        <v>2115387</v>
      </c>
      <c r="H33" s="70">
        <f t="shared" si="18"/>
        <v>0.47418793640005441</v>
      </c>
      <c r="I33" s="69">
        <f>SUM('All Email Performance'!J51:J52)</f>
        <v>52085</v>
      </c>
      <c r="J33" s="70">
        <f t="shared" si="19"/>
        <v>1.1675442208634559E-2</v>
      </c>
      <c r="K33" s="70">
        <f t="shared" si="20"/>
        <v>2.4621972244322197E-2</v>
      </c>
      <c r="L33" s="69">
        <f>SUM('All Email Performance'!M51:M52)</f>
        <v>22135</v>
      </c>
      <c r="M33" s="70">
        <f t="shared" si="21"/>
        <v>4.9618107571877887E-3</v>
      </c>
      <c r="N33" s="67" t="s">
        <v>16</v>
      </c>
    </row>
    <row r="34" spans="1:14" ht="24" customHeight="1" x14ac:dyDescent="0.3">
      <c r="A34" s="66" t="s">
        <v>29</v>
      </c>
      <c r="B34" s="67" t="s">
        <v>16</v>
      </c>
      <c r="C34" s="72">
        <v>44943</v>
      </c>
      <c r="D34" s="69">
        <f>SUM('All Email Performance'!E53:E54)</f>
        <v>47864</v>
      </c>
      <c r="E34" s="70">
        <f t="shared" si="17"/>
        <v>0.99887180344308879</v>
      </c>
      <c r="F34" s="69">
        <f>SUM('All Email Performance'!G53:G54)</f>
        <v>54</v>
      </c>
      <c r="G34" s="69">
        <f>SUM('All Email Performance'!H53:H54)</f>
        <v>17790</v>
      </c>
      <c r="H34" s="70">
        <f t="shared" si="18"/>
        <v>0.37167808791576135</v>
      </c>
      <c r="I34" s="69">
        <f>SUM('All Email Performance'!J53:J54)</f>
        <v>554</v>
      </c>
      <c r="J34" s="70">
        <f t="shared" si="19"/>
        <v>1.1574460972756143E-2</v>
      </c>
      <c r="K34" s="70">
        <f t="shared" si="20"/>
        <v>3.1141090500281056E-2</v>
      </c>
      <c r="L34" s="69">
        <f>SUM('All Email Performance'!M53:M54)</f>
        <v>133</v>
      </c>
      <c r="M34" s="70">
        <f t="shared" si="21"/>
        <v>2.7787063346147419E-3</v>
      </c>
      <c r="N34" s="67" t="s">
        <v>16</v>
      </c>
    </row>
    <row r="35" spans="1:14" ht="24" customHeight="1" x14ac:dyDescent="0.3">
      <c r="A35" s="66" t="s">
        <v>17</v>
      </c>
      <c r="B35" s="67" t="s">
        <v>16</v>
      </c>
      <c r="C35" s="72">
        <v>44943</v>
      </c>
      <c r="D35" s="69">
        <f>SUM('All Email Performance'!E55:E56)</f>
        <v>626657</v>
      </c>
      <c r="E35" s="70">
        <f t="shared" si="17"/>
        <v>0.99802124607241283</v>
      </c>
      <c r="F35" s="69">
        <f>SUM('All Email Performance'!G55:G56)</f>
        <v>1240</v>
      </c>
      <c r="G35" s="69">
        <f>SUM('All Email Performance'!H55:H56)</f>
        <v>245646</v>
      </c>
      <c r="H35" s="70">
        <f t="shared" si="18"/>
        <v>0.39199434459361343</v>
      </c>
      <c r="I35" s="69">
        <f>SUM('All Email Performance'!J55:J56)</f>
        <v>5174</v>
      </c>
      <c r="J35" s="70">
        <f t="shared" si="19"/>
        <v>8.2565103397871566E-3</v>
      </c>
      <c r="K35" s="70">
        <f t="shared" si="20"/>
        <v>2.1062830251662962E-2</v>
      </c>
      <c r="L35" s="69">
        <f>SUM('All Email Performance'!M55:M56)</f>
        <v>1280</v>
      </c>
      <c r="M35" s="70">
        <f t="shared" si="21"/>
        <v>2.042584699444832E-3</v>
      </c>
      <c r="N35" s="67" t="s">
        <v>16</v>
      </c>
    </row>
    <row r="36" spans="1:14" ht="24" customHeight="1" x14ac:dyDescent="0.3">
      <c r="A36" s="66" t="s">
        <v>71</v>
      </c>
      <c r="B36" s="67" t="s">
        <v>16</v>
      </c>
      <c r="C36" s="72">
        <v>44944</v>
      </c>
      <c r="D36" s="69">
        <f>SUM('All Email Performance'!E57:E58)</f>
        <v>12610</v>
      </c>
      <c r="E36" s="70">
        <f t="shared" si="17"/>
        <v>0.99706582077716099</v>
      </c>
      <c r="F36" s="69">
        <f>SUM('All Email Performance'!G57:G58)</f>
        <v>37</v>
      </c>
      <c r="G36" s="69">
        <f>SUM('All Email Performance'!H57:H58)</f>
        <v>5690</v>
      </c>
      <c r="H36" s="70">
        <f t="shared" si="18"/>
        <v>0.45122918318794608</v>
      </c>
      <c r="I36" s="69">
        <f>SUM('All Email Performance'!J57:J58)</f>
        <v>87</v>
      </c>
      <c r="J36" s="70">
        <f t="shared" si="19"/>
        <v>6.8992862807295795E-3</v>
      </c>
      <c r="K36" s="70">
        <f t="shared" si="20"/>
        <v>1.5289982425307557E-2</v>
      </c>
      <c r="L36" s="69">
        <f>SUM('All Email Performance'!M57:M58)</f>
        <v>31</v>
      </c>
      <c r="M36" s="70">
        <f t="shared" si="21"/>
        <v>2.458366375892149E-3</v>
      </c>
      <c r="N36" s="67" t="s">
        <v>16</v>
      </c>
    </row>
    <row r="37" spans="1:14" ht="24" customHeight="1" x14ac:dyDescent="0.3">
      <c r="A37" s="66" t="s">
        <v>72</v>
      </c>
      <c r="B37" s="67" t="s">
        <v>16</v>
      </c>
      <c r="C37" s="72">
        <v>44944</v>
      </c>
      <c r="D37" s="69">
        <f>SUM('All Email Performance'!E59:E60)</f>
        <v>471641</v>
      </c>
      <c r="E37" s="70">
        <f t="shared" si="17"/>
        <v>0.99774828736263388</v>
      </c>
      <c r="F37" s="69">
        <f>SUM('All Email Performance'!G59:G60)</f>
        <v>1062</v>
      </c>
      <c r="G37" s="69">
        <f>SUM('All Email Performance'!H59:H60)</f>
        <v>252112</v>
      </c>
      <c r="H37" s="70">
        <f t="shared" si="18"/>
        <v>0.53454216236501917</v>
      </c>
      <c r="I37" s="69">
        <f>SUM('All Email Performance'!J59:J60)</f>
        <v>7258</v>
      </c>
      <c r="J37" s="70">
        <f t="shared" si="19"/>
        <v>1.5388823278722588E-2</v>
      </c>
      <c r="K37" s="70">
        <f t="shared" si="20"/>
        <v>2.8788792282794948E-2</v>
      </c>
      <c r="L37" s="69">
        <f>SUM('All Email Performance'!M59:M60)</f>
        <v>742</v>
      </c>
      <c r="M37" s="70">
        <f t="shared" si="21"/>
        <v>1.5732304867473353E-3</v>
      </c>
      <c r="N37" s="67" t="s">
        <v>16</v>
      </c>
    </row>
    <row r="38" spans="1:14" ht="24" customHeight="1" x14ac:dyDescent="0.3">
      <c r="A38" s="66" t="s">
        <v>32</v>
      </c>
      <c r="B38" s="67" t="s">
        <v>23</v>
      </c>
      <c r="C38" s="72">
        <v>44944</v>
      </c>
      <c r="D38" s="69">
        <f>'All Email Performance'!E61</f>
        <v>315</v>
      </c>
      <c r="E38" s="70">
        <f t="shared" si="17"/>
        <v>1</v>
      </c>
      <c r="F38" s="69">
        <f>'All Email Performance'!G61</f>
        <v>0</v>
      </c>
      <c r="G38" s="69">
        <f>'All Email Performance'!H61</f>
        <v>82</v>
      </c>
      <c r="H38" s="70">
        <f t="shared" si="18"/>
        <v>0.26031746031746034</v>
      </c>
      <c r="I38" s="69">
        <f>'All Email Performance'!J61</f>
        <v>7</v>
      </c>
      <c r="J38" s="70">
        <f t="shared" si="19"/>
        <v>2.2222222222222223E-2</v>
      </c>
      <c r="K38" s="70">
        <f t="shared" si="20"/>
        <v>8.5365853658536592E-2</v>
      </c>
      <c r="L38" s="69">
        <f>'All Email Performance'!M61</f>
        <v>0</v>
      </c>
      <c r="M38" s="70">
        <f t="shared" si="21"/>
        <v>0</v>
      </c>
      <c r="N38" s="67" t="s">
        <v>23</v>
      </c>
    </row>
    <row r="39" spans="1:14" ht="24" customHeight="1" x14ac:dyDescent="0.3">
      <c r="A39" s="66" t="s">
        <v>76</v>
      </c>
      <c r="B39" s="67" t="s">
        <v>16</v>
      </c>
      <c r="C39" s="68">
        <v>44944</v>
      </c>
      <c r="D39" s="69">
        <f>'All Email Performance'!E62</f>
        <v>111097</v>
      </c>
      <c r="E39" s="70">
        <f t="shared" si="17"/>
        <v>0.99912688911491765</v>
      </c>
      <c r="F39" s="69">
        <f>'All Email Performance'!G62</f>
        <v>97</v>
      </c>
      <c r="G39" s="69">
        <f>'All Email Performance'!H62</f>
        <v>39756</v>
      </c>
      <c r="H39" s="70">
        <f t="shared" si="18"/>
        <v>0.35784944687975373</v>
      </c>
      <c r="I39" s="69">
        <f>'All Email Performance'!J62</f>
        <v>1074</v>
      </c>
      <c r="J39" s="70">
        <f t="shared" si="19"/>
        <v>9.6672277379227164E-3</v>
      </c>
      <c r="K39" s="70">
        <f t="shared" si="20"/>
        <v>2.7014790220344097E-2</v>
      </c>
      <c r="L39" s="69">
        <f>'All Email Performance'!M62</f>
        <v>54</v>
      </c>
      <c r="M39" s="70">
        <f t="shared" si="21"/>
        <v>4.8606172983968964E-4</v>
      </c>
      <c r="N39" s="67" t="s">
        <v>16</v>
      </c>
    </row>
    <row r="40" spans="1:14" ht="24" customHeight="1" x14ac:dyDescent="0.3">
      <c r="A40" s="66" t="s">
        <v>77</v>
      </c>
      <c r="B40" s="67" t="s">
        <v>16</v>
      </c>
      <c r="C40" s="68">
        <v>44944</v>
      </c>
      <c r="D40" s="69">
        <f>'All Email Performance'!E63</f>
        <v>1896017</v>
      </c>
      <c r="E40" s="70">
        <f t="shared" si="17"/>
        <v>0.99711500477052684</v>
      </c>
      <c r="F40" s="69">
        <f>'All Email Performance'!G63</f>
        <v>5470</v>
      </c>
      <c r="G40" s="69">
        <f>'All Email Performance'!H63</f>
        <v>860136</v>
      </c>
      <c r="H40" s="70">
        <f t="shared" si="18"/>
        <v>0.45365416027387939</v>
      </c>
      <c r="I40" s="69">
        <f>'All Email Performance'!J63</f>
        <v>19533</v>
      </c>
      <c r="J40" s="70">
        <f t="shared" si="19"/>
        <v>1.0302122818519032E-2</v>
      </c>
      <c r="K40" s="70">
        <f t="shared" si="20"/>
        <v>2.2709199475431791E-2</v>
      </c>
      <c r="L40" s="69">
        <f>'All Email Performance'!M63</f>
        <v>2275</v>
      </c>
      <c r="M40" s="70">
        <f t="shared" si="21"/>
        <v>1.199883756316531E-3</v>
      </c>
      <c r="N40" s="67" t="s">
        <v>16</v>
      </c>
    </row>
    <row r="41" spans="1:14" ht="24" customHeight="1" x14ac:dyDescent="0.3">
      <c r="A41" s="66" t="s">
        <v>76</v>
      </c>
      <c r="B41" s="67" t="s">
        <v>21</v>
      </c>
      <c r="C41" s="68">
        <v>44944</v>
      </c>
      <c r="D41" s="69">
        <f>SUM('All Email Performance'!E64:E65)</f>
        <v>25874</v>
      </c>
      <c r="E41" s="70">
        <f t="shared" si="17"/>
        <v>0.99907242791991957</v>
      </c>
      <c r="F41" s="69">
        <f>SUM('All Email Performance'!G64:G65)</f>
        <v>24</v>
      </c>
      <c r="G41" s="69">
        <f>SUM('All Email Performance'!H64:H65)</f>
        <v>9264</v>
      </c>
      <c r="H41" s="70">
        <f t="shared" si="18"/>
        <v>0.3580428229110304</v>
      </c>
      <c r="I41" s="69">
        <f>SUM('All Email Performance'!J64:J65)</f>
        <v>224</v>
      </c>
      <c r="J41" s="70">
        <f t="shared" si="19"/>
        <v>8.6573394140836354E-3</v>
      </c>
      <c r="K41" s="70">
        <f t="shared" si="20"/>
        <v>2.4179620034542316E-2</v>
      </c>
      <c r="L41" s="69">
        <f>SUM('All Email Performance'!M64:M65)</f>
        <v>63</v>
      </c>
      <c r="M41" s="70">
        <f t="shared" si="21"/>
        <v>2.4348767102110227E-3</v>
      </c>
      <c r="N41" s="67" t="s">
        <v>21</v>
      </c>
    </row>
    <row r="42" spans="1:14" ht="24" customHeight="1" x14ac:dyDescent="0.3">
      <c r="A42" s="66" t="s">
        <v>77</v>
      </c>
      <c r="B42" s="67" t="s">
        <v>21</v>
      </c>
      <c r="C42" s="68">
        <v>44944</v>
      </c>
      <c r="D42" s="69">
        <f>SUM('All Email Performance'!E66:E67)</f>
        <v>484696</v>
      </c>
      <c r="E42" s="70">
        <f t="shared" si="17"/>
        <v>0.99845882780134354</v>
      </c>
      <c r="F42" s="69">
        <f>SUM('All Email Performance'!G66:G67)</f>
        <v>747</v>
      </c>
      <c r="G42" s="69">
        <f>SUM('All Email Performance'!H66:H67)</f>
        <v>237572</v>
      </c>
      <c r="H42" s="70">
        <f t="shared" si="18"/>
        <v>0.49014640104312807</v>
      </c>
      <c r="I42" s="69">
        <f>SUM('All Email Performance'!J66:J67)</f>
        <v>5090</v>
      </c>
      <c r="J42" s="70">
        <f t="shared" si="19"/>
        <v>1.0501427699011339E-2</v>
      </c>
      <c r="K42" s="70">
        <f t="shared" si="20"/>
        <v>2.1425083764079943E-2</v>
      </c>
      <c r="L42" s="69">
        <f>SUM('All Email Performance'!M66:M67)</f>
        <v>686</v>
      </c>
      <c r="M42" s="70">
        <f t="shared" si="21"/>
        <v>1.4153201181771667E-3</v>
      </c>
      <c r="N42" s="67" t="s">
        <v>21</v>
      </c>
    </row>
    <row r="43" spans="1:14" ht="24" customHeight="1" x14ac:dyDescent="0.3">
      <c r="A43" s="66" t="s">
        <v>26</v>
      </c>
      <c r="B43" s="67" t="s">
        <v>23</v>
      </c>
      <c r="C43" s="72">
        <v>44945</v>
      </c>
      <c r="D43" s="69">
        <f>'All Email Performance'!E68</f>
        <v>1675</v>
      </c>
      <c r="E43" s="70">
        <f t="shared" si="17"/>
        <v>0.99880597014925376</v>
      </c>
      <c r="F43" s="69">
        <f>'All Email Performance'!G68</f>
        <v>2</v>
      </c>
      <c r="G43" s="69">
        <f>'All Email Performance'!H68</f>
        <v>575</v>
      </c>
      <c r="H43" s="70">
        <f t="shared" si="18"/>
        <v>0.34328358208955223</v>
      </c>
      <c r="I43" s="69">
        <f>'All Email Performance'!J68</f>
        <v>20</v>
      </c>
      <c r="J43" s="70">
        <f t="shared" si="19"/>
        <v>1.1940298507462687E-2</v>
      </c>
      <c r="K43" s="70">
        <f t="shared" si="20"/>
        <v>3.4782608695652174E-2</v>
      </c>
      <c r="L43" s="69">
        <f>'All Email Performance'!M68</f>
        <v>0</v>
      </c>
      <c r="M43" s="70">
        <f t="shared" si="21"/>
        <v>0</v>
      </c>
      <c r="N43" s="67" t="s">
        <v>23</v>
      </c>
    </row>
    <row r="44" spans="1:14" ht="24" customHeight="1" x14ac:dyDescent="0.3">
      <c r="A44" s="66" t="s">
        <v>73</v>
      </c>
      <c r="B44" s="67" t="s">
        <v>16</v>
      </c>
      <c r="C44" s="72">
        <v>44945</v>
      </c>
      <c r="D44" s="69">
        <f>'All Email Performance'!E69</f>
        <v>58305</v>
      </c>
      <c r="E44" s="70">
        <f t="shared" si="17"/>
        <v>0.99938255724208902</v>
      </c>
      <c r="F44" s="69">
        <f>'All Email Performance'!G69</f>
        <v>36</v>
      </c>
      <c r="G44" s="69">
        <f>'All Email Performance'!H69</f>
        <v>20830</v>
      </c>
      <c r="H44" s="70">
        <f t="shared" si="18"/>
        <v>0.35725924020238403</v>
      </c>
      <c r="I44" s="69">
        <f>'All Email Performance'!J69</f>
        <v>405</v>
      </c>
      <c r="J44" s="70">
        <f t="shared" si="19"/>
        <v>6.9462310264985852E-3</v>
      </c>
      <c r="K44" s="70">
        <f t="shared" si="20"/>
        <v>1.9443110897743639E-2</v>
      </c>
      <c r="L44" s="69">
        <f>'All Email Performance'!M69</f>
        <v>23</v>
      </c>
      <c r="M44" s="70">
        <f t="shared" si="21"/>
        <v>3.9447731755424062E-4</v>
      </c>
      <c r="N44" s="67" t="s">
        <v>101</v>
      </c>
    </row>
    <row r="45" spans="1:14" ht="24" customHeight="1" x14ac:dyDescent="0.3">
      <c r="A45" s="66" t="s">
        <v>74</v>
      </c>
      <c r="B45" s="67" t="s">
        <v>16</v>
      </c>
      <c r="C45" s="72">
        <v>44945</v>
      </c>
      <c r="D45" s="69">
        <f>'All Email Performance'!E70</f>
        <v>1048165</v>
      </c>
      <c r="E45" s="70">
        <f t="shared" si="17"/>
        <v>0.99827985097766092</v>
      </c>
      <c r="F45" s="69">
        <f>'All Email Performance'!G70</f>
        <v>1803</v>
      </c>
      <c r="G45" s="69">
        <f>'All Email Performance'!H70</f>
        <v>420124</v>
      </c>
      <c r="H45" s="70">
        <f t="shared" si="18"/>
        <v>0.40081857341162891</v>
      </c>
      <c r="I45" s="69">
        <f>'All Email Performance'!J70</f>
        <v>5939</v>
      </c>
      <c r="J45" s="70">
        <f t="shared" si="19"/>
        <v>5.6660926476270433E-3</v>
      </c>
      <c r="K45" s="70">
        <f t="shared" si="20"/>
        <v>1.4136302615418305E-2</v>
      </c>
      <c r="L45" s="69">
        <f>'All Email Performance'!M70</f>
        <v>513</v>
      </c>
      <c r="M45" s="70">
        <f t="shared" si="21"/>
        <v>4.8942676009979349E-4</v>
      </c>
      <c r="N45" s="67" t="s">
        <v>101</v>
      </c>
    </row>
    <row r="46" spans="1:14" ht="24" customHeight="1" x14ac:dyDescent="0.3">
      <c r="A46" s="66" t="s">
        <v>28</v>
      </c>
      <c r="B46" s="67" t="s">
        <v>16</v>
      </c>
      <c r="C46" s="72">
        <v>44946</v>
      </c>
      <c r="D46" s="69">
        <f>SUM('All Email Performance'!E71:E72)</f>
        <v>295432</v>
      </c>
      <c r="E46" s="70">
        <f t="shared" si="17"/>
        <v>0.99771521026835275</v>
      </c>
      <c r="F46" s="69">
        <f>SUM('All Email Performance'!G71:G72)</f>
        <v>675</v>
      </c>
      <c r="G46" s="69">
        <f>SUM('All Email Performance'!H71:H72)</f>
        <v>99204</v>
      </c>
      <c r="H46" s="70">
        <f t="shared" si="18"/>
        <v>0.3357930082049338</v>
      </c>
      <c r="I46" s="69">
        <f>SUM('All Email Performance'!J71:J72)</f>
        <v>2816</v>
      </c>
      <c r="J46" s="70">
        <f t="shared" si="19"/>
        <v>9.5318042730645289E-3</v>
      </c>
      <c r="K46" s="70">
        <f t="shared" si="20"/>
        <v>2.8385952179347605E-2</v>
      </c>
      <c r="L46" s="69">
        <f>SUM('All Email Performance'!M71:M72)</f>
        <v>1049</v>
      </c>
      <c r="M46" s="70">
        <f t="shared" si="21"/>
        <v>3.5507324866635979E-3</v>
      </c>
      <c r="N46" s="67" t="s">
        <v>16</v>
      </c>
    </row>
    <row r="47" spans="1:14" ht="24" customHeight="1" x14ac:dyDescent="0.3">
      <c r="A47" s="66" t="s">
        <v>22</v>
      </c>
      <c r="B47" s="67" t="s">
        <v>16</v>
      </c>
      <c r="C47" s="72">
        <v>44946</v>
      </c>
      <c r="D47" s="69">
        <f>SUM('All Email Performance'!E73:E74)</f>
        <v>3839013</v>
      </c>
      <c r="E47" s="70">
        <f t="shared" si="17"/>
        <v>0.99631181243720712</v>
      </c>
      <c r="F47" s="69">
        <f>SUM('All Email Performance'!G73:G74)</f>
        <v>14159</v>
      </c>
      <c r="G47" s="69">
        <f>SUM('All Email Performance'!H73:H74)</f>
        <v>1543644</v>
      </c>
      <c r="H47" s="70">
        <f t="shared" si="18"/>
        <v>0.40209397571719607</v>
      </c>
      <c r="I47" s="69">
        <f>SUM('All Email Performance'!J73:J74)</f>
        <v>29712</v>
      </c>
      <c r="J47" s="70">
        <f t="shared" si="19"/>
        <v>7.7394892906067266E-3</v>
      </c>
      <c r="K47" s="70">
        <f t="shared" si="20"/>
        <v>1.9247961317505849E-2</v>
      </c>
      <c r="L47" s="69">
        <f>SUM('All Email Performance'!M73:M74)</f>
        <v>8908</v>
      </c>
      <c r="M47" s="70">
        <f t="shared" si="21"/>
        <v>2.3203880789150755E-3</v>
      </c>
      <c r="N47" s="67" t="s">
        <v>16</v>
      </c>
    </row>
    <row r="48" spans="1:14" ht="24" customHeight="1" x14ac:dyDescent="0.3">
      <c r="A48" s="66" t="s">
        <v>33</v>
      </c>
      <c r="B48" s="67" t="s">
        <v>21</v>
      </c>
      <c r="C48" s="72">
        <v>44946</v>
      </c>
      <c r="D48" s="69">
        <f>'All Email Performance'!E75</f>
        <v>251190</v>
      </c>
      <c r="E48" s="70">
        <f t="shared" si="17"/>
        <v>0.99849914407420681</v>
      </c>
      <c r="F48" s="69">
        <f>'All Email Performance'!G75</f>
        <v>377</v>
      </c>
      <c r="G48" s="69">
        <f>'All Email Performance'!H75</f>
        <v>116570</v>
      </c>
      <c r="H48" s="70">
        <f t="shared" si="18"/>
        <v>0.46407102193558658</v>
      </c>
      <c r="I48" s="69">
        <f>'All Email Performance'!J75</f>
        <v>2464</v>
      </c>
      <c r="J48" s="70">
        <f t="shared" si="19"/>
        <v>9.8093076953700391E-3</v>
      </c>
      <c r="K48" s="70">
        <f t="shared" si="20"/>
        <v>2.1137513940121814E-2</v>
      </c>
      <c r="L48" s="69">
        <f>'All Email Performance'!M75</f>
        <v>385</v>
      </c>
      <c r="M48" s="70">
        <f t="shared" si="21"/>
        <v>1.5327043274015685E-3</v>
      </c>
      <c r="N48" s="67" t="s">
        <v>21</v>
      </c>
    </row>
    <row r="49" spans="1:14" ht="24" customHeight="1" x14ac:dyDescent="0.3">
      <c r="A49" s="66" t="s">
        <v>19</v>
      </c>
      <c r="B49" s="67" t="s">
        <v>21</v>
      </c>
      <c r="C49" s="72">
        <v>44946</v>
      </c>
      <c r="D49" s="69">
        <f>'All Email Performance'!E76</f>
        <v>334231</v>
      </c>
      <c r="E49" s="70">
        <f t="shared" si="17"/>
        <v>0.99706789615565283</v>
      </c>
      <c r="F49" s="69">
        <f>'All Email Performance'!G76</f>
        <v>980</v>
      </c>
      <c r="G49" s="69">
        <f>'All Email Performance'!H76</f>
        <v>127214</v>
      </c>
      <c r="H49" s="70">
        <f t="shared" si="18"/>
        <v>0.3806169984232462</v>
      </c>
      <c r="I49" s="69">
        <f>'All Email Performance'!J76</f>
        <v>3076</v>
      </c>
      <c r="J49" s="70">
        <f t="shared" si="19"/>
        <v>9.2032157400121477E-3</v>
      </c>
      <c r="K49" s="70">
        <f t="shared" si="20"/>
        <v>2.4179728646218184E-2</v>
      </c>
      <c r="L49" s="69">
        <f>'All Email Performance'!M76</f>
        <v>473</v>
      </c>
      <c r="M49" s="70">
        <f t="shared" si="21"/>
        <v>1.4151888963022581E-3</v>
      </c>
      <c r="N49" s="67" t="s">
        <v>21</v>
      </c>
    </row>
    <row r="50" spans="1:14" ht="24" customHeight="1" x14ac:dyDescent="0.3">
      <c r="A50" s="66" t="s">
        <v>24</v>
      </c>
      <c r="B50" s="67" t="s">
        <v>21</v>
      </c>
      <c r="C50" s="72">
        <v>44947</v>
      </c>
      <c r="D50" s="69">
        <f>'All Email Performance'!E77</f>
        <v>15444</v>
      </c>
      <c r="E50" s="70">
        <f t="shared" si="17"/>
        <v>0.99909349909349909</v>
      </c>
      <c r="F50" s="69">
        <f>'All Email Performance'!G77</f>
        <v>14</v>
      </c>
      <c r="G50" s="69">
        <f>'All Email Performance'!H77</f>
        <v>5022</v>
      </c>
      <c r="H50" s="70">
        <f t="shared" si="18"/>
        <v>0.32517482517482516</v>
      </c>
      <c r="I50" s="69">
        <f>'All Email Performance'!J77</f>
        <v>173</v>
      </c>
      <c r="J50" s="70">
        <f t="shared" si="19"/>
        <v>1.1201761201761203E-2</v>
      </c>
      <c r="K50" s="70">
        <f t="shared" si="20"/>
        <v>3.4448426921545199E-2</v>
      </c>
      <c r="L50" s="69">
        <f>'All Email Performance'!M77</f>
        <v>17</v>
      </c>
      <c r="M50" s="70">
        <f t="shared" si="21"/>
        <v>1.1007511007511007E-3</v>
      </c>
      <c r="N50" s="67" t="s">
        <v>21</v>
      </c>
    </row>
    <row r="51" spans="1:14" ht="24" customHeight="1" x14ac:dyDescent="0.3">
      <c r="A51" s="66" t="s">
        <v>75</v>
      </c>
      <c r="B51" s="67" t="s">
        <v>16</v>
      </c>
      <c r="C51" s="72">
        <v>44947</v>
      </c>
      <c r="D51" s="69">
        <f>'All Email Performance'!E78</f>
        <v>28459</v>
      </c>
      <c r="E51" s="70">
        <f t="shared" si="17"/>
        <v>0.99943778769457814</v>
      </c>
      <c r="F51" s="69">
        <f>'All Email Performance'!G78</f>
        <v>16</v>
      </c>
      <c r="G51" s="69">
        <f>'All Email Performance'!H78</f>
        <v>8736</v>
      </c>
      <c r="H51" s="70">
        <f t="shared" si="18"/>
        <v>0.30696791876032187</v>
      </c>
      <c r="I51" s="69">
        <f>'All Email Performance'!J78</f>
        <v>256</v>
      </c>
      <c r="J51" s="70">
        <f t="shared" si="19"/>
        <v>8.995396886749359E-3</v>
      </c>
      <c r="K51" s="70">
        <f t="shared" si="20"/>
        <v>2.9304029304029304E-2</v>
      </c>
      <c r="L51" s="69">
        <f>'All Email Performance'!M78</f>
        <v>13</v>
      </c>
      <c r="M51" s="70">
        <f t="shared" si="21"/>
        <v>4.5679749815524085E-4</v>
      </c>
      <c r="N51" s="67" t="s">
        <v>16</v>
      </c>
    </row>
    <row r="52" spans="1:14" ht="24" customHeight="1" x14ac:dyDescent="0.3">
      <c r="A52" s="66" t="s">
        <v>78</v>
      </c>
      <c r="B52" s="67" t="s">
        <v>16</v>
      </c>
      <c r="C52" s="72">
        <v>44947</v>
      </c>
      <c r="D52" s="69">
        <f>'All Email Performance'!E79</f>
        <v>394270</v>
      </c>
      <c r="E52" s="70">
        <f t="shared" si="17"/>
        <v>0.99824485758490378</v>
      </c>
      <c r="F52" s="69">
        <f>'All Email Performance'!G79</f>
        <v>692</v>
      </c>
      <c r="G52" s="69">
        <f>'All Email Performance'!H79</f>
        <v>139694</v>
      </c>
      <c r="H52" s="70">
        <f t="shared" si="18"/>
        <v>0.35431049788216196</v>
      </c>
      <c r="I52" s="69">
        <f>'All Email Performance'!J79</f>
        <v>3402</v>
      </c>
      <c r="J52" s="70">
        <f t="shared" si="19"/>
        <v>8.6286047632333166E-3</v>
      </c>
      <c r="K52" s="70">
        <f t="shared" si="20"/>
        <v>2.435322920096783E-2</v>
      </c>
      <c r="L52" s="69">
        <f>'All Email Performance'!M79</f>
        <v>293</v>
      </c>
      <c r="M52" s="70">
        <f t="shared" si="21"/>
        <v>7.4314556014913634E-4</v>
      </c>
      <c r="N52" s="67" t="s">
        <v>16</v>
      </c>
    </row>
    <row r="53" spans="1:14" ht="24" customHeight="1" x14ac:dyDescent="0.3">
      <c r="A53" s="66" t="s">
        <v>84</v>
      </c>
      <c r="B53" s="67" t="s">
        <v>16</v>
      </c>
      <c r="C53" s="72">
        <v>44950</v>
      </c>
      <c r="D53" s="69">
        <f>SUM('All Email Performance'!E80:E81)</f>
        <v>112725</v>
      </c>
      <c r="E53" s="70">
        <f t="shared" ref="E53:E72" si="22">(D53-F53)/D53</f>
        <v>0.99944998891106673</v>
      </c>
      <c r="F53" s="69">
        <f>SUM('All Email Performance'!G80:G81)</f>
        <v>62</v>
      </c>
      <c r="G53" s="69">
        <f>SUM('All Email Performance'!H80:H81)</f>
        <v>90250</v>
      </c>
      <c r="H53" s="70">
        <f t="shared" ref="H53:H72" si="23">G53/D53</f>
        <v>0.80062098026169881</v>
      </c>
      <c r="I53" s="69">
        <f>SUM('All Email Performance'!J80:J81)</f>
        <v>1943</v>
      </c>
      <c r="J53" s="70">
        <f t="shared" ref="J53:J72" si="24">I53/D53</f>
        <v>1.723663783544023E-2</v>
      </c>
      <c r="K53" s="70">
        <f t="shared" ref="K53:K72" si="25">I53/G53</f>
        <v>2.1529085872576178E-2</v>
      </c>
      <c r="L53" s="69">
        <f>SUM('All Email Performance'!M80:M81)</f>
        <v>189</v>
      </c>
      <c r="M53" s="70">
        <f t="shared" ref="M53:M72" si="26">L53/D53</f>
        <v>1.6766467065868263E-3</v>
      </c>
      <c r="N53" s="67" t="s">
        <v>16</v>
      </c>
    </row>
    <row r="54" spans="1:14" ht="24" customHeight="1" x14ac:dyDescent="0.3">
      <c r="A54" s="66" t="s">
        <v>85</v>
      </c>
      <c r="B54" s="67" t="s">
        <v>16</v>
      </c>
      <c r="C54" s="72">
        <v>44950</v>
      </c>
      <c r="D54" s="69">
        <f>SUM('All Email Performance'!E82:E83)</f>
        <v>3724</v>
      </c>
      <c r="E54" s="70">
        <f t="shared" si="22"/>
        <v>0.99865735767991404</v>
      </c>
      <c r="F54" s="69">
        <f>SUM('All Email Performance'!G82:G83)</f>
        <v>5</v>
      </c>
      <c r="G54" s="69">
        <f>SUM('All Email Performance'!H82:H83)</f>
        <v>2131</v>
      </c>
      <c r="H54" s="70">
        <f t="shared" si="23"/>
        <v>0.57223415682062295</v>
      </c>
      <c r="I54" s="69">
        <f>SUM('All Email Performance'!J82:J83)</f>
        <v>321</v>
      </c>
      <c r="J54" s="70">
        <f t="shared" si="24"/>
        <v>8.6197636949516654E-2</v>
      </c>
      <c r="K54" s="70">
        <f t="shared" si="25"/>
        <v>0.15063350539652745</v>
      </c>
      <c r="L54" s="69">
        <f>SUM('All Email Performance'!M82:M83)</f>
        <v>4</v>
      </c>
      <c r="M54" s="70">
        <f t="shared" si="26"/>
        <v>1.0741138560687433E-3</v>
      </c>
      <c r="N54" s="67" t="s">
        <v>16</v>
      </c>
    </row>
    <row r="55" spans="1:14" ht="24" customHeight="1" x14ac:dyDescent="0.3">
      <c r="A55" s="66" t="s">
        <v>29</v>
      </c>
      <c r="B55" s="67" t="s">
        <v>16</v>
      </c>
      <c r="C55" s="72">
        <v>44950</v>
      </c>
      <c r="D55" s="69">
        <f>SUM('All Email Performance'!E84:E85)</f>
        <v>47874</v>
      </c>
      <c r="E55" s="70">
        <f t="shared" si="22"/>
        <v>0.99912269707983459</v>
      </c>
      <c r="F55" s="69">
        <f>SUM('All Email Performance'!G84:G85)</f>
        <v>42</v>
      </c>
      <c r="G55" s="69">
        <f>SUM('All Email Performance'!H84:H85)</f>
        <v>17854</v>
      </c>
      <c r="H55" s="70">
        <f t="shared" si="23"/>
        <v>0.37293729372937295</v>
      </c>
      <c r="I55" s="69">
        <f>SUM('All Email Performance'!J84:J85)</f>
        <v>683</v>
      </c>
      <c r="J55" s="70">
        <f t="shared" si="24"/>
        <v>1.4266616535071228E-2</v>
      </c>
      <c r="K55" s="70">
        <f t="shared" si="25"/>
        <v>3.8254732832978602E-2</v>
      </c>
      <c r="L55" s="69">
        <f>SUM('All Email Performance'!M84:M85)</f>
        <v>74</v>
      </c>
      <c r="M55" s="70">
        <f t="shared" si="26"/>
        <v>1.5457241926724319E-3</v>
      </c>
      <c r="N55" s="67" t="s">
        <v>16</v>
      </c>
    </row>
    <row r="56" spans="1:14" ht="24" customHeight="1" x14ac:dyDescent="0.3">
      <c r="A56" s="66" t="s">
        <v>17</v>
      </c>
      <c r="B56" s="67" t="s">
        <v>16</v>
      </c>
      <c r="C56" s="72">
        <v>44950</v>
      </c>
      <c r="D56" s="69">
        <f>SUM('All Email Performance'!E86:E87)</f>
        <v>628800</v>
      </c>
      <c r="E56" s="70">
        <f t="shared" si="22"/>
        <v>0.99799777353689567</v>
      </c>
      <c r="F56" s="69">
        <f>SUM('All Email Performance'!G86:G87)</f>
        <v>1259</v>
      </c>
      <c r="G56" s="69">
        <f>SUM('All Email Performance'!H86:H87)</f>
        <v>307563</v>
      </c>
      <c r="H56" s="70">
        <f t="shared" si="23"/>
        <v>0.48912690839694656</v>
      </c>
      <c r="I56" s="69">
        <f>SUM('All Email Performance'!J86:J87)</f>
        <v>8319</v>
      </c>
      <c r="J56" s="70">
        <f t="shared" si="24"/>
        <v>1.322996183206107E-2</v>
      </c>
      <c r="K56" s="70">
        <f t="shared" si="25"/>
        <v>2.7048116971157127E-2</v>
      </c>
      <c r="L56" s="69">
        <f>SUM('All Email Performance'!M86:M87)</f>
        <v>1063</v>
      </c>
      <c r="M56" s="70">
        <f t="shared" si="26"/>
        <v>1.6905216284987278E-3</v>
      </c>
      <c r="N56" s="67" t="s">
        <v>16</v>
      </c>
    </row>
    <row r="57" spans="1:14" ht="24" customHeight="1" x14ac:dyDescent="0.3">
      <c r="A57" s="66" t="s">
        <v>86</v>
      </c>
      <c r="B57" s="67" t="s">
        <v>87</v>
      </c>
      <c r="C57" s="72">
        <v>44950</v>
      </c>
      <c r="D57" s="69">
        <f>'All Email Performance'!E88</f>
        <v>100</v>
      </c>
      <c r="E57" s="70">
        <f t="shared" si="22"/>
        <v>0.95</v>
      </c>
      <c r="F57" s="69">
        <f>'All Email Performance'!G88</f>
        <v>5</v>
      </c>
      <c r="G57" s="69">
        <f>'All Email Performance'!H88</f>
        <v>29</v>
      </c>
      <c r="H57" s="70">
        <f t="shared" si="23"/>
        <v>0.28999999999999998</v>
      </c>
      <c r="I57" s="69">
        <f>'All Email Performance'!J88</f>
        <v>2</v>
      </c>
      <c r="J57" s="70">
        <f t="shared" si="24"/>
        <v>0.02</v>
      </c>
      <c r="K57" s="70">
        <f t="shared" si="25"/>
        <v>6.8965517241379309E-2</v>
      </c>
      <c r="L57" s="69">
        <f>'All Email Performance'!M88</f>
        <v>0</v>
      </c>
      <c r="M57" s="70">
        <f t="shared" si="26"/>
        <v>0</v>
      </c>
      <c r="N57" s="67" t="s">
        <v>98</v>
      </c>
    </row>
    <row r="58" spans="1:14" ht="24" customHeight="1" x14ac:dyDescent="0.3">
      <c r="A58" s="66" t="s">
        <v>96</v>
      </c>
      <c r="B58" s="67" t="s">
        <v>16</v>
      </c>
      <c r="C58" s="72">
        <v>44951</v>
      </c>
      <c r="D58" s="69">
        <f>SUM('All Email Performance'!E89:E90)</f>
        <v>67002</v>
      </c>
      <c r="E58" s="70">
        <f t="shared" si="22"/>
        <v>0.9983433330348348</v>
      </c>
      <c r="F58" s="69">
        <f>SUM('All Email Performance'!G89:G90)</f>
        <v>111</v>
      </c>
      <c r="G58" s="69">
        <f>SUM('All Email Performance'!H89:H90)</f>
        <v>35016</v>
      </c>
      <c r="H58" s="70">
        <f t="shared" si="23"/>
        <v>0.52261126533536317</v>
      </c>
      <c r="I58" s="69">
        <f>SUM('All Email Performance'!J89:J90)</f>
        <v>517</v>
      </c>
      <c r="J58" s="70">
        <f t="shared" si="24"/>
        <v>7.7161875764902542E-3</v>
      </c>
      <c r="K58" s="70">
        <f t="shared" si="25"/>
        <v>1.4764679003883939E-2</v>
      </c>
      <c r="L58" s="69">
        <f>SUM('All Email Performance'!M89:M90)</f>
        <v>175</v>
      </c>
      <c r="M58" s="70">
        <f t="shared" si="26"/>
        <v>2.6118623324676874E-3</v>
      </c>
      <c r="N58" s="67" t="s">
        <v>16</v>
      </c>
    </row>
    <row r="59" spans="1:14" ht="24" customHeight="1" x14ac:dyDescent="0.3">
      <c r="A59" s="66" t="s">
        <v>97</v>
      </c>
      <c r="B59" s="67" t="s">
        <v>16</v>
      </c>
      <c r="C59" s="72">
        <v>44951</v>
      </c>
      <c r="D59" s="69">
        <f>SUM('All Email Performance'!E91:E92)</f>
        <v>45360</v>
      </c>
      <c r="E59" s="70">
        <f t="shared" si="22"/>
        <v>0.99865520282186948</v>
      </c>
      <c r="F59" s="69">
        <f>SUM('All Email Performance'!G91:G92)</f>
        <v>61</v>
      </c>
      <c r="G59" s="69">
        <f>SUM('All Email Performance'!H91:H92)</f>
        <v>25007</v>
      </c>
      <c r="H59" s="70">
        <f t="shared" si="23"/>
        <v>0.55130070546737209</v>
      </c>
      <c r="I59" s="69">
        <f>SUM('All Email Performance'!J91:J92)</f>
        <v>1013</v>
      </c>
      <c r="J59" s="70">
        <f t="shared" si="24"/>
        <v>2.2332451499118167E-2</v>
      </c>
      <c r="K59" s="70">
        <f t="shared" si="25"/>
        <v>4.0508657575878751E-2</v>
      </c>
      <c r="L59" s="69">
        <f>SUM('All Email Performance'!M91:M92)</f>
        <v>106</v>
      </c>
      <c r="M59" s="70">
        <f t="shared" si="26"/>
        <v>2.3368606701940037E-3</v>
      </c>
      <c r="N59" s="67" t="s">
        <v>16</v>
      </c>
    </row>
    <row r="60" spans="1:14" ht="24" customHeight="1" x14ac:dyDescent="0.3">
      <c r="A60" s="66" t="s">
        <v>88</v>
      </c>
      <c r="B60" s="67" t="s">
        <v>16</v>
      </c>
      <c r="C60" s="72">
        <v>44951</v>
      </c>
      <c r="D60" s="69">
        <f>SUM('All Email Performance'!E93:E94)</f>
        <v>69700</v>
      </c>
      <c r="E60" s="70">
        <f t="shared" si="22"/>
        <v>0.99909612625538025</v>
      </c>
      <c r="F60" s="69">
        <f>SUM('All Email Performance'!G93:G94)</f>
        <v>63</v>
      </c>
      <c r="G60" s="69">
        <f>SUM('All Email Performance'!H93:H94)</f>
        <v>27610</v>
      </c>
      <c r="H60" s="70">
        <f t="shared" si="23"/>
        <v>0.39612625538020085</v>
      </c>
      <c r="I60" s="69">
        <f>SUM('All Email Performance'!J93:J94)</f>
        <v>444</v>
      </c>
      <c r="J60" s="70">
        <f t="shared" si="24"/>
        <v>6.3701578192252514E-3</v>
      </c>
      <c r="K60" s="70">
        <f t="shared" si="25"/>
        <v>1.6081130025353132E-2</v>
      </c>
      <c r="L60" s="69">
        <f>SUM('All Email Performance'!M93:M94)</f>
        <v>179</v>
      </c>
      <c r="M60" s="70">
        <f t="shared" si="26"/>
        <v>2.5681492109038738E-3</v>
      </c>
      <c r="N60" s="67" t="s">
        <v>16</v>
      </c>
    </row>
    <row r="61" spans="1:14" ht="24" customHeight="1" x14ac:dyDescent="0.3">
      <c r="A61" s="66" t="s">
        <v>89</v>
      </c>
      <c r="B61" s="67" t="s">
        <v>16</v>
      </c>
      <c r="C61" s="72">
        <v>44951</v>
      </c>
      <c r="D61" s="69">
        <f>SUM('All Email Performance'!E95:E96)</f>
        <v>848742</v>
      </c>
      <c r="E61" s="70">
        <f t="shared" si="22"/>
        <v>0.99813842133416275</v>
      </c>
      <c r="F61" s="69">
        <f>SUM('All Email Performance'!G95:G96)</f>
        <v>1580</v>
      </c>
      <c r="G61" s="69">
        <f>SUM('All Email Performance'!H95:H96)</f>
        <v>392024</v>
      </c>
      <c r="H61" s="70">
        <f t="shared" si="23"/>
        <v>0.46188830056719238</v>
      </c>
      <c r="I61" s="69">
        <f>SUM('All Email Performance'!J95:J96)</f>
        <v>5077</v>
      </c>
      <c r="J61" s="70">
        <f t="shared" si="24"/>
        <v>5.9817942319338501E-3</v>
      </c>
      <c r="K61" s="70">
        <f t="shared" si="25"/>
        <v>1.2950737709936126E-2</v>
      </c>
      <c r="L61" s="69">
        <f>SUM('All Email Performance'!M95:M96)</f>
        <v>1951</v>
      </c>
      <c r="M61" s="70">
        <f t="shared" si="26"/>
        <v>2.2986961880053069E-3</v>
      </c>
      <c r="N61" s="67" t="s">
        <v>16</v>
      </c>
    </row>
    <row r="62" spans="1:14" ht="24" customHeight="1" x14ac:dyDescent="0.3">
      <c r="A62" s="66" t="s">
        <v>90</v>
      </c>
      <c r="B62" s="67" t="s">
        <v>16</v>
      </c>
      <c r="C62" s="72">
        <v>44952</v>
      </c>
      <c r="D62" s="69">
        <f>'All Email Performance'!E97</f>
        <v>90560</v>
      </c>
      <c r="E62" s="70">
        <f t="shared" si="22"/>
        <v>0.99833259717314493</v>
      </c>
      <c r="F62" s="69">
        <f>'All Email Performance'!G97</f>
        <v>151</v>
      </c>
      <c r="G62" s="69">
        <f>'All Email Performance'!H97</f>
        <v>35653</v>
      </c>
      <c r="H62" s="70">
        <f t="shared" si="23"/>
        <v>0.39369478798586571</v>
      </c>
      <c r="I62" s="69">
        <f>'All Email Performance'!J97</f>
        <v>589</v>
      </c>
      <c r="J62" s="70">
        <f t="shared" si="24"/>
        <v>6.5039752650176679E-3</v>
      </c>
      <c r="K62" s="70">
        <f t="shared" si="25"/>
        <v>1.6520348918744567E-2</v>
      </c>
      <c r="L62" s="69">
        <f>'All Email Performance'!M97</f>
        <v>97</v>
      </c>
      <c r="M62" s="70">
        <f t="shared" si="26"/>
        <v>1.0711130742049469E-3</v>
      </c>
      <c r="N62" s="67" t="s">
        <v>16</v>
      </c>
    </row>
    <row r="63" spans="1:14" ht="24" customHeight="1" x14ac:dyDescent="0.3">
      <c r="A63" s="66" t="s">
        <v>26</v>
      </c>
      <c r="B63" s="67" t="s">
        <v>23</v>
      </c>
      <c r="C63" s="72">
        <v>44952</v>
      </c>
      <c r="D63" s="69">
        <f>'All Email Performance'!E98</f>
        <v>1672</v>
      </c>
      <c r="E63" s="70">
        <f t="shared" si="22"/>
        <v>0.99880382775119614</v>
      </c>
      <c r="F63" s="69">
        <f>'All Email Performance'!G98</f>
        <v>2</v>
      </c>
      <c r="G63" s="69">
        <f>'All Email Performance'!H98</f>
        <v>585</v>
      </c>
      <c r="H63" s="70">
        <f t="shared" si="23"/>
        <v>0.34988038277511962</v>
      </c>
      <c r="I63" s="69">
        <f>'All Email Performance'!J98</f>
        <v>20</v>
      </c>
      <c r="J63" s="70">
        <f t="shared" si="24"/>
        <v>1.1961722488038277E-2</v>
      </c>
      <c r="K63" s="70">
        <f t="shared" si="25"/>
        <v>3.4188034188034191E-2</v>
      </c>
      <c r="L63" s="69">
        <f>'All Email Performance'!M98</f>
        <v>1</v>
      </c>
      <c r="M63" s="70">
        <f t="shared" si="26"/>
        <v>5.9808612440191385E-4</v>
      </c>
      <c r="N63" s="67" t="s">
        <v>23</v>
      </c>
    </row>
    <row r="64" spans="1:14" ht="24" customHeight="1" x14ac:dyDescent="0.3">
      <c r="A64" s="66" t="s">
        <v>91</v>
      </c>
      <c r="B64" s="67" t="s">
        <v>16</v>
      </c>
      <c r="C64" s="72">
        <v>44952</v>
      </c>
      <c r="D64" s="69">
        <f>SUM('All Email Performance'!E99:E100)</f>
        <v>72508</v>
      </c>
      <c r="E64" s="70">
        <f t="shared" si="22"/>
        <v>0.99840017653224467</v>
      </c>
      <c r="F64" s="69">
        <f>SUM('All Email Performance'!G99:G100)</f>
        <v>116</v>
      </c>
      <c r="G64" s="69">
        <f>SUM('All Email Performance'!H99:H100)</f>
        <v>27494</v>
      </c>
      <c r="H64" s="70">
        <f t="shared" si="23"/>
        <v>0.37918574502123903</v>
      </c>
      <c r="I64" s="69">
        <f>SUM('All Email Performance'!J99:J100)</f>
        <v>589</v>
      </c>
      <c r="J64" s="70">
        <f t="shared" si="24"/>
        <v>8.123241573343631E-3</v>
      </c>
      <c r="K64" s="70">
        <f t="shared" si="25"/>
        <v>2.142285589583182E-2</v>
      </c>
      <c r="L64" s="69">
        <f>SUM('All Email Performance'!M99:M100)</f>
        <v>41</v>
      </c>
      <c r="M64" s="70">
        <f t="shared" si="26"/>
        <v>5.6545484636178075E-4</v>
      </c>
      <c r="N64" s="67" t="s">
        <v>16</v>
      </c>
    </row>
    <row r="65" spans="1:14" ht="24" customHeight="1" x14ac:dyDescent="0.3">
      <c r="A65" s="66" t="s">
        <v>92</v>
      </c>
      <c r="B65" s="67" t="s">
        <v>16</v>
      </c>
      <c r="C65" s="72">
        <v>44952</v>
      </c>
      <c r="D65" s="69">
        <f>SUM('All Email Performance'!E101:E102)</f>
        <v>4436</v>
      </c>
      <c r="E65" s="70">
        <f t="shared" si="22"/>
        <v>0.99954914337240752</v>
      </c>
      <c r="F65" s="69">
        <f>SUM('All Email Performance'!G101:G102)</f>
        <v>2</v>
      </c>
      <c r="G65" s="69">
        <f>SUM('All Email Performance'!H101:H102)</f>
        <v>1633</v>
      </c>
      <c r="H65" s="70">
        <f t="shared" si="23"/>
        <v>0.3681244364292155</v>
      </c>
      <c r="I65" s="69">
        <f>SUM('All Email Performance'!J101:J102)</f>
        <v>62</v>
      </c>
      <c r="J65" s="70">
        <f t="shared" si="24"/>
        <v>1.3976555455365193E-2</v>
      </c>
      <c r="K65" s="70">
        <f t="shared" si="25"/>
        <v>3.7966932026944275E-2</v>
      </c>
      <c r="L65" s="69">
        <f>SUM('All Email Performance'!M101:M102)</f>
        <v>2</v>
      </c>
      <c r="M65" s="70">
        <f t="shared" si="26"/>
        <v>4.5085662759242559E-4</v>
      </c>
      <c r="N65" s="67" t="s">
        <v>16</v>
      </c>
    </row>
    <row r="66" spans="1:14" ht="24" customHeight="1" x14ac:dyDescent="0.3">
      <c r="A66" s="66" t="s">
        <v>93</v>
      </c>
      <c r="B66" s="67" t="s">
        <v>16</v>
      </c>
      <c r="C66" s="72">
        <v>44952</v>
      </c>
      <c r="D66" s="69">
        <f>SUM('All Email Performance'!E103:E104)</f>
        <v>4636340</v>
      </c>
      <c r="E66" s="70">
        <f t="shared" si="22"/>
        <v>0.99724847616870205</v>
      </c>
      <c r="F66" s="69">
        <f>SUM('All Email Performance'!G103:G104)</f>
        <v>12757</v>
      </c>
      <c r="G66" s="69">
        <f>SUM('All Email Performance'!H103:H104)</f>
        <v>1794424</v>
      </c>
      <c r="H66" s="70">
        <f t="shared" si="23"/>
        <v>0.38703460056855193</v>
      </c>
      <c r="I66" s="69">
        <f>SUM('All Email Performance'!J103:J104)</f>
        <v>31584</v>
      </c>
      <c r="J66" s="70">
        <f t="shared" si="24"/>
        <v>6.8122700233373742E-3</v>
      </c>
      <c r="K66" s="70">
        <f t="shared" si="25"/>
        <v>1.7601191245770229E-2</v>
      </c>
      <c r="L66" s="69">
        <f>SUM('All Email Performance'!M103:M104)</f>
        <v>13001</v>
      </c>
      <c r="M66" s="70">
        <f t="shared" si="26"/>
        <v>2.8041515505765322E-3</v>
      </c>
      <c r="N66" s="67" t="s">
        <v>16</v>
      </c>
    </row>
    <row r="67" spans="1:14" ht="24" customHeight="1" x14ac:dyDescent="0.3">
      <c r="A67" s="66" t="s">
        <v>94</v>
      </c>
      <c r="B67" s="67" t="s">
        <v>16</v>
      </c>
      <c r="C67" s="72">
        <v>44952</v>
      </c>
      <c r="D67" s="69">
        <f>SUM('All Email Performance'!E105:E106)</f>
        <v>359091</v>
      </c>
      <c r="E67" s="70">
        <f t="shared" si="22"/>
        <v>0.9986103800986379</v>
      </c>
      <c r="F67" s="69">
        <f>SUM('All Email Performance'!G105:G106)</f>
        <v>499</v>
      </c>
      <c r="G67" s="69">
        <f>SUM('All Email Performance'!H105:H106)</f>
        <v>127849</v>
      </c>
      <c r="H67" s="70">
        <f t="shared" si="23"/>
        <v>0.35603509973794945</v>
      </c>
      <c r="I67" s="69">
        <f>SUM('All Email Performance'!J105:J106)</f>
        <v>2631</v>
      </c>
      <c r="J67" s="70">
        <f t="shared" si="24"/>
        <v>7.3268335881433956E-3</v>
      </c>
      <c r="K67" s="70">
        <f t="shared" si="25"/>
        <v>2.0578964246884997E-2</v>
      </c>
      <c r="L67" s="69">
        <f>SUM('All Email Performance'!M105:M106)</f>
        <v>1648</v>
      </c>
      <c r="M67" s="70">
        <f t="shared" si="26"/>
        <v>4.5893659267428038E-3</v>
      </c>
      <c r="N67" s="67" t="s">
        <v>16</v>
      </c>
    </row>
    <row r="68" spans="1:14" ht="24" customHeight="1" x14ac:dyDescent="0.3">
      <c r="A68" s="66" t="s">
        <v>95</v>
      </c>
      <c r="B68" s="67" t="s">
        <v>27</v>
      </c>
      <c r="C68" s="72">
        <v>44952</v>
      </c>
      <c r="D68" s="69">
        <f>'All Email Performance'!E107</f>
        <v>242854</v>
      </c>
      <c r="E68" s="70">
        <f t="shared" si="22"/>
        <v>0.99771467630757571</v>
      </c>
      <c r="F68" s="69">
        <f>'All Email Performance'!G107</f>
        <v>555</v>
      </c>
      <c r="G68" s="69">
        <f>'All Email Performance'!H107</f>
        <v>91924</v>
      </c>
      <c r="H68" s="70">
        <f t="shared" si="23"/>
        <v>0.37851548667100399</v>
      </c>
      <c r="I68" s="69">
        <f>'All Email Performance'!J107</f>
        <v>0</v>
      </c>
      <c r="J68" s="70">
        <f t="shared" si="24"/>
        <v>0</v>
      </c>
      <c r="K68" s="70">
        <f t="shared" si="25"/>
        <v>0</v>
      </c>
      <c r="L68" s="69">
        <f>'All Email Performance'!M107</f>
        <v>200</v>
      </c>
      <c r="M68" s="70">
        <f t="shared" si="26"/>
        <v>8.2354006934207385E-4</v>
      </c>
      <c r="N68" s="67" t="s">
        <v>27</v>
      </c>
    </row>
    <row r="69" spans="1:14" ht="24" customHeight="1" x14ac:dyDescent="0.3">
      <c r="A69" s="66" t="s">
        <v>28</v>
      </c>
      <c r="B69" s="67" t="s">
        <v>16</v>
      </c>
      <c r="C69" s="72">
        <v>44953</v>
      </c>
      <c r="D69" s="69">
        <f>SUM('All Email Performance'!E108:E109)</f>
        <v>295428</v>
      </c>
      <c r="E69" s="70">
        <f t="shared" si="22"/>
        <v>0.99898113922850917</v>
      </c>
      <c r="F69" s="69">
        <f>SUM('All Email Performance'!G108:G109)</f>
        <v>301</v>
      </c>
      <c r="G69" s="69">
        <f>SUM('All Email Performance'!H108:H109)</f>
        <v>98808</v>
      </c>
      <c r="H69" s="70">
        <f t="shared" si="23"/>
        <v>0.3344571266095292</v>
      </c>
      <c r="I69" s="69">
        <f>SUM('All Email Performance'!J108:J109)</f>
        <v>2755</v>
      </c>
      <c r="J69" s="70">
        <f t="shared" si="24"/>
        <v>9.3254532407219363E-3</v>
      </c>
      <c r="K69" s="70">
        <f t="shared" si="25"/>
        <v>2.7882357703829651E-2</v>
      </c>
      <c r="L69" s="69">
        <f>SUM('All Email Performance'!M108:M109)</f>
        <v>1273</v>
      </c>
      <c r="M69" s="70">
        <f t="shared" si="26"/>
        <v>4.3090025319197913E-3</v>
      </c>
      <c r="N69" s="67" t="s">
        <v>16</v>
      </c>
    </row>
    <row r="70" spans="1:14" ht="24" customHeight="1" x14ac:dyDescent="0.3">
      <c r="A70" s="66" t="s">
        <v>22</v>
      </c>
      <c r="B70" s="67" t="s">
        <v>16</v>
      </c>
      <c r="C70" s="72">
        <v>44953</v>
      </c>
      <c r="D70" s="69">
        <f>SUM('All Email Performance'!E110:E111)</f>
        <v>3849260</v>
      </c>
      <c r="E70" s="70">
        <f t="shared" si="22"/>
        <v>0.99797233754020254</v>
      </c>
      <c r="F70" s="69">
        <f>SUM('All Email Performance'!G110:G111)</f>
        <v>7805</v>
      </c>
      <c r="G70" s="69">
        <f>SUM('All Email Performance'!H110:H111)</f>
        <v>1378549</v>
      </c>
      <c r="H70" s="70">
        <f t="shared" si="23"/>
        <v>0.35813351137621258</v>
      </c>
      <c r="I70" s="69">
        <f>SUM('All Email Performance'!J110:J111)</f>
        <v>24293</v>
      </c>
      <c r="J70" s="70">
        <f t="shared" si="24"/>
        <v>6.3110831692325276E-3</v>
      </c>
      <c r="K70" s="70">
        <f t="shared" si="25"/>
        <v>1.7622151987343213E-2</v>
      </c>
      <c r="L70" s="69">
        <f>SUM('All Email Performance'!M110:M111)</f>
        <v>10426</v>
      </c>
      <c r="M70" s="70">
        <f t="shared" si="26"/>
        <v>2.708572556803126E-3</v>
      </c>
      <c r="N70" s="67" t="s">
        <v>16</v>
      </c>
    </row>
    <row r="71" spans="1:14" ht="24" customHeight="1" x14ac:dyDescent="0.3">
      <c r="A71" s="66" t="s">
        <v>19</v>
      </c>
      <c r="B71" s="67" t="s">
        <v>21</v>
      </c>
      <c r="C71" s="72">
        <v>44953</v>
      </c>
      <c r="D71" s="69">
        <f>'All Email Performance'!E112</f>
        <v>334048</v>
      </c>
      <c r="E71" s="70">
        <f t="shared" si="22"/>
        <v>0.99770092920777853</v>
      </c>
      <c r="F71" s="69">
        <f>'All Email Performance'!G112</f>
        <v>768</v>
      </c>
      <c r="G71" s="69">
        <f>'All Email Performance'!H112</f>
        <v>122888</v>
      </c>
      <c r="H71" s="70">
        <f t="shared" si="23"/>
        <v>0.36787527540952197</v>
      </c>
      <c r="I71" s="69">
        <f>'All Email Performance'!J112</f>
        <v>3571</v>
      </c>
      <c r="J71" s="70">
        <f t="shared" si="24"/>
        <v>1.0690080467477728E-2</v>
      </c>
      <c r="K71" s="70">
        <f t="shared" si="25"/>
        <v>2.9058980535121411E-2</v>
      </c>
      <c r="L71" s="69">
        <f>'All Email Performance'!M112</f>
        <v>581</v>
      </c>
      <c r="M71" s="70">
        <f t="shared" si="26"/>
        <v>1.7392710029696331E-3</v>
      </c>
      <c r="N71" s="67" t="s">
        <v>21</v>
      </c>
    </row>
    <row r="72" spans="1:14" ht="24" customHeight="1" x14ac:dyDescent="0.3">
      <c r="A72" s="66" t="s">
        <v>33</v>
      </c>
      <c r="B72" s="67" t="s">
        <v>21</v>
      </c>
      <c r="C72" s="72">
        <v>44953</v>
      </c>
      <c r="D72" s="69">
        <f>'All Email Performance'!E113</f>
        <v>250619</v>
      </c>
      <c r="E72" s="70">
        <f t="shared" si="22"/>
        <v>0.99901444024595099</v>
      </c>
      <c r="F72" s="69">
        <f>'All Email Performance'!G113</f>
        <v>247</v>
      </c>
      <c r="G72" s="69">
        <f>'All Email Performance'!H113</f>
        <v>114442</v>
      </c>
      <c r="H72" s="70">
        <f t="shared" si="23"/>
        <v>0.45663736588207599</v>
      </c>
      <c r="I72" s="69">
        <f>'All Email Performance'!J113</f>
        <v>3246</v>
      </c>
      <c r="J72" s="70">
        <f t="shared" si="24"/>
        <v>1.2951931018797458E-2</v>
      </c>
      <c r="K72" s="70">
        <f t="shared" si="25"/>
        <v>2.8363712622988063E-2</v>
      </c>
      <c r="L72" s="69">
        <f>'All Email Performance'!M113</f>
        <v>438</v>
      </c>
      <c r="M72" s="70">
        <f t="shared" si="26"/>
        <v>1.747672762240692E-3</v>
      </c>
      <c r="N72" s="67" t="s">
        <v>21</v>
      </c>
    </row>
    <row r="73" spans="1:14" ht="24" customHeight="1" x14ac:dyDescent="0.3">
      <c r="A73" s="76" t="s">
        <v>29</v>
      </c>
      <c r="B73" s="67" t="s">
        <v>16</v>
      </c>
      <c r="C73" s="68">
        <v>44957</v>
      </c>
      <c r="D73" s="69">
        <f>SUM('All Email Performance'!E114:E115)</f>
        <v>47979</v>
      </c>
      <c r="E73" s="70">
        <f t="shared" ref="E73:E122" si="27">(D73-F73)/D73</f>
        <v>0.99922882927947643</v>
      </c>
      <c r="F73" s="69">
        <f>SUM('All Email Performance'!G114:G115)</f>
        <v>37</v>
      </c>
      <c r="G73" s="69">
        <f>SUM('All Email Performance'!H114:H115)</f>
        <v>17410</v>
      </c>
      <c r="H73" s="70">
        <f t="shared" ref="H73:H122" si="28">G73/D73</f>
        <v>0.36286708768419518</v>
      </c>
      <c r="I73" s="69">
        <f>SUM('All Email Performance'!J114:J115)</f>
        <v>469</v>
      </c>
      <c r="J73" s="70">
        <f t="shared" ref="J73:J122" si="29">I73/D73</f>
        <v>9.775109943933805E-3</v>
      </c>
      <c r="K73" s="70">
        <f t="shared" ref="K73:K122" si="30">I73/G73</f>
        <v>2.6938541068351522E-2</v>
      </c>
      <c r="L73" s="69">
        <f>SUM('All Email Performance'!M114:M115)</f>
        <v>65</v>
      </c>
      <c r="M73" s="70">
        <f t="shared" ref="M73:M122" si="31">L73/D73</f>
        <v>1.3547593738927448E-3</v>
      </c>
      <c r="N73" s="69" t="s">
        <v>16</v>
      </c>
    </row>
    <row r="74" spans="1:14" ht="24" customHeight="1" x14ac:dyDescent="0.3">
      <c r="A74" s="76" t="s">
        <v>17</v>
      </c>
      <c r="B74" s="67" t="s">
        <v>16</v>
      </c>
      <c r="C74" s="68">
        <v>44957</v>
      </c>
      <c r="D74" s="69">
        <f>SUM('All Email Performance'!E116:E117)</f>
        <v>632096</v>
      </c>
      <c r="E74" s="70">
        <f t="shared" si="27"/>
        <v>0.99820438667544176</v>
      </c>
      <c r="F74" s="69">
        <f>SUM('All Email Performance'!G116:G117)</f>
        <v>1135</v>
      </c>
      <c r="G74" s="69">
        <f>SUM('All Email Performance'!H116:H117)</f>
        <v>243792</v>
      </c>
      <c r="H74" s="70">
        <f t="shared" si="28"/>
        <v>0.38568824988609324</v>
      </c>
      <c r="I74" s="69">
        <f>SUM('All Email Performance'!J116:J117)</f>
        <v>4150</v>
      </c>
      <c r="J74" s="70">
        <f t="shared" si="29"/>
        <v>6.56545841138055E-3</v>
      </c>
      <c r="K74" s="70">
        <f t="shared" si="30"/>
        <v>1.7022707882129028E-2</v>
      </c>
      <c r="L74" s="69">
        <f>SUM('All Email Performance'!M116:M117)</f>
        <v>743</v>
      </c>
      <c r="M74" s="70">
        <f t="shared" si="31"/>
        <v>1.175454361362831E-3</v>
      </c>
      <c r="N74" s="69" t="s">
        <v>16</v>
      </c>
    </row>
    <row r="75" spans="1:14" ht="24" customHeight="1" x14ac:dyDescent="0.3">
      <c r="A75" s="76" t="s">
        <v>103</v>
      </c>
      <c r="B75" s="67" t="s">
        <v>16</v>
      </c>
      <c r="C75" s="68">
        <v>44957</v>
      </c>
      <c r="D75" s="69">
        <f>SUM('All Email Performance'!E118:E119)</f>
        <v>439659</v>
      </c>
      <c r="E75" s="70">
        <f t="shared" si="27"/>
        <v>0.99841468046827198</v>
      </c>
      <c r="F75" s="69">
        <f>SUM('All Email Performance'!G118:G119)</f>
        <v>697</v>
      </c>
      <c r="G75" s="69">
        <f>SUM('All Email Performance'!H118:H119)</f>
        <v>206450</v>
      </c>
      <c r="H75" s="70">
        <f t="shared" si="28"/>
        <v>0.46956846101182964</v>
      </c>
      <c r="I75" s="69">
        <f>SUM('All Email Performance'!J118:J119)</f>
        <v>3057</v>
      </c>
      <c r="J75" s="70">
        <f t="shared" si="29"/>
        <v>6.9531159375788966E-3</v>
      </c>
      <c r="K75" s="70">
        <f t="shared" si="30"/>
        <v>1.4807459433276823E-2</v>
      </c>
      <c r="L75" s="69">
        <f>SUM('All Email Performance'!M118:M119)</f>
        <v>440</v>
      </c>
      <c r="M75" s="70">
        <f t="shared" si="31"/>
        <v>1.0007756010908455E-3</v>
      </c>
      <c r="N75" s="69" t="s">
        <v>16</v>
      </c>
    </row>
    <row r="76" spans="1:14" ht="24" customHeight="1" x14ac:dyDescent="0.3">
      <c r="A76" s="76" t="s">
        <v>115</v>
      </c>
      <c r="B76" s="67" t="s">
        <v>27</v>
      </c>
      <c r="C76" s="68">
        <v>44958</v>
      </c>
      <c r="D76" s="69">
        <f>'All Email Performance'!E120</f>
        <v>12388</v>
      </c>
      <c r="E76" s="70">
        <f t="shared" si="27"/>
        <v>0.99846625766871167</v>
      </c>
      <c r="F76" s="69">
        <f>'All Email Performance'!G120</f>
        <v>19</v>
      </c>
      <c r="G76" s="69">
        <f>'All Email Performance'!H120</f>
        <v>5083</v>
      </c>
      <c r="H76" s="70">
        <f t="shared" si="28"/>
        <v>0.41031643525992895</v>
      </c>
      <c r="I76" s="69">
        <f>'All Email Performance'!J120</f>
        <v>242</v>
      </c>
      <c r="J76" s="70">
        <f t="shared" si="29"/>
        <v>1.9535033903777848E-2</v>
      </c>
      <c r="K76" s="70">
        <f t="shared" si="30"/>
        <v>4.7609679323234309E-2</v>
      </c>
      <c r="L76" s="69">
        <f>'All Email Performance'!M120</f>
        <v>40</v>
      </c>
      <c r="M76" s="70">
        <f t="shared" si="31"/>
        <v>3.2289312237649337E-3</v>
      </c>
      <c r="N76" s="69" t="str">
        <f>'All Email Performance'!O120</f>
        <v>LBE</v>
      </c>
    </row>
    <row r="77" spans="1:14" ht="24" customHeight="1" x14ac:dyDescent="0.3">
      <c r="A77" s="76" t="s">
        <v>116</v>
      </c>
      <c r="B77" s="67" t="s">
        <v>27</v>
      </c>
      <c r="C77" s="68">
        <v>44958</v>
      </c>
      <c r="D77" s="69">
        <f>'All Email Performance'!E121</f>
        <v>11340</v>
      </c>
      <c r="E77" s="70">
        <f t="shared" si="27"/>
        <v>0.99664902998236327</v>
      </c>
      <c r="F77" s="69">
        <f>'All Email Performance'!G121</f>
        <v>38</v>
      </c>
      <c r="G77" s="69">
        <f>'All Email Performance'!H121</f>
        <v>4543</v>
      </c>
      <c r="H77" s="70">
        <f t="shared" si="28"/>
        <v>0.4006172839506173</v>
      </c>
      <c r="I77" s="69">
        <f>'All Email Performance'!J121</f>
        <v>127</v>
      </c>
      <c r="J77" s="70">
        <f t="shared" si="29"/>
        <v>1.1199294532627866E-2</v>
      </c>
      <c r="K77" s="70">
        <f t="shared" si="30"/>
        <v>2.7955095751705922E-2</v>
      </c>
      <c r="L77" s="69">
        <f>'All Email Performance'!M121</f>
        <v>34</v>
      </c>
      <c r="M77" s="70">
        <f t="shared" si="31"/>
        <v>2.998236331569665E-3</v>
      </c>
      <c r="N77" s="69" t="str">
        <f>'All Email Performance'!O121</f>
        <v>LBE</v>
      </c>
    </row>
    <row r="78" spans="1:14" ht="24" customHeight="1" x14ac:dyDescent="0.3">
      <c r="A78" s="76" t="s">
        <v>117</v>
      </c>
      <c r="B78" s="67" t="s">
        <v>27</v>
      </c>
      <c r="C78" s="68">
        <v>44958</v>
      </c>
      <c r="D78" s="69">
        <f>'All Email Performance'!E122</f>
        <v>10568</v>
      </c>
      <c r="E78" s="70">
        <f t="shared" si="27"/>
        <v>0.99678274034822101</v>
      </c>
      <c r="F78" s="69">
        <f>'All Email Performance'!G122</f>
        <v>34</v>
      </c>
      <c r="G78" s="69">
        <f>'All Email Performance'!H122</f>
        <v>4086</v>
      </c>
      <c r="H78" s="70">
        <f t="shared" si="28"/>
        <v>0.38663890991672972</v>
      </c>
      <c r="I78" s="69">
        <f>'All Email Performance'!J122</f>
        <v>217</v>
      </c>
      <c r="J78" s="70">
        <f t="shared" si="29"/>
        <v>2.0533686601059802E-2</v>
      </c>
      <c r="K78" s="70">
        <f t="shared" si="30"/>
        <v>5.3108174253548704E-2</v>
      </c>
      <c r="L78" s="69">
        <f>'All Email Performance'!M122</f>
        <v>59</v>
      </c>
      <c r="M78" s="70">
        <f t="shared" si="31"/>
        <v>5.5828917486752463E-3</v>
      </c>
      <c r="N78" s="69" t="str">
        <f>'All Email Performance'!O122</f>
        <v>LBE</v>
      </c>
    </row>
    <row r="79" spans="1:14" ht="24" customHeight="1" x14ac:dyDescent="0.3">
      <c r="A79" s="76" t="s">
        <v>118</v>
      </c>
      <c r="B79" s="67" t="s">
        <v>27</v>
      </c>
      <c r="C79" s="68">
        <v>44958</v>
      </c>
      <c r="D79" s="69">
        <f>'All Email Performance'!E123</f>
        <v>270045</v>
      </c>
      <c r="E79" s="70">
        <f t="shared" si="27"/>
        <v>0.9974226517802588</v>
      </c>
      <c r="F79" s="69">
        <f>'All Email Performance'!G123</f>
        <v>696</v>
      </c>
      <c r="G79" s="69">
        <f>'All Email Performance'!H123</f>
        <v>89399</v>
      </c>
      <c r="H79" s="70">
        <f t="shared" si="28"/>
        <v>0.33105223203540152</v>
      </c>
      <c r="I79" s="69">
        <f>'All Email Performance'!J123</f>
        <v>2571</v>
      </c>
      <c r="J79" s="70">
        <f t="shared" si="29"/>
        <v>9.5206354496472807E-3</v>
      </c>
      <c r="K79" s="70">
        <f t="shared" si="30"/>
        <v>2.875871094754975E-2</v>
      </c>
      <c r="L79" s="69">
        <f>'All Email Performance'!M123</f>
        <v>1879</v>
      </c>
      <c r="M79" s="70">
        <f t="shared" si="31"/>
        <v>6.958099575996593E-3</v>
      </c>
      <c r="N79" s="69" t="str">
        <f>'All Email Performance'!O123</f>
        <v>LBE</v>
      </c>
    </row>
    <row r="80" spans="1:14" ht="24" customHeight="1" x14ac:dyDescent="0.3">
      <c r="A80" s="76" t="s">
        <v>104</v>
      </c>
      <c r="B80" s="67" t="s">
        <v>101</v>
      </c>
      <c r="C80" s="68">
        <v>44958</v>
      </c>
      <c r="D80" s="69">
        <f>SUM('All Email Performance'!E124:E125)</f>
        <v>343982</v>
      </c>
      <c r="E80" s="70">
        <f t="shared" si="27"/>
        <v>0.99885168409974945</v>
      </c>
      <c r="F80" s="69">
        <f>SUM('All Email Performance'!G124:G125)</f>
        <v>395</v>
      </c>
      <c r="G80" s="69">
        <f>SUM('All Email Performance'!H124:H125)</f>
        <v>120284</v>
      </c>
      <c r="H80" s="70">
        <f t="shared" si="28"/>
        <v>0.34968108796390507</v>
      </c>
      <c r="I80" s="69">
        <f>SUM('All Email Performance'!J124:J125)</f>
        <v>6029</v>
      </c>
      <c r="J80" s="70">
        <f t="shared" si="29"/>
        <v>1.7527079905343884E-2</v>
      </c>
      <c r="K80" s="70">
        <f t="shared" si="30"/>
        <v>5.0123042133617103E-2</v>
      </c>
      <c r="L80" s="69">
        <f>SUM('All Email Performance'!M124:M125)</f>
        <v>1186</v>
      </c>
      <c r="M80" s="70">
        <f t="shared" si="31"/>
        <v>3.4478548296131774E-3</v>
      </c>
      <c r="N80" s="67" t="s">
        <v>101</v>
      </c>
    </row>
    <row r="81" spans="1:14" ht="24" customHeight="1" x14ac:dyDescent="0.3">
      <c r="A81" s="76" t="s">
        <v>105</v>
      </c>
      <c r="B81" s="67" t="s">
        <v>101</v>
      </c>
      <c r="C81" s="68">
        <v>44958</v>
      </c>
      <c r="D81" s="69">
        <f>SUM('All Email Performance'!E126:E127)</f>
        <v>4487290</v>
      </c>
      <c r="E81" s="70">
        <f t="shared" si="27"/>
        <v>0.99786641826135591</v>
      </c>
      <c r="F81" s="69">
        <f>SUM('All Email Performance'!G126:G127)</f>
        <v>9574</v>
      </c>
      <c r="G81" s="69">
        <f>SUM('All Email Performance'!H126:H127)</f>
        <v>1691511</v>
      </c>
      <c r="H81" s="70">
        <f t="shared" si="28"/>
        <v>0.37695602468304923</v>
      </c>
      <c r="I81" s="69">
        <f>SUM('All Email Performance'!J126:J127)</f>
        <v>69001</v>
      </c>
      <c r="J81" s="70">
        <f t="shared" si="29"/>
        <v>1.5376987001063002E-2</v>
      </c>
      <c r="K81" s="70">
        <f t="shared" si="30"/>
        <v>4.0792522188741312E-2</v>
      </c>
      <c r="L81" s="69">
        <f>SUM('All Email Performance'!M126:M127)</f>
        <v>10024</v>
      </c>
      <c r="M81" s="70">
        <f t="shared" si="31"/>
        <v>2.233864983096702E-3</v>
      </c>
      <c r="N81" s="67" t="s">
        <v>101</v>
      </c>
    </row>
    <row r="82" spans="1:14" ht="24" customHeight="1" x14ac:dyDescent="0.3">
      <c r="A82" s="76" t="s">
        <v>32</v>
      </c>
      <c r="B82" s="67" t="s">
        <v>23</v>
      </c>
      <c r="C82" s="68">
        <v>44958</v>
      </c>
      <c r="D82" s="69">
        <f>'All Email Performance'!E128</f>
        <v>314</v>
      </c>
      <c r="E82" s="70">
        <f t="shared" si="27"/>
        <v>1</v>
      </c>
      <c r="F82" s="69">
        <f>'All Email Performance'!G128</f>
        <v>0</v>
      </c>
      <c r="G82" s="69">
        <f>'All Email Performance'!H128</f>
        <v>85</v>
      </c>
      <c r="H82" s="70">
        <f t="shared" si="28"/>
        <v>0.27070063694267515</v>
      </c>
      <c r="I82" s="69">
        <f>'All Email Performance'!J128</f>
        <v>7</v>
      </c>
      <c r="J82" s="70">
        <f t="shared" si="29"/>
        <v>2.2292993630573247E-2</v>
      </c>
      <c r="K82" s="70">
        <f t="shared" si="30"/>
        <v>8.2352941176470587E-2</v>
      </c>
      <c r="L82" s="69">
        <f>'All Email Performance'!M128</f>
        <v>0</v>
      </c>
      <c r="M82" s="70">
        <f t="shared" si="31"/>
        <v>0</v>
      </c>
      <c r="N82" s="69" t="str">
        <f>'All Email Performance'!O128</f>
        <v>Other</v>
      </c>
    </row>
    <row r="83" spans="1:14" ht="24" customHeight="1" x14ac:dyDescent="0.3">
      <c r="A83" s="76" t="s">
        <v>34</v>
      </c>
      <c r="B83" s="67" t="s">
        <v>30</v>
      </c>
      <c r="C83" s="68">
        <v>44958</v>
      </c>
      <c r="D83" s="69">
        <f>'All Email Performance'!E129</f>
        <v>9437</v>
      </c>
      <c r="E83" s="70">
        <f t="shared" si="27"/>
        <v>0.9866482992476423</v>
      </c>
      <c r="F83" s="69">
        <f>'All Email Performance'!G129</f>
        <v>126</v>
      </c>
      <c r="G83" s="69">
        <f>'All Email Performance'!H129</f>
        <v>2962</v>
      </c>
      <c r="H83" s="70">
        <f t="shared" si="28"/>
        <v>0.31387093355939388</v>
      </c>
      <c r="I83" s="69">
        <f>'All Email Performance'!J129</f>
        <v>321</v>
      </c>
      <c r="J83" s="70">
        <f t="shared" si="29"/>
        <v>3.4015047154816153E-2</v>
      </c>
      <c r="K83" s="70">
        <f t="shared" si="30"/>
        <v>0.10837272113436867</v>
      </c>
      <c r="L83" s="69">
        <f>'All Email Performance'!M129</f>
        <v>25</v>
      </c>
      <c r="M83" s="70">
        <f t="shared" si="31"/>
        <v>2.649146974674155E-3</v>
      </c>
      <c r="N83" s="69" t="str">
        <f>'All Email Performance'!O129</f>
        <v>Survey</v>
      </c>
    </row>
    <row r="84" spans="1:14" ht="24" customHeight="1" x14ac:dyDescent="0.3">
      <c r="A84" s="76" t="s">
        <v>35</v>
      </c>
      <c r="B84" s="67" t="s">
        <v>30</v>
      </c>
      <c r="C84" s="68">
        <v>44958</v>
      </c>
      <c r="D84" s="69">
        <f>'All Email Performance'!E130</f>
        <v>85387</v>
      </c>
      <c r="E84" s="70">
        <f t="shared" si="27"/>
        <v>0.97784206026678533</v>
      </c>
      <c r="F84" s="69">
        <f>'All Email Performance'!G130</f>
        <v>1892</v>
      </c>
      <c r="G84" s="69">
        <f>'All Email Performance'!H130</f>
        <v>32168</v>
      </c>
      <c r="H84" s="70">
        <f t="shared" si="28"/>
        <v>0.37673182100319719</v>
      </c>
      <c r="I84" s="69">
        <f>'All Email Performance'!J130</f>
        <v>3462</v>
      </c>
      <c r="J84" s="70">
        <f t="shared" si="29"/>
        <v>4.0544813613313503E-2</v>
      </c>
      <c r="K84" s="70">
        <f t="shared" si="30"/>
        <v>0.10762248196965929</v>
      </c>
      <c r="L84" s="69">
        <f>'All Email Performance'!M130</f>
        <v>337</v>
      </c>
      <c r="M84" s="70">
        <f t="shared" si="31"/>
        <v>3.9467366226708985E-3</v>
      </c>
      <c r="N84" s="69" t="str">
        <f>'All Email Performance'!O130</f>
        <v>Survey</v>
      </c>
    </row>
    <row r="85" spans="1:14" ht="24" customHeight="1" x14ac:dyDescent="0.3">
      <c r="A85" s="76" t="s">
        <v>106</v>
      </c>
      <c r="B85" s="67" t="s">
        <v>101</v>
      </c>
      <c r="C85" s="68">
        <v>44959</v>
      </c>
      <c r="D85" s="69">
        <f>'All Email Performance'!E131</f>
        <v>5558</v>
      </c>
      <c r="E85" s="70">
        <f t="shared" si="27"/>
        <v>0.9992803166606693</v>
      </c>
      <c r="F85" s="69">
        <f>'All Email Performance'!G131</f>
        <v>4</v>
      </c>
      <c r="G85" s="69">
        <f>'All Email Performance'!H131</f>
        <v>1870</v>
      </c>
      <c r="H85" s="70">
        <f t="shared" si="28"/>
        <v>0.33645196113709969</v>
      </c>
      <c r="I85" s="69">
        <f>'All Email Performance'!J131</f>
        <v>48</v>
      </c>
      <c r="J85" s="70">
        <f t="shared" si="29"/>
        <v>8.6362000719683342E-3</v>
      </c>
      <c r="K85" s="70">
        <f t="shared" si="30"/>
        <v>2.5668449197860963E-2</v>
      </c>
      <c r="L85" s="69">
        <f>'All Email Performance'!M131</f>
        <v>47</v>
      </c>
      <c r="M85" s="70">
        <f t="shared" si="31"/>
        <v>8.4562792371356606E-3</v>
      </c>
      <c r="N85" s="69" t="str">
        <f>'All Email Performance'!O131</f>
        <v>Scene+ Offer Only</v>
      </c>
    </row>
    <row r="86" spans="1:14" ht="24" customHeight="1" x14ac:dyDescent="0.3">
      <c r="A86" s="76" t="s">
        <v>107</v>
      </c>
      <c r="B86" s="67" t="s">
        <v>101</v>
      </c>
      <c r="C86" s="68">
        <v>44959</v>
      </c>
      <c r="D86" s="69">
        <f>'All Email Performance'!E132</f>
        <v>49754</v>
      </c>
      <c r="E86" s="70">
        <f t="shared" si="27"/>
        <v>0.99784941914217951</v>
      </c>
      <c r="F86" s="69">
        <f>'All Email Performance'!G132</f>
        <v>107</v>
      </c>
      <c r="G86" s="69">
        <f>'All Email Performance'!H132</f>
        <v>17854</v>
      </c>
      <c r="H86" s="70">
        <f t="shared" si="28"/>
        <v>0.3588455199581943</v>
      </c>
      <c r="I86" s="69">
        <f>'All Email Performance'!J132</f>
        <v>414</v>
      </c>
      <c r="J86" s="70">
        <f t="shared" si="29"/>
        <v>8.3209390199782927E-3</v>
      </c>
      <c r="K86" s="70">
        <f t="shared" si="30"/>
        <v>2.3188081102274001E-2</v>
      </c>
      <c r="L86" s="69">
        <f>'All Email Performance'!M132</f>
        <v>258</v>
      </c>
      <c r="M86" s="70">
        <f t="shared" si="31"/>
        <v>5.1855127225951684E-3</v>
      </c>
      <c r="N86" s="69" t="str">
        <f>'All Email Performance'!O132</f>
        <v>Scene+ Offer Only</v>
      </c>
    </row>
    <row r="87" spans="1:14" ht="24" customHeight="1" x14ac:dyDescent="0.3">
      <c r="A87" s="76" t="s">
        <v>108</v>
      </c>
      <c r="B87" s="67" t="s">
        <v>101</v>
      </c>
      <c r="C87" s="68">
        <v>44959</v>
      </c>
      <c r="D87" s="69">
        <f>'All Email Performance'!E133</f>
        <v>5547</v>
      </c>
      <c r="E87" s="70">
        <f t="shared" si="27"/>
        <v>0.99801694609698932</v>
      </c>
      <c r="F87" s="69">
        <f>'All Email Performance'!G133</f>
        <v>11</v>
      </c>
      <c r="G87" s="69">
        <f>'All Email Performance'!H133</f>
        <v>1904</v>
      </c>
      <c r="H87" s="70">
        <f t="shared" si="28"/>
        <v>0.34324860284838654</v>
      </c>
      <c r="I87" s="69">
        <f>'All Email Performance'!J133</f>
        <v>45</v>
      </c>
      <c r="J87" s="70">
        <f t="shared" si="29"/>
        <v>8.1124932395889669E-3</v>
      </c>
      <c r="K87" s="70">
        <f t="shared" si="30"/>
        <v>2.3634453781512604E-2</v>
      </c>
      <c r="L87" s="69">
        <f>'All Email Performance'!M133</f>
        <v>43</v>
      </c>
      <c r="M87" s="70">
        <f t="shared" si="31"/>
        <v>7.7519379844961239E-3</v>
      </c>
      <c r="N87" s="69" t="str">
        <f>'All Email Performance'!O133</f>
        <v>Scene+ Offer Only</v>
      </c>
    </row>
    <row r="88" spans="1:14" ht="24" customHeight="1" x14ac:dyDescent="0.3">
      <c r="A88" s="76" t="s">
        <v>109</v>
      </c>
      <c r="B88" s="67" t="s">
        <v>101</v>
      </c>
      <c r="C88" s="68">
        <v>44959</v>
      </c>
      <c r="D88" s="69">
        <f>'All Email Performance'!E134</f>
        <v>49774</v>
      </c>
      <c r="E88" s="70">
        <f t="shared" si="27"/>
        <v>0.99762928436533127</v>
      </c>
      <c r="F88" s="69">
        <f>'All Email Performance'!G134</f>
        <v>118</v>
      </c>
      <c r="G88" s="69">
        <f>'All Email Performance'!H134</f>
        <v>17936</v>
      </c>
      <c r="H88" s="70">
        <f t="shared" si="28"/>
        <v>0.36034877646964281</v>
      </c>
      <c r="I88" s="69">
        <f>'All Email Performance'!J134</f>
        <v>350</v>
      </c>
      <c r="J88" s="70">
        <f t="shared" si="29"/>
        <v>7.0317836621529312E-3</v>
      </c>
      <c r="K88" s="70">
        <f t="shared" si="30"/>
        <v>1.9513826940231935E-2</v>
      </c>
      <c r="L88" s="69">
        <f>'All Email Performance'!M134</f>
        <v>261</v>
      </c>
      <c r="M88" s="70">
        <f t="shared" si="31"/>
        <v>5.2437015309197577E-3</v>
      </c>
      <c r="N88" s="69" t="str">
        <f>'All Email Performance'!O134</f>
        <v>Scene+ Offer Only</v>
      </c>
    </row>
    <row r="89" spans="1:14" ht="24" customHeight="1" x14ac:dyDescent="0.3">
      <c r="A89" s="76" t="s">
        <v>110</v>
      </c>
      <c r="B89" s="67" t="s">
        <v>16</v>
      </c>
      <c r="C89" s="68">
        <v>44959</v>
      </c>
      <c r="D89" s="69">
        <f>'All Email Performance'!E135</f>
        <v>81038</v>
      </c>
      <c r="E89" s="70">
        <f t="shared" si="27"/>
        <v>0.99835879463955179</v>
      </c>
      <c r="F89" s="69">
        <f>'All Email Performance'!G135</f>
        <v>133</v>
      </c>
      <c r="G89" s="69">
        <f>'All Email Performance'!H135</f>
        <v>32466</v>
      </c>
      <c r="H89" s="70">
        <f t="shared" si="28"/>
        <v>0.40062686640835166</v>
      </c>
      <c r="I89" s="69">
        <f>'All Email Performance'!J135</f>
        <v>479</v>
      </c>
      <c r="J89" s="70">
        <f t="shared" si="29"/>
        <v>5.9108072755991014E-3</v>
      </c>
      <c r="K89" s="70">
        <f t="shared" si="30"/>
        <v>1.475389638390932E-2</v>
      </c>
      <c r="L89" s="69">
        <f>'All Email Performance'!M135</f>
        <v>82</v>
      </c>
      <c r="M89" s="70">
        <f t="shared" si="31"/>
        <v>1.0118709741109109E-3</v>
      </c>
      <c r="N89" s="69" t="str">
        <f>'All Email Performance'!O135</f>
        <v>Theatrical</v>
      </c>
    </row>
    <row r="90" spans="1:14" ht="24" customHeight="1" x14ac:dyDescent="0.3">
      <c r="A90" s="76" t="s">
        <v>26</v>
      </c>
      <c r="B90" s="67" t="s">
        <v>23</v>
      </c>
      <c r="C90" s="68">
        <v>44959</v>
      </c>
      <c r="D90" s="69">
        <f>'All Email Performance'!E136</f>
        <v>1670</v>
      </c>
      <c r="E90" s="70">
        <f t="shared" si="27"/>
        <v>0.9994011976047904</v>
      </c>
      <c r="F90" s="69">
        <f>'All Email Performance'!G136</f>
        <v>1</v>
      </c>
      <c r="G90" s="69">
        <f>'All Email Performance'!H136</f>
        <v>584</v>
      </c>
      <c r="H90" s="70">
        <f t="shared" si="28"/>
        <v>0.34970059880239523</v>
      </c>
      <c r="I90" s="69">
        <f>'All Email Performance'!J136</f>
        <v>18</v>
      </c>
      <c r="J90" s="70">
        <f t="shared" si="29"/>
        <v>1.0778443113772455E-2</v>
      </c>
      <c r="K90" s="70">
        <f t="shared" si="30"/>
        <v>3.0821917808219176E-2</v>
      </c>
      <c r="L90" s="69">
        <f>'All Email Performance'!M136</f>
        <v>0</v>
      </c>
      <c r="M90" s="70">
        <f t="shared" si="31"/>
        <v>0</v>
      </c>
      <c r="N90" s="69" t="str">
        <f>'All Email Performance'!O136</f>
        <v>Other</v>
      </c>
    </row>
    <row r="91" spans="1:14" ht="24" customHeight="1" x14ac:dyDescent="0.3">
      <c r="A91" s="76" t="s">
        <v>111</v>
      </c>
      <c r="B91" s="67" t="s">
        <v>21</v>
      </c>
      <c r="C91" s="68">
        <v>44959</v>
      </c>
      <c r="D91" s="69">
        <f>SUM('All Email Performance'!E137:E138)</f>
        <v>17882</v>
      </c>
      <c r="E91" s="70">
        <f t="shared" si="27"/>
        <v>0.99949670059277484</v>
      </c>
      <c r="F91" s="69">
        <f>SUM('All Email Performance'!G137:G138)</f>
        <v>9</v>
      </c>
      <c r="G91" s="69">
        <f>SUM('All Email Performance'!H137:H138)</f>
        <v>6002</v>
      </c>
      <c r="H91" s="70">
        <f t="shared" si="28"/>
        <v>0.33564478246281176</v>
      </c>
      <c r="I91" s="69">
        <f>SUM('All Email Performance'!J137:J138)</f>
        <v>90</v>
      </c>
      <c r="J91" s="70">
        <f t="shared" si="29"/>
        <v>5.032994072251426E-3</v>
      </c>
      <c r="K91" s="70">
        <f t="shared" si="30"/>
        <v>1.4995001666111295E-2</v>
      </c>
      <c r="L91" s="69">
        <f>SUM('All Email Performance'!M137:M138)</f>
        <v>32</v>
      </c>
      <c r="M91" s="70">
        <f t="shared" si="31"/>
        <v>1.7895090034671737E-3</v>
      </c>
      <c r="N91" s="67" t="s">
        <v>21</v>
      </c>
    </row>
    <row r="92" spans="1:14" ht="24" customHeight="1" x14ac:dyDescent="0.3">
      <c r="A92" s="76" t="s">
        <v>112</v>
      </c>
      <c r="B92" s="67" t="s">
        <v>21</v>
      </c>
      <c r="C92" s="68">
        <v>44959</v>
      </c>
      <c r="D92" s="69">
        <f>SUM('All Email Performance'!E139:E140)</f>
        <v>326905</v>
      </c>
      <c r="E92" s="70">
        <f t="shared" si="27"/>
        <v>0.99873051804040924</v>
      </c>
      <c r="F92" s="69">
        <f>SUM('All Email Performance'!G139:G140)</f>
        <v>415</v>
      </c>
      <c r="G92" s="69">
        <f>SUM('All Email Performance'!H139:H140)</f>
        <v>147527</v>
      </c>
      <c r="H92" s="70">
        <f t="shared" si="28"/>
        <v>0.45128401217479086</v>
      </c>
      <c r="I92" s="69">
        <f>SUM('All Email Performance'!J139:J140)</f>
        <v>1714</v>
      </c>
      <c r="J92" s="70">
        <f t="shared" si="29"/>
        <v>5.2431134427433045E-3</v>
      </c>
      <c r="K92" s="70">
        <f t="shared" si="30"/>
        <v>1.1618212259450813E-2</v>
      </c>
      <c r="L92" s="69">
        <f>SUM('All Email Performance'!M139:M140)</f>
        <v>449</v>
      </c>
      <c r="M92" s="70">
        <f t="shared" si="31"/>
        <v>1.3734877104969333E-3</v>
      </c>
      <c r="N92" s="67" t="s">
        <v>21</v>
      </c>
    </row>
    <row r="93" spans="1:14" ht="24" customHeight="1" x14ac:dyDescent="0.3">
      <c r="A93" s="76" t="s">
        <v>28</v>
      </c>
      <c r="B93" s="67" t="s">
        <v>16</v>
      </c>
      <c r="C93" s="68">
        <v>44960</v>
      </c>
      <c r="D93" s="69">
        <f>SUM('All Email Performance'!E141:E142)</f>
        <v>293913</v>
      </c>
      <c r="E93" s="70">
        <f t="shared" si="27"/>
        <v>0.99899630162667186</v>
      </c>
      <c r="F93" s="69">
        <f>SUM('All Email Performance'!G141:G142)</f>
        <v>295</v>
      </c>
      <c r="G93" s="69">
        <f>SUM('All Email Performance'!H141:H142)</f>
        <v>97509</v>
      </c>
      <c r="H93" s="70">
        <f t="shared" si="28"/>
        <v>0.33176143960968041</v>
      </c>
      <c r="I93" s="69">
        <f>SUM('All Email Performance'!J141:J142)</f>
        <v>2221</v>
      </c>
      <c r="J93" s="70">
        <f t="shared" si="29"/>
        <v>7.5566579225825325E-3</v>
      </c>
      <c r="K93" s="70">
        <f t="shared" si="30"/>
        <v>2.2777384651673178E-2</v>
      </c>
      <c r="L93" s="69">
        <f>SUM('All Email Performance'!M141:M142)</f>
        <v>847</v>
      </c>
      <c r="M93" s="70">
        <f t="shared" si="31"/>
        <v>2.8818051600303491E-3</v>
      </c>
      <c r="N93" s="69" t="s">
        <v>16</v>
      </c>
    </row>
    <row r="94" spans="1:14" ht="24" customHeight="1" x14ac:dyDescent="0.3">
      <c r="A94" s="76" t="s">
        <v>22</v>
      </c>
      <c r="B94" s="67" t="s">
        <v>16</v>
      </c>
      <c r="C94" s="68">
        <v>44960</v>
      </c>
      <c r="D94" s="69">
        <f>SUM('All Email Performance'!E143:E144)</f>
        <v>3868055</v>
      </c>
      <c r="E94" s="70">
        <f t="shared" si="27"/>
        <v>0.99811274658710902</v>
      </c>
      <c r="F94" s="69">
        <f>SUM('All Email Performance'!G143:G144)</f>
        <v>7300</v>
      </c>
      <c r="G94" s="69">
        <f>SUM('All Email Performance'!H143:H144)</f>
        <v>1362824</v>
      </c>
      <c r="H94" s="70">
        <f t="shared" si="28"/>
        <v>0.35232797879037397</v>
      </c>
      <c r="I94" s="69">
        <f>SUM('All Email Performance'!J143:J144)</f>
        <v>20120</v>
      </c>
      <c r="J94" s="70">
        <f t="shared" si="29"/>
        <v>5.201580639365262E-3</v>
      </c>
      <c r="K94" s="70">
        <f t="shared" si="30"/>
        <v>1.4763461752948289E-2</v>
      </c>
      <c r="L94" s="69">
        <f>SUM('All Email Performance'!M143:M144)</f>
        <v>8275</v>
      </c>
      <c r="M94" s="70">
        <f t="shared" si="31"/>
        <v>2.1393180810510711E-3</v>
      </c>
      <c r="N94" s="69" t="s">
        <v>16</v>
      </c>
    </row>
    <row r="95" spans="1:14" ht="24" customHeight="1" x14ac:dyDescent="0.3">
      <c r="A95" s="76" t="s">
        <v>33</v>
      </c>
      <c r="B95" s="67" t="s">
        <v>21</v>
      </c>
      <c r="C95" s="68">
        <v>44960</v>
      </c>
      <c r="D95" s="69">
        <f>'All Email Performance'!E145</f>
        <v>249719</v>
      </c>
      <c r="E95" s="70">
        <f t="shared" si="27"/>
        <v>0.99873457766529583</v>
      </c>
      <c r="F95" s="69">
        <f>'All Email Performance'!G145</f>
        <v>316</v>
      </c>
      <c r="G95" s="69">
        <f>'All Email Performance'!H145</f>
        <v>113555</v>
      </c>
      <c r="H95" s="70">
        <f t="shared" si="28"/>
        <v>0.45473111777638064</v>
      </c>
      <c r="I95" s="69">
        <f>'All Email Performance'!J145</f>
        <v>1651</v>
      </c>
      <c r="J95" s="70">
        <f t="shared" si="29"/>
        <v>6.6114312487235653E-3</v>
      </c>
      <c r="K95" s="70">
        <f t="shared" si="30"/>
        <v>1.453921007441328E-2</v>
      </c>
      <c r="L95" s="69">
        <f>'All Email Performance'!M145</f>
        <v>348</v>
      </c>
      <c r="M95" s="70">
        <f t="shared" si="31"/>
        <v>1.3935663685983046E-3</v>
      </c>
      <c r="N95" s="69" t="str">
        <f>'All Email Performance'!O145</f>
        <v>Store</v>
      </c>
    </row>
    <row r="96" spans="1:14" ht="24" customHeight="1" x14ac:dyDescent="0.3">
      <c r="A96" s="76" t="s">
        <v>19</v>
      </c>
      <c r="B96" s="67" t="s">
        <v>21</v>
      </c>
      <c r="C96" s="68">
        <v>44960</v>
      </c>
      <c r="D96" s="69">
        <f>'All Email Performance'!E146</f>
        <v>333398</v>
      </c>
      <c r="E96" s="70">
        <f t="shared" si="27"/>
        <v>0.99789140906664109</v>
      </c>
      <c r="F96" s="69">
        <f>'All Email Performance'!G146</f>
        <v>703</v>
      </c>
      <c r="G96" s="69">
        <f>'All Email Performance'!H146</f>
        <v>124313</v>
      </c>
      <c r="H96" s="70">
        <f t="shared" si="28"/>
        <v>0.37286666386720974</v>
      </c>
      <c r="I96" s="69">
        <f>'All Email Performance'!J146</f>
        <v>2170</v>
      </c>
      <c r="J96" s="70">
        <f t="shared" si="29"/>
        <v>6.5087373049628368E-3</v>
      </c>
      <c r="K96" s="70">
        <f t="shared" si="30"/>
        <v>1.745593783433752E-2</v>
      </c>
      <c r="L96" s="69">
        <f>'All Email Performance'!M146</f>
        <v>394</v>
      </c>
      <c r="M96" s="70">
        <f t="shared" si="31"/>
        <v>1.1817707364771234E-3</v>
      </c>
      <c r="N96" s="69" t="str">
        <f>'All Email Performance'!O146</f>
        <v>Store</v>
      </c>
    </row>
    <row r="97" spans="1:14" ht="24" customHeight="1" x14ac:dyDescent="0.3">
      <c r="A97" s="76" t="s">
        <v>24</v>
      </c>
      <c r="B97" s="67" t="s">
        <v>21</v>
      </c>
      <c r="C97" s="68">
        <v>44961</v>
      </c>
      <c r="D97" s="69">
        <f>'All Email Performance'!E147</f>
        <v>15415</v>
      </c>
      <c r="E97" s="70">
        <f t="shared" si="27"/>
        <v>0.99948102497567304</v>
      </c>
      <c r="F97" s="69">
        <f>'All Email Performance'!G147</f>
        <v>8</v>
      </c>
      <c r="G97" s="69">
        <f>'All Email Performance'!H147</f>
        <v>5477</v>
      </c>
      <c r="H97" s="70">
        <f t="shared" si="28"/>
        <v>0.35530327602984108</v>
      </c>
      <c r="I97" s="69">
        <f>'All Email Performance'!J147</f>
        <v>195</v>
      </c>
      <c r="J97" s="70">
        <f t="shared" si="29"/>
        <v>1.2650016217969511E-2</v>
      </c>
      <c r="K97" s="70">
        <f t="shared" si="30"/>
        <v>3.5603432536059888E-2</v>
      </c>
      <c r="L97" s="69">
        <f>'All Email Performance'!M147</f>
        <v>31</v>
      </c>
      <c r="M97" s="70">
        <f t="shared" si="31"/>
        <v>2.0110282192669477E-3</v>
      </c>
      <c r="N97" s="69" t="str">
        <f>'All Email Performance'!O147</f>
        <v>Store</v>
      </c>
    </row>
    <row r="98" spans="1:14" ht="24" customHeight="1" x14ac:dyDescent="0.3">
      <c r="A98" s="76" t="s">
        <v>36</v>
      </c>
      <c r="B98" s="67" t="s">
        <v>16</v>
      </c>
      <c r="C98" s="68">
        <v>44961</v>
      </c>
      <c r="D98" s="69">
        <f>SUM('All Email Performance'!E148:E149)</f>
        <v>2864</v>
      </c>
      <c r="E98" s="70">
        <f t="shared" si="27"/>
        <v>0.99895251396648044</v>
      </c>
      <c r="F98" s="69">
        <f>SUM('All Email Performance'!G148:G149)</f>
        <v>3</v>
      </c>
      <c r="G98" s="69">
        <f>SUM('All Email Performance'!H148:H149)</f>
        <v>1376</v>
      </c>
      <c r="H98" s="70">
        <f t="shared" si="28"/>
        <v>0.48044692737430167</v>
      </c>
      <c r="I98" s="69">
        <f>SUM('All Email Performance'!J148:J149)</f>
        <v>116</v>
      </c>
      <c r="J98" s="70">
        <f t="shared" si="29"/>
        <v>4.0502793296089384E-2</v>
      </c>
      <c r="K98" s="70">
        <f t="shared" si="30"/>
        <v>8.4302325581395346E-2</v>
      </c>
      <c r="L98" s="69">
        <f>SUM('All Email Performance'!M148:M149)</f>
        <v>14</v>
      </c>
      <c r="M98" s="70">
        <f t="shared" si="31"/>
        <v>4.8882681564245811E-3</v>
      </c>
      <c r="N98" s="69" t="s">
        <v>16</v>
      </c>
    </row>
    <row r="99" spans="1:14" ht="24" customHeight="1" x14ac:dyDescent="0.3">
      <c r="A99" s="76" t="s">
        <v>37</v>
      </c>
      <c r="B99" s="67" t="s">
        <v>16</v>
      </c>
      <c r="C99" s="68">
        <v>44961</v>
      </c>
      <c r="D99" s="69">
        <f>SUM('All Email Performance'!E150:E151)</f>
        <v>28756</v>
      </c>
      <c r="E99" s="70">
        <f t="shared" si="27"/>
        <v>0.99763527611628877</v>
      </c>
      <c r="F99" s="69">
        <f>SUM('All Email Performance'!G150:G151)</f>
        <v>68</v>
      </c>
      <c r="G99" s="69">
        <f>SUM('All Email Performance'!H150:H151)</f>
        <v>12739</v>
      </c>
      <c r="H99" s="70">
        <f t="shared" si="28"/>
        <v>0.44300319933231325</v>
      </c>
      <c r="I99" s="69">
        <f>SUM('All Email Performance'!J150:J151)</f>
        <v>920</v>
      </c>
      <c r="J99" s="70">
        <f t="shared" si="29"/>
        <v>3.1993323132563638E-2</v>
      </c>
      <c r="K99" s="70">
        <f t="shared" si="30"/>
        <v>7.2219169479550982E-2</v>
      </c>
      <c r="L99" s="69">
        <f>SUM('All Email Performance'!M150:M151)</f>
        <v>116</v>
      </c>
      <c r="M99" s="70">
        <f t="shared" si="31"/>
        <v>4.0339407428015023E-3</v>
      </c>
      <c r="N99" s="69" t="s">
        <v>16</v>
      </c>
    </row>
    <row r="100" spans="1:14" ht="24" customHeight="1" x14ac:dyDescent="0.3">
      <c r="A100" s="76" t="s">
        <v>113</v>
      </c>
      <c r="B100" s="67" t="s">
        <v>30</v>
      </c>
      <c r="C100" s="68">
        <v>44961</v>
      </c>
      <c r="D100" s="69">
        <f>'All Email Performance'!E152</f>
        <v>15076</v>
      </c>
      <c r="E100" s="70">
        <f t="shared" si="27"/>
        <v>0.9992040328999735</v>
      </c>
      <c r="F100" s="69">
        <f>'All Email Performance'!G152</f>
        <v>12</v>
      </c>
      <c r="G100" s="69">
        <f>'All Email Performance'!H152</f>
        <v>5056</v>
      </c>
      <c r="H100" s="70">
        <f t="shared" si="28"/>
        <v>0.33536747147784557</v>
      </c>
      <c r="I100" s="69">
        <f>'All Email Performance'!J152</f>
        <v>763</v>
      </c>
      <c r="J100" s="70">
        <f t="shared" si="29"/>
        <v>5.0610241443353673E-2</v>
      </c>
      <c r="K100" s="70">
        <f t="shared" si="30"/>
        <v>0.15090981012658228</v>
      </c>
      <c r="L100" s="69">
        <f>'All Email Performance'!M152</f>
        <v>4</v>
      </c>
      <c r="M100" s="70">
        <f t="shared" si="31"/>
        <v>2.6532236667551072E-4</v>
      </c>
      <c r="N100" s="69" t="str">
        <f>'All Email Performance'!O152</f>
        <v>Survey</v>
      </c>
    </row>
    <row r="101" spans="1:14" ht="24" customHeight="1" x14ac:dyDescent="0.3">
      <c r="A101" s="76" t="s">
        <v>114</v>
      </c>
      <c r="B101" s="67" t="s">
        <v>30</v>
      </c>
      <c r="C101" s="68">
        <v>44961</v>
      </c>
      <c r="D101" s="69">
        <f>'All Email Performance'!E153</f>
        <v>45726</v>
      </c>
      <c r="E101" s="70">
        <f t="shared" si="27"/>
        <v>0.99849101167825749</v>
      </c>
      <c r="F101" s="69">
        <f>'All Email Performance'!G153</f>
        <v>69</v>
      </c>
      <c r="G101" s="69">
        <f>'All Email Performance'!H153</f>
        <v>17175</v>
      </c>
      <c r="H101" s="70">
        <f t="shared" si="28"/>
        <v>0.37560687573809209</v>
      </c>
      <c r="I101" s="69">
        <f>'All Email Performance'!J153</f>
        <v>2116</v>
      </c>
      <c r="J101" s="70">
        <f t="shared" si="29"/>
        <v>4.627564186677164E-2</v>
      </c>
      <c r="K101" s="70">
        <f t="shared" si="30"/>
        <v>0.12320232896652111</v>
      </c>
      <c r="L101" s="69">
        <f>'All Email Performance'!M153</f>
        <v>19</v>
      </c>
      <c r="M101" s="70">
        <f t="shared" si="31"/>
        <v>4.1551852337838428E-4</v>
      </c>
      <c r="N101" s="69" t="str">
        <f>'All Email Performance'!O153</f>
        <v>Survey</v>
      </c>
    </row>
    <row r="102" spans="1:14" ht="24" customHeight="1" x14ac:dyDescent="0.3">
      <c r="A102" s="76" t="s">
        <v>119</v>
      </c>
      <c r="B102" s="67" t="s">
        <v>27</v>
      </c>
      <c r="C102" s="68">
        <v>44961</v>
      </c>
      <c r="D102" s="69">
        <f>'All Email Performance'!E154</f>
        <v>241865</v>
      </c>
      <c r="E102" s="70">
        <f t="shared" si="27"/>
        <v>0.99813945796208625</v>
      </c>
      <c r="F102" s="69">
        <f>'All Email Performance'!G154</f>
        <v>450</v>
      </c>
      <c r="G102" s="69">
        <f>'All Email Performance'!H154</f>
        <v>96768</v>
      </c>
      <c r="H102" s="70">
        <f t="shared" si="28"/>
        <v>0.40009095983296467</v>
      </c>
      <c r="I102" s="69">
        <f>'All Email Performance'!J154</f>
        <v>2277</v>
      </c>
      <c r="J102" s="70">
        <f t="shared" si="29"/>
        <v>9.4143427118433837E-3</v>
      </c>
      <c r="K102" s="70">
        <f t="shared" si="30"/>
        <v>2.3530505952380952E-2</v>
      </c>
      <c r="L102" s="69">
        <f>'All Email Performance'!M154</f>
        <v>1993</v>
      </c>
      <c r="M102" s="70">
        <f t="shared" si="31"/>
        <v>8.2401339590267297E-3</v>
      </c>
      <c r="N102" s="69" t="str">
        <f>'All Email Performance'!O154</f>
        <v>LBE</v>
      </c>
    </row>
    <row r="103" spans="1:14" ht="24" customHeight="1" x14ac:dyDescent="0.3">
      <c r="A103" s="66" t="s">
        <v>124</v>
      </c>
      <c r="B103" s="67" t="s">
        <v>21</v>
      </c>
      <c r="C103" s="68">
        <v>44964</v>
      </c>
      <c r="D103" s="69">
        <v>631482</v>
      </c>
      <c r="E103" s="70">
        <f t="shared" si="27"/>
        <v>0.99828181959264084</v>
      </c>
      <c r="F103" s="69">
        <v>1085</v>
      </c>
      <c r="G103" s="69">
        <v>309367</v>
      </c>
      <c r="H103" s="70">
        <f t="shared" si="28"/>
        <v>0.48990628394791935</v>
      </c>
      <c r="I103" s="69">
        <v>4431</v>
      </c>
      <c r="J103" s="70">
        <f t="shared" si="29"/>
        <v>7.0168270829572338E-3</v>
      </c>
      <c r="K103" s="70">
        <f t="shared" si="30"/>
        <v>1.432279460963839E-2</v>
      </c>
      <c r="L103" s="69">
        <v>1270</v>
      </c>
      <c r="M103" s="70">
        <f t="shared" si="31"/>
        <v>2.0111420436370315E-3</v>
      </c>
      <c r="N103" s="67" t="s">
        <v>21</v>
      </c>
    </row>
    <row r="104" spans="1:14" ht="24" customHeight="1" x14ac:dyDescent="0.3">
      <c r="A104" s="66" t="s">
        <v>125</v>
      </c>
      <c r="B104" s="67" t="s">
        <v>21</v>
      </c>
      <c r="C104" s="68">
        <v>44964</v>
      </c>
      <c r="D104" s="69">
        <v>41126</v>
      </c>
      <c r="E104" s="70">
        <f t="shared" si="27"/>
        <v>0.99878422409181544</v>
      </c>
      <c r="F104" s="69">
        <v>50</v>
      </c>
      <c r="G104" s="69">
        <v>16489</v>
      </c>
      <c r="H104" s="70">
        <f t="shared" si="28"/>
        <v>0.40093857900111851</v>
      </c>
      <c r="I104" s="69">
        <v>287</v>
      </c>
      <c r="J104" s="70">
        <f t="shared" si="29"/>
        <v>6.9785537129796234E-3</v>
      </c>
      <c r="K104" s="70">
        <f t="shared" si="30"/>
        <v>1.7405543089332284E-2</v>
      </c>
      <c r="L104" s="69">
        <v>90</v>
      </c>
      <c r="M104" s="70">
        <f t="shared" si="31"/>
        <v>2.1883966347322863E-3</v>
      </c>
      <c r="N104" s="67" t="s">
        <v>21</v>
      </c>
    </row>
    <row r="105" spans="1:14" ht="24" customHeight="1" x14ac:dyDescent="0.3">
      <c r="A105" s="66" t="s">
        <v>17</v>
      </c>
      <c r="B105" s="67" t="s">
        <v>16</v>
      </c>
      <c r="C105" s="68">
        <v>44964</v>
      </c>
      <c r="D105" s="69">
        <v>635089</v>
      </c>
      <c r="E105" s="70">
        <f t="shared" si="27"/>
        <v>0.99841439546268318</v>
      </c>
      <c r="F105" s="69">
        <v>1007</v>
      </c>
      <c r="G105" s="69">
        <v>243182</v>
      </c>
      <c r="H105" s="70">
        <f t="shared" si="28"/>
        <v>0.38291011181110052</v>
      </c>
      <c r="I105" s="69">
        <v>3828</v>
      </c>
      <c r="J105" s="70">
        <f t="shared" si="29"/>
        <v>6.0275016572480392E-3</v>
      </c>
      <c r="K105" s="70">
        <f t="shared" si="30"/>
        <v>1.5741296642021202E-2</v>
      </c>
      <c r="L105" s="69">
        <v>695</v>
      </c>
      <c r="M105" s="70">
        <f t="shared" si="31"/>
        <v>1.09433480976682E-3</v>
      </c>
      <c r="N105" s="67" t="s">
        <v>16</v>
      </c>
    </row>
    <row r="106" spans="1:14" ht="24" customHeight="1" x14ac:dyDescent="0.3">
      <c r="A106" s="66" t="s">
        <v>29</v>
      </c>
      <c r="B106" s="67" t="s">
        <v>16</v>
      </c>
      <c r="C106" s="68">
        <v>44964</v>
      </c>
      <c r="D106" s="69">
        <v>47949</v>
      </c>
      <c r="E106" s="70">
        <f t="shared" si="27"/>
        <v>0.99939519072347704</v>
      </c>
      <c r="F106" s="69">
        <v>29</v>
      </c>
      <c r="G106" s="69">
        <v>17777</v>
      </c>
      <c r="H106" s="70">
        <f t="shared" si="28"/>
        <v>0.37074808650858204</v>
      </c>
      <c r="I106" s="69">
        <v>448</v>
      </c>
      <c r="J106" s="70">
        <f t="shared" si="29"/>
        <v>9.3432605476652282E-3</v>
      </c>
      <c r="K106" s="70">
        <f t="shared" si="30"/>
        <v>2.5201102548236487E-2</v>
      </c>
      <c r="L106" s="69">
        <v>40</v>
      </c>
      <c r="M106" s="70">
        <f t="shared" si="31"/>
        <v>8.3421969175582393E-4</v>
      </c>
      <c r="N106" s="67" t="s">
        <v>16</v>
      </c>
    </row>
    <row r="107" spans="1:14" ht="24" customHeight="1" x14ac:dyDescent="0.3">
      <c r="A107" s="66" t="s">
        <v>126</v>
      </c>
      <c r="B107" s="67" t="s">
        <v>16</v>
      </c>
      <c r="C107" s="68">
        <v>44965</v>
      </c>
      <c r="D107" s="69">
        <v>4721558</v>
      </c>
      <c r="E107" s="70">
        <f t="shared" si="27"/>
        <v>0.99792060163191898</v>
      </c>
      <c r="F107" s="69">
        <v>9818</v>
      </c>
      <c r="G107" s="69">
        <v>1930397</v>
      </c>
      <c r="H107" s="70">
        <f t="shared" si="28"/>
        <v>0.40884746094403585</v>
      </c>
      <c r="I107" s="69">
        <v>24889</v>
      </c>
      <c r="J107" s="70">
        <f t="shared" si="29"/>
        <v>5.271353227049207E-3</v>
      </c>
      <c r="K107" s="70">
        <f t="shared" si="30"/>
        <v>1.2893202797144836E-2</v>
      </c>
      <c r="L107" s="69">
        <v>13123</v>
      </c>
      <c r="M107" s="70">
        <f t="shared" si="31"/>
        <v>2.779379179499648E-3</v>
      </c>
      <c r="N107" s="67" t="s">
        <v>16</v>
      </c>
    </row>
    <row r="108" spans="1:14" ht="24" customHeight="1" x14ac:dyDescent="0.3">
      <c r="A108" s="66" t="s">
        <v>127</v>
      </c>
      <c r="B108" s="67" t="s">
        <v>16</v>
      </c>
      <c r="C108" s="68">
        <v>44965</v>
      </c>
      <c r="D108" s="69">
        <v>360224</v>
      </c>
      <c r="E108" s="70">
        <f t="shared" si="27"/>
        <v>0.99887014746380032</v>
      </c>
      <c r="F108" s="69">
        <v>407</v>
      </c>
      <c r="G108" s="69">
        <v>124069</v>
      </c>
      <c r="H108" s="70">
        <f t="shared" si="28"/>
        <v>0.34442180421071333</v>
      </c>
      <c r="I108" s="69">
        <v>2407</v>
      </c>
      <c r="J108" s="70">
        <f t="shared" si="29"/>
        <v>6.6819534511859289E-3</v>
      </c>
      <c r="K108" s="70">
        <f t="shared" si="30"/>
        <v>1.9400494885910259E-2</v>
      </c>
      <c r="L108" s="69">
        <v>1876</v>
      </c>
      <c r="M108" s="70">
        <f t="shared" si="31"/>
        <v>5.2078706582570841E-3</v>
      </c>
      <c r="N108" s="67" t="s">
        <v>16</v>
      </c>
    </row>
    <row r="109" spans="1:14" ht="24" customHeight="1" x14ac:dyDescent="0.3">
      <c r="A109" s="66" t="s">
        <v>129</v>
      </c>
      <c r="B109" s="67" t="s">
        <v>16</v>
      </c>
      <c r="C109" s="68">
        <v>44966</v>
      </c>
      <c r="D109" s="69">
        <v>145794</v>
      </c>
      <c r="E109" s="70">
        <f t="shared" si="27"/>
        <v>0.99858018848512287</v>
      </c>
      <c r="F109" s="69">
        <v>207</v>
      </c>
      <c r="G109" s="69">
        <v>58340</v>
      </c>
      <c r="H109" s="70">
        <f t="shared" si="28"/>
        <v>0.40015364143929105</v>
      </c>
      <c r="I109" s="69">
        <v>783</v>
      </c>
      <c r="J109" s="70">
        <f t="shared" si="29"/>
        <v>5.3705913823614143E-3</v>
      </c>
      <c r="K109" s="70">
        <f t="shared" si="30"/>
        <v>1.3421323277339733E-2</v>
      </c>
      <c r="L109" s="69">
        <v>126</v>
      </c>
      <c r="M109" s="70">
        <f t="shared" si="31"/>
        <v>8.6423309601218155E-4</v>
      </c>
      <c r="N109" s="67" t="s">
        <v>16</v>
      </c>
    </row>
    <row r="110" spans="1:14" ht="24" customHeight="1" x14ac:dyDescent="0.3">
      <c r="A110" s="66" t="s">
        <v>26</v>
      </c>
      <c r="B110" s="67" t="s">
        <v>23</v>
      </c>
      <c r="C110" s="68">
        <v>44966</v>
      </c>
      <c r="D110" s="69">
        <v>1671</v>
      </c>
      <c r="E110" s="70">
        <f t="shared" si="27"/>
        <v>0.99940155595451829</v>
      </c>
      <c r="F110" s="69">
        <v>1</v>
      </c>
      <c r="G110" s="69">
        <v>666</v>
      </c>
      <c r="H110" s="70">
        <f t="shared" si="28"/>
        <v>0.3985637342908438</v>
      </c>
      <c r="I110" s="69">
        <v>21</v>
      </c>
      <c r="J110" s="70">
        <f t="shared" si="29"/>
        <v>1.2567324955116697E-2</v>
      </c>
      <c r="K110" s="70">
        <f t="shared" si="30"/>
        <v>3.1531531531531529E-2</v>
      </c>
      <c r="L110" s="69">
        <v>0</v>
      </c>
      <c r="M110" s="70">
        <f t="shared" si="31"/>
        <v>0</v>
      </c>
      <c r="N110" s="67" t="s">
        <v>23</v>
      </c>
    </row>
    <row r="111" spans="1:14" ht="24" customHeight="1" x14ac:dyDescent="0.3">
      <c r="A111" s="66" t="s">
        <v>130</v>
      </c>
      <c r="B111" s="67" t="s">
        <v>16</v>
      </c>
      <c r="C111" s="68">
        <v>44966</v>
      </c>
      <c r="D111" s="69">
        <v>59933</v>
      </c>
      <c r="E111" s="70">
        <f t="shared" si="27"/>
        <v>0.9982146730515743</v>
      </c>
      <c r="F111" s="69">
        <v>107</v>
      </c>
      <c r="G111" s="69">
        <v>23918</v>
      </c>
      <c r="H111" s="70">
        <f t="shared" si="28"/>
        <v>0.39907897151819532</v>
      </c>
      <c r="I111" s="69">
        <v>275</v>
      </c>
      <c r="J111" s="70">
        <f t="shared" si="29"/>
        <v>4.5884571104399911E-3</v>
      </c>
      <c r="K111" s="70">
        <f t="shared" si="30"/>
        <v>1.1497616857596789E-2</v>
      </c>
      <c r="L111" s="69">
        <v>55</v>
      </c>
      <c r="M111" s="70">
        <f t="shared" si="31"/>
        <v>9.1769142208799823E-4</v>
      </c>
      <c r="N111" s="67" t="s">
        <v>16</v>
      </c>
    </row>
    <row r="112" spans="1:14" ht="24" customHeight="1" x14ac:dyDescent="0.3">
      <c r="A112" s="66" t="s">
        <v>128</v>
      </c>
      <c r="B112" s="67" t="s">
        <v>27</v>
      </c>
      <c r="C112" s="68">
        <v>44966</v>
      </c>
      <c r="D112" s="69">
        <v>212563</v>
      </c>
      <c r="E112" s="70">
        <f t="shared" si="27"/>
        <v>0.99807586456721065</v>
      </c>
      <c r="F112" s="69">
        <v>409</v>
      </c>
      <c r="G112" s="69">
        <v>79584</v>
      </c>
      <c r="H112" s="70">
        <f t="shared" si="28"/>
        <v>0.37440194201248572</v>
      </c>
      <c r="I112" s="69">
        <v>2121</v>
      </c>
      <c r="J112" s="70">
        <f t="shared" si="29"/>
        <v>9.9782182223623114E-3</v>
      </c>
      <c r="K112" s="70">
        <f t="shared" si="30"/>
        <v>2.665108564535585E-2</v>
      </c>
      <c r="L112" s="69">
        <v>2066</v>
      </c>
      <c r="M112" s="70">
        <f t="shared" si="31"/>
        <v>9.7194714037720578E-3</v>
      </c>
      <c r="N112" s="67" t="s">
        <v>27</v>
      </c>
    </row>
    <row r="113" spans="1:14" ht="24" customHeight="1" x14ac:dyDescent="0.3">
      <c r="A113" s="66" t="s">
        <v>135</v>
      </c>
      <c r="B113" s="67" t="s">
        <v>16</v>
      </c>
      <c r="C113" s="68">
        <v>44967</v>
      </c>
      <c r="D113" s="69">
        <v>4498979</v>
      </c>
      <c r="E113" s="70">
        <f t="shared" si="27"/>
        <v>0.9978584029843216</v>
      </c>
      <c r="F113" s="69">
        <v>9635</v>
      </c>
      <c r="G113" s="69">
        <v>1638130</v>
      </c>
      <c r="H113" s="70">
        <f t="shared" si="28"/>
        <v>0.36411150174295104</v>
      </c>
      <c r="I113" s="69">
        <v>21486</v>
      </c>
      <c r="J113" s="70">
        <f t="shared" si="29"/>
        <v>4.7757502313302645E-3</v>
      </c>
      <c r="K113" s="70">
        <f t="shared" si="30"/>
        <v>1.3116175150934297E-2</v>
      </c>
      <c r="L113" s="69">
        <v>9627</v>
      </c>
      <c r="M113" s="70">
        <f t="shared" si="31"/>
        <v>2.1398188344511054E-3</v>
      </c>
      <c r="N113" s="67" t="s">
        <v>16</v>
      </c>
    </row>
    <row r="114" spans="1:14" ht="24" customHeight="1" x14ac:dyDescent="0.3">
      <c r="A114" s="66" t="s">
        <v>136</v>
      </c>
      <c r="B114" s="67" t="s">
        <v>16</v>
      </c>
      <c r="C114" s="68">
        <v>44967</v>
      </c>
      <c r="D114" s="69">
        <v>341805</v>
      </c>
      <c r="E114" s="70">
        <f t="shared" si="27"/>
        <v>0.99881803952546044</v>
      </c>
      <c r="F114" s="69">
        <v>404</v>
      </c>
      <c r="G114" s="69">
        <v>115650</v>
      </c>
      <c r="H114" s="70">
        <f t="shared" si="28"/>
        <v>0.3383508140606486</v>
      </c>
      <c r="I114" s="69">
        <v>2158</v>
      </c>
      <c r="J114" s="70">
        <f t="shared" si="29"/>
        <v>6.3135413466742733E-3</v>
      </c>
      <c r="K114" s="70">
        <f t="shared" si="30"/>
        <v>1.8659749243406833E-2</v>
      </c>
      <c r="L114" s="69">
        <v>1251</v>
      </c>
      <c r="M114" s="70">
        <f t="shared" si="31"/>
        <v>3.6599815684381447E-3</v>
      </c>
      <c r="N114" s="67" t="s">
        <v>16</v>
      </c>
    </row>
    <row r="115" spans="1:14" ht="24" customHeight="1" x14ac:dyDescent="0.3">
      <c r="A115" s="66" t="s">
        <v>22</v>
      </c>
      <c r="B115" s="67" t="s">
        <v>16</v>
      </c>
      <c r="C115" s="68">
        <v>44967</v>
      </c>
      <c r="D115" s="69">
        <v>3878234</v>
      </c>
      <c r="E115" s="70">
        <f t="shared" si="27"/>
        <v>0.99813085027876092</v>
      </c>
      <c r="F115" s="69">
        <v>7249</v>
      </c>
      <c r="G115" s="69">
        <v>1411340</v>
      </c>
      <c r="H115" s="70">
        <f t="shared" si="28"/>
        <v>0.36391305939765367</v>
      </c>
      <c r="I115" s="69">
        <v>24177</v>
      </c>
      <c r="J115" s="70">
        <f t="shared" si="29"/>
        <v>6.2340230115047208E-3</v>
      </c>
      <c r="K115" s="70">
        <f t="shared" si="30"/>
        <v>1.7130528433970553E-2</v>
      </c>
      <c r="L115" s="69">
        <v>9655</v>
      </c>
      <c r="M115" s="70">
        <f t="shared" si="31"/>
        <v>2.4895351853446699E-3</v>
      </c>
      <c r="N115" s="67" t="s">
        <v>16</v>
      </c>
    </row>
    <row r="116" spans="1:14" ht="24" customHeight="1" x14ac:dyDescent="0.3">
      <c r="A116" s="66" t="s">
        <v>28</v>
      </c>
      <c r="B116" s="67" t="s">
        <v>16</v>
      </c>
      <c r="C116" s="68">
        <v>44967</v>
      </c>
      <c r="D116" s="69">
        <v>292354</v>
      </c>
      <c r="E116" s="70">
        <f t="shared" si="27"/>
        <v>0.99906962107581909</v>
      </c>
      <c r="F116" s="69">
        <v>272</v>
      </c>
      <c r="G116" s="69">
        <v>95164</v>
      </c>
      <c r="H116" s="70">
        <f t="shared" si="28"/>
        <v>0.32550948507631161</v>
      </c>
      <c r="I116" s="69">
        <v>2297</v>
      </c>
      <c r="J116" s="70">
        <f t="shared" si="29"/>
        <v>7.85691319427817E-3</v>
      </c>
      <c r="K116" s="70">
        <f t="shared" si="30"/>
        <v>2.4137278802908661E-2</v>
      </c>
      <c r="L116" s="69">
        <v>1179</v>
      </c>
      <c r="M116" s="70">
        <f t="shared" si="31"/>
        <v>4.0327821750343763E-3</v>
      </c>
      <c r="N116" s="67" t="s">
        <v>16</v>
      </c>
    </row>
    <row r="117" spans="1:14" ht="24" customHeight="1" x14ac:dyDescent="0.3">
      <c r="A117" s="66" t="s">
        <v>19</v>
      </c>
      <c r="B117" s="67" t="s">
        <v>21</v>
      </c>
      <c r="C117" s="68">
        <v>44967</v>
      </c>
      <c r="D117" s="69">
        <v>333199</v>
      </c>
      <c r="E117" s="70">
        <f t="shared" si="27"/>
        <v>0.99785113400700487</v>
      </c>
      <c r="F117" s="69">
        <v>716</v>
      </c>
      <c r="G117" s="69">
        <v>123850</v>
      </c>
      <c r="H117" s="70">
        <f t="shared" si="28"/>
        <v>0.37169979501739203</v>
      </c>
      <c r="I117" s="69">
        <v>2709</v>
      </c>
      <c r="J117" s="70">
        <f t="shared" si="29"/>
        <v>8.1302765014300768E-3</v>
      </c>
      <c r="K117" s="70">
        <f t="shared" si="30"/>
        <v>2.1873233750504643E-2</v>
      </c>
      <c r="L117" s="69">
        <v>417</v>
      </c>
      <c r="M117" s="70">
        <f t="shared" si="31"/>
        <v>1.2515043562555709E-3</v>
      </c>
      <c r="N117" s="67" t="s">
        <v>21</v>
      </c>
    </row>
    <row r="118" spans="1:14" ht="24" customHeight="1" x14ac:dyDescent="0.3">
      <c r="A118" s="66" t="s">
        <v>33</v>
      </c>
      <c r="B118" s="67" t="s">
        <v>21</v>
      </c>
      <c r="C118" s="68">
        <v>44967</v>
      </c>
      <c r="D118" s="69">
        <v>248900</v>
      </c>
      <c r="E118" s="70">
        <f t="shared" si="27"/>
        <v>0.99873844917637611</v>
      </c>
      <c r="F118" s="69">
        <v>314</v>
      </c>
      <c r="G118" s="69">
        <v>111507</v>
      </c>
      <c r="H118" s="70">
        <f t="shared" si="28"/>
        <v>0.44799919646444353</v>
      </c>
      <c r="I118" s="69">
        <v>1758</v>
      </c>
      <c r="J118" s="70">
        <f t="shared" si="29"/>
        <v>7.0630775411811971E-3</v>
      </c>
      <c r="K118" s="70">
        <f t="shared" si="30"/>
        <v>1.5765826360676909E-2</v>
      </c>
      <c r="L118" s="69">
        <v>400</v>
      </c>
      <c r="M118" s="70">
        <f t="shared" si="31"/>
        <v>1.6070711128967456E-3</v>
      </c>
      <c r="N118" s="67" t="s">
        <v>21</v>
      </c>
    </row>
    <row r="119" spans="1:14" ht="24" customHeight="1" x14ac:dyDescent="0.3">
      <c r="A119" s="66" t="s">
        <v>131</v>
      </c>
      <c r="B119" s="67" t="s">
        <v>16</v>
      </c>
      <c r="C119" s="68">
        <v>44967</v>
      </c>
      <c r="D119" s="69">
        <v>16629</v>
      </c>
      <c r="E119" s="70">
        <f t="shared" si="27"/>
        <v>0.99861687413554634</v>
      </c>
      <c r="F119" s="69">
        <v>23</v>
      </c>
      <c r="G119" s="69">
        <v>6314</v>
      </c>
      <c r="H119" s="70">
        <f t="shared" si="28"/>
        <v>0.37969811774610618</v>
      </c>
      <c r="I119" s="69">
        <v>52</v>
      </c>
      <c r="J119" s="70">
        <f t="shared" si="29"/>
        <v>3.1270671718082866E-3</v>
      </c>
      <c r="K119" s="70">
        <f t="shared" si="30"/>
        <v>8.2356667722521381E-3</v>
      </c>
      <c r="L119" s="69">
        <v>13</v>
      </c>
      <c r="M119" s="70">
        <f t="shared" si="31"/>
        <v>7.8176679295207166E-4</v>
      </c>
      <c r="N119" s="67" t="s">
        <v>16</v>
      </c>
    </row>
    <row r="120" spans="1:14" ht="24" customHeight="1" x14ac:dyDescent="0.3">
      <c r="A120" s="66" t="s">
        <v>133</v>
      </c>
      <c r="B120" s="67" t="s">
        <v>16</v>
      </c>
      <c r="C120" s="68">
        <v>44967</v>
      </c>
      <c r="D120" s="69">
        <v>1362</v>
      </c>
      <c r="E120" s="70">
        <f t="shared" si="27"/>
        <v>0.99926578560939794</v>
      </c>
      <c r="F120" s="69">
        <v>1</v>
      </c>
      <c r="G120" s="69">
        <v>483</v>
      </c>
      <c r="H120" s="70">
        <f t="shared" si="28"/>
        <v>0.35462555066079293</v>
      </c>
      <c r="I120" s="69">
        <v>5</v>
      </c>
      <c r="J120" s="70">
        <f t="shared" si="29"/>
        <v>3.6710719530102789E-3</v>
      </c>
      <c r="K120" s="70">
        <f t="shared" si="30"/>
        <v>1.0351966873706004E-2</v>
      </c>
      <c r="L120" s="69">
        <v>0</v>
      </c>
      <c r="M120" s="70">
        <f t="shared" si="31"/>
        <v>0</v>
      </c>
      <c r="N120" s="67" t="s">
        <v>16</v>
      </c>
    </row>
    <row r="121" spans="1:14" ht="24" customHeight="1" x14ac:dyDescent="0.3">
      <c r="A121" s="66" t="s">
        <v>132</v>
      </c>
      <c r="B121" s="67" t="s">
        <v>16</v>
      </c>
      <c r="C121" s="68">
        <v>44967</v>
      </c>
      <c r="D121" s="69">
        <v>315541</v>
      </c>
      <c r="E121" s="70">
        <f t="shared" si="27"/>
        <v>0.99837105162245154</v>
      </c>
      <c r="F121" s="69">
        <v>514</v>
      </c>
      <c r="G121" s="69">
        <v>123936</v>
      </c>
      <c r="H121" s="70">
        <f t="shared" si="28"/>
        <v>0.3927730469257561</v>
      </c>
      <c r="I121" s="69">
        <v>903</v>
      </c>
      <c r="J121" s="70">
        <f t="shared" si="29"/>
        <v>2.8617517216463152E-3</v>
      </c>
      <c r="K121" s="70">
        <f t="shared" si="30"/>
        <v>7.2860185902401241E-3</v>
      </c>
      <c r="L121" s="69">
        <v>231</v>
      </c>
      <c r="M121" s="70">
        <f t="shared" si="31"/>
        <v>7.3207602181649925E-4</v>
      </c>
      <c r="N121" s="67" t="s">
        <v>16</v>
      </c>
    </row>
    <row r="122" spans="1:14" ht="24" customHeight="1" x14ac:dyDescent="0.3">
      <c r="A122" s="66" t="s">
        <v>134</v>
      </c>
      <c r="B122" s="67" t="s">
        <v>16</v>
      </c>
      <c r="C122" s="68">
        <v>44967</v>
      </c>
      <c r="D122" s="69">
        <v>25465</v>
      </c>
      <c r="E122" s="70">
        <f t="shared" si="27"/>
        <v>0.99929314745729436</v>
      </c>
      <c r="F122" s="69">
        <v>18</v>
      </c>
      <c r="G122" s="69">
        <v>8914</v>
      </c>
      <c r="H122" s="70">
        <f t="shared" si="28"/>
        <v>0.35004908698213233</v>
      </c>
      <c r="I122" s="69">
        <v>71</v>
      </c>
      <c r="J122" s="70">
        <f t="shared" si="29"/>
        <v>2.7881405851168271E-3</v>
      </c>
      <c r="K122" s="70">
        <f t="shared" si="30"/>
        <v>7.964998878169172E-3</v>
      </c>
      <c r="L122" s="69">
        <v>14</v>
      </c>
      <c r="M122" s="70">
        <f t="shared" si="31"/>
        <v>5.4977419988219125E-4</v>
      </c>
      <c r="N122" s="67" t="s">
        <v>16</v>
      </c>
    </row>
    <row r="123" spans="1:14" ht="24" customHeight="1" x14ac:dyDescent="0.3">
      <c r="A123" s="76" t="s">
        <v>143</v>
      </c>
      <c r="B123" s="67" t="s">
        <v>27</v>
      </c>
      <c r="C123" s="68">
        <v>44970</v>
      </c>
      <c r="D123" s="69">
        <f>'All Email Performance'!E186</f>
        <v>11368</v>
      </c>
      <c r="E123" s="70">
        <f t="shared" ref="E123:E150" si="32">(D123-F123)/D123</f>
        <v>0.99736101337086558</v>
      </c>
      <c r="F123" s="69">
        <f>'All Email Performance'!G186</f>
        <v>30</v>
      </c>
      <c r="G123" s="69">
        <f>'All Email Performance'!H186</f>
        <v>4345</v>
      </c>
      <c r="H123" s="70">
        <f t="shared" ref="H123:H150" si="33">G123/D123</f>
        <v>0.38221323011963404</v>
      </c>
      <c r="I123" s="69">
        <f>'All Email Performance'!J186</f>
        <v>89</v>
      </c>
      <c r="J123" s="70">
        <f t="shared" ref="J123:J150" si="34">I123/D123</f>
        <v>7.8289936664320894E-3</v>
      </c>
      <c r="K123" s="70">
        <f t="shared" ref="K123:K150" si="35">I123/G123</f>
        <v>2.0483314154200231E-2</v>
      </c>
      <c r="L123" s="69">
        <f>'All Email Performance'!M186</f>
        <v>7</v>
      </c>
      <c r="M123" s="70">
        <f t="shared" ref="M123:M150" si="36">L123/D123</f>
        <v>6.1576354679802956E-4</v>
      </c>
      <c r="N123" s="67" t="s">
        <v>27</v>
      </c>
    </row>
    <row r="124" spans="1:14" ht="24" customHeight="1" x14ac:dyDescent="0.3">
      <c r="A124" s="76" t="s">
        <v>137</v>
      </c>
      <c r="B124" s="67" t="s">
        <v>27</v>
      </c>
      <c r="C124" s="68">
        <v>44970</v>
      </c>
      <c r="D124" s="69">
        <f>'All Email Performance'!E187</f>
        <v>10547</v>
      </c>
      <c r="E124" s="70">
        <f t="shared" si="32"/>
        <v>0.99706077557599315</v>
      </c>
      <c r="F124" s="69">
        <f>'All Email Performance'!G187</f>
        <v>31</v>
      </c>
      <c r="G124" s="69">
        <f>'All Email Performance'!H187</f>
        <v>3769</v>
      </c>
      <c r="H124" s="70">
        <f t="shared" si="33"/>
        <v>0.3573528017445719</v>
      </c>
      <c r="I124" s="69">
        <f>'All Email Performance'!J187</f>
        <v>120</v>
      </c>
      <c r="J124" s="70">
        <f t="shared" si="34"/>
        <v>1.1377642931639328E-2</v>
      </c>
      <c r="K124" s="70">
        <f t="shared" si="35"/>
        <v>3.1838684001061289E-2</v>
      </c>
      <c r="L124" s="69">
        <f>'All Email Performance'!M187</f>
        <v>12</v>
      </c>
      <c r="M124" s="70">
        <f t="shared" si="36"/>
        <v>1.1377642931639329E-3</v>
      </c>
      <c r="N124" s="67" t="s">
        <v>27</v>
      </c>
    </row>
    <row r="125" spans="1:14" ht="24" customHeight="1" x14ac:dyDescent="0.3">
      <c r="A125" s="76" t="s">
        <v>138</v>
      </c>
      <c r="B125" s="67" t="s">
        <v>27</v>
      </c>
      <c r="C125" s="68">
        <v>44970</v>
      </c>
      <c r="D125" s="69">
        <f>'All Email Performance'!E188</f>
        <v>12368</v>
      </c>
      <c r="E125" s="70">
        <f t="shared" si="32"/>
        <v>0.99854463130659765</v>
      </c>
      <c r="F125" s="69">
        <f>'All Email Performance'!G188</f>
        <v>18</v>
      </c>
      <c r="G125" s="69">
        <f>'All Email Performance'!H188</f>
        <v>4590</v>
      </c>
      <c r="H125" s="70">
        <f t="shared" si="33"/>
        <v>0.37111901681759379</v>
      </c>
      <c r="I125" s="69">
        <f>'All Email Performance'!J188</f>
        <v>144</v>
      </c>
      <c r="J125" s="70">
        <f t="shared" si="34"/>
        <v>1.1642949547218629E-2</v>
      </c>
      <c r="K125" s="70">
        <f t="shared" si="35"/>
        <v>3.1372549019607843E-2</v>
      </c>
      <c r="L125" s="69">
        <f>'All Email Performance'!M188</f>
        <v>11</v>
      </c>
      <c r="M125" s="70">
        <f t="shared" si="36"/>
        <v>8.8939197930142306E-4</v>
      </c>
      <c r="N125" s="67" t="s">
        <v>27</v>
      </c>
    </row>
    <row r="126" spans="1:14" ht="24" customHeight="1" x14ac:dyDescent="0.3">
      <c r="A126" s="76" t="s">
        <v>139</v>
      </c>
      <c r="B126" s="67" t="s">
        <v>27</v>
      </c>
      <c r="C126" s="68">
        <v>44970</v>
      </c>
      <c r="D126" s="69">
        <f>'All Email Performance'!E189</f>
        <v>268700</v>
      </c>
      <c r="E126" s="70">
        <f t="shared" si="32"/>
        <v>0.99769259397097132</v>
      </c>
      <c r="F126" s="69">
        <f>'All Email Performance'!G189</f>
        <v>620</v>
      </c>
      <c r="G126" s="69">
        <f>'All Email Performance'!H189</f>
        <v>94164</v>
      </c>
      <c r="H126" s="70">
        <f t="shared" si="33"/>
        <v>0.35044287309266842</v>
      </c>
      <c r="I126" s="69">
        <f>'All Email Performance'!J189</f>
        <v>2598</v>
      </c>
      <c r="J126" s="70">
        <f t="shared" si="34"/>
        <v>9.6687755861555643E-3</v>
      </c>
      <c r="K126" s="70">
        <f t="shared" si="35"/>
        <v>2.7590161845291193E-2</v>
      </c>
      <c r="L126" s="69">
        <f>'All Email Performance'!M189</f>
        <v>448</v>
      </c>
      <c r="M126" s="70">
        <f t="shared" si="36"/>
        <v>1.6672869371045776E-3</v>
      </c>
      <c r="N126" s="67" t="s">
        <v>27</v>
      </c>
    </row>
    <row r="127" spans="1:14" ht="24" customHeight="1" x14ac:dyDescent="0.3">
      <c r="A127" s="76" t="s">
        <v>141</v>
      </c>
      <c r="B127" s="67" t="s">
        <v>27</v>
      </c>
      <c r="C127" s="68">
        <v>44971</v>
      </c>
      <c r="D127" s="69">
        <f>'All Email Performance'!E190</f>
        <v>10533</v>
      </c>
      <c r="E127" s="70">
        <f t="shared" si="32"/>
        <v>0.99762650716794832</v>
      </c>
      <c r="F127" s="69">
        <f>'All Email Performance'!G190</f>
        <v>25</v>
      </c>
      <c r="G127" s="69">
        <f>'All Email Performance'!H190</f>
        <v>3766</v>
      </c>
      <c r="H127" s="70">
        <f t="shared" si="33"/>
        <v>0.35754296022026011</v>
      </c>
      <c r="I127" s="69">
        <f>'All Email Performance'!J190</f>
        <v>74</v>
      </c>
      <c r="J127" s="70">
        <f t="shared" si="34"/>
        <v>7.0255387828728755E-3</v>
      </c>
      <c r="K127" s="70">
        <f t="shared" si="35"/>
        <v>1.9649495485926712E-2</v>
      </c>
      <c r="L127" s="69">
        <f>'All Email Performance'!M190</f>
        <v>48</v>
      </c>
      <c r="M127" s="70">
        <f t="shared" si="36"/>
        <v>4.5571062375391628E-3</v>
      </c>
      <c r="N127" s="67" t="s">
        <v>27</v>
      </c>
    </row>
    <row r="128" spans="1:14" ht="24" customHeight="1" x14ac:dyDescent="0.3">
      <c r="A128" s="76" t="s">
        <v>144</v>
      </c>
      <c r="B128" s="67" t="s">
        <v>27</v>
      </c>
      <c r="C128" s="68">
        <v>44971</v>
      </c>
      <c r="D128" s="69">
        <f>'All Email Performance'!E191</f>
        <v>26598</v>
      </c>
      <c r="E128" s="70">
        <f t="shared" si="32"/>
        <v>0.99582675389127007</v>
      </c>
      <c r="F128" s="69">
        <f>'All Email Performance'!G191</f>
        <v>111</v>
      </c>
      <c r="G128" s="69">
        <f>'All Email Performance'!H191</f>
        <v>9640</v>
      </c>
      <c r="H128" s="70">
        <f t="shared" si="33"/>
        <v>0.36243326565907213</v>
      </c>
      <c r="I128" s="69">
        <f>'All Email Performance'!J191</f>
        <v>179</v>
      </c>
      <c r="J128" s="70">
        <f t="shared" si="34"/>
        <v>6.7298293104744722E-3</v>
      </c>
      <c r="K128" s="70">
        <f t="shared" si="35"/>
        <v>1.8568464730290456E-2</v>
      </c>
      <c r="L128" s="69">
        <f>'All Email Performance'!M191</f>
        <v>130</v>
      </c>
      <c r="M128" s="70">
        <f t="shared" si="36"/>
        <v>4.8875855327468231E-3</v>
      </c>
      <c r="N128" s="67" t="s">
        <v>27</v>
      </c>
    </row>
    <row r="129" spans="1:14" ht="24" customHeight="1" x14ac:dyDescent="0.3">
      <c r="A129" s="76" t="s">
        <v>142</v>
      </c>
      <c r="B129" s="67" t="s">
        <v>27</v>
      </c>
      <c r="C129" s="68">
        <v>44971</v>
      </c>
      <c r="D129" s="69">
        <f>'All Email Performance'!E192</f>
        <v>12340</v>
      </c>
      <c r="E129" s="70">
        <f t="shared" si="32"/>
        <v>0.99870340356564025</v>
      </c>
      <c r="F129" s="69">
        <f>'All Email Performance'!G192</f>
        <v>16</v>
      </c>
      <c r="G129" s="69">
        <f>'All Email Performance'!H192</f>
        <v>4585</v>
      </c>
      <c r="H129" s="70">
        <f t="shared" si="33"/>
        <v>0.37155591572123176</v>
      </c>
      <c r="I129" s="69">
        <f>'All Email Performance'!J192</f>
        <v>89</v>
      </c>
      <c r="J129" s="70">
        <f t="shared" si="34"/>
        <v>7.2123176661264181E-3</v>
      </c>
      <c r="K129" s="70">
        <f t="shared" si="35"/>
        <v>1.9411123227917122E-2</v>
      </c>
      <c r="L129" s="69">
        <f>'All Email Performance'!M192</f>
        <v>58</v>
      </c>
      <c r="M129" s="70">
        <f t="shared" si="36"/>
        <v>4.7001620745542949E-3</v>
      </c>
      <c r="N129" s="67" t="s">
        <v>27</v>
      </c>
    </row>
    <row r="130" spans="1:14" ht="24" customHeight="1" x14ac:dyDescent="0.3">
      <c r="A130" s="76" t="s">
        <v>140</v>
      </c>
      <c r="B130" s="67" t="s">
        <v>27</v>
      </c>
      <c r="C130" s="68">
        <v>44971</v>
      </c>
      <c r="D130" s="69">
        <f>'All Email Performance'!E193</f>
        <v>268120</v>
      </c>
      <c r="E130" s="70">
        <f t="shared" si="32"/>
        <v>0.99786662688348504</v>
      </c>
      <c r="F130" s="69">
        <f>'All Email Performance'!G193</f>
        <v>572</v>
      </c>
      <c r="G130" s="69">
        <f>'All Email Performance'!H193</f>
        <v>114038</v>
      </c>
      <c r="H130" s="70">
        <f t="shared" si="33"/>
        <v>0.42532448157541397</v>
      </c>
      <c r="I130" s="69">
        <f>'All Email Performance'!J193</f>
        <v>2921</v>
      </c>
      <c r="J130" s="70">
        <f t="shared" si="34"/>
        <v>1.0894375652692825E-2</v>
      </c>
      <c r="K130" s="70">
        <f t="shared" si="35"/>
        <v>2.5614268927901227E-2</v>
      </c>
      <c r="L130" s="69">
        <f>'All Email Performance'!M193</f>
        <v>2548</v>
      </c>
      <c r="M130" s="70">
        <f t="shared" si="36"/>
        <v>9.5032075190213342E-3</v>
      </c>
      <c r="N130" s="67" t="s">
        <v>27</v>
      </c>
    </row>
    <row r="131" spans="1:14" ht="24" customHeight="1" x14ac:dyDescent="0.3">
      <c r="A131" s="66" t="s">
        <v>29</v>
      </c>
      <c r="B131" s="67" t="s">
        <v>16</v>
      </c>
      <c r="C131" s="68">
        <v>44971</v>
      </c>
      <c r="D131" s="69">
        <f>SUM('All Email Performance'!E194:E195)</f>
        <v>47933</v>
      </c>
      <c r="E131" s="70">
        <f t="shared" si="32"/>
        <v>0.9990820520309599</v>
      </c>
      <c r="F131" s="69">
        <f>SUM('All Email Performance'!G194:G195)</f>
        <v>44</v>
      </c>
      <c r="G131" s="69">
        <f>SUM('All Email Performance'!H194:H195)</f>
        <v>17182</v>
      </c>
      <c r="H131" s="70">
        <f t="shared" si="33"/>
        <v>0.35845868191016628</v>
      </c>
      <c r="I131" s="69">
        <f>SUM('All Email Performance'!J194:J195)</f>
        <v>331</v>
      </c>
      <c r="J131" s="70">
        <f t="shared" si="34"/>
        <v>6.9054722216427096E-3</v>
      </c>
      <c r="K131" s="70">
        <f t="shared" si="35"/>
        <v>1.9264346409032709E-2</v>
      </c>
      <c r="L131" s="69">
        <f>SUM('All Email Performance'!M194:M195)</f>
        <v>55</v>
      </c>
      <c r="M131" s="70">
        <f t="shared" si="36"/>
        <v>1.1474349613001481E-3</v>
      </c>
      <c r="N131" s="67" t="s">
        <v>16</v>
      </c>
    </row>
    <row r="132" spans="1:14" ht="24" customHeight="1" x14ac:dyDescent="0.3">
      <c r="A132" s="66" t="s">
        <v>17</v>
      </c>
      <c r="B132" s="67" t="s">
        <v>16</v>
      </c>
      <c r="C132" s="68">
        <v>44971</v>
      </c>
      <c r="D132" s="69">
        <f>SUM('All Email Performance'!E196:E197)</f>
        <v>638398</v>
      </c>
      <c r="E132" s="70">
        <f t="shared" si="32"/>
        <v>0.99847587241814673</v>
      </c>
      <c r="F132" s="69">
        <f>SUM('All Email Performance'!G196:G197)</f>
        <v>973</v>
      </c>
      <c r="G132" s="69">
        <f>SUM('All Email Performance'!H196:H197)</f>
        <v>239131</v>
      </c>
      <c r="H132" s="70">
        <f t="shared" si="33"/>
        <v>0.3745798075808508</v>
      </c>
      <c r="I132" s="69">
        <f>SUM('All Email Performance'!J196:J197)</f>
        <v>3495</v>
      </c>
      <c r="J132" s="70">
        <f t="shared" si="34"/>
        <v>5.4746412112819899E-3</v>
      </c>
      <c r="K132" s="70">
        <f t="shared" si="35"/>
        <v>1.4615419999916364E-2</v>
      </c>
      <c r="L132" s="69">
        <f>SUM('All Email Performance'!M196:M197)</f>
        <v>648</v>
      </c>
      <c r="M132" s="70">
        <f t="shared" si="36"/>
        <v>1.0150407739372618E-3</v>
      </c>
      <c r="N132" s="67" t="s">
        <v>16</v>
      </c>
    </row>
    <row r="133" spans="1:14" ht="24" customHeight="1" x14ac:dyDescent="0.3">
      <c r="A133" s="76" t="s">
        <v>145</v>
      </c>
      <c r="B133" s="67" t="s">
        <v>21</v>
      </c>
      <c r="C133" s="68">
        <v>44971</v>
      </c>
      <c r="D133" s="69">
        <f>SUM('All Email Performance'!E198:E199)</f>
        <v>18738</v>
      </c>
      <c r="E133" s="70">
        <f t="shared" si="32"/>
        <v>0.99941295762621407</v>
      </c>
      <c r="F133" s="69">
        <f>SUM('All Email Performance'!G198:G199)</f>
        <v>11</v>
      </c>
      <c r="G133" s="69">
        <f>SUM('All Email Performance'!H198:H199)</f>
        <v>6178</v>
      </c>
      <c r="H133" s="70">
        <f t="shared" si="33"/>
        <v>0.32970434411356603</v>
      </c>
      <c r="I133" s="69">
        <f>SUM('All Email Performance'!J198:J199)</f>
        <v>93</v>
      </c>
      <c r="J133" s="70">
        <f t="shared" si="34"/>
        <v>4.9631764329170673E-3</v>
      </c>
      <c r="K133" s="70">
        <f t="shared" si="35"/>
        <v>1.5053415344771771E-2</v>
      </c>
      <c r="L133" s="69">
        <f>SUM('All Email Performance'!M198:M199)</f>
        <v>26</v>
      </c>
      <c r="M133" s="70">
        <f t="shared" si="36"/>
        <v>1.387554701675739E-3</v>
      </c>
      <c r="N133" s="67" t="s">
        <v>21</v>
      </c>
    </row>
    <row r="134" spans="1:14" ht="24" customHeight="1" x14ac:dyDescent="0.3">
      <c r="A134" s="76" t="s">
        <v>146</v>
      </c>
      <c r="B134" s="67" t="s">
        <v>21</v>
      </c>
      <c r="C134" s="68">
        <v>44971</v>
      </c>
      <c r="D134" s="69">
        <f>SUM('All Email Performance'!E200:E201)</f>
        <v>343513</v>
      </c>
      <c r="E134" s="70">
        <f t="shared" si="32"/>
        <v>0.99874240567314776</v>
      </c>
      <c r="F134" s="69">
        <f>SUM('All Email Performance'!G200:G201)</f>
        <v>432</v>
      </c>
      <c r="G134" s="69">
        <f>SUM('All Email Performance'!H200:H201)</f>
        <v>156480</v>
      </c>
      <c r="H134" s="70">
        <f t="shared" si="33"/>
        <v>0.4555286117264849</v>
      </c>
      <c r="I134" s="69">
        <f>SUM('All Email Performance'!J200:J201)</f>
        <v>1825</v>
      </c>
      <c r="J134" s="70">
        <f t="shared" si="34"/>
        <v>5.3127538113550291E-3</v>
      </c>
      <c r="K134" s="70">
        <f t="shared" si="35"/>
        <v>1.1662832310838445E-2</v>
      </c>
      <c r="L134" s="69">
        <f>SUM('All Email Performance'!M200:M201)</f>
        <v>468</v>
      </c>
      <c r="M134" s="70">
        <f t="shared" si="36"/>
        <v>1.3623938540899471E-3</v>
      </c>
      <c r="N134" s="67" t="s">
        <v>21</v>
      </c>
    </row>
    <row r="135" spans="1:14" ht="24" customHeight="1" x14ac:dyDescent="0.3">
      <c r="A135" s="76" t="s">
        <v>147</v>
      </c>
      <c r="B135" s="67" t="s">
        <v>98</v>
      </c>
      <c r="C135" s="68">
        <v>44972</v>
      </c>
      <c r="D135" s="69">
        <f>'All Email Performance'!E202</f>
        <v>7312</v>
      </c>
      <c r="E135" s="70">
        <f t="shared" si="32"/>
        <v>0.96074945295404812</v>
      </c>
      <c r="F135" s="69">
        <f>'All Email Performance'!G202</f>
        <v>287</v>
      </c>
      <c r="G135" s="69">
        <f>'All Email Performance'!H202</f>
        <v>3893</v>
      </c>
      <c r="H135" s="70">
        <f t="shared" si="33"/>
        <v>0.53241247264770242</v>
      </c>
      <c r="I135" s="69">
        <f>'All Email Performance'!J202</f>
        <v>324</v>
      </c>
      <c r="J135" s="70">
        <f t="shared" si="34"/>
        <v>4.4310722100656452E-2</v>
      </c>
      <c r="K135" s="70">
        <f t="shared" si="35"/>
        <v>8.3226303621885434E-2</v>
      </c>
      <c r="L135" s="69">
        <f>'All Email Performance'!M202</f>
        <v>95</v>
      </c>
      <c r="M135" s="70">
        <f t="shared" si="36"/>
        <v>1.299234135667396E-2</v>
      </c>
      <c r="N135" s="67" t="s">
        <v>98</v>
      </c>
    </row>
    <row r="136" spans="1:14" ht="24" customHeight="1" x14ac:dyDescent="0.3">
      <c r="A136" s="76" t="s">
        <v>148</v>
      </c>
      <c r="B136" s="67" t="s">
        <v>98</v>
      </c>
      <c r="C136" s="68">
        <v>44972</v>
      </c>
      <c r="D136" s="69">
        <f>'All Email Performance'!E203</f>
        <v>740</v>
      </c>
      <c r="E136" s="70">
        <f t="shared" si="32"/>
        <v>0.96486486486486489</v>
      </c>
      <c r="F136" s="69">
        <f>'All Email Performance'!G203</f>
        <v>26</v>
      </c>
      <c r="G136" s="69">
        <f>'All Email Performance'!H203</f>
        <v>416</v>
      </c>
      <c r="H136" s="70">
        <f t="shared" si="33"/>
        <v>0.56216216216216219</v>
      </c>
      <c r="I136" s="69">
        <f>'All Email Performance'!J203</f>
        <v>26</v>
      </c>
      <c r="J136" s="70">
        <f t="shared" si="34"/>
        <v>3.5135135135135137E-2</v>
      </c>
      <c r="K136" s="70">
        <f t="shared" si="35"/>
        <v>6.25E-2</v>
      </c>
      <c r="L136" s="69">
        <f>'All Email Performance'!M203</f>
        <v>4</v>
      </c>
      <c r="M136" s="70">
        <f t="shared" si="36"/>
        <v>5.4054054054054057E-3</v>
      </c>
      <c r="N136" s="67" t="s">
        <v>98</v>
      </c>
    </row>
    <row r="137" spans="1:14" ht="24" customHeight="1" x14ac:dyDescent="0.3">
      <c r="A137" s="76" t="s">
        <v>32</v>
      </c>
      <c r="B137" s="67" t="s">
        <v>23</v>
      </c>
      <c r="C137" s="68">
        <v>44972</v>
      </c>
      <c r="D137" s="69">
        <f>'All Email Performance'!E204</f>
        <v>310</v>
      </c>
      <c r="E137" s="70">
        <f t="shared" si="32"/>
        <v>1</v>
      </c>
      <c r="F137" s="69">
        <f>'All Email Performance'!G204</f>
        <v>0</v>
      </c>
      <c r="G137" s="69">
        <f>'All Email Performance'!H204</f>
        <v>97</v>
      </c>
      <c r="H137" s="70">
        <f t="shared" si="33"/>
        <v>0.31290322580645163</v>
      </c>
      <c r="I137" s="69">
        <f>'All Email Performance'!J204</f>
        <v>4</v>
      </c>
      <c r="J137" s="70">
        <f t="shared" si="34"/>
        <v>1.2903225806451613E-2</v>
      </c>
      <c r="K137" s="70">
        <f t="shared" si="35"/>
        <v>4.1237113402061855E-2</v>
      </c>
      <c r="L137" s="69">
        <f>'All Email Performance'!M204</f>
        <v>0</v>
      </c>
      <c r="M137" s="70">
        <f t="shared" si="36"/>
        <v>0</v>
      </c>
      <c r="N137" s="67" t="s">
        <v>23</v>
      </c>
    </row>
    <row r="138" spans="1:14" ht="24" customHeight="1" x14ac:dyDescent="0.3">
      <c r="A138" s="76" t="s">
        <v>94</v>
      </c>
      <c r="B138" s="67" t="s">
        <v>16</v>
      </c>
      <c r="C138" s="68">
        <v>44973</v>
      </c>
      <c r="D138" s="69">
        <f>SUM('All Email Performance'!E205:E206)</f>
        <v>336738</v>
      </c>
      <c r="E138" s="70">
        <f t="shared" si="32"/>
        <v>0.99878837553231292</v>
      </c>
      <c r="F138" s="69">
        <f>SUM('All Email Performance'!G205:G206)</f>
        <v>408</v>
      </c>
      <c r="G138" s="69">
        <f>SUM('All Email Performance'!H205:H206)</f>
        <v>115639</v>
      </c>
      <c r="H138" s="70">
        <f t="shared" si="33"/>
        <v>0.34340941622270132</v>
      </c>
      <c r="I138" s="69">
        <f>SUM('All Email Performance'!J205:J206)</f>
        <v>1741</v>
      </c>
      <c r="J138" s="70">
        <f t="shared" si="34"/>
        <v>5.1701916623606483E-3</v>
      </c>
      <c r="K138" s="70">
        <f t="shared" si="35"/>
        <v>1.5055474364185093E-2</v>
      </c>
      <c r="L138" s="69">
        <f>SUM('All Email Performance'!M205:M206)</f>
        <v>1057</v>
      </c>
      <c r="M138" s="70">
        <f t="shared" si="36"/>
        <v>3.1389388782970735E-3</v>
      </c>
      <c r="N138" s="67" t="s">
        <v>16</v>
      </c>
    </row>
    <row r="139" spans="1:14" ht="24" customHeight="1" x14ac:dyDescent="0.3">
      <c r="A139" s="76" t="s">
        <v>93</v>
      </c>
      <c r="B139" s="67" t="s">
        <v>16</v>
      </c>
      <c r="C139" s="68">
        <v>44973</v>
      </c>
      <c r="D139" s="69">
        <f>SUM('All Email Performance'!E207:E208)</f>
        <v>4444156</v>
      </c>
      <c r="E139" s="70">
        <f t="shared" si="32"/>
        <v>0.99797576862738391</v>
      </c>
      <c r="F139" s="69">
        <f>SUM('All Email Performance'!G207:G208)</f>
        <v>8996</v>
      </c>
      <c r="G139" s="69">
        <f>SUM('All Email Performance'!H207:H208)</f>
        <v>1659105</v>
      </c>
      <c r="H139" s="70">
        <f t="shared" si="33"/>
        <v>0.37332285365320211</v>
      </c>
      <c r="I139" s="69">
        <f>SUM('All Email Performance'!J207:J208)</f>
        <v>23553</v>
      </c>
      <c r="J139" s="70">
        <f t="shared" si="34"/>
        <v>5.2997689550051798E-3</v>
      </c>
      <c r="K139" s="70">
        <f t="shared" si="35"/>
        <v>1.419620819658792E-2</v>
      </c>
      <c r="L139" s="69">
        <f>SUM('All Email Performance'!M207:M208)</f>
        <v>8608</v>
      </c>
      <c r="M139" s="70">
        <f t="shared" si="36"/>
        <v>1.9369257064783504E-3</v>
      </c>
      <c r="N139" s="67" t="s">
        <v>16</v>
      </c>
    </row>
    <row r="140" spans="1:14" ht="24" customHeight="1" x14ac:dyDescent="0.3">
      <c r="A140" s="76" t="s">
        <v>92</v>
      </c>
      <c r="B140" s="67" t="s">
        <v>16</v>
      </c>
      <c r="C140" s="68">
        <v>44973</v>
      </c>
      <c r="D140" s="69">
        <f>SUM('All Email Performance'!E209:E210)</f>
        <v>4208</v>
      </c>
      <c r="E140" s="70">
        <f t="shared" si="32"/>
        <v>0.99904942965779464</v>
      </c>
      <c r="F140" s="69">
        <f>SUM('All Email Performance'!G209:G210)</f>
        <v>4</v>
      </c>
      <c r="G140" s="69">
        <f>SUM('All Email Performance'!H209:H210)</f>
        <v>1472</v>
      </c>
      <c r="H140" s="70">
        <f t="shared" si="33"/>
        <v>0.34980988593155893</v>
      </c>
      <c r="I140" s="69">
        <f>SUM('All Email Performance'!J209:J210)</f>
        <v>28</v>
      </c>
      <c r="J140" s="70">
        <f t="shared" si="34"/>
        <v>6.653992395437262E-3</v>
      </c>
      <c r="K140" s="70">
        <f t="shared" si="35"/>
        <v>1.9021739130434784E-2</v>
      </c>
      <c r="L140" s="69">
        <f>SUM('All Email Performance'!M209:M210)</f>
        <v>0</v>
      </c>
      <c r="M140" s="70">
        <f t="shared" si="36"/>
        <v>0</v>
      </c>
      <c r="N140" s="67" t="s">
        <v>16</v>
      </c>
    </row>
    <row r="141" spans="1:14" ht="24" customHeight="1" x14ac:dyDescent="0.3">
      <c r="A141" s="76" t="s">
        <v>91</v>
      </c>
      <c r="B141" s="67" t="s">
        <v>16</v>
      </c>
      <c r="C141" s="68">
        <v>44973</v>
      </c>
      <c r="D141" s="69">
        <f>SUM('All Email Performance'!E211:E212)</f>
        <v>68772</v>
      </c>
      <c r="E141" s="70">
        <f t="shared" si="32"/>
        <v>0.99863316466003604</v>
      </c>
      <c r="F141" s="69">
        <f>SUM('All Email Performance'!G211:G212)</f>
        <v>94</v>
      </c>
      <c r="G141" s="69">
        <f>SUM('All Email Performance'!H211:H212)</f>
        <v>25492</v>
      </c>
      <c r="H141" s="70">
        <f t="shared" si="33"/>
        <v>0.37067411155702901</v>
      </c>
      <c r="I141" s="69">
        <f>SUM('All Email Performance'!J211:J212)</f>
        <v>433</v>
      </c>
      <c r="J141" s="70">
        <f t="shared" si="34"/>
        <v>6.2961670447275056E-3</v>
      </c>
      <c r="K141" s="70">
        <f t="shared" si="35"/>
        <v>1.6985721010513103E-2</v>
      </c>
      <c r="L141" s="69">
        <f>SUM('All Email Performance'!M211:M212)</f>
        <v>40</v>
      </c>
      <c r="M141" s="70">
        <f t="shared" si="36"/>
        <v>5.8163205955912294E-4</v>
      </c>
      <c r="N141" s="67" t="s">
        <v>16</v>
      </c>
    </row>
    <row r="142" spans="1:14" ht="24" customHeight="1" x14ac:dyDescent="0.3">
      <c r="A142" s="66" t="s">
        <v>26</v>
      </c>
      <c r="B142" s="67" t="s">
        <v>23</v>
      </c>
      <c r="C142" s="68">
        <v>44973</v>
      </c>
      <c r="D142" s="69">
        <f>'All Email Performance'!E213</f>
        <v>1648</v>
      </c>
      <c r="E142" s="70">
        <f t="shared" si="32"/>
        <v>1</v>
      </c>
      <c r="F142" s="69">
        <f>'All Email Performance'!G213</f>
        <v>0</v>
      </c>
      <c r="G142" s="69">
        <f>'All Email Performance'!H213</f>
        <v>591</v>
      </c>
      <c r="H142" s="70">
        <f t="shared" si="33"/>
        <v>0.35861650485436891</v>
      </c>
      <c r="I142" s="69">
        <f>'All Email Performance'!J213</f>
        <v>17</v>
      </c>
      <c r="J142" s="70">
        <f t="shared" si="34"/>
        <v>1.0315533980582525E-2</v>
      </c>
      <c r="K142" s="70">
        <f t="shared" si="35"/>
        <v>2.8764805414551606E-2</v>
      </c>
      <c r="L142" s="69">
        <f>'All Email Performance'!M213</f>
        <v>0</v>
      </c>
      <c r="M142" s="70">
        <f t="shared" si="36"/>
        <v>0</v>
      </c>
      <c r="N142" s="67" t="s">
        <v>23</v>
      </c>
    </row>
    <row r="143" spans="1:14" ht="24" customHeight="1" x14ac:dyDescent="0.3">
      <c r="A143" s="66" t="s">
        <v>149</v>
      </c>
      <c r="B143" s="67" t="s">
        <v>16</v>
      </c>
      <c r="C143" s="68">
        <v>44973</v>
      </c>
      <c r="D143" s="69">
        <f>'All Email Performance'!E214</f>
        <v>74717</v>
      </c>
      <c r="E143" s="70">
        <f t="shared" si="32"/>
        <v>0.9986214649945796</v>
      </c>
      <c r="F143" s="69">
        <f>'All Email Performance'!G214</f>
        <v>103</v>
      </c>
      <c r="G143" s="69">
        <f>'All Email Performance'!H214</f>
        <v>29930</v>
      </c>
      <c r="H143" s="70">
        <f t="shared" si="33"/>
        <v>0.40057818167217635</v>
      </c>
      <c r="I143" s="69">
        <f>'All Email Performance'!J214</f>
        <v>478</v>
      </c>
      <c r="J143" s="70">
        <f t="shared" si="34"/>
        <v>6.3974731319512293E-3</v>
      </c>
      <c r="K143" s="70">
        <f t="shared" si="35"/>
        <v>1.5970598062145003E-2</v>
      </c>
      <c r="L143" s="69">
        <f>'All Email Performance'!M214</f>
        <v>63</v>
      </c>
      <c r="M143" s="70">
        <f t="shared" si="36"/>
        <v>8.4318160525717037E-4</v>
      </c>
      <c r="N143" s="67" t="s">
        <v>16</v>
      </c>
    </row>
    <row r="144" spans="1:14" ht="24" customHeight="1" x14ac:dyDescent="0.3">
      <c r="A144" s="66" t="s">
        <v>28</v>
      </c>
      <c r="B144" s="67" t="s">
        <v>16</v>
      </c>
      <c r="C144" s="68">
        <v>44974</v>
      </c>
      <c r="D144" s="69">
        <f>SUM('All Email Performance'!E215:E216)</f>
        <v>291394</v>
      </c>
      <c r="E144" s="70">
        <f t="shared" si="32"/>
        <v>0.99910773729040403</v>
      </c>
      <c r="F144" s="69">
        <f>SUM('All Email Performance'!G215:G216)</f>
        <v>260</v>
      </c>
      <c r="G144" s="69">
        <f>SUM('All Email Performance'!H215:H216)</f>
        <v>96507</v>
      </c>
      <c r="H144" s="70">
        <f t="shared" si="33"/>
        <v>0.33119075890375232</v>
      </c>
      <c r="I144" s="69">
        <f>SUM('All Email Performance'!J215:J216)</f>
        <v>1980</v>
      </c>
      <c r="J144" s="70">
        <f t="shared" si="34"/>
        <v>6.7949237115383296E-3</v>
      </c>
      <c r="K144" s="70">
        <f t="shared" si="35"/>
        <v>2.0516646460878484E-2</v>
      </c>
      <c r="L144" s="69">
        <f>SUM('All Email Performance'!M215:M216)</f>
        <v>887</v>
      </c>
      <c r="M144" s="70">
        <f t="shared" si="36"/>
        <v>3.0439885515830801E-3</v>
      </c>
      <c r="N144" s="67" t="s">
        <v>16</v>
      </c>
    </row>
    <row r="145" spans="1:14" ht="24" customHeight="1" x14ac:dyDescent="0.3">
      <c r="A145" s="66" t="s">
        <v>22</v>
      </c>
      <c r="B145" s="67" t="s">
        <v>16</v>
      </c>
      <c r="C145" s="68">
        <v>44974</v>
      </c>
      <c r="D145" s="69">
        <f>SUM('All Email Performance'!E217:E218)</f>
        <v>3891590</v>
      </c>
      <c r="E145" s="70">
        <f t="shared" si="32"/>
        <v>0.99815088434290355</v>
      </c>
      <c r="F145" s="69">
        <f>SUM('All Email Performance'!G217:G218)</f>
        <v>7196</v>
      </c>
      <c r="G145" s="69">
        <f>SUM('All Email Performance'!H217:H218)</f>
        <v>1375145</v>
      </c>
      <c r="H145" s="70">
        <f t="shared" si="33"/>
        <v>0.35336327824873637</v>
      </c>
      <c r="I145" s="69">
        <f>SUM('All Email Performance'!J217:J218)</f>
        <v>24436</v>
      </c>
      <c r="J145" s="70">
        <f t="shared" si="34"/>
        <v>6.2791815170662891E-3</v>
      </c>
      <c r="K145" s="70">
        <f t="shared" si="35"/>
        <v>1.7769762461413159E-2</v>
      </c>
      <c r="L145" s="69">
        <f>SUM('All Email Performance'!M217:M218)</f>
        <v>7536</v>
      </c>
      <c r="M145" s="70">
        <f t="shared" si="36"/>
        <v>1.936483545286117E-3</v>
      </c>
      <c r="N145" s="67" t="s">
        <v>16</v>
      </c>
    </row>
    <row r="146" spans="1:14" ht="24" customHeight="1" x14ac:dyDescent="0.3">
      <c r="A146" s="66" t="s">
        <v>33</v>
      </c>
      <c r="B146" s="67" t="s">
        <v>21</v>
      </c>
      <c r="C146" s="68">
        <v>44974</v>
      </c>
      <c r="D146" s="69">
        <f>'All Email Performance'!E219</f>
        <v>246868</v>
      </c>
      <c r="E146" s="70">
        <f t="shared" si="32"/>
        <v>0.99882528314726904</v>
      </c>
      <c r="F146" s="69">
        <f>'All Email Performance'!G219</f>
        <v>290</v>
      </c>
      <c r="G146" s="69">
        <f>'All Email Performance'!H219</f>
        <v>118975</v>
      </c>
      <c r="H146" s="70">
        <f t="shared" si="33"/>
        <v>0.48193771570231864</v>
      </c>
      <c r="I146" s="69">
        <f>'All Email Performance'!J219</f>
        <v>3351</v>
      </c>
      <c r="J146" s="70">
        <f t="shared" si="34"/>
        <v>1.357405577069527E-2</v>
      </c>
      <c r="K146" s="70">
        <f t="shared" si="35"/>
        <v>2.8165581004412691E-2</v>
      </c>
      <c r="L146" s="69">
        <f>'All Email Performance'!M219</f>
        <v>283</v>
      </c>
      <c r="M146" s="70">
        <f t="shared" si="36"/>
        <v>1.1463616183547483E-3</v>
      </c>
      <c r="N146" s="67" t="s">
        <v>21</v>
      </c>
    </row>
    <row r="147" spans="1:14" ht="24" customHeight="1" x14ac:dyDescent="0.3">
      <c r="A147" s="66" t="s">
        <v>19</v>
      </c>
      <c r="B147" s="67" t="s">
        <v>21</v>
      </c>
      <c r="C147" s="68">
        <v>44974</v>
      </c>
      <c r="D147" s="69">
        <f>'All Email Performance'!E220</f>
        <v>332952</v>
      </c>
      <c r="E147" s="70">
        <f t="shared" si="32"/>
        <v>0.99791261202816017</v>
      </c>
      <c r="F147" s="69">
        <f>'All Email Performance'!G220</f>
        <v>695</v>
      </c>
      <c r="G147" s="69">
        <f>'All Email Performance'!H220</f>
        <v>129902</v>
      </c>
      <c r="H147" s="70">
        <f t="shared" si="33"/>
        <v>0.39015233427040535</v>
      </c>
      <c r="I147" s="69">
        <f>'All Email Performance'!J220</f>
        <v>3972</v>
      </c>
      <c r="J147" s="70">
        <f t="shared" si="34"/>
        <v>1.1929647516759172E-2</v>
      </c>
      <c r="K147" s="70">
        <f t="shared" si="35"/>
        <v>3.0576896429616172E-2</v>
      </c>
      <c r="L147" s="69">
        <f>'All Email Performance'!M220</f>
        <v>392</v>
      </c>
      <c r="M147" s="70">
        <f t="shared" si="36"/>
        <v>1.1773468848362526E-3</v>
      </c>
      <c r="N147" s="67" t="s">
        <v>21</v>
      </c>
    </row>
    <row r="148" spans="1:14" ht="24" customHeight="1" x14ac:dyDescent="0.3">
      <c r="A148" s="66" t="s">
        <v>24</v>
      </c>
      <c r="B148" s="67" t="s">
        <v>21</v>
      </c>
      <c r="C148" s="68">
        <v>44975</v>
      </c>
      <c r="D148" s="69">
        <f>'All Email Performance'!E221</f>
        <v>15271</v>
      </c>
      <c r="E148" s="70">
        <f t="shared" si="32"/>
        <v>0.99947613122912715</v>
      </c>
      <c r="F148" s="69">
        <f>'All Email Performance'!G221</f>
        <v>8</v>
      </c>
      <c r="G148" s="69">
        <f>'All Email Performance'!H221</f>
        <v>5708</v>
      </c>
      <c r="H148" s="70">
        <f t="shared" si="33"/>
        <v>0.37378036801781156</v>
      </c>
      <c r="I148" s="69">
        <f>'All Email Performance'!J221</f>
        <v>289</v>
      </c>
      <c r="J148" s="70">
        <f t="shared" si="34"/>
        <v>1.8924759347783381E-2</v>
      </c>
      <c r="K148" s="70">
        <f t="shared" si="35"/>
        <v>5.0630693763139452E-2</v>
      </c>
      <c r="L148" s="69">
        <f>'All Email Performance'!M221</f>
        <v>27</v>
      </c>
      <c r="M148" s="70">
        <f t="shared" si="36"/>
        <v>1.768057101696025E-3</v>
      </c>
      <c r="N148" s="67" t="s">
        <v>21</v>
      </c>
    </row>
    <row r="149" spans="1:14" ht="24" customHeight="1" x14ac:dyDescent="0.3">
      <c r="A149" s="66" t="s">
        <v>75</v>
      </c>
      <c r="B149" s="67" t="s">
        <v>16</v>
      </c>
      <c r="C149" s="68">
        <v>44975</v>
      </c>
      <c r="D149" s="69">
        <f>'All Email Performance'!E222</f>
        <v>28513</v>
      </c>
      <c r="E149" s="70">
        <f t="shared" si="32"/>
        <v>0.99957913933995024</v>
      </c>
      <c r="F149" s="69">
        <f>'All Email Performance'!G222</f>
        <v>12</v>
      </c>
      <c r="G149" s="69">
        <f>'All Email Performance'!H222</f>
        <v>8882</v>
      </c>
      <c r="H149" s="70">
        <f t="shared" si="33"/>
        <v>0.31150703188019502</v>
      </c>
      <c r="I149" s="69">
        <f>'All Email Performance'!J222</f>
        <v>304</v>
      </c>
      <c r="J149" s="70">
        <f t="shared" si="34"/>
        <v>1.0661803387928314E-2</v>
      </c>
      <c r="K149" s="70">
        <f t="shared" si="35"/>
        <v>3.422652555730691E-2</v>
      </c>
      <c r="L149" s="69">
        <f>'All Email Performance'!M222</f>
        <v>20</v>
      </c>
      <c r="M149" s="70">
        <f t="shared" si="36"/>
        <v>7.0143443341633637E-4</v>
      </c>
      <c r="N149" s="67" t="s">
        <v>16</v>
      </c>
    </row>
    <row r="150" spans="1:14" ht="24" customHeight="1" x14ac:dyDescent="0.3">
      <c r="A150" s="66" t="s">
        <v>78</v>
      </c>
      <c r="B150" s="67" t="s">
        <v>16</v>
      </c>
      <c r="C150" s="68">
        <v>44975</v>
      </c>
      <c r="D150" s="69">
        <f>'All Email Performance'!E223</f>
        <v>403392</v>
      </c>
      <c r="E150" s="70">
        <f t="shared" si="32"/>
        <v>0.99857210851975253</v>
      </c>
      <c r="F150" s="69">
        <f>'All Email Performance'!G223</f>
        <v>576</v>
      </c>
      <c r="G150" s="69">
        <f>'All Email Performance'!H223</f>
        <v>142404</v>
      </c>
      <c r="H150" s="70">
        <f t="shared" si="33"/>
        <v>0.35301642075202283</v>
      </c>
      <c r="I150" s="69">
        <f>'All Email Performance'!J223</f>
        <v>3336</v>
      </c>
      <c r="J150" s="70">
        <f t="shared" si="34"/>
        <v>8.2698714897667773E-3</v>
      </c>
      <c r="K150" s="70">
        <f t="shared" si="35"/>
        <v>2.3426308249768265E-2</v>
      </c>
      <c r="L150" s="69">
        <f>'All Email Performance'!M223</f>
        <v>275</v>
      </c>
      <c r="M150" s="70">
        <f t="shared" si="36"/>
        <v>6.8171902268760907E-4</v>
      </c>
      <c r="N150" s="67" t="s">
        <v>16</v>
      </c>
    </row>
    <row r="151" spans="1:14" ht="24" customHeight="1" x14ac:dyDescent="0.3">
      <c r="A151" s="66" t="s">
        <v>152</v>
      </c>
      <c r="B151" s="67" t="s">
        <v>101</v>
      </c>
      <c r="C151" s="68">
        <v>44977</v>
      </c>
      <c r="D151" s="69">
        <f>SUM('All Email Performance'!E224:E225)</f>
        <v>339876</v>
      </c>
      <c r="E151" s="70">
        <f t="shared" ref="E151:E176" si="37">(D151-F151)/D151</f>
        <v>0.99899080841247989</v>
      </c>
      <c r="F151" s="69">
        <f>SUM('All Email Performance'!G224:G225)</f>
        <v>343</v>
      </c>
      <c r="G151" s="69">
        <f>SUM('All Email Performance'!H224:H225)</f>
        <v>117968</v>
      </c>
      <c r="H151" s="70">
        <f t="shared" ref="H151:H176" si="38">G151/D151</f>
        <v>0.34709129211830198</v>
      </c>
      <c r="I151" s="69">
        <f>SUM('All Email Performance'!J224:J225)</f>
        <v>5766</v>
      </c>
      <c r="J151" s="70">
        <f t="shared" ref="J151:J176" si="39">I151/D151</f>
        <v>1.6965010768633267E-2</v>
      </c>
      <c r="K151" s="70">
        <f t="shared" ref="K151:K176" si="40">I151/G151</f>
        <v>4.8877661738776619E-2</v>
      </c>
      <c r="L151" s="69">
        <f>SUM('All Email Performance'!M224:M225)</f>
        <v>1250</v>
      </c>
      <c r="M151" s="70">
        <f t="shared" ref="M151:M176" si="41">L151/D151</f>
        <v>3.677811907872283E-3</v>
      </c>
      <c r="N151" s="67" t="s">
        <v>101</v>
      </c>
    </row>
    <row r="152" spans="1:14" ht="24" customHeight="1" x14ac:dyDescent="0.3">
      <c r="A152" s="66" t="s">
        <v>153</v>
      </c>
      <c r="B152" s="67" t="s">
        <v>101</v>
      </c>
      <c r="C152" s="68">
        <v>44977</v>
      </c>
      <c r="D152" s="69">
        <f>SUM('All Email Performance'!E226:E227)</f>
        <v>4493352</v>
      </c>
      <c r="E152" s="70">
        <f t="shared" si="37"/>
        <v>0.99823628329140468</v>
      </c>
      <c r="F152" s="69">
        <f>SUM('All Email Performance'!G226:G227)</f>
        <v>7925</v>
      </c>
      <c r="G152" s="69">
        <f>SUM('All Email Performance'!H226:H227)</f>
        <v>1720005</v>
      </c>
      <c r="H152" s="70">
        <f t="shared" si="38"/>
        <v>0.38278884004636182</v>
      </c>
      <c r="I152" s="69">
        <f>SUM('All Email Performance'!J226:J227)</f>
        <v>72271</v>
      </c>
      <c r="J152" s="70">
        <f t="shared" si="39"/>
        <v>1.608398362736772E-2</v>
      </c>
      <c r="K152" s="70">
        <f t="shared" si="40"/>
        <v>4.2017901110752584E-2</v>
      </c>
      <c r="L152" s="69">
        <f>SUM('All Email Performance'!M226:M227)</f>
        <v>11017</v>
      </c>
      <c r="M152" s="70">
        <f t="shared" si="41"/>
        <v>2.4518444137027326E-3</v>
      </c>
      <c r="N152" s="67" t="s">
        <v>101</v>
      </c>
    </row>
    <row r="153" spans="1:14" ht="24" customHeight="1" x14ac:dyDescent="0.3">
      <c r="A153" s="66" t="s">
        <v>154</v>
      </c>
      <c r="B153" s="67" t="s">
        <v>27</v>
      </c>
      <c r="C153" s="68">
        <v>44978</v>
      </c>
      <c r="D153" s="69">
        <f>'All Email Performance'!E228</f>
        <v>26550</v>
      </c>
      <c r="E153" s="70">
        <f t="shared" si="37"/>
        <v>0.99676082862523541</v>
      </c>
      <c r="F153" s="69">
        <f>'All Email Performance'!G228</f>
        <v>86</v>
      </c>
      <c r="G153" s="69">
        <f>'All Email Performance'!H228</f>
        <v>9726</v>
      </c>
      <c r="H153" s="70">
        <f t="shared" si="38"/>
        <v>0.36632768361581919</v>
      </c>
      <c r="I153" s="69">
        <f>'All Email Performance'!J228</f>
        <v>270</v>
      </c>
      <c r="J153" s="70">
        <f t="shared" si="39"/>
        <v>1.0169491525423728E-2</v>
      </c>
      <c r="K153" s="70">
        <f t="shared" si="40"/>
        <v>2.7760641579272053E-2</v>
      </c>
      <c r="L153" s="69">
        <f>'All Email Performance'!M228</f>
        <v>197</v>
      </c>
      <c r="M153" s="70">
        <f t="shared" si="41"/>
        <v>7.4199623352165728E-3</v>
      </c>
      <c r="N153" s="67" t="s">
        <v>27</v>
      </c>
    </row>
    <row r="154" spans="1:14" ht="24" customHeight="1" x14ac:dyDescent="0.3">
      <c r="A154" s="66" t="s">
        <v>155</v>
      </c>
      <c r="B154" s="67" t="s">
        <v>27</v>
      </c>
      <c r="C154" s="68">
        <v>44978</v>
      </c>
      <c r="D154" s="69">
        <f>'All Email Performance'!E229</f>
        <v>10513</v>
      </c>
      <c r="E154" s="70">
        <f t="shared" si="37"/>
        <v>0.99828783411014932</v>
      </c>
      <c r="F154" s="69">
        <f>'All Email Performance'!G229</f>
        <v>18</v>
      </c>
      <c r="G154" s="69">
        <f>'All Email Performance'!H229</f>
        <v>3843</v>
      </c>
      <c r="H154" s="70">
        <f t="shared" si="38"/>
        <v>0.36554741748311614</v>
      </c>
      <c r="I154" s="69">
        <f>'All Email Performance'!J229</f>
        <v>107</v>
      </c>
      <c r="J154" s="70">
        <f t="shared" si="39"/>
        <v>1.017787501189004E-2</v>
      </c>
      <c r="K154" s="70">
        <f t="shared" si="40"/>
        <v>2.7842831121519647E-2</v>
      </c>
      <c r="L154" s="69">
        <f>'All Email Performance'!M229</f>
        <v>63</v>
      </c>
      <c r="M154" s="70">
        <f t="shared" si="41"/>
        <v>5.9925806144773136E-3</v>
      </c>
      <c r="N154" s="67" t="s">
        <v>27</v>
      </c>
    </row>
    <row r="155" spans="1:14" ht="24" customHeight="1" x14ac:dyDescent="0.3">
      <c r="A155" s="66" t="s">
        <v>156</v>
      </c>
      <c r="B155" s="67" t="s">
        <v>27</v>
      </c>
      <c r="C155" s="68">
        <v>44978</v>
      </c>
      <c r="D155" s="69">
        <f>'All Email Performance'!E230</f>
        <v>12322</v>
      </c>
      <c r="E155" s="70">
        <f t="shared" si="37"/>
        <v>0.99902613212140889</v>
      </c>
      <c r="F155" s="69">
        <f>'All Email Performance'!G230</f>
        <v>12</v>
      </c>
      <c r="G155" s="69">
        <f>'All Email Performance'!H230</f>
        <v>4549</v>
      </c>
      <c r="H155" s="70">
        <f t="shared" si="38"/>
        <v>0.3691770816425905</v>
      </c>
      <c r="I155" s="69">
        <f>'All Email Performance'!J230</f>
        <v>115</v>
      </c>
      <c r="J155" s="70">
        <f t="shared" si="39"/>
        <v>9.3329005031650702E-3</v>
      </c>
      <c r="K155" s="70">
        <f t="shared" si="40"/>
        <v>2.5280281380523191E-2</v>
      </c>
      <c r="L155" s="69">
        <f>'All Email Performance'!M230</f>
        <v>62</v>
      </c>
      <c r="M155" s="70">
        <f t="shared" si="41"/>
        <v>5.031650706054212E-3</v>
      </c>
      <c r="N155" s="67" t="s">
        <v>27</v>
      </c>
    </row>
    <row r="156" spans="1:14" ht="24" customHeight="1" x14ac:dyDescent="0.3">
      <c r="A156" s="66" t="s">
        <v>157</v>
      </c>
      <c r="B156" s="67" t="s">
        <v>27</v>
      </c>
      <c r="C156" s="68">
        <v>44978</v>
      </c>
      <c r="D156" s="69">
        <f>'All Email Performance'!E231</f>
        <v>267384</v>
      </c>
      <c r="E156" s="70">
        <f t="shared" si="37"/>
        <v>0.99799539239445889</v>
      </c>
      <c r="F156" s="69">
        <f>'All Email Performance'!G231</f>
        <v>536</v>
      </c>
      <c r="G156" s="69">
        <f>'All Email Performance'!H231</f>
        <v>91201</v>
      </c>
      <c r="H156" s="70">
        <f t="shared" si="38"/>
        <v>0.34108622804655475</v>
      </c>
      <c r="I156" s="69">
        <f>'All Email Performance'!J231</f>
        <v>2145</v>
      </c>
      <c r="J156" s="70">
        <f t="shared" si="39"/>
        <v>8.0221703617269543E-3</v>
      </c>
      <c r="K156" s="70">
        <f t="shared" si="40"/>
        <v>2.3519478953081655E-2</v>
      </c>
      <c r="L156" s="69">
        <f>'All Email Performance'!M231</f>
        <v>1951</v>
      </c>
      <c r="M156" s="70">
        <f t="shared" si="41"/>
        <v>7.2966220865870804E-3</v>
      </c>
      <c r="N156" s="67" t="s">
        <v>27</v>
      </c>
    </row>
    <row r="157" spans="1:14" ht="24" customHeight="1" x14ac:dyDescent="0.3">
      <c r="A157" s="66" t="s">
        <v>158</v>
      </c>
      <c r="B157" s="67" t="s">
        <v>16</v>
      </c>
      <c r="C157" s="68">
        <v>44978</v>
      </c>
      <c r="D157" s="69">
        <f>SUM('All Email Performance'!E232:E233)</f>
        <v>48163</v>
      </c>
      <c r="E157" s="70">
        <f t="shared" si="37"/>
        <v>0.99825592259618379</v>
      </c>
      <c r="F157" s="69">
        <f>SUM('All Email Performance'!G232:G233)</f>
        <v>84</v>
      </c>
      <c r="G157" s="69">
        <f>SUM('All Email Performance'!H232:H233)</f>
        <v>19876</v>
      </c>
      <c r="H157" s="70">
        <f t="shared" si="38"/>
        <v>0.41268193426489214</v>
      </c>
      <c r="I157" s="69">
        <f>SUM('All Email Performance'!J232:J233)</f>
        <v>584</v>
      </c>
      <c r="J157" s="70">
        <f t="shared" si="39"/>
        <v>1.2125490521769823E-2</v>
      </c>
      <c r="K157" s="70">
        <f t="shared" si="40"/>
        <v>2.938216945059368E-2</v>
      </c>
      <c r="L157" s="69">
        <f>SUM('All Email Performance'!M232:M233)</f>
        <v>15</v>
      </c>
      <c r="M157" s="70">
        <f t="shared" si="41"/>
        <v>3.1144239353860848E-4</v>
      </c>
      <c r="N157" s="67" t="s">
        <v>16</v>
      </c>
    </row>
    <row r="158" spans="1:14" ht="24" customHeight="1" x14ac:dyDescent="0.3">
      <c r="A158" s="66" t="s">
        <v>29</v>
      </c>
      <c r="B158" s="67" t="s">
        <v>16</v>
      </c>
      <c r="C158" s="68">
        <v>44978</v>
      </c>
      <c r="D158" s="69">
        <f>SUM('All Email Performance'!E234:E235)</f>
        <v>48041</v>
      </c>
      <c r="E158" s="70">
        <f t="shared" si="37"/>
        <v>0.99914656231135901</v>
      </c>
      <c r="F158" s="69">
        <f>SUM('All Email Performance'!G234:G235)</f>
        <v>41</v>
      </c>
      <c r="G158" s="69">
        <f>SUM('All Email Performance'!H234:H235)</f>
        <v>16728</v>
      </c>
      <c r="H158" s="70">
        <f t="shared" si="38"/>
        <v>0.3482025769655086</v>
      </c>
      <c r="I158" s="69">
        <f>SUM('All Email Performance'!J234:J235)</f>
        <v>362</v>
      </c>
      <c r="J158" s="70">
        <f t="shared" si="39"/>
        <v>7.5352303240981662E-3</v>
      </c>
      <c r="K158" s="70">
        <f t="shared" si="40"/>
        <v>2.1640363462458154E-2</v>
      </c>
      <c r="L158" s="69">
        <f>SUM('All Email Performance'!M234:M235)</f>
        <v>64</v>
      </c>
      <c r="M158" s="70">
        <f t="shared" si="41"/>
        <v>1.3321954164151454E-3</v>
      </c>
      <c r="N158" s="67" t="s">
        <v>16</v>
      </c>
    </row>
    <row r="159" spans="1:14" ht="24" customHeight="1" x14ac:dyDescent="0.3">
      <c r="A159" s="66" t="s">
        <v>17</v>
      </c>
      <c r="B159" s="67" t="s">
        <v>16</v>
      </c>
      <c r="C159" s="68">
        <v>44978</v>
      </c>
      <c r="D159" s="69">
        <f>SUM('All Email Performance'!E236:E237)</f>
        <v>642553</v>
      </c>
      <c r="E159" s="70">
        <f t="shared" si="37"/>
        <v>0.99848105914998453</v>
      </c>
      <c r="F159" s="69">
        <f>SUM('All Email Performance'!G236:G237)</f>
        <v>976</v>
      </c>
      <c r="G159" s="69">
        <f>SUM('All Email Performance'!H236:H237)</f>
        <v>255290</v>
      </c>
      <c r="H159" s="70">
        <f t="shared" si="38"/>
        <v>0.39730574754144793</v>
      </c>
      <c r="I159" s="69">
        <f>SUM('All Email Performance'!J236:J237)</f>
        <v>3551</v>
      </c>
      <c r="J159" s="70">
        <f t="shared" si="39"/>
        <v>5.5263923754149463E-3</v>
      </c>
      <c r="K159" s="70">
        <f t="shared" si="40"/>
        <v>1.3909671354146265E-2</v>
      </c>
      <c r="L159" s="69">
        <f>SUM('All Email Performance'!M236:M237)</f>
        <v>816</v>
      </c>
      <c r="M159" s="70">
        <f t="shared" si="41"/>
        <v>1.2699341532916352E-3</v>
      </c>
      <c r="N159" s="67" t="s">
        <v>16</v>
      </c>
    </row>
    <row r="160" spans="1:14" ht="24" customHeight="1" x14ac:dyDescent="0.3">
      <c r="A160" s="90" t="s">
        <v>159</v>
      </c>
      <c r="B160" s="67" t="s">
        <v>101</v>
      </c>
      <c r="C160" s="68">
        <v>44979</v>
      </c>
      <c r="D160" s="69">
        <f>'All Email Performance'!E238</f>
        <v>118499</v>
      </c>
      <c r="E160" s="70">
        <f t="shared" si="37"/>
        <v>0.99913923324247467</v>
      </c>
      <c r="F160" s="69">
        <f>'All Email Performance'!G238</f>
        <v>102</v>
      </c>
      <c r="G160" s="69">
        <f>'All Email Performance'!H238</f>
        <v>39042</v>
      </c>
      <c r="H160" s="70">
        <f t="shared" si="38"/>
        <v>0.32947113477750867</v>
      </c>
      <c r="I160" s="69">
        <f>'All Email Performance'!J238</f>
        <v>671</v>
      </c>
      <c r="J160" s="70">
        <f t="shared" si="39"/>
        <v>5.6624950421522548E-3</v>
      </c>
      <c r="K160" s="70">
        <f t="shared" si="40"/>
        <v>1.7186619537933507E-2</v>
      </c>
      <c r="L160" s="69">
        <f>'All Email Performance'!M238</f>
        <v>74</v>
      </c>
      <c r="M160" s="70">
        <f t="shared" si="41"/>
        <v>6.2447784369488351E-4</v>
      </c>
      <c r="N160" s="67" t="s">
        <v>101</v>
      </c>
    </row>
    <row r="161" spans="1:14" ht="24" customHeight="1" x14ac:dyDescent="0.3">
      <c r="A161" s="90" t="s">
        <v>160</v>
      </c>
      <c r="B161" s="67" t="s">
        <v>101</v>
      </c>
      <c r="C161" s="68">
        <v>44979</v>
      </c>
      <c r="D161" s="69">
        <f>'All Email Performance'!E239</f>
        <v>2133818</v>
      </c>
      <c r="E161" s="70">
        <f t="shared" si="37"/>
        <v>0.99802607345143779</v>
      </c>
      <c r="F161" s="69">
        <f>'All Email Performance'!G239</f>
        <v>4212</v>
      </c>
      <c r="G161" s="69">
        <f>'All Email Performance'!H239</f>
        <v>990779</v>
      </c>
      <c r="H161" s="70">
        <f t="shared" si="38"/>
        <v>0.46432216805744447</v>
      </c>
      <c r="I161" s="69">
        <f>'All Email Performance'!J239</f>
        <v>15658</v>
      </c>
      <c r="J161" s="70">
        <f t="shared" si="39"/>
        <v>7.3380203934918535E-3</v>
      </c>
      <c r="K161" s="70">
        <f t="shared" si="40"/>
        <v>1.5803726158911322E-2</v>
      </c>
      <c r="L161" s="69">
        <f>'All Email Performance'!M239</f>
        <v>1900</v>
      </c>
      <c r="M161" s="70">
        <f t="shared" si="41"/>
        <v>8.9042270709123266E-4</v>
      </c>
      <c r="N161" s="67" t="s">
        <v>101</v>
      </c>
    </row>
    <row r="162" spans="1:14" ht="24" customHeight="1" x14ac:dyDescent="0.3">
      <c r="A162" s="90" t="s">
        <v>161</v>
      </c>
      <c r="B162" s="67" t="s">
        <v>16</v>
      </c>
      <c r="C162" s="68">
        <v>44980</v>
      </c>
      <c r="D162" s="69">
        <f>SUM('All Email Performance'!E240:E241)</f>
        <v>80676</v>
      </c>
      <c r="E162" s="70">
        <f t="shared" si="37"/>
        <v>0.99836382567306259</v>
      </c>
      <c r="F162" s="69">
        <f>SUM('All Email Performance'!G240:G241)</f>
        <v>132</v>
      </c>
      <c r="G162" s="69">
        <f>SUM('All Email Performance'!H240:H241)</f>
        <v>34108</v>
      </c>
      <c r="H162" s="70">
        <f t="shared" si="38"/>
        <v>0.42277752987257672</v>
      </c>
      <c r="I162" s="69">
        <f>SUM('All Email Performance'!J240:J241)</f>
        <v>374</v>
      </c>
      <c r="J162" s="70">
        <f t="shared" si="39"/>
        <v>4.6358272596559074E-3</v>
      </c>
      <c r="K162" s="70">
        <f t="shared" si="40"/>
        <v>1.0965169461709863E-2</v>
      </c>
      <c r="L162" s="69">
        <f>SUM('All Email Performance'!M240:M241)</f>
        <v>81</v>
      </c>
      <c r="M162" s="70">
        <f t="shared" si="41"/>
        <v>1.004016064257028E-3</v>
      </c>
      <c r="N162" s="67" t="s">
        <v>16</v>
      </c>
    </row>
    <row r="163" spans="1:14" ht="24" customHeight="1" x14ac:dyDescent="0.3">
      <c r="A163" s="90" t="s">
        <v>162</v>
      </c>
      <c r="B163" s="67" t="s">
        <v>101</v>
      </c>
      <c r="C163" s="68">
        <v>44980</v>
      </c>
      <c r="D163" s="69">
        <f>'All Email Performance'!E242</f>
        <v>5267</v>
      </c>
      <c r="E163" s="70">
        <f t="shared" si="37"/>
        <v>0.99924055439529147</v>
      </c>
      <c r="F163" s="69">
        <f>'All Email Performance'!G242</f>
        <v>4</v>
      </c>
      <c r="G163" s="69">
        <f>'All Email Performance'!H242</f>
        <v>1700</v>
      </c>
      <c r="H163" s="70">
        <f t="shared" si="38"/>
        <v>0.32276438200113916</v>
      </c>
      <c r="I163" s="69">
        <f>'All Email Performance'!J242</f>
        <v>47</v>
      </c>
      <c r="J163" s="70">
        <f t="shared" si="39"/>
        <v>8.9234858553256125E-3</v>
      </c>
      <c r="K163" s="70">
        <f t="shared" si="40"/>
        <v>2.7647058823529413E-2</v>
      </c>
      <c r="L163" s="69">
        <f>'All Email Performance'!M242</f>
        <v>28</v>
      </c>
      <c r="M163" s="70">
        <f t="shared" si="41"/>
        <v>5.3161192329599389E-3</v>
      </c>
      <c r="N163" s="67" t="s">
        <v>101</v>
      </c>
    </row>
    <row r="164" spans="1:14" ht="24" customHeight="1" x14ac:dyDescent="0.3">
      <c r="A164" s="90" t="s">
        <v>163</v>
      </c>
      <c r="B164" s="67" t="s">
        <v>101</v>
      </c>
      <c r="C164" s="68">
        <v>44980</v>
      </c>
      <c r="D164" s="69">
        <f>'All Email Performance'!E243</f>
        <v>47914</v>
      </c>
      <c r="E164" s="70">
        <f t="shared" si="37"/>
        <v>0.99797553950828566</v>
      </c>
      <c r="F164" s="69">
        <f>'All Email Performance'!G243</f>
        <v>97</v>
      </c>
      <c r="G164" s="69">
        <f>'All Email Performance'!H243</f>
        <v>16925</v>
      </c>
      <c r="H164" s="70">
        <f t="shared" si="38"/>
        <v>0.35323704971407105</v>
      </c>
      <c r="I164" s="69">
        <f>'All Email Performance'!J243</f>
        <v>229</v>
      </c>
      <c r="J164" s="70">
        <f t="shared" si="39"/>
        <v>4.7793964185832948E-3</v>
      </c>
      <c r="K164" s="70">
        <f t="shared" si="40"/>
        <v>1.3530280649926145E-2</v>
      </c>
      <c r="L164" s="69">
        <f>'All Email Performance'!M243</f>
        <v>154</v>
      </c>
      <c r="M164" s="70">
        <f t="shared" si="41"/>
        <v>3.214091914680469E-3</v>
      </c>
      <c r="N164" s="67" t="s">
        <v>101</v>
      </c>
    </row>
    <row r="165" spans="1:14" ht="24" customHeight="1" x14ac:dyDescent="0.3">
      <c r="A165" s="90" t="s">
        <v>164</v>
      </c>
      <c r="B165" s="67" t="s">
        <v>101</v>
      </c>
      <c r="C165" s="68">
        <v>44980</v>
      </c>
      <c r="D165" s="69">
        <f>'All Email Performance'!E244</f>
        <v>5284</v>
      </c>
      <c r="E165" s="70">
        <f t="shared" si="37"/>
        <v>0.99905374716124151</v>
      </c>
      <c r="F165" s="69">
        <f>'All Email Performance'!G244</f>
        <v>5</v>
      </c>
      <c r="G165" s="69">
        <f>'All Email Performance'!H244</f>
        <v>1635</v>
      </c>
      <c r="H165" s="70">
        <f t="shared" si="38"/>
        <v>0.3094246782740348</v>
      </c>
      <c r="I165" s="69">
        <f>'All Email Performance'!J244</f>
        <v>32</v>
      </c>
      <c r="J165" s="70">
        <f t="shared" si="39"/>
        <v>6.0560181680545042E-3</v>
      </c>
      <c r="K165" s="70">
        <f t="shared" si="40"/>
        <v>1.9571865443425075E-2</v>
      </c>
      <c r="L165" s="69">
        <f>'All Email Performance'!M244</f>
        <v>21</v>
      </c>
      <c r="M165" s="70">
        <f t="shared" si="41"/>
        <v>3.9742619227857686E-3</v>
      </c>
      <c r="N165" s="67" t="s">
        <v>101</v>
      </c>
    </row>
    <row r="166" spans="1:14" ht="24" customHeight="1" x14ac:dyDescent="0.3">
      <c r="A166" s="90" t="s">
        <v>165</v>
      </c>
      <c r="B166" s="67" t="s">
        <v>101</v>
      </c>
      <c r="C166" s="68">
        <v>44980</v>
      </c>
      <c r="D166" s="69">
        <f>'All Email Performance'!E245</f>
        <v>47880</v>
      </c>
      <c r="E166" s="70">
        <f t="shared" si="37"/>
        <v>0.99845446950710104</v>
      </c>
      <c r="F166" s="69">
        <f>'All Email Performance'!G245</f>
        <v>74</v>
      </c>
      <c r="G166" s="69">
        <f>'All Email Performance'!H245</f>
        <v>17071</v>
      </c>
      <c r="H166" s="70">
        <f t="shared" si="38"/>
        <v>0.35653717627401837</v>
      </c>
      <c r="I166" s="69">
        <f>'All Email Performance'!J245</f>
        <v>320</v>
      </c>
      <c r="J166" s="70">
        <f t="shared" si="39"/>
        <v>6.6833751044277356E-3</v>
      </c>
      <c r="K166" s="70">
        <f t="shared" si="40"/>
        <v>1.8745240466287855E-2</v>
      </c>
      <c r="L166" s="69">
        <f>'All Email Performance'!M245</f>
        <v>131</v>
      </c>
      <c r="M166" s="70">
        <f t="shared" si="41"/>
        <v>2.7360066833751044E-3</v>
      </c>
      <c r="N166" s="67" t="s">
        <v>101</v>
      </c>
    </row>
    <row r="167" spans="1:14" ht="24" customHeight="1" x14ac:dyDescent="0.3">
      <c r="A167" s="66" t="s">
        <v>26</v>
      </c>
      <c r="B167" s="67" t="s">
        <v>23</v>
      </c>
      <c r="C167" s="68">
        <v>44980</v>
      </c>
      <c r="D167" s="69">
        <f>'All Email Performance'!E246</f>
        <v>1642</v>
      </c>
      <c r="E167" s="70">
        <f t="shared" si="37"/>
        <v>1</v>
      </c>
      <c r="F167" s="69">
        <f>'All Email Performance'!G246</f>
        <v>0</v>
      </c>
      <c r="G167" s="69">
        <f>'All Email Performance'!H246</f>
        <v>624</v>
      </c>
      <c r="H167" s="70">
        <f t="shared" si="38"/>
        <v>0.3800243605359318</v>
      </c>
      <c r="I167" s="69">
        <f>'All Email Performance'!J246</f>
        <v>16</v>
      </c>
      <c r="J167" s="70">
        <f t="shared" si="39"/>
        <v>9.7442143727161992E-3</v>
      </c>
      <c r="K167" s="70">
        <f t="shared" si="40"/>
        <v>2.564102564102564E-2</v>
      </c>
      <c r="L167" s="69">
        <f>'All Email Performance'!M246</f>
        <v>1</v>
      </c>
      <c r="M167" s="70">
        <f t="shared" si="41"/>
        <v>6.0901339829476245E-4</v>
      </c>
      <c r="N167" s="67" t="s">
        <v>23</v>
      </c>
    </row>
    <row r="168" spans="1:14" ht="24" customHeight="1" x14ac:dyDescent="0.3">
      <c r="A168" s="66" t="s">
        <v>166</v>
      </c>
      <c r="B168" s="67" t="s">
        <v>16</v>
      </c>
      <c r="C168" s="68">
        <v>44981</v>
      </c>
      <c r="D168" s="69">
        <f>'All Email Performance'!E247</f>
        <v>6241</v>
      </c>
      <c r="E168" s="70">
        <f t="shared" si="37"/>
        <v>0.9991988463387278</v>
      </c>
      <c r="F168" s="69">
        <f>'All Email Performance'!G247</f>
        <v>5</v>
      </c>
      <c r="G168" s="69">
        <f>'All Email Performance'!H247</f>
        <v>2024</v>
      </c>
      <c r="H168" s="70">
        <f t="shared" si="38"/>
        <v>0.32430700208299951</v>
      </c>
      <c r="I168" s="69">
        <f>'All Email Performance'!J247</f>
        <v>45</v>
      </c>
      <c r="J168" s="70">
        <f t="shared" si="39"/>
        <v>7.2103829514500884E-3</v>
      </c>
      <c r="K168" s="70">
        <f t="shared" si="40"/>
        <v>2.2233201581027668E-2</v>
      </c>
      <c r="L168" s="69">
        <f>'All Email Performance'!M247</f>
        <v>19</v>
      </c>
      <c r="M168" s="70">
        <f t="shared" si="41"/>
        <v>3.0443839128344815E-3</v>
      </c>
      <c r="N168" s="67" t="s">
        <v>16</v>
      </c>
    </row>
    <row r="169" spans="1:14" ht="24" customHeight="1" x14ac:dyDescent="0.3">
      <c r="A169" s="66" t="s">
        <v>166</v>
      </c>
      <c r="B169" s="67" t="s">
        <v>16</v>
      </c>
      <c r="C169" s="68">
        <v>44981</v>
      </c>
      <c r="D169" s="69">
        <f>'All Email Performance'!E248</f>
        <v>18918</v>
      </c>
      <c r="E169" s="70">
        <f t="shared" si="37"/>
        <v>0.99936568347605459</v>
      </c>
      <c r="F169" s="69">
        <f>'All Email Performance'!G248</f>
        <v>12</v>
      </c>
      <c r="G169" s="69">
        <f>'All Email Performance'!H248</f>
        <v>5883</v>
      </c>
      <c r="H169" s="70">
        <f t="shared" si="38"/>
        <v>0.31097367586425628</v>
      </c>
      <c r="I169" s="69">
        <f>'All Email Performance'!J248</f>
        <v>96</v>
      </c>
      <c r="J169" s="70">
        <f t="shared" si="39"/>
        <v>5.0745321915635902E-3</v>
      </c>
      <c r="K169" s="70">
        <f t="shared" si="40"/>
        <v>1.6318204997450281E-2</v>
      </c>
      <c r="L169" s="69">
        <f>'All Email Performance'!M248</f>
        <v>8</v>
      </c>
      <c r="M169" s="70">
        <f t="shared" si="41"/>
        <v>4.2287768263029918E-4</v>
      </c>
      <c r="N169" s="67" t="s">
        <v>16</v>
      </c>
    </row>
    <row r="170" spans="1:14" ht="24" customHeight="1" x14ac:dyDescent="0.3">
      <c r="A170" s="91" t="s">
        <v>33</v>
      </c>
      <c r="B170" s="92" t="s">
        <v>21</v>
      </c>
      <c r="C170" s="68">
        <v>44981</v>
      </c>
      <c r="D170" s="69">
        <f>'All Email Performance'!E249</f>
        <v>246917</v>
      </c>
      <c r="E170" s="70">
        <f t="shared" si="37"/>
        <v>0.99919001121834461</v>
      </c>
      <c r="F170" s="69">
        <f>'All Email Performance'!G249</f>
        <v>200</v>
      </c>
      <c r="G170" s="69">
        <f>'All Email Performance'!H249</f>
        <v>92327</v>
      </c>
      <c r="H170" s="70">
        <f t="shared" si="38"/>
        <v>0.3739191712194786</v>
      </c>
      <c r="I170" s="69">
        <f>'All Email Performance'!J249</f>
        <v>2269</v>
      </c>
      <c r="J170" s="70">
        <f t="shared" si="39"/>
        <v>9.1893227278802194E-3</v>
      </c>
      <c r="K170" s="70">
        <f t="shared" si="40"/>
        <v>2.4575692917564743E-2</v>
      </c>
      <c r="L170" s="69">
        <f>'All Email Performance'!M249</f>
        <v>290</v>
      </c>
      <c r="M170" s="70">
        <f t="shared" si="41"/>
        <v>1.1744837334002924E-3</v>
      </c>
      <c r="N170" s="92" t="s">
        <v>21</v>
      </c>
    </row>
    <row r="171" spans="1:14" ht="24" customHeight="1" x14ac:dyDescent="0.3">
      <c r="A171" s="93" t="s">
        <v>19</v>
      </c>
      <c r="B171" s="94" t="s">
        <v>21</v>
      </c>
      <c r="C171" s="68">
        <v>44981</v>
      </c>
      <c r="D171" s="69">
        <f>'All Email Performance'!E250</f>
        <v>333167</v>
      </c>
      <c r="E171" s="70">
        <f t="shared" si="37"/>
        <v>0.99855327808576477</v>
      </c>
      <c r="F171" s="69">
        <f>'All Email Performance'!G250</f>
        <v>482</v>
      </c>
      <c r="G171" s="69">
        <f>'All Email Performance'!H250</f>
        <v>100082</v>
      </c>
      <c r="H171" s="70">
        <f t="shared" si="38"/>
        <v>0.30039589755287888</v>
      </c>
      <c r="I171" s="69">
        <f>'All Email Performance'!J250</f>
        <v>2565</v>
      </c>
      <c r="J171" s="70">
        <f t="shared" si="39"/>
        <v>7.6988417220192878E-3</v>
      </c>
      <c r="K171" s="70">
        <f t="shared" si="40"/>
        <v>2.5628984232928999E-2</v>
      </c>
      <c r="L171" s="69">
        <f>'All Email Performance'!M250</f>
        <v>301</v>
      </c>
      <c r="M171" s="70">
        <f t="shared" si="41"/>
        <v>9.0345082196015812E-4</v>
      </c>
      <c r="N171" s="94" t="s">
        <v>21</v>
      </c>
    </row>
    <row r="172" spans="1:14" ht="24" customHeight="1" x14ac:dyDescent="0.3">
      <c r="A172" s="66" t="s">
        <v>28</v>
      </c>
      <c r="B172" s="67" t="s">
        <v>16</v>
      </c>
      <c r="C172" s="68">
        <v>44981</v>
      </c>
      <c r="D172" s="69">
        <f>SUM('All Email Performance'!E251:E252)</f>
        <v>290332</v>
      </c>
      <c r="E172" s="70">
        <f t="shared" si="37"/>
        <v>0.9990631415069644</v>
      </c>
      <c r="F172" s="69">
        <f>SUM('All Email Performance'!G251:G252)</f>
        <v>272</v>
      </c>
      <c r="G172" s="69">
        <f>SUM('All Email Performance'!H251:H252)</f>
        <v>88818</v>
      </c>
      <c r="H172" s="70">
        <f t="shared" si="38"/>
        <v>0.30591874130305996</v>
      </c>
      <c r="I172" s="69">
        <f>SUM('All Email Performance'!J251:J252)</f>
        <v>1853</v>
      </c>
      <c r="J172" s="70">
        <f t="shared" si="39"/>
        <v>6.3823484838047475E-3</v>
      </c>
      <c r="K172" s="70">
        <f t="shared" si="40"/>
        <v>2.0862888153302259E-2</v>
      </c>
      <c r="L172" s="69">
        <f>SUM('All Email Performance'!M251:M252)</f>
        <v>806</v>
      </c>
      <c r="M172" s="70">
        <f t="shared" si="41"/>
        <v>2.7761321521568411E-3</v>
      </c>
      <c r="N172" s="67" t="s">
        <v>16</v>
      </c>
    </row>
    <row r="173" spans="1:14" ht="24" customHeight="1" x14ac:dyDescent="0.3">
      <c r="A173" s="66" t="s">
        <v>22</v>
      </c>
      <c r="B173" s="67" t="s">
        <v>16</v>
      </c>
      <c r="C173" s="68">
        <v>44981</v>
      </c>
      <c r="D173" s="69">
        <f>SUM('All Email Performance'!E253:E254)</f>
        <v>3912619</v>
      </c>
      <c r="E173" s="70">
        <f t="shared" si="37"/>
        <v>0.9980210186578351</v>
      </c>
      <c r="F173" s="69">
        <f>SUM('All Email Performance'!G253:G254)</f>
        <v>7743</v>
      </c>
      <c r="G173" s="69">
        <f>SUM('All Email Performance'!H253:H254)</f>
        <v>1382367</v>
      </c>
      <c r="H173" s="70">
        <f t="shared" si="38"/>
        <v>0.35330989293871956</v>
      </c>
      <c r="I173" s="69">
        <f>SUM('All Email Performance'!J253:J254)</f>
        <v>23182</v>
      </c>
      <c r="J173" s="70">
        <f t="shared" si="39"/>
        <v>5.924931612303677E-3</v>
      </c>
      <c r="K173" s="70">
        <f t="shared" si="40"/>
        <v>1.6769786894507754E-2</v>
      </c>
      <c r="L173" s="69">
        <f>SUM('All Email Performance'!M253:M254)</f>
        <v>8128</v>
      </c>
      <c r="M173" s="70">
        <f t="shared" si="41"/>
        <v>2.0773809052197518E-3</v>
      </c>
      <c r="N173" s="67" t="s">
        <v>16</v>
      </c>
    </row>
    <row r="174" spans="1:14" ht="24" customHeight="1" x14ac:dyDescent="0.3">
      <c r="A174" s="66" t="s">
        <v>167</v>
      </c>
      <c r="B174" s="67" t="s">
        <v>16</v>
      </c>
      <c r="C174" s="68">
        <v>44981</v>
      </c>
      <c r="D174" s="69">
        <f>SUM('All Email Performance'!E255:E256)</f>
        <v>339495</v>
      </c>
      <c r="E174" s="70">
        <f t="shared" si="37"/>
        <v>0.99907804238648579</v>
      </c>
      <c r="F174" s="69">
        <f>SUM('All Email Performance'!G255:G256)</f>
        <v>313</v>
      </c>
      <c r="G174" s="69">
        <f>SUM('All Email Performance'!H255:H256)</f>
        <v>105465</v>
      </c>
      <c r="H174" s="70">
        <f t="shared" si="38"/>
        <v>0.31065258693058806</v>
      </c>
      <c r="I174" s="69">
        <f>SUM('All Email Performance'!J255:J256)</f>
        <v>1269</v>
      </c>
      <c r="J174" s="70">
        <f t="shared" si="39"/>
        <v>3.7379048292316528E-3</v>
      </c>
      <c r="K174" s="70">
        <f t="shared" si="40"/>
        <v>1.203242781965581E-2</v>
      </c>
      <c r="L174" s="69">
        <f>SUM('All Email Performance'!M255:M256)</f>
        <v>794</v>
      </c>
      <c r="M174" s="70">
        <f t="shared" si="41"/>
        <v>2.3387678758155497E-3</v>
      </c>
      <c r="N174" s="67" t="s">
        <v>16</v>
      </c>
    </row>
    <row r="175" spans="1:14" ht="24" customHeight="1" x14ac:dyDescent="0.3">
      <c r="A175" s="66" t="s">
        <v>168</v>
      </c>
      <c r="B175" s="67" t="s">
        <v>16</v>
      </c>
      <c r="C175" s="68">
        <v>44981</v>
      </c>
      <c r="D175" s="69">
        <f>SUM('All Email Performance'!E257:E258)</f>
        <v>4534022</v>
      </c>
      <c r="E175" s="70">
        <f t="shared" si="37"/>
        <v>0.99819630341449606</v>
      </c>
      <c r="F175" s="69">
        <f>SUM('All Email Performance'!G257:G258)</f>
        <v>8178</v>
      </c>
      <c r="G175" s="69">
        <f>SUM('All Email Performance'!H257:H258)</f>
        <v>1794699</v>
      </c>
      <c r="H175" s="70">
        <f t="shared" si="38"/>
        <v>0.39582935415840503</v>
      </c>
      <c r="I175" s="69">
        <f>SUM('All Email Performance'!J257:J258)</f>
        <v>17127</v>
      </c>
      <c r="J175" s="70">
        <f t="shared" si="39"/>
        <v>3.7774408681739966E-3</v>
      </c>
      <c r="K175" s="70">
        <f t="shared" si="40"/>
        <v>9.5431044425834076E-3</v>
      </c>
      <c r="L175" s="69">
        <f>SUM('All Email Performance'!M257:M258)</f>
        <v>9878</v>
      </c>
      <c r="M175" s="70">
        <f t="shared" si="41"/>
        <v>2.1786396272448611E-3</v>
      </c>
      <c r="N175" s="67" t="s">
        <v>16</v>
      </c>
    </row>
    <row r="176" spans="1:14" ht="24" customHeight="1" x14ac:dyDescent="0.3">
      <c r="A176" s="66" t="s">
        <v>197</v>
      </c>
      <c r="B176" s="67" t="s">
        <v>30</v>
      </c>
      <c r="C176" s="68">
        <v>44982</v>
      </c>
      <c r="D176" s="69">
        <f>'All Email Performance'!E259</f>
        <v>7896</v>
      </c>
      <c r="E176" s="70">
        <f t="shared" si="37"/>
        <v>0.99911347517730498</v>
      </c>
      <c r="F176" s="69">
        <f>'All Email Performance'!G259</f>
        <v>7</v>
      </c>
      <c r="G176" s="69">
        <f>'All Email Performance'!H259</f>
        <v>3940</v>
      </c>
      <c r="H176" s="70">
        <f t="shared" si="38"/>
        <v>0.49898682877406281</v>
      </c>
      <c r="I176" s="69">
        <f>'All Email Performance'!J259</f>
        <v>634</v>
      </c>
      <c r="J176" s="70">
        <f t="shared" si="39"/>
        <v>8.0293819655521778E-2</v>
      </c>
      <c r="K176" s="70">
        <f t="shared" si="40"/>
        <v>0.16091370558375634</v>
      </c>
      <c r="L176" s="69">
        <f>'All Email Performance'!M259</f>
        <v>6</v>
      </c>
      <c r="M176" s="70">
        <f t="shared" si="41"/>
        <v>7.5987841945288754E-4</v>
      </c>
      <c r="N176" s="67" t="s">
        <v>31</v>
      </c>
    </row>
    <row r="177" spans="1:14" ht="24" customHeight="1" x14ac:dyDescent="0.3">
      <c r="A177" s="66" t="s">
        <v>171</v>
      </c>
      <c r="B177" s="67" t="s">
        <v>98</v>
      </c>
      <c r="C177" s="68">
        <v>44984</v>
      </c>
      <c r="D177" s="69">
        <f>'All Email Performance'!E260</f>
        <v>517</v>
      </c>
      <c r="E177" s="70">
        <f t="shared" ref="E177:E202" si="42">(D177-F177)/D177</f>
        <v>0.96905222437137328</v>
      </c>
      <c r="F177" s="69">
        <f>'All Email Performance'!G260</f>
        <v>16</v>
      </c>
      <c r="G177" s="69">
        <f>'All Email Performance'!H260</f>
        <v>114</v>
      </c>
      <c r="H177" s="70">
        <f t="shared" ref="H177:H202" si="43">G177/D177</f>
        <v>0.22050290135396519</v>
      </c>
      <c r="I177" s="69">
        <f>'All Email Performance'!J260</f>
        <v>6</v>
      </c>
      <c r="J177" s="70">
        <f t="shared" ref="J177:J202" si="44">I177/D177</f>
        <v>1.160541586073501E-2</v>
      </c>
      <c r="K177" s="70">
        <f t="shared" ref="K177:K202" si="45">I177/G177</f>
        <v>5.2631578947368418E-2</v>
      </c>
      <c r="L177" s="69">
        <f>'All Email Performance'!M260</f>
        <v>2</v>
      </c>
      <c r="M177" s="70">
        <f t="shared" ref="M177:M202" si="46">L177/D177</f>
        <v>3.8684719535783366E-3</v>
      </c>
      <c r="N177" s="69" t="s">
        <v>98</v>
      </c>
    </row>
    <row r="178" spans="1:14" ht="24" customHeight="1" x14ac:dyDescent="0.3">
      <c r="A178" s="66" t="s">
        <v>172</v>
      </c>
      <c r="B178" s="67" t="s">
        <v>98</v>
      </c>
      <c r="C178" s="68">
        <v>44984</v>
      </c>
      <c r="D178" s="69">
        <f>'All Email Performance'!E261</f>
        <v>3920</v>
      </c>
      <c r="E178" s="70">
        <f t="shared" si="42"/>
        <v>0.95765306122448979</v>
      </c>
      <c r="F178" s="69">
        <f>'All Email Performance'!G261</f>
        <v>166</v>
      </c>
      <c r="G178" s="69">
        <f>'All Email Performance'!H261</f>
        <v>1360</v>
      </c>
      <c r="H178" s="70">
        <f t="shared" si="43"/>
        <v>0.34693877551020408</v>
      </c>
      <c r="I178" s="69">
        <f>'All Email Performance'!J261</f>
        <v>112</v>
      </c>
      <c r="J178" s="70">
        <f t="shared" si="44"/>
        <v>2.8571428571428571E-2</v>
      </c>
      <c r="K178" s="70">
        <f t="shared" si="45"/>
        <v>8.2352941176470587E-2</v>
      </c>
      <c r="L178" s="69">
        <f>'All Email Performance'!M261</f>
        <v>29</v>
      </c>
      <c r="M178" s="70">
        <f t="shared" si="46"/>
        <v>7.3979591836734696E-3</v>
      </c>
      <c r="N178" s="69" t="s">
        <v>98</v>
      </c>
    </row>
    <row r="179" spans="1:14" ht="24" customHeight="1" x14ac:dyDescent="0.3">
      <c r="A179" s="66" t="s">
        <v>29</v>
      </c>
      <c r="B179" s="67" t="s">
        <v>16</v>
      </c>
      <c r="C179" s="68">
        <v>44985</v>
      </c>
      <c r="D179" s="69">
        <f>SUM('All Email Performance'!E262:E263)</f>
        <v>48122</v>
      </c>
      <c r="E179" s="70">
        <f t="shared" si="42"/>
        <v>0.99933502348198333</v>
      </c>
      <c r="F179" s="69">
        <f>SUM('All Email Performance'!G262:G263)</f>
        <v>32</v>
      </c>
      <c r="G179" s="69">
        <f>SUM('All Email Performance'!H262:H263)</f>
        <v>17590</v>
      </c>
      <c r="H179" s="70">
        <f t="shared" si="43"/>
        <v>0.36552927974730892</v>
      </c>
      <c r="I179" s="69">
        <f>SUM('All Email Performance'!J262:J263)</f>
        <v>454</v>
      </c>
      <c r="J179" s="70">
        <f t="shared" si="44"/>
        <v>9.4343543493620383E-3</v>
      </c>
      <c r="K179" s="70">
        <f t="shared" si="45"/>
        <v>2.5810119386014782E-2</v>
      </c>
      <c r="L179" s="69">
        <f>SUM('All Email Performance'!M262:M263)</f>
        <v>56</v>
      </c>
      <c r="M179" s="70">
        <f t="shared" si="46"/>
        <v>1.1637089065292382E-3</v>
      </c>
      <c r="N179" s="69" t="s">
        <v>16</v>
      </c>
    </row>
    <row r="180" spans="1:14" ht="24" customHeight="1" x14ac:dyDescent="0.3">
      <c r="A180" s="66" t="s">
        <v>17</v>
      </c>
      <c r="B180" s="67" t="s">
        <v>16</v>
      </c>
      <c r="C180" s="68">
        <v>44985</v>
      </c>
      <c r="D180" s="69">
        <f>SUM('All Email Performance'!E264:E265)</f>
        <v>645081</v>
      </c>
      <c r="E180" s="70">
        <f t="shared" si="42"/>
        <v>0.99853661788209547</v>
      </c>
      <c r="F180" s="69">
        <f>SUM('All Email Performance'!G264:G265)</f>
        <v>944</v>
      </c>
      <c r="G180" s="69">
        <f>SUM('All Email Performance'!H264:H265)</f>
        <v>252360</v>
      </c>
      <c r="H180" s="70">
        <f t="shared" si="43"/>
        <v>0.39120668567203187</v>
      </c>
      <c r="I180" s="69">
        <f>SUM('All Email Performance'!J264:J265)</f>
        <v>5227</v>
      </c>
      <c r="J180" s="70">
        <f t="shared" si="44"/>
        <v>8.1028584007279709E-3</v>
      </c>
      <c r="K180" s="70">
        <f t="shared" si="45"/>
        <v>2.0712474243144714E-2</v>
      </c>
      <c r="L180" s="69">
        <f>SUM('All Email Performance'!M264:M265)</f>
        <v>536</v>
      </c>
      <c r="M180" s="70">
        <f t="shared" si="46"/>
        <v>8.309034059288678E-4</v>
      </c>
      <c r="N180" s="69" t="s">
        <v>16</v>
      </c>
    </row>
    <row r="181" spans="1:14" ht="24" customHeight="1" x14ac:dyDescent="0.3">
      <c r="A181" s="66" t="s">
        <v>198</v>
      </c>
      <c r="B181" s="67" t="s">
        <v>16</v>
      </c>
      <c r="C181" s="68">
        <v>44986</v>
      </c>
      <c r="D181" s="69">
        <f>SUM('All Email Performance'!E266:E267)</f>
        <v>135316</v>
      </c>
      <c r="E181" s="70">
        <f t="shared" si="42"/>
        <v>0.99912796712879481</v>
      </c>
      <c r="F181" s="69">
        <f>SUM('All Email Performance'!G266:G267)</f>
        <v>118</v>
      </c>
      <c r="G181" s="69">
        <f>SUM('All Email Performance'!H266:H267)</f>
        <v>42907</v>
      </c>
      <c r="H181" s="70">
        <f t="shared" si="43"/>
        <v>0.31708741021017472</v>
      </c>
      <c r="I181" s="69">
        <f>SUM('All Email Performance'!J266:J267)</f>
        <v>827</v>
      </c>
      <c r="J181" s="70">
        <f t="shared" si="44"/>
        <v>6.1116202075142626E-3</v>
      </c>
      <c r="K181" s="70">
        <f t="shared" si="45"/>
        <v>1.9274244295802549E-2</v>
      </c>
      <c r="L181" s="69">
        <f>SUM('All Email Performance'!M266:M267)</f>
        <v>430</v>
      </c>
      <c r="M181" s="70">
        <f t="shared" si="46"/>
        <v>3.1777469035442962E-3</v>
      </c>
      <c r="N181" s="69" t="s">
        <v>16</v>
      </c>
    </row>
    <row r="182" spans="1:14" ht="24" customHeight="1" x14ac:dyDescent="0.3">
      <c r="A182" s="66" t="s">
        <v>199</v>
      </c>
      <c r="B182" s="67" t="s">
        <v>16</v>
      </c>
      <c r="C182" s="68">
        <v>44986</v>
      </c>
      <c r="D182" s="69">
        <f>SUM('All Email Performance'!E268:E269)</f>
        <v>1971826</v>
      </c>
      <c r="E182" s="70">
        <f t="shared" si="42"/>
        <v>0.99823463125042478</v>
      </c>
      <c r="F182" s="69">
        <f>SUM('All Email Performance'!G268:G269)</f>
        <v>3481</v>
      </c>
      <c r="G182" s="69">
        <f>SUM('All Email Performance'!H268:H269)</f>
        <v>794183</v>
      </c>
      <c r="H182" s="70">
        <f t="shared" si="43"/>
        <v>0.40276525413499975</v>
      </c>
      <c r="I182" s="69">
        <f>SUM('All Email Performance'!J268:J269)</f>
        <v>9706</v>
      </c>
      <c r="J182" s="70">
        <f t="shared" si="44"/>
        <v>4.9223410179194309E-3</v>
      </c>
      <c r="K182" s="70">
        <f t="shared" si="45"/>
        <v>1.2221364597328324E-2</v>
      </c>
      <c r="L182" s="69">
        <f>SUM('All Email Performance'!M268:M269)</f>
        <v>5275</v>
      </c>
      <c r="M182" s="70">
        <f t="shared" si="46"/>
        <v>2.6751853358257778E-3</v>
      </c>
      <c r="N182" s="69" t="s">
        <v>16</v>
      </c>
    </row>
    <row r="183" spans="1:14" ht="24" customHeight="1" x14ac:dyDescent="0.3">
      <c r="A183" s="76" t="s">
        <v>32</v>
      </c>
      <c r="B183" s="67" t="s">
        <v>23</v>
      </c>
      <c r="C183" s="68">
        <v>44986</v>
      </c>
      <c r="D183" s="69">
        <f>'All Email Performance'!E270</f>
        <v>309</v>
      </c>
      <c r="E183" s="70">
        <f t="shared" si="42"/>
        <v>1</v>
      </c>
      <c r="F183" s="69">
        <f>'All Email Performance'!G270</f>
        <v>0</v>
      </c>
      <c r="G183" s="69">
        <f>'All Email Performance'!H270</f>
        <v>99</v>
      </c>
      <c r="H183" s="70">
        <f t="shared" si="43"/>
        <v>0.32038834951456313</v>
      </c>
      <c r="I183" s="69">
        <f>'All Email Performance'!J270</f>
        <v>6</v>
      </c>
      <c r="J183" s="70">
        <f t="shared" si="44"/>
        <v>1.9417475728155338E-2</v>
      </c>
      <c r="K183" s="70">
        <f t="shared" si="45"/>
        <v>6.0606060606060608E-2</v>
      </c>
      <c r="L183" s="69">
        <f>'All Email Performance'!M270</f>
        <v>0</v>
      </c>
      <c r="M183" s="70">
        <f t="shared" si="46"/>
        <v>0</v>
      </c>
      <c r="N183" s="69" t="s">
        <v>23</v>
      </c>
    </row>
    <row r="184" spans="1:14" ht="24" customHeight="1" x14ac:dyDescent="0.3">
      <c r="A184" s="66" t="s">
        <v>34</v>
      </c>
      <c r="B184" s="67" t="s">
        <v>30</v>
      </c>
      <c r="C184" s="68">
        <v>44986</v>
      </c>
      <c r="D184" s="69">
        <f>'All Email Performance'!E271</f>
        <v>9414</v>
      </c>
      <c r="E184" s="70">
        <f t="shared" si="42"/>
        <v>0.98619077968982372</v>
      </c>
      <c r="F184" s="69">
        <f>'All Email Performance'!G271</f>
        <v>130</v>
      </c>
      <c r="G184" s="69">
        <f>'All Email Performance'!H271</f>
        <v>3118</v>
      </c>
      <c r="H184" s="70">
        <f t="shared" si="43"/>
        <v>0.33120883790099853</v>
      </c>
      <c r="I184" s="69">
        <f>'All Email Performance'!J271</f>
        <v>369</v>
      </c>
      <c r="J184" s="70">
        <f t="shared" si="44"/>
        <v>3.9196940726577437E-2</v>
      </c>
      <c r="K184" s="70">
        <f t="shared" si="45"/>
        <v>0.11834509300833868</v>
      </c>
      <c r="L184" s="69">
        <f>'All Email Performance'!M271</f>
        <v>43</v>
      </c>
      <c r="M184" s="70">
        <f t="shared" si="46"/>
        <v>4.5676651795198637E-3</v>
      </c>
      <c r="N184" s="69" t="s">
        <v>31</v>
      </c>
    </row>
    <row r="185" spans="1:14" ht="24" customHeight="1" x14ac:dyDescent="0.3">
      <c r="A185" s="66" t="s">
        <v>35</v>
      </c>
      <c r="B185" s="67" t="s">
        <v>30</v>
      </c>
      <c r="C185" s="68">
        <v>44986</v>
      </c>
      <c r="D185" s="69">
        <f>'All Email Performance'!E272</f>
        <v>85274</v>
      </c>
      <c r="E185" s="70">
        <f t="shared" si="42"/>
        <v>0.97782442479536558</v>
      </c>
      <c r="F185" s="69">
        <f>'All Email Performance'!G272</f>
        <v>1891</v>
      </c>
      <c r="G185" s="69">
        <f>'All Email Performance'!H272</f>
        <v>35103</v>
      </c>
      <c r="H185" s="70">
        <f t="shared" si="43"/>
        <v>0.41164950629734737</v>
      </c>
      <c r="I185" s="69">
        <f>'All Email Performance'!J272</f>
        <v>3536</v>
      </c>
      <c r="J185" s="70">
        <f t="shared" si="44"/>
        <v>4.1466332059009778E-2</v>
      </c>
      <c r="K185" s="70">
        <f t="shared" si="45"/>
        <v>0.10073213115688118</v>
      </c>
      <c r="L185" s="69">
        <f>'All Email Performance'!M272</f>
        <v>325</v>
      </c>
      <c r="M185" s="70">
        <f t="shared" si="46"/>
        <v>3.811243755423693E-3</v>
      </c>
      <c r="N185" s="69" t="s">
        <v>31</v>
      </c>
    </row>
    <row r="186" spans="1:14" ht="24" customHeight="1" x14ac:dyDescent="0.3">
      <c r="A186" s="66" t="s">
        <v>173</v>
      </c>
      <c r="B186" s="67" t="s">
        <v>16</v>
      </c>
      <c r="C186" s="68">
        <v>44986</v>
      </c>
      <c r="D186" s="69">
        <f>SUM('All Email Performance'!E273:E274)</f>
        <v>338485</v>
      </c>
      <c r="E186" s="70">
        <f t="shared" si="42"/>
        <v>0.99899552417389248</v>
      </c>
      <c r="F186" s="69">
        <f>SUM('All Email Performance'!G273:G274)</f>
        <v>340</v>
      </c>
      <c r="G186" s="69">
        <f>SUM('All Email Performance'!H273:H274)</f>
        <v>108446</v>
      </c>
      <c r="H186" s="70">
        <f t="shared" si="43"/>
        <v>0.3203864277589849</v>
      </c>
      <c r="I186" s="69">
        <f>SUM('All Email Performance'!J273:J274)</f>
        <v>1734</v>
      </c>
      <c r="J186" s="70">
        <f t="shared" si="44"/>
        <v>5.1228267131482935E-3</v>
      </c>
      <c r="K186" s="70">
        <f t="shared" si="45"/>
        <v>1.5989524740423807E-2</v>
      </c>
      <c r="L186" s="69">
        <f>SUM('All Email Performance'!M273:M274)</f>
        <v>981</v>
      </c>
      <c r="M186" s="70">
        <f t="shared" si="46"/>
        <v>2.8982081923866641E-3</v>
      </c>
      <c r="N186" s="69" t="s">
        <v>16</v>
      </c>
    </row>
    <row r="187" spans="1:14" ht="24" customHeight="1" x14ac:dyDescent="0.3">
      <c r="A187" s="66" t="s">
        <v>174</v>
      </c>
      <c r="B187" s="67" t="s">
        <v>16</v>
      </c>
      <c r="C187" s="68">
        <v>44986</v>
      </c>
      <c r="D187" s="69">
        <f>SUM('All Email Performance'!E275:E276)</f>
        <v>4535140</v>
      </c>
      <c r="E187" s="70">
        <f t="shared" si="42"/>
        <v>0.99809002588674223</v>
      </c>
      <c r="F187" s="69">
        <f>SUM('All Email Performance'!G275:G276)</f>
        <v>8662</v>
      </c>
      <c r="G187" s="69">
        <f>SUM('All Email Performance'!H275:H276)</f>
        <v>1699028</v>
      </c>
      <c r="H187" s="70">
        <f t="shared" si="43"/>
        <v>0.37463628465714399</v>
      </c>
      <c r="I187" s="69">
        <f>SUM('All Email Performance'!J275:J276)</f>
        <v>23164</v>
      </c>
      <c r="J187" s="70">
        <f t="shared" si="44"/>
        <v>5.1076703255026308E-3</v>
      </c>
      <c r="K187" s="70">
        <f t="shared" si="45"/>
        <v>1.3633677608609158E-2</v>
      </c>
      <c r="L187" s="69">
        <f>SUM('All Email Performance'!M275:M276)</f>
        <v>9800</v>
      </c>
      <c r="M187" s="70">
        <f t="shared" si="46"/>
        <v>2.1609035222727412E-3</v>
      </c>
      <c r="N187" s="69" t="s">
        <v>16</v>
      </c>
    </row>
    <row r="188" spans="1:14" ht="24" customHeight="1" x14ac:dyDescent="0.3">
      <c r="A188" s="66" t="s">
        <v>177</v>
      </c>
      <c r="B188" s="67" t="s">
        <v>27</v>
      </c>
      <c r="C188" s="68">
        <v>44986</v>
      </c>
      <c r="D188" s="69">
        <f>'All Email Performance'!E277</f>
        <v>12408</v>
      </c>
      <c r="E188" s="70">
        <f t="shared" si="42"/>
        <v>0.99774339136041268</v>
      </c>
      <c r="F188" s="69">
        <f>'All Email Performance'!G277</f>
        <v>28</v>
      </c>
      <c r="G188" s="69">
        <f>'All Email Performance'!H277</f>
        <v>4543</v>
      </c>
      <c r="H188" s="70">
        <f t="shared" si="43"/>
        <v>0.36613475177304966</v>
      </c>
      <c r="I188" s="69">
        <f>'All Email Performance'!J277</f>
        <v>73</v>
      </c>
      <c r="J188" s="70">
        <f t="shared" si="44"/>
        <v>5.8833010960670533E-3</v>
      </c>
      <c r="K188" s="70">
        <f t="shared" si="45"/>
        <v>1.6068677085626239E-2</v>
      </c>
      <c r="L188" s="69">
        <f>'All Email Performance'!M277</f>
        <v>44</v>
      </c>
      <c r="M188" s="70">
        <f t="shared" si="46"/>
        <v>3.5460992907801418E-3</v>
      </c>
      <c r="N188" s="69" t="s">
        <v>27</v>
      </c>
    </row>
    <row r="189" spans="1:14" ht="24" customHeight="1" x14ac:dyDescent="0.3">
      <c r="A189" s="66" t="s">
        <v>200</v>
      </c>
      <c r="B189" s="67" t="s">
        <v>27</v>
      </c>
      <c r="C189" s="68">
        <v>44986</v>
      </c>
      <c r="D189" s="69">
        <f>'All Email Performance'!E278</f>
        <v>28574</v>
      </c>
      <c r="E189" s="70">
        <f t="shared" si="42"/>
        <v>0.99692027717505427</v>
      </c>
      <c r="F189" s="69">
        <f>'All Email Performance'!G278</f>
        <v>88</v>
      </c>
      <c r="G189" s="69">
        <f>'All Email Performance'!H278</f>
        <v>10446</v>
      </c>
      <c r="H189" s="70">
        <f t="shared" si="43"/>
        <v>0.3655770980611745</v>
      </c>
      <c r="I189" s="69">
        <f>'All Email Performance'!J278</f>
        <v>224</v>
      </c>
      <c r="J189" s="70">
        <f t="shared" si="44"/>
        <v>7.839294463498285E-3</v>
      </c>
      <c r="K189" s="70">
        <f t="shared" si="45"/>
        <v>2.1443614780777331E-2</v>
      </c>
      <c r="L189" s="69">
        <f>'All Email Performance'!M278</f>
        <v>148</v>
      </c>
      <c r="M189" s="70">
        <f t="shared" si="46"/>
        <v>5.1795338419542243E-3</v>
      </c>
      <c r="N189" s="69" t="s">
        <v>27</v>
      </c>
    </row>
    <row r="190" spans="1:14" ht="24" customHeight="1" x14ac:dyDescent="0.3">
      <c r="A190" s="66" t="s">
        <v>176</v>
      </c>
      <c r="B190" s="67" t="s">
        <v>27</v>
      </c>
      <c r="C190" s="68">
        <v>44986</v>
      </c>
      <c r="D190" s="69">
        <f>'All Email Performance'!E279</f>
        <v>15109</v>
      </c>
      <c r="E190" s="70">
        <f t="shared" si="42"/>
        <v>0.99854391422331057</v>
      </c>
      <c r="F190" s="69">
        <f>'All Email Performance'!G279</f>
        <v>22</v>
      </c>
      <c r="G190" s="69">
        <f>'All Email Performance'!H279</f>
        <v>5773</v>
      </c>
      <c r="H190" s="70">
        <f t="shared" si="43"/>
        <v>0.3820901449467205</v>
      </c>
      <c r="I190" s="69">
        <f>'All Email Performance'!J279</f>
        <v>127</v>
      </c>
      <c r="J190" s="70">
        <f t="shared" si="44"/>
        <v>8.4055860745251183E-3</v>
      </c>
      <c r="K190" s="70">
        <f t="shared" si="45"/>
        <v>2.1998960679023037E-2</v>
      </c>
      <c r="L190" s="69">
        <f>'All Email Performance'!M279</f>
        <v>69</v>
      </c>
      <c r="M190" s="70">
        <f t="shared" si="46"/>
        <v>4.5668144814349065E-3</v>
      </c>
      <c r="N190" s="69" t="s">
        <v>27</v>
      </c>
    </row>
    <row r="191" spans="1:14" ht="24" customHeight="1" x14ac:dyDescent="0.3">
      <c r="A191" s="66" t="s">
        <v>175</v>
      </c>
      <c r="B191" s="67" t="s">
        <v>27</v>
      </c>
      <c r="C191" s="68">
        <v>44986</v>
      </c>
      <c r="D191" s="69">
        <f>'All Email Performance'!E280</f>
        <v>245222</v>
      </c>
      <c r="E191" s="70">
        <f t="shared" si="42"/>
        <v>0.99828726623223041</v>
      </c>
      <c r="F191" s="69">
        <f>'All Email Performance'!G280</f>
        <v>420</v>
      </c>
      <c r="G191" s="69">
        <f>'All Email Performance'!H280</f>
        <v>91365</v>
      </c>
      <c r="H191" s="70">
        <f t="shared" si="43"/>
        <v>0.37258076355302544</v>
      </c>
      <c r="I191" s="69">
        <f>'All Email Performance'!J280</f>
        <v>1611</v>
      </c>
      <c r="J191" s="70">
        <f t="shared" si="44"/>
        <v>6.569557380659158E-3</v>
      </c>
      <c r="K191" s="70">
        <f t="shared" si="45"/>
        <v>1.763257264816943E-2</v>
      </c>
      <c r="L191" s="69">
        <f>'All Email Performance'!M280</f>
        <v>1237</v>
      </c>
      <c r="M191" s="70">
        <f t="shared" si="46"/>
        <v>5.0444087398357406E-3</v>
      </c>
      <c r="N191" s="69" t="s">
        <v>27</v>
      </c>
    </row>
    <row r="192" spans="1:14" ht="24" customHeight="1" x14ac:dyDescent="0.3">
      <c r="A192" s="66" t="s">
        <v>26</v>
      </c>
      <c r="B192" s="67" t="s">
        <v>23</v>
      </c>
      <c r="C192" s="68">
        <v>44987</v>
      </c>
      <c r="D192" s="69">
        <f>'All Email Performance'!E281</f>
        <v>1642</v>
      </c>
      <c r="E192" s="70">
        <f t="shared" si="42"/>
        <v>1</v>
      </c>
      <c r="F192" s="69">
        <f>'All Email Performance'!G281</f>
        <v>0</v>
      </c>
      <c r="G192" s="69">
        <f>'All Email Performance'!H281</f>
        <v>598</v>
      </c>
      <c r="H192" s="70">
        <f t="shared" si="43"/>
        <v>0.36419001218026797</v>
      </c>
      <c r="I192" s="69">
        <f>'All Email Performance'!J281</f>
        <v>19</v>
      </c>
      <c r="J192" s="70">
        <f t="shared" si="44"/>
        <v>1.1571254567600487E-2</v>
      </c>
      <c r="K192" s="70">
        <f t="shared" si="45"/>
        <v>3.177257525083612E-2</v>
      </c>
      <c r="L192" s="69">
        <f>'All Email Performance'!M281</f>
        <v>0</v>
      </c>
      <c r="M192" s="70">
        <f t="shared" si="46"/>
        <v>0</v>
      </c>
      <c r="N192" s="69" t="s">
        <v>23</v>
      </c>
    </row>
    <row r="193" spans="1:14" ht="24" customHeight="1" x14ac:dyDescent="0.3">
      <c r="A193" s="66" t="s">
        <v>178</v>
      </c>
      <c r="B193" s="67" t="s">
        <v>16</v>
      </c>
      <c r="C193" s="68">
        <v>44988</v>
      </c>
      <c r="D193" s="69">
        <f>SUM('All Email Performance'!E282:E283)</f>
        <v>78213</v>
      </c>
      <c r="E193" s="70">
        <f t="shared" si="42"/>
        <v>0.99818444504110571</v>
      </c>
      <c r="F193" s="69">
        <f>SUM('All Email Performance'!G282:G283)</f>
        <v>142</v>
      </c>
      <c r="G193" s="69">
        <f>SUM('All Email Performance'!H282:H283)</f>
        <v>39164</v>
      </c>
      <c r="H193" s="70">
        <f t="shared" si="43"/>
        <v>0.50073517190236916</v>
      </c>
      <c r="I193" s="69">
        <f>SUM('All Email Performance'!J282:J283)</f>
        <v>815</v>
      </c>
      <c r="J193" s="70">
        <f t="shared" si="44"/>
        <v>1.0420262616189125E-2</v>
      </c>
      <c r="K193" s="70">
        <f t="shared" si="45"/>
        <v>2.0809927484424472E-2</v>
      </c>
      <c r="L193" s="69">
        <f>SUM('All Email Performance'!M282:M283)</f>
        <v>63</v>
      </c>
      <c r="M193" s="70">
        <f t="shared" si="46"/>
        <v>8.0549269303057031E-4</v>
      </c>
      <c r="N193" s="69" t="s">
        <v>16</v>
      </c>
    </row>
    <row r="194" spans="1:14" ht="24" customHeight="1" x14ac:dyDescent="0.3">
      <c r="A194" s="66" t="s">
        <v>28</v>
      </c>
      <c r="B194" s="67" t="s">
        <v>16</v>
      </c>
      <c r="C194" s="68">
        <v>44988</v>
      </c>
      <c r="D194" s="69">
        <f>SUM('All Email Performance'!E284:E285)</f>
        <v>288438</v>
      </c>
      <c r="E194" s="70">
        <f t="shared" si="42"/>
        <v>0.99906045666659737</v>
      </c>
      <c r="F194" s="69">
        <f>SUM('All Email Performance'!G284:G285)</f>
        <v>271</v>
      </c>
      <c r="G194" s="69">
        <f>SUM('All Email Performance'!H284:H285)</f>
        <v>93379</v>
      </c>
      <c r="H194" s="70">
        <f t="shared" si="43"/>
        <v>0.32374028387383075</v>
      </c>
      <c r="I194" s="69">
        <f>SUM('All Email Performance'!J284:J285)</f>
        <v>1870</v>
      </c>
      <c r="J194" s="70">
        <f t="shared" si="44"/>
        <v>6.4831956954354139E-3</v>
      </c>
      <c r="K194" s="70">
        <f t="shared" si="45"/>
        <v>2.0025915891153257E-2</v>
      </c>
      <c r="L194" s="69">
        <f>SUM('All Email Performance'!M284:M285)</f>
        <v>638</v>
      </c>
      <c r="M194" s="70">
        <f t="shared" si="46"/>
        <v>2.2119138255014942E-3</v>
      </c>
      <c r="N194" s="69" t="s">
        <v>16</v>
      </c>
    </row>
    <row r="195" spans="1:14" ht="24" customHeight="1" x14ac:dyDescent="0.3">
      <c r="A195" s="66" t="s">
        <v>22</v>
      </c>
      <c r="B195" s="67" t="s">
        <v>16</v>
      </c>
      <c r="C195" s="68">
        <v>44988</v>
      </c>
      <c r="D195" s="69">
        <f>SUM('All Email Performance'!E286:E287)</f>
        <v>3913180</v>
      </c>
      <c r="E195" s="70">
        <f t="shared" si="42"/>
        <v>0.9980652563899437</v>
      </c>
      <c r="F195" s="69">
        <f>SUM('All Email Performance'!G286:G287)</f>
        <v>7571</v>
      </c>
      <c r="G195" s="69">
        <f>SUM('All Email Performance'!H286:H287)</f>
        <v>1489009</v>
      </c>
      <c r="H195" s="70">
        <f t="shared" si="43"/>
        <v>0.38051124660761837</v>
      </c>
      <c r="I195" s="69">
        <f>SUM('All Email Performance'!J286:J287)</f>
        <v>21724</v>
      </c>
      <c r="J195" s="70">
        <f t="shared" si="44"/>
        <v>5.5514952033895709E-3</v>
      </c>
      <c r="K195" s="70">
        <f t="shared" si="45"/>
        <v>1.4589569304147926E-2</v>
      </c>
      <c r="L195" s="69">
        <f>SUM('All Email Performance'!M286:M287)</f>
        <v>6606</v>
      </c>
      <c r="M195" s="70">
        <f t="shared" si="46"/>
        <v>1.6881411026326415E-3</v>
      </c>
      <c r="N195" s="69" t="s">
        <v>16</v>
      </c>
    </row>
    <row r="196" spans="1:14" ht="24" customHeight="1" x14ac:dyDescent="0.3">
      <c r="A196" s="66" t="s">
        <v>179</v>
      </c>
      <c r="B196" s="67" t="s">
        <v>27</v>
      </c>
      <c r="C196" s="68">
        <v>44988</v>
      </c>
      <c r="D196" s="69">
        <f>'All Email Performance'!E288</f>
        <v>211897</v>
      </c>
      <c r="E196" s="70">
        <f t="shared" si="42"/>
        <v>0.99854174433805098</v>
      </c>
      <c r="F196" s="69">
        <f>'All Email Performance'!G288</f>
        <v>309</v>
      </c>
      <c r="G196" s="69">
        <f>'All Email Performance'!H288</f>
        <v>86124</v>
      </c>
      <c r="H196" s="70">
        <f t="shared" si="43"/>
        <v>0.40644275284690201</v>
      </c>
      <c r="I196" s="69">
        <f>'All Email Performance'!J288</f>
        <v>1614</v>
      </c>
      <c r="J196" s="70">
        <f t="shared" si="44"/>
        <v>7.6169082148402293E-3</v>
      </c>
      <c r="K196" s="70">
        <f t="shared" si="45"/>
        <v>1.8740420788630346E-2</v>
      </c>
      <c r="L196" s="69">
        <f>'All Email Performance'!M288</f>
        <v>1402</v>
      </c>
      <c r="M196" s="70">
        <f t="shared" si="46"/>
        <v>6.6164221296195792E-3</v>
      </c>
      <c r="N196" s="69" t="s">
        <v>27</v>
      </c>
    </row>
    <row r="197" spans="1:14" ht="24" customHeight="1" x14ac:dyDescent="0.3">
      <c r="A197" s="66" t="s">
        <v>33</v>
      </c>
      <c r="B197" s="67" t="s">
        <v>21</v>
      </c>
      <c r="C197" s="68">
        <v>44988</v>
      </c>
      <c r="D197" s="69">
        <f>'All Email Performance'!E289</f>
        <v>245320</v>
      </c>
      <c r="E197" s="70">
        <f t="shared" si="42"/>
        <v>0.99869558128159142</v>
      </c>
      <c r="F197" s="69">
        <f>'All Email Performance'!G289</f>
        <v>320</v>
      </c>
      <c r="G197" s="69">
        <f>'All Email Performance'!H289</f>
        <v>109864</v>
      </c>
      <c r="H197" s="70">
        <f t="shared" si="43"/>
        <v>0.44783955649763574</v>
      </c>
      <c r="I197" s="69">
        <f>'All Email Performance'!J289</f>
        <v>2151</v>
      </c>
      <c r="J197" s="70">
        <f t="shared" si="44"/>
        <v>8.7681395728028706E-3</v>
      </c>
      <c r="K197" s="70">
        <f t="shared" si="45"/>
        <v>1.9578751911454161E-2</v>
      </c>
      <c r="L197" s="69">
        <f>'All Email Performance'!M289</f>
        <v>295</v>
      </c>
      <c r="M197" s="70">
        <f t="shared" si="46"/>
        <v>1.2025110060329366E-3</v>
      </c>
      <c r="N197" s="69" t="s">
        <v>21</v>
      </c>
    </row>
    <row r="198" spans="1:14" ht="24" customHeight="1" x14ac:dyDescent="0.3">
      <c r="A198" s="66" t="s">
        <v>19</v>
      </c>
      <c r="B198" s="67" t="s">
        <v>21</v>
      </c>
      <c r="C198" s="68">
        <v>44988</v>
      </c>
      <c r="D198" s="69">
        <f>'All Email Performance'!E290</f>
        <v>333132</v>
      </c>
      <c r="E198" s="70">
        <f t="shared" si="42"/>
        <v>0.99796477072151579</v>
      </c>
      <c r="F198" s="69">
        <f>'All Email Performance'!G290</f>
        <v>678</v>
      </c>
      <c r="G198" s="69">
        <f>'All Email Performance'!H290</f>
        <v>122788</v>
      </c>
      <c r="H198" s="70">
        <f t="shared" si="43"/>
        <v>0.36858662632229866</v>
      </c>
      <c r="I198" s="69">
        <f>'All Email Performance'!J290</f>
        <v>2826</v>
      </c>
      <c r="J198" s="70">
        <f t="shared" si="44"/>
        <v>8.4831238067792948E-3</v>
      </c>
      <c r="K198" s="70">
        <f t="shared" si="45"/>
        <v>2.3015278365964099E-2</v>
      </c>
      <c r="L198" s="69">
        <f>'All Email Performance'!M290</f>
        <v>377</v>
      </c>
      <c r="M198" s="70">
        <f t="shared" si="46"/>
        <v>1.1316835368562611E-3</v>
      </c>
      <c r="N198" s="69" t="s">
        <v>21</v>
      </c>
    </row>
    <row r="199" spans="1:14" ht="24" customHeight="1" x14ac:dyDescent="0.3">
      <c r="A199" s="66" t="s">
        <v>24</v>
      </c>
      <c r="B199" s="67" t="s">
        <v>21</v>
      </c>
      <c r="C199" s="68">
        <v>44989</v>
      </c>
      <c r="D199" s="69">
        <f>'All Email Performance'!E291</f>
        <v>15041</v>
      </c>
      <c r="E199" s="70">
        <f t="shared" si="42"/>
        <v>0.99946812047071343</v>
      </c>
      <c r="F199" s="69">
        <f>'All Email Performance'!G291</f>
        <v>8</v>
      </c>
      <c r="G199" s="69">
        <f>'All Email Performance'!H291</f>
        <v>4998</v>
      </c>
      <c r="H199" s="70">
        <f t="shared" si="43"/>
        <v>0.33229173592181371</v>
      </c>
      <c r="I199" s="69">
        <f>'All Email Performance'!J291</f>
        <v>279</v>
      </c>
      <c r="J199" s="70">
        <f t="shared" si="44"/>
        <v>1.8549298583870753E-2</v>
      </c>
      <c r="K199" s="70">
        <f t="shared" si="45"/>
        <v>5.5822328931572629E-2</v>
      </c>
      <c r="L199" s="69">
        <f>'All Email Performance'!M291</f>
        <v>29</v>
      </c>
      <c r="M199" s="70">
        <f t="shared" si="46"/>
        <v>1.9280632936639851E-3</v>
      </c>
      <c r="N199" s="69" t="s">
        <v>21</v>
      </c>
    </row>
    <row r="200" spans="1:14" ht="24" customHeight="1" x14ac:dyDescent="0.3">
      <c r="A200" s="66" t="s">
        <v>180</v>
      </c>
      <c r="B200" s="67" t="s">
        <v>30</v>
      </c>
      <c r="C200" s="68">
        <v>44989</v>
      </c>
      <c r="D200" s="69">
        <f>'All Email Performance'!E292</f>
        <v>5810</v>
      </c>
      <c r="E200" s="70">
        <f t="shared" si="42"/>
        <v>0.99931153184165233</v>
      </c>
      <c r="F200" s="69">
        <f>'All Email Performance'!G292</f>
        <v>4</v>
      </c>
      <c r="G200" s="69">
        <f>'All Email Performance'!H292</f>
        <v>3537</v>
      </c>
      <c r="H200" s="70">
        <f t="shared" si="43"/>
        <v>0.60877796901893289</v>
      </c>
      <c r="I200" s="69">
        <f>'All Email Performance'!J292</f>
        <v>1356</v>
      </c>
      <c r="J200" s="70">
        <f t="shared" si="44"/>
        <v>0.23339070567986231</v>
      </c>
      <c r="K200" s="70">
        <f t="shared" si="45"/>
        <v>0.38337574215436809</v>
      </c>
      <c r="L200" s="69">
        <f>'All Email Performance'!M292</f>
        <v>1</v>
      </c>
      <c r="M200" s="70">
        <f t="shared" si="46"/>
        <v>1.7211703958691912E-4</v>
      </c>
      <c r="N200" s="69" t="s">
        <v>31</v>
      </c>
    </row>
    <row r="201" spans="1:14" ht="24" customHeight="1" x14ac:dyDescent="0.3">
      <c r="A201" s="76" t="s">
        <v>36</v>
      </c>
      <c r="B201" s="67" t="s">
        <v>16</v>
      </c>
      <c r="C201" s="68">
        <v>44989</v>
      </c>
      <c r="D201" s="69">
        <f>SUM('All Email Performance'!E293:E294)</f>
        <v>3163</v>
      </c>
      <c r="E201" s="70">
        <f t="shared" si="42"/>
        <v>0.99810306670882076</v>
      </c>
      <c r="F201" s="69">
        <f>SUM('All Email Performance'!G293:G294)</f>
        <v>6</v>
      </c>
      <c r="G201" s="69">
        <f>SUM('All Email Performance'!H293:H294)</f>
        <v>1453</v>
      </c>
      <c r="H201" s="70">
        <f t="shared" si="43"/>
        <v>0.45937401201391087</v>
      </c>
      <c r="I201" s="69">
        <f>SUM('All Email Performance'!J293:J294)</f>
        <v>150</v>
      </c>
      <c r="J201" s="70">
        <f t="shared" si="44"/>
        <v>4.7423332279481506E-2</v>
      </c>
      <c r="K201" s="70">
        <f t="shared" si="45"/>
        <v>0.10323468685478321</v>
      </c>
      <c r="L201" s="69">
        <f>SUM('All Email Performance'!M293:M294)</f>
        <v>8</v>
      </c>
      <c r="M201" s="70">
        <f t="shared" si="46"/>
        <v>2.5292443882390138E-3</v>
      </c>
      <c r="N201" s="69" t="s">
        <v>16</v>
      </c>
    </row>
    <row r="202" spans="1:14" ht="24" customHeight="1" x14ac:dyDescent="0.3">
      <c r="A202" s="76" t="s">
        <v>37</v>
      </c>
      <c r="B202" s="67" t="s">
        <v>16</v>
      </c>
      <c r="C202" s="68">
        <v>44989</v>
      </c>
      <c r="D202" s="69">
        <f>SUM('All Email Performance'!E295:E296)</f>
        <v>35652</v>
      </c>
      <c r="E202" s="70">
        <f t="shared" si="42"/>
        <v>0.9982609671266689</v>
      </c>
      <c r="F202" s="69">
        <f>SUM('All Email Performance'!G295:G296)</f>
        <v>62</v>
      </c>
      <c r="G202" s="69">
        <f>SUM('All Email Performance'!H295:H296)</f>
        <v>15143</v>
      </c>
      <c r="H202" s="70">
        <f t="shared" si="43"/>
        <v>0.42474475485246271</v>
      </c>
      <c r="I202" s="69">
        <f>SUM('All Email Performance'!J295:J296)</f>
        <v>1252</v>
      </c>
      <c r="J202" s="70">
        <f t="shared" si="44"/>
        <v>3.5117244474363291E-2</v>
      </c>
      <c r="K202" s="70">
        <f t="shared" si="45"/>
        <v>8.26784652974972E-2</v>
      </c>
      <c r="L202" s="69">
        <f>SUM('All Email Performance'!M295:M296)</f>
        <v>96</v>
      </c>
      <c r="M202" s="70">
        <f t="shared" si="46"/>
        <v>2.6926960619320095E-3</v>
      </c>
      <c r="N202" s="69" t="s">
        <v>16</v>
      </c>
    </row>
    <row r="203" spans="1:14" ht="24" customHeight="1" x14ac:dyDescent="0.3">
      <c r="A203" s="76" t="s">
        <v>183</v>
      </c>
      <c r="B203" s="67" t="s">
        <v>101</v>
      </c>
      <c r="C203" s="68">
        <v>44991</v>
      </c>
      <c r="D203" s="69">
        <f>'All Email Performance'!E297</f>
        <v>422841</v>
      </c>
      <c r="E203" s="70">
        <f t="shared" ref="E203" si="47">(D203-F203)/D203</f>
        <v>0.99748132276671375</v>
      </c>
      <c r="F203" s="69">
        <f>'All Email Performance'!G297</f>
        <v>1065</v>
      </c>
      <c r="G203" s="69">
        <f>'All Email Performance'!H297</f>
        <v>166865</v>
      </c>
      <c r="H203" s="70">
        <f t="shared" ref="H203" si="48">G203/D203</f>
        <v>0.39462824087541182</v>
      </c>
      <c r="I203" s="69">
        <f>'All Email Performance'!J297</f>
        <v>674</v>
      </c>
      <c r="J203" s="70">
        <f t="shared" ref="J203" si="49">I203/D203</f>
        <v>1.5939797701736587E-3</v>
      </c>
      <c r="K203" s="70">
        <f t="shared" ref="K203" si="50">I203/G203</f>
        <v>4.0391933599017169E-3</v>
      </c>
      <c r="L203" s="69">
        <f>'All Email Performance'!M297</f>
        <v>304</v>
      </c>
      <c r="M203" s="70">
        <f t="shared" ref="M203" si="51">L203/D203</f>
        <v>7.1894636518218433E-4</v>
      </c>
      <c r="N203" s="67" t="s">
        <v>101</v>
      </c>
    </row>
    <row r="204" spans="1:14" ht="24" customHeight="1" x14ac:dyDescent="0.3">
      <c r="A204" s="76" t="s">
        <v>184</v>
      </c>
      <c r="B204" s="67" t="s">
        <v>101</v>
      </c>
      <c r="C204" s="68">
        <v>44991</v>
      </c>
      <c r="D204" s="69">
        <f>'All Email Performance'!E298</f>
        <v>266495</v>
      </c>
      <c r="E204" s="70">
        <f t="shared" ref="E204:E221" si="52">(D204-F204)/D204</f>
        <v>0.99831891780333593</v>
      </c>
      <c r="F204" s="69">
        <f>'All Email Performance'!G298</f>
        <v>448</v>
      </c>
      <c r="G204" s="69">
        <f>'All Email Performance'!H298</f>
        <v>109716</v>
      </c>
      <c r="H204" s="70">
        <f t="shared" ref="H204:H221" si="53">G204/D204</f>
        <v>0.41170003189553273</v>
      </c>
      <c r="I204" s="69">
        <f>'All Email Performance'!J298</f>
        <v>476</v>
      </c>
      <c r="J204" s="70">
        <f t="shared" ref="J204:J221" si="54">I204/D204</f>
        <v>1.7861498339556089E-3</v>
      </c>
      <c r="K204" s="70">
        <f t="shared" ref="K204:K221" si="55">I204/G204</f>
        <v>4.3384738780123224E-3</v>
      </c>
      <c r="L204" s="69">
        <f>'All Email Performance'!M298</f>
        <v>235</v>
      </c>
      <c r="M204" s="70">
        <f t="shared" ref="M204:M221" si="56">L204/D204</f>
        <v>8.8181767012514311E-4</v>
      </c>
      <c r="N204" s="67" t="s">
        <v>101</v>
      </c>
    </row>
    <row r="205" spans="1:14" ht="24" customHeight="1" x14ac:dyDescent="0.3">
      <c r="A205" s="76" t="s">
        <v>185</v>
      </c>
      <c r="B205" s="67" t="s">
        <v>101</v>
      </c>
      <c r="C205" s="68">
        <v>44991</v>
      </c>
      <c r="D205" s="69">
        <f>'All Email Performance'!E299</f>
        <v>1177401</v>
      </c>
      <c r="E205" s="70">
        <f t="shared" si="52"/>
        <v>0.99828775412964654</v>
      </c>
      <c r="F205" s="69">
        <f>'All Email Performance'!G299</f>
        <v>2016</v>
      </c>
      <c r="G205" s="69">
        <f>'All Email Performance'!H299</f>
        <v>433183</v>
      </c>
      <c r="H205" s="70">
        <f t="shared" si="53"/>
        <v>0.36791458475064998</v>
      </c>
      <c r="I205" s="69">
        <f>'All Email Performance'!J299</f>
        <v>4484</v>
      </c>
      <c r="J205" s="70">
        <f t="shared" si="54"/>
        <v>3.8083881362424524E-3</v>
      </c>
      <c r="K205" s="70">
        <f t="shared" si="55"/>
        <v>1.035128340678189E-2</v>
      </c>
      <c r="L205" s="69">
        <f>'All Email Performance'!M299</f>
        <v>753</v>
      </c>
      <c r="M205" s="70">
        <f t="shared" si="56"/>
        <v>6.3954421645641543E-4</v>
      </c>
      <c r="N205" s="67" t="s">
        <v>101</v>
      </c>
    </row>
    <row r="206" spans="1:14" ht="24" customHeight="1" x14ac:dyDescent="0.3">
      <c r="A206" s="66" t="s">
        <v>29</v>
      </c>
      <c r="B206" s="67" t="s">
        <v>16</v>
      </c>
      <c r="C206" s="68">
        <v>44992</v>
      </c>
      <c r="D206" s="69">
        <f>SUM('All Email Performance'!E300:E301)</f>
        <v>48408</v>
      </c>
      <c r="E206" s="70">
        <f t="shared" si="52"/>
        <v>0.99913237481408035</v>
      </c>
      <c r="F206" s="69">
        <f>SUM('All Email Performance'!G300:G301)</f>
        <v>42</v>
      </c>
      <c r="G206" s="69">
        <f>SUM('All Email Performance'!H300:H301)</f>
        <v>17535</v>
      </c>
      <c r="H206" s="70">
        <f t="shared" si="53"/>
        <v>0.36223351512146751</v>
      </c>
      <c r="I206" s="69">
        <f>SUM('All Email Performance'!J300:J301)</f>
        <v>404</v>
      </c>
      <c r="J206" s="70">
        <f t="shared" si="54"/>
        <v>8.3457279788464716E-3</v>
      </c>
      <c r="K206" s="70">
        <f t="shared" si="55"/>
        <v>2.303963501568292E-2</v>
      </c>
      <c r="L206" s="69">
        <f>SUM('All Email Performance'!M300:M301)</f>
        <v>55</v>
      </c>
      <c r="M206" s="70">
        <f t="shared" si="56"/>
        <v>1.1361758387043463E-3</v>
      </c>
      <c r="N206" s="69" t="s">
        <v>16</v>
      </c>
    </row>
    <row r="207" spans="1:14" ht="24" customHeight="1" x14ac:dyDescent="0.3">
      <c r="A207" s="66" t="s">
        <v>17</v>
      </c>
      <c r="B207" s="67" t="s">
        <v>16</v>
      </c>
      <c r="C207" s="68">
        <v>44992</v>
      </c>
      <c r="D207" s="69">
        <f>SUM('All Email Performance'!E302:E303)</f>
        <v>647129</v>
      </c>
      <c r="E207" s="70">
        <f t="shared" si="52"/>
        <v>0.99853506796944658</v>
      </c>
      <c r="F207" s="69">
        <f>SUM('All Email Performance'!G302:G303)</f>
        <v>948</v>
      </c>
      <c r="G207" s="69">
        <f>SUM('All Email Performance'!H302:H303)</f>
        <v>296131</v>
      </c>
      <c r="H207" s="70">
        <f t="shared" si="53"/>
        <v>0.45760737040064653</v>
      </c>
      <c r="I207" s="69">
        <f>SUM('All Email Performance'!J302:J303)</f>
        <v>5242</v>
      </c>
      <c r="J207" s="70">
        <f t="shared" si="54"/>
        <v>8.1003942027014705E-3</v>
      </c>
      <c r="K207" s="70">
        <f t="shared" si="55"/>
        <v>1.7701625294211008E-2</v>
      </c>
      <c r="L207" s="69">
        <f>SUM('All Email Performance'!M302:M303)</f>
        <v>735</v>
      </c>
      <c r="M207" s="70">
        <f t="shared" si="56"/>
        <v>1.1357859097645138E-3</v>
      </c>
      <c r="N207" s="69" t="s">
        <v>16</v>
      </c>
    </row>
    <row r="208" spans="1:14" ht="24" customHeight="1" x14ac:dyDescent="0.3">
      <c r="A208" s="76" t="s">
        <v>186</v>
      </c>
      <c r="B208" s="67" t="s">
        <v>16</v>
      </c>
      <c r="C208" s="68">
        <v>44993</v>
      </c>
      <c r="D208" s="69">
        <f>SUM('All Email Performance'!E304:E305)</f>
        <v>25016</v>
      </c>
      <c r="E208" s="70">
        <f t="shared" si="52"/>
        <v>0.9978813559322034</v>
      </c>
      <c r="F208" s="69">
        <f>SUM('All Email Performance'!G304:G305)</f>
        <v>53</v>
      </c>
      <c r="G208" s="69">
        <f>SUM('All Email Performance'!H304:H305)</f>
        <v>8986</v>
      </c>
      <c r="H208" s="70">
        <f t="shared" si="53"/>
        <v>0.35921010553245925</v>
      </c>
      <c r="I208" s="69">
        <f>SUM('All Email Performance'!J304:J305)</f>
        <v>59</v>
      </c>
      <c r="J208" s="70">
        <f t="shared" si="54"/>
        <v>2.3584905660377358E-3</v>
      </c>
      <c r="K208" s="70">
        <f t="shared" si="55"/>
        <v>6.5657689739594925E-3</v>
      </c>
      <c r="L208" s="69">
        <f>SUM('All Email Performance'!M304:M305)</f>
        <v>27</v>
      </c>
      <c r="M208" s="70">
        <f t="shared" si="56"/>
        <v>1.0793092420850656E-3</v>
      </c>
      <c r="N208" s="69" t="s">
        <v>16</v>
      </c>
    </row>
    <row r="209" spans="1:14" ht="24" customHeight="1" x14ac:dyDescent="0.3">
      <c r="A209" s="76" t="s">
        <v>187</v>
      </c>
      <c r="B209" s="67" t="s">
        <v>16</v>
      </c>
      <c r="C209" s="68">
        <v>44993</v>
      </c>
      <c r="D209" s="69">
        <f>SUM('All Email Performance'!E306:E307)</f>
        <v>389113</v>
      </c>
      <c r="E209" s="70">
        <f t="shared" si="52"/>
        <v>0.99824729577269333</v>
      </c>
      <c r="F209" s="69">
        <f>SUM('All Email Performance'!G306:G307)</f>
        <v>682</v>
      </c>
      <c r="G209" s="69">
        <f>SUM('All Email Performance'!H306:H307)</f>
        <v>152820</v>
      </c>
      <c r="H209" s="70">
        <f t="shared" si="53"/>
        <v>0.39273938418916871</v>
      </c>
      <c r="I209" s="69">
        <f>SUM('All Email Performance'!J306:J307)</f>
        <v>1453</v>
      </c>
      <c r="J209" s="70">
        <f t="shared" si="54"/>
        <v>3.734133786329421E-3</v>
      </c>
      <c r="K209" s="70">
        <f t="shared" si="55"/>
        <v>9.5079178118047374E-3</v>
      </c>
      <c r="L209" s="69">
        <f>SUM('All Email Performance'!M306:M307)</f>
        <v>350</v>
      </c>
      <c r="M209" s="70">
        <f t="shared" si="56"/>
        <v>8.9948164157969534E-4</v>
      </c>
      <c r="N209" s="69" t="s">
        <v>16</v>
      </c>
    </row>
    <row r="210" spans="1:14" ht="24" customHeight="1" x14ac:dyDescent="0.3">
      <c r="A210" s="76" t="s">
        <v>188</v>
      </c>
      <c r="B210" s="67" t="s">
        <v>16</v>
      </c>
      <c r="C210" s="68">
        <v>44994</v>
      </c>
      <c r="D210" s="69">
        <f>SUM('All Email Performance'!E308:E309)</f>
        <v>48945</v>
      </c>
      <c r="E210" s="70">
        <f t="shared" si="52"/>
        <v>0.99861068546327514</v>
      </c>
      <c r="F210" s="69">
        <f>SUM('All Email Performance'!G308:G309)</f>
        <v>68</v>
      </c>
      <c r="G210" s="69">
        <f>SUM('All Email Performance'!H308:H309)</f>
        <v>19415</v>
      </c>
      <c r="H210" s="70">
        <f t="shared" si="53"/>
        <v>0.39666973133108591</v>
      </c>
      <c r="I210" s="69">
        <f>SUM('All Email Performance'!J308:J309)</f>
        <v>304</v>
      </c>
      <c r="J210" s="70">
        <f t="shared" si="54"/>
        <v>6.2110532230054138E-3</v>
      </c>
      <c r="K210" s="70">
        <f t="shared" si="55"/>
        <v>1.5657996394540304E-2</v>
      </c>
      <c r="L210" s="69">
        <f>SUM('All Email Performance'!M308:M309)</f>
        <v>36</v>
      </c>
      <c r="M210" s="70">
        <f t="shared" si="56"/>
        <v>7.3551946061906222E-4</v>
      </c>
      <c r="N210" s="69" t="s">
        <v>16</v>
      </c>
    </row>
    <row r="211" spans="1:14" ht="24" customHeight="1" x14ac:dyDescent="0.3">
      <c r="A211" s="66" t="s">
        <v>26</v>
      </c>
      <c r="B211" s="67" t="s">
        <v>23</v>
      </c>
      <c r="C211" s="68">
        <v>44994</v>
      </c>
      <c r="D211" s="69">
        <f>'All Email Performance'!E310</f>
        <v>1643</v>
      </c>
      <c r="E211" s="70">
        <f t="shared" si="52"/>
        <v>0.99939135727328055</v>
      </c>
      <c r="F211" s="69">
        <f>'All Email Performance'!G310</f>
        <v>1</v>
      </c>
      <c r="G211" s="69">
        <f>'All Email Performance'!H310</f>
        <v>592</v>
      </c>
      <c r="H211" s="70">
        <f t="shared" si="53"/>
        <v>0.36031649421789408</v>
      </c>
      <c r="I211" s="69">
        <f>'All Email Performance'!J310</f>
        <v>13</v>
      </c>
      <c r="J211" s="70">
        <f t="shared" si="54"/>
        <v>7.9123554473524045E-3</v>
      </c>
      <c r="K211" s="70">
        <f t="shared" si="55"/>
        <v>2.1959459459459461E-2</v>
      </c>
      <c r="L211" s="69">
        <f>'All Email Performance'!M310</f>
        <v>0</v>
      </c>
      <c r="M211" s="70">
        <f t="shared" si="56"/>
        <v>0</v>
      </c>
      <c r="N211" s="69" t="s">
        <v>23</v>
      </c>
    </row>
    <row r="212" spans="1:14" ht="24" customHeight="1" x14ac:dyDescent="0.3">
      <c r="A212" s="76" t="s">
        <v>189</v>
      </c>
      <c r="B212" s="67" t="s">
        <v>16</v>
      </c>
      <c r="C212" s="68">
        <v>44995</v>
      </c>
      <c r="D212" s="69">
        <f>SUM('All Email Performance'!E311:E312)</f>
        <v>336224</v>
      </c>
      <c r="E212" s="70">
        <f t="shared" si="52"/>
        <v>0.99894713048443895</v>
      </c>
      <c r="F212" s="69">
        <f>SUM('All Email Performance'!G311:G312)</f>
        <v>354</v>
      </c>
      <c r="G212" s="69">
        <f>SUM('All Email Performance'!H311:H312)</f>
        <v>107290</v>
      </c>
      <c r="H212" s="70">
        <f t="shared" si="53"/>
        <v>0.31910274102978964</v>
      </c>
      <c r="I212" s="69">
        <f>SUM('All Email Performance'!J311:J312)</f>
        <v>2189</v>
      </c>
      <c r="J212" s="70">
        <f t="shared" si="54"/>
        <v>6.5105405919862946E-3</v>
      </c>
      <c r="K212" s="70">
        <f t="shared" si="55"/>
        <v>2.0402647031410197E-2</v>
      </c>
      <c r="L212" s="69">
        <f>SUM('All Email Performance'!M311:M312)</f>
        <v>592</v>
      </c>
      <c r="M212" s="70">
        <f t="shared" si="56"/>
        <v>1.7607309412772437E-3</v>
      </c>
      <c r="N212" s="69" t="s">
        <v>16</v>
      </c>
    </row>
    <row r="213" spans="1:14" ht="24" customHeight="1" x14ac:dyDescent="0.3">
      <c r="A213" s="76" t="s">
        <v>190</v>
      </c>
      <c r="B213" s="67" t="s">
        <v>16</v>
      </c>
      <c r="C213" s="68">
        <v>44995</v>
      </c>
      <c r="D213" s="69">
        <f>SUM('All Email Performance'!E313:E314)</f>
        <v>4541551</v>
      </c>
      <c r="E213" s="70">
        <f t="shared" si="52"/>
        <v>0.99809250187876342</v>
      </c>
      <c r="F213" s="69">
        <f>SUM('All Email Performance'!G313:G314)</f>
        <v>8663</v>
      </c>
      <c r="G213" s="69">
        <f>SUM('All Email Performance'!H313:H314)</f>
        <v>1606379</v>
      </c>
      <c r="H213" s="70">
        <f t="shared" si="53"/>
        <v>0.35370713661478204</v>
      </c>
      <c r="I213" s="69">
        <f>SUM('All Email Performance'!J313:J314)</f>
        <v>24557</v>
      </c>
      <c r="J213" s="70">
        <f t="shared" si="54"/>
        <v>5.4071835811157903E-3</v>
      </c>
      <c r="K213" s="70">
        <f t="shared" si="55"/>
        <v>1.5287176936451485E-2</v>
      </c>
      <c r="L213" s="69">
        <f>SUM('All Email Performance'!M313:M314)</f>
        <v>5894</v>
      </c>
      <c r="M213" s="70">
        <f t="shared" si="56"/>
        <v>1.2977945199778667E-3</v>
      </c>
      <c r="N213" s="69" t="s">
        <v>16</v>
      </c>
    </row>
    <row r="214" spans="1:14" ht="24" customHeight="1" x14ac:dyDescent="0.3">
      <c r="A214" s="66" t="s">
        <v>28</v>
      </c>
      <c r="B214" s="67" t="s">
        <v>16</v>
      </c>
      <c r="C214" s="68">
        <v>44995</v>
      </c>
      <c r="D214" s="69">
        <f>SUM('All Email Performance'!E315:E316)</f>
        <v>287555</v>
      </c>
      <c r="E214" s="70">
        <f t="shared" si="52"/>
        <v>0.99894628853610612</v>
      </c>
      <c r="F214" s="69">
        <f>SUM('All Email Performance'!G315:G316)</f>
        <v>303</v>
      </c>
      <c r="G214" s="69">
        <f>SUM('All Email Performance'!H315:H316)</f>
        <v>88153</v>
      </c>
      <c r="H214" s="70">
        <f t="shared" si="53"/>
        <v>0.30656048408130621</v>
      </c>
      <c r="I214" s="69">
        <f>SUM('All Email Performance'!J315:J316)</f>
        <v>1918</v>
      </c>
      <c r="J214" s="70">
        <f t="shared" si="54"/>
        <v>6.6700283424040614E-3</v>
      </c>
      <c r="K214" s="70">
        <f t="shared" si="55"/>
        <v>2.1757625945798782E-2</v>
      </c>
      <c r="L214" s="69">
        <f>SUM('All Email Performance'!M315:M316)</f>
        <v>719</v>
      </c>
      <c r="M214" s="70">
        <f t="shared" si="56"/>
        <v>2.5003912295039209E-3</v>
      </c>
      <c r="N214" s="69" t="s">
        <v>16</v>
      </c>
    </row>
    <row r="215" spans="1:14" ht="24" customHeight="1" x14ac:dyDescent="0.3">
      <c r="A215" s="66" t="s">
        <v>22</v>
      </c>
      <c r="B215" s="67" t="s">
        <v>16</v>
      </c>
      <c r="C215" s="68">
        <v>44995</v>
      </c>
      <c r="D215" s="69">
        <f>SUM('All Email Performance'!E317:E318)</f>
        <v>3922506</v>
      </c>
      <c r="E215" s="70">
        <f t="shared" si="52"/>
        <v>0.99797246964058184</v>
      </c>
      <c r="F215" s="69">
        <f>SUM('All Email Performance'!G317:G318)</f>
        <v>7953</v>
      </c>
      <c r="G215" s="69">
        <f>SUM('All Email Performance'!H317:H318)</f>
        <v>1484033</v>
      </c>
      <c r="H215" s="70">
        <f t="shared" si="53"/>
        <v>0.37833798087243209</v>
      </c>
      <c r="I215" s="69">
        <f>SUM('All Email Performance'!J317:J318)</f>
        <v>27550</v>
      </c>
      <c r="J215" s="70">
        <f t="shared" si="54"/>
        <v>7.023571155786632E-3</v>
      </c>
      <c r="K215" s="70">
        <f t="shared" si="55"/>
        <v>1.8564277209469061E-2</v>
      </c>
      <c r="L215" s="69">
        <f>SUM('All Email Performance'!M317:M318)</f>
        <v>6779</v>
      </c>
      <c r="M215" s="70">
        <f t="shared" si="56"/>
        <v>1.7282319007287689E-3</v>
      </c>
      <c r="N215" s="69" t="s">
        <v>16</v>
      </c>
    </row>
    <row r="216" spans="1:14" ht="24" customHeight="1" x14ac:dyDescent="0.3">
      <c r="A216" s="66" t="s">
        <v>33</v>
      </c>
      <c r="B216" s="67" t="s">
        <v>21</v>
      </c>
      <c r="C216" s="68">
        <v>44995</v>
      </c>
      <c r="D216" s="69">
        <f>'All Email Performance'!E319</f>
        <v>244272</v>
      </c>
      <c r="E216" s="70">
        <f t="shared" si="52"/>
        <v>0.99864495316696145</v>
      </c>
      <c r="F216" s="69">
        <f>'All Email Performance'!G319</f>
        <v>331</v>
      </c>
      <c r="G216" s="69">
        <f>'All Email Performance'!H319</f>
        <v>113808</v>
      </c>
      <c r="H216" s="70">
        <f t="shared" si="53"/>
        <v>0.46590685792886616</v>
      </c>
      <c r="I216" s="69">
        <f>'All Email Performance'!J319</f>
        <v>2357</v>
      </c>
      <c r="J216" s="70">
        <f t="shared" si="54"/>
        <v>9.6490797144167164E-3</v>
      </c>
      <c r="K216" s="70">
        <f t="shared" si="55"/>
        <v>2.0710319133980037E-2</v>
      </c>
      <c r="L216" s="69">
        <f>'All Email Performance'!M319</f>
        <v>246</v>
      </c>
      <c r="M216" s="70">
        <f t="shared" si="56"/>
        <v>1.0070740813519356E-3</v>
      </c>
      <c r="N216" s="69" t="s">
        <v>21</v>
      </c>
    </row>
    <row r="217" spans="1:14" ht="24" customHeight="1" x14ac:dyDescent="0.3">
      <c r="A217" s="66" t="s">
        <v>19</v>
      </c>
      <c r="B217" s="67" t="s">
        <v>21</v>
      </c>
      <c r="C217" s="68">
        <v>44995</v>
      </c>
      <c r="D217" s="69">
        <f>'All Email Performance'!E320</f>
        <v>332944</v>
      </c>
      <c r="E217" s="70">
        <f t="shared" si="52"/>
        <v>0.99804771973665241</v>
      </c>
      <c r="F217" s="69">
        <f>'All Email Performance'!G320</f>
        <v>650</v>
      </c>
      <c r="G217" s="69">
        <f>'All Email Performance'!H320</f>
        <v>125388</v>
      </c>
      <c r="H217" s="70">
        <f t="shared" si="53"/>
        <v>0.37660387332404249</v>
      </c>
      <c r="I217" s="69">
        <f>'All Email Performance'!J320</f>
        <v>2893</v>
      </c>
      <c r="J217" s="70">
        <f t="shared" si="54"/>
        <v>8.689148925945505E-3</v>
      </c>
      <c r="K217" s="70">
        <f t="shared" si="55"/>
        <v>2.3072383322167992E-2</v>
      </c>
      <c r="L217" s="69">
        <f>'All Email Performance'!M320</f>
        <v>376</v>
      </c>
      <c r="M217" s="70">
        <f t="shared" si="56"/>
        <v>1.1293190446441444E-3</v>
      </c>
      <c r="N217" s="69" t="s">
        <v>21</v>
      </c>
    </row>
    <row r="218" spans="1:14" ht="24" customHeight="1" x14ac:dyDescent="0.3">
      <c r="A218" s="76" t="s">
        <v>192</v>
      </c>
      <c r="B218" s="67" t="s">
        <v>30</v>
      </c>
      <c r="C218" s="68">
        <v>44996</v>
      </c>
      <c r="D218" s="69">
        <f>'All Email Performance'!E321</f>
        <v>160</v>
      </c>
      <c r="E218" s="70">
        <f t="shared" si="52"/>
        <v>1</v>
      </c>
      <c r="F218" s="69">
        <f>'All Email Performance'!G321</f>
        <v>0</v>
      </c>
      <c r="G218" s="69">
        <f>'All Email Performance'!H321</f>
        <v>63</v>
      </c>
      <c r="H218" s="70">
        <f t="shared" si="53"/>
        <v>0.39374999999999999</v>
      </c>
      <c r="I218" s="69">
        <f>'All Email Performance'!J321</f>
        <v>16</v>
      </c>
      <c r="J218" s="70">
        <f t="shared" si="54"/>
        <v>0.1</v>
      </c>
      <c r="K218" s="70">
        <f t="shared" si="55"/>
        <v>0.25396825396825395</v>
      </c>
      <c r="L218" s="69">
        <f>'All Email Performance'!M321</f>
        <v>0</v>
      </c>
      <c r="M218" s="70">
        <f t="shared" si="56"/>
        <v>0</v>
      </c>
      <c r="N218" s="69" t="s">
        <v>31</v>
      </c>
    </row>
    <row r="219" spans="1:14" ht="24" customHeight="1" x14ac:dyDescent="0.3">
      <c r="A219" s="76" t="s">
        <v>193</v>
      </c>
      <c r="B219" s="67" t="s">
        <v>30</v>
      </c>
      <c r="C219" s="68">
        <v>44996</v>
      </c>
      <c r="D219" s="69">
        <f>'All Email Performance'!E322</f>
        <v>4319</v>
      </c>
      <c r="E219" s="70">
        <f t="shared" si="52"/>
        <v>0.99768464922435751</v>
      </c>
      <c r="F219" s="69">
        <f>'All Email Performance'!G322</f>
        <v>10</v>
      </c>
      <c r="G219" s="69">
        <f>'All Email Performance'!H322</f>
        <v>1969</v>
      </c>
      <c r="H219" s="70">
        <f t="shared" si="53"/>
        <v>0.45589256772401021</v>
      </c>
      <c r="I219" s="69">
        <f>'All Email Performance'!J322</f>
        <v>538</v>
      </c>
      <c r="J219" s="70">
        <f t="shared" si="54"/>
        <v>0.12456587172956703</v>
      </c>
      <c r="K219" s="70">
        <f t="shared" si="55"/>
        <v>0.27323514474352462</v>
      </c>
      <c r="L219" s="69">
        <f>'All Email Performance'!M322</f>
        <v>4</v>
      </c>
      <c r="M219" s="70">
        <f t="shared" si="56"/>
        <v>9.2614031025700389E-4</v>
      </c>
      <c r="N219" s="69" t="s">
        <v>31</v>
      </c>
    </row>
    <row r="220" spans="1:14" ht="24" customHeight="1" x14ac:dyDescent="0.3">
      <c r="A220" s="76" t="s">
        <v>191</v>
      </c>
      <c r="B220" s="67" t="s">
        <v>16</v>
      </c>
      <c r="C220" s="68">
        <v>44996</v>
      </c>
      <c r="D220" s="69">
        <f>SUM('All Email Performance'!E323:E324)</f>
        <v>39427</v>
      </c>
      <c r="E220" s="70">
        <f t="shared" si="52"/>
        <v>0.99921373677936443</v>
      </c>
      <c r="F220" s="69">
        <f>SUM('All Email Performance'!G323:G324)</f>
        <v>31</v>
      </c>
      <c r="G220" s="69">
        <f>SUM('All Email Performance'!H323:H324)</f>
        <v>11968</v>
      </c>
      <c r="H220" s="70">
        <f t="shared" si="53"/>
        <v>0.30354832982473939</v>
      </c>
      <c r="I220" s="69">
        <f>SUM('All Email Performance'!J323:J324)</f>
        <v>255</v>
      </c>
      <c r="J220" s="70">
        <f t="shared" si="54"/>
        <v>6.4676490729702997E-3</v>
      </c>
      <c r="K220" s="70">
        <f t="shared" si="55"/>
        <v>2.130681818181818E-2</v>
      </c>
      <c r="L220" s="69">
        <f>SUM('All Email Performance'!M323:M324)</f>
        <v>85</v>
      </c>
      <c r="M220" s="70">
        <f t="shared" si="56"/>
        <v>2.1558830243234334E-3</v>
      </c>
      <c r="N220" s="69" t="s">
        <v>16</v>
      </c>
    </row>
    <row r="221" spans="1:14" ht="24" customHeight="1" x14ac:dyDescent="0.3">
      <c r="A221" s="76" t="s">
        <v>194</v>
      </c>
      <c r="B221" s="67" t="s">
        <v>16</v>
      </c>
      <c r="C221" s="68">
        <v>44996</v>
      </c>
      <c r="D221" s="69">
        <f>SUM('All Email Performance'!E325:E326)</f>
        <v>564823</v>
      </c>
      <c r="E221" s="70">
        <f t="shared" si="52"/>
        <v>0.99843667839305406</v>
      </c>
      <c r="F221" s="69">
        <f>SUM('All Email Performance'!G325:G326)</f>
        <v>883</v>
      </c>
      <c r="G221" s="69">
        <f>SUM('All Email Performance'!H325:H326)</f>
        <v>197070</v>
      </c>
      <c r="H221" s="70">
        <f t="shared" si="53"/>
        <v>0.3489057633984452</v>
      </c>
      <c r="I221" s="69">
        <f>SUM('All Email Performance'!J325:J326)</f>
        <v>3140</v>
      </c>
      <c r="J221" s="70">
        <f t="shared" si="54"/>
        <v>5.5592636985391884E-3</v>
      </c>
      <c r="K221" s="70">
        <f t="shared" si="55"/>
        <v>1.5933424671436547E-2</v>
      </c>
      <c r="L221" s="69">
        <f>SUM('All Email Performance'!M325:M326)</f>
        <v>780</v>
      </c>
      <c r="M221" s="70">
        <f t="shared" si="56"/>
        <v>1.3809635939046393E-3</v>
      </c>
      <c r="N221" s="69" t="s">
        <v>16</v>
      </c>
    </row>
    <row r="222" spans="1:14" ht="24" customHeight="1" x14ac:dyDescent="0.3">
      <c r="A222" s="76" t="s">
        <v>201</v>
      </c>
      <c r="B222" s="67" t="s">
        <v>27</v>
      </c>
      <c r="C222" s="68">
        <v>44998</v>
      </c>
      <c r="D222" s="69">
        <f>'All Email Performance'!E327</f>
        <v>213053</v>
      </c>
      <c r="E222" s="70">
        <f t="shared" ref="E222:E247" si="57">(D222-F222)/D222</f>
        <v>0.99851210731601991</v>
      </c>
      <c r="F222" s="69">
        <f>'All Email Performance'!G327</f>
        <v>317</v>
      </c>
      <c r="G222" s="69">
        <f>'All Email Performance'!H327</f>
        <v>67256</v>
      </c>
      <c r="H222" s="70">
        <f t="shared" ref="H222:H247" si="58">G222/D222</f>
        <v>0.31567731972795504</v>
      </c>
      <c r="I222" s="69">
        <f>'All Email Performance'!J327</f>
        <v>1470</v>
      </c>
      <c r="J222" s="70">
        <f t="shared" ref="J222:J247" si="59">I222/D222</f>
        <v>6.8996916260273267E-3</v>
      </c>
      <c r="K222" s="70">
        <f t="shared" ref="K222:K247" si="60">I222/G222</f>
        <v>2.1856786011656953E-2</v>
      </c>
      <c r="L222" s="69">
        <f>'All Email Performance'!M327</f>
        <v>396</v>
      </c>
      <c r="M222" s="70">
        <f t="shared" ref="M222:M247" si="61">L222/D222</f>
        <v>1.8586924380318511E-3</v>
      </c>
      <c r="N222" s="69" t="s">
        <v>27</v>
      </c>
    </row>
    <row r="223" spans="1:14" ht="24" customHeight="1" x14ac:dyDescent="0.3">
      <c r="A223" s="76" t="s">
        <v>202</v>
      </c>
      <c r="B223" s="67" t="s">
        <v>16</v>
      </c>
      <c r="C223" s="68">
        <v>44998</v>
      </c>
      <c r="D223" s="69">
        <f>SUM('All Email Performance'!E328:E329)</f>
        <v>336115</v>
      </c>
      <c r="E223" s="70">
        <f t="shared" si="57"/>
        <v>0.99902711869449445</v>
      </c>
      <c r="F223" s="69">
        <f>SUM('All Email Performance'!G328:G329)</f>
        <v>327</v>
      </c>
      <c r="G223" s="69">
        <f>SUM('All Email Performance'!H328:H329)</f>
        <v>116912</v>
      </c>
      <c r="H223" s="70">
        <f t="shared" si="58"/>
        <v>0.34783333085402318</v>
      </c>
      <c r="I223" s="69">
        <f>SUM('All Email Performance'!J328:J329)</f>
        <v>1894</v>
      </c>
      <c r="J223" s="70">
        <f t="shared" si="59"/>
        <v>5.6349761242431903E-3</v>
      </c>
      <c r="K223" s="70">
        <f t="shared" si="60"/>
        <v>1.6200218968112769E-2</v>
      </c>
      <c r="L223" s="69">
        <f>SUM('All Email Performance'!M328:M329)</f>
        <v>373</v>
      </c>
      <c r="M223" s="70">
        <f t="shared" si="61"/>
        <v>1.1097392261577139E-3</v>
      </c>
      <c r="N223" s="69" t="s">
        <v>16</v>
      </c>
    </row>
    <row r="224" spans="1:14" ht="24" customHeight="1" x14ac:dyDescent="0.3">
      <c r="A224" s="76" t="s">
        <v>203</v>
      </c>
      <c r="B224" s="67" t="s">
        <v>16</v>
      </c>
      <c r="C224" s="68">
        <v>44998</v>
      </c>
      <c r="D224" s="69">
        <f>SUM('All Email Performance'!E330:E331)</f>
        <v>4542414</v>
      </c>
      <c r="E224" s="70">
        <f t="shared" si="57"/>
        <v>0.99811003576512403</v>
      </c>
      <c r="F224" s="69">
        <f>SUM('All Email Performance'!G330:G331)</f>
        <v>8585</v>
      </c>
      <c r="G224" s="69">
        <f>SUM('All Email Performance'!H330:H331)</f>
        <v>1701904</v>
      </c>
      <c r="H224" s="70">
        <f t="shared" si="58"/>
        <v>0.37466950392456522</v>
      </c>
      <c r="I224" s="69">
        <f>SUM('All Email Performance'!J330:J331)</f>
        <v>18754</v>
      </c>
      <c r="J224" s="70">
        <f t="shared" si="59"/>
        <v>4.1286417310267181E-3</v>
      </c>
      <c r="K224" s="70">
        <f t="shared" si="60"/>
        <v>1.1019422952175915E-2</v>
      </c>
      <c r="L224" s="69">
        <f>SUM('All Email Performance'!M330:M331)</f>
        <v>4228</v>
      </c>
      <c r="M224" s="70">
        <f t="shared" si="61"/>
        <v>9.3078261910957481E-4</v>
      </c>
      <c r="N224" s="69" t="s">
        <v>16</v>
      </c>
    </row>
    <row r="225" spans="1:14" ht="24" customHeight="1" x14ac:dyDescent="0.3">
      <c r="A225" s="76" t="s">
        <v>204</v>
      </c>
      <c r="B225" s="67" t="s">
        <v>21</v>
      </c>
      <c r="C225" s="68">
        <v>44998</v>
      </c>
      <c r="D225" s="69">
        <f>SUM('All Email Performance'!E332:E333)</f>
        <v>336078</v>
      </c>
      <c r="E225" s="70">
        <f t="shared" si="57"/>
        <v>0.99905379108421255</v>
      </c>
      <c r="F225" s="69">
        <f>SUM('All Email Performance'!G332:G333)</f>
        <v>318</v>
      </c>
      <c r="G225" s="69">
        <f>SUM('All Email Performance'!H332:H333)</f>
        <v>101338</v>
      </c>
      <c r="H225" s="70">
        <f t="shared" si="58"/>
        <v>0.30153119216372387</v>
      </c>
      <c r="I225" s="69">
        <f>SUM('All Email Performance'!J332:J333)</f>
        <v>2476</v>
      </c>
      <c r="J225" s="70">
        <f t="shared" si="59"/>
        <v>7.367337344306976E-3</v>
      </c>
      <c r="K225" s="70">
        <f t="shared" si="60"/>
        <v>2.4433085318439282E-2</v>
      </c>
      <c r="L225" s="69">
        <f>SUM('All Email Performance'!M332:M333)</f>
        <v>434</v>
      </c>
      <c r="M225" s="70">
        <f t="shared" si="61"/>
        <v>1.2913668850683471E-3</v>
      </c>
      <c r="N225" s="69" t="s">
        <v>21</v>
      </c>
    </row>
    <row r="226" spans="1:14" ht="24" customHeight="1" x14ac:dyDescent="0.3">
      <c r="A226" s="76" t="s">
        <v>205</v>
      </c>
      <c r="B226" s="67" t="s">
        <v>21</v>
      </c>
      <c r="C226" s="68">
        <v>44998</v>
      </c>
      <c r="D226" s="69">
        <f>SUM('All Email Performance'!E334:E335)</f>
        <v>4547153</v>
      </c>
      <c r="E226" s="70">
        <f t="shared" si="57"/>
        <v>0.99828134219367592</v>
      </c>
      <c r="F226" s="69">
        <f>SUM('All Email Performance'!G334:G335)</f>
        <v>7815</v>
      </c>
      <c r="G226" s="69">
        <f>SUM('All Email Performance'!H334:H335)</f>
        <v>2217411</v>
      </c>
      <c r="H226" s="70">
        <f t="shared" si="58"/>
        <v>0.48764820537158088</v>
      </c>
      <c r="I226" s="69">
        <f>SUM('All Email Performance'!J334:J335)</f>
        <v>33207</v>
      </c>
      <c r="J226" s="70">
        <f t="shared" si="59"/>
        <v>7.302811231555217E-3</v>
      </c>
      <c r="K226" s="70">
        <f t="shared" si="60"/>
        <v>1.4975572864029266E-2</v>
      </c>
      <c r="L226" s="69">
        <f>SUM('All Email Performance'!M334:M335)</f>
        <v>6918</v>
      </c>
      <c r="M226" s="70">
        <f t="shared" si="61"/>
        <v>1.5213915168458155E-3</v>
      </c>
      <c r="N226" s="69" t="s">
        <v>21</v>
      </c>
    </row>
    <row r="227" spans="1:14" ht="24" customHeight="1" x14ac:dyDescent="0.3">
      <c r="A227" s="76" t="s">
        <v>206</v>
      </c>
      <c r="B227" s="67" t="s">
        <v>27</v>
      </c>
      <c r="C227" s="68">
        <v>44999</v>
      </c>
      <c r="D227" s="69">
        <f>'All Email Performance'!E336</f>
        <v>26398</v>
      </c>
      <c r="E227" s="70">
        <f t="shared" si="57"/>
        <v>0.99856049700734906</v>
      </c>
      <c r="F227" s="69">
        <f>'All Email Performance'!G336</f>
        <v>38</v>
      </c>
      <c r="G227" s="69">
        <f>'All Email Performance'!H336</f>
        <v>7109</v>
      </c>
      <c r="H227" s="70">
        <f t="shared" si="58"/>
        <v>0.26930070459883326</v>
      </c>
      <c r="I227" s="69">
        <f>'All Email Performance'!J336</f>
        <v>168</v>
      </c>
      <c r="J227" s="70">
        <f t="shared" si="59"/>
        <v>6.3641184938252899E-3</v>
      </c>
      <c r="K227" s="70">
        <f t="shared" si="60"/>
        <v>2.3632015754677171E-2</v>
      </c>
      <c r="L227" s="69">
        <f>'All Email Performance'!M336</f>
        <v>27</v>
      </c>
      <c r="M227" s="70">
        <f t="shared" si="61"/>
        <v>1.0228047579362073E-3</v>
      </c>
      <c r="N227" s="69" t="s">
        <v>27</v>
      </c>
    </row>
    <row r="228" spans="1:14" ht="24" customHeight="1" x14ac:dyDescent="0.3">
      <c r="A228" s="66" t="s">
        <v>29</v>
      </c>
      <c r="B228" s="67" t="s">
        <v>16</v>
      </c>
      <c r="C228" s="68">
        <v>44999</v>
      </c>
      <c r="D228" s="69">
        <f>SUM('All Email Performance'!E337:E338)</f>
        <v>48632</v>
      </c>
      <c r="E228" s="70">
        <f t="shared" si="57"/>
        <v>0.99913637111367004</v>
      </c>
      <c r="F228" s="69">
        <f>SUM('All Email Performance'!G337:G338)</f>
        <v>42</v>
      </c>
      <c r="G228" s="69">
        <f>SUM('All Email Performance'!H337:H338)</f>
        <v>17262</v>
      </c>
      <c r="H228" s="70">
        <f t="shared" si="58"/>
        <v>0.35495147228162527</v>
      </c>
      <c r="I228" s="69">
        <f>SUM('All Email Performance'!J337:J338)</f>
        <v>413</v>
      </c>
      <c r="J228" s="70">
        <f t="shared" si="59"/>
        <v>8.4923507155782209E-3</v>
      </c>
      <c r="K228" s="70">
        <f t="shared" si="60"/>
        <v>2.3925385239253853E-2</v>
      </c>
      <c r="L228" s="69">
        <f>SUM('All Email Performance'!M337:M338)</f>
        <v>16</v>
      </c>
      <c r="M228" s="70">
        <f t="shared" si="61"/>
        <v>3.2900148050666228E-4</v>
      </c>
      <c r="N228" s="69" t="s">
        <v>16</v>
      </c>
    </row>
    <row r="229" spans="1:14" ht="24" customHeight="1" x14ac:dyDescent="0.3">
      <c r="A229" s="66" t="s">
        <v>17</v>
      </c>
      <c r="B229" s="67" t="s">
        <v>16</v>
      </c>
      <c r="C229" s="68">
        <v>44999</v>
      </c>
      <c r="D229" s="69">
        <f>SUM('All Email Performance'!E339:E340)</f>
        <v>649604</v>
      </c>
      <c r="E229" s="70">
        <f t="shared" si="57"/>
        <v>0.99848061280410838</v>
      </c>
      <c r="F229" s="69">
        <f>SUM('All Email Performance'!G339:G340)</f>
        <v>987</v>
      </c>
      <c r="G229" s="69">
        <f>SUM('All Email Performance'!H339:H340)</f>
        <v>255234</v>
      </c>
      <c r="H229" s="70">
        <f t="shared" si="58"/>
        <v>0.39290706338015158</v>
      </c>
      <c r="I229" s="69">
        <f>SUM('All Email Performance'!J339:J340)</f>
        <v>4718</v>
      </c>
      <c r="J229" s="70">
        <f t="shared" si="59"/>
        <v>7.2628863122764023E-3</v>
      </c>
      <c r="K229" s="70">
        <f t="shared" si="60"/>
        <v>1.8484998080193077E-2</v>
      </c>
      <c r="L229" s="69">
        <f>SUM('All Email Performance'!M339:M340)</f>
        <v>325</v>
      </c>
      <c r="M229" s="70">
        <f t="shared" si="61"/>
        <v>5.0030480107881106E-4</v>
      </c>
      <c r="N229" s="69" t="s">
        <v>16</v>
      </c>
    </row>
    <row r="230" spans="1:14" ht="24" customHeight="1" x14ac:dyDescent="0.3">
      <c r="A230" s="76" t="s">
        <v>207</v>
      </c>
      <c r="B230" s="67" t="s">
        <v>16</v>
      </c>
      <c r="C230" s="68">
        <v>44999</v>
      </c>
      <c r="D230" s="69">
        <f>SUM('All Email Performance'!E341:E342)</f>
        <v>23316</v>
      </c>
      <c r="E230" s="70">
        <f t="shared" si="57"/>
        <v>0.99888488591525137</v>
      </c>
      <c r="F230" s="69">
        <f>SUM('All Email Performance'!G341:G342)</f>
        <v>26</v>
      </c>
      <c r="G230" s="69">
        <f>SUM('All Email Performance'!H341:H342)</f>
        <v>9960</v>
      </c>
      <c r="H230" s="70">
        <f t="shared" si="58"/>
        <v>0.42717447246525991</v>
      </c>
      <c r="I230" s="69">
        <f>SUM('All Email Performance'!J341:J342)</f>
        <v>325</v>
      </c>
      <c r="J230" s="70">
        <f t="shared" si="59"/>
        <v>1.393892605935838E-2</v>
      </c>
      <c r="K230" s="70">
        <f t="shared" si="60"/>
        <v>3.2630522088353417E-2</v>
      </c>
      <c r="L230" s="69">
        <f>SUM('All Email Performance'!M341:M342)</f>
        <v>9</v>
      </c>
      <c r="M230" s="70">
        <f t="shared" si="61"/>
        <v>3.8600102933607824E-4</v>
      </c>
      <c r="N230" s="69" t="s">
        <v>16</v>
      </c>
    </row>
    <row r="231" spans="1:14" ht="24" customHeight="1" x14ac:dyDescent="0.3">
      <c r="A231" s="76" t="s">
        <v>208</v>
      </c>
      <c r="B231" s="67" t="s">
        <v>16</v>
      </c>
      <c r="C231" s="68">
        <v>44999</v>
      </c>
      <c r="D231" s="69">
        <f>SUM('All Email Performance'!E343:E344)</f>
        <v>230641</v>
      </c>
      <c r="E231" s="70">
        <f t="shared" si="57"/>
        <v>0.99830038891610773</v>
      </c>
      <c r="F231" s="69">
        <f>SUM('All Email Performance'!G343:G344)</f>
        <v>392</v>
      </c>
      <c r="G231" s="69">
        <f>SUM('All Email Performance'!H343:H344)</f>
        <v>100561</v>
      </c>
      <c r="H231" s="70">
        <f t="shared" si="58"/>
        <v>0.43600660767166288</v>
      </c>
      <c r="I231" s="69">
        <f>SUM('All Email Performance'!J343:J344)</f>
        <v>2009</v>
      </c>
      <c r="J231" s="70">
        <f t="shared" si="59"/>
        <v>8.7105068049479501E-3</v>
      </c>
      <c r="K231" s="70">
        <f t="shared" si="60"/>
        <v>1.9977923847217111E-2</v>
      </c>
      <c r="L231" s="69">
        <f>SUM('All Email Performance'!M343:M344)</f>
        <v>115</v>
      </c>
      <c r="M231" s="70">
        <f t="shared" si="61"/>
        <v>4.9861039450921558E-4</v>
      </c>
      <c r="N231" s="69" t="s">
        <v>16</v>
      </c>
    </row>
    <row r="232" spans="1:14" ht="24" customHeight="1" x14ac:dyDescent="0.3">
      <c r="A232" s="76" t="s">
        <v>209</v>
      </c>
      <c r="B232" s="67" t="s">
        <v>27</v>
      </c>
      <c r="C232" s="68">
        <v>45000</v>
      </c>
      <c r="D232" s="69">
        <f>'All Email Performance'!E345</f>
        <v>15938</v>
      </c>
      <c r="E232" s="70">
        <f t="shared" si="57"/>
        <v>0.99861965114819928</v>
      </c>
      <c r="F232" s="69">
        <f>'All Email Performance'!G345</f>
        <v>22</v>
      </c>
      <c r="G232" s="69">
        <f>'All Email Performance'!H345</f>
        <v>5734</v>
      </c>
      <c r="H232" s="70">
        <f t="shared" si="58"/>
        <v>0.35976910528297151</v>
      </c>
      <c r="I232" s="69">
        <f>'All Email Performance'!J345</f>
        <v>185</v>
      </c>
      <c r="J232" s="70">
        <f t="shared" si="59"/>
        <v>1.1607478981051574E-2</v>
      </c>
      <c r="K232" s="70">
        <f t="shared" si="60"/>
        <v>3.2263690268573425E-2</v>
      </c>
      <c r="L232" s="69">
        <f>'All Email Performance'!M345</f>
        <v>26</v>
      </c>
      <c r="M232" s="70">
        <f t="shared" si="61"/>
        <v>1.6313213703099511E-3</v>
      </c>
      <c r="N232" s="69" t="s">
        <v>27</v>
      </c>
    </row>
    <row r="233" spans="1:14" ht="24" customHeight="1" x14ac:dyDescent="0.3">
      <c r="A233" s="76" t="s">
        <v>210</v>
      </c>
      <c r="B233" s="67" t="s">
        <v>27</v>
      </c>
      <c r="C233" s="68">
        <v>45000</v>
      </c>
      <c r="D233" s="69">
        <f>'All Email Performance'!E346</f>
        <v>12600</v>
      </c>
      <c r="E233" s="70">
        <f t="shared" si="57"/>
        <v>0.99746031746031749</v>
      </c>
      <c r="F233" s="69">
        <f>'All Email Performance'!G346</f>
        <v>32</v>
      </c>
      <c r="G233" s="69">
        <f>'All Email Performance'!H346</f>
        <v>4692</v>
      </c>
      <c r="H233" s="70">
        <f t="shared" si="58"/>
        <v>0.37238095238095237</v>
      </c>
      <c r="I233" s="69">
        <f>'All Email Performance'!J346</f>
        <v>145</v>
      </c>
      <c r="J233" s="70">
        <f t="shared" si="59"/>
        <v>1.1507936507936509E-2</v>
      </c>
      <c r="K233" s="70">
        <f t="shared" si="60"/>
        <v>3.0903665814151746E-2</v>
      </c>
      <c r="L233" s="69">
        <f>'All Email Performance'!M346</f>
        <v>20</v>
      </c>
      <c r="M233" s="70">
        <f t="shared" si="61"/>
        <v>1.5873015873015873E-3</v>
      </c>
      <c r="N233" s="69" t="s">
        <v>27</v>
      </c>
    </row>
    <row r="234" spans="1:14" ht="24" customHeight="1" x14ac:dyDescent="0.3">
      <c r="A234" s="76" t="s">
        <v>211</v>
      </c>
      <c r="B234" s="67" t="s">
        <v>27</v>
      </c>
      <c r="C234" s="68">
        <v>45000</v>
      </c>
      <c r="D234" s="69">
        <f>'All Email Performance'!E347</f>
        <v>28932</v>
      </c>
      <c r="E234" s="70">
        <f t="shared" si="57"/>
        <v>0.99688925756947322</v>
      </c>
      <c r="F234" s="69">
        <f>'All Email Performance'!G347</f>
        <v>90</v>
      </c>
      <c r="G234" s="69">
        <f>'All Email Performance'!H347</f>
        <v>10301</v>
      </c>
      <c r="H234" s="70">
        <f t="shared" si="58"/>
        <v>0.35604175307617864</v>
      </c>
      <c r="I234" s="69">
        <f>'All Email Performance'!J347</f>
        <v>291</v>
      </c>
      <c r="J234" s="70">
        <f t="shared" si="59"/>
        <v>1.00580671920365E-2</v>
      </c>
      <c r="K234" s="70">
        <f t="shared" si="60"/>
        <v>2.8249684496650811E-2</v>
      </c>
      <c r="L234" s="69">
        <f>'All Email Performance'!M347</f>
        <v>65</v>
      </c>
      <c r="M234" s="70">
        <f t="shared" si="61"/>
        <v>2.2466473109359879E-3</v>
      </c>
      <c r="N234" s="69" t="s">
        <v>27</v>
      </c>
    </row>
    <row r="235" spans="1:14" ht="24" customHeight="1" x14ac:dyDescent="0.3">
      <c r="A235" s="76" t="s">
        <v>212</v>
      </c>
      <c r="B235" s="67" t="s">
        <v>27</v>
      </c>
      <c r="C235" s="68">
        <v>45000</v>
      </c>
      <c r="D235" s="69">
        <f>'All Email Performance'!E348</f>
        <v>247371</v>
      </c>
      <c r="E235" s="70">
        <f t="shared" si="57"/>
        <v>0.99847597333559712</v>
      </c>
      <c r="F235" s="69">
        <f>'All Email Performance'!G348</f>
        <v>377</v>
      </c>
      <c r="G235" s="69">
        <f>'All Email Performance'!H348</f>
        <v>74846</v>
      </c>
      <c r="H235" s="70">
        <f t="shared" si="58"/>
        <v>0.30256578176099869</v>
      </c>
      <c r="I235" s="69">
        <f>'All Email Performance'!J348</f>
        <v>1609</v>
      </c>
      <c r="J235" s="70">
        <f t="shared" si="59"/>
        <v>6.504400273273747E-3</v>
      </c>
      <c r="K235" s="70">
        <f t="shared" si="60"/>
        <v>2.1497474814953371E-2</v>
      </c>
      <c r="L235" s="69">
        <f>'All Email Performance'!M348</f>
        <v>395</v>
      </c>
      <c r="M235" s="70">
        <f t="shared" si="61"/>
        <v>1.5967918632337663E-3</v>
      </c>
      <c r="N235" s="69" t="s">
        <v>27</v>
      </c>
    </row>
    <row r="236" spans="1:14" ht="24" customHeight="1" x14ac:dyDescent="0.3">
      <c r="A236" s="76" t="s">
        <v>32</v>
      </c>
      <c r="B236" s="67" t="s">
        <v>23</v>
      </c>
      <c r="C236" s="68">
        <v>45000</v>
      </c>
      <c r="D236" s="69">
        <f>'All Email Performance'!E349</f>
        <v>295</v>
      </c>
      <c r="E236" s="70">
        <f t="shared" si="57"/>
        <v>0.99322033898305084</v>
      </c>
      <c r="F236" s="69">
        <f>'All Email Performance'!G349</f>
        <v>2</v>
      </c>
      <c r="G236" s="69">
        <f>'All Email Performance'!H349</f>
        <v>114</v>
      </c>
      <c r="H236" s="70">
        <f t="shared" si="58"/>
        <v>0.38644067796610171</v>
      </c>
      <c r="I236" s="69">
        <f>'All Email Performance'!J349</f>
        <v>6</v>
      </c>
      <c r="J236" s="70">
        <f t="shared" si="59"/>
        <v>2.0338983050847456E-2</v>
      </c>
      <c r="K236" s="70">
        <f t="shared" si="60"/>
        <v>5.2631578947368418E-2</v>
      </c>
      <c r="L236" s="69">
        <f>'All Email Performance'!M349</f>
        <v>0</v>
      </c>
      <c r="M236" s="70">
        <f t="shared" si="61"/>
        <v>0</v>
      </c>
      <c r="N236" s="69" t="s">
        <v>23</v>
      </c>
    </row>
    <row r="237" spans="1:14" ht="24" customHeight="1" x14ac:dyDescent="0.3">
      <c r="A237" s="66" t="s">
        <v>26</v>
      </c>
      <c r="B237" s="67" t="s">
        <v>23</v>
      </c>
      <c r="C237" s="68">
        <v>45001</v>
      </c>
      <c r="D237" s="69">
        <f>'All Email Performance'!E350</f>
        <v>1641</v>
      </c>
      <c r="E237" s="70">
        <f t="shared" si="57"/>
        <v>0.99878123095673366</v>
      </c>
      <c r="F237" s="69">
        <f>'All Email Performance'!G350</f>
        <v>2</v>
      </c>
      <c r="G237" s="69">
        <f>'All Email Performance'!H350</f>
        <v>587</v>
      </c>
      <c r="H237" s="70">
        <f t="shared" si="58"/>
        <v>0.35770871419865935</v>
      </c>
      <c r="I237" s="69">
        <f>'All Email Performance'!J350</f>
        <v>21</v>
      </c>
      <c r="J237" s="70">
        <f t="shared" si="59"/>
        <v>1.2797074954296161E-2</v>
      </c>
      <c r="K237" s="70">
        <f t="shared" si="60"/>
        <v>3.5775127768313458E-2</v>
      </c>
      <c r="L237" s="69">
        <f>'All Email Performance'!M350</f>
        <v>0</v>
      </c>
      <c r="M237" s="70">
        <f t="shared" si="61"/>
        <v>0</v>
      </c>
      <c r="N237" s="69" t="s">
        <v>23</v>
      </c>
    </row>
    <row r="238" spans="1:14" ht="24" customHeight="1" x14ac:dyDescent="0.3">
      <c r="A238" s="76" t="s">
        <v>213</v>
      </c>
      <c r="B238" s="67" t="s">
        <v>16</v>
      </c>
      <c r="C238" s="68">
        <v>45001</v>
      </c>
      <c r="D238" s="69">
        <f>'All Email Performance'!E351</f>
        <v>50647</v>
      </c>
      <c r="E238" s="70">
        <f t="shared" si="57"/>
        <v>0.9989732856832586</v>
      </c>
      <c r="F238" s="69">
        <f>'All Email Performance'!G351</f>
        <v>52</v>
      </c>
      <c r="G238" s="69">
        <f>'All Email Performance'!H351</f>
        <v>16653</v>
      </c>
      <c r="H238" s="70">
        <f t="shared" si="58"/>
        <v>0.32880525993642268</v>
      </c>
      <c r="I238" s="69">
        <f>'All Email Performance'!J351</f>
        <v>222</v>
      </c>
      <c r="J238" s="70">
        <f t="shared" si="59"/>
        <v>4.3832803522419889E-3</v>
      </c>
      <c r="K238" s="70">
        <f t="shared" si="60"/>
        <v>1.3330931363718249E-2</v>
      </c>
      <c r="L238" s="69">
        <f>'All Email Performance'!M351</f>
        <v>8</v>
      </c>
      <c r="M238" s="70">
        <f t="shared" si="61"/>
        <v>1.5795604872944103E-4</v>
      </c>
      <c r="N238" s="69" t="s">
        <v>16</v>
      </c>
    </row>
    <row r="239" spans="1:14" ht="24" customHeight="1" x14ac:dyDescent="0.3">
      <c r="A239" s="76" t="s">
        <v>214</v>
      </c>
      <c r="B239" s="67" t="s">
        <v>16</v>
      </c>
      <c r="C239" s="68">
        <v>45001</v>
      </c>
      <c r="D239" s="69">
        <f>'All Email Performance'!E352</f>
        <v>2682</v>
      </c>
      <c r="E239" s="70">
        <f t="shared" si="57"/>
        <v>0.9992542878448919</v>
      </c>
      <c r="F239" s="69">
        <f>'All Email Performance'!G352</f>
        <v>2</v>
      </c>
      <c r="G239" s="69">
        <f>'All Email Performance'!H352</f>
        <v>860</v>
      </c>
      <c r="H239" s="70">
        <f t="shared" si="58"/>
        <v>0.32065622669649513</v>
      </c>
      <c r="I239" s="69">
        <f>'All Email Performance'!J352</f>
        <v>8</v>
      </c>
      <c r="J239" s="70">
        <f t="shared" si="59"/>
        <v>2.9828486204325128E-3</v>
      </c>
      <c r="K239" s="70">
        <f t="shared" si="60"/>
        <v>9.3023255813953487E-3</v>
      </c>
      <c r="L239" s="69">
        <f>'All Email Performance'!M352</f>
        <v>0</v>
      </c>
      <c r="M239" s="70">
        <f t="shared" si="61"/>
        <v>0</v>
      </c>
      <c r="N239" s="69" t="s">
        <v>16</v>
      </c>
    </row>
    <row r="240" spans="1:14" ht="24" customHeight="1" x14ac:dyDescent="0.3">
      <c r="A240" s="66" t="s">
        <v>28</v>
      </c>
      <c r="B240" s="67" t="s">
        <v>16</v>
      </c>
      <c r="C240" s="68">
        <v>45002</v>
      </c>
      <c r="D240" s="69">
        <f>SUM('All Email Performance'!E353:E354)</f>
        <v>285890</v>
      </c>
      <c r="E240" s="70">
        <f t="shared" si="57"/>
        <v>0.99883171849312669</v>
      </c>
      <c r="F240" s="69">
        <f>SUM('All Email Performance'!G353:G354)</f>
        <v>334</v>
      </c>
      <c r="G240" s="69">
        <f>SUM('All Email Performance'!H353:H354)</f>
        <v>87223</v>
      </c>
      <c r="H240" s="70">
        <f t="shared" si="58"/>
        <v>0.30509286788624995</v>
      </c>
      <c r="I240" s="69">
        <f>SUM('All Email Performance'!J353:J354)</f>
        <v>1657</v>
      </c>
      <c r="J240" s="70">
        <f t="shared" si="59"/>
        <v>5.7959354996677042E-3</v>
      </c>
      <c r="K240" s="70">
        <f t="shared" si="60"/>
        <v>1.8997282826777342E-2</v>
      </c>
      <c r="L240" s="69">
        <f>SUM('All Email Performance'!M353:M354)</f>
        <v>224</v>
      </c>
      <c r="M240" s="70">
        <f t="shared" si="61"/>
        <v>7.8351813634614713E-4</v>
      </c>
      <c r="N240" s="69" t="s">
        <v>16</v>
      </c>
    </row>
    <row r="241" spans="1:14" ht="24" customHeight="1" x14ac:dyDescent="0.3">
      <c r="A241" s="66" t="s">
        <v>22</v>
      </c>
      <c r="B241" s="67" t="s">
        <v>16</v>
      </c>
      <c r="C241" s="68">
        <v>45002</v>
      </c>
      <c r="D241" s="69">
        <f>SUM('All Email Performance'!E355:E356)</f>
        <v>3929651</v>
      </c>
      <c r="E241" s="70">
        <f t="shared" si="57"/>
        <v>0.99793213188652119</v>
      </c>
      <c r="F241" s="69">
        <f>SUM('All Email Performance'!G355:G356)</f>
        <v>8126</v>
      </c>
      <c r="G241" s="69">
        <f>SUM('All Email Performance'!H355:H356)</f>
        <v>1466491</v>
      </c>
      <c r="H241" s="70">
        <f t="shared" si="58"/>
        <v>0.37318606665070259</v>
      </c>
      <c r="I241" s="69">
        <f>SUM('All Email Performance'!J355:J356)</f>
        <v>19743</v>
      </c>
      <c r="J241" s="70">
        <f t="shared" si="59"/>
        <v>5.0241102835849802E-3</v>
      </c>
      <c r="K241" s="70">
        <f t="shared" si="60"/>
        <v>1.3462748833780774E-2</v>
      </c>
      <c r="L241" s="69">
        <f>SUM('All Email Performance'!M355:M356)</f>
        <v>2628</v>
      </c>
      <c r="M241" s="70">
        <f t="shared" si="61"/>
        <v>6.687616788361104E-4</v>
      </c>
      <c r="N241" s="69" t="s">
        <v>16</v>
      </c>
    </row>
    <row r="242" spans="1:14" ht="24" customHeight="1" x14ac:dyDescent="0.3">
      <c r="A242" s="66" t="s">
        <v>33</v>
      </c>
      <c r="B242" s="67" t="s">
        <v>21</v>
      </c>
      <c r="C242" s="68">
        <v>45002</v>
      </c>
      <c r="D242" s="69">
        <f>'All Email Performance'!E357</f>
        <v>242816</v>
      </c>
      <c r="E242" s="70">
        <f t="shared" si="57"/>
        <v>0.99848856747496051</v>
      </c>
      <c r="F242" s="69">
        <f>'All Email Performance'!G357</f>
        <v>367</v>
      </c>
      <c r="G242" s="69">
        <f>'All Email Performance'!H357</f>
        <v>108423</v>
      </c>
      <c r="H242" s="70">
        <f t="shared" si="58"/>
        <v>0.44652329335793356</v>
      </c>
      <c r="I242" s="69">
        <f>'All Email Performance'!J357</f>
        <v>2193</v>
      </c>
      <c r="J242" s="70">
        <f t="shared" si="59"/>
        <v>9.0315300474433317E-3</v>
      </c>
      <c r="K242" s="70">
        <f t="shared" si="60"/>
        <v>2.0226335740571651E-2</v>
      </c>
      <c r="L242" s="69">
        <f>'All Email Performance'!M357</f>
        <v>109</v>
      </c>
      <c r="M242" s="70">
        <f t="shared" si="61"/>
        <v>4.4889957828149712E-4</v>
      </c>
      <c r="N242" s="69" t="s">
        <v>21</v>
      </c>
    </row>
    <row r="243" spans="1:14" ht="24" customHeight="1" x14ac:dyDescent="0.3">
      <c r="A243" s="66" t="s">
        <v>19</v>
      </c>
      <c r="B243" s="67" t="s">
        <v>21</v>
      </c>
      <c r="C243" s="68">
        <v>45002</v>
      </c>
      <c r="D243" s="69">
        <f>'All Email Performance'!E358</f>
        <v>332925</v>
      </c>
      <c r="E243" s="70">
        <f t="shared" si="57"/>
        <v>0.9977922955620635</v>
      </c>
      <c r="F243" s="69">
        <f>'All Email Performance'!G358</f>
        <v>735</v>
      </c>
      <c r="G243" s="69">
        <f>'All Email Performance'!H358</f>
        <v>121920</v>
      </c>
      <c r="H243" s="70">
        <f t="shared" si="58"/>
        <v>0.36620860554178869</v>
      </c>
      <c r="I243" s="69">
        <f>'All Email Performance'!J358</f>
        <v>2847</v>
      </c>
      <c r="J243" s="70">
        <f t="shared" si="59"/>
        <v>8.5514755575580078E-3</v>
      </c>
      <c r="K243" s="70">
        <f t="shared" si="60"/>
        <v>2.3351377952755905E-2</v>
      </c>
      <c r="L243" s="69">
        <f>'All Email Performance'!M358</f>
        <v>222</v>
      </c>
      <c r="M243" s="70">
        <f t="shared" si="61"/>
        <v>6.668168506420365E-4</v>
      </c>
      <c r="N243" s="69" t="s">
        <v>21</v>
      </c>
    </row>
    <row r="244" spans="1:14" ht="24" customHeight="1" x14ac:dyDescent="0.3">
      <c r="A244" s="66" t="s">
        <v>24</v>
      </c>
      <c r="B244" s="67" t="s">
        <v>21</v>
      </c>
      <c r="C244" s="68">
        <v>45003</v>
      </c>
      <c r="D244" s="69">
        <f>'All Email Performance'!E359</f>
        <v>14849</v>
      </c>
      <c r="E244" s="70">
        <f t="shared" si="57"/>
        <v>0.99905717556737828</v>
      </c>
      <c r="F244" s="69">
        <f>'All Email Performance'!G359</f>
        <v>14</v>
      </c>
      <c r="G244" s="69">
        <f>'All Email Performance'!H359</f>
        <v>4800</v>
      </c>
      <c r="H244" s="70">
        <f t="shared" si="58"/>
        <v>0.32325409118459153</v>
      </c>
      <c r="I244" s="69">
        <f>'All Email Performance'!J359</f>
        <v>229</v>
      </c>
      <c r="J244" s="70">
        <f t="shared" si="59"/>
        <v>1.5421913933598222E-2</v>
      </c>
      <c r="K244" s="70">
        <f t="shared" si="60"/>
        <v>4.7708333333333332E-2</v>
      </c>
      <c r="L244" s="69">
        <f>'All Email Performance'!M359</f>
        <v>12</v>
      </c>
      <c r="M244" s="70">
        <f t="shared" si="61"/>
        <v>8.0813522796147888E-4</v>
      </c>
      <c r="N244" s="69" t="s">
        <v>21</v>
      </c>
    </row>
    <row r="245" spans="1:14" ht="24" customHeight="1" x14ac:dyDescent="0.3">
      <c r="A245" s="76" t="s">
        <v>215</v>
      </c>
      <c r="B245" s="67" t="s">
        <v>30</v>
      </c>
      <c r="C245" s="68">
        <v>45003</v>
      </c>
      <c r="D245" s="69">
        <f>'All Email Performance'!E360</f>
        <v>18266</v>
      </c>
      <c r="E245" s="70">
        <f t="shared" si="57"/>
        <v>0.998905069528085</v>
      </c>
      <c r="F245" s="69">
        <f>'All Email Performance'!G360</f>
        <v>20</v>
      </c>
      <c r="G245" s="69">
        <f>'All Email Performance'!H360</f>
        <v>6480</v>
      </c>
      <c r="H245" s="70">
        <f t="shared" si="58"/>
        <v>0.35475747290047083</v>
      </c>
      <c r="I245" s="69">
        <f>'All Email Performance'!J360</f>
        <v>1113</v>
      </c>
      <c r="J245" s="70">
        <f t="shared" si="59"/>
        <v>6.0932880762071609E-2</v>
      </c>
      <c r="K245" s="70">
        <f t="shared" si="60"/>
        <v>0.17175925925925925</v>
      </c>
      <c r="L245" s="69">
        <f>'All Email Performance'!M360</f>
        <v>4</v>
      </c>
      <c r="M245" s="70">
        <f t="shared" si="61"/>
        <v>2.1898609438300668E-4</v>
      </c>
      <c r="N245" s="69" t="s">
        <v>31</v>
      </c>
    </row>
    <row r="246" spans="1:14" ht="24" customHeight="1" x14ac:dyDescent="0.3">
      <c r="A246" s="76" t="s">
        <v>75</v>
      </c>
      <c r="B246" s="67" t="s">
        <v>16</v>
      </c>
      <c r="C246" s="68">
        <v>45003</v>
      </c>
      <c r="D246" s="69">
        <f>'All Email Performance'!E361</f>
        <v>27585</v>
      </c>
      <c r="E246" s="70">
        <f t="shared" si="57"/>
        <v>0.99869494290375205</v>
      </c>
      <c r="F246" s="69">
        <f>'All Email Performance'!G361</f>
        <v>36</v>
      </c>
      <c r="G246" s="69">
        <f>'All Email Performance'!H361</f>
        <v>7974</v>
      </c>
      <c r="H246" s="70">
        <f t="shared" si="58"/>
        <v>0.28907014681892335</v>
      </c>
      <c r="I246" s="69">
        <f>'All Email Performance'!J361</f>
        <v>250</v>
      </c>
      <c r="J246" s="70">
        <f t="shared" si="59"/>
        <v>9.0628965017219495E-3</v>
      </c>
      <c r="K246" s="70">
        <f t="shared" si="60"/>
        <v>3.1351893654376725E-2</v>
      </c>
      <c r="L246" s="69">
        <f>'All Email Performance'!M361</f>
        <v>8</v>
      </c>
      <c r="M246" s="70">
        <f t="shared" si="61"/>
        <v>2.900126880551024E-4</v>
      </c>
      <c r="N246" s="69" t="s">
        <v>16</v>
      </c>
    </row>
    <row r="247" spans="1:14" ht="24" customHeight="1" x14ac:dyDescent="0.3">
      <c r="A247" s="76" t="s">
        <v>78</v>
      </c>
      <c r="B247" s="67" t="s">
        <v>16</v>
      </c>
      <c r="C247" s="68">
        <v>45003</v>
      </c>
      <c r="D247" s="69">
        <f>'All Email Performance'!E362</f>
        <v>391572</v>
      </c>
      <c r="E247" s="70">
        <f t="shared" si="57"/>
        <v>0.99834513192976004</v>
      </c>
      <c r="F247" s="69">
        <f>'All Email Performance'!G362</f>
        <v>648</v>
      </c>
      <c r="G247" s="69">
        <f>'All Email Performance'!H362</f>
        <v>133428</v>
      </c>
      <c r="H247" s="70">
        <f t="shared" si="58"/>
        <v>0.34074959394440868</v>
      </c>
      <c r="I247" s="69">
        <f>'All Email Performance'!J362</f>
        <v>3208</v>
      </c>
      <c r="J247" s="70">
        <f t="shared" si="59"/>
        <v>8.1926184711879294E-3</v>
      </c>
      <c r="K247" s="70">
        <f t="shared" si="60"/>
        <v>2.4042929520040772E-2</v>
      </c>
      <c r="L247" s="69">
        <f>'All Email Performance'!M362</f>
        <v>112</v>
      </c>
      <c r="M247" s="70">
        <f t="shared" si="61"/>
        <v>2.8602658004147388E-4</v>
      </c>
      <c r="N247" s="69" t="s">
        <v>16</v>
      </c>
    </row>
    <row r="248" spans="1:14" ht="24" customHeight="1" x14ac:dyDescent="0.3">
      <c r="A248" s="76" t="s">
        <v>218</v>
      </c>
      <c r="B248" s="67" t="s">
        <v>27</v>
      </c>
      <c r="C248" s="68">
        <v>45006</v>
      </c>
      <c r="D248" s="69">
        <f>'All Email Performance'!E363</f>
        <v>237149</v>
      </c>
      <c r="E248" s="70">
        <f t="shared" ref="E248" si="62">(D248-F248)/D248</f>
        <v>0.99809824203348951</v>
      </c>
      <c r="F248" s="69">
        <f>'All Email Performance'!G363</f>
        <v>451</v>
      </c>
      <c r="G248" s="69">
        <f>'All Email Performance'!H363</f>
        <v>103978</v>
      </c>
      <c r="H248" s="70">
        <f t="shared" ref="H248" si="63">G248/D248</f>
        <v>0.43845008834108512</v>
      </c>
      <c r="I248" s="69">
        <f>'All Email Performance'!J363</f>
        <v>4066</v>
      </c>
      <c r="J248" s="70">
        <f t="shared" ref="J248" si="64">I248/D248</f>
        <v>1.7145339006278754E-2</v>
      </c>
      <c r="K248" s="70">
        <f t="shared" ref="K248" si="65">I248/G248</f>
        <v>3.9104425936255745E-2</v>
      </c>
      <c r="L248" s="69">
        <f>'All Email Performance'!M363</f>
        <v>1918</v>
      </c>
      <c r="M248" s="70">
        <f t="shared" ref="M248" si="66">L248/D248</f>
        <v>8.0877423054704009E-3</v>
      </c>
      <c r="N248" s="69" t="s">
        <v>27</v>
      </c>
    </row>
    <row r="249" spans="1:14" ht="24" customHeight="1" x14ac:dyDescent="0.3">
      <c r="A249" s="66" t="s">
        <v>29</v>
      </c>
      <c r="B249" s="67" t="s">
        <v>16</v>
      </c>
      <c r="C249" s="68">
        <v>45006</v>
      </c>
      <c r="D249" s="69">
        <f>SUM('All Email Performance'!E364:E365)</f>
        <v>48761</v>
      </c>
      <c r="E249" s="70">
        <f t="shared" ref="E249:E260" si="67">(D249-F249)/D249</f>
        <v>0.99858493468140519</v>
      </c>
      <c r="F249" s="69">
        <f>SUM('All Email Performance'!G364:G365)</f>
        <v>69</v>
      </c>
      <c r="G249" s="69">
        <f>SUM('All Email Performance'!H364:H365)</f>
        <v>17134</v>
      </c>
      <c r="H249" s="70">
        <f t="shared" ref="H249:H260" si="68">G249/D249</f>
        <v>0.35138737925801355</v>
      </c>
      <c r="I249" s="69">
        <f>SUM('All Email Performance'!J364:J365)</f>
        <v>442</v>
      </c>
      <c r="J249" s="70">
        <f t="shared" ref="J249:J260" si="69">I249/D249</f>
        <v>9.064621316215828E-3</v>
      </c>
      <c r="K249" s="70">
        <f t="shared" ref="K249:K260" si="70">I249/G249</f>
        <v>2.5796661608497723E-2</v>
      </c>
      <c r="L249" s="69">
        <f>SUM('All Email Performance'!M364:M365)</f>
        <v>61</v>
      </c>
      <c r="M249" s="70">
        <f t="shared" ref="M249:M260" si="71">L249/D249</f>
        <v>1.2509997744098768E-3</v>
      </c>
      <c r="N249" s="69" t="s">
        <v>16</v>
      </c>
    </row>
    <row r="250" spans="1:14" ht="24" customHeight="1" x14ac:dyDescent="0.3">
      <c r="A250" s="66" t="s">
        <v>17</v>
      </c>
      <c r="B250" s="67" t="s">
        <v>16</v>
      </c>
      <c r="C250" s="68">
        <v>45006</v>
      </c>
      <c r="D250" s="69">
        <f>SUM('All Email Performance'!E366:E367)</f>
        <v>654638</v>
      </c>
      <c r="E250" s="70">
        <f t="shared" si="67"/>
        <v>0.99820817001151785</v>
      </c>
      <c r="F250" s="69">
        <f>SUM('All Email Performance'!G366:G367)</f>
        <v>1173</v>
      </c>
      <c r="G250" s="69">
        <f>SUM('All Email Performance'!H366:H367)</f>
        <v>274120</v>
      </c>
      <c r="H250" s="70">
        <f t="shared" si="68"/>
        <v>0.41873523993413153</v>
      </c>
      <c r="I250" s="69">
        <f>SUM('All Email Performance'!J366:J367)</f>
        <v>4307</v>
      </c>
      <c r="J250" s="70">
        <f t="shared" si="69"/>
        <v>6.5792086618864168E-3</v>
      </c>
      <c r="K250" s="70">
        <f t="shared" si="70"/>
        <v>1.5712096891872172E-2</v>
      </c>
      <c r="L250" s="69">
        <f>SUM('All Email Performance'!M366:M367)</f>
        <v>686</v>
      </c>
      <c r="M250" s="70">
        <f t="shared" si="71"/>
        <v>1.0479073930935877E-3</v>
      </c>
      <c r="N250" s="69" t="s">
        <v>16</v>
      </c>
    </row>
    <row r="251" spans="1:14" ht="24" customHeight="1" x14ac:dyDescent="0.3">
      <c r="A251" s="76" t="s">
        <v>222</v>
      </c>
      <c r="B251" s="67" t="s">
        <v>16</v>
      </c>
      <c r="C251" s="68">
        <v>45007</v>
      </c>
      <c r="D251" s="69">
        <f>'All Email Performance'!E368</f>
        <v>26113</v>
      </c>
      <c r="E251" s="70">
        <f t="shared" si="67"/>
        <v>0.99766399877455669</v>
      </c>
      <c r="F251" s="69">
        <f>'All Email Performance'!G368</f>
        <v>61</v>
      </c>
      <c r="G251" s="69">
        <f>'All Email Performance'!H368</f>
        <v>11634</v>
      </c>
      <c r="H251" s="70">
        <f t="shared" si="68"/>
        <v>0.44552521732470418</v>
      </c>
      <c r="I251" s="69">
        <f>'All Email Performance'!J368</f>
        <v>338</v>
      </c>
      <c r="J251" s="70">
        <f t="shared" si="69"/>
        <v>1.294374449507908E-2</v>
      </c>
      <c r="K251" s="70">
        <f t="shared" si="70"/>
        <v>2.9052776345195118E-2</v>
      </c>
      <c r="L251" s="69">
        <f>'All Email Performance'!M368</f>
        <v>6</v>
      </c>
      <c r="M251" s="70">
        <f t="shared" si="71"/>
        <v>2.2977061233868189E-4</v>
      </c>
      <c r="N251" s="67" t="s">
        <v>16</v>
      </c>
    </row>
    <row r="252" spans="1:14" ht="24" customHeight="1" x14ac:dyDescent="0.3">
      <c r="A252" s="76" t="s">
        <v>223</v>
      </c>
      <c r="B252" s="67" t="s">
        <v>16</v>
      </c>
      <c r="C252" s="68">
        <v>45007</v>
      </c>
      <c r="D252" s="69">
        <f>'All Email Performance'!E369</f>
        <v>26544</v>
      </c>
      <c r="E252" s="70">
        <f t="shared" si="67"/>
        <v>0.99807866184448468</v>
      </c>
      <c r="F252" s="69">
        <f>'All Email Performance'!G369</f>
        <v>51</v>
      </c>
      <c r="G252" s="69">
        <f>'All Email Performance'!H369</f>
        <v>11592</v>
      </c>
      <c r="H252" s="70">
        <f t="shared" si="68"/>
        <v>0.43670886075949367</v>
      </c>
      <c r="I252" s="69">
        <f>'All Email Performance'!J369</f>
        <v>310</v>
      </c>
      <c r="J252" s="70">
        <f t="shared" si="69"/>
        <v>1.1678722121760096E-2</v>
      </c>
      <c r="K252" s="70">
        <f t="shared" si="70"/>
        <v>2.6742581090407176E-2</v>
      </c>
      <c r="L252" s="69">
        <f>'All Email Performance'!M369</f>
        <v>6</v>
      </c>
      <c r="M252" s="70">
        <f t="shared" si="71"/>
        <v>2.2603978300180831E-4</v>
      </c>
      <c r="N252" s="67" t="s">
        <v>16</v>
      </c>
    </row>
    <row r="253" spans="1:14" ht="24" customHeight="1" x14ac:dyDescent="0.3">
      <c r="A253" s="76" t="s">
        <v>224</v>
      </c>
      <c r="B253" s="67" t="s">
        <v>16</v>
      </c>
      <c r="C253" s="68">
        <v>45007</v>
      </c>
      <c r="D253" s="69">
        <f>'All Email Performance'!E370</f>
        <v>50753</v>
      </c>
      <c r="E253" s="70">
        <f t="shared" si="67"/>
        <v>0.99802967312277102</v>
      </c>
      <c r="F253" s="69">
        <f>'All Email Performance'!G370</f>
        <v>100</v>
      </c>
      <c r="G253" s="69">
        <f>'All Email Performance'!H370</f>
        <v>21904</v>
      </c>
      <c r="H253" s="70">
        <f t="shared" si="68"/>
        <v>0.43158039918822533</v>
      </c>
      <c r="I253" s="69">
        <f>'All Email Performance'!J370</f>
        <v>456</v>
      </c>
      <c r="J253" s="70">
        <f t="shared" si="69"/>
        <v>8.9846905601639309E-3</v>
      </c>
      <c r="K253" s="70">
        <f t="shared" si="70"/>
        <v>2.0818115412710007E-2</v>
      </c>
      <c r="L253" s="69">
        <f>'All Email Performance'!M370</f>
        <v>16</v>
      </c>
      <c r="M253" s="70">
        <f t="shared" si="71"/>
        <v>3.1525230035662919E-4</v>
      </c>
      <c r="N253" s="67" t="s">
        <v>16</v>
      </c>
    </row>
    <row r="254" spans="1:14" ht="24" customHeight="1" x14ac:dyDescent="0.3">
      <c r="A254" s="66" t="s">
        <v>26</v>
      </c>
      <c r="B254" s="67" t="s">
        <v>23</v>
      </c>
      <c r="C254" s="68">
        <v>45008</v>
      </c>
      <c r="D254" s="69">
        <f>'All Email Performance'!E371</f>
        <v>1640</v>
      </c>
      <c r="E254" s="70">
        <f t="shared" si="67"/>
        <v>0.99878048780487805</v>
      </c>
      <c r="F254" s="69">
        <f>'All Email Performance'!G371</f>
        <v>2</v>
      </c>
      <c r="G254" s="69">
        <f>'All Email Performance'!H371</f>
        <v>585</v>
      </c>
      <c r="H254" s="70">
        <f t="shared" si="68"/>
        <v>0.35670731707317072</v>
      </c>
      <c r="I254" s="69">
        <f>'All Email Performance'!J371</f>
        <v>13</v>
      </c>
      <c r="J254" s="70">
        <f t="shared" si="69"/>
        <v>7.926829268292683E-3</v>
      </c>
      <c r="K254" s="70">
        <f t="shared" si="70"/>
        <v>2.2222222222222223E-2</v>
      </c>
      <c r="L254" s="69">
        <f>'All Email Performance'!M371</f>
        <v>0</v>
      </c>
      <c r="M254" s="70">
        <f t="shared" si="71"/>
        <v>0</v>
      </c>
      <c r="N254" s="69" t="s">
        <v>23</v>
      </c>
    </row>
    <row r="255" spans="1:14" ht="24" customHeight="1" x14ac:dyDescent="0.3">
      <c r="A255" s="76" t="s">
        <v>219</v>
      </c>
      <c r="B255" s="67" t="s">
        <v>27</v>
      </c>
      <c r="C255" s="68">
        <v>45009</v>
      </c>
      <c r="D255" s="69">
        <f>'All Email Performance'!E372</f>
        <v>26683</v>
      </c>
      <c r="E255" s="70">
        <f t="shared" si="67"/>
        <v>0.99835101000637105</v>
      </c>
      <c r="F255" s="69">
        <f>'All Email Performance'!G372</f>
        <v>44</v>
      </c>
      <c r="G255" s="69">
        <f>'All Email Performance'!H372</f>
        <v>9041</v>
      </c>
      <c r="H255" s="70">
        <f t="shared" si="68"/>
        <v>0.33882996664542969</v>
      </c>
      <c r="I255" s="69">
        <f>'All Email Performance'!J372</f>
        <v>144</v>
      </c>
      <c r="J255" s="70">
        <f t="shared" si="69"/>
        <v>5.3966945246036804E-3</v>
      </c>
      <c r="K255" s="70">
        <f t="shared" si="70"/>
        <v>1.5927441654684217E-2</v>
      </c>
      <c r="L255" s="69">
        <f>'All Email Performance'!M372</f>
        <v>95</v>
      </c>
      <c r="M255" s="70">
        <f t="shared" si="71"/>
        <v>3.5603193044260392E-3</v>
      </c>
      <c r="N255" s="69" t="s">
        <v>27</v>
      </c>
    </row>
    <row r="256" spans="1:14" ht="24" customHeight="1" x14ac:dyDescent="0.3">
      <c r="A256" s="76" t="s">
        <v>225</v>
      </c>
      <c r="B256" s="67" t="s">
        <v>102</v>
      </c>
      <c r="C256" s="68">
        <v>45009</v>
      </c>
      <c r="D256" s="69">
        <f>SUM('All Email Performance'!E373:E374)</f>
        <v>41502</v>
      </c>
      <c r="E256" s="70">
        <f t="shared" si="67"/>
        <v>0.99812057250252995</v>
      </c>
      <c r="F256" s="69">
        <f>SUM('All Email Performance'!G373:G374)</f>
        <v>78</v>
      </c>
      <c r="G256" s="69">
        <f>SUM('All Email Performance'!H373:H374)</f>
        <v>22735</v>
      </c>
      <c r="H256" s="70">
        <f t="shared" si="68"/>
        <v>0.54780492506385237</v>
      </c>
      <c r="I256" s="69">
        <f>SUM('All Email Performance'!J373:J374)</f>
        <v>1280</v>
      </c>
      <c r="J256" s="70">
        <f t="shared" si="69"/>
        <v>3.0841887137969256E-2</v>
      </c>
      <c r="K256" s="70">
        <f t="shared" si="70"/>
        <v>5.630085770837915E-2</v>
      </c>
      <c r="L256" s="69">
        <f>SUM('All Email Performance'!M373:M374)</f>
        <v>22</v>
      </c>
      <c r="M256" s="70">
        <f t="shared" si="71"/>
        <v>5.3009493518384654E-4</v>
      </c>
      <c r="N256" s="69" t="s">
        <v>102</v>
      </c>
    </row>
    <row r="257" spans="1:14" ht="24" customHeight="1" x14ac:dyDescent="0.3">
      <c r="A257" s="66" t="s">
        <v>33</v>
      </c>
      <c r="B257" s="67" t="s">
        <v>21</v>
      </c>
      <c r="C257" s="68">
        <v>45009</v>
      </c>
      <c r="D257" s="69">
        <f>'All Email Performance'!E375</f>
        <v>242534</v>
      </c>
      <c r="E257" s="70">
        <f t="shared" si="67"/>
        <v>0.9979136945747813</v>
      </c>
      <c r="F257" s="69">
        <f>'All Email Performance'!G375</f>
        <v>506</v>
      </c>
      <c r="G257" s="69">
        <f>'All Email Performance'!H375</f>
        <v>109145</v>
      </c>
      <c r="H257" s="70">
        <f t="shared" si="68"/>
        <v>0.45001937872628167</v>
      </c>
      <c r="I257" s="69">
        <f>'All Email Performance'!J375</f>
        <v>1804</v>
      </c>
      <c r="J257" s="70">
        <f t="shared" si="69"/>
        <v>7.4381323855624362E-3</v>
      </c>
      <c r="K257" s="70">
        <f t="shared" si="70"/>
        <v>1.6528471299647258E-2</v>
      </c>
      <c r="L257" s="69">
        <f>'All Email Performance'!M375</f>
        <v>253</v>
      </c>
      <c r="M257" s="70">
        <f t="shared" si="71"/>
        <v>1.0431527126093661E-3</v>
      </c>
      <c r="N257" s="69" t="s">
        <v>21</v>
      </c>
    </row>
    <row r="258" spans="1:14" ht="24" customHeight="1" x14ac:dyDescent="0.3">
      <c r="A258" s="66" t="s">
        <v>19</v>
      </c>
      <c r="B258" s="67" t="s">
        <v>21</v>
      </c>
      <c r="C258" s="68">
        <v>45009</v>
      </c>
      <c r="D258" s="69">
        <f>'All Email Performance'!E376</f>
        <v>332843</v>
      </c>
      <c r="E258" s="70">
        <f t="shared" si="67"/>
        <v>0.99724494731750402</v>
      </c>
      <c r="F258" s="69">
        <f>'All Email Performance'!G376</f>
        <v>917</v>
      </c>
      <c r="G258" s="69">
        <f>'All Email Performance'!H376</f>
        <v>121892</v>
      </c>
      <c r="H258" s="70">
        <f t="shared" si="68"/>
        <v>0.3662147018263866</v>
      </c>
      <c r="I258" s="69">
        <f>'All Email Performance'!J376</f>
        <v>2295</v>
      </c>
      <c r="J258" s="70">
        <f t="shared" si="69"/>
        <v>6.8951427549925944E-3</v>
      </c>
      <c r="K258" s="70">
        <f t="shared" si="70"/>
        <v>1.8828142946214682E-2</v>
      </c>
      <c r="L258" s="69">
        <f>'All Email Performance'!M376</f>
        <v>358</v>
      </c>
      <c r="M258" s="70">
        <f t="shared" si="71"/>
        <v>1.0755821813888229E-3</v>
      </c>
      <c r="N258" s="69" t="s">
        <v>21</v>
      </c>
    </row>
    <row r="259" spans="1:14" ht="24" customHeight="1" x14ac:dyDescent="0.3">
      <c r="A259" s="66" t="s">
        <v>28</v>
      </c>
      <c r="B259" s="67" t="s">
        <v>16</v>
      </c>
      <c r="C259" s="68">
        <v>45009</v>
      </c>
      <c r="D259" s="69">
        <f>SUM('All Email Performance'!E377:E378)</f>
        <v>310186</v>
      </c>
      <c r="E259" s="70">
        <f t="shared" si="67"/>
        <v>0.99748860361202629</v>
      </c>
      <c r="F259" s="69">
        <f>SUM('All Email Performance'!G377:G378)</f>
        <v>779</v>
      </c>
      <c r="G259" s="69">
        <f>SUM('All Email Performance'!H377:H378)</f>
        <v>94638</v>
      </c>
      <c r="H259" s="70">
        <f t="shared" si="68"/>
        <v>0.30510081048145304</v>
      </c>
      <c r="I259" s="69">
        <f>SUM('All Email Performance'!J377:J378)</f>
        <v>2315</v>
      </c>
      <c r="J259" s="70">
        <f t="shared" si="69"/>
        <v>7.4632639770976124E-3</v>
      </c>
      <c r="K259" s="70">
        <f t="shared" si="70"/>
        <v>2.44616327479448E-2</v>
      </c>
      <c r="L259" s="69">
        <f>SUM('All Email Performance'!M377:M378)</f>
        <v>504</v>
      </c>
      <c r="M259" s="70">
        <f t="shared" si="71"/>
        <v>1.6248315526812944E-3</v>
      </c>
      <c r="N259" s="69" t="s">
        <v>16</v>
      </c>
    </row>
    <row r="260" spans="1:14" ht="24" customHeight="1" x14ac:dyDescent="0.3">
      <c r="A260" s="66" t="s">
        <v>22</v>
      </c>
      <c r="B260" s="67" t="s">
        <v>16</v>
      </c>
      <c r="C260" s="68">
        <v>45009</v>
      </c>
      <c r="D260" s="69">
        <f>SUM('All Email Performance'!E379:E380)</f>
        <v>3888707</v>
      </c>
      <c r="E260" s="70">
        <f t="shared" si="67"/>
        <v>0.99729318768423536</v>
      </c>
      <c r="F260" s="69">
        <f>SUM('All Email Performance'!G379:G380)</f>
        <v>10526</v>
      </c>
      <c r="G260" s="69">
        <f>SUM('All Email Performance'!H379:H380)</f>
        <v>1369602</v>
      </c>
      <c r="H260" s="70">
        <f t="shared" si="68"/>
        <v>0.35219984431843282</v>
      </c>
      <c r="I260" s="69">
        <f>SUM('All Email Performance'!J379:J380)</f>
        <v>22664</v>
      </c>
      <c r="J260" s="70">
        <f t="shared" si="69"/>
        <v>5.8281583055756064E-3</v>
      </c>
      <c r="K260" s="70">
        <f t="shared" si="70"/>
        <v>1.6547873031727466E-2</v>
      </c>
      <c r="L260" s="69">
        <f>SUM('All Email Performance'!M379:M380)</f>
        <v>5071</v>
      </c>
      <c r="M260" s="70">
        <f t="shared" si="71"/>
        <v>1.3040324200306169E-3</v>
      </c>
      <c r="N260" s="69" t="s">
        <v>16</v>
      </c>
    </row>
    <row r="261" spans="1:14" ht="24" customHeight="1" x14ac:dyDescent="0.3">
      <c r="A261" s="76" t="s">
        <v>226</v>
      </c>
      <c r="B261" s="67" t="s">
        <v>102</v>
      </c>
      <c r="C261" s="68">
        <v>45012</v>
      </c>
      <c r="D261" s="69">
        <f>SUM('All Email Performance'!E381:E382)</f>
        <v>25650</v>
      </c>
      <c r="E261" s="70">
        <f t="shared" ref="E261" si="72">(D261-F261)/D261</f>
        <v>0.9981286549707602</v>
      </c>
      <c r="F261" s="69">
        <f>SUM('All Email Performance'!G381:G382)</f>
        <v>48</v>
      </c>
      <c r="G261" s="69">
        <f>SUM('All Email Performance'!H381:H382)</f>
        <v>14088</v>
      </c>
      <c r="H261" s="70">
        <f t="shared" ref="H261" si="73">G261/D261</f>
        <v>0.54923976608187131</v>
      </c>
      <c r="I261" s="69">
        <f>SUM('All Email Performance'!J381:J382)</f>
        <v>497</v>
      </c>
      <c r="J261" s="70">
        <f t="shared" ref="J261" si="74">I261/D261</f>
        <v>1.9376218323586745E-2</v>
      </c>
      <c r="K261" s="70">
        <f t="shared" ref="K261" si="75">I261/G261</f>
        <v>3.5278250993753549E-2</v>
      </c>
      <c r="L261" s="69">
        <f>SUM('All Email Performance'!M381:M382)</f>
        <v>15</v>
      </c>
      <c r="M261" s="70">
        <f t="shared" ref="M261" si="76">L261/D261</f>
        <v>5.8479532163742691E-4</v>
      </c>
      <c r="N261" s="69" t="s">
        <v>102</v>
      </c>
    </row>
    <row r="262" spans="1:14" ht="24" customHeight="1" x14ac:dyDescent="0.3">
      <c r="A262" s="76" t="s">
        <v>227</v>
      </c>
      <c r="B262" s="67" t="s">
        <v>16</v>
      </c>
      <c r="C262" s="68">
        <v>45012</v>
      </c>
      <c r="D262" s="69">
        <f>'All Email Performance'!E383</f>
        <v>90553</v>
      </c>
      <c r="E262" s="70">
        <f t="shared" ref="E262:E284" si="77">(D262-F262)/D262</f>
        <v>0.997780305456473</v>
      </c>
      <c r="F262" s="69">
        <f>'All Email Performance'!G383</f>
        <v>201</v>
      </c>
      <c r="G262" s="69">
        <f>'All Email Performance'!H383</f>
        <v>32038</v>
      </c>
      <c r="H262" s="70">
        <f t="shared" ref="H262:H284" si="78">G262/D262</f>
        <v>0.35380384967919343</v>
      </c>
      <c r="I262" s="69">
        <f>'All Email Performance'!J383</f>
        <v>517</v>
      </c>
      <c r="J262" s="70">
        <f t="shared" ref="J262:J284" si="79">I262/D262</f>
        <v>5.7093635771316249E-3</v>
      </c>
      <c r="K262" s="70">
        <f t="shared" ref="K262:K284" si="80">I262/G262</f>
        <v>1.6137087208939385E-2</v>
      </c>
      <c r="L262" s="69">
        <f>'All Email Performance'!M383</f>
        <v>100</v>
      </c>
      <c r="M262" s="70">
        <f t="shared" ref="M262:M284" si="81">L262/D262</f>
        <v>1.1043256435457687E-3</v>
      </c>
      <c r="N262" s="69" t="s">
        <v>16</v>
      </c>
    </row>
    <row r="263" spans="1:14" ht="24" customHeight="1" x14ac:dyDescent="0.3">
      <c r="A263" s="76" t="s">
        <v>236</v>
      </c>
      <c r="B263" s="67" t="s">
        <v>16</v>
      </c>
      <c r="C263" s="68">
        <v>45013</v>
      </c>
      <c r="D263" s="69">
        <f>'All Email Performance'!E384</f>
        <v>90667</v>
      </c>
      <c r="E263" s="70">
        <f t="shared" si="77"/>
        <v>0.9973529509082687</v>
      </c>
      <c r="F263" s="69">
        <f>'All Email Performance'!G384</f>
        <v>240</v>
      </c>
      <c r="G263" s="69">
        <f>'All Email Performance'!H384</f>
        <v>32002</v>
      </c>
      <c r="H263" s="70">
        <f t="shared" si="78"/>
        <v>0.35296193763993516</v>
      </c>
      <c r="I263" s="69">
        <f>'All Email Performance'!J384</f>
        <v>434</v>
      </c>
      <c r="J263" s="70">
        <f t="shared" si="79"/>
        <v>4.786747107547399E-3</v>
      </c>
      <c r="K263" s="70">
        <f t="shared" si="80"/>
        <v>1.3561652396725205E-2</v>
      </c>
      <c r="L263" s="69">
        <f>'All Email Performance'!M384</f>
        <v>71</v>
      </c>
      <c r="M263" s="70">
        <f t="shared" si="81"/>
        <v>7.8308535630383712E-4</v>
      </c>
      <c r="N263" s="69" t="s">
        <v>16</v>
      </c>
    </row>
    <row r="264" spans="1:14" ht="24" customHeight="1" x14ac:dyDescent="0.3">
      <c r="A264" s="66" t="s">
        <v>29</v>
      </c>
      <c r="B264" s="67" t="s">
        <v>16</v>
      </c>
      <c r="C264" s="68">
        <v>45013</v>
      </c>
      <c r="D264" s="69">
        <f>SUM('All Email Performance'!E385:E386)</f>
        <v>52308</v>
      </c>
      <c r="E264" s="70">
        <f t="shared" si="77"/>
        <v>0.99751472050164414</v>
      </c>
      <c r="F264" s="69">
        <f>SUM('All Email Performance'!G385:G386)</f>
        <v>130</v>
      </c>
      <c r="G264" s="69">
        <f>SUM('All Email Performance'!H385:H386)</f>
        <v>18616</v>
      </c>
      <c r="H264" s="70">
        <f t="shared" si="78"/>
        <v>0.35589202416456373</v>
      </c>
      <c r="I264" s="69">
        <f>SUM('All Email Performance'!J385:J386)</f>
        <v>596</v>
      </c>
      <c r="J264" s="70">
        <f t="shared" si="79"/>
        <v>1.1394050623231629E-2</v>
      </c>
      <c r="K264" s="70">
        <f t="shared" si="80"/>
        <v>3.2015470562956595E-2</v>
      </c>
      <c r="L264" s="69">
        <f>SUM('All Email Performance'!M385:M386)</f>
        <v>48</v>
      </c>
      <c r="M264" s="70">
        <f t="shared" si="81"/>
        <v>9.1764166093140625E-4</v>
      </c>
      <c r="N264" s="69" t="s">
        <v>16</v>
      </c>
    </row>
    <row r="265" spans="1:14" ht="24" customHeight="1" x14ac:dyDescent="0.3">
      <c r="A265" s="66" t="s">
        <v>17</v>
      </c>
      <c r="B265" s="67" t="s">
        <v>16</v>
      </c>
      <c r="C265" s="68">
        <v>45013</v>
      </c>
      <c r="D265" s="69">
        <f>SUM('All Email Performance'!E387:E388)</f>
        <v>665948</v>
      </c>
      <c r="E265" s="70">
        <f t="shared" si="77"/>
        <v>0.99780913825103457</v>
      </c>
      <c r="F265" s="69">
        <f>SUM('All Email Performance'!G387:G388)</f>
        <v>1459</v>
      </c>
      <c r="G265" s="69">
        <f>SUM('All Email Performance'!H387:H388)</f>
        <v>248731</v>
      </c>
      <c r="H265" s="70">
        <f t="shared" si="78"/>
        <v>0.37349913206436541</v>
      </c>
      <c r="I265" s="69">
        <f>SUM('All Email Performance'!J387:J388)</f>
        <v>4063</v>
      </c>
      <c r="J265" s="70">
        <f t="shared" si="79"/>
        <v>6.1010769609639191E-3</v>
      </c>
      <c r="K265" s="70">
        <f t="shared" si="80"/>
        <v>1.6334916033787505E-2</v>
      </c>
      <c r="L265" s="69">
        <f>SUM('All Email Performance'!M387:M388)</f>
        <v>558</v>
      </c>
      <c r="M265" s="70">
        <f t="shared" si="81"/>
        <v>8.3790325971397166E-4</v>
      </c>
      <c r="N265" s="69" t="s">
        <v>16</v>
      </c>
    </row>
    <row r="266" spans="1:14" ht="24" customHeight="1" x14ac:dyDescent="0.3">
      <c r="A266" s="76" t="s">
        <v>32</v>
      </c>
      <c r="B266" s="67" t="s">
        <v>23</v>
      </c>
      <c r="C266" s="68">
        <v>45014</v>
      </c>
      <c r="D266" s="69">
        <f>'All Email Performance'!E389</f>
        <v>287</v>
      </c>
      <c r="E266" s="70">
        <f t="shared" si="77"/>
        <v>1</v>
      </c>
      <c r="F266" s="69">
        <f>'All Email Performance'!G389</f>
        <v>0</v>
      </c>
      <c r="G266" s="69">
        <f>'All Email Performance'!H389</f>
        <v>95</v>
      </c>
      <c r="H266" s="70">
        <f t="shared" si="78"/>
        <v>0.33101045296167247</v>
      </c>
      <c r="I266" s="69">
        <f>'All Email Performance'!J389</f>
        <v>6</v>
      </c>
      <c r="J266" s="70">
        <f t="shared" si="79"/>
        <v>2.0905923344947737E-2</v>
      </c>
      <c r="K266" s="70">
        <f t="shared" si="80"/>
        <v>6.3157894736842107E-2</v>
      </c>
      <c r="L266" s="69">
        <f>'All Email Performance'!M389</f>
        <v>0</v>
      </c>
      <c r="M266" s="70">
        <f t="shared" si="81"/>
        <v>0</v>
      </c>
      <c r="N266" s="69" t="s">
        <v>23</v>
      </c>
    </row>
    <row r="267" spans="1:14" ht="24" customHeight="1" x14ac:dyDescent="0.3">
      <c r="A267" s="76" t="s">
        <v>228</v>
      </c>
      <c r="B267" s="67" t="s">
        <v>27</v>
      </c>
      <c r="C267" s="68">
        <v>45014</v>
      </c>
      <c r="D267" s="69">
        <f>'All Email Performance'!E390</f>
        <v>12558</v>
      </c>
      <c r="E267" s="70">
        <f t="shared" si="77"/>
        <v>0.99665551839464883</v>
      </c>
      <c r="F267" s="69">
        <f>'All Email Performance'!G390</f>
        <v>42</v>
      </c>
      <c r="G267" s="69">
        <f>'All Email Performance'!H390</f>
        <v>4008</v>
      </c>
      <c r="H267" s="70">
        <f t="shared" si="78"/>
        <v>0.31915910176779744</v>
      </c>
      <c r="I267" s="69">
        <f>'All Email Performance'!J390</f>
        <v>72</v>
      </c>
      <c r="J267" s="70">
        <f t="shared" si="79"/>
        <v>5.733397037744864E-3</v>
      </c>
      <c r="K267" s="70">
        <f t="shared" si="80"/>
        <v>1.7964071856287425E-2</v>
      </c>
      <c r="L267" s="69">
        <f>'All Email Performance'!M390</f>
        <v>52</v>
      </c>
      <c r="M267" s="70">
        <f t="shared" si="81"/>
        <v>4.140786749482402E-3</v>
      </c>
      <c r="N267" s="69" t="s">
        <v>27</v>
      </c>
    </row>
    <row r="268" spans="1:14" ht="24" customHeight="1" x14ac:dyDescent="0.3">
      <c r="A268" s="76" t="s">
        <v>229</v>
      </c>
      <c r="B268" s="67" t="s">
        <v>27</v>
      </c>
      <c r="C268" s="68">
        <v>45014</v>
      </c>
      <c r="D268" s="69">
        <f>'All Email Performance'!E391</f>
        <v>15880</v>
      </c>
      <c r="E268" s="70">
        <f t="shared" si="77"/>
        <v>0.99798488664987406</v>
      </c>
      <c r="F268" s="69">
        <f>'All Email Performance'!G391</f>
        <v>32</v>
      </c>
      <c r="G268" s="69">
        <f>'All Email Performance'!H391</f>
        <v>5263</v>
      </c>
      <c r="H268" s="70">
        <f t="shared" si="78"/>
        <v>0.33142317380352643</v>
      </c>
      <c r="I268" s="69">
        <f>'All Email Performance'!J391</f>
        <v>109</v>
      </c>
      <c r="J268" s="70">
        <f t="shared" si="79"/>
        <v>6.8639798488664989E-3</v>
      </c>
      <c r="K268" s="70">
        <f t="shared" si="80"/>
        <v>2.0710621318639558E-2</v>
      </c>
      <c r="L268" s="69">
        <f>'All Email Performance'!M391</f>
        <v>58</v>
      </c>
      <c r="M268" s="70">
        <f t="shared" si="81"/>
        <v>3.6523929471032747E-3</v>
      </c>
      <c r="N268" s="69" t="s">
        <v>27</v>
      </c>
    </row>
    <row r="269" spans="1:14" ht="24" customHeight="1" x14ac:dyDescent="0.3">
      <c r="A269" s="76" t="s">
        <v>230</v>
      </c>
      <c r="B269" s="67" t="s">
        <v>27</v>
      </c>
      <c r="C269" s="68">
        <v>45014</v>
      </c>
      <c r="D269" s="69">
        <f>'All Email Performance'!E392</f>
        <v>28849</v>
      </c>
      <c r="E269" s="70">
        <f t="shared" si="77"/>
        <v>0.99584041041283922</v>
      </c>
      <c r="F269" s="69">
        <f>'All Email Performance'!G392</f>
        <v>120</v>
      </c>
      <c r="G269" s="69">
        <f>'All Email Performance'!H392</f>
        <v>8828</v>
      </c>
      <c r="H269" s="70">
        <f t="shared" si="78"/>
        <v>0.30600714062879131</v>
      </c>
      <c r="I269" s="69">
        <f>'All Email Performance'!J392</f>
        <v>176</v>
      </c>
      <c r="J269" s="70">
        <f t="shared" si="79"/>
        <v>6.1007313945024089E-3</v>
      </c>
      <c r="K269" s="70">
        <f t="shared" si="80"/>
        <v>1.9936565473493428E-2</v>
      </c>
      <c r="L269" s="69">
        <f>'All Email Performance'!M392</f>
        <v>141</v>
      </c>
      <c r="M269" s="70">
        <f t="shared" si="81"/>
        <v>4.8875177649138615E-3</v>
      </c>
      <c r="N269" s="69" t="s">
        <v>27</v>
      </c>
    </row>
    <row r="270" spans="1:14" ht="24" customHeight="1" x14ac:dyDescent="0.3">
      <c r="A270" s="76" t="s">
        <v>231</v>
      </c>
      <c r="B270" s="67" t="s">
        <v>27</v>
      </c>
      <c r="C270" s="68">
        <v>45014</v>
      </c>
      <c r="D270" s="69">
        <f>'All Email Performance'!E393</f>
        <v>246346</v>
      </c>
      <c r="E270" s="70">
        <f t="shared" si="77"/>
        <v>0.99771053721188896</v>
      </c>
      <c r="F270" s="69">
        <f>'All Email Performance'!G393</f>
        <v>564</v>
      </c>
      <c r="G270" s="69">
        <f>'All Email Performance'!H393</f>
        <v>90136</v>
      </c>
      <c r="H270" s="70">
        <f t="shared" si="78"/>
        <v>0.36589187565456716</v>
      </c>
      <c r="I270" s="69">
        <f>'All Email Performance'!J393</f>
        <v>1605</v>
      </c>
      <c r="J270" s="70">
        <f t="shared" si="79"/>
        <v>6.5152265512734122E-3</v>
      </c>
      <c r="K270" s="70">
        <f t="shared" si="80"/>
        <v>1.780642584538919E-2</v>
      </c>
      <c r="L270" s="69">
        <f>'All Email Performance'!M393</f>
        <v>1263</v>
      </c>
      <c r="M270" s="70">
        <f t="shared" si="81"/>
        <v>5.1269352861422549E-3</v>
      </c>
      <c r="N270" s="69" t="s">
        <v>27</v>
      </c>
    </row>
    <row r="271" spans="1:14" ht="24" customHeight="1" x14ac:dyDescent="0.3">
      <c r="A271" s="76" t="s">
        <v>232</v>
      </c>
      <c r="B271" s="67" t="s">
        <v>98</v>
      </c>
      <c r="C271" s="68">
        <v>45015</v>
      </c>
      <c r="D271" s="69">
        <f>'All Email Performance'!E394</f>
        <v>3513</v>
      </c>
      <c r="E271" s="70">
        <f t="shared" si="77"/>
        <v>0.98007401081696555</v>
      </c>
      <c r="F271" s="69">
        <f>'All Email Performance'!G394</f>
        <v>70</v>
      </c>
      <c r="G271" s="69">
        <f>'All Email Performance'!H394</f>
        <v>447</v>
      </c>
      <c r="H271" s="70">
        <f t="shared" si="78"/>
        <v>0.12724167378309137</v>
      </c>
      <c r="I271" s="69">
        <f>'All Email Performance'!J394</f>
        <v>107</v>
      </c>
      <c r="J271" s="70">
        <f t="shared" si="79"/>
        <v>3.0458297751209791E-2</v>
      </c>
      <c r="K271" s="70">
        <f t="shared" si="80"/>
        <v>0.23937360178970918</v>
      </c>
      <c r="L271" s="69">
        <f>'All Email Performance'!M394</f>
        <v>64</v>
      </c>
      <c r="M271" s="70">
        <f t="shared" si="81"/>
        <v>1.8218047253060064E-2</v>
      </c>
      <c r="N271" s="69" t="s">
        <v>98</v>
      </c>
    </row>
    <row r="272" spans="1:14" ht="24" customHeight="1" x14ac:dyDescent="0.3">
      <c r="A272" s="76" t="s">
        <v>233</v>
      </c>
      <c r="B272" s="67" t="s">
        <v>98</v>
      </c>
      <c r="C272" s="68">
        <v>45015</v>
      </c>
      <c r="D272" s="69">
        <f>'All Email Performance'!E395</f>
        <v>14099</v>
      </c>
      <c r="E272" s="70">
        <f t="shared" si="77"/>
        <v>0.96808284275480527</v>
      </c>
      <c r="F272" s="69">
        <f>'All Email Performance'!G395</f>
        <v>450</v>
      </c>
      <c r="G272" s="69">
        <f>'All Email Performance'!H395</f>
        <v>3304</v>
      </c>
      <c r="H272" s="70">
        <f t="shared" si="78"/>
        <v>0.2343428611958295</v>
      </c>
      <c r="I272" s="69">
        <f>'All Email Performance'!J395</f>
        <v>661</v>
      </c>
      <c r="J272" s="70">
        <f t="shared" si="79"/>
        <v>4.6882757642385982E-2</v>
      </c>
      <c r="K272" s="70">
        <f t="shared" si="80"/>
        <v>0.20006053268765134</v>
      </c>
      <c r="L272" s="69">
        <f>'All Email Performance'!M395</f>
        <v>154</v>
      </c>
      <c r="M272" s="70">
        <f t="shared" si="81"/>
        <v>1.092276047946663E-2</v>
      </c>
      <c r="N272" s="69" t="s">
        <v>98</v>
      </c>
    </row>
    <row r="273" spans="1:14" ht="24" customHeight="1" x14ac:dyDescent="0.3">
      <c r="A273" s="76" t="s">
        <v>234</v>
      </c>
      <c r="B273" s="67" t="s">
        <v>16</v>
      </c>
      <c r="C273" s="68">
        <v>45015</v>
      </c>
      <c r="D273" s="69">
        <f>'All Email Performance'!E396</f>
        <v>1023840</v>
      </c>
      <c r="E273" s="70">
        <f t="shared" si="77"/>
        <v>0.99733356774496018</v>
      </c>
      <c r="F273" s="69">
        <f>'All Email Performance'!G396</f>
        <v>2730</v>
      </c>
      <c r="G273" s="69">
        <f>'All Email Performance'!H396</f>
        <v>443119</v>
      </c>
      <c r="H273" s="70">
        <f t="shared" si="78"/>
        <v>0.43280102359743711</v>
      </c>
      <c r="I273" s="69">
        <f>'All Email Performance'!J396</f>
        <v>4865</v>
      </c>
      <c r="J273" s="70">
        <f t="shared" si="79"/>
        <v>4.7517190185966561E-3</v>
      </c>
      <c r="K273" s="70">
        <f t="shared" si="80"/>
        <v>1.0978992099187802E-2</v>
      </c>
      <c r="L273" s="69">
        <f>'All Email Performance'!M396</f>
        <v>960</v>
      </c>
      <c r="M273" s="70">
        <f t="shared" si="81"/>
        <v>9.3764650726676048E-4</v>
      </c>
      <c r="N273" s="69" t="s">
        <v>16</v>
      </c>
    </row>
    <row r="274" spans="1:14" ht="24" customHeight="1" x14ac:dyDescent="0.3">
      <c r="A274" s="66" t="s">
        <v>26</v>
      </c>
      <c r="B274" s="67" t="s">
        <v>23</v>
      </c>
      <c r="C274" s="68">
        <v>45015</v>
      </c>
      <c r="D274" s="69">
        <f>'All Email Performance'!E397</f>
        <v>1631</v>
      </c>
      <c r="E274" s="70">
        <f t="shared" si="77"/>
        <v>0.99816063764561613</v>
      </c>
      <c r="F274" s="69">
        <f>'All Email Performance'!G397</f>
        <v>3</v>
      </c>
      <c r="G274" s="69">
        <f>'All Email Performance'!H397</f>
        <v>615</v>
      </c>
      <c r="H274" s="70">
        <f t="shared" si="78"/>
        <v>0.37706928264868178</v>
      </c>
      <c r="I274" s="69">
        <f>'All Email Performance'!J397</f>
        <v>23</v>
      </c>
      <c r="J274" s="70">
        <f t="shared" si="79"/>
        <v>1.4101778050275904E-2</v>
      </c>
      <c r="K274" s="70">
        <f t="shared" si="80"/>
        <v>3.7398373983739838E-2</v>
      </c>
      <c r="L274" s="69">
        <f>'All Email Performance'!M397</f>
        <v>0</v>
      </c>
      <c r="M274" s="70">
        <f t="shared" si="81"/>
        <v>0</v>
      </c>
      <c r="N274" s="69" t="s">
        <v>23</v>
      </c>
    </row>
    <row r="275" spans="1:14" ht="24" customHeight="1" x14ac:dyDescent="0.3">
      <c r="A275" s="66" t="s">
        <v>28</v>
      </c>
      <c r="B275" s="67" t="s">
        <v>16</v>
      </c>
      <c r="C275" s="68">
        <v>45016</v>
      </c>
      <c r="D275" s="69">
        <f>SUM('All Email Performance'!E398:E399)</f>
        <v>308243</v>
      </c>
      <c r="E275" s="70">
        <f t="shared" si="77"/>
        <v>0.99610047916741018</v>
      </c>
      <c r="F275" s="69">
        <f>SUM('All Email Performance'!G398:G399)</f>
        <v>1202</v>
      </c>
      <c r="G275" s="69">
        <f>SUM('All Email Performance'!H398:H399)</f>
        <v>95603</v>
      </c>
      <c r="H275" s="70">
        <f t="shared" si="78"/>
        <v>0.31015465071388482</v>
      </c>
      <c r="I275" s="69">
        <f>SUM('All Email Performance'!J398:J399)</f>
        <v>1880</v>
      </c>
      <c r="J275" s="70">
        <f t="shared" si="79"/>
        <v>6.0990841641172713E-3</v>
      </c>
      <c r="K275" s="70">
        <f t="shared" si="80"/>
        <v>1.9664654874847025E-2</v>
      </c>
      <c r="L275" s="69">
        <f>SUM('All Email Performance'!M398:M399)</f>
        <v>453</v>
      </c>
      <c r="M275" s="70">
        <f t="shared" si="81"/>
        <v>1.4696197480559168E-3</v>
      </c>
      <c r="N275" s="69" t="s">
        <v>16</v>
      </c>
    </row>
    <row r="276" spans="1:14" ht="24" customHeight="1" x14ac:dyDescent="0.3">
      <c r="A276" s="66" t="s">
        <v>22</v>
      </c>
      <c r="B276" s="67" t="s">
        <v>16</v>
      </c>
      <c r="C276" s="68">
        <v>45016</v>
      </c>
      <c r="D276" s="69">
        <f>SUM('All Email Performance'!E400:E401)</f>
        <v>4065832</v>
      </c>
      <c r="E276" s="70">
        <f t="shared" si="77"/>
        <v>0.99679278435508401</v>
      </c>
      <c r="F276" s="69">
        <f>SUM('All Email Performance'!G400:G401)</f>
        <v>13040</v>
      </c>
      <c r="G276" s="69">
        <f>SUM('All Email Performance'!H400:H401)</f>
        <v>1414269</v>
      </c>
      <c r="H276" s="70">
        <f t="shared" si="78"/>
        <v>0.34784245881285797</v>
      </c>
      <c r="I276" s="69">
        <f>SUM('All Email Performance'!J400:J401)</f>
        <v>21191</v>
      </c>
      <c r="J276" s="70">
        <f t="shared" si="79"/>
        <v>5.2119713751084653E-3</v>
      </c>
      <c r="K276" s="70">
        <f t="shared" si="80"/>
        <v>1.4983712433773208E-2</v>
      </c>
      <c r="L276" s="69">
        <f>SUM('All Email Performance'!M400:M401)</f>
        <v>5387</v>
      </c>
      <c r="M276" s="70">
        <f t="shared" si="81"/>
        <v>1.32494407048791E-3</v>
      </c>
      <c r="N276" s="69" t="s">
        <v>16</v>
      </c>
    </row>
    <row r="277" spans="1:14" ht="24" customHeight="1" x14ac:dyDescent="0.3">
      <c r="A277" s="66" t="s">
        <v>33</v>
      </c>
      <c r="B277" s="67" t="s">
        <v>21</v>
      </c>
      <c r="C277" s="68">
        <v>45016</v>
      </c>
      <c r="D277" s="69">
        <f>'All Email Performance'!E402</f>
        <v>241444</v>
      </c>
      <c r="E277" s="70">
        <f t="shared" si="77"/>
        <v>0.99723745464786862</v>
      </c>
      <c r="F277" s="69">
        <f>'All Email Performance'!G402</f>
        <v>667</v>
      </c>
      <c r="G277" s="69">
        <f>'All Email Performance'!H402</f>
        <v>108228</v>
      </c>
      <c r="H277" s="70">
        <f t="shared" si="78"/>
        <v>0.44825301105018139</v>
      </c>
      <c r="I277" s="69">
        <f>'All Email Performance'!J402</f>
        <v>1997</v>
      </c>
      <c r="J277" s="70">
        <f t="shared" si="79"/>
        <v>8.2710690677755497E-3</v>
      </c>
      <c r="K277" s="70">
        <f t="shared" si="80"/>
        <v>1.8451786968252209E-2</v>
      </c>
      <c r="L277" s="69">
        <f>'All Email Performance'!M402</f>
        <v>263</v>
      </c>
      <c r="M277" s="70">
        <f t="shared" si="81"/>
        <v>1.0892795016649824E-3</v>
      </c>
      <c r="N277" s="69" t="s">
        <v>21</v>
      </c>
    </row>
    <row r="278" spans="1:14" ht="24" customHeight="1" x14ac:dyDescent="0.3">
      <c r="A278" s="66" t="s">
        <v>19</v>
      </c>
      <c r="B278" s="67" t="s">
        <v>21</v>
      </c>
      <c r="C278" s="68">
        <v>45016</v>
      </c>
      <c r="D278" s="69">
        <f>'All Email Performance'!E403</f>
        <v>332771</v>
      </c>
      <c r="E278" s="70">
        <f t="shared" si="77"/>
        <v>0.99625267826823849</v>
      </c>
      <c r="F278" s="69">
        <f>'All Email Performance'!G403</f>
        <v>1247</v>
      </c>
      <c r="G278" s="69">
        <f>'All Email Performance'!H403</f>
        <v>120812</v>
      </c>
      <c r="H278" s="70">
        <f t="shared" si="78"/>
        <v>0.36304846275667052</v>
      </c>
      <c r="I278" s="69">
        <f>'All Email Performance'!J403</f>
        <v>2503</v>
      </c>
      <c r="J278" s="70">
        <f t="shared" si="79"/>
        <v>7.5216890894939763E-3</v>
      </c>
      <c r="K278" s="70">
        <f t="shared" si="80"/>
        <v>2.0718140582061385E-2</v>
      </c>
      <c r="L278" s="69">
        <f>'All Email Performance'!M403</f>
        <v>335</v>
      </c>
      <c r="M278" s="70">
        <f t="shared" si="81"/>
        <v>1.0066983000321542E-3</v>
      </c>
      <c r="N278" s="69" t="s">
        <v>21</v>
      </c>
    </row>
    <row r="279" spans="1:14" ht="24" customHeight="1" x14ac:dyDescent="0.3">
      <c r="A279" s="66" t="s">
        <v>24</v>
      </c>
      <c r="B279" s="67" t="s">
        <v>21</v>
      </c>
      <c r="C279" s="68">
        <v>45017</v>
      </c>
      <c r="D279" s="69">
        <f>'All Email Performance'!E404</f>
        <v>14810</v>
      </c>
      <c r="E279" s="70">
        <f t="shared" si="77"/>
        <v>0.99540850776502365</v>
      </c>
      <c r="F279" s="69">
        <f>'All Email Performance'!G404</f>
        <v>68</v>
      </c>
      <c r="G279" s="69">
        <f>'All Email Performance'!H404</f>
        <v>5047</v>
      </c>
      <c r="H279" s="70">
        <f t="shared" si="78"/>
        <v>0.34078325455773129</v>
      </c>
      <c r="I279" s="69">
        <f>'All Email Performance'!J404</f>
        <v>211</v>
      </c>
      <c r="J279" s="70">
        <f t="shared" si="79"/>
        <v>1.4247130317353141E-2</v>
      </c>
      <c r="K279" s="70">
        <f t="shared" si="80"/>
        <v>4.1807014067763028E-2</v>
      </c>
      <c r="L279" s="69">
        <f>'All Email Performance'!M404</f>
        <v>18</v>
      </c>
      <c r="M279" s="70">
        <f t="shared" si="81"/>
        <v>1.2153950033760973E-3</v>
      </c>
      <c r="N279" s="69" t="s">
        <v>21</v>
      </c>
    </row>
    <row r="280" spans="1:14" ht="24" customHeight="1" x14ac:dyDescent="0.3">
      <c r="A280" s="76" t="s">
        <v>235</v>
      </c>
      <c r="B280" s="67" t="s">
        <v>27</v>
      </c>
      <c r="C280" s="68">
        <v>45017</v>
      </c>
      <c r="D280" s="69">
        <f>'All Email Performance'!E405</f>
        <v>238250</v>
      </c>
      <c r="E280" s="70">
        <f t="shared" si="77"/>
        <v>0.99703672612801675</v>
      </c>
      <c r="F280" s="69">
        <f>'All Email Performance'!G405</f>
        <v>706</v>
      </c>
      <c r="G280" s="69">
        <f>'All Email Performance'!H405</f>
        <v>91446</v>
      </c>
      <c r="H280" s="70">
        <f t="shared" si="78"/>
        <v>0.38382371458551939</v>
      </c>
      <c r="I280" s="69">
        <f>'All Email Performance'!J405</f>
        <v>3274</v>
      </c>
      <c r="J280" s="70">
        <f t="shared" si="79"/>
        <v>1.374186778593914E-2</v>
      </c>
      <c r="K280" s="70">
        <f t="shared" si="80"/>
        <v>3.5802550138879778E-2</v>
      </c>
      <c r="L280" s="69">
        <f>'All Email Performance'!M405</f>
        <v>1488</v>
      </c>
      <c r="M280" s="70">
        <f t="shared" si="81"/>
        <v>6.2455403987408181E-3</v>
      </c>
      <c r="N280" s="69" t="s">
        <v>27</v>
      </c>
    </row>
    <row r="281" spans="1:14" ht="24" customHeight="1" x14ac:dyDescent="0.3">
      <c r="A281" s="76" t="s">
        <v>36</v>
      </c>
      <c r="B281" s="67" t="s">
        <v>16</v>
      </c>
      <c r="C281" s="68">
        <v>45017</v>
      </c>
      <c r="D281" s="69">
        <f>SUM('All Email Performance'!E406:E407)</f>
        <v>3696</v>
      </c>
      <c r="E281" s="70">
        <f t="shared" si="77"/>
        <v>0.99594155844155841</v>
      </c>
      <c r="F281" s="69">
        <f>SUM('All Email Performance'!G406:G407)</f>
        <v>15</v>
      </c>
      <c r="G281" s="69">
        <f>SUM('All Email Performance'!H406:H407)</f>
        <v>1687</v>
      </c>
      <c r="H281" s="70">
        <f t="shared" si="78"/>
        <v>0.45643939393939392</v>
      </c>
      <c r="I281" s="69">
        <f>SUM('All Email Performance'!J406:J407)</f>
        <v>190</v>
      </c>
      <c r="J281" s="70">
        <f t="shared" si="79"/>
        <v>5.1406926406926408E-2</v>
      </c>
      <c r="K281" s="70">
        <f t="shared" si="80"/>
        <v>0.11262596324836989</v>
      </c>
      <c r="L281" s="69">
        <f>SUM('All Email Performance'!M406:M407)</f>
        <v>11</v>
      </c>
      <c r="M281" s="70">
        <f t="shared" si="81"/>
        <v>2.976190476190476E-3</v>
      </c>
      <c r="N281" s="69" t="s">
        <v>16</v>
      </c>
    </row>
    <row r="282" spans="1:14" ht="24" customHeight="1" x14ac:dyDescent="0.3">
      <c r="A282" s="76" t="s">
        <v>37</v>
      </c>
      <c r="B282" s="67" t="s">
        <v>16</v>
      </c>
      <c r="C282" s="68">
        <v>45017</v>
      </c>
      <c r="D282" s="69">
        <f>SUM('All Email Performance'!E408:E409)</f>
        <v>38521</v>
      </c>
      <c r="E282" s="70">
        <f t="shared" si="77"/>
        <v>0.9965473378157369</v>
      </c>
      <c r="F282" s="69">
        <f>SUM('All Email Performance'!G408:G409)</f>
        <v>133</v>
      </c>
      <c r="G282" s="69">
        <f>SUM('All Email Performance'!H408:H409)</f>
        <v>16285</v>
      </c>
      <c r="H282" s="70">
        <f t="shared" si="78"/>
        <v>0.42275641857688012</v>
      </c>
      <c r="I282" s="69">
        <f>SUM('All Email Performance'!J408:J409)</f>
        <v>1375</v>
      </c>
      <c r="J282" s="70">
        <f t="shared" si="79"/>
        <v>3.5694815814750397E-2</v>
      </c>
      <c r="K282" s="70">
        <f t="shared" si="80"/>
        <v>8.4433527786306417E-2</v>
      </c>
      <c r="L282" s="69">
        <f>SUM('All Email Performance'!M408:M409)</f>
        <v>67</v>
      </c>
      <c r="M282" s="70">
        <f t="shared" si="81"/>
        <v>1.7393110251551101E-3</v>
      </c>
      <c r="N282" s="69" t="s">
        <v>16</v>
      </c>
    </row>
    <row r="283" spans="1:14" ht="24" customHeight="1" x14ac:dyDescent="0.3">
      <c r="A283" s="76" t="s">
        <v>34</v>
      </c>
      <c r="B283" s="67" t="s">
        <v>30</v>
      </c>
      <c r="C283" s="68">
        <v>45017</v>
      </c>
      <c r="D283" s="69">
        <f>'All Email Performance'!E410</f>
        <v>9433</v>
      </c>
      <c r="E283" s="70">
        <f t="shared" si="77"/>
        <v>0.98272023746422132</v>
      </c>
      <c r="F283" s="69">
        <f>'All Email Performance'!G410</f>
        <v>163</v>
      </c>
      <c r="G283" s="69">
        <f>'All Email Performance'!H410</f>
        <v>3035</v>
      </c>
      <c r="H283" s="70">
        <f t="shared" si="78"/>
        <v>0.32174281776741226</v>
      </c>
      <c r="I283" s="69">
        <f>'All Email Performance'!J410</f>
        <v>465</v>
      </c>
      <c r="J283" s="70">
        <f t="shared" si="79"/>
        <v>4.929502809286547E-2</v>
      </c>
      <c r="K283" s="70">
        <f t="shared" si="80"/>
        <v>0.15321252059308071</v>
      </c>
      <c r="L283" s="69">
        <f>'All Email Performance'!M410</f>
        <v>25</v>
      </c>
      <c r="M283" s="70">
        <f t="shared" si="81"/>
        <v>2.6502703275734125E-3</v>
      </c>
      <c r="N283" s="69" t="s">
        <v>31</v>
      </c>
    </row>
    <row r="284" spans="1:14" ht="24" customHeight="1" x14ac:dyDescent="0.3">
      <c r="A284" s="76" t="s">
        <v>35</v>
      </c>
      <c r="B284" s="67" t="s">
        <v>30</v>
      </c>
      <c r="C284" s="68">
        <v>45017</v>
      </c>
      <c r="D284" s="69">
        <f>'All Email Performance'!E411</f>
        <v>85280</v>
      </c>
      <c r="E284" s="70">
        <f t="shared" si="77"/>
        <v>0.97646575984990625</v>
      </c>
      <c r="F284" s="69">
        <f>'All Email Performance'!G411</f>
        <v>2007</v>
      </c>
      <c r="G284" s="69">
        <f>'All Email Performance'!H411</f>
        <v>33611</v>
      </c>
      <c r="H284" s="70">
        <f t="shared" si="78"/>
        <v>0.394125234521576</v>
      </c>
      <c r="I284" s="69">
        <f>'All Email Performance'!J411</f>
        <v>3564</v>
      </c>
      <c r="J284" s="70">
        <f t="shared" si="79"/>
        <v>4.1791744840525329E-2</v>
      </c>
      <c r="K284" s="70">
        <f t="shared" si="80"/>
        <v>0.10603671417095593</v>
      </c>
      <c r="L284" s="69">
        <f>'All Email Performance'!M411</f>
        <v>317</v>
      </c>
      <c r="M284" s="70">
        <f t="shared" si="81"/>
        <v>3.7171669793621014E-3</v>
      </c>
      <c r="N284" s="69" t="s">
        <v>31</v>
      </c>
    </row>
    <row r="285" spans="1:14" ht="24" customHeight="1" x14ac:dyDescent="0.3">
      <c r="A285" s="90" t="s">
        <v>239</v>
      </c>
      <c r="B285" s="102" t="s">
        <v>98</v>
      </c>
      <c r="C285" s="103">
        <v>45019</v>
      </c>
      <c r="D285" s="69">
        <f>'All Email Performance'!E412</f>
        <v>26</v>
      </c>
      <c r="E285" s="70">
        <f>(D285-F285)/D285</f>
        <v>0.92307692307692313</v>
      </c>
      <c r="F285" s="69">
        <f>'All Email Performance'!G412</f>
        <v>2</v>
      </c>
      <c r="G285" s="69">
        <f>'All Email Performance'!H412</f>
        <v>8</v>
      </c>
      <c r="H285" s="70">
        <f>G285/D285</f>
        <v>0.30769230769230771</v>
      </c>
      <c r="I285" s="69">
        <f>'All Email Performance'!J412</f>
        <v>1</v>
      </c>
      <c r="J285" s="70">
        <f>I285/D285</f>
        <v>3.8461538461538464E-2</v>
      </c>
      <c r="K285" s="70">
        <f t="shared" ref="K285:K306" si="82">I285/G285</f>
        <v>0.125</v>
      </c>
      <c r="L285" s="69">
        <f>'All Email Performance'!M412</f>
        <v>0</v>
      </c>
      <c r="M285" s="70">
        <f>L285/D285</f>
        <v>0</v>
      </c>
      <c r="N285" s="69" t="s">
        <v>98</v>
      </c>
    </row>
    <row r="286" spans="1:14" ht="24" customHeight="1" x14ac:dyDescent="0.3">
      <c r="A286" s="90" t="s">
        <v>240</v>
      </c>
      <c r="B286" s="102" t="s">
        <v>98</v>
      </c>
      <c r="C286" s="103">
        <v>45019</v>
      </c>
      <c r="D286" s="69">
        <f>'All Email Performance'!E413</f>
        <v>346</v>
      </c>
      <c r="E286" s="70">
        <f>(D286-F286)/D286</f>
        <v>0.97687861271676302</v>
      </c>
      <c r="F286" s="69">
        <f>'All Email Performance'!G413</f>
        <v>8</v>
      </c>
      <c r="G286" s="69">
        <f>'All Email Performance'!H413</f>
        <v>109</v>
      </c>
      <c r="H286" s="70">
        <f>G286/D286</f>
        <v>0.31502890173410403</v>
      </c>
      <c r="I286" s="69">
        <f>'All Email Performance'!J413</f>
        <v>13</v>
      </c>
      <c r="J286" s="70">
        <f>I286/D286</f>
        <v>3.7572254335260118E-2</v>
      </c>
      <c r="K286" s="70">
        <f t="shared" si="82"/>
        <v>0.11926605504587157</v>
      </c>
      <c r="L286" s="69">
        <f>'All Email Performance'!M413</f>
        <v>0</v>
      </c>
      <c r="M286" s="70">
        <f>L286/D286</f>
        <v>0</v>
      </c>
      <c r="N286" s="69" t="s">
        <v>98</v>
      </c>
    </row>
    <row r="287" spans="1:14" ht="24" customHeight="1" x14ac:dyDescent="0.3">
      <c r="A287" s="90" t="s">
        <v>241</v>
      </c>
      <c r="B287" s="102" t="s">
        <v>16</v>
      </c>
      <c r="C287" s="103">
        <v>45019</v>
      </c>
      <c r="D287" s="69">
        <f>SUM('All Email Performance'!E414:E415)</f>
        <v>345159</v>
      </c>
      <c r="E287" s="70">
        <f t="shared" ref="E287:E306" si="83">(D287-F287)/D287</f>
        <v>0.9951964167238867</v>
      </c>
      <c r="F287" s="69">
        <f>SUM('All Email Performance'!G414:G415)</f>
        <v>1658</v>
      </c>
      <c r="G287" s="69">
        <f>SUM('All Email Performance'!H414:H415)</f>
        <v>118344</v>
      </c>
      <c r="H287" s="70">
        <f t="shared" ref="H287:H306" si="84">G287/D287</f>
        <v>0.34286806949840509</v>
      </c>
      <c r="I287" s="69">
        <f>SUM('All Email Performance'!J414:J415)</f>
        <v>3305</v>
      </c>
      <c r="J287" s="70">
        <f t="shared" ref="J287:J306" si="85">I287/D287</f>
        <v>9.5752971818784966E-3</v>
      </c>
      <c r="K287" s="70">
        <f t="shared" si="82"/>
        <v>2.7927060095991347E-2</v>
      </c>
      <c r="L287" s="69">
        <f>SUM('All Email Performance'!M414:M415)</f>
        <v>635</v>
      </c>
      <c r="M287" s="70">
        <f t="shared" ref="M287:M306" si="86">L287/D287</f>
        <v>1.8397318337345977E-3</v>
      </c>
      <c r="N287" s="69" t="s">
        <v>16</v>
      </c>
    </row>
    <row r="288" spans="1:14" ht="24" customHeight="1" x14ac:dyDescent="0.3">
      <c r="A288" s="90" t="s">
        <v>242</v>
      </c>
      <c r="B288" s="102" t="s">
        <v>16</v>
      </c>
      <c r="C288" s="103">
        <v>45019</v>
      </c>
      <c r="D288" s="69">
        <f>SUM('All Email Performance'!E416:E417)</f>
        <v>4656678</v>
      </c>
      <c r="E288" s="70">
        <f t="shared" si="83"/>
        <v>0.99650136857218818</v>
      </c>
      <c r="F288" s="69">
        <f>SUM('All Email Performance'!G416:G417)</f>
        <v>16292</v>
      </c>
      <c r="G288" s="69">
        <f>SUM('All Email Performance'!H416:H417)</f>
        <v>1701910</v>
      </c>
      <c r="H288" s="70">
        <f t="shared" si="84"/>
        <v>0.36547727800805641</v>
      </c>
      <c r="I288" s="69">
        <f>SUM('All Email Performance'!J416:J417)</f>
        <v>22876</v>
      </c>
      <c r="J288" s="70">
        <f t="shared" si="85"/>
        <v>4.9125148872221783E-3</v>
      </c>
      <c r="K288" s="70">
        <f t="shared" si="82"/>
        <v>1.3441368815037222E-2</v>
      </c>
      <c r="L288" s="69">
        <f>SUM('All Email Performance'!M416:M417)</f>
        <v>6904</v>
      </c>
      <c r="M288" s="70">
        <f t="shared" si="86"/>
        <v>1.4826019750560377E-3</v>
      </c>
      <c r="N288" s="69" t="s">
        <v>16</v>
      </c>
    </row>
    <row r="289" spans="1:14" ht="24" customHeight="1" x14ac:dyDescent="0.3">
      <c r="A289" s="90" t="s">
        <v>29</v>
      </c>
      <c r="B289" s="102" t="s">
        <v>16</v>
      </c>
      <c r="C289" s="103">
        <v>45020</v>
      </c>
      <c r="D289" s="69">
        <f>SUM('All Email Performance'!E418:E419)</f>
        <v>52500</v>
      </c>
      <c r="E289" s="70">
        <f t="shared" si="83"/>
        <v>0.99539047619047616</v>
      </c>
      <c r="F289" s="69">
        <f>SUM('All Email Performance'!G418:G419)</f>
        <v>242</v>
      </c>
      <c r="G289" s="69">
        <f>SUM('All Email Performance'!H418:H419)</f>
        <v>18690</v>
      </c>
      <c r="H289" s="70">
        <f t="shared" si="84"/>
        <v>0.35599999999999998</v>
      </c>
      <c r="I289" s="69">
        <f>SUM('All Email Performance'!J418:J419)</f>
        <v>462</v>
      </c>
      <c r="J289" s="70">
        <f t="shared" si="85"/>
        <v>8.8000000000000005E-3</v>
      </c>
      <c r="K289" s="70">
        <f t="shared" si="82"/>
        <v>2.4719101123595506E-2</v>
      </c>
      <c r="L289" s="69">
        <f>SUM('All Email Performance'!M418:M419)</f>
        <v>46</v>
      </c>
      <c r="M289" s="70">
        <f t="shared" si="86"/>
        <v>8.7619047619047616E-4</v>
      </c>
      <c r="N289" s="69" t="s">
        <v>16</v>
      </c>
    </row>
    <row r="290" spans="1:14" ht="24" customHeight="1" x14ac:dyDescent="0.3">
      <c r="A290" s="90" t="s">
        <v>17</v>
      </c>
      <c r="B290" s="102" t="s">
        <v>16</v>
      </c>
      <c r="C290" s="103">
        <v>45020</v>
      </c>
      <c r="D290" s="69">
        <f>SUM('All Email Performance'!E420:E421)</f>
        <v>671485</v>
      </c>
      <c r="E290" s="70">
        <f t="shared" si="83"/>
        <v>0.99659560526296198</v>
      </c>
      <c r="F290" s="69">
        <f>SUM('All Email Performance'!G420:G421)</f>
        <v>2286</v>
      </c>
      <c r="G290" s="69">
        <f>SUM('All Email Performance'!H420:H421)</f>
        <v>253110</v>
      </c>
      <c r="H290" s="70">
        <f t="shared" si="84"/>
        <v>0.37694066136994869</v>
      </c>
      <c r="I290" s="69">
        <f>SUM('All Email Performance'!J420:J421)</f>
        <v>3801</v>
      </c>
      <c r="J290" s="70">
        <f t="shared" si="85"/>
        <v>5.6605880995107861E-3</v>
      </c>
      <c r="K290" s="70">
        <f t="shared" si="82"/>
        <v>1.5017186203626881E-2</v>
      </c>
      <c r="L290" s="69">
        <f>SUM('All Email Performance'!M420:M421)</f>
        <v>591</v>
      </c>
      <c r="M290" s="70">
        <f t="shared" si="86"/>
        <v>8.8013879684579696E-4</v>
      </c>
      <c r="N290" s="69" t="s">
        <v>16</v>
      </c>
    </row>
    <row r="291" spans="1:14" ht="24" customHeight="1" x14ac:dyDescent="0.3">
      <c r="A291" s="90" t="s">
        <v>243</v>
      </c>
      <c r="B291" s="102" t="s">
        <v>16</v>
      </c>
      <c r="C291" s="103">
        <v>45021</v>
      </c>
      <c r="D291" s="69">
        <f>SUM('All Email Performance'!E422:E423)</f>
        <v>345083</v>
      </c>
      <c r="E291" s="70">
        <f t="shared" si="83"/>
        <v>0.99554020337136284</v>
      </c>
      <c r="F291" s="69">
        <f>SUM('All Email Performance'!G422:G423)</f>
        <v>1539</v>
      </c>
      <c r="G291" s="69">
        <f>SUM('All Email Performance'!H422:H423)</f>
        <v>115054</v>
      </c>
      <c r="H291" s="70">
        <f t="shared" si="84"/>
        <v>0.33340964347707652</v>
      </c>
      <c r="I291" s="69">
        <f>SUM('All Email Performance'!J422:J423)</f>
        <v>2361</v>
      </c>
      <c r="J291" s="70">
        <f t="shared" si="85"/>
        <v>6.8418322548488338E-3</v>
      </c>
      <c r="K291" s="70">
        <f t="shared" si="82"/>
        <v>2.0520798929198465E-2</v>
      </c>
      <c r="L291" s="69">
        <f>SUM('All Email Performance'!M422:M423)</f>
        <v>722</v>
      </c>
      <c r="M291" s="70">
        <f t="shared" si="86"/>
        <v>2.0922502702248446E-3</v>
      </c>
      <c r="N291" s="69" t="s">
        <v>16</v>
      </c>
    </row>
    <row r="292" spans="1:14" ht="24" customHeight="1" x14ac:dyDescent="0.3">
      <c r="A292" s="90" t="s">
        <v>244</v>
      </c>
      <c r="B292" s="102" t="s">
        <v>16</v>
      </c>
      <c r="C292" s="103">
        <v>45021</v>
      </c>
      <c r="D292" s="69">
        <f>SUM('All Email Performance'!E424:E425)</f>
        <v>4665549</v>
      </c>
      <c r="E292" s="70">
        <f t="shared" si="83"/>
        <v>0.99654981653820374</v>
      </c>
      <c r="F292" s="69">
        <f>SUM('All Email Performance'!G424:G425)</f>
        <v>16097</v>
      </c>
      <c r="G292" s="69">
        <f>SUM('All Email Performance'!H424:H425)</f>
        <v>1678896</v>
      </c>
      <c r="H292" s="70">
        <f t="shared" si="84"/>
        <v>0.35984961255363518</v>
      </c>
      <c r="I292" s="69">
        <f>SUM('All Email Performance'!J424:J425)</f>
        <v>23954</v>
      </c>
      <c r="J292" s="70">
        <f t="shared" si="85"/>
        <v>5.1342296480006962E-3</v>
      </c>
      <c r="K292" s="70">
        <f t="shared" si="82"/>
        <v>1.4267709256559073E-2</v>
      </c>
      <c r="L292" s="69">
        <f>SUM('All Email Performance'!M424:M425)</f>
        <v>7474</v>
      </c>
      <c r="M292" s="70">
        <f t="shared" si="86"/>
        <v>1.6019550968171163E-3</v>
      </c>
      <c r="N292" s="69" t="s">
        <v>16</v>
      </c>
    </row>
    <row r="293" spans="1:14" ht="24" customHeight="1" x14ac:dyDescent="0.3">
      <c r="A293" s="90" t="s">
        <v>245</v>
      </c>
      <c r="B293" s="102" t="s">
        <v>16</v>
      </c>
      <c r="C293" s="103">
        <v>45021</v>
      </c>
      <c r="D293" s="69">
        <f>SUM('All Email Performance'!E426:E427)</f>
        <v>19262</v>
      </c>
      <c r="E293" s="70">
        <f t="shared" si="83"/>
        <v>0.99569099781954107</v>
      </c>
      <c r="F293" s="69">
        <f>SUM('All Email Performance'!G426:G427)</f>
        <v>83</v>
      </c>
      <c r="G293" s="69">
        <f>SUM('All Email Performance'!H426:H427)</f>
        <v>8810</v>
      </c>
      <c r="H293" s="70">
        <f t="shared" si="84"/>
        <v>0.45737721939570136</v>
      </c>
      <c r="I293" s="69">
        <f>SUM('All Email Performance'!J426:J427)</f>
        <v>161</v>
      </c>
      <c r="J293" s="70">
        <f t="shared" si="85"/>
        <v>8.3584259163119092E-3</v>
      </c>
      <c r="K293" s="70">
        <f t="shared" si="82"/>
        <v>1.8274687854710557E-2</v>
      </c>
      <c r="L293" s="69">
        <f>SUM('All Email Performance'!M426:M427)</f>
        <v>20</v>
      </c>
      <c r="M293" s="70">
        <f t="shared" si="86"/>
        <v>1.0383137784238396E-3</v>
      </c>
      <c r="N293" s="69" t="s">
        <v>16</v>
      </c>
    </row>
    <row r="294" spans="1:14" ht="24" customHeight="1" x14ac:dyDescent="0.3">
      <c r="A294" s="90" t="s">
        <v>246</v>
      </c>
      <c r="B294" s="102" t="s">
        <v>16</v>
      </c>
      <c r="C294" s="103">
        <v>45021</v>
      </c>
      <c r="D294" s="69">
        <f>'All Email Performance'!E428</f>
        <v>63802</v>
      </c>
      <c r="E294" s="70">
        <f t="shared" si="83"/>
        <v>0.99667722014983862</v>
      </c>
      <c r="F294" s="69">
        <f>'All Email Performance'!G428</f>
        <v>212</v>
      </c>
      <c r="G294" s="69">
        <f>'All Email Performance'!H428</f>
        <v>23301</v>
      </c>
      <c r="H294" s="70">
        <f t="shared" si="84"/>
        <v>0.36520798721043229</v>
      </c>
      <c r="I294" s="69">
        <f>'All Email Performance'!J428</f>
        <v>267</v>
      </c>
      <c r="J294" s="70">
        <f t="shared" si="85"/>
        <v>4.1848217924203004E-3</v>
      </c>
      <c r="K294" s="70">
        <f t="shared" si="82"/>
        <v>1.1458735676580404E-2</v>
      </c>
      <c r="L294" s="69">
        <f>'All Email Performance'!M428</f>
        <v>48</v>
      </c>
      <c r="M294" s="70">
        <f t="shared" si="86"/>
        <v>7.5232751324409892E-4</v>
      </c>
      <c r="N294" s="69" t="s">
        <v>16</v>
      </c>
    </row>
    <row r="295" spans="1:14" ht="24" customHeight="1" x14ac:dyDescent="0.3">
      <c r="A295" s="90" t="s">
        <v>26</v>
      </c>
      <c r="B295" s="102" t="s">
        <v>23</v>
      </c>
      <c r="C295" s="103">
        <v>45022</v>
      </c>
      <c r="D295" s="69">
        <f>'All Email Performance'!E429</f>
        <v>1631</v>
      </c>
      <c r="E295" s="70">
        <f t="shared" si="83"/>
        <v>0.99816063764561613</v>
      </c>
      <c r="F295" s="69">
        <f>'All Email Performance'!G429</f>
        <v>3</v>
      </c>
      <c r="G295" s="69">
        <f>'All Email Performance'!H429</f>
        <v>535</v>
      </c>
      <c r="H295" s="70">
        <f t="shared" si="84"/>
        <v>0.32801961986511341</v>
      </c>
      <c r="I295" s="69">
        <f>'All Email Performance'!J429</f>
        <v>12</v>
      </c>
      <c r="J295" s="70">
        <f t="shared" si="85"/>
        <v>7.357449417535254E-3</v>
      </c>
      <c r="K295" s="70">
        <f t="shared" si="82"/>
        <v>2.2429906542056073E-2</v>
      </c>
      <c r="L295" s="69">
        <f>'All Email Performance'!M429</f>
        <v>1</v>
      </c>
      <c r="M295" s="70">
        <f t="shared" si="86"/>
        <v>6.131207847946045E-4</v>
      </c>
      <c r="N295" s="69" t="s">
        <v>23</v>
      </c>
    </row>
    <row r="296" spans="1:14" ht="24" customHeight="1" x14ac:dyDescent="0.3">
      <c r="A296" s="90" t="s">
        <v>247</v>
      </c>
      <c r="B296" s="102" t="s">
        <v>16</v>
      </c>
      <c r="C296" s="103">
        <v>45022</v>
      </c>
      <c r="D296" s="69">
        <f>'All Email Performance'!E430</f>
        <v>2098</v>
      </c>
      <c r="E296" s="70">
        <f t="shared" si="83"/>
        <v>0.99475691134413724</v>
      </c>
      <c r="F296" s="69">
        <f>'All Email Performance'!G430</f>
        <v>11</v>
      </c>
      <c r="G296" s="69">
        <f>'All Email Performance'!H430</f>
        <v>642</v>
      </c>
      <c r="H296" s="70">
        <f t="shared" si="84"/>
        <v>0.30600571973307911</v>
      </c>
      <c r="I296" s="69">
        <f>'All Email Performance'!J430</f>
        <v>29</v>
      </c>
      <c r="J296" s="70">
        <f t="shared" si="85"/>
        <v>1.3822688274547188E-2</v>
      </c>
      <c r="K296" s="70">
        <f t="shared" si="82"/>
        <v>4.5171339563862926E-2</v>
      </c>
      <c r="L296" s="69">
        <f>'All Email Performance'!M430</f>
        <v>2</v>
      </c>
      <c r="M296" s="70">
        <f t="shared" si="86"/>
        <v>9.5328884652049568E-4</v>
      </c>
      <c r="N296" s="69" t="s">
        <v>16</v>
      </c>
    </row>
    <row r="297" spans="1:14" ht="24" customHeight="1" x14ac:dyDescent="0.3">
      <c r="A297" s="90" t="s">
        <v>248</v>
      </c>
      <c r="B297" s="102" t="s">
        <v>16</v>
      </c>
      <c r="C297" s="103">
        <v>45022</v>
      </c>
      <c r="D297" s="69">
        <f>'All Email Performance'!E431</f>
        <v>28979</v>
      </c>
      <c r="E297" s="70">
        <f t="shared" si="83"/>
        <v>0.99603160909624211</v>
      </c>
      <c r="F297" s="69">
        <f>'All Email Performance'!G431</f>
        <v>115</v>
      </c>
      <c r="G297" s="69">
        <f>'All Email Performance'!H431</f>
        <v>9600</v>
      </c>
      <c r="H297" s="70">
        <f t="shared" si="84"/>
        <v>0.33127437109631114</v>
      </c>
      <c r="I297" s="69">
        <f>'All Email Performance'!J431</f>
        <v>142</v>
      </c>
      <c r="J297" s="70">
        <f t="shared" si="85"/>
        <v>4.9001000724662683E-3</v>
      </c>
      <c r="K297" s="70">
        <f t="shared" si="82"/>
        <v>1.4791666666666667E-2</v>
      </c>
      <c r="L297" s="69">
        <f>'All Email Performance'!M431</f>
        <v>10</v>
      </c>
      <c r="M297" s="70">
        <f t="shared" si="86"/>
        <v>3.4507746989199077E-4</v>
      </c>
      <c r="N297" s="69" t="s">
        <v>16</v>
      </c>
    </row>
    <row r="298" spans="1:14" ht="24" customHeight="1" x14ac:dyDescent="0.3">
      <c r="A298" s="90" t="s">
        <v>249</v>
      </c>
      <c r="B298" s="102" t="s">
        <v>16</v>
      </c>
      <c r="C298" s="103">
        <v>45022</v>
      </c>
      <c r="D298" s="69">
        <f>'All Email Performance'!E432</f>
        <v>39331</v>
      </c>
      <c r="E298" s="70">
        <f t="shared" si="83"/>
        <v>0.99501665353029412</v>
      </c>
      <c r="F298" s="69">
        <f>'All Email Performance'!G432</f>
        <v>196</v>
      </c>
      <c r="G298" s="69">
        <f>'All Email Performance'!H432</f>
        <v>12040</v>
      </c>
      <c r="H298" s="70">
        <f t="shared" si="84"/>
        <v>0.30611985456764385</v>
      </c>
      <c r="I298" s="69">
        <f>'All Email Performance'!J432</f>
        <v>316</v>
      </c>
      <c r="J298" s="70">
        <f t="shared" si="85"/>
        <v>8.0343749205461345E-3</v>
      </c>
      <c r="K298" s="70">
        <f t="shared" si="82"/>
        <v>2.6245847176079733E-2</v>
      </c>
      <c r="L298" s="69">
        <f>'All Email Performance'!M432</f>
        <v>8</v>
      </c>
      <c r="M298" s="70">
        <f t="shared" si="86"/>
        <v>2.0340189672268694E-4</v>
      </c>
      <c r="N298" s="69" t="s">
        <v>16</v>
      </c>
    </row>
    <row r="299" spans="1:14" ht="24" customHeight="1" x14ac:dyDescent="0.3">
      <c r="A299" s="90" t="s">
        <v>250</v>
      </c>
      <c r="B299" s="102" t="s">
        <v>16</v>
      </c>
      <c r="C299" s="103">
        <v>45022</v>
      </c>
      <c r="D299" s="69">
        <f>'All Email Performance'!E433</f>
        <v>549333</v>
      </c>
      <c r="E299" s="70">
        <f t="shared" si="83"/>
        <v>0.99615897825180721</v>
      </c>
      <c r="F299" s="69">
        <f>'All Email Performance'!G433</f>
        <v>2110</v>
      </c>
      <c r="G299" s="69">
        <f>'All Email Performance'!H433</f>
        <v>185013</v>
      </c>
      <c r="H299" s="70">
        <f t="shared" si="84"/>
        <v>0.3367957140750692</v>
      </c>
      <c r="I299" s="69">
        <f>'All Email Performance'!J433</f>
        <v>2826</v>
      </c>
      <c r="J299" s="70">
        <f t="shared" si="85"/>
        <v>5.1444205973425958E-3</v>
      </c>
      <c r="K299" s="70">
        <f t="shared" si="82"/>
        <v>1.527460232524201E-2</v>
      </c>
      <c r="L299" s="69">
        <f>'All Email Performance'!M433</f>
        <v>224</v>
      </c>
      <c r="M299" s="70">
        <f t="shared" si="86"/>
        <v>4.0776723772283844E-4</v>
      </c>
      <c r="N299" s="69" t="s">
        <v>16</v>
      </c>
    </row>
    <row r="300" spans="1:14" ht="24" customHeight="1" x14ac:dyDescent="0.3">
      <c r="A300" s="90" t="s">
        <v>251</v>
      </c>
      <c r="B300" s="102" t="s">
        <v>16</v>
      </c>
      <c r="C300" s="103">
        <v>45023</v>
      </c>
      <c r="D300" s="69">
        <f>SUM('All Email Performance'!E434:E435)</f>
        <v>26067</v>
      </c>
      <c r="E300" s="70">
        <f t="shared" si="83"/>
        <v>0.99558829170982466</v>
      </c>
      <c r="F300" s="69">
        <f>SUM('All Email Performance'!G434:G435)</f>
        <v>115</v>
      </c>
      <c r="G300" s="69">
        <f>SUM('All Email Performance'!H434:H435)</f>
        <v>11122</v>
      </c>
      <c r="H300" s="70">
        <f t="shared" si="84"/>
        <v>0.42666973568112943</v>
      </c>
      <c r="I300" s="69">
        <f>SUM('All Email Performance'!J434:J435)</f>
        <v>183</v>
      </c>
      <c r="J300" s="70">
        <f t="shared" si="85"/>
        <v>7.0203705834963751E-3</v>
      </c>
      <c r="K300" s="70">
        <f t="shared" si="82"/>
        <v>1.6453875202301745E-2</v>
      </c>
      <c r="L300" s="69">
        <f>SUM('All Email Performance'!M434:M435)</f>
        <v>43</v>
      </c>
      <c r="M300" s="70">
        <f t="shared" si="86"/>
        <v>1.6495952737177273E-3</v>
      </c>
      <c r="N300" s="102" t="s">
        <v>16</v>
      </c>
    </row>
    <row r="301" spans="1:14" ht="24" customHeight="1" x14ac:dyDescent="0.3">
      <c r="A301" s="90" t="s">
        <v>252</v>
      </c>
      <c r="B301" s="102" t="s">
        <v>16</v>
      </c>
      <c r="C301" s="103">
        <v>45023</v>
      </c>
      <c r="D301" s="69">
        <f>SUM('All Email Performance'!E436:E437)</f>
        <v>21656</v>
      </c>
      <c r="E301" s="70">
        <f t="shared" si="83"/>
        <v>0.99381233838197269</v>
      </c>
      <c r="F301" s="69">
        <f>SUM('All Email Performance'!G436:G437)</f>
        <v>134</v>
      </c>
      <c r="G301" s="69">
        <f>SUM('All Email Performance'!H436:H437)</f>
        <v>6442</v>
      </c>
      <c r="H301" s="70">
        <f t="shared" si="84"/>
        <v>0.29746952345770228</v>
      </c>
      <c r="I301" s="69">
        <f>SUM('All Email Performance'!J436:J437)</f>
        <v>72</v>
      </c>
      <c r="J301" s="70">
        <f t="shared" si="85"/>
        <v>3.3247137052087182E-3</v>
      </c>
      <c r="K301" s="70">
        <f t="shared" si="82"/>
        <v>1.1176653213287799E-2</v>
      </c>
      <c r="L301" s="69">
        <f>SUM('All Email Performance'!M436:M437)</f>
        <v>23</v>
      </c>
      <c r="M301" s="70">
        <f t="shared" si="86"/>
        <v>1.0620613224972294E-3</v>
      </c>
      <c r="N301" s="69" t="s">
        <v>16</v>
      </c>
    </row>
    <row r="302" spans="1:14" ht="24" customHeight="1" x14ac:dyDescent="0.3">
      <c r="A302" s="90" t="s">
        <v>253</v>
      </c>
      <c r="B302" s="102" t="s">
        <v>16</v>
      </c>
      <c r="C302" s="103">
        <v>45023</v>
      </c>
      <c r="D302" s="69">
        <f>SUM('All Email Performance'!E438:E439)</f>
        <v>320767</v>
      </c>
      <c r="E302" s="70">
        <f t="shared" si="83"/>
        <v>0.99576951494386889</v>
      </c>
      <c r="F302" s="69">
        <f>SUM('All Email Performance'!G438:G439)</f>
        <v>1357</v>
      </c>
      <c r="G302" s="69">
        <f>SUM('All Email Performance'!H438:H439)</f>
        <v>115737</v>
      </c>
      <c r="H302" s="70">
        <f t="shared" si="84"/>
        <v>0.36081330062007627</v>
      </c>
      <c r="I302" s="69">
        <f>SUM('All Email Performance'!J438:J439)</f>
        <v>1333</v>
      </c>
      <c r="J302" s="70">
        <f t="shared" si="85"/>
        <v>4.1556643919106392E-3</v>
      </c>
      <c r="K302" s="70">
        <f t="shared" si="82"/>
        <v>1.151749224534937E-2</v>
      </c>
      <c r="L302" s="69">
        <f>SUM('All Email Performance'!M438:M439)</f>
        <v>490</v>
      </c>
      <c r="M302" s="70">
        <f t="shared" si="86"/>
        <v>1.5275885611674518E-3</v>
      </c>
      <c r="N302" s="69" t="s">
        <v>16</v>
      </c>
    </row>
    <row r="303" spans="1:14" ht="24" customHeight="1" x14ac:dyDescent="0.3">
      <c r="A303" s="90" t="s">
        <v>28</v>
      </c>
      <c r="B303" s="102" t="s">
        <v>16</v>
      </c>
      <c r="C303" s="103">
        <v>45023</v>
      </c>
      <c r="D303" s="69">
        <f>SUM('All Email Performance'!E440:E441)</f>
        <v>307712</v>
      </c>
      <c r="E303" s="70">
        <f t="shared" si="83"/>
        <v>0.99421862000831951</v>
      </c>
      <c r="F303" s="69">
        <f>SUM('All Email Performance'!G440:G441)</f>
        <v>1779</v>
      </c>
      <c r="G303" s="69">
        <f>SUM('All Email Performance'!H440:H441)</f>
        <v>94567</v>
      </c>
      <c r="H303" s="70">
        <f t="shared" si="84"/>
        <v>0.30732308132279534</v>
      </c>
      <c r="I303" s="69">
        <f>SUM('All Email Performance'!J440:J441)</f>
        <v>2141</v>
      </c>
      <c r="J303" s="70">
        <f t="shared" si="85"/>
        <v>6.9578047004991679E-3</v>
      </c>
      <c r="K303" s="70">
        <f t="shared" si="82"/>
        <v>2.2640032992481521E-2</v>
      </c>
      <c r="L303" s="69">
        <f>SUM('All Email Performance'!M440:M441)</f>
        <v>391</v>
      </c>
      <c r="M303" s="70">
        <f t="shared" si="86"/>
        <v>1.2706686772046589E-3</v>
      </c>
      <c r="N303" s="69" t="s">
        <v>16</v>
      </c>
    </row>
    <row r="304" spans="1:14" ht="24" customHeight="1" x14ac:dyDescent="0.3">
      <c r="A304" s="90" t="s">
        <v>22</v>
      </c>
      <c r="B304" s="102" t="s">
        <v>16</v>
      </c>
      <c r="C304" s="103">
        <v>45023</v>
      </c>
      <c r="D304" s="69">
        <f>SUM('All Email Performance'!E442:E443)</f>
        <v>4088612</v>
      </c>
      <c r="E304" s="70">
        <f t="shared" si="83"/>
        <v>0.99588882486281405</v>
      </c>
      <c r="F304" s="69">
        <f>SUM('All Email Performance'!G442:G443)</f>
        <v>16809</v>
      </c>
      <c r="G304" s="69">
        <f>SUM('All Email Performance'!H442:H443)</f>
        <v>1478835</v>
      </c>
      <c r="H304" s="70">
        <f t="shared" si="84"/>
        <v>0.36169609637696115</v>
      </c>
      <c r="I304" s="69">
        <f>SUM('All Email Performance'!J442:J443)</f>
        <v>24533</v>
      </c>
      <c r="J304" s="70">
        <f t="shared" si="85"/>
        <v>6.000324804603616E-3</v>
      </c>
      <c r="K304" s="70">
        <f t="shared" si="82"/>
        <v>1.6589409907122838E-2</v>
      </c>
      <c r="L304" s="69">
        <f>SUM('All Email Performance'!M442:M443)</f>
        <v>5112</v>
      </c>
      <c r="M304" s="70">
        <f t="shared" si="86"/>
        <v>1.2503020584980918E-3</v>
      </c>
      <c r="N304" s="69" t="s">
        <v>16</v>
      </c>
    </row>
    <row r="305" spans="1:14" ht="24" customHeight="1" x14ac:dyDescent="0.3">
      <c r="A305" s="90" t="s">
        <v>33</v>
      </c>
      <c r="B305" s="102" t="s">
        <v>21</v>
      </c>
      <c r="C305" s="103">
        <v>45023</v>
      </c>
      <c r="D305" s="69">
        <f>'All Email Performance'!E444</f>
        <v>238042</v>
      </c>
      <c r="E305" s="70">
        <f t="shared" si="83"/>
        <v>0.99618974802765903</v>
      </c>
      <c r="F305" s="69">
        <f>'All Email Performance'!G444</f>
        <v>907</v>
      </c>
      <c r="G305" s="69">
        <f>'All Email Performance'!H444</f>
        <v>105398</v>
      </c>
      <c r="H305" s="70">
        <f t="shared" si="84"/>
        <v>0.44277060350694414</v>
      </c>
      <c r="I305" s="69">
        <f>'All Email Performance'!J444</f>
        <v>3143</v>
      </c>
      <c r="J305" s="70">
        <f t="shared" si="85"/>
        <v>1.3203552314297477E-2</v>
      </c>
      <c r="K305" s="70">
        <f t="shared" si="82"/>
        <v>2.982030019544963E-2</v>
      </c>
      <c r="L305" s="69">
        <f>'All Email Performance'!M444</f>
        <v>197</v>
      </c>
      <c r="M305" s="70">
        <f t="shared" si="86"/>
        <v>8.2758504801673657E-4</v>
      </c>
      <c r="N305" s="69" t="s">
        <v>21</v>
      </c>
    </row>
    <row r="306" spans="1:14" ht="24" customHeight="1" x14ac:dyDescent="0.3">
      <c r="A306" s="90" t="s">
        <v>19</v>
      </c>
      <c r="B306" s="102" t="s">
        <v>21</v>
      </c>
      <c r="C306" s="103">
        <v>45023</v>
      </c>
      <c r="D306" s="69">
        <f>'All Email Performance'!E445</f>
        <v>332850</v>
      </c>
      <c r="E306" s="70">
        <f t="shared" si="83"/>
        <v>0.99486555505482954</v>
      </c>
      <c r="F306" s="69">
        <f>'All Email Performance'!G445</f>
        <v>1709</v>
      </c>
      <c r="G306" s="69">
        <f>'All Email Performance'!H445</f>
        <v>119937</v>
      </c>
      <c r="H306" s="70">
        <f t="shared" si="84"/>
        <v>0.36033348355114919</v>
      </c>
      <c r="I306" s="69">
        <f>'All Email Performance'!J445</f>
        <v>3704</v>
      </c>
      <c r="J306" s="70">
        <f t="shared" si="85"/>
        <v>1.1128135796905513E-2</v>
      </c>
      <c r="K306" s="70">
        <f t="shared" si="82"/>
        <v>3.0882880178760515E-2</v>
      </c>
      <c r="L306" s="69">
        <f>'All Email Performance'!M445</f>
        <v>290</v>
      </c>
      <c r="M306" s="70">
        <f t="shared" si="86"/>
        <v>8.7126333183115516E-4</v>
      </c>
      <c r="N306" s="69" t="s">
        <v>21</v>
      </c>
    </row>
    <row r="307" spans="1:14" ht="24" customHeight="1" x14ac:dyDescent="0.3">
      <c r="A307" s="91" t="s">
        <v>29</v>
      </c>
      <c r="B307" s="92" t="s">
        <v>16</v>
      </c>
      <c r="C307" s="104">
        <v>45027</v>
      </c>
      <c r="D307" s="69">
        <f>SUM('All Email Performance'!E446:E447)</f>
        <v>52659</v>
      </c>
      <c r="E307" s="70">
        <f t="shared" ref="E307:E325" si="87">(D307-F307)/D307</f>
        <v>0.99472075048899522</v>
      </c>
      <c r="F307" s="69">
        <f>SUM('All Email Performance'!G446:G447)</f>
        <v>278</v>
      </c>
      <c r="G307" s="69">
        <f>SUM('All Email Performance'!H446:H447)</f>
        <v>19432</v>
      </c>
      <c r="H307" s="70">
        <f t="shared" ref="H307:H325" si="88">G307/D307</f>
        <v>0.36901574279800226</v>
      </c>
      <c r="I307" s="69">
        <f>SUM('All Email Performance'!J446:J447)</f>
        <v>573</v>
      </c>
      <c r="J307" s="70">
        <f t="shared" ref="J307:J325" si="89">I307/D307</f>
        <v>1.0881330826639321E-2</v>
      </c>
      <c r="K307" s="70">
        <f t="shared" ref="K307:K325" si="90">I307/G307</f>
        <v>2.9487443392342529E-2</v>
      </c>
      <c r="L307" s="69">
        <f>SUM('All Email Performance'!M446:M447)</f>
        <v>53</v>
      </c>
      <c r="M307" s="70">
        <f t="shared" ref="M307:M325" si="91">L307/D307</f>
        <v>1.0064756261987504E-3</v>
      </c>
      <c r="N307" s="69" t="s">
        <v>16</v>
      </c>
    </row>
    <row r="308" spans="1:14" ht="24" customHeight="1" x14ac:dyDescent="0.3">
      <c r="A308" s="93" t="s">
        <v>17</v>
      </c>
      <c r="B308" s="94" t="s">
        <v>16</v>
      </c>
      <c r="C308" s="105">
        <v>45027</v>
      </c>
      <c r="D308" s="69">
        <f>SUM('All Email Performance'!E448:E449)</f>
        <v>674914</v>
      </c>
      <c r="E308" s="70">
        <f t="shared" si="87"/>
        <v>0.99570908293501093</v>
      </c>
      <c r="F308" s="69">
        <f>SUM('All Email Performance'!G448:G449)</f>
        <v>2896</v>
      </c>
      <c r="G308" s="69">
        <f>SUM('All Email Performance'!H448:H449)</f>
        <v>255422</v>
      </c>
      <c r="H308" s="70">
        <f t="shared" si="88"/>
        <v>0.37845118044669396</v>
      </c>
      <c r="I308" s="69">
        <f>SUM('All Email Performance'!J448:J449)</f>
        <v>4210</v>
      </c>
      <c r="J308" s="70">
        <f t="shared" si="89"/>
        <v>6.2378317830123538E-3</v>
      </c>
      <c r="K308" s="70">
        <f t="shared" si="90"/>
        <v>1.6482526955391468E-2</v>
      </c>
      <c r="L308" s="69">
        <f>SUM('All Email Performance'!M448:M449)</f>
        <v>582</v>
      </c>
      <c r="M308" s="70">
        <f t="shared" si="91"/>
        <v>8.6233208971809737E-4</v>
      </c>
      <c r="N308" s="69" t="s">
        <v>16</v>
      </c>
    </row>
    <row r="309" spans="1:14" ht="24" customHeight="1" x14ac:dyDescent="0.3">
      <c r="A309" s="106" t="s">
        <v>256</v>
      </c>
      <c r="B309" s="94" t="s">
        <v>30</v>
      </c>
      <c r="C309" s="105">
        <v>45027</v>
      </c>
      <c r="D309" s="69">
        <f>'All Email Performance'!E450</f>
        <v>73905</v>
      </c>
      <c r="E309" s="70">
        <f t="shared" si="87"/>
        <v>0.99548068466274275</v>
      </c>
      <c r="F309" s="69">
        <f>'All Email Performance'!G450</f>
        <v>334</v>
      </c>
      <c r="G309" s="69">
        <f>'All Email Performance'!H450</f>
        <v>32069</v>
      </c>
      <c r="H309" s="70">
        <f t="shared" si="88"/>
        <v>0.43392192679791625</v>
      </c>
      <c r="I309" s="69">
        <f>'All Email Performance'!J450</f>
        <v>2423</v>
      </c>
      <c r="J309" s="70">
        <f t="shared" si="89"/>
        <v>3.2785332521480276E-2</v>
      </c>
      <c r="K309" s="70">
        <f t="shared" si="90"/>
        <v>7.5555832735663728E-2</v>
      </c>
      <c r="L309" s="69">
        <f>'All Email Performance'!M450</f>
        <v>53</v>
      </c>
      <c r="M309" s="70">
        <f t="shared" si="91"/>
        <v>7.1713686489412079E-4</v>
      </c>
      <c r="N309" s="69" t="s">
        <v>31</v>
      </c>
    </row>
    <row r="310" spans="1:14" ht="24" customHeight="1" x14ac:dyDescent="0.3">
      <c r="A310" s="106" t="s">
        <v>257</v>
      </c>
      <c r="B310" s="107" t="s">
        <v>16</v>
      </c>
      <c r="C310" s="105">
        <v>45028</v>
      </c>
      <c r="D310" s="69">
        <f>'All Email Performance'!E451</f>
        <v>249215</v>
      </c>
      <c r="E310" s="70">
        <f t="shared" si="87"/>
        <v>0.99455088979395301</v>
      </c>
      <c r="F310" s="69">
        <f>'All Email Performance'!G451</f>
        <v>1358</v>
      </c>
      <c r="G310" s="69">
        <f>'All Email Performance'!H451</f>
        <v>86040</v>
      </c>
      <c r="H310" s="70">
        <f t="shared" si="88"/>
        <v>0.34524406636839677</v>
      </c>
      <c r="I310" s="69">
        <f>'All Email Performance'!J451</f>
        <v>977</v>
      </c>
      <c r="J310" s="70">
        <f t="shared" si="89"/>
        <v>3.9203097726862347E-3</v>
      </c>
      <c r="K310" s="70">
        <f t="shared" si="90"/>
        <v>1.1355183635518363E-2</v>
      </c>
      <c r="L310" s="69">
        <f>'All Email Performance'!M451</f>
        <v>106</v>
      </c>
      <c r="M310" s="70">
        <f t="shared" si="91"/>
        <v>4.2533555363842465E-4</v>
      </c>
      <c r="N310" s="69" t="s">
        <v>16</v>
      </c>
    </row>
    <row r="311" spans="1:14" ht="24" customHeight="1" x14ac:dyDescent="0.3">
      <c r="A311" s="106" t="s">
        <v>32</v>
      </c>
      <c r="B311" s="94" t="s">
        <v>23</v>
      </c>
      <c r="C311" s="105">
        <v>45028</v>
      </c>
      <c r="D311" s="69">
        <f>'All Email Performance'!E452</f>
        <v>283</v>
      </c>
      <c r="E311" s="70">
        <f t="shared" si="87"/>
        <v>1</v>
      </c>
      <c r="F311" s="69">
        <f>'All Email Performance'!G452</f>
        <v>0</v>
      </c>
      <c r="G311" s="69">
        <f>'All Email Performance'!H452</f>
        <v>84</v>
      </c>
      <c r="H311" s="70">
        <f t="shared" si="88"/>
        <v>0.29681978798586572</v>
      </c>
      <c r="I311" s="69">
        <f>'All Email Performance'!J452</f>
        <v>2</v>
      </c>
      <c r="J311" s="70">
        <f t="shared" si="89"/>
        <v>7.0671378091872791E-3</v>
      </c>
      <c r="K311" s="70">
        <f t="shared" si="90"/>
        <v>2.3809523809523808E-2</v>
      </c>
      <c r="L311" s="69">
        <f>'All Email Performance'!M452</f>
        <v>0</v>
      </c>
      <c r="M311" s="70">
        <f t="shared" si="91"/>
        <v>0</v>
      </c>
      <c r="N311" s="69" t="s">
        <v>23</v>
      </c>
    </row>
    <row r="312" spans="1:14" ht="24" customHeight="1" x14ac:dyDescent="0.3">
      <c r="A312" s="106" t="s">
        <v>262</v>
      </c>
      <c r="B312" s="94" t="s">
        <v>102</v>
      </c>
      <c r="C312" s="105">
        <v>45028</v>
      </c>
      <c r="D312" s="69">
        <f>'All Email Performance'!E453</f>
        <v>31437</v>
      </c>
      <c r="E312" s="70">
        <f>(D312-F312)/D312</f>
        <v>0.99605560327003217</v>
      </c>
      <c r="F312" s="69">
        <f>'All Email Performance'!G453</f>
        <v>124</v>
      </c>
      <c r="G312" s="69">
        <f>'All Email Performance'!H453</f>
        <v>14920</v>
      </c>
      <c r="H312" s="70">
        <f>G312/D312</f>
        <v>0.47459999363806982</v>
      </c>
      <c r="I312" s="69">
        <f>'All Email Performance'!J453</f>
        <v>779</v>
      </c>
      <c r="J312" s="70">
        <f>I312/D312</f>
        <v>2.4779718166491712E-2</v>
      </c>
      <c r="K312" s="70">
        <f>I312/G312</f>
        <v>5.2211796246648796E-2</v>
      </c>
      <c r="L312" s="69">
        <f>'All Email Performance'!M453</f>
        <v>13</v>
      </c>
      <c r="M312" s="70">
        <f>L312/D312</f>
        <v>4.1352546362566405E-4</v>
      </c>
      <c r="N312" s="69" t="s">
        <v>102</v>
      </c>
    </row>
    <row r="313" spans="1:14" ht="24" customHeight="1" x14ac:dyDescent="0.3">
      <c r="A313" s="106" t="s">
        <v>258</v>
      </c>
      <c r="B313" s="94" t="s">
        <v>16</v>
      </c>
      <c r="C313" s="105">
        <v>45029</v>
      </c>
      <c r="D313" s="69">
        <f>'All Email Performance'!E454</f>
        <v>22178</v>
      </c>
      <c r="E313" s="70">
        <f t="shared" si="87"/>
        <v>0.99526557850121744</v>
      </c>
      <c r="F313" s="69">
        <f>'All Email Performance'!G454</f>
        <v>105</v>
      </c>
      <c r="G313" s="69">
        <f>'All Email Performance'!H454</f>
        <v>7786</v>
      </c>
      <c r="H313" s="70">
        <f t="shared" si="88"/>
        <v>0.35106862656686805</v>
      </c>
      <c r="I313" s="69">
        <f>'All Email Performance'!J454</f>
        <v>53</v>
      </c>
      <c r="J313" s="70">
        <f t="shared" si="89"/>
        <v>2.3897556136712058E-3</v>
      </c>
      <c r="K313" s="70">
        <f t="shared" si="90"/>
        <v>6.8070896480863091E-3</v>
      </c>
      <c r="L313" s="69">
        <f>'All Email Performance'!M454</f>
        <v>16</v>
      </c>
      <c r="M313" s="70">
        <f t="shared" si="91"/>
        <v>7.2143565695734517E-4</v>
      </c>
      <c r="N313" s="69" t="s">
        <v>16</v>
      </c>
    </row>
    <row r="314" spans="1:14" ht="24" customHeight="1" x14ac:dyDescent="0.3">
      <c r="A314" s="106" t="s">
        <v>259</v>
      </c>
      <c r="B314" s="94" t="s">
        <v>16</v>
      </c>
      <c r="C314" s="105">
        <v>45029</v>
      </c>
      <c r="D314" s="69">
        <f>'All Email Performance'!E455</f>
        <v>2294</v>
      </c>
      <c r="E314" s="70">
        <f t="shared" si="87"/>
        <v>0.98823016564952049</v>
      </c>
      <c r="F314" s="69">
        <f>'All Email Performance'!G455</f>
        <v>27</v>
      </c>
      <c r="G314" s="69">
        <f>'All Email Performance'!H455</f>
        <v>676</v>
      </c>
      <c r="H314" s="70">
        <f t="shared" si="88"/>
        <v>0.2946817785527463</v>
      </c>
      <c r="I314" s="69">
        <f>'All Email Performance'!J455</f>
        <v>6</v>
      </c>
      <c r="J314" s="70">
        <f t="shared" si="89"/>
        <v>2.6155187445510027E-3</v>
      </c>
      <c r="K314" s="70">
        <f t="shared" si="90"/>
        <v>8.8757396449704144E-3</v>
      </c>
      <c r="L314" s="69">
        <f>'All Email Performance'!M455</f>
        <v>1</v>
      </c>
      <c r="M314" s="70">
        <f t="shared" si="91"/>
        <v>4.3591979075850045E-4</v>
      </c>
      <c r="N314" s="69" t="s">
        <v>16</v>
      </c>
    </row>
    <row r="315" spans="1:14" ht="24" customHeight="1" x14ac:dyDescent="0.3">
      <c r="A315" s="106" t="s">
        <v>260</v>
      </c>
      <c r="B315" s="94" t="s">
        <v>16</v>
      </c>
      <c r="C315" s="105">
        <v>45029</v>
      </c>
      <c r="D315" s="69">
        <f>'All Email Performance'!E456</f>
        <v>418356</v>
      </c>
      <c r="E315" s="70">
        <f t="shared" si="87"/>
        <v>0.99500425474954346</v>
      </c>
      <c r="F315" s="69">
        <f>'All Email Performance'!G456</f>
        <v>2090</v>
      </c>
      <c r="G315" s="69">
        <f>'All Email Performance'!H456</f>
        <v>149159</v>
      </c>
      <c r="H315" s="70">
        <f t="shared" si="88"/>
        <v>0.35653606019753509</v>
      </c>
      <c r="I315" s="69">
        <f>'All Email Performance'!J456</f>
        <v>1081</v>
      </c>
      <c r="J315" s="70">
        <f t="shared" si="89"/>
        <v>2.5839237395902056E-3</v>
      </c>
      <c r="K315" s="70">
        <f t="shared" si="90"/>
        <v>7.2472998612219171E-3</v>
      </c>
      <c r="L315" s="69">
        <f>'All Email Performance'!M456</f>
        <v>196</v>
      </c>
      <c r="M315" s="70">
        <f t="shared" si="91"/>
        <v>4.6850051152606869E-4</v>
      </c>
      <c r="N315" s="69" t="s">
        <v>16</v>
      </c>
    </row>
    <row r="316" spans="1:14" ht="24" customHeight="1" x14ac:dyDescent="0.3">
      <c r="A316" s="106" t="s">
        <v>261</v>
      </c>
      <c r="B316" s="94" t="s">
        <v>16</v>
      </c>
      <c r="C316" s="105">
        <v>45029</v>
      </c>
      <c r="D316" s="69">
        <f>'All Email Performance'!E457</f>
        <v>43324</v>
      </c>
      <c r="E316" s="70">
        <f t="shared" si="87"/>
        <v>0.99249838426738068</v>
      </c>
      <c r="F316" s="69">
        <f>'All Email Performance'!G457</f>
        <v>325</v>
      </c>
      <c r="G316" s="69">
        <f>'All Email Performance'!H457</f>
        <v>13991</v>
      </c>
      <c r="H316" s="70">
        <f t="shared" si="88"/>
        <v>0.32293878681562183</v>
      </c>
      <c r="I316" s="69">
        <f>'All Email Performance'!J457</f>
        <v>154</v>
      </c>
      <c r="J316" s="70">
        <f t="shared" si="89"/>
        <v>3.5546117625334687E-3</v>
      </c>
      <c r="K316" s="70">
        <f t="shared" si="90"/>
        <v>1.1007075977414052E-2</v>
      </c>
      <c r="L316" s="69">
        <f>'All Email Performance'!M457</f>
        <v>19</v>
      </c>
      <c r="M316" s="70">
        <f t="shared" si="91"/>
        <v>4.385559966762072E-4</v>
      </c>
      <c r="N316" s="69" t="s">
        <v>16</v>
      </c>
    </row>
    <row r="317" spans="1:14" ht="24" customHeight="1" x14ac:dyDescent="0.3">
      <c r="A317" s="93" t="s">
        <v>26</v>
      </c>
      <c r="B317" s="94" t="s">
        <v>23</v>
      </c>
      <c r="C317" s="105">
        <v>45029</v>
      </c>
      <c r="D317" s="69">
        <f>'All Email Performance'!E458</f>
        <v>1639</v>
      </c>
      <c r="E317" s="70">
        <f t="shared" si="87"/>
        <v>0.99755948749237344</v>
      </c>
      <c r="F317" s="69">
        <f>'All Email Performance'!G458</f>
        <v>4</v>
      </c>
      <c r="G317" s="69">
        <f>'All Email Performance'!H458</f>
        <v>559</v>
      </c>
      <c r="H317" s="70">
        <f t="shared" si="88"/>
        <v>0.3410616229408176</v>
      </c>
      <c r="I317" s="69">
        <f>'All Email Performance'!J458</f>
        <v>13</v>
      </c>
      <c r="J317" s="70">
        <f t="shared" si="89"/>
        <v>7.9316656497864547E-3</v>
      </c>
      <c r="K317" s="70">
        <f t="shared" si="90"/>
        <v>2.3255813953488372E-2</v>
      </c>
      <c r="L317" s="69">
        <f>'All Email Performance'!M458</f>
        <v>0</v>
      </c>
      <c r="M317" s="70">
        <f t="shared" si="91"/>
        <v>0</v>
      </c>
      <c r="N317" s="69" t="s">
        <v>23</v>
      </c>
    </row>
    <row r="318" spans="1:14" ht="24" customHeight="1" x14ac:dyDescent="0.3">
      <c r="A318" s="93" t="s">
        <v>28</v>
      </c>
      <c r="B318" s="94" t="s">
        <v>16</v>
      </c>
      <c r="C318" s="105">
        <v>45030</v>
      </c>
      <c r="D318" s="69">
        <f>SUM('All Email Performance'!E459:E460)</f>
        <v>312169</v>
      </c>
      <c r="E318" s="70">
        <f t="shared" si="87"/>
        <v>0.99391034984255322</v>
      </c>
      <c r="F318" s="69">
        <f>SUM('All Email Performance'!G459:G460)</f>
        <v>1901</v>
      </c>
      <c r="G318" s="69">
        <f>SUM('All Email Performance'!H459:H460)</f>
        <v>96276</v>
      </c>
      <c r="H318" s="70">
        <f t="shared" si="88"/>
        <v>0.30840986773190165</v>
      </c>
      <c r="I318" s="69">
        <f>SUM('All Email Performance'!J459:J460)</f>
        <v>1652</v>
      </c>
      <c r="J318" s="70">
        <f t="shared" si="89"/>
        <v>5.2920052920052921E-3</v>
      </c>
      <c r="K318" s="70">
        <f t="shared" si="90"/>
        <v>1.7159001204869333E-2</v>
      </c>
      <c r="L318" s="69">
        <f>SUM('All Email Performance'!M459:M460)</f>
        <v>553</v>
      </c>
      <c r="M318" s="70">
        <f t="shared" si="91"/>
        <v>1.7714763477475342E-3</v>
      </c>
      <c r="N318" s="69" t="s">
        <v>16</v>
      </c>
    </row>
    <row r="319" spans="1:14" ht="24" customHeight="1" x14ac:dyDescent="0.3">
      <c r="A319" s="93" t="s">
        <v>22</v>
      </c>
      <c r="B319" s="94" t="s">
        <v>16</v>
      </c>
      <c r="C319" s="105">
        <v>45030</v>
      </c>
      <c r="D319" s="69">
        <f>SUM('All Email Performance'!E461:E462)</f>
        <v>4159838</v>
      </c>
      <c r="E319" s="70">
        <f t="shared" si="87"/>
        <v>0.9953103942990088</v>
      </c>
      <c r="F319" s="69">
        <f>SUM('All Email Performance'!G461:G462)</f>
        <v>19508</v>
      </c>
      <c r="G319" s="69">
        <f>SUM('All Email Performance'!H461:H462)</f>
        <v>1403825</v>
      </c>
      <c r="H319" s="70">
        <f t="shared" si="88"/>
        <v>0.3374710745947318</v>
      </c>
      <c r="I319" s="69">
        <f>SUM('All Email Performance'!J461:J462)</f>
        <v>16782</v>
      </c>
      <c r="J319" s="70">
        <f t="shared" si="89"/>
        <v>4.0342917200140967E-3</v>
      </c>
      <c r="K319" s="70">
        <f t="shared" si="90"/>
        <v>1.1954481505885704E-2</v>
      </c>
      <c r="L319" s="69">
        <f>SUM('All Email Performance'!M461:M462)</f>
        <v>5411</v>
      </c>
      <c r="M319" s="70">
        <f t="shared" si="91"/>
        <v>1.3007718089021736E-3</v>
      </c>
      <c r="N319" s="69" t="s">
        <v>16</v>
      </c>
    </row>
    <row r="320" spans="1:14" ht="24" customHeight="1" x14ac:dyDescent="0.3">
      <c r="A320" s="93" t="s">
        <v>33</v>
      </c>
      <c r="B320" s="94" t="s">
        <v>21</v>
      </c>
      <c r="C320" s="105">
        <v>45030</v>
      </c>
      <c r="D320" s="69">
        <f>'All Email Performance'!E463</f>
        <v>238448</v>
      </c>
      <c r="E320" s="70">
        <f t="shared" si="87"/>
        <v>0.99592363953566398</v>
      </c>
      <c r="F320" s="69">
        <f>'All Email Performance'!G463</f>
        <v>972</v>
      </c>
      <c r="G320" s="69">
        <f>'All Email Performance'!H463</f>
        <v>106462</v>
      </c>
      <c r="H320" s="70">
        <f t="shared" si="88"/>
        <v>0.44647889686640274</v>
      </c>
      <c r="I320" s="69">
        <f>'All Email Performance'!J463</f>
        <v>2225</v>
      </c>
      <c r="J320" s="70">
        <f t="shared" si="89"/>
        <v>9.331174931221901E-3</v>
      </c>
      <c r="K320" s="70">
        <f t="shared" si="90"/>
        <v>2.0899475869324266E-2</v>
      </c>
      <c r="L320" s="69">
        <f>'All Email Performance'!M463</f>
        <v>223</v>
      </c>
      <c r="M320" s="70">
        <f t="shared" si="91"/>
        <v>9.352143863651614E-4</v>
      </c>
      <c r="N320" s="69" t="s">
        <v>21</v>
      </c>
    </row>
    <row r="321" spans="1:14" ht="24" customHeight="1" x14ac:dyDescent="0.3">
      <c r="A321" s="93" t="s">
        <v>19</v>
      </c>
      <c r="B321" s="94" t="s">
        <v>21</v>
      </c>
      <c r="C321" s="105">
        <v>45030</v>
      </c>
      <c r="D321" s="69">
        <f>'All Email Performance'!E464</f>
        <v>332969</v>
      </c>
      <c r="E321" s="70">
        <f t="shared" si="87"/>
        <v>0.99439287140844945</v>
      </c>
      <c r="F321" s="69">
        <f>'All Email Performance'!G464</f>
        <v>1867</v>
      </c>
      <c r="G321" s="69">
        <f>'All Email Performance'!H464</f>
        <v>120031</v>
      </c>
      <c r="H321" s="70">
        <f t="shared" si="88"/>
        <v>0.36048701230444874</v>
      </c>
      <c r="I321" s="69">
        <f>'All Email Performance'!J464</f>
        <v>2852</v>
      </c>
      <c r="J321" s="70">
        <f t="shared" si="89"/>
        <v>8.5653619406010767E-3</v>
      </c>
      <c r="K321" s="70">
        <f t="shared" si="90"/>
        <v>2.3760528530129717E-2</v>
      </c>
      <c r="L321" s="69">
        <f>'All Email Performance'!M464</f>
        <v>329</v>
      </c>
      <c r="M321" s="70">
        <f t="shared" si="91"/>
        <v>9.8807997140874966E-4</v>
      </c>
      <c r="N321" s="69" t="s">
        <v>21</v>
      </c>
    </row>
    <row r="322" spans="1:14" ht="24" customHeight="1" x14ac:dyDescent="0.3">
      <c r="A322" s="93" t="s">
        <v>24</v>
      </c>
      <c r="B322" s="94" t="s">
        <v>21</v>
      </c>
      <c r="C322" s="105">
        <v>45031</v>
      </c>
      <c r="D322" s="69">
        <f>'All Email Performance'!E465</f>
        <v>14896</v>
      </c>
      <c r="E322" s="70">
        <f t="shared" si="87"/>
        <v>0.9938238453276047</v>
      </c>
      <c r="F322" s="69">
        <f>'All Email Performance'!G465</f>
        <v>92</v>
      </c>
      <c r="G322" s="69">
        <f>'All Email Performance'!H465</f>
        <v>4369</v>
      </c>
      <c r="H322" s="70">
        <f t="shared" si="88"/>
        <v>0.29330021482277119</v>
      </c>
      <c r="I322" s="69">
        <f>'All Email Performance'!J465</f>
        <v>141</v>
      </c>
      <c r="J322" s="70">
        <f t="shared" si="89"/>
        <v>9.4656283566058007E-3</v>
      </c>
      <c r="K322" s="70">
        <f t="shared" si="90"/>
        <v>3.2272831311512935E-2</v>
      </c>
      <c r="L322" s="69">
        <f>'All Email Performance'!M465</f>
        <v>13</v>
      </c>
      <c r="M322" s="70">
        <f t="shared" si="91"/>
        <v>8.7271750805585397E-4</v>
      </c>
      <c r="N322" s="69" t="s">
        <v>21</v>
      </c>
    </row>
    <row r="323" spans="1:14" ht="24" customHeight="1" x14ac:dyDescent="0.3">
      <c r="A323" s="106" t="s">
        <v>75</v>
      </c>
      <c r="B323" s="94" t="s">
        <v>16</v>
      </c>
      <c r="C323" s="105">
        <v>45031</v>
      </c>
      <c r="D323" s="69">
        <f>'All Email Performance'!E466</f>
        <v>25186</v>
      </c>
      <c r="E323" s="70">
        <f t="shared" si="87"/>
        <v>0.99166203446359091</v>
      </c>
      <c r="F323" s="69">
        <f>'All Email Performance'!G466</f>
        <v>210</v>
      </c>
      <c r="G323" s="69">
        <f>'All Email Performance'!H466</f>
        <v>7636</v>
      </c>
      <c r="H323" s="70">
        <f t="shared" si="88"/>
        <v>0.30318430874295244</v>
      </c>
      <c r="I323" s="69">
        <f>'All Email Performance'!J466</f>
        <v>186</v>
      </c>
      <c r="J323" s="70">
        <f t="shared" si="89"/>
        <v>7.3850551893909315E-3</v>
      </c>
      <c r="K323" s="70">
        <f t="shared" si="90"/>
        <v>2.4358302776322682E-2</v>
      </c>
      <c r="L323" s="69">
        <f>'All Email Performance'!M466</f>
        <v>8</v>
      </c>
      <c r="M323" s="70">
        <f t="shared" si="91"/>
        <v>3.1763678233939492E-4</v>
      </c>
      <c r="N323" s="69" t="s">
        <v>16</v>
      </c>
    </row>
    <row r="324" spans="1:14" ht="24" customHeight="1" x14ac:dyDescent="0.3">
      <c r="A324" s="106" t="s">
        <v>78</v>
      </c>
      <c r="B324" s="94" t="s">
        <v>16</v>
      </c>
      <c r="C324" s="105">
        <v>45031</v>
      </c>
      <c r="D324" s="69">
        <f>'All Email Performance'!E467</f>
        <v>395764</v>
      </c>
      <c r="E324" s="70">
        <f t="shared" si="87"/>
        <v>0.99420108953820963</v>
      </c>
      <c r="F324" s="69">
        <f>'All Email Performance'!G467</f>
        <v>2295</v>
      </c>
      <c r="G324" s="69">
        <f>'All Email Performance'!H467</f>
        <v>134485</v>
      </c>
      <c r="H324" s="70">
        <f t="shared" si="88"/>
        <v>0.33981109954417277</v>
      </c>
      <c r="I324" s="69">
        <f>'All Email Performance'!J467</f>
        <v>2675</v>
      </c>
      <c r="J324" s="70">
        <f t="shared" si="89"/>
        <v>6.7590786428275438E-3</v>
      </c>
      <c r="K324" s="70">
        <f t="shared" si="90"/>
        <v>1.9890694129456817E-2</v>
      </c>
      <c r="L324" s="69">
        <f>'All Email Performance'!M467</f>
        <v>548</v>
      </c>
      <c r="M324" s="70">
        <f t="shared" si="91"/>
        <v>1.384663587390465E-3</v>
      </c>
      <c r="N324" s="69" t="s">
        <v>16</v>
      </c>
    </row>
    <row r="325" spans="1:14" ht="24" customHeight="1" x14ac:dyDescent="0.3">
      <c r="A325" s="106" t="s">
        <v>262</v>
      </c>
      <c r="B325" s="94" t="s">
        <v>16</v>
      </c>
      <c r="C325" s="105">
        <v>45031</v>
      </c>
      <c r="D325" s="69">
        <f>SUM('All Email Performance'!E468:E469)</f>
        <v>1949075</v>
      </c>
      <c r="E325" s="70">
        <f t="shared" si="87"/>
        <v>0.9956050947244206</v>
      </c>
      <c r="F325" s="69">
        <f>SUM('All Email Performance'!G468:G469)</f>
        <v>8566</v>
      </c>
      <c r="G325" s="69">
        <f>SUM('All Email Performance'!H468:H469)</f>
        <v>709571</v>
      </c>
      <c r="H325" s="70">
        <f t="shared" si="88"/>
        <v>0.36405525698087554</v>
      </c>
      <c r="I325" s="69">
        <f>SUM('All Email Performance'!J468:J469)</f>
        <v>14545</v>
      </c>
      <c r="J325" s="70">
        <f t="shared" si="89"/>
        <v>7.4625142695894211E-3</v>
      </c>
      <c r="K325" s="70">
        <f t="shared" si="90"/>
        <v>2.0498301086149237E-2</v>
      </c>
      <c r="L325" s="69">
        <f>SUM('All Email Performance'!M468:M469)</f>
        <v>3652</v>
      </c>
      <c r="M325" s="70">
        <f t="shared" si="91"/>
        <v>1.8737093236535279E-3</v>
      </c>
      <c r="N325" s="69" t="s">
        <v>16</v>
      </c>
    </row>
    <row r="326" spans="1:14" ht="24" customHeight="1" x14ac:dyDescent="0.3">
      <c r="A326" s="76" t="s">
        <v>266</v>
      </c>
      <c r="B326" s="94" t="s">
        <v>16</v>
      </c>
      <c r="C326" s="68">
        <v>45033</v>
      </c>
      <c r="D326" s="69">
        <f>SUM('All Email Performance'!E470:E471)</f>
        <v>267299</v>
      </c>
      <c r="E326" s="70">
        <f t="shared" ref="E326" si="92">(D326-F326)/D326</f>
        <v>0.99445564704693989</v>
      </c>
      <c r="F326" s="69">
        <f>SUM('All Email Performance'!G470:G471)</f>
        <v>1482</v>
      </c>
      <c r="G326" s="69">
        <f>SUM('All Email Performance'!H470:H471)</f>
        <v>88713</v>
      </c>
      <c r="H326" s="70">
        <f t="shared" ref="H326" si="93">G326/D326</f>
        <v>0.33188676351202212</v>
      </c>
      <c r="I326" s="69">
        <f>SUM('All Email Performance'!J470:J471)</f>
        <v>977</v>
      </c>
      <c r="J326" s="70">
        <f t="shared" ref="J326" si="94">I326/D326</f>
        <v>3.6550828847096324E-3</v>
      </c>
      <c r="K326" s="70">
        <f t="shared" ref="K326" si="95">I326/G326</f>
        <v>1.101304205697023E-2</v>
      </c>
      <c r="L326" s="69">
        <f>SUM('All Email Performance'!M470:M471)</f>
        <v>593</v>
      </c>
      <c r="M326" s="70">
        <f t="shared" ref="M326" si="96">L326/D326</f>
        <v>2.2184894069936663E-3</v>
      </c>
      <c r="N326" s="94" t="s">
        <v>16</v>
      </c>
    </row>
    <row r="327" spans="1:14" ht="24" customHeight="1" x14ac:dyDescent="0.3">
      <c r="A327" s="76" t="s">
        <v>267</v>
      </c>
      <c r="B327" s="94" t="s">
        <v>16</v>
      </c>
      <c r="C327" s="68">
        <v>45033</v>
      </c>
      <c r="D327" s="69">
        <f>SUM('All Email Performance'!E472:E473)</f>
        <v>3119933</v>
      </c>
      <c r="E327" s="70">
        <f t="shared" ref="E327:E341" si="97">(D327-F327)/D327</f>
        <v>0.99563099592202786</v>
      </c>
      <c r="F327" s="69">
        <f>SUM('All Email Performance'!G472:G473)</f>
        <v>13631</v>
      </c>
      <c r="G327" s="69">
        <f>SUM('All Email Performance'!H472:H473)</f>
        <v>1214562</v>
      </c>
      <c r="H327" s="70">
        <f t="shared" ref="H327:H341" si="98">G327/D327</f>
        <v>0.38929105208349024</v>
      </c>
      <c r="I327" s="69">
        <f>SUM('All Email Performance'!J472:J473)</f>
        <v>9431</v>
      </c>
      <c r="J327" s="70">
        <f t="shared" ref="J327:J341" si="99">I327/D327</f>
        <v>3.0228213234066246E-3</v>
      </c>
      <c r="K327" s="70">
        <f t="shared" ref="K327:K341" si="100">I327/G327</f>
        <v>7.7649391303202305E-3</v>
      </c>
      <c r="L327" s="69">
        <f>SUM('All Email Performance'!M472:M473)</f>
        <v>5168</v>
      </c>
      <c r="M327" s="70">
        <f t="shared" ref="M327:M341" si="101">L327/D327</f>
        <v>1.6564458275225781E-3</v>
      </c>
      <c r="N327" s="94" t="s">
        <v>16</v>
      </c>
    </row>
    <row r="328" spans="1:14" ht="24" customHeight="1" x14ac:dyDescent="0.3">
      <c r="A328" s="76" t="s">
        <v>268</v>
      </c>
      <c r="B328" s="67" t="s">
        <v>102</v>
      </c>
      <c r="C328" s="68">
        <v>45034</v>
      </c>
      <c r="D328" s="69">
        <f>SUM('All Email Performance'!E474:E475)</f>
        <v>22323</v>
      </c>
      <c r="E328" s="70">
        <f t="shared" si="97"/>
        <v>0.9964610491421404</v>
      </c>
      <c r="F328" s="69">
        <f>SUM('All Email Performance'!G474:G475)</f>
        <v>79</v>
      </c>
      <c r="G328" s="69">
        <f>SUM('All Email Performance'!H474:H475)</f>
        <v>12188</v>
      </c>
      <c r="H328" s="70">
        <f t="shared" si="98"/>
        <v>0.54598396272902383</v>
      </c>
      <c r="I328" s="69">
        <f>SUM('All Email Performance'!J474:J475)</f>
        <v>890</v>
      </c>
      <c r="J328" s="70">
        <f t="shared" si="99"/>
        <v>3.9869193208798101E-2</v>
      </c>
      <c r="K328" s="70">
        <f t="shared" si="100"/>
        <v>7.3022645224811292E-2</v>
      </c>
      <c r="L328" s="69">
        <f>SUM('All Email Performance'!M474:M475)</f>
        <v>11</v>
      </c>
      <c r="M328" s="70">
        <f t="shared" si="101"/>
        <v>4.9276530932222369E-4</v>
      </c>
      <c r="N328" s="67" t="s">
        <v>102</v>
      </c>
    </row>
    <row r="329" spans="1:14" ht="24" customHeight="1" x14ac:dyDescent="0.3">
      <c r="A329" s="66" t="s">
        <v>29</v>
      </c>
      <c r="B329" s="67" t="s">
        <v>16</v>
      </c>
      <c r="C329" s="68">
        <v>45034</v>
      </c>
      <c r="D329" s="69">
        <f>SUM('All Email Performance'!E476:E477)</f>
        <v>52928</v>
      </c>
      <c r="E329" s="70">
        <f t="shared" si="97"/>
        <v>0.99472868802902059</v>
      </c>
      <c r="F329" s="69">
        <f>SUM('All Email Performance'!G476:G477)</f>
        <v>279</v>
      </c>
      <c r="G329" s="69">
        <f>SUM('All Email Performance'!H476:H477)</f>
        <v>19115</v>
      </c>
      <c r="H329" s="70">
        <f t="shared" si="98"/>
        <v>0.36115099758162034</v>
      </c>
      <c r="I329" s="69">
        <f>SUM('All Email Performance'!J476:J477)</f>
        <v>409</v>
      </c>
      <c r="J329" s="70">
        <f t="shared" si="99"/>
        <v>7.727478839177751E-3</v>
      </c>
      <c r="K329" s="70">
        <f t="shared" si="100"/>
        <v>2.1396808788909233E-2</v>
      </c>
      <c r="L329" s="69">
        <f>SUM('All Email Performance'!M476:M477)</f>
        <v>50</v>
      </c>
      <c r="M329" s="70">
        <f t="shared" si="101"/>
        <v>9.4467956469165663E-4</v>
      </c>
      <c r="N329" s="67" t="s">
        <v>16</v>
      </c>
    </row>
    <row r="330" spans="1:14" ht="24" customHeight="1" x14ac:dyDescent="0.3">
      <c r="A330" s="66" t="s">
        <v>17</v>
      </c>
      <c r="B330" s="67" t="s">
        <v>16</v>
      </c>
      <c r="C330" s="68">
        <v>45034</v>
      </c>
      <c r="D330" s="69">
        <f>SUM('All Email Performance'!E478:E479)</f>
        <v>679693</v>
      </c>
      <c r="E330" s="70">
        <f t="shared" si="97"/>
        <v>0.99869941282314223</v>
      </c>
      <c r="F330" s="69">
        <f>SUM('All Email Performance'!G478:G479)</f>
        <v>884</v>
      </c>
      <c r="G330" s="69">
        <f>SUM('All Email Performance'!H478:H479)</f>
        <v>256982</v>
      </c>
      <c r="H330" s="70">
        <f t="shared" si="98"/>
        <v>0.3780854003204388</v>
      </c>
      <c r="I330" s="69">
        <f>SUM('All Email Performance'!J478:J479)</f>
        <v>3422</v>
      </c>
      <c r="J330" s="70">
        <f t="shared" si="99"/>
        <v>5.034625926705145E-3</v>
      </c>
      <c r="K330" s="70">
        <f t="shared" si="100"/>
        <v>1.3316107742954759E-2</v>
      </c>
      <c r="L330" s="69">
        <f>SUM('All Email Performance'!M478:M479)</f>
        <v>579</v>
      </c>
      <c r="M330" s="70">
        <f t="shared" si="101"/>
        <v>8.5185517579260052E-4</v>
      </c>
      <c r="N330" s="67" t="s">
        <v>16</v>
      </c>
    </row>
    <row r="331" spans="1:14" ht="24" customHeight="1" x14ac:dyDescent="0.3">
      <c r="A331" s="76" t="s">
        <v>269</v>
      </c>
      <c r="B331" s="67" t="s">
        <v>16</v>
      </c>
      <c r="C331" s="68">
        <v>45035</v>
      </c>
      <c r="D331" s="69">
        <f>SUM('All Email Performance'!E480:E481)</f>
        <v>42531</v>
      </c>
      <c r="E331" s="70">
        <f t="shared" si="97"/>
        <v>0.99508593731631045</v>
      </c>
      <c r="F331" s="69">
        <f>SUM('All Email Performance'!G480:G481)</f>
        <v>209</v>
      </c>
      <c r="G331" s="69">
        <f>SUM('All Email Performance'!H480:H481)</f>
        <v>15957</v>
      </c>
      <c r="H331" s="70">
        <f t="shared" si="98"/>
        <v>0.37518515906045002</v>
      </c>
      <c r="I331" s="69">
        <f>SUM('All Email Performance'!J480:J481)</f>
        <v>233</v>
      </c>
      <c r="J331" s="70">
        <f t="shared" si="99"/>
        <v>5.4783569631562858E-3</v>
      </c>
      <c r="K331" s="70">
        <f t="shared" si="100"/>
        <v>1.4601742182114432E-2</v>
      </c>
      <c r="L331" s="69">
        <f>SUM('All Email Performance'!M480:M481)</f>
        <v>32</v>
      </c>
      <c r="M331" s="70">
        <f t="shared" si="101"/>
        <v>7.5239237262232259E-4</v>
      </c>
      <c r="N331" s="67" t="s">
        <v>16</v>
      </c>
    </row>
    <row r="332" spans="1:14" ht="24" customHeight="1" x14ac:dyDescent="0.3">
      <c r="A332" s="76" t="s">
        <v>270</v>
      </c>
      <c r="B332" s="67" t="s">
        <v>16</v>
      </c>
      <c r="C332" s="68">
        <v>45035</v>
      </c>
      <c r="D332" s="69">
        <f>SUM('All Email Performance'!E482:E483)</f>
        <v>350029</v>
      </c>
      <c r="E332" s="70">
        <f t="shared" si="97"/>
        <v>0.99504612474966359</v>
      </c>
      <c r="F332" s="69">
        <f>SUM('All Email Performance'!G482:G483)</f>
        <v>1734</v>
      </c>
      <c r="G332" s="69">
        <f>SUM('All Email Performance'!H482:H483)</f>
        <v>116049</v>
      </c>
      <c r="H332" s="70">
        <f t="shared" si="98"/>
        <v>0.33154110088021277</v>
      </c>
      <c r="I332" s="69">
        <f>SUM('All Email Performance'!J482:J483)</f>
        <v>1550</v>
      </c>
      <c r="J332" s="70">
        <f t="shared" si="99"/>
        <v>4.4282045201968984E-3</v>
      </c>
      <c r="K332" s="70">
        <f t="shared" si="100"/>
        <v>1.3356427026514663E-2</v>
      </c>
      <c r="L332" s="69">
        <f>SUM('All Email Performance'!M482:M483)</f>
        <v>693</v>
      </c>
      <c r="M332" s="70">
        <f t="shared" si="101"/>
        <v>1.9798359564493226E-3</v>
      </c>
      <c r="N332" s="67" t="s">
        <v>16</v>
      </c>
    </row>
    <row r="333" spans="1:14" ht="24" customHeight="1" x14ac:dyDescent="0.3">
      <c r="A333" s="76" t="s">
        <v>271</v>
      </c>
      <c r="B333" s="67" t="s">
        <v>16</v>
      </c>
      <c r="C333" s="68">
        <v>45035</v>
      </c>
      <c r="D333" s="69">
        <f>SUM('All Email Performance'!E484:E485)</f>
        <v>4765603</v>
      </c>
      <c r="E333" s="70">
        <f t="shared" si="97"/>
        <v>0.99590712864667919</v>
      </c>
      <c r="F333" s="69">
        <f>SUM('All Email Performance'!G484:G485)</f>
        <v>19505</v>
      </c>
      <c r="G333" s="69">
        <f>SUM('All Email Performance'!H484:H485)</f>
        <v>1913684</v>
      </c>
      <c r="H333" s="70">
        <f t="shared" si="98"/>
        <v>0.40156177507862068</v>
      </c>
      <c r="I333" s="69">
        <f>SUM('All Email Performance'!J484:J485)</f>
        <v>18548</v>
      </c>
      <c r="J333" s="70">
        <f t="shared" si="99"/>
        <v>3.8920573115301463E-3</v>
      </c>
      <c r="K333" s="70">
        <f t="shared" si="100"/>
        <v>9.6923002961826505E-3</v>
      </c>
      <c r="L333" s="69">
        <f>SUM('All Email Performance'!M484:M485)</f>
        <v>8370</v>
      </c>
      <c r="M333" s="70">
        <f t="shared" si="101"/>
        <v>1.7563359767903454E-3</v>
      </c>
      <c r="N333" s="67" t="s">
        <v>16</v>
      </c>
    </row>
    <row r="334" spans="1:14" ht="24" customHeight="1" x14ac:dyDescent="0.3">
      <c r="A334" s="76" t="s">
        <v>272</v>
      </c>
      <c r="B334" s="67" t="s">
        <v>16</v>
      </c>
      <c r="C334" s="68">
        <v>45035</v>
      </c>
      <c r="D334" s="69">
        <f>SUM('All Email Performance'!E486:E487)</f>
        <v>281705</v>
      </c>
      <c r="E334" s="70">
        <f t="shared" si="97"/>
        <v>0.99591061571502104</v>
      </c>
      <c r="F334" s="69">
        <f>SUM('All Email Performance'!G486:G487)</f>
        <v>1152</v>
      </c>
      <c r="G334" s="69">
        <f>SUM('All Email Performance'!H486:H487)</f>
        <v>108798</v>
      </c>
      <c r="H334" s="70">
        <f t="shared" si="98"/>
        <v>0.38621252728918548</v>
      </c>
      <c r="I334" s="69">
        <f>SUM('All Email Performance'!J486:J487)</f>
        <v>1366</v>
      </c>
      <c r="J334" s="70">
        <f t="shared" si="99"/>
        <v>4.8490442129177688E-3</v>
      </c>
      <c r="K334" s="70">
        <f t="shared" si="100"/>
        <v>1.2555377856210592E-2</v>
      </c>
      <c r="L334" s="69">
        <f>SUM('All Email Performance'!M486:M487)</f>
        <v>404</v>
      </c>
      <c r="M334" s="70">
        <f t="shared" si="101"/>
        <v>1.4341243499405407E-3</v>
      </c>
      <c r="N334" s="67" t="s">
        <v>16</v>
      </c>
    </row>
    <row r="335" spans="1:14" ht="24" customHeight="1" x14ac:dyDescent="0.3">
      <c r="A335" s="66" t="s">
        <v>26</v>
      </c>
      <c r="B335" s="67" t="s">
        <v>23</v>
      </c>
      <c r="C335" s="68">
        <v>45036</v>
      </c>
      <c r="D335" s="69">
        <f>'All Email Performance'!E488</f>
        <v>1642</v>
      </c>
      <c r="E335" s="70">
        <f t="shared" si="97"/>
        <v>0.99695493300852622</v>
      </c>
      <c r="F335" s="69">
        <f>'All Email Performance'!G488</f>
        <v>5</v>
      </c>
      <c r="G335" s="69">
        <f>'All Email Performance'!H488</f>
        <v>565</v>
      </c>
      <c r="H335" s="70">
        <f t="shared" si="98"/>
        <v>0.34409257003654081</v>
      </c>
      <c r="I335" s="69">
        <f>'All Email Performance'!J488</f>
        <v>19</v>
      </c>
      <c r="J335" s="70">
        <f t="shared" si="99"/>
        <v>1.1571254567600487E-2</v>
      </c>
      <c r="K335" s="70">
        <f t="shared" si="100"/>
        <v>3.3628318584070796E-2</v>
      </c>
      <c r="L335" s="69">
        <f>'All Email Performance'!M488</f>
        <v>1</v>
      </c>
      <c r="M335" s="70">
        <f t="shared" si="101"/>
        <v>6.0901339829476245E-4</v>
      </c>
      <c r="N335" s="67" t="s">
        <v>23</v>
      </c>
    </row>
    <row r="336" spans="1:14" ht="24" customHeight="1" x14ac:dyDescent="0.3">
      <c r="A336" s="76" t="s">
        <v>273</v>
      </c>
      <c r="B336" s="67" t="s">
        <v>16</v>
      </c>
      <c r="C336" s="68">
        <v>45037</v>
      </c>
      <c r="D336" s="69">
        <f>SUM('All Email Performance'!E489:E490)</f>
        <v>56802</v>
      </c>
      <c r="E336" s="70">
        <f t="shared" si="97"/>
        <v>0.99614450195415649</v>
      </c>
      <c r="F336" s="69">
        <f>SUM('All Email Performance'!G489:G490)</f>
        <v>219</v>
      </c>
      <c r="G336" s="69">
        <f>SUM('All Email Performance'!H489:H490)</f>
        <v>22724</v>
      </c>
      <c r="H336" s="70">
        <f t="shared" si="98"/>
        <v>0.40005633604450547</v>
      </c>
      <c r="I336" s="69">
        <f>SUM('All Email Performance'!J489:J490)</f>
        <v>520</v>
      </c>
      <c r="J336" s="70">
        <f t="shared" si="99"/>
        <v>9.1546072321397141E-3</v>
      </c>
      <c r="K336" s="70">
        <f t="shared" si="100"/>
        <v>2.2883295194508008E-2</v>
      </c>
      <c r="L336" s="69">
        <f>SUM('All Email Performance'!M489:M490)</f>
        <v>26</v>
      </c>
      <c r="M336" s="70">
        <f t="shared" si="101"/>
        <v>4.5773036160698567E-4</v>
      </c>
      <c r="N336" s="67" t="s">
        <v>16</v>
      </c>
    </row>
    <row r="337" spans="1:14" ht="24" customHeight="1" x14ac:dyDescent="0.3">
      <c r="A337" s="66" t="s">
        <v>28</v>
      </c>
      <c r="B337" s="67" t="s">
        <v>16</v>
      </c>
      <c r="C337" s="68">
        <v>45037</v>
      </c>
      <c r="D337" s="69">
        <f>SUM('All Email Performance'!E491:E492)</f>
        <v>312154</v>
      </c>
      <c r="E337" s="70">
        <f t="shared" si="97"/>
        <v>0.99550542360501548</v>
      </c>
      <c r="F337" s="69">
        <f>SUM('All Email Performance'!G491:G492)</f>
        <v>1403</v>
      </c>
      <c r="G337" s="69">
        <f>SUM('All Email Performance'!H491:H492)</f>
        <v>95132</v>
      </c>
      <c r="H337" s="70">
        <f t="shared" si="98"/>
        <v>0.30475983008386887</v>
      </c>
      <c r="I337" s="69">
        <f>SUM('All Email Performance'!J491:J492)</f>
        <v>1807</v>
      </c>
      <c r="J337" s="70">
        <f t="shared" si="99"/>
        <v>5.7888093697341693E-3</v>
      </c>
      <c r="K337" s="70">
        <f t="shared" si="100"/>
        <v>1.8994660051297144E-2</v>
      </c>
      <c r="L337" s="69">
        <f>SUM('All Email Performance'!M491:M492)</f>
        <v>506</v>
      </c>
      <c r="M337" s="70">
        <f t="shared" si="101"/>
        <v>1.6209947654042556E-3</v>
      </c>
      <c r="N337" s="67" t="s">
        <v>16</v>
      </c>
    </row>
    <row r="338" spans="1:14" ht="24" customHeight="1" x14ac:dyDescent="0.3">
      <c r="A338" s="66" t="s">
        <v>22</v>
      </c>
      <c r="B338" s="67" t="s">
        <v>16</v>
      </c>
      <c r="C338" s="68">
        <v>45037</v>
      </c>
      <c r="D338" s="69">
        <f>SUM('All Email Performance'!E493:E494)</f>
        <v>4182679</v>
      </c>
      <c r="E338" s="70">
        <f t="shared" si="97"/>
        <v>0.9960190585985681</v>
      </c>
      <c r="F338" s="69">
        <f>SUM('All Email Performance'!G493:G494)</f>
        <v>16651</v>
      </c>
      <c r="G338" s="69">
        <f>SUM('All Email Performance'!H493:H494)</f>
        <v>1399440</v>
      </c>
      <c r="H338" s="70">
        <f t="shared" si="98"/>
        <v>0.3345798231229315</v>
      </c>
      <c r="I338" s="69">
        <f>SUM('All Email Performance'!J493:J494)</f>
        <v>15829</v>
      </c>
      <c r="J338" s="70">
        <f t="shared" si="99"/>
        <v>3.7844166382359247E-3</v>
      </c>
      <c r="K338" s="70">
        <f t="shared" si="100"/>
        <v>1.1310952952609615E-2</v>
      </c>
      <c r="L338" s="69">
        <f>SUM('All Email Performance'!M493:M494)</f>
        <v>5408</v>
      </c>
      <c r="M338" s="70">
        <f t="shared" si="101"/>
        <v>1.2929512401023363E-3</v>
      </c>
      <c r="N338" s="67" t="s">
        <v>16</v>
      </c>
    </row>
    <row r="339" spans="1:14" ht="24" customHeight="1" x14ac:dyDescent="0.3">
      <c r="A339" s="66" t="s">
        <v>19</v>
      </c>
      <c r="B339" s="67" t="s">
        <v>21</v>
      </c>
      <c r="C339" s="68">
        <v>45037</v>
      </c>
      <c r="D339" s="69">
        <f>'All Email Performance'!E495</f>
        <v>332852</v>
      </c>
      <c r="E339" s="70">
        <f t="shared" si="97"/>
        <v>0.99491365531827958</v>
      </c>
      <c r="F339" s="69">
        <f>'All Email Performance'!G495</f>
        <v>1693</v>
      </c>
      <c r="G339" s="69">
        <f>'All Email Performance'!H495</f>
        <v>123871</v>
      </c>
      <c r="H339" s="70">
        <f t="shared" si="98"/>
        <v>0.3721503851561655</v>
      </c>
      <c r="I339" s="69">
        <f>'All Email Performance'!J495</f>
        <v>2630</v>
      </c>
      <c r="J339" s="70">
        <f t="shared" si="99"/>
        <v>7.9014096355136815E-3</v>
      </c>
      <c r="K339" s="70">
        <f t="shared" si="100"/>
        <v>2.1231765304227785E-2</v>
      </c>
      <c r="L339" s="69">
        <f>'All Email Performance'!M495</f>
        <v>304</v>
      </c>
      <c r="M339" s="70">
        <f t="shared" si="101"/>
        <v>9.1331883239397687E-4</v>
      </c>
      <c r="N339" s="67" t="s">
        <v>21</v>
      </c>
    </row>
    <row r="340" spans="1:14" ht="24" customHeight="1" x14ac:dyDescent="0.3">
      <c r="A340" s="66" t="s">
        <v>33</v>
      </c>
      <c r="B340" s="67" t="s">
        <v>21</v>
      </c>
      <c r="C340" s="68">
        <v>45037</v>
      </c>
      <c r="D340" s="69">
        <f>'All Email Performance'!E496</f>
        <v>237372</v>
      </c>
      <c r="E340" s="70">
        <f t="shared" si="97"/>
        <v>0.99668031612827124</v>
      </c>
      <c r="F340" s="69">
        <f>'All Email Performance'!G496</f>
        <v>788</v>
      </c>
      <c r="G340" s="69">
        <f>'All Email Performance'!H496</f>
        <v>109976</v>
      </c>
      <c r="H340" s="70">
        <f t="shared" si="98"/>
        <v>0.46330653994573917</v>
      </c>
      <c r="I340" s="69">
        <f>'All Email Performance'!J496</f>
        <v>2393</v>
      </c>
      <c r="J340" s="70">
        <f t="shared" si="99"/>
        <v>1.0081222722140775E-2</v>
      </c>
      <c r="K340" s="70">
        <f t="shared" si="100"/>
        <v>2.1759292936640723E-2</v>
      </c>
      <c r="L340" s="69">
        <f>'All Email Performance'!M496</f>
        <v>217</v>
      </c>
      <c r="M340" s="70">
        <f t="shared" si="101"/>
        <v>9.1417690376287015E-4</v>
      </c>
      <c r="N340" s="67" t="s">
        <v>21</v>
      </c>
    </row>
    <row r="341" spans="1:14" ht="24" customHeight="1" x14ac:dyDescent="0.3">
      <c r="A341" s="76" t="s">
        <v>274</v>
      </c>
      <c r="B341" s="67" t="s">
        <v>27</v>
      </c>
      <c r="C341" s="68">
        <v>45037</v>
      </c>
      <c r="D341" s="69">
        <f>'All Email Performance'!E497</f>
        <v>162082</v>
      </c>
      <c r="E341" s="70">
        <f t="shared" si="97"/>
        <v>0.99534803371133129</v>
      </c>
      <c r="F341" s="69">
        <f>'All Email Performance'!G497</f>
        <v>754</v>
      </c>
      <c r="G341" s="69">
        <f>'All Email Performance'!H497</f>
        <v>66927</v>
      </c>
      <c r="H341" s="70">
        <f t="shared" si="98"/>
        <v>0.41292062042669758</v>
      </c>
      <c r="I341" s="69">
        <f>'All Email Performance'!J497</f>
        <v>1518</v>
      </c>
      <c r="J341" s="70">
        <f t="shared" si="99"/>
        <v>9.365629742969608E-3</v>
      </c>
      <c r="K341" s="70">
        <f t="shared" si="100"/>
        <v>2.2681429019678158E-2</v>
      </c>
      <c r="L341" s="69">
        <f>'All Email Performance'!M497</f>
        <v>891</v>
      </c>
      <c r="M341" s="70">
        <f t="shared" si="101"/>
        <v>5.497217457829987E-3</v>
      </c>
      <c r="N341" s="67" t="s">
        <v>27</v>
      </c>
    </row>
    <row r="342" spans="1:14" ht="24" customHeight="1" x14ac:dyDescent="0.3">
      <c r="A342" s="65" t="s">
        <v>296</v>
      </c>
      <c r="B342" s="67" t="s">
        <v>16</v>
      </c>
      <c r="C342" s="68">
        <v>45040</v>
      </c>
      <c r="D342" s="69">
        <f>'All Email Performance'!E498</f>
        <v>23526</v>
      </c>
      <c r="E342" s="70">
        <f t="shared" ref="E342:E394" si="102">(D342-F342)/D342</f>
        <v>0.99634446994814252</v>
      </c>
      <c r="F342" s="69">
        <f>'All Email Performance'!G498</f>
        <v>86</v>
      </c>
      <c r="G342" s="69">
        <f>'All Email Performance'!H498</f>
        <v>11998</v>
      </c>
      <c r="H342" s="70">
        <f t="shared" ref="H342:H394" si="103">G342/D342</f>
        <v>0.50998894839751763</v>
      </c>
      <c r="I342" s="69">
        <f>'All Email Performance'!J498</f>
        <v>332</v>
      </c>
      <c r="J342" s="70">
        <f t="shared" ref="J342:J370" si="104">I342/D342</f>
        <v>1.4112046246705772E-2</v>
      </c>
      <c r="K342" s="70">
        <f t="shared" ref="K342:K370" si="105">I342/G342</f>
        <v>2.7671278546424403E-2</v>
      </c>
      <c r="L342" s="69">
        <f>'All Email Performance'!M498</f>
        <v>179</v>
      </c>
      <c r="M342" s="70">
        <f t="shared" ref="M342:M394" si="106">L342/D342</f>
        <v>7.6086032474708834E-3</v>
      </c>
      <c r="N342" s="67" t="s">
        <v>16</v>
      </c>
    </row>
    <row r="343" spans="1:14" ht="24" customHeight="1" x14ac:dyDescent="0.3">
      <c r="A343" s="66" t="s">
        <v>29</v>
      </c>
      <c r="B343" s="67" t="s">
        <v>16</v>
      </c>
      <c r="C343" s="68">
        <v>45041</v>
      </c>
      <c r="D343" s="69">
        <f>SUM('All Email Performance'!E499:E500)</f>
        <v>53101</v>
      </c>
      <c r="E343" s="70">
        <f t="shared" si="102"/>
        <v>0.99551797517937513</v>
      </c>
      <c r="F343" s="69">
        <f>SUM('All Email Performance'!G499:G500)</f>
        <v>238</v>
      </c>
      <c r="G343" s="69">
        <f>SUM('All Email Performance'!H499:H500)</f>
        <v>18895</v>
      </c>
      <c r="H343" s="70">
        <f t="shared" si="103"/>
        <v>0.35583134027607766</v>
      </c>
      <c r="I343" s="69">
        <f>SUM('All Email Performance'!J499:J500)</f>
        <v>402</v>
      </c>
      <c r="J343" s="70">
        <f t="shared" si="104"/>
        <v>7.570478898702473E-3</v>
      </c>
      <c r="K343" s="70">
        <f t="shared" si="105"/>
        <v>2.1275469700979096E-2</v>
      </c>
      <c r="L343" s="69">
        <f>SUM('All Email Performance'!M499:M500)</f>
        <v>40</v>
      </c>
      <c r="M343" s="70">
        <f t="shared" si="106"/>
        <v>7.5328148245795744E-4</v>
      </c>
      <c r="N343" s="67" t="s">
        <v>16</v>
      </c>
    </row>
    <row r="344" spans="1:14" ht="24" customHeight="1" x14ac:dyDescent="0.3">
      <c r="A344" s="66" t="s">
        <v>17</v>
      </c>
      <c r="B344" s="67" t="s">
        <v>16</v>
      </c>
      <c r="C344" s="68">
        <v>45041</v>
      </c>
      <c r="D344" s="69">
        <f>SUM('All Email Performance'!E501:E502)</f>
        <v>683121</v>
      </c>
      <c r="E344" s="70">
        <f t="shared" si="102"/>
        <v>0.99589970151700802</v>
      </c>
      <c r="F344" s="69">
        <f>SUM('All Email Performance'!G501:G502)</f>
        <v>2801</v>
      </c>
      <c r="G344" s="69">
        <f>SUM('All Email Performance'!H501:H502)</f>
        <v>255676</v>
      </c>
      <c r="H344" s="70">
        <f t="shared" si="103"/>
        <v>0.37427629951355618</v>
      </c>
      <c r="I344" s="69">
        <f>SUM('All Email Performance'!J501:J502)</f>
        <v>3818</v>
      </c>
      <c r="J344" s="70">
        <f t="shared" si="104"/>
        <v>5.5890537693907812E-3</v>
      </c>
      <c r="K344" s="70">
        <f t="shared" si="105"/>
        <v>1.4932962030069306E-2</v>
      </c>
      <c r="L344" s="69">
        <f>SUM('All Email Performance'!M501:M502)</f>
        <v>532</v>
      </c>
      <c r="M344" s="70">
        <f t="shared" si="106"/>
        <v>7.7877857656257095E-4</v>
      </c>
      <c r="N344" s="67" t="s">
        <v>16</v>
      </c>
    </row>
    <row r="345" spans="1:14" ht="24" customHeight="1" x14ac:dyDescent="0.3">
      <c r="A345" s="76" t="s">
        <v>277</v>
      </c>
      <c r="B345" s="67" t="s">
        <v>16</v>
      </c>
      <c r="C345" s="68">
        <v>45041</v>
      </c>
      <c r="D345" s="69">
        <f>'All Email Performance'!E503</f>
        <v>16590</v>
      </c>
      <c r="E345" s="70">
        <f t="shared" si="102"/>
        <v>0.99590114526823392</v>
      </c>
      <c r="F345" s="69">
        <f>'All Email Performance'!G503</f>
        <v>68</v>
      </c>
      <c r="G345" s="69">
        <f>'All Email Performance'!H503</f>
        <v>6846</v>
      </c>
      <c r="H345" s="70">
        <f t="shared" si="103"/>
        <v>0.41265822784810124</v>
      </c>
      <c r="I345" s="69">
        <f>'All Email Performance'!J503</f>
        <v>205</v>
      </c>
      <c r="J345" s="70">
        <f t="shared" si="104"/>
        <v>1.2356841470765521E-2</v>
      </c>
      <c r="K345" s="70">
        <f t="shared" si="105"/>
        <v>2.9944493134677185E-2</v>
      </c>
      <c r="L345" s="69">
        <f>'All Email Performance'!M503</f>
        <v>4</v>
      </c>
      <c r="M345" s="70">
        <f t="shared" si="106"/>
        <v>2.4110910186859555E-4</v>
      </c>
      <c r="N345" s="67" t="s">
        <v>16</v>
      </c>
    </row>
    <row r="346" spans="1:14" ht="24" customHeight="1" x14ac:dyDescent="0.3">
      <c r="A346" s="76" t="s">
        <v>278</v>
      </c>
      <c r="B346" s="67" t="s">
        <v>16</v>
      </c>
      <c r="C346" s="68">
        <v>45041</v>
      </c>
      <c r="D346" s="69">
        <f>'All Email Performance'!E504</f>
        <v>2390</v>
      </c>
      <c r="E346" s="70">
        <f t="shared" si="102"/>
        <v>0.99497907949790798</v>
      </c>
      <c r="F346" s="69">
        <f>'All Email Performance'!G504</f>
        <v>12</v>
      </c>
      <c r="G346" s="69">
        <f>'All Email Performance'!H504</f>
        <v>1041</v>
      </c>
      <c r="H346" s="70">
        <f t="shared" si="103"/>
        <v>0.43556485355648533</v>
      </c>
      <c r="I346" s="69">
        <f>'All Email Performance'!J504</f>
        <v>50</v>
      </c>
      <c r="J346" s="70">
        <f t="shared" si="104"/>
        <v>2.0920502092050208E-2</v>
      </c>
      <c r="K346" s="70">
        <f t="shared" si="105"/>
        <v>4.8030739673390971E-2</v>
      </c>
      <c r="L346" s="69">
        <f>'All Email Performance'!M504</f>
        <v>0</v>
      </c>
      <c r="M346" s="70">
        <f t="shared" si="106"/>
        <v>0</v>
      </c>
      <c r="N346" s="67" t="s">
        <v>16</v>
      </c>
    </row>
    <row r="347" spans="1:14" ht="24" customHeight="1" x14ac:dyDescent="0.3">
      <c r="A347" s="76" t="s">
        <v>279</v>
      </c>
      <c r="B347" s="67" t="s">
        <v>16</v>
      </c>
      <c r="C347" s="68">
        <v>45041</v>
      </c>
      <c r="D347" s="69">
        <f>'All Email Performance'!E505</f>
        <v>17694</v>
      </c>
      <c r="E347" s="70">
        <f t="shared" si="102"/>
        <v>0.99559172600881651</v>
      </c>
      <c r="F347" s="69">
        <f>'All Email Performance'!G505</f>
        <v>78</v>
      </c>
      <c r="G347" s="69">
        <f>'All Email Performance'!H505</f>
        <v>7266</v>
      </c>
      <c r="H347" s="70">
        <f t="shared" si="103"/>
        <v>0.41064767717870465</v>
      </c>
      <c r="I347" s="69">
        <f>'All Email Performance'!J505</f>
        <v>219</v>
      </c>
      <c r="J347" s="70">
        <f t="shared" si="104"/>
        <v>1.2377076975245847E-2</v>
      </c>
      <c r="K347" s="70">
        <f t="shared" si="105"/>
        <v>3.014037985136251E-2</v>
      </c>
      <c r="L347" s="69">
        <f>'All Email Performance'!M505</f>
        <v>6</v>
      </c>
      <c r="M347" s="70">
        <f t="shared" si="106"/>
        <v>3.3909799932180403E-4</v>
      </c>
      <c r="N347" s="67" t="s">
        <v>16</v>
      </c>
    </row>
    <row r="348" spans="1:14" ht="24" customHeight="1" x14ac:dyDescent="0.3">
      <c r="A348" s="76" t="s">
        <v>280</v>
      </c>
      <c r="B348" s="67" t="s">
        <v>16</v>
      </c>
      <c r="C348" s="68">
        <v>45041</v>
      </c>
      <c r="D348" s="69">
        <f>'All Email Performance'!E506</f>
        <v>1978</v>
      </c>
      <c r="E348" s="70">
        <f t="shared" si="102"/>
        <v>0.99393326592517695</v>
      </c>
      <c r="F348" s="69">
        <f>'All Email Performance'!G506</f>
        <v>12</v>
      </c>
      <c r="G348" s="69">
        <f>'All Email Performance'!H506</f>
        <v>762</v>
      </c>
      <c r="H348" s="70">
        <f t="shared" si="103"/>
        <v>0.38523761375126392</v>
      </c>
      <c r="I348" s="69">
        <f>'All Email Performance'!J506</f>
        <v>31</v>
      </c>
      <c r="J348" s="70">
        <f t="shared" si="104"/>
        <v>1.5672396359959553E-2</v>
      </c>
      <c r="K348" s="70">
        <f t="shared" si="105"/>
        <v>4.0682414698162729E-2</v>
      </c>
      <c r="L348" s="69">
        <f>'All Email Performance'!M506</f>
        <v>0</v>
      </c>
      <c r="M348" s="70">
        <f t="shared" si="106"/>
        <v>0</v>
      </c>
      <c r="N348" s="67" t="s">
        <v>16</v>
      </c>
    </row>
    <row r="349" spans="1:14" ht="24" customHeight="1" x14ac:dyDescent="0.3">
      <c r="A349" s="76" t="s">
        <v>281</v>
      </c>
      <c r="B349" s="67" t="s">
        <v>16</v>
      </c>
      <c r="C349" s="68">
        <v>45041</v>
      </c>
      <c r="D349" s="69">
        <f>'All Email Performance'!E507</f>
        <v>32027</v>
      </c>
      <c r="E349" s="70">
        <f t="shared" si="102"/>
        <v>0.995784806569457</v>
      </c>
      <c r="F349" s="69">
        <f>'All Email Performance'!G507</f>
        <v>135</v>
      </c>
      <c r="G349" s="69">
        <f>'All Email Performance'!H507</f>
        <v>12976</v>
      </c>
      <c r="H349" s="70">
        <f t="shared" si="103"/>
        <v>0.40515814781278298</v>
      </c>
      <c r="I349" s="69">
        <f>'All Email Performance'!J507</f>
        <v>378</v>
      </c>
      <c r="J349" s="70">
        <f t="shared" si="104"/>
        <v>1.1802541605520342E-2</v>
      </c>
      <c r="K349" s="70">
        <f t="shared" si="105"/>
        <v>2.9130702836004933E-2</v>
      </c>
      <c r="L349" s="69">
        <f>'All Email Performance'!M507</f>
        <v>14</v>
      </c>
      <c r="M349" s="70">
        <f t="shared" si="106"/>
        <v>4.3713117057482748E-4</v>
      </c>
      <c r="N349" s="67" t="s">
        <v>16</v>
      </c>
    </row>
    <row r="350" spans="1:14" ht="24" customHeight="1" x14ac:dyDescent="0.3">
      <c r="A350" s="76" t="s">
        <v>282</v>
      </c>
      <c r="B350" s="67" t="s">
        <v>16</v>
      </c>
      <c r="C350" s="68">
        <v>45041</v>
      </c>
      <c r="D350" s="69">
        <f>'All Email Performance'!E508</f>
        <v>3489</v>
      </c>
      <c r="E350" s="70">
        <f t="shared" si="102"/>
        <v>0.9957007738607051</v>
      </c>
      <c r="F350" s="69">
        <f>'All Email Performance'!G508</f>
        <v>15</v>
      </c>
      <c r="G350" s="69">
        <f>'All Email Performance'!H508</f>
        <v>1449</v>
      </c>
      <c r="H350" s="70">
        <f t="shared" si="103"/>
        <v>0.41530524505588995</v>
      </c>
      <c r="I350" s="69">
        <f>'All Email Performance'!J508</f>
        <v>67</v>
      </c>
      <c r="J350" s="70">
        <f t="shared" si="104"/>
        <v>1.9203210088850675E-2</v>
      </c>
      <c r="K350" s="70">
        <f t="shared" si="105"/>
        <v>4.6238785369220152E-2</v>
      </c>
      <c r="L350" s="69">
        <f>'All Email Performance'!M508</f>
        <v>0</v>
      </c>
      <c r="M350" s="70">
        <f t="shared" si="106"/>
        <v>0</v>
      </c>
      <c r="N350" s="67" t="s">
        <v>16</v>
      </c>
    </row>
    <row r="351" spans="1:14" ht="24" customHeight="1" x14ac:dyDescent="0.3">
      <c r="A351" s="76" t="s">
        <v>283</v>
      </c>
      <c r="B351" s="67" t="s">
        <v>16</v>
      </c>
      <c r="C351" s="68">
        <v>45041</v>
      </c>
      <c r="D351" s="69">
        <f>'All Email Performance'!E509</f>
        <v>101678</v>
      </c>
      <c r="E351" s="70">
        <f t="shared" si="102"/>
        <v>0.99633155648222826</v>
      </c>
      <c r="F351" s="69">
        <f>'All Email Performance'!G509</f>
        <v>373</v>
      </c>
      <c r="G351" s="69">
        <f>'All Email Performance'!H509</f>
        <v>41540</v>
      </c>
      <c r="H351" s="70">
        <f t="shared" si="103"/>
        <v>0.40854462125533547</v>
      </c>
      <c r="I351" s="69">
        <f>'All Email Performance'!J509</f>
        <v>1508</v>
      </c>
      <c r="J351" s="70">
        <f t="shared" si="104"/>
        <v>1.4831133578551899E-2</v>
      </c>
      <c r="K351" s="70">
        <f t="shared" si="105"/>
        <v>3.6302359171882521E-2</v>
      </c>
      <c r="L351" s="69">
        <f>'All Email Performance'!M509</f>
        <v>36</v>
      </c>
      <c r="M351" s="70">
        <f t="shared" si="106"/>
        <v>3.540588917956687E-4</v>
      </c>
      <c r="N351" s="67" t="s">
        <v>16</v>
      </c>
    </row>
    <row r="352" spans="1:14" ht="24" customHeight="1" x14ac:dyDescent="0.3">
      <c r="A352" s="76" t="s">
        <v>284</v>
      </c>
      <c r="B352" s="67" t="s">
        <v>16</v>
      </c>
      <c r="C352" s="68">
        <v>45041</v>
      </c>
      <c r="D352" s="69">
        <f>'All Email Performance'!E510</f>
        <v>6202</v>
      </c>
      <c r="E352" s="70">
        <f t="shared" si="102"/>
        <v>0.99500161238310225</v>
      </c>
      <c r="F352" s="69">
        <f>'All Email Performance'!G510</f>
        <v>31</v>
      </c>
      <c r="G352" s="69">
        <f>'All Email Performance'!H510</f>
        <v>2674</v>
      </c>
      <c r="H352" s="70">
        <f t="shared" si="103"/>
        <v>0.43115124153498874</v>
      </c>
      <c r="I352" s="69">
        <f>'All Email Performance'!J510</f>
        <v>173</v>
      </c>
      <c r="J352" s="70">
        <f t="shared" si="104"/>
        <v>2.7894227668494035E-2</v>
      </c>
      <c r="K352" s="70">
        <f t="shared" si="105"/>
        <v>6.4697083021690346E-2</v>
      </c>
      <c r="L352" s="69">
        <f>'All Email Performance'!M510</f>
        <v>1</v>
      </c>
      <c r="M352" s="70">
        <f t="shared" si="106"/>
        <v>1.6123831022250886E-4</v>
      </c>
      <c r="N352" s="67" t="s">
        <v>16</v>
      </c>
    </row>
    <row r="353" spans="1:14" ht="24" customHeight="1" x14ac:dyDescent="0.3">
      <c r="A353" s="76" t="s">
        <v>285</v>
      </c>
      <c r="B353" s="67" t="s">
        <v>16</v>
      </c>
      <c r="C353" s="68">
        <v>45042</v>
      </c>
      <c r="D353" s="69">
        <f>SUM('All Email Performance'!E511:E512)</f>
        <v>267718</v>
      </c>
      <c r="E353" s="70">
        <f t="shared" si="102"/>
        <v>0.99543549555875954</v>
      </c>
      <c r="F353" s="69">
        <f>SUM('All Email Performance'!G511:G512)</f>
        <v>1222</v>
      </c>
      <c r="G353" s="69">
        <f>SUM('All Email Performance'!H511:H512)</f>
        <v>86759</v>
      </c>
      <c r="H353" s="70">
        <f t="shared" si="103"/>
        <v>0.3240686095070186</v>
      </c>
      <c r="I353" s="69">
        <f>SUM('All Email Performance'!J511:J512)</f>
        <v>665</v>
      </c>
      <c r="J353" s="70">
        <f t="shared" si="104"/>
        <v>2.4839569995293554E-3</v>
      </c>
      <c r="K353" s="70">
        <f t="shared" si="105"/>
        <v>7.6649108449843824E-3</v>
      </c>
      <c r="L353" s="69">
        <f>SUM('All Email Performance'!M511:M512)</f>
        <v>389</v>
      </c>
      <c r="M353" s="70">
        <f t="shared" si="106"/>
        <v>1.4530214628825854E-3</v>
      </c>
      <c r="N353" s="67" t="s">
        <v>16</v>
      </c>
    </row>
    <row r="354" spans="1:14" ht="24" customHeight="1" x14ac:dyDescent="0.3">
      <c r="A354" s="76" t="s">
        <v>286</v>
      </c>
      <c r="B354" s="67" t="s">
        <v>16</v>
      </c>
      <c r="C354" s="68">
        <v>45042</v>
      </c>
      <c r="D354" s="69">
        <f>SUM('All Email Performance'!E513:E514)</f>
        <v>3139063</v>
      </c>
      <c r="E354" s="70">
        <f t="shared" si="102"/>
        <v>0.99581467463379991</v>
      </c>
      <c r="F354" s="69">
        <f>SUM('All Email Performance'!G513:G514)</f>
        <v>13138</v>
      </c>
      <c r="G354" s="69">
        <f>SUM('All Email Performance'!H513:H514)</f>
        <v>1113591</v>
      </c>
      <c r="H354" s="70">
        <f t="shared" si="103"/>
        <v>0.35475267619668671</v>
      </c>
      <c r="I354" s="69">
        <f>SUM('All Email Performance'!J513:J514)</f>
        <v>7037</v>
      </c>
      <c r="J354" s="70">
        <f t="shared" si="104"/>
        <v>2.2417517584068878E-3</v>
      </c>
      <c r="K354" s="70">
        <f t="shared" si="105"/>
        <v>6.3191961860323944E-3</v>
      </c>
      <c r="L354" s="69">
        <f>SUM('All Email Performance'!M513:M514)</f>
        <v>4001</v>
      </c>
      <c r="M354" s="70">
        <f t="shared" si="106"/>
        <v>1.274584167313622E-3</v>
      </c>
      <c r="N354" s="67" t="s">
        <v>16</v>
      </c>
    </row>
    <row r="355" spans="1:14" ht="24" customHeight="1" x14ac:dyDescent="0.3">
      <c r="A355" s="76" t="s">
        <v>32</v>
      </c>
      <c r="B355" s="67" t="s">
        <v>23</v>
      </c>
      <c r="C355" s="68">
        <v>45042</v>
      </c>
      <c r="D355" s="69">
        <f>'All Email Performance'!E515</f>
        <v>267</v>
      </c>
      <c r="E355" s="70">
        <f t="shared" si="102"/>
        <v>1</v>
      </c>
      <c r="F355" s="69">
        <f>'All Email Performance'!G515</f>
        <v>0</v>
      </c>
      <c r="G355" s="69">
        <f>'All Email Performance'!H515</f>
        <v>85</v>
      </c>
      <c r="H355" s="70">
        <f t="shared" si="103"/>
        <v>0.31835205992509363</v>
      </c>
      <c r="I355" s="69">
        <f>'All Email Performance'!J515</f>
        <v>3</v>
      </c>
      <c r="J355" s="70">
        <f t="shared" si="104"/>
        <v>1.1235955056179775E-2</v>
      </c>
      <c r="K355" s="70">
        <f t="shared" si="105"/>
        <v>3.5294117647058823E-2</v>
      </c>
      <c r="L355" s="69">
        <f>'All Email Performance'!M515</f>
        <v>0</v>
      </c>
      <c r="M355" s="70">
        <f t="shared" si="106"/>
        <v>0</v>
      </c>
      <c r="N355" s="67" t="s">
        <v>23</v>
      </c>
    </row>
    <row r="356" spans="1:14" ht="24" customHeight="1" x14ac:dyDescent="0.3">
      <c r="A356" s="76" t="s">
        <v>287</v>
      </c>
      <c r="B356" s="67" t="s">
        <v>16</v>
      </c>
      <c r="C356" s="68">
        <v>45042</v>
      </c>
      <c r="D356" s="69">
        <f>SUM('All Email Performance'!E516:E517)</f>
        <v>369474</v>
      </c>
      <c r="E356" s="70">
        <f t="shared" si="102"/>
        <v>0.99541781018420783</v>
      </c>
      <c r="F356" s="69">
        <f>SUM('All Email Performance'!G516:G517)</f>
        <v>1693</v>
      </c>
      <c r="G356" s="69">
        <f>SUM('All Email Performance'!H516:H517)</f>
        <v>131151</v>
      </c>
      <c r="H356" s="70">
        <f t="shared" si="103"/>
        <v>0.35496679062667469</v>
      </c>
      <c r="I356" s="69">
        <f>SUM('All Email Performance'!J516:J517)</f>
        <v>7035</v>
      </c>
      <c r="J356" s="70">
        <f t="shared" si="104"/>
        <v>1.9040582016596568E-2</v>
      </c>
      <c r="K356" s="70">
        <f t="shared" si="105"/>
        <v>5.3640460232861356E-2</v>
      </c>
      <c r="L356" s="69">
        <f>SUM('All Email Performance'!M516:M517)</f>
        <v>575</v>
      </c>
      <c r="M356" s="70">
        <f t="shared" si="106"/>
        <v>1.5562664761255189E-3</v>
      </c>
      <c r="N356" s="67" t="s">
        <v>16</v>
      </c>
    </row>
    <row r="357" spans="1:14" ht="24" customHeight="1" x14ac:dyDescent="0.3">
      <c r="A357" s="76" t="s">
        <v>288</v>
      </c>
      <c r="B357" s="67" t="s">
        <v>16</v>
      </c>
      <c r="C357" s="68">
        <v>45042</v>
      </c>
      <c r="D357" s="69">
        <f>SUM('All Email Performance'!E518:E519)</f>
        <v>5044716</v>
      </c>
      <c r="E357" s="70">
        <f t="shared" si="102"/>
        <v>0.9958899569371199</v>
      </c>
      <c r="F357" s="69">
        <f>SUM('All Email Performance'!G518:G519)</f>
        <v>20734</v>
      </c>
      <c r="G357" s="69">
        <f>SUM('All Email Performance'!H518:H519)</f>
        <v>1822627</v>
      </c>
      <c r="H357" s="70">
        <f t="shared" si="103"/>
        <v>0.36129427305719491</v>
      </c>
      <c r="I357" s="69">
        <f>SUM('All Email Performance'!J518:J519)</f>
        <v>48423</v>
      </c>
      <c r="J357" s="70">
        <f t="shared" si="104"/>
        <v>9.5987564017478884E-3</v>
      </c>
      <c r="K357" s="70">
        <f t="shared" si="105"/>
        <v>2.6567695968511384E-2</v>
      </c>
      <c r="L357" s="69">
        <f>SUM('All Email Performance'!M518:M519)</f>
        <v>7115</v>
      </c>
      <c r="M357" s="70">
        <f t="shared" si="106"/>
        <v>1.4103866302880082E-3</v>
      </c>
      <c r="N357" s="67" t="s">
        <v>16</v>
      </c>
    </row>
    <row r="358" spans="1:14" ht="24" customHeight="1" x14ac:dyDescent="0.3">
      <c r="A358" s="76" t="s">
        <v>289</v>
      </c>
      <c r="B358" s="67" t="s">
        <v>21</v>
      </c>
      <c r="C358" s="68">
        <v>45043</v>
      </c>
      <c r="D358" s="69">
        <f>SUM('All Email Performance'!E520:E521)</f>
        <v>3136</v>
      </c>
      <c r="E358" s="70">
        <f t="shared" si="102"/>
        <v>0.99649234693877553</v>
      </c>
      <c r="F358" s="69">
        <f>SUM('All Email Performance'!G520:G521)</f>
        <v>11</v>
      </c>
      <c r="G358" s="69">
        <f>SUM('All Email Performance'!H520:H521)</f>
        <v>1736</v>
      </c>
      <c r="H358" s="70">
        <f t="shared" si="103"/>
        <v>0.5535714285714286</v>
      </c>
      <c r="I358" s="69">
        <f>SUM('All Email Performance'!J520:J521)</f>
        <v>87</v>
      </c>
      <c r="J358" s="70">
        <f t="shared" si="104"/>
        <v>2.774234693877551E-2</v>
      </c>
      <c r="K358" s="70">
        <f t="shared" si="105"/>
        <v>5.0115207373271888E-2</v>
      </c>
      <c r="L358" s="69">
        <f>SUM('All Email Performance'!M520:M521)</f>
        <v>2</v>
      </c>
      <c r="M358" s="70">
        <f t="shared" si="106"/>
        <v>6.3775510204081628E-4</v>
      </c>
      <c r="N358" s="67" t="s">
        <v>21</v>
      </c>
    </row>
    <row r="359" spans="1:14" ht="24" customHeight="1" x14ac:dyDescent="0.3">
      <c r="A359" s="76" t="s">
        <v>290</v>
      </c>
      <c r="B359" s="67" t="s">
        <v>21</v>
      </c>
      <c r="C359" s="68">
        <v>45043</v>
      </c>
      <c r="D359" s="69">
        <f>SUM('All Email Performance'!E522:E523)</f>
        <v>2389404</v>
      </c>
      <c r="E359" s="70">
        <f t="shared" si="102"/>
        <v>0.98768563206556947</v>
      </c>
      <c r="F359" s="69">
        <f>SUM('All Email Performance'!G522:G523)</f>
        <v>29424</v>
      </c>
      <c r="G359" s="69">
        <f>SUM('All Email Performance'!H522:H523)</f>
        <v>936969</v>
      </c>
      <c r="H359" s="70">
        <f t="shared" si="103"/>
        <v>0.3921350261404099</v>
      </c>
      <c r="I359" s="69">
        <f>SUM('All Email Performance'!J522:J523)</f>
        <v>10657</v>
      </c>
      <c r="J359" s="70">
        <f t="shared" si="104"/>
        <v>4.4601080436795114E-3</v>
      </c>
      <c r="K359" s="70">
        <f t="shared" si="105"/>
        <v>1.1373908848638535E-2</v>
      </c>
      <c r="L359" s="69">
        <f>SUM('All Email Performance'!M522:M523)</f>
        <v>2659</v>
      </c>
      <c r="M359" s="70">
        <f t="shared" si="106"/>
        <v>1.1128298102790486E-3</v>
      </c>
      <c r="N359" s="67" t="s">
        <v>21</v>
      </c>
    </row>
    <row r="360" spans="1:14" ht="24" customHeight="1" x14ac:dyDescent="0.3">
      <c r="A360" s="66" t="s">
        <v>26</v>
      </c>
      <c r="B360" s="67" t="s">
        <v>23</v>
      </c>
      <c r="C360" s="68">
        <v>45043</v>
      </c>
      <c r="D360" s="69">
        <f>'All Email Performance'!E524</f>
        <v>1646</v>
      </c>
      <c r="E360" s="70">
        <f t="shared" si="102"/>
        <v>0.99696233292831105</v>
      </c>
      <c r="F360" s="69">
        <f>'All Email Performance'!G524</f>
        <v>5</v>
      </c>
      <c r="G360" s="69">
        <f>'All Email Performance'!H524</f>
        <v>567</v>
      </c>
      <c r="H360" s="70">
        <f t="shared" si="103"/>
        <v>0.34447144592952611</v>
      </c>
      <c r="I360" s="69">
        <f>'All Email Performance'!J524</f>
        <v>16</v>
      </c>
      <c r="J360" s="70">
        <f t="shared" si="104"/>
        <v>9.7205346294046164E-3</v>
      </c>
      <c r="K360" s="70">
        <f t="shared" si="105"/>
        <v>2.821869488536155E-2</v>
      </c>
      <c r="L360" s="69">
        <f>'All Email Performance'!M524</f>
        <v>0</v>
      </c>
      <c r="M360" s="70">
        <f t="shared" si="106"/>
        <v>0</v>
      </c>
      <c r="N360" s="67" t="s">
        <v>23</v>
      </c>
    </row>
    <row r="361" spans="1:14" ht="24" customHeight="1" x14ac:dyDescent="0.3">
      <c r="A361" s="76" t="s">
        <v>291</v>
      </c>
      <c r="B361" s="67" t="s">
        <v>16</v>
      </c>
      <c r="C361" s="68">
        <v>45043</v>
      </c>
      <c r="D361" s="69">
        <f>SUM('All Email Performance'!E525:E526)</f>
        <v>875</v>
      </c>
      <c r="E361" s="70">
        <f t="shared" si="102"/>
        <v>0.99542857142857144</v>
      </c>
      <c r="F361" s="69">
        <f>SUM('All Email Performance'!G525:G526)</f>
        <v>4</v>
      </c>
      <c r="G361" s="69">
        <f>SUM('All Email Performance'!H525:H526)</f>
        <v>629</v>
      </c>
      <c r="H361" s="70">
        <f t="shared" si="103"/>
        <v>0.71885714285714286</v>
      </c>
      <c r="I361" s="69">
        <f>SUM('All Email Performance'!J525:J526)</f>
        <v>15</v>
      </c>
      <c r="J361" s="70">
        <f t="shared" si="104"/>
        <v>1.7142857142857144E-2</v>
      </c>
      <c r="K361" s="70">
        <f t="shared" si="105"/>
        <v>2.3847376788553261E-2</v>
      </c>
      <c r="L361" s="69">
        <f>SUM('All Email Performance'!M525:M526)</f>
        <v>1</v>
      </c>
      <c r="M361" s="70">
        <f t="shared" si="106"/>
        <v>1.1428571428571429E-3</v>
      </c>
      <c r="N361" s="67" t="s">
        <v>16</v>
      </c>
    </row>
    <row r="362" spans="1:14" ht="24" customHeight="1" x14ac:dyDescent="0.3">
      <c r="A362" s="76" t="s">
        <v>292</v>
      </c>
      <c r="B362" s="67" t="s">
        <v>16</v>
      </c>
      <c r="C362" s="68">
        <v>45043</v>
      </c>
      <c r="D362" s="69">
        <f>SUM('All Email Performance'!E527:E528)</f>
        <v>293</v>
      </c>
      <c r="E362" s="70">
        <f t="shared" si="102"/>
        <v>1</v>
      </c>
      <c r="F362" s="69">
        <f>SUM('All Email Performance'!G527:G528)</f>
        <v>0</v>
      </c>
      <c r="G362" s="69">
        <f>SUM('All Email Performance'!H527:H528)</f>
        <v>191</v>
      </c>
      <c r="H362" s="70">
        <f t="shared" si="103"/>
        <v>0.65187713310580209</v>
      </c>
      <c r="I362" s="69">
        <f>SUM('All Email Performance'!J527:J528)</f>
        <v>6</v>
      </c>
      <c r="J362" s="70">
        <f t="shared" si="104"/>
        <v>2.0477815699658702E-2</v>
      </c>
      <c r="K362" s="70">
        <f t="shared" si="105"/>
        <v>3.1413612565445025E-2</v>
      </c>
      <c r="L362" s="69">
        <f>SUM('All Email Performance'!M527:M528)</f>
        <v>0</v>
      </c>
      <c r="M362" s="70">
        <f t="shared" si="106"/>
        <v>0</v>
      </c>
      <c r="N362" s="67" t="s">
        <v>16</v>
      </c>
    </row>
    <row r="363" spans="1:14" ht="24" customHeight="1" x14ac:dyDescent="0.3">
      <c r="A363" s="76" t="s">
        <v>293</v>
      </c>
      <c r="B363" s="67" t="s">
        <v>16</v>
      </c>
      <c r="C363" s="68">
        <v>45044</v>
      </c>
      <c r="D363" s="69">
        <f>SUM('All Email Performance'!E529:E530)</f>
        <v>137759</v>
      </c>
      <c r="E363" s="70">
        <f t="shared" si="102"/>
        <v>0.99500577094781462</v>
      </c>
      <c r="F363" s="69">
        <f>SUM('All Email Performance'!G529:G530)</f>
        <v>688</v>
      </c>
      <c r="G363" s="69">
        <f>SUM('All Email Performance'!H529:H530)</f>
        <v>50906</v>
      </c>
      <c r="H363" s="70">
        <f t="shared" si="103"/>
        <v>0.36952939553858549</v>
      </c>
      <c r="I363" s="69">
        <f>SUM('All Email Performance'!J529:J530)</f>
        <v>606</v>
      </c>
      <c r="J363" s="70">
        <f t="shared" si="104"/>
        <v>4.3989866360818527E-3</v>
      </c>
      <c r="K363" s="70">
        <f t="shared" si="105"/>
        <v>1.1904294189290064E-2</v>
      </c>
      <c r="L363" s="69">
        <f>SUM('All Email Performance'!M529:M530)</f>
        <v>140</v>
      </c>
      <c r="M363" s="70">
        <f t="shared" si="106"/>
        <v>1.0162675396888769E-3</v>
      </c>
      <c r="N363" s="67" t="s">
        <v>16</v>
      </c>
    </row>
    <row r="364" spans="1:14" ht="24" customHeight="1" x14ac:dyDescent="0.3">
      <c r="A364" s="76" t="s">
        <v>294</v>
      </c>
      <c r="B364" s="67" t="s">
        <v>16</v>
      </c>
      <c r="C364" s="68">
        <v>45044</v>
      </c>
      <c r="D364" s="69">
        <f>SUM('All Email Performance'!E531:E532)</f>
        <v>12495</v>
      </c>
      <c r="E364" s="70">
        <f t="shared" si="102"/>
        <v>0.99487795118047218</v>
      </c>
      <c r="F364" s="69">
        <f>SUM('All Email Performance'!G531:G532)</f>
        <v>64</v>
      </c>
      <c r="G364" s="69">
        <f>SUM('All Email Performance'!H531:H532)</f>
        <v>4013</v>
      </c>
      <c r="H364" s="70">
        <f t="shared" si="103"/>
        <v>0.32116846738695476</v>
      </c>
      <c r="I364" s="69">
        <f>SUM('All Email Performance'!J531:J532)</f>
        <v>43</v>
      </c>
      <c r="J364" s="70">
        <f t="shared" si="104"/>
        <v>3.4413765506202481E-3</v>
      </c>
      <c r="K364" s="70">
        <f t="shared" si="105"/>
        <v>1.071517567904311E-2</v>
      </c>
      <c r="L364" s="69">
        <f>SUM('All Email Performance'!M531:M532)</f>
        <v>7</v>
      </c>
      <c r="M364" s="70">
        <f t="shared" si="106"/>
        <v>5.602240896358543E-4</v>
      </c>
      <c r="N364" s="67" t="s">
        <v>16</v>
      </c>
    </row>
    <row r="365" spans="1:14" ht="24" customHeight="1" x14ac:dyDescent="0.3">
      <c r="A365" s="76" t="s">
        <v>295</v>
      </c>
      <c r="B365" s="67" t="s">
        <v>16</v>
      </c>
      <c r="C365" s="68">
        <v>45044</v>
      </c>
      <c r="D365" s="69">
        <f>SUM('All Email Performance'!E533:E534)</f>
        <v>314171</v>
      </c>
      <c r="E365" s="70">
        <f t="shared" si="102"/>
        <v>0.99607538569759779</v>
      </c>
      <c r="F365" s="69">
        <f>SUM('All Email Performance'!G533:G534)</f>
        <v>1233</v>
      </c>
      <c r="G365" s="69">
        <f>SUM('All Email Performance'!H533:H534)</f>
        <v>124582</v>
      </c>
      <c r="H365" s="70">
        <f t="shared" si="103"/>
        <v>0.39654201056112753</v>
      </c>
      <c r="I365" s="69">
        <f>SUM('All Email Performance'!J533:J534)</f>
        <v>1689</v>
      </c>
      <c r="J365" s="70">
        <f t="shared" si="104"/>
        <v>5.3760531684974109E-3</v>
      </c>
      <c r="K365" s="70">
        <f t="shared" si="105"/>
        <v>1.3557335730683405E-2</v>
      </c>
      <c r="L365" s="69">
        <f>SUM('All Email Performance'!M533:M534)</f>
        <v>380</v>
      </c>
      <c r="M365" s="70">
        <f t="shared" si="106"/>
        <v>1.2095323884126798E-3</v>
      </c>
      <c r="N365" s="67" t="s">
        <v>16</v>
      </c>
    </row>
    <row r="366" spans="1:14" ht="24" customHeight="1" x14ac:dyDescent="0.3">
      <c r="A366" s="66" t="s">
        <v>28</v>
      </c>
      <c r="B366" s="67" t="s">
        <v>16</v>
      </c>
      <c r="C366" s="68">
        <v>45044</v>
      </c>
      <c r="D366" s="69">
        <f>SUM('All Email Performance'!E535:E536)</f>
        <v>312135</v>
      </c>
      <c r="E366" s="70">
        <f t="shared" si="102"/>
        <v>0.99499895878385958</v>
      </c>
      <c r="F366" s="69">
        <f>SUM('All Email Performance'!G535:G536)</f>
        <v>1561</v>
      </c>
      <c r="G366" s="69">
        <f>SUM('All Email Performance'!H535:H536)</f>
        <v>94127</v>
      </c>
      <c r="H366" s="70">
        <f t="shared" si="103"/>
        <v>0.30155862046870746</v>
      </c>
      <c r="I366" s="69">
        <f>SUM('All Email Performance'!J535:J536)</f>
        <v>2088</v>
      </c>
      <c r="J366" s="70">
        <f t="shared" si="104"/>
        <v>6.6894132346580802E-3</v>
      </c>
      <c r="K366" s="70">
        <f t="shared" si="105"/>
        <v>2.2182795584688771E-2</v>
      </c>
      <c r="L366" s="69">
        <f>SUM('All Email Performance'!M535:M536)</f>
        <v>540</v>
      </c>
      <c r="M366" s="70">
        <f t="shared" si="106"/>
        <v>1.7300206641357105E-3</v>
      </c>
      <c r="N366" s="67" t="s">
        <v>16</v>
      </c>
    </row>
    <row r="367" spans="1:14" ht="24" customHeight="1" x14ac:dyDescent="0.3">
      <c r="A367" s="66" t="s">
        <v>22</v>
      </c>
      <c r="B367" s="67" t="s">
        <v>16</v>
      </c>
      <c r="C367" s="68">
        <v>45044</v>
      </c>
      <c r="D367" s="69">
        <f>SUM('All Email Performance'!E537:E538)</f>
        <v>4199248</v>
      </c>
      <c r="E367" s="70">
        <f t="shared" si="102"/>
        <v>0.99608906166056399</v>
      </c>
      <c r="F367" s="69">
        <f>SUM('All Email Performance'!G537:G538)</f>
        <v>16423</v>
      </c>
      <c r="G367" s="69">
        <f>SUM('All Email Performance'!H537:H538)</f>
        <v>1377693</v>
      </c>
      <c r="H367" s="70">
        <f t="shared" si="103"/>
        <v>0.32808088495844973</v>
      </c>
      <c r="I367" s="69">
        <f>SUM('All Email Performance'!J537:J538)</f>
        <v>19154</v>
      </c>
      <c r="J367" s="70">
        <f t="shared" si="104"/>
        <v>4.5612928791059736E-3</v>
      </c>
      <c r="K367" s="70">
        <f t="shared" si="105"/>
        <v>1.3902952254239515E-2</v>
      </c>
      <c r="L367" s="69">
        <f>SUM('All Email Performance'!M537:M538)</f>
        <v>6166</v>
      </c>
      <c r="M367" s="70">
        <f t="shared" si="106"/>
        <v>1.4683581441248528E-3</v>
      </c>
      <c r="N367" s="67" t="s">
        <v>16</v>
      </c>
    </row>
    <row r="368" spans="1:14" ht="24" customHeight="1" x14ac:dyDescent="0.3">
      <c r="A368" s="66" t="s">
        <v>33</v>
      </c>
      <c r="B368" s="67" t="s">
        <v>21</v>
      </c>
      <c r="C368" s="68">
        <v>45044</v>
      </c>
      <c r="D368" s="69">
        <f>'All Email Performance'!E539</f>
        <v>235331</v>
      </c>
      <c r="E368" s="70">
        <f t="shared" si="102"/>
        <v>0.99658778486472244</v>
      </c>
      <c r="F368" s="69">
        <f>'All Email Performance'!G539</f>
        <v>803</v>
      </c>
      <c r="G368" s="69">
        <f>'All Email Performance'!H539</f>
        <v>104943</v>
      </c>
      <c r="H368" s="70">
        <f t="shared" si="103"/>
        <v>0.44593784924213131</v>
      </c>
      <c r="I368" s="69">
        <f>'All Email Performance'!J539</f>
        <v>1611</v>
      </c>
      <c r="J368" s="70">
        <f t="shared" si="104"/>
        <v>6.845676940139633E-3</v>
      </c>
      <c r="K368" s="70">
        <f t="shared" si="105"/>
        <v>1.5351190646350876E-2</v>
      </c>
      <c r="L368" s="69">
        <f>'All Email Performance'!M539</f>
        <v>230</v>
      </c>
      <c r="M368" s="70">
        <f t="shared" si="106"/>
        <v>9.7734680088896065E-4</v>
      </c>
      <c r="N368" s="67" t="s">
        <v>21</v>
      </c>
    </row>
    <row r="369" spans="1:14" ht="24" customHeight="1" x14ac:dyDescent="0.3">
      <c r="A369" s="66" t="s">
        <v>19</v>
      </c>
      <c r="B369" s="67" t="s">
        <v>21</v>
      </c>
      <c r="C369" s="68">
        <v>45044</v>
      </c>
      <c r="D369" s="69">
        <f>'All Email Performance'!E540</f>
        <v>332784</v>
      </c>
      <c r="E369" s="70">
        <f t="shared" si="102"/>
        <v>0.99478340304822344</v>
      </c>
      <c r="F369" s="69">
        <f>'All Email Performance'!G540</f>
        <v>1736</v>
      </c>
      <c r="G369" s="69">
        <f>'All Email Performance'!H540</f>
        <v>119981</v>
      </c>
      <c r="H369" s="70">
        <f t="shared" si="103"/>
        <v>0.36053716524832924</v>
      </c>
      <c r="I369" s="69">
        <f>'All Email Performance'!J540</f>
        <v>1983</v>
      </c>
      <c r="J369" s="70">
        <f t="shared" si="104"/>
        <v>5.9588201355834413E-3</v>
      </c>
      <c r="K369" s="70">
        <f t="shared" si="105"/>
        <v>1.6527616872671506E-2</v>
      </c>
      <c r="L369" s="69">
        <f>'All Email Performance'!M540</f>
        <v>297</v>
      </c>
      <c r="M369" s="70">
        <f t="shared" si="106"/>
        <v>8.9247079186499352E-4</v>
      </c>
      <c r="N369" s="67" t="s">
        <v>21</v>
      </c>
    </row>
    <row r="370" spans="1:14" ht="24" customHeight="1" x14ac:dyDescent="0.3">
      <c r="A370" s="66" t="s">
        <v>24</v>
      </c>
      <c r="B370" s="67" t="s">
        <v>21</v>
      </c>
      <c r="C370" s="68">
        <v>45045</v>
      </c>
      <c r="D370" s="69">
        <f>'All Email Performance'!E541</f>
        <v>14780</v>
      </c>
      <c r="E370" s="70">
        <f t="shared" si="102"/>
        <v>0.99499323410013529</v>
      </c>
      <c r="F370" s="69">
        <f>'All Email Performance'!G541</f>
        <v>74</v>
      </c>
      <c r="G370" s="69">
        <f>'All Email Performance'!H541</f>
        <v>4768</v>
      </c>
      <c r="H370" s="70">
        <f t="shared" si="103"/>
        <v>0.32259810554803792</v>
      </c>
      <c r="I370" s="69">
        <f>'All Email Performance'!J541</f>
        <v>171</v>
      </c>
      <c r="J370" s="70">
        <f t="shared" si="104"/>
        <v>1.1569688768606225E-2</v>
      </c>
      <c r="K370" s="70">
        <f t="shared" si="105"/>
        <v>3.5864093959731544E-2</v>
      </c>
      <c r="L370" s="69">
        <f>'All Email Performance'!M541</f>
        <v>17</v>
      </c>
      <c r="M370" s="70">
        <f t="shared" si="106"/>
        <v>1.1502029769959404E-3</v>
      </c>
      <c r="N370" s="67" t="s">
        <v>21</v>
      </c>
    </row>
    <row r="371" spans="1:14" ht="24" customHeight="1" x14ac:dyDescent="0.3">
      <c r="A371" s="76" t="s">
        <v>34</v>
      </c>
      <c r="B371" s="67" t="s">
        <v>30</v>
      </c>
      <c r="C371" s="68">
        <v>45047</v>
      </c>
      <c r="D371" s="69">
        <f>'All Email Performance'!E542</f>
        <v>9461</v>
      </c>
      <c r="E371" s="70">
        <f t="shared" si="102"/>
        <v>0.98182010358313077</v>
      </c>
      <c r="F371" s="69">
        <f>'All Email Performance'!G542</f>
        <v>172</v>
      </c>
      <c r="G371" s="69">
        <f>'All Email Performance'!H542</f>
        <v>3456</v>
      </c>
      <c r="H371" s="70">
        <f t="shared" si="103"/>
        <v>0.36528908149244266</v>
      </c>
      <c r="I371" s="69">
        <f>'All Email Performance'!J542</f>
        <v>567</v>
      </c>
      <c r="J371" s="70">
        <f t="shared" ref="J371:J394" si="107">I371/D371</f>
        <v>5.9930239932353871E-2</v>
      </c>
      <c r="K371" s="70">
        <f t="shared" ref="K371:K394" si="108">I371/G371</f>
        <v>0.1640625</v>
      </c>
      <c r="L371" s="69">
        <f>'All Email Performance'!M542</f>
        <v>29</v>
      </c>
      <c r="M371" s="70">
        <f t="shared" si="106"/>
        <v>3.0652150935419091E-3</v>
      </c>
      <c r="N371" s="67" t="s">
        <v>31</v>
      </c>
    </row>
    <row r="372" spans="1:14" ht="24" customHeight="1" x14ac:dyDescent="0.3">
      <c r="A372" s="76" t="s">
        <v>35</v>
      </c>
      <c r="B372" s="67" t="s">
        <v>30</v>
      </c>
      <c r="C372" s="68">
        <v>45047</v>
      </c>
      <c r="D372" s="69">
        <f>'All Email Performance'!E543</f>
        <v>85261</v>
      </c>
      <c r="E372" s="70">
        <f t="shared" si="102"/>
        <v>0.97441972296829737</v>
      </c>
      <c r="F372" s="69">
        <f>'All Email Performance'!G543</f>
        <v>2181</v>
      </c>
      <c r="G372" s="69">
        <f>'All Email Performance'!H543</f>
        <v>37997</v>
      </c>
      <c r="H372" s="70">
        <f t="shared" si="103"/>
        <v>0.44565510608601822</v>
      </c>
      <c r="I372" s="69">
        <f>'All Email Performance'!J543</f>
        <v>4302</v>
      </c>
      <c r="J372" s="70">
        <f t="shared" si="107"/>
        <v>5.0456832549465758E-2</v>
      </c>
      <c r="K372" s="70">
        <f t="shared" si="108"/>
        <v>0.11321946469458115</v>
      </c>
      <c r="L372" s="69">
        <f>'All Email Performance'!M543</f>
        <v>357</v>
      </c>
      <c r="M372" s="70">
        <f t="shared" si="106"/>
        <v>4.1871430079403246E-3</v>
      </c>
      <c r="N372" s="67" t="s">
        <v>31</v>
      </c>
    </row>
    <row r="373" spans="1:14" ht="24" customHeight="1" x14ac:dyDescent="0.3">
      <c r="A373" s="66" t="s">
        <v>29</v>
      </c>
      <c r="B373" s="67" t="s">
        <v>16</v>
      </c>
      <c r="C373" s="68">
        <v>45048</v>
      </c>
      <c r="D373" s="69">
        <f>SUM('All Email Performance'!E544:E545)</f>
        <v>53333</v>
      </c>
      <c r="E373" s="70">
        <f t="shared" si="102"/>
        <v>0.99435621472634206</v>
      </c>
      <c r="F373" s="69">
        <f>SUM('All Email Performance'!G544:G545)</f>
        <v>301</v>
      </c>
      <c r="G373" s="69">
        <f>SUM('All Email Performance'!H544:H545)</f>
        <v>19387</v>
      </c>
      <c r="H373" s="70">
        <f t="shared" si="103"/>
        <v>0.36350852192826205</v>
      </c>
      <c r="I373" s="69">
        <f>SUM('All Email Performance'!J544:J545)</f>
        <v>587</v>
      </c>
      <c r="J373" s="70">
        <f t="shared" si="107"/>
        <v>1.1006318789492434E-2</v>
      </c>
      <c r="K373" s="70">
        <f t="shared" si="108"/>
        <v>3.0278021354515912E-2</v>
      </c>
      <c r="L373" s="69">
        <f>SUM('All Email Performance'!M544:M545)</f>
        <v>35</v>
      </c>
      <c r="M373" s="70">
        <f t="shared" si="106"/>
        <v>6.5625410158813493E-4</v>
      </c>
      <c r="N373" s="67" t="s">
        <v>16</v>
      </c>
    </row>
    <row r="374" spans="1:14" ht="24" customHeight="1" x14ac:dyDescent="0.3">
      <c r="A374" s="66" t="s">
        <v>17</v>
      </c>
      <c r="B374" s="67" t="s">
        <v>16</v>
      </c>
      <c r="C374" s="68">
        <v>45048</v>
      </c>
      <c r="D374" s="69">
        <f>SUM('All Email Performance'!E546:E547)</f>
        <v>687412</v>
      </c>
      <c r="E374" s="70">
        <f t="shared" si="102"/>
        <v>0.99568235643253244</v>
      </c>
      <c r="F374" s="69">
        <f>SUM('All Email Performance'!G546:G547)</f>
        <v>2968</v>
      </c>
      <c r="G374" s="69">
        <f>SUM('All Email Performance'!H546:H547)</f>
        <v>256653</v>
      </c>
      <c r="H374" s="70">
        <f t="shared" si="103"/>
        <v>0.37336124478478699</v>
      </c>
      <c r="I374" s="69">
        <f>SUM('All Email Performance'!J546:J547)</f>
        <v>4799</v>
      </c>
      <c r="J374" s="70">
        <f t="shared" si="107"/>
        <v>6.9812572372900091E-3</v>
      </c>
      <c r="K374" s="70">
        <f t="shared" si="108"/>
        <v>1.8698398226399068E-2</v>
      </c>
      <c r="L374" s="69">
        <f>SUM('All Email Performance'!M546:M547)</f>
        <v>528</v>
      </c>
      <c r="M374" s="70">
        <f t="shared" si="106"/>
        <v>7.6809831658452286E-4</v>
      </c>
      <c r="N374" s="67" t="s">
        <v>16</v>
      </c>
    </row>
    <row r="375" spans="1:14" ht="24" customHeight="1" x14ac:dyDescent="0.3">
      <c r="A375" s="76" t="s">
        <v>301</v>
      </c>
      <c r="B375" s="67" t="s">
        <v>30</v>
      </c>
      <c r="C375" s="68">
        <v>45048</v>
      </c>
      <c r="D375" s="69">
        <f>'All Email Performance'!E548</f>
        <v>60488</v>
      </c>
      <c r="E375" s="70">
        <f t="shared" si="102"/>
        <v>0.99537098267424939</v>
      </c>
      <c r="F375" s="69">
        <f>'All Email Performance'!G548</f>
        <v>280</v>
      </c>
      <c r="G375" s="69">
        <f>'All Email Performance'!H548</f>
        <v>26778</v>
      </c>
      <c r="H375" s="70">
        <f t="shared" si="103"/>
        <v>0.44269937838910195</v>
      </c>
      <c r="I375" s="69">
        <f>'All Email Performance'!J548</f>
        <v>1613</v>
      </c>
      <c r="J375" s="70">
        <f t="shared" si="107"/>
        <v>2.6666446237270203E-2</v>
      </c>
      <c r="K375" s="70">
        <f t="shared" si="108"/>
        <v>6.0236014638882666E-2</v>
      </c>
      <c r="L375" s="69">
        <f>'All Email Performance'!M548</f>
        <v>46</v>
      </c>
      <c r="M375" s="70">
        <f t="shared" si="106"/>
        <v>7.6048141780187808E-4</v>
      </c>
      <c r="N375" s="67" t="s">
        <v>31</v>
      </c>
    </row>
    <row r="376" spans="1:14" ht="24" customHeight="1" x14ac:dyDescent="0.3">
      <c r="A376" s="76" t="s">
        <v>302</v>
      </c>
      <c r="B376" s="67" t="s">
        <v>16</v>
      </c>
      <c r="C376" s="68">
        <v>45049</v>
      </c>
      <c r="D376" s="69">
        <f>SUM('All Email Performance'!E549:E550)</f>
        <v>16305</v>
      </c>
      <c r="E376" s="70">
        <f t="shared" si="102"/>
        <v>0.99349892670959827</v>
      </c>
      <c r="F376" s="69">
        <f>SUM('All Email Performance'!G549:G550)</f>
        <v>106</v>
      </c>
      <c r="G376" s="69">
        <f>SUM('All Email Performance'!H549:H550)</f>
        <v>6354</v>
      </c>
      <c r="H376" s="70">
        <f t="shared" si="103"/>
        <v>0.38969641214351425</v>
      </c>
      <c r="I376" s="69">
        <f>SUM('All Email Performance'!J549:J550)</f>
        <v>102</v>
      </c>
      <c r="J376" s="70">
        <f t="shared" si="107"/>
        <v>6.2557497700091993E-3</v>
      </c>
      <c r="K376" s="70">
        <f t="shared" si="108"/>
        <v>1.6052880075542966E-2</v>
      </c>
      <c r="L376" s="69">
        <f>SUM('All Email Performance'!M549:M550)</f>
        <v>14</v>
      </c>
      <c r="M376" s="70">
        <f t="shared" si="106"/>
        <v>8.5863232137381169E-4</v>
      </c>
      <c r="N376" s="67" t="s">
        <v>16</v>
      </c>
    </row>
    <row r="377" spans="1:14" ht="24" customHeight="1" x14ac:dyDescent="0.3">
      <c r="A377" s="76" t="s">
        <v>303</v>
      </c>
      <c r="B377" s="67" t="s">
        <v>16</v>
      </c>
      <c r="C377" s="68">
        <v>45049</v>
      </c>
      <c r="D377" s="69">
        <f>SUM('All Email Performance'!E551:E552)</f>
        <v>522072</v>
      </c>
      <c r="E377" s="70">
        <f t="shared" si="102"/>
        <v>0.99537803214882237</v>
      </c>
      <c r="F377" s="69">
        <f>SUM('All Email Performance'!G551:G552)</f>
        <v>2413</v>
      </c>
      <c r="G377" s="69">
        <f>SUM('All Email Performance'!H551:H552)</f>
        <v>226196</v>
      </c>
      <c r="H377" s="70">
        <f t="shared" si="103"/>
        <v>0.43326590968295559</v>
      </c>
      <c r="I377" s="69">
        <f>SUM('All Email Performance'!J551:J552)</f>
        <v>4951</v>
      </c>
      <c r="J377" s="70">
        <f t="shared" si="107"/>
        <v>9.4833662789806771E-3</v>
      </c>
      <c r="K377" s="70">
        <f t="shared" si="108"/>
        <v>2.1888097048577339E-2</v>
      </c>
      <c r="L377" s="69">
        <f>SUM('All Email Performance'!M551:M552)</f>
        <v>695</v>
      </c>
      <c r="M377" s="70">
        <f t="shared" si="106"/>
        <v>1.3312340060374814E-3</v>
      </c>
      <c r="N377" s="67" t="s">
        <v>16</v>
      </c>
    </row>
    <row r="378" spans="1:14" ht="24" customHeight="1" x14ac:dyDescent="0.3">
      <c r="A378" s="76" t="s">
        <v>304</v>
      </c>
      <c r="B378" s="67" t="s">
        <v>30</v>
      </c>
      <c r="C378" s="68">
        <v>45049</v>
      </c>
      <c r="D378" s="69">
        <f>'All Email Performance'!E553</f>
        <v>32024</v>
      </c>
      <c r="E378" s="70">
        <f t="shared" si="102"/>
        <v>0.99313015238571067</v>
      </c>
      <c r="F378" s="69">
        <f>'All Email Performance'!G553</f>
        <v>220</v>
      </c>
      <c r="G378" s="69">
        <f>'All Email Performance'!H553</f>
        <v>13089</v>
      </c>
      <c r="H378" s="70">
        <f t="shared" si="103"/>
        <v>0.40872470647014741</v>
      </c>
      <c r="I378" s="69">
        <f>'All Email Performance'!J553</f>
        <v>2663</v>
      </c>
      <c r="J378" s="70">
        <f t="shared" si="107"/>
        <v>8.3156382712965271E-2</v>
      </c>
      <c r="K378" s="70">
        <f t="shared" si="108"/>
        <v>0.20345328138131255</v>
      </c>
      <c r="L378" s="69">
        <f>'All Email Performance'!M553</f>
        <v>27</v>
      </c>
      <c r="M378" s="70">
        <f t="shared" si="106"/>
        <v>8.4311766175368473E-4</v>
      </c>
      <c r="N378" s="67" t="s">
        <v>31</v>
      </c>
    </row>
    <row r="379" spans="1:14" ht="24" customHeight="1" x14ac:dyDescent="0.3">
      <c r="A379" s="76" t="s">
        <v>305</v>
      </c>
      <c r="B379" s="67" t="s">
        <v>16</v>
      </c>
      <c r="C379" s="68">
        <v>45050</v>
      </c>
      <c r="D379" s="69">
        <f>SUM('All Email Performance'!E554:E555)</f>
        <v>351633</v>
      </c>
      <c r="E379" s="70">
        <f t="shared" si="102"/>
        <v>0.99441463116374174</v>
      </c>
      <c r="F379" s="69">
        <f>SUM('All Email Performance'!G554:G555)</f>
        <v>1964</v>
      </c>
      <c r="G379" s="69">
        <f>SUM('All Email Performance'!H554:H555)</f>
        <v>115291</v>
      </c>
      <c r="H379" s="70">
        <f t="shared" si="103"/>
        <v>0.32787309495980183</v>
      </c>
      <c r="I379" s="69">
        <f>SUM('All Email Performance'!J554:J555)</f>
        <v>1747</v>
      </c>
      <c r="J379" s="70">
        <f t="shared" si="107"/>
        <v>4.9682481450830842E-3</v>
      </c>
      <c r="K379" s="70">
        <f t="shared" si="108"/>
        <v>1.5152960768837117E-2</v>
      </c>
      <c r="L379" s="69">
        <f>SUM('All Email Performance'!M554:M555)</f>
        <v>515</v>
      </c>
      <c r="M379" s="70">
        <f t="shared" si="106"/>
        <v>1.4645951887337081E-3</v>
      </c>
      <c r="N379" s="67" t="s">
        <v>16</v>
      </c>
    </row>
    <row r="380" spans="1:14" ht="24" customHeight="1" x14ac:dyDescent="0.3">
      <c r="A380" s="76" t="s">
        <v>306</v>
      </c>
      <c r="B380" s="67" t="s">
        <v>16</v>
      </c>
      <c r="C380" s="68">
        <v>45050</v>
      </c>
      <c r="D380" s="69">
        <f>SUM('All Email Performance'!E556:E557)</f>
        <v>4814453</v>
      </c>
      <c r="E380" s="70">
        <f t="shared" si="102"/>
        <v>0.99547944491305662</v>
      </c>
      <c r="F380" s="69">
        <f>SUM('All Email Performance'!G556:G557)</f>
        <v>21764</v>
      </c>
      <c r="G380" s="69">
        <f>SUM('All Email Performance'!H556:H557)</f>
        <v>1681636</v>
      </c>
      <c r="H380" s="70">
        <f t="shared" si="103"/>
        <v>0.34928910927160367</v>
      </c>
      <c r="I380" s="69">
        <f>SUM('All Email Performance'!J556:J557)</f>
        <v>21416</v>
      </c>
      <c r="J380" s="70">
        <f t="shared" si="107"/>
        <v>4.4482727321255395E-3</v>
      </c>
      <c r="K380" s="70">
        <f t="shared" si="108"/>
        <v>1.2735217371654745E-2</v>
      </c>
      <c r="L380" s="69">
        <f>SUM('All Email Performance'!M556:M557)</f>
        <v>6670</v>
      </c>
      <c r="M380" s="70">
        <f t="shared" si="106"/>
        <v>1.3854118006760062E-3</v>
      </c>
      <c r="N380" s="67" t="s">
        <v>16</v>
      </c>
    </row>
    <row r="381" spans="1:14" ht="24" customHeight="1" x14ac:dyDescent="0.3">
      <c r="A381" s="66" t="s">
        <v>26</v>
      </c>
      <c r="B381" s="67" t="s">
        <v>23</v>
      </c>
      <c r="C381" s="68">
        <v>45050</v>
      </c>
      <c r="D381" s="69">
        <f>'All Email Performance'!E558</f>
        <v>1644</v>
      </c>
      <c r="E381" s="70">
        <f t="shared" si="102"/>
        <v>0.99817518248175185</v>
      </c>
      <c r="F381" s="69">
        <f>'All Email Performance'!G558</f>
        <v>3</v>
      </c>
      <c r="G381" s="69">
        <f>'All Email Performance'!H558</f>
        <v>579</v>
      </c>
      <c r="H381" s="70">
        <f t="shared" si="103"/>
        <v>0.3521897810218978</v>
      </c>
      <c r="I381" s="69">
        <f>'All Email Performance'!J558</f>
        <v>18</v>
      </c>
      <c r="J381" s="70">
        <f t="shared" si="107"/>
        <v>1.0948905109489052E-2</v>
      </c>
      <c r="K381" s="70">
        <f t="shared" si="108"/>
        <v>3.1088082901554404E-2</v>
      </c>
      <c r="L381" s="69">
        <f>'All Email Performance'!M558</f>
        <v>0</v>
      </c>
      <c r="M381" s="70">
        <f t="shared" si="106"/>
        <v>0</v>
      </c>
      <c r="N381" s="67" t="s">
        <v>23</v>
      </c>
    </row>
    <row r="382" spans="1:14" ht="24" customHeight="1" x14ac:dyDescent="0.3">
      <c r="A382" s="76" t="s">
        <v>307</v>
      </c>
      <c r="B382" s="67" t="s">
        <v>16</v>
      </c>
      <c r="C382" s="68">
        <v>45050</v>
      </c>
      <c r="D382" s="69">
        <f>'All Email Performance'!E559</f>
        <v>39627</v>
      </c>
      <c r="E382" s="70">
        <f t="shared" si="102"/>
        <v>0.99593711358417236</v>
      </c>
      <c r="F382" s="69">
        <f>'All Email Performance'!G559</f>
        <v>161</v>
      </c>
      <c r="G382" s="69">
        <f>'All Email Performance'!H559</f>
        <v>14780</v>
      </c>
      <c r="H382" s="70">
        <f t="shared" si="103"/>
        <v>0.37297802003684355</v>
      </c>
      <c r="I382" s="69">
        <f>'All Email Performance'!J559</f>
        <v>103</v>
      </c>
      <c r="J382" s="70">
        <f t="shared" si="107"/>
        <v>2.5992378933555405E-3</v>
      </c>
      <c r="K382" s="70">
        <f t="shared" si="108"/>
        <v>6.9688768606224628E-3</v>
      </c>
      <c r="L382" s="69">
        <f>'All Email Performance'!M559</f>
        <v>18</v>
      </c>
      <c r="M382" s="70">
        <f t="shared" si="106"/>
        <v>4.5423574835339541E-4</v>
      </c>
      <c r="N382" s="67" t="s">
        <v>16</v>
      </c>
    </row>
    <row r="383" spans="1:14" ht="24" customHeight="1" x14ac:dyDescent="0.3">
      <c r="A383" s="76" t="s">
        <v>308</v>
      </c>
      <c r="B383" s="67" t="s">
        <v>16</v>
      </c>
      <c r="C383" s="68">
        <v>45050</v>
      </c>
      <c r="D383" s="69">
        <f>'All Email Performance'!E560</f>
        <v>388622</v>
      </c>
      <c r="E383" s="70">
        <f t="shared" si="102"/>
        <v>0.99453196164910895</v>
      </c>
      <c r="F383" s="69">
        <f>'All Email Performance'!G560</f>
        <v>2125</v>
      </c>
      <c r="G383" s="69">
        <f>'All Email Performance'!H560</f>
        <v>136973</v>
      </c>
      <c r="H383" s="70">
        <f t="shared" si="103"/>
        <v>0.35245817272310881</v>
      </c>
      <c r="I383" s="69">
        <f>'All Email Performance'!J560</f>
        <v>1340</v>
      </c>
      <c r="J383" s="70">
        <f t="shared" si="107"/>
        <v>3.4480806542089744E-3</v>
      </c>
      <c r="K383" s="70">
        <f t="shared" si="108"/>
        <v>9.7829499244376627E-3</v>
      </c>
      <c r="L383" s="69">
        <f>'All Email Performance'!M560</f>
        <v>202</v>
      </c>
      <c r="M383" s="70">
        <f t="shared" si="106"/>
        <v>5.1978529264941255E-4</v>
      </c>
      <c r="N383" s="67" t="s">
        <v>16</v>
      </c>
    </row>
    <row r="384" spans="1:14" ht="24" customHeight="1" x14ac:dyDescent="0.3">
      <c r="A384" s="76" t="s">
        <v>309</v>
      </c>
      <c r="B384" s="67" t="s">
        <v>21</v>
      </c>
      <c r="C384" s="68">
        <v>45051</v>
      </c>
      <c r="D384" s="69">
        <f>SUM('All Email Performance'!E561:E562)</f>
        <v>408</v>
      </c>
      <c r="E384" s="70">
        <f t="shared" si="102"/>
        <v>0.99754901960784315</v>
      </c>
      <c r="F384" s="69">
        <f>SUM('All Email Performance'!G561:G562)</f>
        <v>1</v>
      </c>
      <c r="G384" s="69">
        <f>SUM('All Email Performance'!H561:H562)</f>
        <v>175</v>
      </c>
      <c r="H384" s="70">
        <f t="shared" si="103"/>
        <v>0.42892156862745096</v>
      </c>
      <c r="I384" s="69">
        <f>SUM('All Email Performance'!J561:J562)</f>
        <v>12</v>
      </c>
      <c r="J384" s="70">
        <f t="shared" si="107"/>
        <v>2.9411764705882353E-2</v>
      </c>
      <c r="K384" s="70">
        <f t="shared" si="108"/>
        <v>6.8571428571428575E-2</v>
      </c>
      <c r="L384" s="69">
        <f>SUM('All Email Performance'!M561:M562)</f>
        <v>0</v>
      </c>
      <c r="M384" s="70">
        <f t="shared" si="106"/>
        <v>0</v>
      </c>
      <c r="N384" s="67" t="s">
        <v>21</v>
      </c>
    </row>
    <row r="385" spans="1:14" ht="24" customHeight="1" x14ac:dyDescent="0.3">
      <c r="A385" s="76" t="s">
        <v>310</v>
      </c>
      <c r="B385" s="67" t="s">
        <v>21</v>
      </c>
      <c r="C385" s="68">
        <v>45051</v>
      </c>
      <c r="D385" s="69">
        <f>SUM('All Email Performance'!E563:E564)</f>
        <v>8138</v>
      </c>
      <c r="E385" s="70">
        <f t="shared" si="102"/>
        <v>0.99729663307938066</v>
      </c>
      <c r="F385" s="69">
        <f>SUM('All Email Performance'!G563:G564)</f>
        <v>22</v>
      </c>
      <c r="G385" s="69">
        <f>SUM('All Email Performance'!H563:H564)</f>
        <v>4824</v>
      </c>
      <c r="H385" s="70">
        <f t="shared" si="103"/>
        <v>0.59277463750307202</v>
      </c>
      <c r="I385" s="69">
        <f>SUM('All Email Performance'!J563:J564)</f>
        <v>472</v>
      </c>
      <c r="J385" s="70">
        <f t="shared" si="107"/>
        <v>5.7999508478741704E-2</v>
      </c>
      <c r="K385" s="70">
        <f t="shared" si="108"/>
        <v>9.7844112769485903E-2</v>
      </c>
      <c r="L385" s="69">
        <f>SUM('All Email Performance'!M563:M564)</f>
        <v>4</v>
      </c>
      <c r="M385" s="70">
        <f t="shared" si="106"/>
        <v>4.915212582944212E-4</v>
      </c>
      <c r="N385" s="67" t="s">
        <v>21</v>
      </c>
    </row>
    <row r="386" spans="1:14" ht="24" customHeight="1" x14ac:dyDescent="0.3">
      <c r="A386" s="66" t="s">
        <v>311</v>
      </c>
      <c r="B386" s="67" t="s">
        <v>16</v>
      </c>
      <c r="C386" s="68">
        <v>45051</v>
      </c>
      <c r="D386" s="69">
        <f>'All Email Performance'!E565</f>
        <v>208040</v>
      </c>
      <c r="E386" s="70">
        <f t="shared" si="102"/>
        <v>0.99474139588540667</v>
      </c>
      <c r="F386" s="69">
        <f>'All Email Performance'!G565</f>
        <v>1094</v>
      </c>
      <c r="G386" s="69">
        <f>'All Email Performance'!H565</f>
        <v>61907</v>
      </c>
      <c r="H386" s="70">
        <f t="shared" si="103"/>
        <v>0.29757258219573157</v>
      </c>
      <c r="I386" s="69">
        <f>'All Email Performance'!J565</f>
        <v>1132</v>
      </c>
      <c r="J386" s="70">
        <f t="shared" si="107"/>
        <v>5.4412612959046334E-3</v>
      </c>
      <c r="K386" s="70">
        <f t="shared" si="108"/>
        <v>1.8285492755261926E-2</v>
      </c>
      <c r="L386" s="69">
        <f>'All Email Performance'!M565</f>
        <v>407</v>
      </c>
      <c r="M386" s="70">
        <f t="shared" si="106"/>
        <v>1.9563545472024609E-3</v>
      </c>
      <c r="N386" s="67" t="s">
        <v>16</v>
      </c>
    </row>
    <row r="387" spans="1:14" ht="24" customHeight="1" x14ac:dyDescent="0.3">
      <c r="A387" s="66" t="s">
        <v>314</v>
      </c>
      <c r="B387" s="67" t="s">
        <v>16</v>
      </c>
      <c r="C387" s="68">
        <v>45051</v>
      </c>
      <c r="D387" s="69">
        <f>'All Email Performance'!E566</f>
        <v>105718</v>
      </c>
      <c r="E387" s="70">
        <f t="shared" si="102"/>
        <v>0.99290565466618741</v>
      </c>
      <c r="F387" s="69">
        <f>'All Email Performance'!G566</f>
        <v>750</v>
      </c>
      <c r="G387" s="69">
        <f>'All Email Performance'!H566</f>
        <v>31664</v>
      </c>
      <c r="H387" s="70">
        <f t="shared" si="103"/>
        <v>0.29951380086645607</v>
      </c>
      <c r="I387" s="69">
        <f>'All Email Performance'!J566</f>
        <v>620</v>
      </c>
      <c r="J387" s="70">
        <f t="shared" si="107"/>
        <v>5.8646588092850791E-3</v>
      </c>
      <c r="K387" s="70">
        <f t="shared" si="108"/>
        <v>1.9580596260737746E-2</v>
      </c>
      <c r="L387" s="69">
        <f>'All Email Performance'!M566</f>
        <v>42</v>
      </c>
      <c r="M387" s="70">
        <f t="shared" si="106"/>
        <v>3.9728333869350538E-4</v>
      </c>
      <c r="N387" s="67" t="s">
        <v>16</v>
      </c>
    </row>
    <row r="388" spans="1:14" ht="24" customHeight="1" x14ac:dyDescent="0.3">
      <c r="A388" s="66" t="s">
        <v>22</v>
      </c>
      <c r="B388" s="67" t="s">
        <v>16</v>
      </c>
      <c r="C388" s="68">
        <v>45051</v>
      </c>
      <c r="D388" s="69">
        <f>'All Email Performance'!E567</f>
        <v>1937286</v>
      </c>
      <c r="E388" s="70">
        <f t="shared" si="102"/>
        <v>0.99512100949472615</v>
      </c>
      <c r="F388" s="69">
        <f>'All Email Performance'!G567</f>
        <v>9452</v>
      </c>
      <c r="G388" s="69">
        <f>'All Email Performance'!H567</f>
        <v>660433</v>
      </c>
      <c r="H388" s="70">
        <f t="shared" si="103"/>
        <v>0.34090629881184298</v>
      </c>
      <c r="I388" s="69">
        <f>'All Email Performance'!J567</f>
        <v>10979</v>
      </c>
      <c r="J388" s="70">
        <f t="shared" si="107"/>
        <v>5.6672065972706151E-3</v>
      </c>
      <c r="K388" s="70">
        <f t="shared" si="108"/>
        <v>1.6623942171272485E-2</v>
      </c>
      <c r="L388" s="69">
        <f>'All Email Performance'!M567</f>
        <v>1432</v>
      </c>
      <c r="M388" s="70">
        <f t="shared" si="106"/>
        <v>7.3917841764200025E-4</v>
      </c>
      <c r="N388" s="67" t="s">
        <v>16</v>
      </c>
    </row>
    <row r="389" spans="1:14" ht="24" customHeight="1" x14ac:dyDescent="0.3">
      <c r="A389" s="66" t="s">
        <v>312</v>
      </c>
      <c r="B389" s="67" t="s">
        <v>16</v>
      </c>
      <c r="C389" s="68">
        <v>45051</v>
      </c>
      <c r="D389" s="69">
        <f>'All Email Performance'!E568</f>
        <v>2294957</v>
      </c>
      <c r="E389" s="70">
        <f t="shared" si="102"/>
        <v>0.99584436658290332</v>
      </c>
      <c r="F389" s="69">
        <f>'All Email Performance'!G568</f>
        <v>9537</v>
      </c>
      <c r="G389" s="69">
        <f>'All Email Performance'!H568</f>
        <v>756783</v>
      </c>
      <c r="H389" s="70">
        <f t="shared" si="103"/>
        <v>0.32975911966978033</v>
      </c>
      <c r="I389" s="69">
        <f>'All Email Performance'!J568</f>
        <v>11975</v>
      </c>
      <c r="J389" s="70">
        <f t="shared" si="107"/>
        <v>5.2179626894970146E-3</v>
      </c>
      <c r="K389" s="70">
        <f t="shared" si="108"/>
        <v>1.5823558404456761E-2</v>
      </c>
      <c r="L389" s="69">
        <f>'All Email Performance'!M568</f>
        <v>3699</v>
      </c>
      <c r="M389" s="70">
        <f t="shared" si="106"/>
        <v>1.6117949050897249E-3</v>
      </c>
      <c r="N389" s="67" t="s">
        <v>16</v>
      </c>
    </row>
    <row r="390" spans="1:14" ht="24" customHeight="1" x14ac:dyDescent="0.3">
      <c r="A390" s="66" t="s">
        <v>33</v>
      </c>
      <c r="B390" s="67" t="s">
        <v>21</v>
      </c>
      <c r="C390" s="68">
        <v>45051</v>
      </c>
      <c r="D390" s="69">
        <f>'All Email Performance'!E569</f>
        <v>234667</v>
      </c>
      <c r="E390" s="70">
        <f t="shared" si="102"/>
        <v>0.9958238695683671</v>
      </c>
      <c r="F390" s="69">
        <f>'All Email Performance'!G569</f>
        <v>980</v>
      </c>
      <c r="G390" s="69">
        <f>'All Email Performance'!H569</f>
        <v>103613</v>
      </c>
      <c r="H390" s="70">
        <f t="shared" si="103"/>
        <v>0.44153204327834761</v>
      </c>
      <c r="I390" s="69">
        <f>'All Email Performance'!J569</f>
        <v>2426</v>
      </c>
      <c r="J390" s="70">
        <f t="shared" si="107"/>
        <v>1.03380534970831E-2</v>
      </c>
      <c r="K390" s="70">
        <f t="shared" si="108"/>
        <v>2.3414050360476002E-2</v>
      </c>
      <c r="L390" s="69">
        <f>'All Email Performance'!M569</f>
        <v>200</v>
      </c>
      <c r="M390" s="70">
        <f t="shared" si="106"/>
        <v>8.522715166597775E-4</v>
      </c>
      <c r="N390" s="67" t="s">
        <v>21</v>
      </c>
    </row>
    <row r="391" spans="1:14" ht="24" customHeight="1" x14ac:dyDescent="0.3">
      <c r="A391" s="66" t="s">
        <v>19</v>
      </c>
      <c r="B391" s="67" t="s">
        <v>21</v>
      </c>
      <c r="C391" s="68">
        <v>45051</v>
      </c>
      <c r="D391" s="69">
        <f>'All Email Performance'!E570</f>
        <v>332694</v>
      </c>
      <c r="E391" s="70">
        <f t="shared" si="102"/>
        <v>0.99370893373490354</v>
      </c>
      <c r="F391" s="69">
        <f>'All Email Performance'!G570</f>
        <v>2093</v>
      </c>
      <c r="G391" s="69">
        <f>'All Email Performance'!H570</f>
        <v>118691</v>
      </c>
      <c r="H391" s="70">
        <f t="shared" si="103"/>
        <v>0.3567572604254961</v>
      </c>
      <c r="I391" s="69">
        <f>'All Email Performance'!J570</f>
        <v>2503</v>
      </c>
      <c r="J391" s="70">
        <f t="shared" si="107"/>
        <v>7.5234299386222779E-3</v>
      </c>
      <c r="K391" s="70">
        <f t="shared" si="108"/>
        <v>2.1088372328146195E-2</v>
      </c>
      <c r="L391" s="69">
        <f>'All Email Performance'!M570</f>
        <v>295</v>
      </c>
      <c r="M391" s="70">
        <f t="shared" si="106"/>
        <v>8.8670069192711622E-4</v>
      </c>
      <c r="N391" s="67" t="s">
        <v>21</v>
      </c>
    </row>
    <row r="392" spans="1:14" ht="24" customHeight="1" x14ac:dyDescent="0.3">
      <c r="A392" s="76" t="s">
        <v>36</v>
      </c>
      <c r="B392" s="67" t="s">
        <v>16</v>
      </c>
      <c r="C392" s="68">
        <v>45052</v>
      </c>
      <c r="D392" s="69">
        <f>SUM('All Email Performance'!E571:E572)</f>
        <v>3840</v>
      </c>
      <c r="E392" s="70">
        <f t="shared" si="102"/>
        <v>0.9955729166666667</v>
      </c>
      <c r="F392" s="69">
        <f>SUM('All Email Performance'!G571:G572)</f>
        <v>17</v>
      </c>
      <c r="G392" s="69">
        <f>SUM('All Email Performance'!H571:H572)</f>
        <v>1676</v>
      </c>
      <c r="H392" s="70">
        <f t="shared" si="103"/>
        <v>0.43645833333333334</v>
      </c>
      <c r="I392" s="69">
        <f>SUM('All Email Performance'!J571:J572)</f>
        <v>105</v>
      </c>
      <c r="J392" s="70">
        <f t="shared" si="107"/>
        <v>2.734375E-2</v>
      </c>
      <c r="K392" s="70">
        <f t="shared" si="108"/>
        <v>6.2649164677804292E-2</v>
      </c>
      <c r="L392" s="69">
        <f>SUM('All Email Performance'!M571:M572)</f>
        <v>5</v>
      </c>
      <c r="M392" s="70">
        <f t="shared" si="106"/>
        <v>1.3020833333333333E-3</v>
      </c>
      <c r="N392" s="67" t="s">
        <v>16</v>
      </c>
    </row>
    <row r="393" spans="1:14" ht="24" customHeight="1" x14ac:dyDescent="0.3">
      <c r="A393" s="76" t="s">
        <v>37</v>
      </c>
      <c r="B393" s="67" t="s">
        <v>16</v>
      </c>
      <c r="C393" s="68">
        <v>45052</v>
      </c>
      <c r="D393" s="69">
        <f>SUM('All Email Performance'!E573:E574)</f>
        <v>39283</v>
      </c>
      <c r="E393" s="70">
        <f t="shared" si="102"/>
        <v>0.99585062240663902</v>
      </c>
      <c r="F393" s="69">
        <f>SUM('All Email Performance'!G573:G574)</f>
        <v>163</v>
      </c>
      <c r="G393" s="69">
        <f>SUM('All Email Performance'!H573:H574)</f>
        <v>15578</v>
      </c>
      <c r="H393" s="70">
        <f t="shared" si="103"/>
        <v>0.39655830766489319</v>
      </c>
      <c r="I393" s="69">
        <f>SUM('All Email Performance'!J573:J574)</f>
        <v>706</v>
      </c>
      <c r="J393" s="70">
        <f t="shared" si="107"/>
        <v>1.7972150803146399E-2</v>
      </c>
      <c r="K393" s="70">
        <f t="shared" si="108"/>
        <v>4.532032353318783E-2</v>
      </c>
      <c r="L393" s="69">
        <f>SUM('All Email Performance'!M573:M574)</f>
        <v>45</v>
      </c>
      <c r="M393" s="70">
        <f t="shared" si="106"/>
        <v>1.1455336914186799E-3</v>
      </c>
      <c r="N393" s="67" t="s">
        <v>16</v>
      </c>
    </row>
    <row r="394" spans="1:14" ht="24" customHeight="1" x14ac:dyDescent="0.3">
      <c r="A394" s="76" t="s">
        <v>313</v>
      </c>
      <c r="B394" s="67" t="s">
        <v>27</v>
      </c>
      <c r="C394" s="68">
        <v>45052</v>
      </c>
      <c r="D394" s="69">
        <f>'All Email Performance'!E575</f>
        <v>161590</v>
      </c>
      <c r="E394" s="70">
        <f t="shared" si="102"/>
        <v>0.994616003465561</v>
      </c>
      <c r="F394" s="69">
        <f>'All Email Performance'!G575</f>
        <v>870</v>
      </c>
      <c r="G394" s="69">
        <f>'All Email Performance'!H575</f>
        <v>57413</v>
      </c>
      <c r="H394" s="70">
        <f t="shared" si="103"/>
        <v>0.35530045176062874</v>
      </c>
      <c r="I394" s="69">
        <f>'All Email Performance'!J575</f>
        <v>1096</v>
      </c>
      <c r="J394" s="70">
        <f t="shared" si="107"/>
        <v>6.782597933040411E-3</v>
      </c>
      <c r="K394" s="70">
        <f t="shared" si="108"/>
        <v>1.9089753191785831E-2</v>
      </c>
      <c r="L394" s="69">
        <f>'All Email Performance'!M575</f>
        <v>784</v>
      </c>
      <c r="M394" s="70">
        <f t="shared" si="106"/>
        <v>4.8517853827588341E-3</v>
      </c>
      <c r="N394" s="67" t="s">
        <v>27</v>
      </c>
    </row>
    <row r="395" spans="1:14" ht="24" customHeight="1" x14ac:dyDescent="0.3">
      <c r="A395" s="76" t="s">
        <v>315</v>
      </c>
      <c r="B395" s="67" t="s">
        <v>16</v>
      </c>
      <c r="C395" s="68">
        <v>45054</v>
      </c>
      <c r="D395" s="69">
        <f>'All Email Performance'!E576</f>
        <v>7040</v>
      </c>
      <c r="E395" s="70">
        <f t="shared" ref="E395:E458" si="109">(D395-F395)/D395</f>
        <v>0.9951704545454545</v>
      </c>
      <c r="F395" s="69">
        <f>'All Email Performance'!G576</f>
        <v>34</v>
      </c>
      <c r="G395" s="69">
        <f>'All Email Performance'!H576</f>
        <v>3298</v>
      </c>
      <c r="H395" s="70">
        <f t="shared" ref="H395:H458" si="110">G395/D395</f>
        <v>0.46846590909090907</v>
      </c>
      <c r="I395" s="69">
        <f>'All Email Performance'!J576</f>
        <v>821</v>
      </c>
      <c r="J395" s="70">
        <f t="shared" ref="J395:J413" si="111">I395/D395</f>
        <v>0.11661931818181819</v>
      </c>
      <c r="K395" s="70">
        <f t="shared" ref="K395:K413" si="112">I395/G395</f>
        <v>0.24893875075803518</v>
      </c>
      <c r="L395" s="69">
        <f>'All Email Performance'!M576</f>
        <v>2</v>
      </c>
      <c r="M395" s="70">
        <f t="shared" ref="M395:M458" si="113">L395/D395</f>
        <v>2.8409090909090908E-4</v>
      </c>
      <c r="N395" s="67" t="s">
        <v>16</v>
      </c>
    </row>
    <row r="396" spans="1:14" ht="24" customHeight="1" x14ac:dyDescent="0.3">
      <c r="A396" s="66" t="s">
        <v>29</v>
      </c>
      <c r="B396" s="67" t="s">
        <v>16</v>
      </c>
      <c r="C396" s="68">
        <v>45055</v>
      </c>
      <c r="D396" s="69">
        <f>SUM('All Email Performance'!E577:E578)</f>
        <v>53525</v>
      </c>
      <c r="E396" s="70">
        <f t="shared" si="109"/>
        <v>0.99342363381597387</v>
      </c>
      <c r="F396" s="69">
        <f>SUM('All Email Performance'!G577:G578)</f>
        <v>352</v>
      </c>
      <c r="G396" s="69">
        <f>SUM('All Email Performance'!H577:H578)</f>
        <v>18709</v>
      </c>
      <c r="H396" s="70">
        <f t="shared" si="110"/>
        <v>0.34953759925268568</v>
      </c>
      <c r="I396" s="69">
        <f>SUM('All Email Performance'!J577:J578)</f>
        <v>391</v>
      </c>
      <c r="J396" s="70">
        <f t="shared" si="111"/>
        <v>7.3049976646426904E-3</v>
      </c>
      <c r="K396" s="70">
        <f t="shared" si="112"/>
        <v>2.0899032551178576E-2</v>
      </c>
      <c r="L396" s="69">
        <f>SUM('All Email Performance'!M577:M578)</f>
        <v>37</v>
      </c>
      <c r="M396" s="70">
        <f t="shared" si="113"/>
        <v>6.912657636618403E-4</v>
      </c>
      <c r="N396" s="67" t="s">
        <v>16</v>
      </c>
    </row>
    <row r="397" spans="1:14" ht="24" customHeight="1" x14ac:dyDescent="0.3">
      <c r="A397" s="66" t="s">
        <v>17</v>
      </c>
      <c r="B397" s="67" t="s">
        <v>16</v>
      </c>
      <c r="C397" s="68">
        <v>45055</v>
      </c>
      <c r="D397" s="69">
        <f>SUM('All Email Performance'!E579:E580)</f>
        <v>691565</v>
      </c>
      <c r="E397" s="70">
        <f t="shared" si="109"/>
        <v>0.99514145452705094</v>
      </c>
      <c r="F397" s="69">
        <f>SUM('All Email Performance'!G579:G580)</f>
        <v>3360</v>
      </c>
      <c r="G397" s="69">
        <f>SUM('All Email Performance'!H579:H580)</f>
        <v>250507</v>
      </c>
      <c r="H397" s="70">
        <f t="shared" si="110"/>
        <v>0.36223203892620359</v>
      </c>
      <c r="I397" s="69">
        <f>SUM('All Email Performance'!J579:J580)</f>
        <v>3616</v>
      </c>
      <c r="J397" s="70">
        <f t="shared" si="111"/>
        <v>5.2287203661261052E-3</v>
      </c>
      <c r="K397" s="70">
        <f t="shared" si="112"/>
        <v>1.443472637491168E-2</v>
      </c>
      <c r="L397" s="69">
        <f>SUM('All Email Performance'!M579:M580)</f>
        <v>466</v>
      </c>
      <c r="M397" s="70">
        <f t="shared" si="113"/>
        <v>6.7383398523638411E-4</v>
      </c>
      <c r="N397" s="67" t="s">
        <v>16</v>
      </c>
    </row>
    <row r="398" spans="1:14" ht="24" customHeight="1" x14ac:dyDescent="0.3">
      <c r="A398" s="76" t="s">
        <v>316</v>
      </c>
      <c r="B398" s="67" t="s">
        <v>16</v>
      </c>
      <c r="C398" s="68">
        <v>45056</v>
      </c>
      <c r="D398" s="69">
        <f>SUM('All Email Performance'!E581:E582)</f>
        <v>351745</v>
      </c>
      <c r="E398" s="70">
        <f t="shared" si="109"/>
        <v>0.99433396352471248</v>
      </c>
      <c r="F398" s="69">
        <f>SUM('All Email Performance'!G581:G582)</f>
        <v>1993</v>
      </c>
      <c r="G398" s="69">
        <f>SUM('All Email Performance'!H581:H582)</f>
        <v>110798</v>
      </c>
      <c r="H398" s="70">
        <f t="shared" si="110"/>
        <v>0.31499523802754836</v>
      </c>
      <c r="I398" s="69">
        <f>SUM('All Email Performance'!J581:J582)</f>
        <v>1197</v>
      </c>
      <c r="J398" s="70">
        <f t="shared" si="111"/>
        <v>3.4030334475259067E-3</v>
      </c>
      <c r="K398" s="70">
        <f t="shared" si="112"/>
        <v>1.0803444105489269E-2</v>
      </c>
      <c r="L398" s="69">
        <f>SUM('All Email Performance'!M581:M582)</f>
        <v>547</v>
      </c>
      <c r="M398" s="70">
        <f t="shared" si="113"/>
        <v>1.5551038394291318E-3</v>
      </c>
      <c r="N398" s="67" t="s">
        <v>16</v>
      </c>
    </row>
    <row r="399" spans="1:14" ht="24" customHeight="1" x14ac:dyDescent="0.3">
      <c r="A399" s="76" t="s">
        <v>317</v>
      </c>
      <c r="B399" s="67" t="s">
        <v>16</v>
      </c>
      <c r="C399" s="68">
        <v>45056</v>
      </c>
      <c r="D399" s="69">
        <f>SUM('All Email Performance'!E583:E584)</f>
        <v>4830062</v>
      </c>
      <c r="E399" s="70">
        <f t="shared" si="109"/>
        <v>0.99552345290805788</v>
      </c>
      <c r="F399" s="69">
        <f>SUM('All Email Performance'!G583:G584)</f>
        <v>21622</v>
      </c>
      <c r="G399" s="69">
        <f>SUM('All Email Performance'!H583:H584)</f>
        <v>1673757</v>
      </c>
      <c r="H399" s="70">
        <f t="shared" si="110"/>
        <v>0.34652909217314393</v>
      </c>
      <c r="I399" s="69">
        <f>SUM('All Email Performance'!J583:J584)</f>
        <v>16457</v>
      </c>
      <c r="J399" s="70">
        <f t="shared" si="111"/>
        <v>3.4072026404630001E-3</v>
      </c>
      <c r="K399" s="70">
        <f t="shared" si="112"/>
        <v>9.8323711267525697E-3</v>
      </c>
      <c r="L399" s="69">
        <f>SUM('All Email Performance'!M583:M584)</f>
        <v>6412</v>
      </c>
      <c r="M399" s="70">
        <f t="shared" si="113"/>
        <v>1.3275191912650397E-3</v>
      </c>
      <c r="N399" s="67" t="s">
        <v>16</v>
      </c>
    </row>
    <row r="400" spans="1:14" ht="24" customHeight="1" x14ac:dyDescent="0.3">
      <c r="A400" s="76" t="s">
        <v>32</v>
      </c>
      <c r="B400" s="67" t="s">
        <v>23</v>
      </c>
      <c r="C400" s="68">
        <v>45056</v>
      </c>
      <c r="D400" s="69">
        <f>'All Email Performance'!E585</f>
        <v>257</v>
      </c>
      <c r="E400" s="70">
        <f t="shared" si="109"/>
        <v>1</v>
      </c>
      <c r="F400" s="69">
        <f>'All Email Performance'!G585</f>
        <v>0</v>
      </c>
      <c r="G400" s="69">
        <f>'All Email Performance'!H585</f>
        <v>96</v>
      </c>
      <c r="H400" s="70">
        <f t="shared" si="110"/>
        <v>0.37354085603112841</v>
      </c>
      <c r="I400" s="69">
        <f>'All Email Performance'!J585</f>
        <v>4</v>
      </c>
      <c r="J400" s="70">
        <f t="shared" si="111"/>
        <v>1.556420233463035E-2</v>
      </c>
      <c r="K400" s="70">
        <f t="shared" si="112"/>
        <v>4.1666666666666664E-2</v>
      </c>
      <c r="L400" s="69">
        <f>'All Email Performance'!M585</f>
        <v>0</v>
      </c>
      <c r="M400" s="70">
        <f t="shared" si="113"/>
        <v>0</v>
      </c>
      <c r="N400" s="67" t="s">
        <v>23</v>
      </c>
    </row>
    <row r="401" spans="1:14" ht="24" customHeight="1" x14ac:dyDescent="0.3">
      <c r="A401" s="76" t="s">
        <v>318</v>
      </c>
      <c r="B401" s="67" t="s">
        <v>16</v>
      </c>
      <c r="C401" s="68">
        <v>45057</v>
      </c>
      <c r="D401" s="69">
        <f>SUM('All Email Performance'!E586:E587)</f>
        <v>351564</v>
      </c>
      <c r="E401" s="70">
        <f t="shared" si="109"/>
        <v>0.99472926693290553</v>
      </c>
      <c r="F401" s="69">
        <f>SUM('All Email Performance'!G586:G587)</f>
        <v>1853</v>
      </c>
      <c r="G401" s="69">
        <f>SUM('All Email Performance'!H586:H587)</f>
        <v>107518</v>
      </c>
      <c r="H401" s="70">
        <f t="shared" si="110"/>
        <v>0.30582767291304003</v>
      </c>
      <c r="I401" s="69">
        <f>SUM('All Email Performance'!J586:J587)</f>
        <v>1142</v>
      </c>
      <c r="J401" s="70">
        <f t="shared" si="111"/>
        <v>3.2483416959643192E-3</v>
      </c>
      <c r="K401" s="70">
        <f t="shared" si="112"/>
        <v>1.062147733402779E-2</v>
      </c>
      <c r="L401" s="69">
        <f>SUM('All Email Performance'!M586:M587)</f>
        <v>546</v>
      </c>
      <c r="M401" s="70">
        <f t="shared" si="113"/>
        <v>1.5530600402771616E-3</v>
      </c>
      <c r="N401" s="67" t="s">
        <v>16</v>
      </c>
    </row>
    <row r="402" spans="1:14" ht="24" customHeight="1" x14ac:dyDescent="0.3">
      <c r="A402" s="76" t="s">
        <v>319</v>
      </c>
      <c r="B402" s="67" t="s">
        <v>16</v>
      </c>
      <c r="C402" s="68">
        <v>45057</v>
      </c>
      <c r="D402" s="69">
        <f>SUM('All Email Performance'!E588:E589)</f>
        <v>4834632</v>
      </c>
      <c r="E402" s="70">
        <f t="shared" si="109"/>
        <v>0.99573204330753617</v>
      </c>
      <c r="F402" s="69">
        <f>SUM('All Email Performance'!G588:G589)</f>
        <v>20634</v>
      </c>
      <c r="G402" s="69">
        <f>SUM('All Email Performance'!H588:H589)</f>
        <v>1735436</v>
      </c>
      <c r="H402" s="70">
        <f t="shared" si="110"/>
        <v>0.3589592754939776</v>
      </c>
      <c r="I402" s="69">
        <f>SUM('All Email Performance'!J588:J589)</f>
        <v>18913</v>
      </c>
      <c r="J402" s="70">
        <f t="shared" si="111"/>
        <v>3.9119833732950094E-3</v>
      </c>
      <c r="K402" s="70">
        <f t="shared" si="112"/>
        <v>1.0898125888825633E-2</v>
      </c>
      <c r="L402" s="69">
        <f>SUM('All Email Performance'!M588:M589)</f>
        <v>6418</v>
      </c>
      <c r="M402" s="70">
        <f t="shared" si="113"/>
        <v>1.3275053820021876E-3</v>
      </c>
      <c r="N402" s="67" t="s">
        <v>16</v>
      </c>
    </row>
    <row r="403" spans="1:14" ht="24" customHeight="1" x14ac:dyDescent="0.3">
      <c r="A403" s="76" t="s">
        <v>320</v>
      </c>
      <c r="B403" s="67" t="s">
        <v>102</v>
      </c>
      <c r="C403" s="68">
        <v>45057</v>
      </c>
      <c r="D403" s="69">
        <f>SUM('All Email Performance'!E590:E591)</f>
        <v>94972</v>
      </c>
      <c r="E403" s="70">
        <f t="shared" si="109"/>
        <v>0.99663058585688413</v>
      </c>
      <c r="F403" s="69">
        <f>SUM('All Email Performance'!G590:G591)</f>
        <v>320</v>
      </c>
      <c r="G403" s="69">
        <f>SUM('All Email Performance'!H590:H591)</f>
        <v>38779</v>
      </c>
      <c r="H403" s="70">
        <f t="shared" si="110"/>
        <v>0.40832034704965675</v>
      </c>
      <c r="I403" s="69">
        <f>SUM('All Email Performance'!J590:J591)</f>
        <v>570</v>
      </c>
      <c r="J403" s="70">
        <f t="shared" si="111"/>
        <v>6.0017689424251355E-3</v>
      </c>
      <c r="K403" s="70">
        <f t="shared" si="112"/>
        <v>1.4698677119059285E-2</v>
      </c>
      <c r="L403" s="69">
        <f>SUM('All Email Performance'!M590:M591)</f>
        <v>51</v>
      </c>
      <c r="M403" s="70">
        <f t="shared" si="113"/>
        <v>5.3700037905909112E-4</v>
      </c>
      <c r="N403" s="67" t="s">
        <v>102</v>
      </c>
    </row>
    <row r="404" spans="1:14" ht="24" customHeight="1" x14ac:dyDescent="0.3">
      <c r="A404" s="76" t="s">
        <v>321</v>
      </c>
      <c r="B404" s="67" t="s">
        <v>102</v>
      </c>
      <c r="C404" s="68">
        <v>45057</v>
      </c>
      <c r="D404" s="69">
        <f>SUM('All Email Performance'!E592:E593)</f>
        <v>4800</v>
      </c>
      <c r="E404" s="70">
        <f t="shared" si="109"/>
        <v>0.99520833333333336</v>
      </c>
      <c r="F404" s="69">
        <f>SUM('All Email Performance'!G592:G593)</f>
        <v>23</v>
      </c>
      <c r="G404" s="69">
        <f>SUM('All Email Performance'!H592:H593)</f>
        <v>1822</v>
      </c>
      <c r="H404" s="70">
        <f t="shared" si="110"/>
        <v>0.37958333333333333</v>
      </c>
      <c r="I404" s="69">
        <f>SUM('All Email Performance'!J592:J593)</f>
        <v>42</v>
      </c>
      <c r="J404" s="70">
        <f t="shared" si="111"/>
        <v>8.7500000000000008E-3</v>
      </c>
      <c r="K404" s="70">
        <f t="shared" si="112"/>
        <v>2.3051591657519209E-2</v>
      </c>
      <c r="L404" s="69">
        <f>SUM('All Email Performance'!M592:M593)</f>
        <v>3</v>
      </c>
      <c r="M404" s="70">
        <f t="shared" si="113"/>
        <v>6.2500000000000001E-4</v>
      </c>
      <c r="N404" s="67" t="s">
        <v>102</v>
      </c>
    </row>
    <row r="405" spans="1:14" ht="24" customHeight="1" x14ac:dyDescent="0.3">
      <c r="A405" s="66" t="s">
        <v>26</v>
      </c>
      <c r="B405" s="67" t="s">
        <v>23</v>
      </c>
      <c r="C405" s="68">
        <v>45057</v>
      </c>
      <c r="D405" s="69">
        <f>'All Email Performance'!E594</f>
        <v>1647</v>
      </c>
      <c r="E405" s="70">
        <f t="shared" si="109"/>
        <v>0.99696417729204612</v>
      </c>
      <c r="F405" s="69">
        <f>'All Email Performance'!G594</f>
        <v>5</v>
      </c>
      <c r="G405" s="69">
        <f>'All Email Performance'!H594</f>
        <v>571</v>
      </c>
      <c r="H405" s="70">
        <f t="shared" si="110"/>
        <v>0.34669095324833032</v>
      </c>
      <c r="I405" s="69">
        <f>'All Email Performance'!J594</f>
        <v>15</v>
      </c>
      <c r="J405" s="70">
        <f t="shared" si="111"/>
        <v>9.1074681238615673E-3</v>
      </c>
      <c r="K405" s="70">
        <f t="shared" si="112"/>
        <v>2.6269702276707531E-2</v>
      </c>
      <c r="L405" s="69">
        <f>'All Email Performance'!M594</f>
        <v>0</v>
      </c>
      <c r="M405" s="70">
        <f t="shared" si="113"/>
        <v>0</v>
      </c>
      <c r="N405" s="67" t="s">
        <v>23</v>
      </c>
    </row>
    <row r="406" spans="1:14" ht="24" customHeight="1" x14ac:dyDescent="0.3">
      <c r="A406" s="76" t="s">
        <v>322</v>
      </c>
      <c r="B406" s="67" t="s">
        <v>16</v>
      </c>
      <c r="C406" s="68">
        <v>45058</v>
      </c>
      <c r="D406" s="69">
        <f>SUM('All Email Performance'!E595:E596)</f>
        <v>26256</v>
      </c>
      <c r="E406" s="70">
        <f t="shared" si="109"/>
        <v>0.99459171237050581</v>
      </c>
      <c r="F406" s="69">
        <f>SUM('All Email Performance'!G595:G596)</f>
        <v>142</v>
      </c>
      <c r="G406" s="69">
        <f>SUM('All Email Performance'!H595:H596)</f>
        <v>9607</v>
      </c>
      <c r="H406" s="70">
        <f t="shared" si="110"/>
        <v>0.36589731870810482</v>
      </c>
      <c r="I406" s="69">
        <f>SUM('All Email Performance'!J595:J596)</f>
        <v>106</v>
      </c>
      <c r="J406" s="70">
        <f t="shared" si="111"/>
        <v>4.037172455819622E-3</v>
      </c>
      <c r="K406" s="70">
        <f t="shared" si="112"/>
        <v>1.1033621317789111E-2</v>
      </c>
      <c r="L406" s="69">
        <f>SUM('All Email Performance'!M595:M596)</f>
        <v>35</v>
      </c>
      <c r="M406" s="70">
        <f t="shared" si="113"/>
        <v>1.3330286410725167E-3</v>
      </c>
      <c r="N406" s="67" t="s">
        <v>16</v>
      </c>
    </row>
    <row r="407" spans="1:14" ht="24" customHeight="1" x14ac:dyDescent="0.3">
      <c r="A407" s="76" t="s">
        <v>323</v>
      </c>
      <c r="B407" s="67" t="s">
        <v>16</v>
      </c>
      <c r="C407" s="68">
        <v>45058</v>
      </c>
      <c r="D407" s="69">
        <f>SUM('All Email Performance'!E597:E598)</f>
        <v>331902</v>
      </c>
      <c r="E407" s="70">
        <f t="shared" si="109"/>
        <v>0.99551976185741575</v>
      </c>
      <c r="F407" s="69">
        <f>SUM('All Email Performance'!G597:G598)</f>
        <v>1487</v>
      </c>
      <c r="G407" s="69">
        <f>SUM('All Email Performance'!H597:H598)</f>
        <v>142250</v>
      </c>
      <c r="H407" s="70">
        <f t="shared" si="110"/>
        <v>0.4285903670360528</v>
      </c>
      <c r="I407" s="69">
        <f>SUM('All Email Performance'!J597:J598)</f>
        <v>1611</v>
      </c>
      <c r="J407" s="70">
        <f t="shared" si="111"/>
        <v>4.8538423992624327E-3</v>
      </c>
      <c r="K407" s="70">
        <f t="shared" si="112"/>
        <v>1.1325131810193321E-2</v>
      </c>
      <c r="L407" s="69">
        <f>SUM('All Email Performance'!M597:M598)</f>
        <v>414</v>
      </c>
      <c r="M407" s="70">
        <f t="shared" si="113"/>
        <v>1.2473561472964912E-3</v>
      </c>
      <c r="N407" s="67" t="s">
        <v>16</v>
      </c>
    </row>
    <row r="408" spans="1:14" ht="24" customHeight="1" x14ac:dyDescent="0.3">
      <c r="A408" s="66" t="s">
        <v>28</v>
      </c>
      <c r="B408" s="67" t="s">
        <v>16</v>
      </c>
      <c r="C408" s="68">
        <v>45058</v>
      </c>
      <c r="D408" s="69">
        <f>SUM('All Email Performance'!E599:E600)</f>
        <v>313121</v>
      </c>
      <c r="E408" s="70">
        <f t="shared" si="109"/>
        <v>0.99498596389255267</v>
      </c>
      <c r="F408" s="69">
        <f>SUM('All Email Performance'!G599:G600)</f>
        <v>1570</v>
      </c>
      <c r="G408" s="69">
        <f>SUM('All Email Performance'!H599:H600)</f>
        <v>92881</v>
      </c>
      <c r="H408" s="70">
        <f t="shared" si="110"/>
        <v>0.29662973738586679</v>
      </c>
      <c r="I408" s="69">
        <f>SUM('All Email Performance'!J599:J600)</f>
        <v>1415</v>
      </c>
      <c r="J408" s="70">
        <f t="shared" si="111"/>
        <v>4.5190198038457972E-3</v>
      </c>
      <c r="K408" s="70">
        <f t="shared" si="112"/>
        <v>1.5234547431659865E-2</v>
      </c>
      <c r="L408" s="69">
        <f>SUM('All Email Performance'!M599:M600)</f>
        <v>512</v>
      </c>
      <c r="M408" s="70">
        <f t="shared" si="113"/>
        <v>1.6351506286707055E-3</v>
      </c>
      <c r="N408" s="67" t="s">
        <v>16</v>
      </c>
    </row>
    <row r="409" spans="1:14" ht="24" customHeight="1" x14ac:dyDescent="0.3">
      <c r="A409" s="66" t="s">
        <v>22</v>
      </c>
      <c r="B409" s="67" t="s">
        <v>16</v>
      </c>
      <c r="C409" s="68">
        <v>45058</v>
      </c>
      <c r="D409" s="69">
        <f>SUM('All Email Performance'!E601:E602)</f>
        <v>4229144</v>
      </c>
      <c r="E409" s="70">
        <f t="shared" si="109"/>
        <v>0.99581641107514907</v>
      </c>
      <c r="F409" s="69">
        <f>SUM('All Email Performance'!G601:G602)</f>
        <v>17693</v>
      </c>
      <c r="G409" s="69">
        <f>SUM('All Email Performance'!H601:H602)</f>
        <v>1418919</v>
      </c>
      <c r="H409" s="70">
        <f t="shared" si="110"/>
        <v>0.33550973908668041</v>
      </c>
      <c r="I409" s="69">
        <f>SUM('All Email Performance'!J601:J602)</f>
        <v>17533</v>
      </c>
      <c r="J409" s="70">
        <f t="shared" si="111"/>
        <v>4.1457562097672717E-3</v>
      </c>
      <c r="K409" s="70">
        <f t="shared" si="112"/>
        <v>1.2356589770099633E-2</v>
      </c>
      <c r="L409" s="69">
        <f>SUM('All Email Performance'!M601:M602)</f>
        <v>5258</v>
      </c>
      <c r="M409" s="70">
        <f t="shared" si="113"/>
        <v>1.2432775994385625E-3</v>
      </c>
      <c r="N409" s="67" t="s">
        <v>16</v>
      </c>
    </row>
    <row r="410" spans="1:14" ht="24" customHeight="1" x14ac:dyDescent="0.3">
      <c r="A410" s="66" t="s">
        <v>33</v>
      </c>
      <c r="B410" s="67" t="s">
        <v>21</v>
      </c>
      <c r="C410" s="68">
        <v>45058</v>
      </c>
      <c r="D410" s="69">
        <f>'All Email Performance'!E603</f>
        <v>234031</v>
      </c>
      <c r="E410" s="70">
        <f t="shared" si="109"/>
        <v>0.99615008268135419</v>
      </c>
      <c r="F410" s="69">
        <f>'All Email Performance'!G603</f>
        <v>901</v>
      </c>
      <c r="G410" s="69">
        <f>'All Email Performance'!H603</f>
        <v>104160</v>
      </c>
      <c r="H410" s="70">
        <f t="shared" si="110"/>
        <v>0.445069242963539</v>
      </c>
      <c r="I410" s="69">
        <f>'All Email Performance'!J603</f>
        <v>1430</v>
      </c>
      <c r="J410" s="70">
        <f t="shared" si="111"/>
        <v>6.1103016267075733E-3</v>
      </c>
      <c r="K410" s="70">
        <f t="shared" si="112"/>
        <v>1.3728878648233488E-2</v>
      </c>
      <c r="L410" s="69">
        <f>'All Email Performance'!M603</f>
        <v>214</v>
      </c>
      <c r="M410" s="70">
        <f t="shared" si="113"/>
        <v>9.144087749058885E-4</v>
      </c>
      <c r="N410" s="67" t="s">
        <v>21</v>
      </c>
    </row>
    <row r="411" spans="1:14" ht="24" customHeight="1" x14ac:dyDescent="0.3">
      <c r="A411" s="66" t="s">
        <v>19</v>
      </c>
      <c r="B411" s="67" t="s">
        <v>21</v>
      </c>
      <c r="C411" s="68">
        <v>45058</v>
      </c>
      <c r="D411" s="69">
        <f>'All Email Performance'!E604</f>
        <v>332479</v>
      </c>
      <c r="E411" s="70">
        <f t="shared" si="109"/>
        <v>0.99393044372727302</v>
      </c>
      <c r="F411" s="69">
        <f>'All Email Performance'!G604</f>
        <v>2018</v>
      </c>
      <c r="G411" s="69">
        <f>'All Email Performance'!H604</f>
        <v>119256</v>
      </c>
      <c r="H411" s="70">
        <f t="shared" si="110"/>
        <v>0.35868731558985678</v>
      </c>
      <c r="I411" s="69">
        <f>'All Email Performance'!J604</f>
        <v>1813</v>
      </c>
      <c r="J411" s="70">
        <f t="shared" si="111"/>
        <v>5.4529759774301538E-3</v>
      </c>
      <c r="K411" s="70">
        <f t="shared" si="112"/>
        <v>1.5202589387536056E-2</v>
      </c>
      <c r="L411" s="69">
        <f>'All Email Performance'!M604</f>
        <v>282</v>
      </c>
      <c r="M411" s="70">
        <f t="shared" si="113"/>
        <v>8.4817386962785619E-4</v>
      </c>
      <c r="N411" s="67" t="s">
        <v>21</v>
      </c>
    </row>
    <row r="412" spans="1:14" ht="24" customHeight="1" x14ac:dyDescent="0.3">
      <c r="A412" s="66" t="s">
        <v>24</v>
      </c>
      <c r="B412" s="67" t="s">
        <v>21</v>
      </c>
      <c r="C412" s="68">
        <v>45059</v>
      </c>
      <c r="D412" s="69">
        <f>'All Email Performance'!E605</f>
        <v>14811</v>
      </c>
      <c r="E412" s="70">
        <f t="shared" si="109"/>
        <v>0.99520626561339542</v>
      </c>
      <c r="F412" s="69">
        <f>'All Email Performance'!G605</f>
        <v>71</v>
      </c>
      <c r="G412" s="69">
        <f>'All Email Performance'!H605</f>
        <v>3710</v>
      </c>
      <c r="H412" s="70">
        <f t="shared" si="110"/>
        <v>0.25048950104651946</v>
      </c>
      <c r="I412" s="69">
        <f>'All Email Performance'!J605</f>
        <v>105</v>
      </c>
      <c r="J412" s="70">
        <f t="shared" si="111"/>
        <v>7.0893255013165894E-3</v>
      </c>
      <c r="K412" s="70">
        <f t="shared" si="112"/>
        <v>2.8301886792452831E-2</v>
      </c>
      <c r="L412" s="69">
        <f>'All Email Performance'!M605</f>
        <v>12</v>
      </c>
      <c r="M412" s="70">
        <f t="shared" si="113"/>
        <v>8.1020862872189592E-4</v>
      </c>
      <c r="N412" s="67" t="s">
        <v>21</v>
      </c>
    </row>
    <row r="413" spans="1:14" ht="24" customHeight="1" x14ac:dyDescent="0.3">
      <c r="A413" s="76" t="s">
        <v>324</v>
      </c>
      <c r="B413" s="67" t="s">
        <v>30</v>
      </c>
      <c r="C413" s="68">
        <v>45059</v>
      </c>
      <c r="D413" s="69">
        <f>'All Email Performance'!E606</f>
        <v>26950</v>
      </c>
      <c r="E413" s="70">
        <f t="shared" si="109"/>
        <v>0.99491651205936915</v>
      </c>
      <c r="F413" s="69">
        <f>'All Email Performance'!G606</f>
        <v>137</v>
      </c>
      <c r="G413" s="69">
        <f>'All Email Performance'!H606</f>
        <v>12181</v>
      </c>
      <c r="H413" s="70">
        <f t="shared" si="110"/>
        <v>0.45198515769944342</v>
      </c>
      <c r="I413" s="69">
        <f>'All Email Performance'!J606</f>
        <v>1462</v>
      </c>
      <c r="J413" s="70">
        <f t="shared" si="111"/>
        <v>5.4248608534322819E-2</v>
      </c>
      <c r="K413" s="70">
        <f t="shared" si="112"/>
        <v>0.12002298661850423</v>
      </c>
      <c r="L413" s="69">
        <f>'All Email Performance'!M606</f>
        <v>11</v>
      </c>
      <c r="M413" s="70">
        <f t="shared" si="113"/>
        <v>4.0816326530612246E-4</v>
      </c>
      <c r="N413" s="67" t="s">
        <v>31</v>
      </c>
    </row>
    <row r="414" spans="1:14" ht="24" customHeight="1" x14ac:dyDescent="0.3">
      <c r="A414" s="76" t="s">
        <v>329</v>
      </c>
      <c r="B414" s="67" t="s">
        <v>16</v>
      </c>
      <c r="C414" s="68">
        <v>45061</v>
      </c>
      <c r="D414" s="69">
        <f>SUM('All Email Performance'!E607:E608)</f>
        <v>35676</v>
      </c>
      <c r="E414" s="70">
        <f t="shared" si="109"/>
        <v>0.99372126920058301</v>
      </c>
      <c r="F414" s="69">
        <f>SUM('All Email Performance'!G607:G608)</f>
        <v>224</v>
      </c>
      <c r="G414" s="69">
        <f>SUM('All Email Performance'!H607:H608)</f>
        <v>16287</v>
      </c>
      <c r="H414" s="70">
        <f t="shared" si="110"/>
        <v>0.4565253952236798</v>
      </c>
      <c r="I414" s="69">
        <f>SUM('All Email Performance'!J607:J608)</f>
        <v>907</v>
      </c>
      <c r="J414" s="70">
        <f t="shared" ref="J414:J438" si="114">I414/D414</f>
        <v>2.5423253727996413E-2</v>
      </c>
      <c r="K414" s="70">
        <f t="shared" ref="K414:K438" si="115">I414/G414</f>
        <v>5.5688585988825444E-2</v>
      </c>
      <c r="L414" s="69">
        <f>SUM('All Email Performance'!M607:M608)</f>
        <v>50</v>
      </c>
      <c r="M414" s="70">
        <f t="shared" si="113"/>
        <v>1.4015024105841461E-3</v>
      </c>
      <c r="N414" s="67" t="s">
        <v>16</v>
      </c>
    </row>
    <row r="415" spans="1:14" ht="24" customHeight="1" x14ac:dyDescent="0.3">
      <c r="A415" s="76" t="s">
        <v>343</v>
      </c>
      <c r="B415" s="67" t="s">
        <v>102</v>
      </c>
      <c r="C415" s="68">
        <v>45062</v>
      </c>
      <c r="D415" s="69">
        <f>'All Email Performance'!E609</f>
        <v>2430</v>
      </c>
      <c r="E415" s="70">
        <f t="shared" si="109"/>
        <v>0.99506172839506168</v>
      </c>
      <c r="F415" s="69">
        <f>'All Email Performance'!G609</f>
        <v>12</v>
      </c>
      <c r="G415" s="69">
        <f>'All Email Performance'!H609</f>
        <v>1480</v>
      </c>
      <c r="H415" s="70">
        <f t="shared" si="110"/>
        <v>0.60905349794238683</v>
      </c>
      <c r="I415" s="69">
        <f>'All Email Performance'!J609</f>
        <v>14</v>
      </c>
      <c r="J415" s="70">
        <f t="shared" si="114"/>
        <v>5.7613168724279839E-3</v>
      </c>
      <c r="K415" s="70">
        <f t="shared" si="115"/>
        <v>9.45945945945946E-3</v>
      </c>
      <c r="L415" s="69">
        <f>'All Email Performance'!M609</f>
        <v>0</v>
      </c>
      <c r="M415" s="70">
        <f t="shared" si="113"/>
        <v>0</v>
      </c>
      <c r="N415" s="67" t="s">
        <v>102</v>
      </c>
    </row>
    <row r="416" spans="1:14" ht="24" customHeight="1" x14ac:dyDescent="0.3">
      <c r="A416" s="76" t="s">
        <v>344</v>
      </c>
      <c r="B416" s="67" t="s">
        <v>102</v>
      </c>
      <c r="C416" s="68">
        <v>45062</v>
      </c>
      <c r="D416" s="69">
        <f>'All Email Performance'!E610</f>
        <v>73338</v>
      </c>
      <c r="E416" s="70">
        <f t="shared" si="109"/>
        <v>0.99614115465379471</v>
      </c>
      <c r="F416" s="69">
        <f>'All Email Performance'!G610</f>
        <v>283</v>
      </c>
      <c r="G416" s="69">
        <f>'All Email Performance'!H610</f>
        <v>44742</v>
      </c>
      <c r="H416" s="70">
        <f t="shared" si="110"/>
        <v>0.61007935858627182</v>
      </c>
      <c r="I416" s="69">
        <f>'All Email Performance'!J610</f>
        <v>243</v>
      </c>
      <c r="J416" s="70">
        <f t="shared" si="114"/>
        <v>3.3134255092857729E-3</v>
      </c>
      <c r="K416" s="70">
        <f t="shared" si="115"/>
        <v>5.4311385275579993E-3</v>
      </c>
      <c r="L416" s="69">
        <f>'All Email Performance'!M610</f>
        <v>26</v>
      </c>
      <c r="M416" s="70">
        <f t="shared" si="113"/>
        <v>3.5452289399765468E-4</v>
      </c>
      <c r="N416" s="67" t="s">
        <v>102</v>
      </c>
    </row>
    <row r="417" spans="1:14" ht="24" customHeight="1" x14ac:dyDescent="0.3">
      <c r="A417" s="66" t="s">
        <v>29</v>
      </c>
      <c r="B417" s="67" t="s">
        <v>16</v>
      </c>
      <c r="C417" s="68">
        <v>45062</v>
      </c>
      <c r="D417" s="69">
        <f>SUM('All Email Performance'!E611:E612)</f>
        <v>53736</v>
      </c>
      <c r="E417" s="70">
        <f t="shared" si="109"/>
        <v>0.99491960696739612</v>
      </c>
      <c r="F417" s="69">
        <f>SUM('All Email Performance'!G611:G612)</f>
        <v>273</v>
      </c>
      <c r="G417" s="69">
        <f>SUM('All Email Performance'!H611:H612)</f>
        <v>19464</v>
      </c>
      <c r="H417" s="70">
        <f t="shared" si="110"/>
        <v>0.36221527467619474</v>
      </c>
      <c r="I417" s="69">
        <f>SUM('All Email Performance'!J611:J612)</f>
        <v>653</v>
      </c>
      <c r="J417" s="70">
        <f t="shared" si="114"/>
        <v>1.215200238201578E-2</v>
      </c>
      <c r="K417" s="70">
        <f t="shared" si="115"/>
        <v>3.3549116317303743E-2</v>
      </c>
      <c r="L417" s="69">
        <f>SUM('All Email Performance'!M611:M612)</f>
        <v>38</v>
      </c>
      <c r="M417" s="70">
        <f t="shared" si="113"/>
        <v>7.0716093494119399E-4</v>
      </c>
      <c r="N417" s="67" t="s">
        <v>16</v>
      </c>
    </row>
    <row r="418" spans="1:14" ht="24" customHeight="1" x14ac:dyDescent="0.3">
      <c r="A418" s="66" t="s">
        <v>17</v>
      </c>
      <c r="B418" s="67" t="s">
        <v>16</v>
      </c>
      <c r="C418" s="68">
        <v>45062</v>
      </c>
      <c r="D418" s="69">
        <f>SUM('All Email Performance'!E613:E614)</f>
        <v>698728</v>
      </c>
      <c r="E418" s="70">
        <f t="shared" si="109"/>
        <v>0.99540307530254979</v>
      </c>
      <c r="F418" s="69">
        <f>SUM('All Email Performance'!G613:G614)</f>
        <v>3212</v>
      </c>
      <c r="G418" s="69">
        <f>SUM('All Email Performance'!H613:H614)</f>
        <v>259831</v>
      </c>
      <c r="H418" s="70">
        <f t="shared" si="110"/>
        <v>0.37186287081668401</v>
      </c>
      <c r="I418" s="69">
        <f>SUM('All Email Performance'!J613:J614)</f>
        <v>5100</v>
      </c>
      <c r="J418" s="70">
        <f t="shared" si="114"/>
        <v>7.2989775706712766E-3</v>
      </c>
      <c r="K418" s="70">
        <f t="shared" si="115"/>
        <v>1.9628142908274995E-2</v>
      </c>
      <c r="L418" s="69">
        <f>SUM('All Email Performance'!M613:M614)</f>
        <v>535</v>
      </c>
      <c r="M418" s="70">
        <f t="shared" si="113"/>
        <v>7.6567705888414374E-4</v>
      </c>
      <c r="N418" s="67" t="s">
        <v>16</v>
      </c>
    </row>
    <row r="419" spans="1:14" ht="24" customHeight="1" x14ac:dyDescent="0.3">
      <c r="A419" s="76" t="s">
        <v>330</v>
      </c>
      <c r="B419" s="67" t="s">
        <v>21</v>
      </c>
      <c r="C419" s="68">
        <v>45062</v>
      </c>
      <c r="D419" s="69">
        <f>SUM('All Email Performance'!E615:E616)</f>
        <v>111696</v>
      </c>
      <c r="E419" s="70">
        <f t="shared" si="109"/>
        <v>0.99546089385474856</v>
      </c>
      <c r="F419" s="69">
        <f>SUM('All Email Performance'!G615:G616)</f>
        <v>507</v>
      </c>
      <c r="G419" s="69">
        <f>SUM('All Email Performance'!H615:H616)</f>
        <v>34975</v>
      </c>
      <c r="H419" s="70">
        <f t="shared" si="110"/>
        <v>0.31312670104569545</v>
      </c>
      <c r="I419" s="69">
        <f>SUM('All Email Performance'!J615:J616)</f>
        <v>925</v>
      </c>
      <c r="J419" s="70">
        <f t="shared" si="114"/>
        <v>8.281406675261423E-3</v>
      </c>
      <c r="K419" s="70">
        <f t="shared" si="115"/>
        <v>2.6447462473195141E-2</v>
      </c>
      <c r="L419" s="69">
        <f>SUM('All Email Performance'!M615:M616)</f>
        <v>155</v>
      </c>
      <c r="M419" s="70">
        <f t="shared" si="113"/>
        <v>1.3876951726113737E-3</v>
      </c>
      <c r="N419" s="67" t="s">
        <v>21</v>
      </c>
    </row>
    <row r="420" spans="1:14" ht="24" customHeight="1" x14ac:dyDescent="0.3">
      <c r="A420" s="76" t="s">
        <v>331</v>
      </c>
      <c r="B420" s="67" t="s">
        <v>21</v>
      </c>
      <c r="C420" s="68">
        <v>45062</v>
      </c>
      <c r="D420" s="69">
        <f>SUM('All Email Performance'!E617:E618)</f>
        <v>1424348</v>
      </c>
      <c r="E420" s="70">
        <f t="shared" si="109"/>
        <v>0.99568714948874859</v>
      </c>
      <c r="F420" s="69">
        <f>SUM('All Email Performance'!G617:G618)</f>
        <v>6143</v>
      </c>
      <c r="G420" s="69">
        <f>SUM('All Email Performance'!H617:H618)</f>
        <v>657686</v>
      </c>
      <c r="H420" s="70">
        <f t="shared" si="110"/>
        <v>0.46174530381620221</v>
      </c>
      <c r="I420" s="69">
        <f>SUM('All Email Performance'!J617:J618)</f>
        <v>11558</v>
      </c>
      <c r="J420" s="70">
        <f t="shared" si="114"/>
        <v>8.1145899737985385E-3</v>
      </c>
      <c r="K420" s="70">
        <f t="shared" si="115"/>
        <v>1.7573735794893002E-2</v>
      </c>
      <c r="L420" s="69">
        <f>SUM('All Email Performance'!M617:M618)</f>
        <v>2131</v>
      </c>
      <c r="M420" s="70">
        <f t="shared" si="113"/>
        <v>1.4961231384465032E-3</v>
      </c>
      <c r="N420" s="67" t="s">
        <v>21</v>
      </c>
    </row>
    <row r="421" spans="1:14" ht="24" customHeight="1" x14ac:dyDescent="0.3">
      <c r="A421" s="76" t="s">
        <v>332</v>
      </c>
      <c r="B421" s="67" t="s">
        <v>16</v>
      </c>
      <c r="C421" s="68">
        <v>45063</v>
      </c>
      <c r="D421" s="69">
        <f>SUM('All Email Performance'!E619:E620)</f>
        <v>154677</v>
      </c>
      <c r="E421" s="70">
        <f t="shared" si="109"/>
        <v>0.99580415963588642</v>
      </c>
      <c r="F421" s="69">
        <f>SUM('All Email Performance'!G619:G620)</f>
        <v>649</v>
      </c>
      <c r="G421" s="69">
        <f>SUM('All Email Performance'!H619:H620)</f>
        <v>60923</v>
      </c>
      <c r="H421" s="70">
        <f t="shared" si="110"/>
        <v>0.39387239214621439</v>
      </c>
      <c r="I421" s="69">
        <f>SUM('All Email Performance'!J619:J620)</f>
        <v>1259</v>
      </c>
      <c r="J421" s="70">
        <f t="shared" si="114"/>
        <v>8.1395424012619851E-3</v>
      </c>
      <c r="K421" s="70">
        <f t="shared" si="115"/>
        <v>2.0665430133118855E-2</v>
      </c>
      <c r="L421" s="69">
        <f>SUM('All Email Performance'!M619:M620)</f>
        <v>100</v>
      </c>
      <c r="M421" s="70">
        <f t="shared" si="113"/>
        <v>6.4650853068006235E-4</v>
      </c>
      <c r="N421" s="67" t="s">
        <v>16</v>
      </c>
    </row>
    <row r="422" spans="1:14" ht="24" customHeight="1" x14ac:dyDescent="0.3">
      <c r="A422" s="76" t="s">
        <v>333</v>
      </c>
      <c r="B422" s="67" t="s">
        <v>16</v>
      </c>
      <c r="C422" s="68">
        <v>45064</v>
      </c>
      <c r="D422" s="69">
        <f>'All Email Performance'!E621</f>
        <v>717</v>
      </c>
      <c r="E422" s="70">
        <f t="shared" si="109"/>
        <v>0.99581589958159</v>
      </c>
      <c r="F422" s="69">
        <f>'All Email Performance'!G621</f>
        <v>3</v>
      </c>
      <c r="G422" s="69">
        <f>'All Email Performance'!H621</f>
        <v>246</v>
      </c>
      <c r="H422" s="70">
        <f t="shared" si="110"/>
        <v>0.34309623430962344</v>
      </c>
      <c r="I422" s="69">
        <f>'All Email Performance'!J621</f>
        <v>4</v>
      </c>
      <c r="J422" s="70">
        <f t="shared" si="114"/>
        <v>5.5788005578800556E-3</v>
      </c>
      <c r="K422" s="70">
        <f t="shared" si="115"/>
        <v>1.6260162601626018E-2</v>
      </c>
      <c r="L422" s="69">
        <f>'All Email Performance'!M621</f>
        <v>0</v>
      </c>
      <c r="M422" s="70">
        <f t="shared" si="113"/>
        <v>0</v>
      </c>
      <c r="N422" s="67" t="s">
        <v>16</v>
      </c>
    </row>
    <row r="423" spans="1:14" ht="24" customHeight="1" x14ac:dyDescent="0.3">
      <c r="A423" s="76" t="s">
        <v>334</v>
      </c>
      <c r="B423" s="67" t="s">
        <v>16</v>
      </c>
      <c r="C423" s="68">
        <v>45064</v>
      </c>
      <c r="D423" s="69">
        <f>'All Email Performance'!E622</f>
        <v>13286</v>
      </c>
      <c r="E423" s="70">
        <f t="shared" si="109"/>
        <v>0.99480656329971395</v>
      </c>
      <c r="F423" s="69">
        <f>'All Email Performance'!G622</f>
        <v>69</v>
      </c>
      <c r="G423" s="69">
        <f>'All Email Performance'!H622</f>
        <v>4642</v>
      </c>
      <c r="H423" s="70">
        <f t="shared" si="110"/>
        <v>0.34939033569170558</v>
      </c>
      <c r="I423" s="69">
        <f>'All Email Performance'!J622</f>
        <v>116</v>
      </c>
      <c r="J423" s="70">
        <f t="shared" si="114"/>
        <v>8.7309950323648956E-3</v>
      </c>
      <c r="K423" s="70">
        <f t="shared" si="115"/>
        <v>2.4989228780697974E-2</v>
      </c>
      <c r="L423" s="69">
        <f>'All Email Performance'!M622</f>
        <v>8</v>
      </c>
      <c r="M423" s="70">
        <f t="shared" si="113"/>
        <v>6.0213758843895835E-4</v>
      </c>
      <c r="N423" s="67" t="s">
        <v>16</v>
      </c>
    </row>
    <row r="424" spans="1:14" ht="24" customHeight="1" x14ac:dyDescent="0.3">
      <c r="A424" s="76" t="s">
        <v>335</v>
      </c>
      <c r="B424" s="67" t="s">
        <v>16</v>
      </c>
      <c r="C424" s="68">
        <v>45064</v>
      </c>
      <c r="D424" s="69">
        <f>'All Email Performance'!E623</f>
        <v>13364</v>
      </c>
      <c r="E424" s="70">
        <f t="shared" si="109"/>
        <v>0.99648308889554027</v>
      </c>
      <c r="F424" s="69">
        <f>'All Email Performance'!G623</f>
        <v>47</v>
      </c>
      <c r="G424" s="69">
        <f>'All Email Performance'!H623</f>
        <v>4940</v>
      </c>
      <c r="H424" s="70">
        <f t="shared" si="110"/>
        <v>0.36964980544747084</v>
      </c>
      <c r="I424" s="69">
        <f>'All Email Performance'!J623</f>
        <v>79</v>
      </c>
      <c r="J424" s="70">
        <f t="shared" si="114"/>
        <v>5.9114037713259501E-3</v>
      </c>
      <c r="K424" s="70">
        <f t="shared" si="115"/>
        <v>1.5991902834008098E-2</v>
      </c>
      <c r="L424" s="69">
        <f>'All Email Performance'!M623</f>
        <v>7</v>
      </c>
      <c r="M424" s="70">
        <f t="shared" si="113"/>
        <v>5.2379527087698292E-4</v>
      </c>
      <c r="N424" s="67" t="s">
        <v>16</v>
      </c>
    </row>
    <row r="425" spans="1:14" ht="24" customHeight="1" x14ac:dyDescent="0.3">
      <c r="A425" s="76" t="s">
        <v>336</v>
      </c>
      <c r="B425" s="67" t="s">
        <v>16</v>
      </c>
      <c r="C425" s="68">
        <v>45064</v>
      </c>
      <c r="D425" s="69">
        <f>'All Email Performance'!E624</f>
        <v>253984</v>
      </c>
      <c r="E425" s="70">
        <f t="shared" si="109"/>
        <v>0.99608243038931588</v>
      </c>
      <c r="F425" s="69">
        <f>'All Email Performance'!G624</f>
        <v>995</v>
      </c>
      <c r="G425" s="69">
        <f>'All Email Performance'!H624</f>
        <v>94016</v>
      </c>
      <c r="H425" s="70">
        <f t="shared" si="110"/>
        <v>0.37016504976691444</v>
      </c>
      <c r="I425" s="69">
        <f>'All Email Performance'!J624</f>
        <v>1518</v>
      </c>
      <c r="J425" s="70">
        <f t="shared" si="114"/>
        <v>5.9767544412246444E-3</v>
      </c>
      <c r="K425" s="70">
        <f t="shared" si="115"/>
        <v>1.6146187882913547E-2</v>
      </c>
      <c r="L425" s="69">
        <f>'All Email Performance'!M624</f>
        <v>125</v>
      </c>
      <c r="M425" s="70">
        <f t="shared" si="113"/>
        <v>4.921569862668515E-4</v>
      </c>
      <c r="N425" s="67" t="s">
        <v>16</v>
      </c>
    </row>
    <row r="426" spans="1:14" ht="24" customHeight="1" x14ac:dyDescent="0.3">
      <c r="A426" s="66" t="s">
        <v>26</v>
      </c>
      <c r="B426" s="67" t="s">
        <v>23</v>
      </c>
      <c r="C426" s="68">
        <v>45064</v>
      </c>
      <c r="D426" s="69">
        <f>'All Email Performance'!E625</f>
        <v>1648</v>
      </c>
      <c r="E426" s="70">
        <f t="shared" si="109"/>
        <v>0.99817961165048541</v>
      </c>
      <c r="F426" s="69">
        <f>'All Email Performance'!G625</f>
        <v>3</v>
      </c>
      <c r="G426" s="69">
        <f>'All Email Performance'!H625</f>
        <v>542</v>
      </c>
      <c r="H426" s="70">
        <f t="shared" si="110"/>
        <v>0.32888349514563109</v>
      </c>
      <c r="I426" s="69">
        <f>'All Email Performance'!J625</f>
        <v>20</v>
      </c>
      <c r="J426" s="70">
        <f t="shared" si="114"/>
        <v>1.2135922330097087E-2</v>
      </c>
      <c r="K426" s="70">
        <f t="shared" si="115"/>
        <v>3.6900369003690037E-2</v>
      </c>
      <c r="L426" s="69">
        <f>'All Email Performance'!M625</f>
        <v>0</v>
      </c>
      <c r="M426" s="70">
        <f t="shared" si="113"/>
        <v>0</v>
      </c>
      <c r="N426" s="67" t="s">
        <v>23</v>
      </c>
    </row>
    <row r="427" spans="1:14" ht="24" customHeight="1" x14ac:dyDescent="0.3">
      <c r="A427" s="76" t="s">
        <v>337</v>
      </c>
      <c r="B427" s="67" t="s">
        <v>102</v>
      </c>
      <c r="C427" s="68">
        <v>45064</v>
      </c>
      <c r="D427" s="69">
        <f>SUM('All Email Performance'!E626:E627)</f>
        <v>30803</v>
      </c>
      <c r="E427" s="70">
        <f t="shared" si="109"/>
        <v>0.99694834918676756</v>
      </c>
      <c r="F427" s="69">
        <f>SUM('All Email Performance'!G626:G627)</f>
        <v>94</v>
      </c>
      <c r="G427" s="69">
        <f>SUM('All Email Performance'!H626:H627)</f>
        <v>14963</v>
      </c>
      <c r="H427" s="70">
        <f t="shared" si="110"/>
        <v>0.48576437359997404</v>
      </c>
      <c r="I427" s="69">
        <f>SUM('All Email Performance'!J626:J627)</f>
        <v>2437</v>
      </c>
      <c r="J427" s="70">
        <f t="shared" si="114"/>
        <v>7.911567055156965E-2</v>
      </c>
      <c r="K427" s="70">
        <f t="shared" si="115"/>
        <v>0.16286840874156253</v>
      </c>
      <c r="L427" s="69">
        <f>SUM('All Email Performance'!M626:M627)</f>
        <v>14</v>
      </c>
      <c r="M427" s="70">
        <f t="shared" si="113"/>
        <v>4.5450118494951789E-4</v>
      </c>
      <c r="N427" s="67" t="s">
        <v>102</v>
      </c>
    </row>
    <row r="428" spans="1:14" ht="24" customHeight="1" x14ac:dyDescent="0.3">
      <c r="A428" s="76" t="s">
        <v>338</v>
      </c>
      <c r="B428" s="67" t="s">
        <v>16</v>
      </c>
      <c r="C428" s="68">
        <v>45065</v>
      </c>
      <c r="D428" s="69">
        <f>SUM('All Email Performance'!E628:E629)</f>
        <v>79292</v>
      </c>
      <c r="E428" s="70">
        <f t="shared" si="109"/>
        <v>0.99583816778489631</v>
      </c>
      <c r="F428" s="69">
        <f>SUM('All Email Performance'!G628:G629)</f>
        <v>330</v>
      </c>
      <c r="G428" s="69">
        <f>SUM('All Email Performance'!H628:H629)</f>
        <v>30473</v>
      </c>
      <c r="H428" s="70">
        <f t="shared" si="110"/>
        <v>0.38431367603289107</v>
      </c>
      <c r="I428" s="69">
        <f>SUM('All Email Performance'!J628:J629)</f>
        <v>288</v>
      </c>
      <c r="J428" s="70">
        <f t="shared" si="114"/>
        <v>3.6321444786359281E-3</v>
      </c>
      <c r="K428" s="70">
        <f t="shared" si="115"/>
        <v>9.45098940045286E-3</v>
      </c>
      <c r="L428" s="69">
        <f>SUM('All Email Performance'!M628:M629)</f>
        <v>63</v>
      </c>
      <c r="M428" s="70">
        <f t="shared" si="113"/>
        <v>7.9453160470160922E-4</v>
      </c>
      <c r="N428" s="67" t="s">
        <v>16</v>
      </c>
    </row>
    <row r="429" spans="1:14" ht="24" customHeight="1" x14ac:dyDescent="0.3">
      <c r="A429" s="76" t="s">
        <v>339</v>
      </c>
      <c r="B429" s="67" t="s">
        <v>16</v>
      </c>
      <c r="C429" s="68">
        <v>45065</v>
      </c>
      <c r="D429" s="69">
        <f>SUM('All Email Performance'!E630:E631)</f>
        <v>2509</v>
      </c>
      <c r="E429" s="70">
        <f t="shared" si="109"/>
        <v>0.99362295735352735</v>
      </c>
      <c r="F429" s="69">
        <f>SUM('All Email Performance'!G630:G631)</f>
        <v>16</v>
      </c>
      <c r="G429" s="69">
        <f>SUM('All Email Performance'!H630:H631)</f>
        <v>862</v>
      </c>
      <c r="H429" s="70">
        <f t="shared" si="110"/>
        <v>0.3435631725787166</v>
      </c>
      <c r="I429" s="69">
        <f>SUM('All Email Performance'!J630:J631)</f>
        <v>11</v>
      </c>
      <c r="J429" s="70">
        <f t="shared" si="114"/>
        <v>4.3842168194499799E-3</v>
      </c>
      <c r="K429" s="70">
        <f t="shared" si="115"/>
        <v>1.2761020881670533E-2</v>
      </c>
      <c r="L429" s="69">
        <f>SUM('All Email Performance'!M630:M631)</f>
        <v>1</v>
      </c>
      <c r="M429" s="70">
        <f t="shared" si="113"/>
        <v>3.9856516540454366E-4</v>
      </c>
      <c r="N429" s="67" t="s">
        <v>16</v>
      </c>
    </row>
    <row r="430" spans="1:14" ht="24" customHeight="1" x14ac:dyDescent="0.3">
      <c r="A430" s="66" t="s">
        <v>28</v>
      </c>
      <c r="B430" s="67" t="s">
        <v>16</v>
      </c>
      <c r="C430" s="68">
        <v>45065</v>
      </c>
      <c r="D430" s="69">
        <f>'All Email Performance'!E632</f>
        <v>207227</v>
      </c>
      <c r="E430" s="70">
        <f t="shared" si="109"/>
        <v>0.99592717165234257</v>
      </c>
      <c r="F430" s="69">
        <f>'All Email Performance'!G632</f>
        <v>844</v>
      </c>
      <c r="G430" s="69">
        <f>'All Email Performance'!H632</f>
        <v>58476</v>
      </c>
      <c r="H430" s="70">
        <f t="shared" si="110"/>
        <v>0.28218330622940063</v>
      </c>
      <c r="I430" s="69">
        <f>'All Email Performance'!J632</f>
        <v>1096</v>
      </c>
      <c r="J430" s="70">
        <f t="shared" si="114"/>
        <v>5.2888861007494197E-3</v>
      </c>
      <c r="K430" s="70">
        <f t="shared" si="115"/>
        <v>1.8742732061016485E-2</v>
      </c>
      <c r="L430" s="69">
        <f>'All Email Performance'!M632</f>
        <v>314</v>
      </c>
      <c r="M430" s="70">
        <f t="shared" si="113"/>
        <v>1.5152465653606915E-3</v>
      </c>
      <c r="N430" s="67" t="s">
        <v>16</v>
      </c>
    </row>
    <row r="431" spans="1:14" ht="24" customHeight="1" x14ac:dyDescent="0.3">
      <c r="A431" s="66" t="s">
        <v>340</v>
      </c>
      <c r="B431" s="67" t="s">
        <v>16</v>
      </c>
      <c r="C431" s="68">
        <v>45065</v>
      </c>
      <c r="D431" s="69">
        <f>'All Email Performance'!E633</f>
        <v>105851</v>
      </c>
      <c r="E431" s="70">
        <f t="shared" si="109"/>
        <v>0.99482291145100188</v>
      </c>
      <c r="F431" s="69">
        <f>'All Email Performance'!G633</f>
        <v>548</v>
      </c>
      <c r="G431" s="69">
        <f>'All Email Performance'!H633</f>
        <v>31394</v>
      </c>
      <c r="H431" s="70">
        <f t="shared" si="110"/>
        <v>0.29658671150957477</v>
      </c>
      <c r="I431" s="69">
        <f>'All Email Performance'!J633</f>
        <v>679</v>
      </c>
      <c r="J431" s="70">
        <f t="shared" si="114"/>
        <v>6.4146772349812468E-3</v>
      </c>
      <c r="K431" s="70">
        <f t="shared" si="115"/>
        <v>2.162833662483277E-2</v>
      </c>
      <c r="L431" s="69">
        <f>'All Email Performance'!M633</f>
        <v>41</v>
      </c>
      <c r="M431" s="70">
        <f t="shared" si="113"/>
        <v>3.8733691698708561E-4</v>
      </c>
      <c r="N431" s="67" t="s">
        <v>16</v>
      </c>
    </row>
    <row r="432" spans="1:14" ht="24" customHeight="1" x14ac:dyDescent="0.3">
      <c r="A432" s="66" t="s">
        <v>22</v>
      </c>
      <c r="B432" s="67" t="s">
        <v>16</v>
      </c>
      <c r="C432" s="68">
        <v>45065</v>
      </c>
      <c r="D432" s="69">
        <f>SUM('All Email Performance'!E634:E635)</f>
        <v>4280540</v>
      </c>
      <c r="E432" s="70">
        <f t="shared" si="109"/>
        <v>0.99571455937802245</v>
      </c>
      <c r="F432" s="69">
        <f>SUM('All Email Performance'!G634:G635)</f>
        <v>18344</v>
      </c>
      <c r="G432" s="69">
        <f>SUM('All Email Performance'!H634:H635)</f>
        <v>1390490</v>
      </c>
      <c r="H432" s="70">
        <f t="shared" si="110"/>
        <v>0.32483985665359977</v>
      </c>
      <c r="I432" s="69">
        <f>SUM('All Email Performance'!J634:J635)</f>
        <v>20173</v>
      </c>
      <c r="J432" s="70">
        <f t="shared" si="114"/>
        <v>4.7127231610964975E-3</v>
      </c>
      <c r="K432" s="70">
        <f t="shared" si="115"/>
        <v>1.4507835367388474E-2</v>
      </c>
      <c r="L432" s="69">
        <f>SUM('All Email Performance'!M634:M635)</f>
        <v>4572</v>
      </c>
      <c r="M432" s="70">
        <f t="shared" si="113"/>
        <v>1.0680895401047532E-3</v>
      </c>
      <c r="N432" s="67" t="s">
        <v>16</v>
      </c>
    </row>
    <row r="433" spans="1:14" ht="24" customHeight="1" x14ac:dyDescent="0.3">
      <c r="A433" s="66" t="s">
        <v>33</v>
      </c>
      <c r="B433" s="67" t="s">
        <v>21</v>
      </c>
      <c r="C433" s="68">
        <v>45065</v>
      </c>
      <c r="D433" s="69">
        <f>'All Email Performance'!E636</f>
        <v>233791</v>
      </c>
      <c r="E433" s="70">
        <f t="shared" si="109"/>
        <v>0.99679200653575206</v>
      </c>
      <c r="F433" s="69">
        <f>'All Email Performance'!G636</f>
        <v>750</v>
      </c>
      <c r="G433" s="69">
        <f>'All Email Performance'!H636</f>
        <v>102602</v>
      </c>
      <c r="H433" s="70">
        <f t="shared" si="110"/>
        <v>0.43886206055836197</v>
      </c>
      <c r="I433" s="69">
        <f>'All Email Performance'!J636</f>
        <v>2824</v>
      </c>
      <c r="J433" s="70">
        <f t="shared" si="114"/>
        <v>1.2079164724048403E-2</v>
      </c>
      <c r="K433" s="70">
        <f t="shared" si="115"/>
        <v>2.7523829944835383E-2</v>
      </c>
      <c r="L433" s="69">
        <f>'All Email Performance'!M636</f>
        <v>187</v>
      </c>
      <c r="M433" s="70">
        <f t="shared" si="113"/>
        <v>7.9985970375249691E-4</v>
      </c>
      <c r="N433" s="67" t="s">
        <v>21</v>
      </c>
    </row>
    <row r="434" spans="1:14" ht="24" customHeight="1" x14ac:dyDescent="0.3">
      <c r="A434" s="66" t="s">
        <v>19</v>
      </c>
      <c r="B434" s="67" t="s">
        <v>21</v>
      </c>
      <c r="C434" s="68">
        <v>45065</v>
      </c>
      <c r="D434" s="69">
        <f>'All Email Performance'!E637</f>
        <v>332248</v>
      </c>
      <c r="E434" s="70">
        <f t="shared" si="109"/>
        <v>0.99467867376176833</v>
      </c>
      <c r="F434" s="69">
        <f>'All Email Performance'!G637</f>
        <v>1768</v>
      </c>
      <c r="G434" s="69">
        <f>'All Email Performance'!H637</f>
        <v>117822</v>
      </c>
      <c r="H434" s="70">
        <f t="shared" si="110"/>
        <v>0.35462064481953237</v>
      </c>
      <c r="I434" s="69">
        <f>'All Email Performance'!J637</f>
        <v>2942</v>
      </c>
      <c r="J434" s="70">
        <f t="shared" si="114"/>
        <v>8.8548313308131274E-3</v>
      </c>
      <c r="K434" s="70">
        <f t="shared" si="115"/>
        <v>2.4969869803602045E-2</v>
      </c>
      <c r="L434" s="69">
        <f>'All Email Performance'!M637</f>
        <v>257</v>
      </c>
      <c r="M434" s="70">
        <f t="shared" si="113"/>
        <v>7.7351857648503522E-4</v>
      </c>
      <c r="N434" s="67" t="s">
        <v>21</v>
      </c>
    </row>
    <row r="435" spans="1:14" ht="24" customHeight="1" x14ac:dyDescent="0.3">
      <c r="A435" s="76" t="s">
        <v>341</v>
      </c>
      <c r="B435" s="67" t="s">
        <v>30</v>
      </c>
      <c r="C435" s="68">
        <v>45066</v>
      </c>
      <c r="D435" s="69">
        <f>'All Email Performance'!E638</f>
        <v>19839</v>
      </c>
      <c r="E435" s="70">
        <f t="shared" si="109"/>
        <v>0.99616916175210446</v>
      </c>
      <c r="F435" s="69">
        <f>'All Email Performance'!G638</f>
        <v>76</v>
      </c>
      <c r="G435" s="69">
        <f>'All Email Performance'!H638</f>
        <v>8789</v>
      </c>
      <c r="H435" s="70">
        <f t="shared" si="110"/>
        <v>0.44301628106255353</v>
      </c>
      <c r="I435" s="69">
        <f>'All Email Performance'!J638</f>
        <v>1247</v>
      </c>
      <c r="J435" s="70">
        <f t="shared" si="114"/>
        <v>6.2855990725338984E-2</v>
      </c>
      <c r="K435" s="70">
        <f t="shared" si="115"/>
        <v>0.141881897826829</v>
      </c>
      <c r="L435" s="69">
        <f>'All Email Performance'!M638</f>
        <v>21</v>
      </c>
      <c r="M435" s="70">
        <f t="shared" si="113"/>
        <v>1.0585210948132466E-3</v>
      </c>
      <c r="N435" s="67" t="s">
        <v>31</v>
      </c>
    </row>
    <row r="436" spans="1:14" ht="24" customHeight="1" x14ac:dyDescent="0.3">
      <c r="A436" s="76" t="s">
        <v>342</v>
      </c>
      <c r="B436" s="67" t="s">
        <v>30</v>
      </c>
      <c r="C436" s="68">
        <v>45066</v>
      </c>
      <c r="D436" s="69">
        <f>'All Email Performance'!E639</f>
        <v>6687</v>
      </c>
      <c r="E436" s="70">
        <f t="shared" si="109"/>
        <v>0.99581277104830268</v>
      </c>
      <c r="F436" s="69">
        <f>'All Email Performance'!G639</f>
        <v>28</v>
      </c>
      <c r="G436" s="69">
        <f>'All Email Performance'!H639</f>
        <v>2412</v>
      </c>
      <c r="H436" s="70">
        <f t="shared" si="110"/>
        <v>0.36069986541049798</v>
      </c>
      <c r="I436" s="69">
        <f>'All Email Performance'!J639</f>
        <v>502</v>
      </c>
      <c r="J436" s="70">
        <f t="shared" si="114"/>
        <v>7.5071033348287727E-2</v>
      </c>
      <c r="K436" s="70">
        <f t="shared" si="115"/>
        <v>0.20812603648424544</v>
      </c>
      <c r="L436" s="69">
        <f>'All Email Performance'!M639</f>
        <v>4</v>
      </c>
      <c r="M436" s="70">
        <f t="shared" si="113"/>
        <v>5.98175564528189E-4</v>
      </c>
      <c r="N436" s="67" t="s">
        <v>31</v>
      </c>
    </row>
    <row r="437" spans="1:14" ht="24" customHeight="1" x14ac:dyDescent="0.3">
      <c r="A437" s="76" t="s">
        <v>75</v>
      </c>
      <c r="B437" s="67" t="s">
        <v>16</v>
      </c>
      <c r="C437" s="68">
        <v>45066</v>
      </c>
      <c r="D437" s="69">
        <f>'All Email Performance'!E640</f>
        <v>28779</v>
      </c>
      <c r="E437" s="70">
        <f t="shared" si="109"/>
        <v>0.99530907953716252</v>
      </c>
      <c r="F437" s="69">
        <f>'All Email Performance'!G640</f>
        <v>135</v>
      </c>
      <c r="G437" s="69">
        <f>'All Email Performance'!H640</f>
        <v>8554</v>
      </c>
      <c r="H437" s="70">
        <f t="shared" si="110"/>
        <v>0.29723061954897667</v>
      </c>
      <c r="I437" s="69">
        <f>'All Email Performance'!J640</f>
        <v>273</v>
      </c>
      <c r="J437" s="70">
        <f t="shared" si="114"/>
        <v>9.4860836026269147E-3</v>
      </c>
      <c r="K437" s="70">
        <f t="shared" si="115"/>
        <v>3.1914893617021274E-2</v>
      </c>
      <c r="L437" s="69">
        <f>'All Email Performance'!M640</f>
        <v>11</v>
      </c>
      <c r="M437" s="70">
        <f t="shared" si="113"/>
        <v>3.8222314882379514E-4</v>
      </c>
      <c r="N437" s="67" t="s">
        <v>16</v>
      </c>
    </row>
    <row r="438" spans="1:14" ht="24" customHeight="1" x14ac:dyDescent="0.3">
      <c r="A438" s="76" t="s">
        <v>78</v>
      </c>
      <c r="B438" s="67" t="s">
        <v>16</v>
      </c>
      <c r="C438" s="68">
        <v>45066</v>
      </c>
      <c r="D438" s="69">
        <f>'All Email Performance'!E641</f>
        <v>449224</v>
      </c>
      <c r="E438" s="70">
        <f t="shared" si="109"/>
        <v>0.99554119993588941</v>
      </c>
      <c r="F438" s="69">
        <f>'All Email Performance'!G641</f>
        <v>2003</v>
      </c>
      <c r="G438" s="69">
        <f>'All Email Performance'!H641</f>
        <v>156660</v>
      </c>
      <c r="H438" s="70">
        <f t="shared" si="110"/>
        <v>0.34873470696133779</v>
      </c>
      <c r="I438" s="69">
        <f>'All Email Performance'!J641</f>
        <v>4322</v>
      </c>
      <c r="J438" s="70">
        <f t="shared" si="114"/>
        <v>9.6210353854647122E-3</v>
      </c>
      <c r="K438" s="70">
        <f t="shared" si="115"/>
        <v>2.758840801736244E-2</v>
      </c>
      <c r="L438" s="69">
        <f>'All Email Performance'!M641</f>
        <v>261</v>
      </c>
      <c r="M438" s="70">
        <f t="shared" si="113"/>
        <v>5.8100190550816524E-4</v>
      </c>
      <c r="N438" s="67" t="s">
        <v>16</v>
      </c>
    </row>
    <row r="439" spans="1:14" ht="24" customHeight="1" x14ac:dyDescent="0.3">
      <c r="A439" s="66" t="s">
        <v>253</v>
      </c>
      <c r="B439" s="67" t="s">
        <v>21</v>
      </c>
      <c r="C439" s="68">
        <v>45069</v>
      </c>
      <c r="D439" s="69">
        <f>SUM('All Email Performance'!E642:E643)</f>
        <v>1235516</v>
      </c>
      <c r="E439" s="70">
        <f t="shared" si="109"/>
        <v>0.9966135606499632</v>
      </c>
      <c r="F439" s="69">
        <f>SUM('All Email Performance'!G642:G643)</f>
        <v>4184</v>
      </c>
      <c r="G439" s="69">
        <f>SUM('All Email Performance'!H642:H643)</f>
        <v>623827</v>
      </c>
      <c r="H439" s="70">
        <f t="shared" si="110"/>
        <v>0.50491211769009869</v>
      </c>
      <c r="I439" s="69">
        <f>SUM('All Email Performance'!J642:J643)</f>
        <v>9157</v>
      </c>
      <c r="J439" s="70">
        <f t="shared" ref="J439:J478" si="116">I439/D439</f>
        <v>7.4114782811392161E-3</v>
      </c>
      <c r="K439" s="70">
        <f t="shared" ref="K439:K478" si="117">I439/G439</f>
        <v>1.4678749076266337E-2</v>
      </c>
      <c r="L439" s="69">
        <f>SUM('All Email Performance'!M642:M643)</f>
        <v>1696</v>
      </c>
      <c r="M439" s="70">
        <f t="shared" si="113"/>
        <v>1.3727058168408988E-3</v>
      </c>
      <c r="N439" s="67" t="s">
        <v>21</v>
      </c>
    </row>
    <row r="440" spans="1:14" ht="24" customHeight="1" x14ac:dyDescent="0.3">
      <c r="A440" s="66" t="s">
        <v>17</v>
      </c>
      <c r="B440" s="67" t="s">
        <v>16</v>
      </c>
      <c r="C440" s="68">
        <v>45069</v>
      </c>
      <c r="D440" s="69">
        <f>SUM('All Email Performance'!E644:E645)</f>
        <v>702748</v>
      </c>
      <c r="E440" s="70">
        <f t="shared" si="109"/>
        <v>0.99583634531866327</v>
      </c>
      <c r="F440" s="69">
        <f>SUM('All Email Performance'!G644:G645)</f>
        <v>2926</v>
      </c>
      <c r="G440" s="69">
        <f>SUM('All Email Performance'!H644:H645)</f>
        <v>258270</v>
      </c>
      <c r="H440" s="70">
        <f t="shared" si="110"/>
        <v>0.36751438638032408</v>
      </c>
      <c r="I440" s="69">
        <f>SUM('All Email Performance'!J644:J645)</f>
        <v>4343</v>
      </c>
      <c r="J440" s="70">
        <f t="shared" si="116"/>
        <v>6.1800247030229898E-3</v>
      </c>
      <c r="K440" s="70">
        <f t="shared" si="117"/>
        <v>1.6815735470631511E-2</v>
      </c>
      <c r="L440" s="69">
        <f>SUM('All Email Performance'!M644:M645)</f>
        <v>459</v>
      </c>
      <c r="M440" s="70">
        <f t="shared" si="113"/>
        <v>6.5315020462527107E-4</v>
      </c>
      <c r="N440" s="67" t="s">
        <v>16</v>
      </c>
    </row>
    <row r="441" spans="1:14" ht="24" customHeight="1" x14ac:dyDescent="0.3">
      <c r="A441" s="66" t="s">
        <v>29</v>
      </c>
      <c r="B441" s="67" t="s">
        <v>16</v>
      </c>
      <c r="C441" s="68">
        <v>45069</v>
      </c>
      <c r="D441" s="69">
        <f>SUM('All Email Performance'!E646:E647)</f>
        <v>53881</v>
      </c>
      <c r="E441" s="70">
        <f t="shared" si="109"/>
        <v>0.99508175423618717</v>
      </c>
      <c r="F441" s="69">
        <f>SUM('All Email Performance'!G646:G647)</f>
        <v>265</v>
      </c>
      <c r="G441" s="69">
        <f>SUM('All Email Performance'!H646:H647)</f>
        <v>18324</v>
      </c>
      <c r="H441" s="70">
        <f t="shared" si="110"/>
        <v>0.34008277500417589</v>
      </c>
      <c r="I441" s="69">
        <f>SUM('All Email Performance'!J646:J647)</f>
        <v>406</v>
      </c>
      <c r="J441" s="70">
        <f t="shared" si="116"/>
        <v>7.5351236985208144E-3</v>
      </c>
      <c r="K441" s="70">
        <f t="shared" si="117"/>
        <v>2.2156734337480898E-2</v>
      </c>
      <c r="L441" s="69">
        <f>SUM('All Email Performance'!M646:M647)</f>
        <v>34</v>
      </c>
      <c r="M441" s="70">
        <f t="shared" si="113"/>
        <v>6.3102021120617661E-4</v>
      </c>
      <c r="N441" s="67" t="s">
        <v>16</v>
      </c>
    </row>
    <row r="442" spans="1:14" ht="24" customHeight="1" x14ac:dyDescent="0.3">
      <c r="A442" s="66" t="s">
        <v>32</v>
      </c>
      <c r="B442" s="67" t="s">
        <v>23</v>
      </c>
      <c r="C442" s="68">
        <v>45070</v>
      </c>
      <c r="D442" s="69">
        <f>'All Email Performance'!E648</f>
        <v>261</v>
      </c>
      <c r="E442" s="70">
        <f t="shared" si="109"/>
        <v>1</v>
      </c>
      <c r="F442" s="69">
        <f>'All Email Performance'!G648</f>
        <v>0</v>
      </c>
      <c r="G442" s="69">
        <f>'All Email Performance'!H648</f>
        <v>78</v>
      </c>
      <c r="H442" s="70">
        <f t="shared" si="110"/>
        <v>0.2988505747126437</v>
      </c>
      <c r="I442" s="69">
        <f>'All Email Performance'!J648</f>
        <v>6</v>
      </c>
      <c r="J442" s="70">
        <f t="shared" si="116"/>
        <v>2.2988505747126436E-2</v>
      </c>
      <c r="K442" s="70">
        <f t="shared" si="117"/>
        <v>7.6923076923076927E-2</v>
      </c>
      <c r="L442" s="69">
        <f>'All Email Performance'!M648</f>
        <v>0</v>
      </c>
      <c r="M442" s="70">
        <f t="shared" si="113"/>
        <v>0</v>
      </c>
      <c r="N442" s="67" t="s">
        <v>23</v>
      </c>
    </row>
    <row r="443" spans="1:14" ht="24" customHeight="1" x14ac:dyDescent="0.3">
      <c r="A443" s="66" t="s">
        <v>26</v>
      </c>
      <c r="B443" s="67" t="s">
        <v>23</v>
      </c>
      <c r="C443" s="68">
        <v>45071</v>
      </c>
      <c r="D443" s="69">
        <f>'All Email Performance'!E649</f>
        <v>1647</v>
      </c>
      <c r="E443" s="70">
        <f t="shared" si="109"/>
        <v>0.99817850637522765</v>
      </c>
      <c r="F443" s="69">
        <f>'All Email Performance'!G649</f>
        <v>3</v>
      </c>
      <c r="G443" s="69">
        <f>'All Email Performance'!H649</f>
        <v>580</v>
      </c>
      <c r="H443" s="70">
        <f t="shared" si="110"/>
        <v>0.35215543412264722</v>
      </c>
      <c r="I443" s="69">
        <f>'All Email Performance'!J649</f>
        <v>18</v>
      </c>
      <c r="J443" s="70">
        <f t="shared" si="116"/>
        <v>1.092896174863388E-2</v>
      </c>
      <c r="K443" s="70">
        <f t="shared" si="117"/>
        <v>3.1034482758620689E-2</v>
      </c>
      <c r="L443" s="69">
        <f>'All Email Performance'!M649</f>
        <v>0</v>
      </c>
      <c r="M443" s="70">
        <f t="shared" si="113"/>
        <v>0</v>
      </c>
      <c r="N443" s="67" t="s">
        <v>23</v>
      </c>
    </row>
    <row r="444" spans="1:14" ht="24" customHeight="1" x14ac:dyDescent="0.3">
      <c r="A444" s="66" t="s">
        <v>345</v>
      </c>
      <c r="B444" s="67" t="s">
        <v>16</v>
      </c>
      <c r="C444" s="68">
        <v>45071</v>
      </c>
      <c r="D444" s="69">
        <f>SUM('All Email Performance'!E650:E651)</f>
        <v>4900859</v>
      </c>
      <c r="E444" s="70">
        <f t="shared" si="109"/>
        <v>0.99612965808647014</v>
      </c>
      <c r="F444" s="69">
        <f>SUM('All Email Performance'!G650:G651)</f>
        <v>18968</v>
      </c>
      <c r="G444" s="69">
        <f>SUM('All Email Performance'!H650:H651)</f>
        <v>1665451</v>
      </c>
      <c r="H444" s="70">
        <f t="shared" si="110"/>
        <v>0.33982838518716824</v>
      </c>
      <c r="I444" s="69">
        <f>SUM('All Email Performance'!J650:J651)</f>
        <v>16162</v>
      </c>
      <c r="J444" s="70">
        <f t="shared" si="116"/>
        <v>3.2977892242972099E-3</v>
      </c>
      <c r="K444" s="70">
        <f t="shared" si="117"/>
        <v>9.7042783005924522E-3</v>
      </c>
      <c r="L444" s="69">
        <f>SUM('All Email Performance'!M650:M651)</f>
        <v>6059</v>
      </c>
      <c r="M444" s="70">
        <f t="shared" si="113"/>
        <v>1.2363138788526664E-3</v>
      </c>
      <c r="N444" s="67" t="s">
        <v>16</v>
      </c>
    </row>
    <row r="445" spans="1:14" ht="24" customHeight="1" x14ac:dyDescent="0.3">
      <c r="A445" s="66" t="s">
        <v>346</v>
      </c>
      <c r="B445" s="67" t="s">
        <v>16</v>
      </c>
      <c r="C445" s="68">
        <v>45071</v>
      </c>
      <c r="D445" s="69">
        <f>SUM('All Email Performance'!E652:E653)</f>
        <v>352278</v>
      </c>
      <c r="E445" s="70">
        <f t="shared" si="109"/>
        <v>0.99591515791505569</v>
      </c>
      <c r="F445" s="69">
        <f>SUM('All Email Performance'!G652:G653)</f>
        <v>1439</v>
      </c>
      <c r="G445" s="69">
        <f>SUM('All Email Performance'!H652:H653)</f>
        <v>106277</v>
      </c>
      <c r="H445" s="70">
        <f t="shared" si="110"/>
        <v>0.30168503284337939</v>
      </c>
      <c r="I445" s="69">
        <f>SUM('All Email Performance'!J652:J653)</f>
        <v>1159</v>
      </c>
      <c r="J445" s="70">
        <f t="shared" si="116"/>
        <v>3.2900152720294769E-3</v>
      </c>
      <c r="K445" s="70">
        <f t="shared" si="117"/>
        <v>1.0905464023259972E-2</v>
      </c>
      <c r="L445" s="69">
        <f>SUM('All Email Performance'!M652:M653)</f>
        <v>592</v>
      </c>
      <c r="M445" s="70">
        <f t="shared" si="113"/>
        <v>1.6804909758770061E-3</v>
      </c>
      <c r="N445" s="67" t="s">
        <v>16</v>
      </c>
    </row>
    <row r="446" spans="1:14" ht="24" customHeight="1" x14ac:dyDescent="0.3">
      <c r="A446" s="66" t="s">
        <v>347</v>
      </c>
      <c r="B446" s="67" t="s">
        <v>16</v>
      </c>
      <c r="C446" s="68">
        <v>45071</v>
      </c>
      <c r="D446" s="69">
        <f>SUM('All Email Performance'!E654:E655)</f>
        <v>768129</v>
      </c>
      <c r="E446" s="70">
        <f t="shared" si="109"/>
        <v>0.99610351907036443</v>
      </c>
      <c r="F446" s="69">
        <f>SUM('All Email Performance'!G654:G655)</f>
        <v>2993</v>
      </c>
      <c r="G446" s="69">
        <f>SUM('All Email Performance'!H654:H655)</f>
        <v>275836</v>
      </c>
      <c r="H446" s="70">
        <f t="shared" si="110"/>
        <v>0.3591011405636293</v>
      </c>
      <c r="I446" s="69">
        <f>SUM('All Email Performance'!J654:J655)</f>
        <v>2398</v>
      </c>
      <c r="J446" s="70">
        <f t="shared" si="116"/>
        <v>3.1218714564871263E-3</v>
      </c>
      <c r="K446" s="70">
        <f t="shared" si="117"/>
        <v>8.6935715425107678E-3</v>
      </c>
      <c r="L446" s="69">
        <f>SUM('All Email Performance'!M654:M655)</f>
        <v>854</v>
      </c>
      <c r="M446" s="70">
        <f t="shared" si="113"/>
        <v>1.1117924202835722E-3</v>
      </c>
      <c r="N446" s="67" t="s">
        <v>16</v>
      </c>
    </row>
    <row r="447" spans="1:14" ht="24" customHeight="1" x14ac:dyDescent="0.3">
      <c r="A447" s="66" t="s">
        <v>22</v>
      </c>
      <c r="B447" s="67" t="s">
        <v>16</v>
      </c>
      <c r="C447" s="68">
        <v>45072</v>
      </c>
      <c r="D447" s="69">
        <f>SUM('All Email Performance'!E656:E657)</f>
        <v>4286157</v>
      </c>
      <c r="E447" s="70">
        <f t="shared" si="109"/>
        <v>0.99633564519451812</v>
      </c>
      <c r="F447" s="69">
        <f>SUM('All Email Performance'!G656:G657)</f>
        <v>15706</v>
      </c>
      <c r="G447" s="69">
        <f>SUM('All Email Performance'!H656:H657)</f>
        <v>1423714</v>
      </c>
      <c r="H447" s="70">
        <f t="shared" si="110"/>
        <v>0.33216562062472282</v>
      </c>
      <c r="I447" s="69">
        <f>SUM('All Email Performance'!J656:J657)</f>
        <v>16952</v>
      </c>
      <c r="J447" s="70">
        <f t="shared" si="116"/>
        <v>3.9550581091639904E-3</v>
      </c>
      <c r="K447" s="70">
        <f t="shared" si="117"/>
        <v>1.1906885793073609E-2</v>
      </c>
      <c r="L447" s="69">
        <f>SUM('All Email Performance'!M656:M657)</f>
        <v>5390</v>
      </c>
      <c r="M447" s="70">
        <f t="shared" si="113"/>
        <v>1.2575367631190366E-3</v>
      </c>
      <c r="N447" s="67" t="s">
        <v>16</v>
      </c>
    </row>
    <row r="448" spans="1:14" ht="24" customHeight="1" x14ac:dyDescent="0.3">
      <c r="A448" s="66" t="s">
        <v>28</v>
      </c>
      <c r="B448" s="67" t="s">
        <v>16</v>
      </c>
      <c r="C448" s="68">
        <v>45072</v>
      </c>
      <c r="D448" s="69">
        <f>SUM('All Email Performance'!E658:E659)</f>
        <v>313545</v>
      </c>
      <c r="E448" s="70">
        <f t="shared" si="109"/>
        <v>0.99612176880511571</v>
      </c>
      <c r="F448" s="69">
        <f>SUM('All Email Performance'!G658:G659)</f>
        <v>1216</v>
      </c>
      <c r="G448" s="69">
        <f>SUM('All Email Performance'!H658:H659)</f>
        <v>95900</v>
      </c>
      <c r="H448" s="70">
        <f t="shared" si="110"/>
        <v>0.30585721347812911</v>
      </c>
      <c r="I448" s="69">
        <f>SUM('All Email Performance'!J658:J659)</f>
        <v>1752</v>
      </c>
      <c r="J448" s="70">
        <f t="shared" si="116"/>
        <v>5.5877146821030474E-3</v>
      </c>
      <c r="K448" s="70">
        <f t="shared" si="117"/>
        <v>1.8269030239833159E-2</v>
      </c>
      <c r="L448" s="69">
        <f>SUM('All Email Performance'!M658:M659)</f>
        <v>483</v>
      </c>
      <c r="M448" s="70">
        <f t="shared" si="113"/>
        <v>1.5404487394153948E-3</v>
      </c>
      <c r="N448" s="67" t="s">
        <v>16</v>
      </c>
    </row>
    <row r="449" spans="1:14" ht="24" customHeight="1" x14ac:dyDescent="0.3">
      <c r="A449" s="66" t="s">
        <v>33</v>
      </c>
      <c r="B449" s="67" t="s">
        <v>21</v>
      </c>
      <c r="C449" s="68">
        <v>45072</v>
      </c>
      <c r="D449" s="69">
        <f>'All Email Performance'!E660</f>
        <v>234084</v>
      </c>
      <c r="E449" s="70">
        <f t="shared" si="109"/>
        <v>0.99713350762973973</v>
      </c>
      <c r="F449" s="69">
        <f>'All Email Performance'!G660</f>
        <v>671</v>
      </c>
      <c r="G449" s="69">
        <f>'All Email Performance'!H660</f>
        <v>104116</v>
      </c>
      <c r="H449" s="70">
        <f t="shared" si="110"/>
        <v>0.44478050614309395</v>
      </c>
      <c r="I449" s="69">
        <f>'All Email Performance'!J660</f>
        <v>1860</v>
      </c>
      <c r="J449" s="70">
        <f t="shared" si="116"/>
        <v>7.9458655867124615E-3</v>
      </c>
      <c r="K449" s="70">
        <f t="shared" si="117"/>
        <v>1.7864689384916824E-2</v>
      </c>
      <c r="L449" s="69">
        <f>'All Email Performance'!M660</f>
        <v>209</v>
      </c>
      <c r="M449" s="70">
        <f t="shared" si="113"/>
        <v>8.928418858187659E-4</v>
      </c>
      <c r="N449" s="67" t="s">
        <v>21</v>
      </c>
    </row>
    <row r="450" spans="1:14" ht="24" customHeight="1" x14ac:dyDescent="0.3">
      <c r="A450" s="66" t="s">
        <v>19</v>
      </c>
      <c r="B450" s="67" t="s">
        <v>21</v>
      </c>
      <c r="C450" s="68">
        <v>45072</v>
      </c>
      <c r="D450" s="69">
        <f>'All Email Performance'!E661</f>
        <v>332318</v>
      </c>
      <c r="E450" s="70">
        <f t="shared" si="109"/>
        <v>0.99514621537202319</v>
      </c>
      <c r="F450" s="69">
        <f>'All Email Performance'!G661</f>
        <v>1613</v>
      </c>
      <c r="G450" s="69">
        <f>'All Email Performance'!H661</f>
        <v>119992</v>
      </c>
      <c r="H450" s="70">
        <f t="shared" si="110"/>
        <v>0.36107583699950047</v>
      </c>
      <c r="I450" s="69">
        <f>'All Email Performance'!J661</f>
        <v>2391</v>
      </c>
      <c r="J450" s="70">
        <f t="shared" si="116"/>
        <v>7.1949157132625979E-3</v>
      </c>
      <c r="K450" s="70">
        <f t="shared" si="117"/>
        <v>1.9926328421894794E-2</v>
      </c>
      <c r="L450" s="69">
        <f>'All Email Performance'!M661</f>
        <v>279</v>
      </c>
      <c r="M450" s="70">
        <f t="shared" si="113"/>
        <v>8.3955729150993923E-4</v>
      </c>
      <c r="N450" s="67" t="s">
        <v>21</v>
      </c>
    </row>
    <row r="451" spans="1:14" ht="24" customHeight="1" x14ac:dyDescent="0.3">
      <c r="A451" s="66" t="s">
        <v>24</v>
      </c>
      <c r="B451" s="67" t="s">
        <v>21</v>
      </c>
      <c r="C451" s="68">
        <v>45073</v>
      </c>
      <c r="D451" s="69">
        <f>'All Email Performance'!E662</f>
        <v>14918</v>
      </c>
      <c r="E451" s="70">
        <f t="shared" si="109"/>
        <v>0.99597801313849044</v>
      </c>
      <c r="F451" s="69">
        <f>'All Email Performance'!G662</f>
        <v>60</v>
      </c>
      <c r="G451" s="69">
        <f>'All Email Performance'!H662</f>
        <v>4659</v>
      </c>
      <c r="H451" s="70">
        <f t="shared" si="110"/>
        <v>0.31230727979621931</v>
      </c>
      <c r="I451" s="69">
        <f>'All Email Performance'!J662</f>
        <v>206</v>
      </c>
      <c r="J451" s="70">
        <f t="shared" si="116"/>
        <v>1.3808821557849578E-2</v>
      </c>
      <c r="K451" s="70">
        <f t="shared" si="117"/>
        <v>4.4215496887744149E-2</v>
      </c>
      <c r="L451" s="69">
        <f>'All Email Performance'!M662</f>
        <v>11</v>
      </c>
      <c r="M451" s="70">
        <f t="shared" si="113"/>
        <v>7.3736425794342401E-4</v>
      </c>
      <c r="N451" s="67" t="s">
        <v>21</v>
      </c>
    </row>
    <row r="452" spans="1:14" ht="24" customHeight="1" x14ac:dyDescent="0.3">
      <c r="A452" s="66" t="s">
        <v>352</v>
      </c>
      <c r="B452" s="67" t="s">
        <v>21</v>
      </c>
      <c r="C452" s="68">
        <v>45075</v>
      </c>
      <c r="D452" s="69">
        <v>4907651</v>
      </c>
      <c r="E452" s="70">
        <f t="shared" si="109"/>
        <v>0.99637545538588623</v>
      </c>
      <c r="F452" s="69">
        <v>17788</v>
      </c>
      <c r="G452" s="69">
        <v>2275207</v>
      </c>
      <c r="H452" s="70">
        <f t="shared" si="110"/>
        <v>0.4636040745358625</v>
      </c>
      <c r="I452" s="69">
        <v>20689</v>
      </c>
      <c r="J452" s="70">
        <f t="shared" si="116"/>
        <v>4.2156624421744743E-3</v>
      </c>
      <c r="K452" s="70">
        <f t="shared" si="117"/>
        <v>9.0932385492836481E-3</v>
      </c>
      <c r="L452" s="69">
        <v>11193</v>
      </c>
      <c r="M452" s="70">
        <f t="shared" si="113"/>
        <v>2.280724525847498E-3</v>
      </c>
      <c r="N452" s="67" t="s">
        <v>21</v>
      </c>
    </row>
    <row r="453" spans="1:14" ht="24" customHeight="1" x14ac:dyDescent="0.3">
      <c r="A453" s="66" t="s">
        <v>360</v>
      </c>
      <c r="B453" s="67" t="s">
        <v>101</v>
      </c>
      <c r="C453" s="68">
        <v>45076</v>
      </c>
      <c r="D453" s="69">
        <v>287647</v>
      </c>
      <c r="E453" s="70">
        <f t="shared" si="109"/>
        <v>0.99646789293821947</v>
      </c>
      <c r="F453" s="69">
        <v>1016</v>
      </c>
      <c r="G453" s="69">
        <v>100465</v>
      </c>
      <c r="H453" s="70">
        <f t="shared" si="110"/>
        <v>0.34926489760018353</v>
      </c>
      <c r="I453" s="69">
        <v>424</v>
      </c>
      <c r="J453" s="70">
        <f t="shared" si="116"/>
        <v>1.4740289312942601E-3</v>
      </c>
      <c r="K453" s="70">
        <f t="shared" si="117"/>
        <v>4.2203752550639528E-3</v>
      </c>
      <c r="L453" s="69">
        <v>194</v>
      </c>
      <c r="M453" s="70">
        <f t="shared" si="113"/>
        <v>6.744377657336944E-4</v>
      </c>
      <c r="N453" s="67" t="s">
        <v>101</v>
      </c>
    </row>
    <row r="454" spans="1:14" ht="24" customHeight="1" x14ac:dyDescent="0.3">
      <c r="A454" s="66" t="s">
        <v>359</v>
      </c>
      <c r="B454" s="67" t="s">
        <v>101</v>
      </c>
      <c r="C454" s="68">
        <v>45076</v>
      </c>
      <c r="D454" s="69">
        <v>1310769</v>
      </c>
      <c r="E454" s="70">
        <f t="shared" si="109"/>
        <v>0.99621672468604305</v>
      </c>
      <c r="F454" s="69">
        <v>4959</v>
      </c>
      <c r="G454" s="69">
        <v>456523</v>
      </c>
      <c r="H454" s="70">
        <f t="shared" si="110"/>
        <v>0.3482863876091058</v>
      </c>
      <c r="I454" s="69">
        <v>5249</v>
      </c>
      <c r="J454" s="70">
        <f t="shared" si="116"/>
        <v>4.004519484363759E-3</v>
      </c>
      <c r="K454" s="70">
        <f t="shared" si="117"/>
        <v>1.1497777768042354E-2</v>
      </c>
      <c r="L454" s="69">
        <v>658</v>
      </c>
      <c r="M454" s="70">
        <f t="shared" si="113"/>
        <v>5.0199539354378998E-4</v>
      </c>
      <c r="N454" s="67" t="s">
        <v>101</v>
      </c>
    </row>
    <row r="455" spans="1:14" ht="24" customHeight="1" x14ac:dyDescent="0.3">
      <c r="A455" s="66" t="s">
        <v>361</v>
      </c>
      <c r="B455" s="67" t="s">
        <v>101</v>
      </c>
      <c r="C455" s="68">
        <v>45076</v>
      </c>
      <c r="D455" s="69">
        <v>450862</v>
      </c>
      <c r="E455" s="70">
        <f t="shared" si="109"/>
        <v>0.99622279100922229</v>
      </c>
      <c r="F455" s="69">
        <v>1703</v>
      </c>
      <c r="G455" s="69">
        <v>156226</v>
      </c>
      <c r="H455" s="70">
        <f t="shared" si="110"/>
        <v>0.34650513904476316</v>
      </c>
      <c r="I455" s="69">
        <v>569</v>
      </c>
      <c r="J455" s="70">
        <f t="shared" si="116"/>
        <v>1.2620269616867245E-3</v>
      </c>
      <c r="K455" s="70">
        <f t="shared" si="117"/>
        <v>3.6421594356893217E-3</v>
      </c>
      <c r="L455" s="69">
        <v>267</v>
      </c>
      <c r="M455" s="70">
        <f t="shared" si="113"/>
        <v>5.9219894335739095E-4</v>
      </c>
      <c r="N455" s="67" t="s">
        <v>101</v>
      </c>
    </row>
    <row r="456" spans="1:14" ht="24" customHeight="1" x14ac:dyDescent="0.3">
      <c r="A456" s="66" t="s">
        <v>17</v>
      </c>
      <c r="B456" s="67" t="s">
        <v>16</v>
      </c>
      <c r="C456" s="68">
        <v>45076</v>
      </c>
      <c r="D456" s="69">
        <v>706231</v>
      </c>
      <c r="E456" s="70">
        <f t="shared" si="109"/>
        <v>0.9963468043742062</v>
      </c>
      <c r="F456" s="69">
        <v>2580</v>
      </c>
      <c r="G456" s="69">
        <v>262360</v>
      </c>
      <c r="H456" s="70">
        <f t="shared" si="110"/>
        <v>0.37149317999351489</v>
      </c>
      <c r="I456" s="69">
        <v>3221</v>
      </c>
      <c r="J456" s="70">
        <f t="shared" si="116"/>
        <v>4.560830663055006E-3</v>
      </c>
      <c r="K456" s="70">
        <f t="shared" si="117"/>
        <v>1.2277023936575697E-2</v>
      </c>
      <c r="L456" s="69">
        <v>578</v>
      </c>
      <c r="M456" s="70">
        <f t="shared" si="113"/>
        <v>8.1842909756156274E-4</v>
      </c>
      <c r="N456" s="67" t="s">
        <v>16</v>
      </c>
    </row>
    <row r="457" spans="1:14" ht="24" customHeight="1" x14ac:dyDescent="0.3">
      <c r="A457" s="66" t="s">
        <v>29</v>
      </c>
      <c r="B457" s="67" t="s">
        <v>16</v>
      </c>
      <c r="C457" s="68">
        <v>45076</v>
      </c>
      <c r="D457" s="69">
        <v>53970</v>
      </c>
      <c r="E457" s="70">
        <f t="shared" si="109"/>
        <v>0.99577543079488606</v>
      </c>
      <c r="F457" s="69">
        <v>228</v>
      </c>
      <c r="G457" s="69">
        <v>18501</v>
      </c>
      <c r="H457" s="70">
        <f t="shared" si="110"/>
        <v>0.34280155642023347</v>
      </c>
      <c r="I457" s="69">
        <v>318</v>
      </c>
      <c r="J457" s="70">
        <f t="shared" si="116"/>
        <v>5.8921623123957753E-3</v>
      </c>
      <c r="K457" s="70">
        <f t="shared" si="117"/>
        <v>1.718826009404897E-2</v>
      </c>
      <c r="L457" s="69">
        <v>30</v>
      </c>
      <c r="M457" s="70">
        <f t="shared" si="113"/>
        <v>5.5586436909394106E-4</v>
      </c>
      <c r="N457" s="67" t="s">
        <v>16</v>
      </c>
    </row>
    <row r="458" spans="1:14" ht="24" customHeight="1" x14ac:dyDescent="0.3">
      <c r="A458" s="66" t="s">
        <v>353</v>
      </c>
      <c r="B458" s="67" t="s">
        <v>16</v>
      </c>
      <c r="C458" s="68">
        <v>45077</v>
      </c>
      <c r="D458" s="69">
        <v>258019</v>
      </c>
      <c r="E458" s="70">
        <f t="shared" si="109"/>
        <v>0.9964343711122049</v>
      </c>
      <c r="F458" s="69">
        <v>920</v>
      </c>
      <c r="G458" s="69">
        <v>100166</v>
      </c>
      <c r="H458" s="70">
        <f t="shared" si="110"/>
        <v>0.38821172084226357</v>
      </c>
      <c r="I458" s="69">
        <v>1345</v>
      </c>
      <c r="J458" s="70">
        <f t="shared" si="116"/>
        <v>5.2127944066134666E-3</v>
      </c>
      <c r="K458" s="70">
        <f t="shared" si="117"/>
        <v>1.342771000139768E-2</v>
      </c>
      <c r="L458" s="69">
        <v>294</v>
      </c>
      <c r="M458" s="70">
        <f t="shared" si="113"/>
        <v>1.1394509706649509E-3</v>
      </c>
      <c r="N458" s="67" t="s">
        <v>16</v>
      </c>
    </row>
    <row r="459" spans="1:14" ht="24" customHeight="1" x14ac:dyDescent="0.3">
      <c r="A459" s="66" t="s">
        <v>354</v>
      </c>
      <c r="B459" s="67" t="s">
        <v>16</v>
      </c>
      <c r="C459" s="68">
        <v>45077</v>
      </c>
      <c r="D459" s="69">
        <v>8297</v>
      </c>
      <c r="E459" s="70">
        <f t="shared" ref="E459:E478" si="118">(D459-F459)/D459</f>
        <v>0.99529950584548632</v>
      </c>
      <c r="F459" s="69">
        <v>39</v>
      </c>
      <c r="G459" s="69">
        <v>3122</v>
      </c>
      <c r="H459" s="70">
        <f t="shared" ref="H459:H478" si="119">G459/D459</f>
        <v>0.37628058334337711</v>
      </c>
      <c r="I459" s="69">
        <v>56</v>
      </c>
      <c r="J459" s="70">
        <f t="shared" si="116"/>
        <v>6.7494275039170788E-3</v>
      </c>
      <c r="K459" s="70">
        <f t="shared" si="117"/>
        <v>1.7937219730941704E-2</v>
      </c>
      <c r="L459" s="69">
        <v>1</v>
      </c>
      <c r="M459" s="70">
        <f t="shared" ref="M459:M478" si="120">L459/D459</f>
        <v>1.205254911413764E-4</v>
      </c>
      <c r="N459" s="67" t="s">
        <v>16</v>
      </c>
    </row>
    <row r="460" spans="1:14" ht="24" customHeight="1" x14ac:dyDescent="0.3">
      <c r="A460" s="66" t="s">
        <v>362</v>
      </c>
      <c r="B460" s="67" t="s">
        <v>16</v>
      </c>
      <c r="C460" s="68">
        <v>45077</v>
      </c>
      <c r="D460" s="69">
        <v>257961</v>
      </c>
      <c r="E460" s="70">
        <f t="shared" si="118"/>
        <v>0.99632502587600447</v>
      </c>
      <c r="F460" s="69">
        <v>948</v>
      </c>
      <c r="G460" s="69">
        <v>97125</v>
      </c>
      <c r="H460" s="70">
        <f t="shared" si="119"/>
        <v>0.37651040273529718</v>
      </c>
      <c r="I460" s="69">
        <v>1066</v>
      </c>
      <c r="J460" s="70">
        <f t="shared" si="116"/>
        <v>4.1324076120033649E-3</v>
      </c>
      <c r="K460" s="70">
        <f t="shared" si="117"/>
        <v>1.0975546975546976E-2</v>
      </c>
      <c r="L460" s="69">
        <v>274</v>
      </c>
      <c r="M460" s="70">
        <f t="shared" si="120"/>
        <v>1.0621760653742231E-3</v>
      </c>
      <c r="N460" s="67" t="s">
        <v>16</v>
      </c>
    </row>
    <row r="461" spans="1:14" ht="24" customHeight="1" x14ac:dyDescent="0.3">
      <c r="A461" s="66" t="s">
        <v>363</v>
      </c>
      <c r="B461" s="67" t="s">
        <v>16</v>
      </c>
      <c r="C461" s="68">
        <v>45077</v>
      </c>
      <c r="D461" s="69">
        <v>8311</v>
      </c>
      <c r="E461" s="70">
        <f t="shared" si="118"/>
        <v>0.99614968114546987</v>
      </c>
      <c r="F461" s="69">
        <v>32</v>
      </c>
      <c r="G461" s="69">
        <v>3266</v>
      </c>
      <c r="H461" s="70">
        <f t="shared" si="119"/>
        <v>0.39297316809048249</v>
      </c>
      <c r="I461" s="69">
        <v>45</v>
      </c>
      <c r="J461" s="70">
        <f t="shared" si="116"/>
        <v>5.4145108891830102E-3</v>
      </c>
      <c r="K461" s="70">
        <f t="shared" si="117"/>
        <v>1.3778322106552358E-2</v>
      </c>
      <c r="L461" s="69">
        <v>1</v>
      </c>
      <c r="M461" s="70">
        <f t="shared" si="120"/>
        <v>1.203224642040669E-4</v>
      </c>
      <c r="N461" s="67" t="s">
        <v>16</v>
      </c>
    </row>
    <row r="462" spans="1:14" ht="24" customHeight="1" x14ac:dyDescent="0.3">
      <c r="A462" s="66" t="s">
        <v>365</v>
      </c>
      <c r="B462" s="67" t="s">
        <v>16</v>
      </c>
      <c r="C462" s="68">
        <v>45077</v>
      </c>
      <c r="D462" s="69">
        <v>195664</v>
      </c>
      <c r="E462" s="70">
        <f t="shared" si="118"/>
        <v>0.99633555482868597</v>
      </c>
      <c r="F462" s="69">
        <v>717</v>
      </c>
      <c r="G462" s="69">
        <v>86760</v>
      </c>
      <c r="H462" s="70">
        <f t="shared" si="119"/>
        <v>0.44341319813557933</v>
      </c>
      <c r="I462" s="69">
        <v>1136</v>
      </c>
      <c r="J462" s="70">
        <f t="shared" si="116"/>
        <v>5.8058712895576086E-3</v>
      </c>
      <c r="K462" s="70">
        <f t="shared" si="117"/>
        <v>1.3093591516828032E-2</v>
      </c>
      <c r="L462" s="69">
        <v>151</v>
      </c>
      <c r="M462" s="70">
        <f t="shared" si="120"/>
        <v>7.7173113091830896E-4</v>
      </c>
      <c r="N462" s="67" t="s">
        <v>16</v>
      </c>
    </row>
    <row r="463" spans="1:14" ht="24" customHeight="1" x14ac:dyDescent="0.3">
      <c r="A463" s="66" t="s">
        <v>364</v>
      </c>
      <c r="B463" s="67" t="s">
        <v>16</v>
      </c>
      <c r="C463" s="68">
        <v>45077</v>
      </c>
      <c r="D463" s="69">
        <v>8820</v>
      </c>
      <c r="E463" s="70">
        <f t="shared" si="118"/>
        <v>0.99591836734693873</v>
      </c>
      <c r="F463" s="69">
        <v>36</v>
      </c>
      <c r="G463" s="69">
        <v>2854</v>
      </c>
      <c r="H463" s="70">
        <f t="shared" si="119"/>
        <v>0.3235827664399093</v>
      </c>
      <c r="I463" s="69">
        <v>48</v>
      </c>
      <c r="J463" s="70">
        <f t="shared" si="116"/>
        <v>5.4421768707482989E-3</v>
      </c>
      <c r="K463" s="70">
        <f t="shared" si="117"/>
        <v>1.6818500350385426E-2</v>
      </c>
      <c r="L463" s="69">
        <v>1</v>
      </c>
      <c r="M463" s="70">
        <f t="shared" si="120"/>
        <v>1.1337868480725624E-4</v>
      </c>
      <c r="N463" s="67" t="s">
        <v>16</v>
      </c>
    </row>
    <row r="464" spans="1:14" ht="24" customHeight="1" x14ac:dyDescent="0.3">
      <c r="A464" s="66" t="s">
        <v>366</v>
      </c>
      <c r="B464" s="67" t="s">
        <v>16</v>
      </c>
      <c r="C464" s="68">
        <v>45077</v>
      </c>
      <c r="D464" s="69">
        <v>195645</v>
      </c>
      <c r="E464" s="70">
        <f t="shared" si="118"/>
        <v>0.99621763909121108</v>
      </c>
      <c r="F464" s="69">
        <v>740</v>
      </c>
      <c r="G464" s="69">
        <v>72047</v>
      </c>
      <c r="H464" s="70">
        <f t="shared" si="119"/>
        <v>0.36825372485880037</v>
      </c>
      <c r="I464" s="69">
        <v>642</v>
      </c>
      <c r="J464" s="70">
        <f t="shared" si="116"/>
        <v>3.2814536533006212E-3</v>
      </c>
      <c r="K464" s="70">
        <f t="shared" si="117"/>
        <v>8.9108498618957078E-3</v>
      </c>
      <c r="L464" s="69">
        <v>129</v>
      </c>
      <c r="M464" s="70">
        <f t="shared" si="120"/>
        <v>6.5935750977535838E-4</v>
      </c>
      <c r="N464" s="67" t="s">
        <v>16</v>
      </c>
    </row>
    <row r="465" spans="1:14" ht="24" customHeight="1" x14ac:dyDescent="0.3">
      <c r="A465" s="66" t="s">
        <v>367</v>
      </c>
      <c r="B465" s="67" t="s">
        <v>16</v>
      </c>
      <c r="C465" s="68">
        <v>45077</v>
      </c>
      <c r="D465" s="69">
        <v>8822</v>
      </c>
      <c r="E465" s="70">
        <f t="shared" si="118"/>
        <v>0.99625935162094759</v>
      </c>
      <c r="F465" s="69">
        <v>33</v>
      </c>
      <c r="G465" s="69">
        <v>2924</v>
      </c>
      <c r="H465" s="70">
        <f t="shared" si="119"/>
        <v>0.33144411698027659</v>
      </c>
      <c r="I465" s="69">
        <v>40</v>
      </c>
      <c r="J465" s="70">
        <f t="shared" si="116"/>
        <v>4.534119247336205E-3</v>
      </c>
      <c r="K465" s="70">
        <f t="shared" si="117"/>
        <v>1.3679890560875513E-2</v>
      </c>
      <c r="L465" s="69">
        <v>2</v>
      </c>
      <c r="M465" s="70">
        <f t="shared" si="120"/>
        <v>2.2670596236681024E-4</v>
      </c>
      <c r="N465" s="67" t="s">
        <v>16</v>
      </c>
    </row>
    <row r="466" spans="1:14" ht="24" customHeight="1" x14ac:dyDescent="0.3">
      <c r="A466" s="66" t="s">
        <v>355</v>
      </c>
      <c r="B466" s="67" t="s">
        <v>16</v>
      </c>
      <c r="C466" s="68">
        <v>45078</v>
      </c>
      <c r="D466" s="69">
        <v>1729865</v>
      </c>
      <c r="E466" s="70">
        <f t="shared" si="118"/>
        <v>0.99661014009763771</v>
      </c>
      <c r="F466" s="69">
        <v>5864</v>
      </c>
      <c r="G466" s="69">
        <v>668533</v>
      </c>
      <c r="H466" s="70">
        <f t="shared" si="119"/>
        <v>0.38646541782162191</v>
      </c>
      <c r="I466" s="69">
        <v>7008</v>
      </c>
      <c r="J466" s="70">
        <f t="shared" si="116"/>
        <v>4.051183184815E-3</v>
      </c>
      <c r="K466" s="70">
        <f t="shared" si="117"/>
        <v>1.0482653810657066E-2</v>
      </c>
      <c r="L466" s="69">
        <v>1949</v>
      </c>
      <c r="M466" s="70">
        <f t="shared" si="120"/>
        <v>1.1266775152974364E-3</v>
      </c>
      <c r="N466" s="67" t="s">
        <v>16</v>
      </c>
    </row>
    <row r="467" spans="1:14" ht="24" customHeight="1" x14ac:dyDescent="0.3">
      <c r="A467" s="66" t="s">
        <v>356</v>
      </c>
      <c r="B467" s="67" t="s">
        <v>16</v>
      </c>
      <c r="C467" s="68">
        <v>45078</v>
      </c>
      <c r="D467" s="69">
        <v>106163</v>
      </c>
      <c r="E467" s="70">
        <f t="shared" si="118"/>
        <v>0.99612859470813753</v>
      </c>
      <c r="F467" s="69">
        <v>411</v>
      </c>
      <c r="G467" s="69">
        <v>31023</v>
      </c>
      <c r="H467" s="70">
        <f t="shared" si="119"/>
        <v>0.29222045345365144</v>
      </c>
      <c r="I467" s="69">
        <v>294</v>
      </c>
      <c r="J467" s="70">
        <f t="shared" si="116"/>
        <v>2.7693264131571265E-3</v>
      </c>
      <c r="K467" s="70">
        <f t="shared" si="117"/>
        <v>9.4768397640460304E-3</v>
      </c>
      <c r="L467" s="69">
        <v>95</v>
      </c>
      <c r="M467" s="70">
        <f t="shared" si="120"/>
        <v>8.9485037159839115E-4</v>
      </c>
      <c r="N467" s="67" t="s">
        <v>16</v>
      </c>
    </row>
    <row r="468" spans="1:14" ht="24" customHeight="1" x14ac:dyDescent="0.3">
      <c r="A468" s="66" t="s">
        <v>26</v>
      </c>
      <c r="B468" s="67" t="s">
        <v>23</v>
      </c>
      <c r="C468" s="68">
        <v>45078</v>
      </c>
      <c r="D468" s="69">
        <v>1642</v>
      </c>
      <c r="E468" s="70">
        <f t="shared" si="118"/>
        <v>0.99878197320341044</v>
      </c>
      <c r="F468" s="69">
        <v>2</v>
      </c>
      <c r="G468" s="69">
        <v>592</v>
      </c>
      <c r="H468" s="70">
        <f t="shared" si="119"/>
        <v>0.36053593179049936</v>
      </c>
      <c r="I468" s="69">
        <v>16</v>
      </c>
      <c r="J468" s="70">
        <f t="shared" si="116"/>
        <v>9.7442143727161992E-3</v>
      </c>
      <c r="K468" s="70">
        <f t="shared" si="117"/>
        <v>2.7027027027027029E-2</v>
      </c>
      <c r="L468" s="69">
        <v>0</v>
      </c>
      <c r="M468" s="70">
        <f t="shared" si="120"/>
        <v>0</v>
      </c>
      <c r="N468" s="67" t="s">
        <v>23</v>
      </c>
    </row>
    <row r="469" spans="1:14" ht="24" customHeight="1" x14ac:dyDescent="0.3">
      <c r="A469" s="66" t="s">
        <v>35</v>
      </c>
      <c r="B469" s="67" t="s">
        <v>30</v>
      </c>
      <c r="C469" s="68">
        <v>45078</v>
      </c>
      <c r="D469" s="69">
        <v>85165</v>
      </c>
      <c r="E469" s="70">
        <f t="shared" si="118"/>
        <v>0.97362766394645683</v>
      </c>
      <c r="F469" s="69">
        <v>2246</v>
      </c>
      <c r="G469" s="69">
        <v>36569</v>
      </c>
      <c r="H469" s="70">
        <f t="shared" si="119"/>
        <v>0.42939000763224328</v>
      </c>
      <c r="I469" s="69">
        <v>3507</v>
      </c>
      <c r="J469" s="70">
        <f t="shared" si="116"/>
        <v>4.1178888040861859E-2</v>
      </c>
      <c r="K469" s="70">
        <f t="shared" si="117"/>
        <v>9.5900899669118647E-2</v>
      </c>
      <c r="L469" s="69">
        <v>300</v>
      </c>
      <c r="M469" s="70">
        <f t="shared" si="120"/>
        <v>3.5225738272764632E-3</v>
      </c>
      <c r="N469" s="67" t="s">
        <v>31</v>
      </c>
    </row>
    <row r="470" spans="1:14" ht="24" customHeight="1" x14ac:dyDescent="0.3">
      <c r="A470" s="66" t="s">
        <v>34</v>
      </c>
      <c r="B470" s="67" t="s">
        <v>30</v>
      </c>
      <c r="C470" s="68">
        <v>45078</v>
      </c>
      <c r="D470" s="69">
        <v>9428</v>
      </c>
      <c r="E470" s="70">
        <f t="shared" si="118"/>
        <v>0.98016546457361053</v>
      </c>
      <c r="F470" s="69">
        <v>187</v>
      </c>
      <c r="G470" s="69">
        <v>3260</v>
      </c>
      <c r="H470" s="70">
        <f t="shared" si="119"/>
        <v>0.3457785320322444</v>
      </c>
      <c r="I470" s="69">
        <v>431</v>
      </c>
      <c r="J470" s="70">
        <f t="shared" si="116"/>
        <v>4.5714891811624948E-2</v>
      </c>
      <c r="K470" s="70">
        <f t="shared" si="117"/>
        <v>0.1322085889570552</v>
      </c>
      <c r="L470" s="69">
        <v>23</v>
      </c>
      <c r="M470" s="70">
        <f t="shared" si="120"/>
        <v>2.43954179041154E-3</v>
      </c>
      <c r="N470" s="67" t="s">
        <v>31</v>
      </c>
    </row>
    <row r="471" spans="1:14" ht="24" customHeight="1" x14ac:dyDescent="0.3">
      <c r="A471" s="66" t="s">
        <v>357</v>
      </c>
      <c r="B471" s="67" t="s">
        <v>16</v>
      </c>
      <c r="C471" s="68">
        <v>45078</v>
      </c>
      <c r="D471" s="69">
        <v>611488</v>
      </c>
      <c r="E471" s="70">
        <f t="shared" si="118"/>
        <v>0.99645291485687371</v>
      </c>
      <c r="F471" s="69">
        <v>2169</v>
      </c>
      <c r="G471" s="69">
        <v>236059</v>
      </c>
      <c r="H471" s="70">
        <f t="shared" si="119"/>
        <v>0.38604028206604218</v>
      </c>
      <c r="I471" s="69">
        <v>4812</v>
      </c>
      <c r="J471" s="70">
        <f t="shared" si="116"/>
        <v>7.8693285886231625E-3</v>
      </c>
      <c r="K471" s="70">
        <f t="shared" si="117"/>
        <v>2.0384734324893353E-2</v>
      </c>
      <c r="L471" s="69">
        <v>748</v>
      </c>
      <c r="M471" s="70">
        <f t="shared" si="120"/>
        <v>1.2232455910827359E-3</v>
      </c>
      <c r="N471" s="67" t="s">
        <v>16</v>
      </c>
    </row>
    <row r="472" spans="1:14" ht="24" customHeight="1" x14ac:dyDescent="0.3">
      <c r="A472" s="66" t="s">
        <v>358</v>
      </c>
      <c r="B472" s="67" t="s">
        <v>16</v>
      </c>
      <c r="C472" s="68">
        <v>45078</v>
      </c>
      <c r="D472" s="69">
        <v>25101</v>
      </c>
      <c r="E472" s="70">
        <f t="shared" si="118"/>
        <v>0.99677303693079955</v>
      </c>
      <c r="F472" s="69">
        <v>81</v>
      </c>
      <c r="G472" s="69">
        <v>8346</v>
      </c>
      <c r="H472" s="70">
        <f t="shared" si="119"/>
        <v>0.33249671327835545</v>
      </c>
      <c r="I472" s="69">
        <v>163</v>
      </c>
      <c r="J472" s="70">
        <f t="shared" si="116"/>
        <v>6.4937651886379025E-3</v>
      </c>
      <c r="K472" s="70">
        <f t="shared" si="117"/>
        <v>1.9530313922837286E-2</v>
      </c>
      <c r="L472" s="69">
        <v>34</v>
      </c>
      <c r="M472" s="70">
        <f t="shared" si="120"/>
        <v>1.3545277080594398E-3</v>
      </c>
      <c r="N472" s="67" t="s">
        <v>16</v>
      </c>
    </row>
    <row r="473" spans="1:14" ht="24" customHeight="1" x14ac:dyDescent="0.3">
      <c r="A473" s="66" t="s">
        <v>22</v>
      </c>
      <c r="B473" s="67" t="s">
        <v>16</v>
      </c>
      <c r="C473" s="68">
        <v>45079</v>
      </c>
      <c r="D473" s="69">
        <v>4325352</v>
      </c>
      <c r="E473" s="70">
        <f t="shared" si="118"/>
        <v>0.99648652872644816</v>
      </c>
      <c r="F473" s="69">
        <v>15197</v>
      </c>
      <c r="G473" s="69">
        <v>1495492</v>
      </c>
      <c r="H473" s="70">
        <f t="shared" si="119"/>
        <v>0.34575035742755733</v>
      </c>
      <c r="I473" s="69">
        <v>17072</v>
      </c>
      <c r="J473" s="70">
        <f t="shared" si="116"/>
        <v>3.9469620044796355E-3</v>
      </c>
      <c r="K473" s="70">
        <f t="shared" si="117"/>
        <v>1.1415641140173268E-2</v>
      </c>
      <c r="L473" s="69">
        <v>4737</v>
      </c>
      <c r="M473" s="70">
        <f t="shared" si="120"/>
        <v>1.0951709826159813E-3</v>
      </c>
      <c r="N473" s="67" t="s">
        <v>16</v>
      </c>
    </row>
    <row r="474" spans="1:14" ht="24" customHeight="1" x14ac:dyDescent="0.3">
      <c r="A474" s="66" t="s">
        <v>28</v>
      </c>
      <c r="B474" s="67" t="s">
        <v>16</v>
      </c>
      <c r="C474" s="68">
        <v>45079</v>
      </c>
      <c r="D474" s="69">
        <v>313407</v>
      </c>
      <c r="E474" s="70">
        <f t="shared" si="118"/>
        <v>0.99636893879204991</v>
      </c>
      <c r="F474" s="69">
        <v>1138</v>
      </c>
      <c r="G474" s="69">
        <v>93345</v>
      </c>
      <c r="H474" s="70">
        <f t="shared" si="119"/>
        <v>0.29783955048866173</v>
      </c>
      <c r="I474" s="69">
        <v>1314</v>
      </c>
      <c r="J474" s="70">
        <f t="shared" si="116"/>
        <v>4.1926313068948685E-3</v>
      </c>
      <c r="K474" s="70">
        <f t="shared" si="117"/>
        <v>1.4076811827093041E-2</v>
      </c>
      <c r="L474" s="69">
        <v>345</v>
      </c>
      <c r="M474" s="70">
        <f t="shared" si="120"/>
        <v>1.1008050234997942E-3</v>
      </c>
      <c r="N474" s="67" t="s">
        <v>16</v>
      </c>
    </row>
    <row r="475" spans="1:14" ht="24" customHeight="1" x14ac:dyDescent="0.3">
      <c r="A475" s="66" t="s">
        <v>19</v>
      </c>
      <c r="B475" s="67" t="s">
        <v>21</v>
      </c>
      <c r="C475" s="68">
        <v>45079</v>
      </c>
      <c r="D475" s="69">
        <v>332161</v>
      </c>
      <c r="E475" s="70">
        <f t="shared" si="118"/>
        <v>0.99540584234753626</v>
      </c>
      <c r="F475" s="69">
        <v>1526</v>
      </c>
      <c r="G475" s="69">
        <v>127397</v>
      </c>
      <c r="H475" s="70">
        <f t="shared" si="119"/>
        <v>0.38353990986298814</v>
      </c>
      <c r="I475" s="69">
        <v>2215</v>
      </c>
      <c r="J475" s="70">
        <f t="shared" si="116"/>
        <v>6.6684529490217094E-3</v>
      </c>
      <c r="K475" s="70">
        <f t="shared" si="117"/>
        <v>1.738659466078479E-2</v>
      </c>
      <c r="L475" s="69">
        <v>262</v>
      </c>
      <c r="M475" s="70">
        <f t="shared" si="120"/>
        <v>7.8877411857502838E-4</v>
      </c>
      <c r="N475" s="67" t="s">
        <v>21</v>
      </c>
    </row>
    <row r="476" spans="1:14" ht="24" customHeight="1" x14ac:dyDescent="0.3">
      <c r="A476" s="66" t="s">
        <v>33</v>
      </c>
      <c r="B476" s="67" t="s">
        <v>21</v>
      </c>
      <c r="C476" s="68">
        <v>45079</v>
      </c>
      <c r="D476" s="69">
        <v>233832</v>
      </c>
      <c r="E476" s="70">
        <f t="shared" si="118"/>
        <v>0.99743833179376651</v>
      </c>
      <c r="F476" s="69">
        <v>599</v>
      </c>
      <c r="G476" s="69">
        <v>111353</v>
      </c>
      <c r="H476" s="70">
        <f t="shared" si="119"/>
        <v>0.47620941530671596</v>
      </c>
      <c r="I476" s="69">
        <v>1661</v>
      </c>
      <c r="J476" s="70">
        <f t="shared" si="116"/>
        <v>7.1033904683704538E-3</v>
      </c>
      <c r="K476" s="70">
        <f t="shared" si="117"/>
        <v>1.4916526721327669E-2</v>
      </c>
      <c r="L476" s="69">
        <v>194</v>
      </c>
      <c r="M476" s="70">
        <f t="shared" si="120"/>
        <v>8.2965547914742204E-4</v>
      </c>
      <c r="N476" s="67" t="s">
        <v>21</v>
      </c>
    </row>
    <row r="477" spans="1:14" ht="24" customHeight="1" x14ac:dyDescent="0.3">
      <c r="A477" s="66" t="s">
        <v>37</v>
      </c>
      <c r="B477" s="67" t="s">
        <v>16</v>
      </c>
      <c r="C477" s="68">
        <v>45080</v>
      </c>
      <c r="D477" s="69">
        <v>41212</v>
      </c>
      <c r="E477" s="70">
        <f t="shared" si="118"/>
        <v>0.99660293118509169</v>
      </c>
      <c r="F477" s="69">
        <v>140</v>
      </c>
      <c r="G477" s="69">
        <v>16878</v>
      </c>
      <c r="H477" s="70">
        <f t="shared" si="119"/>
        <v>0.40954091041444241</v>
      </c>
      <c r="I477" s="69">
        <v>1231</v>
      </c>
      <c r="J477" s="70">
        <f t="shared" si="116"/>
        <v>2.9869940793943513E-2</v>
      </c>
      <c r="K477" s="70">
        <f t="shared" si="117"/>
        <v>7.2935181893589288E-2</v>
      </c>
      <c r="L477" s="69">
        <v>43</v>
      </c>
      <c r="M477" s="70">
        <f t="shared" si="120"/>
        <v>1.0433854217218287E-3</v>
      </c>
      <c r="N477" s="67" t="s">
        <v>16</v>
      </c>
    </row>
    <row r="478" spans="1:14" ht="24" customHeight="1" x14ac:dyDescent="0.3">
      <c r="A478" s="66" t="s">
        <v>36</v>
      </c>
      <c r="B478" s="67" t="s">
        <v>16</v>
      </c>
      <c r="C478" s="68">
        <v>45080</v>
      </c>
      <c r="D478" s="69">
        <v>3925</v>
      </c>
      <c r="E478" s="70">
        <f t="shared" si="118"/>
        <v>0.99541401273885355</v>
      </c>
      <c r="F478" s="69">
        <v>18</v>
      </c>
      <c r="G478" s="69">
        <v>1796</v>
      </c>
      <c r="H478" s="70">
        <f t="shared" si="119"/>
        <v>0.45757961783439488</v>
      </c>
      <c r="I478" s="69">
        <v>158</v>
      </c>
      <c r="J478" s="70">
        <f t="shared" si="116"/>
        <v>4.0254777070063696E-2</v>
      </c>
      <c r="K478" s="70">
        <f t="shared" si="117"/>
        <v>8.7973273942093547E-2</v>
      </c>
      <c r="L478" s="69">
        <v>7</v>
      </c>
      <c r="M478" s="70">
        <f t="shared" si="120"/>
        <v>1.7834394904458599E-3</v>
      </c>
      <c r="N478" s="67" t="s">
        <v>16</v>
      </c>
    </row>
    <row r="479" spans="1:14" ht="24" customHeight="1" x14ac:dyDescent="0.3">
      <c r="A479" s="76" t="s">
        <v>29</v>
      </c>
      <c r="B479" s="67" t="s">
        <v>16</v>
      </c>
      <c r="C479" s="68">
        <v>45083</v>
      </c>
      <c r="D479" s="69">
        <f>SUM('All Email Performance'!E701:E702)</f>
        <v>54078</v>
      </c>
      <c r="E479" s="70">
        <f t="shared" ref="E479:E524" si="121">(D479-F479)/D479</f>
        <v>0.99596878582787829</v>
      </c>
      <c r="F479" s="69">
        <f>SUM('All Email Performance'!G701:G702)</f>
        <v>218</v>
      </c>
      <c r="G479" s="69">
        <f>SUM('All Email Performance'!H701:H702)</f>
        <v>18503</v>
      </c>
      <c r="H479" s="70">
        <f t="shared" ref="H479:H524" si="122">G479/D479</f>
        <v>0.34215392581086579</v>
      </c>
      <c r="I479" s="69">
        <f>SUM('All Email Performance'!J701:J702)</f>
        <v>421</v>
      </c>
      <c r="J479" s="70">
        <f t="shared" ref="J479:J494" si="123">I479/D479</f>
        <v>7.7850512223085174E-3</v>
      </c>
      <c r="K479" s="70">
        <f t="shared" ref="K479:K494" si="124">I479/G479</f>
        <v>2.2753067070204833E-2</v>
      </c>
      <c r="L479" s="69">
        <f>SUM('All Email Performance'!M701:M702)</f>
        <v>36</v>
      </c>
      <c r="M479" s="70">
        <f t="shared" ref="M479:M524" si="125">L479/D479</f>
        <v>6.6570509264395874E-4</v>
      </c>
      <c r="N479" s="67" t="s">
        <v>16</v>
      </c>
    </row>
    <row r="480" spans="1:14" ht="24" customHeight="1" x14ac:dyDescent="0.3">
      <c r="A480" s="76" t="s">
        <v>17</v>
      </c>
      <c r="B480" s="67" t="s">
        <v>16</v>
      </c>
      <c r="C480" s="68">
        <v>45083</v>
      </c>
      <c r="D480" s="69">
        <f>SUM('All Email Performance'!E703:E704)</f>
        <v>710960</v>
      </c>
      <c r="E480" s="70">
        <f t="shared" si="121"/>
        <v>0.99632468774614602</v>
      </c>
      <c r="F480" s="69">
        <f>SUM('All Email Performance'!G703:G704)</f>
        <v>2613</v>
      </c>
      <c r="G480" s="69">
        <f>SUM('All Email Performance'!H703:H704)</f>
        <v>260950</v>
      </c>
      <c r="H480" s="70">
        <f t="shared" si="122"/>
        <v>0.3670389332733206</v>
      </c>
      <c r="I480" s="69">
        <f>SUM('All Email Performance'!J703:J704)</f>
        <v>4041</v>
      </c>
      <c r="J480" s="70">
        <f t="shared" si="123"/>
        <v>5.6838640711151123E-3</v>
      </c>
      <c r="K480" s="70">
        <f t="shared" si="124"/>
        <v>1.5485725234719295E-2</v>
      </c>
      <c r="L480" s="69">
        <f>SUM('All Email Performance'!M703:M704)</f>
        <v>468</v>
      </c>
      <c r="M480" s="70">
        <f t="shared" si="125"/>
        <v>6.582648812872735E-4</v>
      </c>
      <c r="N480" s="67" t="s">
        <v>16</v>
      </c>
    </row>
    <row r="481" spans="1:14" ht="24" customHeight="1" x14ac:dyDescent="0.3">
      <c r="A481" s="76" t="s">
        <v>294</v>
      </c>
      <c r="B481" s="67" t="s">
        <v>21</v>
      </c>
      <c r="C481" s="68">
        <v>45083</v>
      </c>
      <c r="D481" s="69">
        <f>SUM('All Email Performance'!E705:E706)</f>
        <v>39329</v>
      </c>
      <c r="E481" s="70">
        <f t="shared" si="121"/>
        <v>0.99666912456457069</v>
      </c>
      <c r="F481" s="69">
        <f>SUM('All Email Performance'!G705:G706)</f>
        <v>131</v>
      </c>
      <c r="G481" s="69">
        <f>SUM('All Email Performance'!H705:H706)</f>
        <v>13334</v>
      </c>
      <c r="H481" s="70">
        <f t="shared" si="122"/>
        <v>0.33903735157263087</v>
      </c>
      <c r="I481" s="69">
        <f>SUM('All Email Performance'!J705:J706)</f>
        <v>154</v>
      </c>
      <c r="J481" s="70">
        <f t="shared" si="123"/>
        <v>3.9156856263825677E-3</v>
      </c>
      <c r="K481" s="70">
        <f t="shared" si="124"/>
        <v>1.1549422528873556E-2</v>
      </c>
      <c r="L481" s="69">
        <f>SUM('All Email Performance'!M705:M706)</f>
        <v>45</v>
      </c>
      <c r="M481" s="70">
        <f t="shared" si="125"/>
        <v>1.1441938518650359E-3</v>
      </c>
      <c r="N481" s="67" t="s">
        <v>21</v>
      </c>
    </row>
    <row r="482" spans="1:14" ht="24" customHeight="1" x14ac:dyDescent="0.3">
      <c r="A482" s="76" t="s">
        <v>293</v>
      </c>
      <c r="B482" s="67" t="s">
        <v>21</v>
      </c>
      <c r="C482" s="68">
        <v>45083</v>
      </c>
      <c r="D482" s="69">
        <f>SUM('All Email Performance'!E707:E708)</f>
        <v>559200</v>
      </c>
      <c r="E482" s="70">
        <f t="shared" si="121"/>
        <v>0.99685979971387695</v>
      </c>
      <c r="F482" s="69">
        <f>SUM('All Email Performance'!G707:G708)</f>
        <v>1756</v>
      </c>
      <c r="G482" s="69">
        <f>SUM('All Email Performance'!H707:H708)</f>
        <v>230117</v>
      </c>
      <c r="H482" s="70">
        <f t="shared" si="122"/>
        <v>0.41151108726752506</v>
      </c>
      <c r="I482" s="69">
        <f>SUM('All Email Performance'!J707:J708)</f>
        <v>2466</v>
      </c>
      <c r="J482" s="70">
        <f t="shared" si="123"/>
        <v>4.4098712446351933E-3</v>
      </c>
      <c r="K482" s="70">
        <f t="shared" si="124"/>
        <v>1.0716287801422754E-2</v>
      </c>
      <c r="L482" s="69">
        <f>SUM('All Email Performance'!M707:M708)</f>
        <v>597</v>
      </c>
      <c r="M482" s="70">
        <f t="shared" si="125"/>
        <v>1.0675965665236052E-3</v>
      </c>
      <c r="N482" s="67" t="s">
        <v>21</v>
      </c>
    </row>
    <row r="483" spans="1:14" ht="24" customHeight="1" x14ac:dyDescent="0.3">
      <c r="A483" s="76" t="s">
        <v>372</v>
      </c>
      <c r="B483" s="67" t="s">
        <v>30</v>
      </c>
      <c r="C483" s="68">
        <v>45084</v>
      </c>
      <c r="D483" s="69">
        <f>'All Email Performance'!E709</f>
        <v>5243</v>
      </c>
      <c r="E483" s="70">
        <f t="shared" si="121"/>
        <v>0.99713904253290098</v>
      </c>
      <c r="F483" s="69">
        <f>'All Email Performance'!G709</f>
        <v>15</v>
      </c>
      <c r="G483" s="69">
        <f>'All Email Performance'!H709</f>
        <v>3042</v>
      </c>
      <c r="H483" s="70">
        <f t="shared" si="122"/>
        <v>0.58020217432767496</v>
      </c>
      <c r="I483" s="69">
        <f>'All Email Performance'!J709</f>
        <v>732</v>
      </c>
      <c r="J483" s="70">
        <f t="shared" si="123"/>
        <v>0.13961472439443068</v>
      </c>
      <c r="K483" s="70">
        <f t="shared" si="124"/>
        <v>0.24063116370808679</v>
      </c>
      <c r="L483" s="69">
        <f>'All Email Performance'!M709</f>
        <v>2</v>
      </c>
      <c r="M483" s="70">
        <f t="shared" si="125"/>
        <v>3.8146099561319857E-4</v>
      </c>
      <c r="N483" s="67" t="s">
        <v>31</v>
      </c>
    </row>
    <row r="484" spans="1:14" ht="24" customHeight="1" x14ac:dyDescent="0.3">
      <c r="A484" s="76" t="s">
        <v>32</v>
      </c>
      <c r="B484" s="67" t="s">
        <v>23</v>
      </c>
      <c r="C484" s="68">
        <v>45084</v>
      </c>
      <c r="D484" s="69">
        <f>'All Email Performance'!E710</f>
        <v>259</v>
      </c>
      <c r="E484" s="70">
        <f t="shared" si="121"/>
        <v>1</v>
      </c>
      <c r="F484" s="69">
        <f>'All Email Performance'!G710</f>
        <v>0</v>
      </c>
      <c r="G484" s="69">
        <f>'All Email Performance'!H710</f>
        <v>94</v>
      </c>
      <c r="H484" s="70">
        <f t="shared" si="122"/>
        <v>0.36293436293436293</v>
      </c>
      <c r="I484" s="69">
        <f>'All Email Performance'!J710</f>
        <v>6</v>
      </c>
      <c r="J484" s="70">
        <f t="shared" si="123"/>
        <v>2.3166023166023165E-2</v>
      </c>
      <c r="K484" s="70">
        <f t="shared" si="124"/>
        <v>6.3829787234042548E-2</v>
      </c>
      <c r="L484" s="69">
        <f>'All Email Performance'!M710</f>
        <v>0</v>
      </c>
      <c r="M484" s="70">
        <f t="shared" si="125"/>
        <v>0</v>
      </c>
      <c r="N484" s="67" t="s">
        <v>23</v>
      </c>
    </row>
    <row r="485" spans="1:14" ht="24" customHeight="1" x14ac:dyDescent="0.3">
      <c r="A485" s="66" t="s">
        <v>26</v>
      </c>
      <c r="B485" s="67" t="s">
        <v>23</v>
      </c>
      <c r="C485" s="68">
        <v>45085</v>
      </c>
      <c r="D485" s="69">
        <f>'All Email Performance'!E711</f>
        <v>1642</v>
      </c>
      <c r="E485" s="70">
        <f t="shared" si="121"/>
        <v>0.99817295980511567</v>
      </c>
      <c r="F485" s="69">
        <f>'All Email Performance'!G711</f>
        <v>3</v>
      </c>
      <c r="G485" s="69">
        <f>'All Email Performance'!H711</f>
        <v>560</v>
      </c>
      <c r="H485" s="70">
        <f t="shared" si="122"/>
        <v>0.34104750304506698</v>
      </c>
      <c r="I485" s="69">
        <f>'All Email Performance'!J711</f>
        <v>20</v>
      </c>
      <c r="J485" s="70">
        <f t="shared" si="123"/>
        <v>1.2180267965895249E-2</v>
      </c>
      <c r="K485" s="70">
        <f t="shared" si="124"/>
        <v>3.5714285714285712E-2</v>
      </c>
      <c r="L485" s="69">
        <f>'All Email Performance'!M711</f>
        <v>0</v>
      </c>
      <c r="M485" s="70">
        <f t="shared" si="125"/>
        <v>0</v>
      </c>
      <c r="N485" s="67" t="s">
        <v>23</v>
      </c>
    </row>
    <row r="486" spans="1:14" ht="24" customHeight="1" x14ac:dyDescent="0.3">
      <c r="A486" s="76" t="s">
        <v>368</v>
      </c>
      <c r="B486" s="67" t="s">
        <v>16</v>
      </c>
      <c r="C486" s="68">
        <v>45086</v>
      </c>
      <c r="D486" s="69">
        <f>SUM('All Email Performance'!E712:E713)</f>
        <v>544576</v>
      </c>
      <c r="E486" s="70">
        <f t="shared" si="121"/>
        <v>0.99688932306969091</v>
      </c>
      <c r="F486" s="69">
        <f>SUM('All Email Performance'!G712:G713)</f>
        <v>1694</v>
      </c>
      <c r="G486" s="69">
        <f>SUM('All Email Performance'!H712:H713)</f>
        <v>200349</v>
      </c>
      <c r="H486" s="70">
        <f t="shared" si="122"/>
        <v>0.36789906275708073</v>
      </c>
      <c r="I486" s="69">
        <f>SUM('All Email Performance'!J712:J713)</f>
        <v>2126</v>
      </c>
      <c r="J486" s="70">
        <f t="shared" si="123"/>
        <v>3.9039546362674817E-3</v>
      </c>
      <c r="K486" s="70">
        <f t="shared" si="124"/>
        <v>1.0611482962230906E-2</v>
      </c>
      <c r="L486" s="69">
        <f>SUM('All Email Performance'!M712:M713)</f>
        <v>230</v>
      </c>
      <c r="M486" s="70">
        <f t="shared" si="125"/>
        <v>4.2234692678340581E-4</v>
      </c>
      <c r="N486" s="67" t="s">
        <v>16</v>
      </c>
    </row>
    <row r="487" spans="1:14" ht="24" customHeight="1" x14ac:dyDescent="0.3">
      <c r="A487" s="76" t="s">
        <v>369</v>
      </c>
      <c r="B487" s="67" t="s">
        <v>16</v>
      </c>
      <c r="C487" s="68">
        <v>45086</v>
      </c>
      <c r="D487" s="69">
        <f>SUM('All Email Performance'!E714:E715)</f>
        <v>275586</v>
      </c>
      <c r="E487" s="70">
        <f t="shared" si="121"/>
        <v>0.99676326083327893</v>
      </c>
      <c r="F487" s="69">
        <f>SUM('All Email Performance'!G714:G715)</f>
        <v>892</v>
      </c>
      <c r="G487" s="69">
        <f>SUM('All Email Performance'!H714:H715)</f>
        <v>79916</v>
      </c>
      <c r="H487" s="70">
        <f t="shared" si="122"/>
        <v>0.28998570319246986</v>
      </c>
      <c r="I487" s="69">
        <f>SUM('All Email Performance'!J714:J715)</f>
        <v>1122</v>
      </c>
      <c r="J487" s="70">
        <f t="shared" si="123"/>
        <v>4.0713243778711548E-3</v>
      </c>
      <c r="K487" s="70">
        <f t="shared" si="124"/>
        <v>1.4039741728815256E-2</v>
      </c>
      <c r="L487" s="69">
        <f>SUM('All Email Performance'!M714:M715)</f>
        <v>464</v>
      </c>
      <c r="M487" s="70">
        <f t="shared" si="125"/>
        <v>1.6836849477114221E-3</v>
      </c>
      <c r="N487" s="67" t="s">
        <v>16</v>
      </c>
    </row>
    <row r="488" spans="1:14" ht="24" customHeight="1" x14ac:dyDescent="0.3">
      <c r="A488" s="76" t="s">
        <v>370</v>
      </c>
      <c r="B488" s="67" t="s">
        <v>16</v>
      </c>
      <c r="C488" s="68">
        <v>45086</v>
      </c>
      <c r="D488" s="69">
        <f>SUM('All Email Performance'!E716:E717)</f>
        <v>3520010</v>
      </c>
      <c r="E488" s="70">
        <f t="shared" si="121"/>
        <v>0.99663722546242761</v>
      </c>
      <c r="F488" s="69">
        <f>SUM('All Email Performance'!G716:G717)</f>
        <v>11837</v>
      </c>
      <c r="G488" s="69">
        <f>SUM('All Email Performance'!H716:H717)</f>
        <v>1191362</v>
      </c>
      <c r="H488" s="70">
        <f t="shared" si="122"/>
        <v>0.33845415211888602</v>
      </c>
      <c r="I488" s="69">
        <f>SUM('All Email Performance'!J716:J717)</f>
        <v>14304</v>
      </c>
      <c r="J488" s="70">
        <f t="shared" si="123"/>
        <v>4.0636248192476724E-3</v>
      </c>
      <c r="K488" s="70">
        <f t="shared" si="124"/>
        <v>1.2006426258349688E-2</v>
      </c>
      <c r="L488" s="69">
        <f>SUM('All Email Performance'!M716:M717)</f>
        <v>4871</v>
      </c>
      <c r="M488" s="70">
        <f t="shared" si="125"/>
        <v>1.3838028869236167E-3</v>
      </c>
      <c r="N488" s="67" t="s">
        <v>16</v>
      </c>
    </row>
    <row r="489" spans="1:14" ht="24" customHeight="1" x14ac:dyDescent="0.3">
      <c r="A489" s="76" t="s">
        <v>28</v>
      </c>
      <c r="B489" s="67" t="s">
        <v>16</v>
      </c>
      <c r="C489" s="68">
        <v>45086</v>
      </c>
      <c r="D489" s="69">
        <f>SUM('All Email Performance'!E718:E719)</f>
        <v>313128</v>
      </c>
      <c r="E489" s="70">
        <f t="shared" si="121"/>
        <v>0.99702996857515136</v>
      </c>
      <c r="F489" s="69">
        <f>SUM('All Email Performance'!G718:G719)</f>
        <v>930</v>
      </c>
      <c r="G489" s="69">
        <f>SUM('All Email Performance'!H718:H719)</f>
        <v>90920</v>
      </c>
      <c r="H489" s="70">
        <f t="shared" si="122"/>
        <v>0.29036049155616872</v>
      </c>
      <c r="I489" s="69">
        <f>SUM('All Email Performance'!J718:J719)</f>
        <v>1474</v>
      </c>
      <c r="J489" s="70">
        <f t="shared" si="123"/>
        <v>4.7073401292762069E-3</v>
      </c>
      <c r="K489" s="70">
        <f t="shared" si="124"/>
        <v>1.6212054553453585E-2</v>
      </c>
      <c r="L489" s="69">
        <f>SUM('All Email Performance'!M718:M719)</f>
        <v>413</v>
      </c>
      <c r="M489" s="70">
        <f t="shared" si="125"/>
        <v>1.3189494392069697E-3</v>
      </c>
      <c r="N489" s="67" t="s">
        <v>16</v>
      </c>
    </row>
    <row r="490" spans="1:14" ht="24" customHeight="1" x14ac:dyDescent="0.3">
      <c r="A490" s="76" t="s">
        <v>22</v>
      </c>
      <c r="B490" s="67" t="s">
        <v>16</v>
      </c>
      <c r="C490" s="68">
        <v>45086</v>
      </c>
      <c r="D490" s="69">
        <f>SUM('All Email Performance'!E720:E721)</f>
        <v>4485590</v>
      </c>
      <c r="E490" s="70">
        <f t="shared" si="121"/>
        <v>0.99626492835948</v>
      </c>
      <c r="F490" s="69">
        <f>SUM('All Email Performance'!G720:G721)</f>
        <v>16754</v>
      </c>
      <c r="G490" s="69">
        <f>SUM('All Email Performance'!H720:H721)</f>
        <v>1475899</v>
      </c>
      <c r="H490" s="70">
        <f t="shared" si="122"/>
        <v>0.32903118653287527</v>
      </c>
      <c r="I490" s="69">
        <f>SUM('All Email Performance'!J720:J721)</f>
        <v>19324</v>
      </c>
      <c r="J490" s="70">
        <f t="shared" si="123"/>
        <v>4.3080174514389408E-3</v>
      </c>
      <c r="K490" s="70">
        <f t="shared" si="124"/>
        <v>1.3093036854147878E-2</v>
      </c>
      <c r="L490" s="69">
        <f>SUM('All Email Performance'!M720:M721)</f>
        <v>5903</v>
      </c>
      <c r="M490" s="70">
        <f t="shared" si="125"/>
        <v>1.315991876208035E-3</v>
      </c>
      <c r="N490" s="67" t="s">
        <v>16</v>
      </c>
    </row>
    <row r="491" spans="1:14" ht="24" customHeight="1" x14ac:dyDescent="0.3">
      <c r="A491" s="76" t="s">
        <v>33</v>
      </c>
      <c r="B491" s="67" t="s">
        <v>21</v>
      </c>
      <c r="C491" s="68">
        <v>45086</v>
      </c>
      <c r="D491" s="69">
        <f>'All Email Performance'!E722</f>
        <v>233139</v>
      </c>
      <c r="E491" s="70">
        <f t="shared" si="121"/>
        <v>0.99747789945054233</v>
      </c>
      <c r="F491" s="69">
        <f>'All Email Performance'!G722</f>
        <v>588</v>
      </c>
      <c r="G491" s="69">
        <f>'All Email Performance'!H722</f>
        <v>101650</v>
      </c>
      <c r="H491" s="70">
        <f t="shared" si="122"/>
        <v>0.43600598784416161</v>
      </c>
      <c r="I491" s="69">
        <f>'All Email Performance'!J722</f>
        <v>2115</v>
      </c>
      <c r="J491" s="70">
        <f t="shared" si="123"/>
        <v>9.0718412620797041E-3</v>
      </c>
      <c r="K491" s="70">
        <f t="shared" si="124"/>
        <v>2.0806689621249385E-2</v>
      </c>
      <c r="L491" s="69">
        <f>'All Email Performance'!M722</f>
        <v>198</v>
      </c>
      <c r="M491" s="70">
        <f t="shared" si="125"/>
        <v>8.4927875645001479E-4</v>
      </c>
      <c r="N491" s="67" t="s">
        <v>21</v>
      </c>
    </row>
    <row r="492" spans="1:14" ht="24" customHeight="1" x14ac:dyDescent="0.3">
      <c r="A492" s="76" t="s">
        <v>19</v>
      </c>
      <c r="B492" s="67" t="s">
        <v>21</v>
      </c>
      <c r="C492" s="68">
        <v>45086</v>
      </c>
      <c r="D492" s="69">
        <f>'All Email Performance'!E723</f>
        <v>332040</v>
      </c>
      <c r="E492" s="70">
        <f t="shared" si="121"/>
        <v>0.99566317311167329</v>
      </c>
      <c r="F492" s="69">
        <f>'All Email Performance'!G723</f>
        <v>1440</v>
      </c>
      <c r="G492" s="69">
        <f>'All Email Performance'!H723</f>
        <v>117637</v>
      </c>
      <c r="H492" s="70">
        <f t="shared" si="122"/>
        <v>0.35428562823756177</v>
      </c>
      <c r="I492" s="69">
        <f>'All Email Performance'!J723</f>
        <v>2574</v>
      </c>
      <c r="J492" s="70">
        <f t="shared" si="123"/>
        <v>7.7520780628839896E-3</v>
      </c>
      <c r="K492" s="70">
        <f t="shared" si="124"/>
        <v>2.1880870814454636E-2</v>
      </c>
      <c r="L492" s="69">
        <f>'All Email Performance'!M723</f>
        <v>276</v>
      </c>
      <c r="M492" s="70">
        <f t="shared" si="125"/>
        <v>8.3122515359595225E-4</v>
      </c>
      <c r="N492" s="67" t="s">
        <v>21</v>
      </c>
    </row>
    <row r="493" spans="1:14" ht="24" customHeight="1" x14ac:dyDescent="0.3">
      <c r="A493" s="76" t="s">
        <v>24</v>
      </c>
      <c r="B493" s="67" t="s">
        <v>21</v>
      </c>
      <c r="C493" s="68">
        <v>45087</v>
      </c>
      <c r="D493" s="69">
        <f>'All Email Performance'!E724</f>
        <v>14891</v>
      </c>
      <c r="E493" s="70">
        <f t="shared" si="121"/>
        <v>0.99697804042710358</v>
      </c>
      <c r="F493" s="69">
        <f>'All Email Performance'!G724</f>
        <v>45</v>
      </c>
      <c r="G493" s="69">
        <f>'All Email Performance'!H724</f>
        <v>4585</v>
      </c>
      <c r="H493" s="70">
        <f t="shared" si="122"/>
        <v>0.30790410314955341</v>
      </c>
      <c r="I493" s="69">
        <f>'All Email Performance'!J724</f>
        <v>194</v>
      </c>
      <c r="J493" s="70">
        <f t="shared" si="123"/>
        <v>1.3028003492042172E-2</v>
      </c>
      <c r="K493" s="70">
        <f t="shared" si="124"/>
        <v>4.2311886586695747E-2</v>
      </c>
      <c r="L493" s="69">
        <f>'All Email Performance'!M724</f>
        <v>14</v>
      </c>
      <c r="M493" s="70">
        <f t="shared" si="125"/>
        <v>9.4016520045665168E-4</v>
      </c>
      <c r="N493" s="67" t="s">
        <v>21</v>
      </c>
    </row>
    <row r="494" spans="1:14" ht="24" customHeight="1" x14ac:dyDescent="0.3">
      <c r="A494" s="76" t="s">
        <v>371</v>
      </c>
      <c r="B494" s="67" t="s">
        <v>30</v>
      </c>
      <c r="C494" s="68">
        <v>45087</v>
      </c>
      <c r="D494" s="69">
        <f>'All Email Performance'!E725</f>
        <v>64687</v>
      </c>
      <c r="E494" s="70">
        <f t="shared" si="121"/>
        <v>0.99693910677570452</v>
      </c>
      <c r="F494" s="69">
        <f>'All Email Performance'!G725</f>
        <v>198</v>
      </c>
      <c r="G494" s="69">
        <f>'All Email Performance'!H725</f>
        <v>31224</v>
      </c>
      <c r="H494" s="70">
        <f t="shared" si="122"/>
        <v>0.48269358603738</v>
      </c>
      <c r="I494" s="69">
        <f>'All Email Performance'!J725</f>
        <v>4097</v>
      </c>
      <c r="J494" s="70">
        <f t="shared" si="123"/>
        <v>6.3335755252214507E-2</v>
      </c>
      <c r="K494" s="70">
        <f t="shared" si="124"/>
        <v>0.13121316935690494</v>
      </c>
      <c r="L494" s="69">
        <f>'All Email Performance'!M725</f>
        <v>41</v>
      </c>
      <c r="M494" s="70">
        <f t="shared" si="125"/>
        <v>6.3382132422279598E-4</v>
      </c>
      <c r="N494" s="67" t="s">
        <v>31</v>
      </c>
    </row>
    <row r="495" spans="1:14" ht="24" customHeight="1" x14ac:dyDescent="0.3">
      <c r="A495" s="76" t="s">
        <v>29</v>
      </c>
      <c r="B495" s="67" t="s">
        <v>16</v>
      </c>
      <c r="C495" s="68">
        <v>45090</v>
      </c>
      <c r="D495" s="69">
        <f>SUM('All Email Performance'!E726:E727)</f>
        <v>54219</v>
      </c>
      <c r="E495" s="70">
        <f t="shared" si="121"/>
        <v>0.99708589239934342</v>
      </c>
      <c r="F495" s="69">
        <f>SUM('All Email Performance'!G726:G727)</f>
        <v>158</v>
      </c>
      <c r="G495" s="69">
        <f>SUM('All Email Performance'!H726:H727)</f>
        <v>18777</v>
      </c>
      <c r="H495" s="70">
        <f t="shared" si="122"/>
        <v>0.34631771150334756</v>
      </c>
      <c r="I495" s="69">
        <f>SUM('All Email Performance'!J726:J727)</f>
        <v>354</v>
      </c>
      <c r="J495" s="70">
        <f t="shared" ref="J495:J524" si="126">I495/D495</f>
        <v>6.5290765229900957E-3</v>
      </c>
      <c r="K495" s="70">
        <f t="shared" ref="K495:K524" si="127">I495/G495</f>
        <v>1.8852851893273685E-2</v>
      </c>
      <c r="L495" s="69">
        <f>SUM('All Email Performance'!M726:M727)</f>
        <v>35</v>
      </c>
      <c r="M495" s="70">
        <f t="shared" si="125"/>
        <v>6.4553016470241063E-4</v>
      </c>
      <c r="N495" s="67" t="s">
        <v>16</v>
      </c>
    </row>
    <row r="496" spans="1:14" ht="24" customHeight="1" x14ac:dyDescent="0.3">
      <c r="A496" s="76" t="s">
        <v>17</v>
      </c>
      <c r="B496" s="67" t="s">
        <v>16</v>
      </c>
      <c r="C496" s="68">
        <v>45090</v>
      </c>
      <c r="D496" s="69">
        <f>SUM('All Email Performance'!E728:E729)</f>
        <v>717540</v>
      </c>
      <c r="E496" s="70">
        <f t="shared" si="121"/>
        <v>0.99700086406332744</v>
      </c>
      <c r="F496" s="69">
        <f>SUM('All Email Performance'!G728:G729)</f>
        <v>2152</v>
      </c>
      <c r="G496" s="69">
        <f>SUM('All Email Performance'!H728:H729)</f>
        <v>267061</v>
      </c>
      <c r="H496" s="70">
        <f t="shared" si="122"/>
        <v>0.37218970370989768</v>
      </c>
      <c r="I496" s="69">
        <f>SUM('All Email Performance'!J728:J729)</f>
        <v>3666</v>
      </c>
      <c r="J496" s="70">
        <f t="shared" si="126"/>
        <v>5.1091228363575551E-3</v>
      </c>
      <c r="K496" s="70">
        <f t="shared" si="127"/>
        <v>1.372720090166666E-2</v>
      </c>
      <c r="L496" s="69">
        <f>SUM('All Email Performance'!M728:M729)</f>
        <v>453</v>
      </c>
      <c r="M496" s="70">
        <f t="shared" si="125"/>
        <v>6.3132368927167819E-4</v>
      </c>
      <c r="N496" s="67" t="s">
        <v>16</v>
      </c>
    </row>
    <row r="497" spans="1:14" ht="24" customHeight="1" x14ac:dyDescent="0.3">
      <c r="A497" s="76" t="s">
        <v>637</v>
      </c>
      <c r="B497" s="67" t="s">
        <v>21</v>
      </c>
      <c r="C497" s="68">
        <v>45090</v>
      </c>
      <c r="D497" s="69">
        <f>SUM('All Email Performance'!E730:E731)</f>
        <v>97547</v>
      </c>
      <c r="E497" s="70">
        <f t="shared" si="121"/>
        <v>0.99756015049155788</v>
      </c>
      <c r="F497" s="69">
        <f>SUM('All Email Performance'!G730:G731)</f>
        <v>238</v>
      </c>
      <c r="G497" s="69">
        <f>SUM('All Email Performance'!H730:H731)</f>
        <v>31717</v>
      </c>
      <c r="H497" s="70">
        <f t="shared" si="122"/>
        <v>0.32514582713973778</v>
      </c>
      <c r="I497" s="69">
        <f>SUM('All Email Performance'!J730:J731)</f>
        <v>384</v>
      </c>
      <c r="J497" s="70">
        <f t="shared" si="126"/>
        <v>3.9365639127805054E-3</v>
      </c>
      <c r="K497" s="70">
        <f t="shared" si="127"/>
        <v>1.2107071917268342E-2</v>
      </c>
      <c r="L497" s="69">
        <f>SUM('All Email Performance'!M730:M731)</f>
        <v>96</v>
      </c>
      <c r="M497" s="70">
        <f t="shared" si="125"/>
        <v>9.8414097819512635E-4</v>
      </c>
      <c r="N497" s="67" t="s">
        <v>21</v>
      </c>
    </row>
    <row r="498" spans="1:14" ht="24" customHeight="1" x14ac:dyDescent="0.3">
      <c r="A498" s="76" t="s">
        <v>638</v>
      </c>
      <c r="B498" s="67" t="s">
        <v>21</v>
      </c>
      <c r="C498" s="68">
        <v>45090</v>
      </c>
      <c r="D498" s="69">
        <f>SUM('All Email Performance'!E732:E733)</f>
        <v>1366999</v>
      </c>
      <c r="E498" s="70">
        <f t="shared" si="121"/>
        <v>0.99740599663935381</v>
      </c>
      <c r="F498" s="69">
        <f>SUM('All Email Performance'!G732:G733)</f>
        <v>3546</v>
      </c>
      <c r="G498" s="69">
        <f>SUM('All Email Performance'!H732:H733)</f>
        <v>624705</v>
      </c>
      <c r="H498" s="70">
        <f t="shared" si="122"/>
        <v>0.45699009289692238</v>
      </c>
      <c r="I498" s="69">
        <f>SUM('All Email Performance'!J732:J733)</f>
        <v>5405</v>
      </c>
      <c r="J498" s="70">
        <f t="shared" si="126"/>
        <v>3.9539165719945663E-3</v>
      </c>
      <c r="K498" s="70">
        <f t="shared" si="127"/>
        <v>8.6520837835458338E-3</v>
      </c>
      <c r="L498" s="69">
        <f>SUM('All Email Performance'!M732:M733)</f>
        <v>1772</v>
      </c>
      <c r="M498" s="70">
        <f t="shared" si="125"/>
        <v>1.2962701508925755E-3</v>
      </c>
      <c r="N498" s="67" t="s">
        <v>21</v>
      </c>
    </row>
    <row r="499" spans="1:14" ht="24" customHeight="1" x14ac:dyDescent="0.3">
      <c r="A499" s="76" t="s">
        <v>639</v>
      </c>
      <c r="B499" s="67" t="s">
        <v>16</v>
      </c>
      <c r="C499" s="68">
        <v>45091</v>
      </c>
      <c r="D499" s="69">
        <f>'All Email Performance'!E734</f>
        <v>8778</v>
      </c>
      <c r="E499" s="70">
        <f t="shared" si="121"/>
        <v>0.99851902483481436</v>
      </c>
      <c r="F499" s="69">
        <f>'All Email Performance'!G734</f>
        <v>13</v>
      </c>
      <c r="G499" s="69">
        <f>'All Email Performance'!H734</f>
        <v>2802</v>
      </c>
      <c r="H499" s="70">
        <f t="shared" si="122"/>
        <v>0.31920710868079288</v>
      </c>
      <c r="I499" s="69">
        <f>'All Email Performance'!J734</f>
        <v>37</v>
      </c>
      <c r="J499" s="70">
        <f t="shared" si="126"/>
        <v>4.2150831624515831E-3</v>
      </c>
      <c r="K499" s="70">
        <f t="shared" si="127"/>
        <v>1.3204853675945753E-2</v>
      </c>
      <c r="L499" s="69">
        <f>'All Email Performance'!M734</f>
        <v>3</v>
      </c>
      <c r="M499" s="70">
        <f t="shared" si="125"/>
        <v>3.4176349965823653E-4</v>
      </c>
      <c r="N499" s="67" t="s">
        <v>16</v>
      </c>
    </row>
    <row r="500" spans="1:14" ht="24" customHeight="1" x14ac:dyDescent="0.3">
      <c r="A500" s="76" t="s">
        <v>640</v>
      </c>
      <c r="B500" s="67" t="s">
        <v>16</v>
      </c>
      <c r="C500" s="68">
        <v>45091</v>
      </c>
      <c r="D500" s="69">
        <f>'All Email Performance'!E735</f>
        <v>8784</v>
      </c>
      <c r="E500" s="70">
        <f t="shared" si="121"/>
        <v>0.99749544626593811</v>
      </c>
      <c r="F500" s="69">
        <f>'All Email Performance'!G735</f>
        <v>22</v>
      </c>
      <c r="G500" s="69">
        <f>'All Email Performance'!H735</f>
        <v>2864</v>
      </c>
      <c r="H500" s="70">
        <f t="shared" si="122"/>
        <v>0.32604735883424407</v>
      </c>
      <c r="I500" s="69">
        <f>'All Email Performance'!J735</f>
        <v>57</v>
      </c>
      <c r="J500" s="70">
        <f t="shared" si="126"/>
        <v>6.4890710382513664E-3</v>
      </c>
      <c r="K500" s="70">
        <f t="shared" si="127"/>
        <v>1.9902234636871508E-2</v>
      </c>
      <c r="L500" s="69">
        <f>'All Email Performance'!M735</f>
        <v>4</v>
      </c>
      <c r="M500" s="70">
        <f t="shared" si="125"/>
        <v>4.5537340619307832E-4</v>
      </c>
      <c r="N500" s="67" t="s">
        <v>16</v>
      </c>
    </row>
    <row r="501" spans="1:14" ht="24" customHeight="1" x14ac:dyDescent="0.3">
      <c r="A501" s="76" t="s">
        <v>641</v>
      </c>
      <c r="B501" s="67" t="s">
        <v>16</v>
      </c>
      <c r="C501" s="68">
        <v>45091</v>
      </c>
      <c r="D501" s="69">
        <f>'All Email Performance'!E736</f>
        <v>8285</v>
      </c>
      <c r="E501" s="70">
        <f t="shared" si="121"/>
        <v>0.99710319855159923</v>
      </c>
      <c r="F501" s="69">
        <f>'All Email Performance'!G736</f>
        <v>24</v>
      </c>
      <c r="G501" s="69">
        <f>'All Email Performance'!H736</f>
        <v>3208</v>
      </c>
      <c r="H501" s="70">
        <f t="shared" si="122"/>
        <v>0.38720579360289681</v>
      </c>
      <c r="I501" s="69">
        <f>'All Email Performance'!J736</f>
        <v>46</v>
      </c>
      <c r="J501" s="70">
        <f t="shared" si="126"/>
        <v>5.552202776101388E-3</v>
      </c>
      <c r="K501" s="70">
        <f t="shared" si="127"/>
        <v>1.4339152119700748E-2</v>
      </c>
      <c r="L501" s="69">
        <f>'All Email Performance'!M736</f>
        <v>5</v>
      </c>
      <c r="M501" s="70">
        <f t="shared" si="125"/>
        <v>6.0350030175015089E-4</v>
      </c>
      <c r="N501" s="67" t="s">
        <v>16</v>
      </c>
    </row>
    <row r="502" spans="1:14" ht="24" customHeight="1" x14ac:dyDescent="0.3">
      <c r="A502" s="76" t="s">
        <v>642</v>
      </c>
      <c r="B502" s="67" t="s">
        <v>16</v>
      </c>
      <c r="C502" s="68">
        <v>45091</v>
      </c>
      <c r="D502" s="69">
        <f>'All Email Performance'!E737</f>
        <v>8267</v>
      </c>
      <c r="E502" s="70">
        <f t="shared" si="121"/>
        <v>0.9972178541187855</v>
      </c>
      <c r="F502" s="69">
        <f>'All Email Performance'!G737</f>
        <v>23</v>
      </c>
      <c r="G502" s="69">
        <f>'All Email Performance'!H737</f>
        <v>3188</v>
      </c>
      <c r="H502" s="70">
        <f t="shared" si="122"/>
        <v>0.38562961170920529</v>
      </c>
      <c r="I502" s="69">
        <f>'All Email Performance'!J737</f>
        <v>48</v>
      </c>
      <c r="J502" s="70">
        <f t="shared" si="126"/>
        <v>5.8062174912301926E-3</v>
      </c>
      <c r="K502" s="70">
        <f t="shared" si="127"/>
        <v>1.5056461731493099E-2</v>
      </c>
      <c r="L502" s="69">
        <f>'All Email Performance'!M737</f>
        <v>2</v>
      </c>
      <c r="M502" s="70">
        <f t="shared" si="125"/>
        <v>2.4192572880125802E-4</v>
      </c>
      <c r="N502" s="67" t="s">
        <v>16</v>
      </c>
    </row>
    <row r="503" spans="1:14" ht="24" customHeight="1" x14ac:dyDescent="0.3">
      <c r="A503" s="76" t="s">
        <v>643</v>
      </c>
      <c r="B503" s="67" t="s">
        <v>16</v>
      </c>
      <c r="C503" s="68">
        <v>45091</v>
      </c>
      <c r="D503" s="69">
        <f>'All Email Performance'!E738</f>
        <v>194624</v>
      </c>
      <c r="E503" s="70">
        <f t="shared" si="121"/>
        <v>0.99729221473199603</v>
      </c>
      <c r="F503" s="69">
        <f>'All Email Performance'!G738</f>
        <v>527</v>
      </c>
      <c r="G503" s="69">
        <f>'All Email Performance'!H738</f>
        <v>71968</v>
      </c>
      <c r="H503" s="70">
        <f t="shared" si="122"/>
        <v>0.3697796777375863</v>
      </c>
      <c r="I503" s="69">
        <f>'All Email Performance'!J738</f>
        <v>577</v>
      </c>
      <c r="J503" s="70">
        <f t="shared" si="126"/>
        <v>2.9646908911542258E-3</v>
      </c>
      <c r="K503" s="70">
        <f t="shared" si="127"/>
        <v>8.0174522009782128E-3</v>
      </c>
      <c r="L503" s="69">
        <f>'All Email Performance'!M738</f>
        <v>131</v>
      </c>
      <c r="M503" s="70">
        <f t="shared" si="125"/>
        <v>6.7309273265373231E-4</v>
      </c>
      <c r="N503" s="67" t="s">
        <v>16</v>
      </c>
    </row>
    <row r="504" spans="1:14" ht="24" customHeight="1" x14ac:dyDescent="0.3">
      <c r="A504" s="76" t="s">
        <v>644</v>
      </c>
      <c r="B504" s="67" t="s">
        <v>16</v>
      </c>
      <c r="C504" s="68">
        <v>45091</v>
      </c>
      <c r="D504" s="69">
        <f>'All Email Performance'!E739</f>
        <v>194610</v>
      </c>
      <c r="E504" s="70">
        <f t="shared" si="121"/>
        <v>0.99717897333127792</v>
      </c>
      <c r="F504" s="69">
        <f>'All Email Performance'!G739</f>
        <v>549</v>
      </c>
      <c r="G504" s="69">
        <f>'All Email Performance'!H739</f>
        <v>84181</v>
      </c>
      <c r="H504" s="70">
        <f t="shared" si="122"/>
        <v>0.43256256101947482</v>
      </c>
      <c r="I504" s="69">
        <f>'All Email Performance'!J739</f>
        <v>915</v>
      </c>
      <c r="J504" s="70">
        <f t="shared" si="126"/>
        <v>4.7017111145367663E-3</v>
      </c>
      <c r="K504" s="70">
        <f t="shared" si="127"/>
        <v>1.0869436096031171E-2</v>
      </c>
      <c r="L504" s="69">
        <f>'All Email Performance'!M739</f>
        <v>165</v>
      </c>
      <c r="M504" s="70">
        <f t="shared" si="125"/>
        <v>8.4784954524433484E-4</v>
      </c>
      <c r="N504" s="67" t="s">
        <v>16</v>
      </c>
    </row>
    <row r="505" spans="1:14" ht="24" customHeight="1" x14ac:dyDescent="0.3">
      <c r="A505" s="76" t="s">
        <v>645</v>
      </c>
      <c r="B505" s="67" t="s">
        <v>16</v>
      </c>
      <c r="C505" s="68">
        <v>45091</v>
      </c>
      <c r="D505" s="69">
        <f>'All Email Performance'!E740</f>
        <v>256121</v>
      </c>
      <c r="E505" s="70">
        <f t="shared" si="121"/>
        <v>0.99704046134444269</v>
      </c>
      <c r="F505" s="69">
        <f>'All Email Performance'!G740</f>
        <v>758</v>
      </c>
      <c r="G505" s="69">
        <f>'All Email Performance'!H740</f>
        <v>96521</v>
      </c>
      <c r="H505" s="70">
        <f t="shared" si="122"/>
        <v>0.37685703241827107</v>
      </c>
      <c r="I505" s="69">
        <f>'All Email Performance'!J740</f>
        <v>857</v>
      </c>
      <c r="J505" s="70">
        <f t="shared" si="126"/>
        <v>3.3460747068768276E-3</v>
      </c>
      <c r="K505" s="70">
        <f t="shared" si="127"/>
        <v>8.8788968203810572E-3</v>
      </c>
      <c r="L505" s="69">
        <f>'All Email Performance'!M740</f>
        <v>252</v>
      </c>
      <c r="M505" s="70">
        <f t="shared" si="125"/>
        <v>9.839099488132563E-4</v>
      </c>
      <c r="N505" s="67" t="s">
        <v>16</v>
      </c>
    </row>
    <row r="506" spans="1:14" ht="24" customHeight="1" x14ac:dyDescent="0.3">
      <c r="A506" s="76" t="s">
        <v>646</v>
      </c>
      <c r="B506" s="67" t="s">
        <v>16</v>
      </c>
      <c r="C506" s="68">
        <v>45091</v>
      </c>
      <c r="D506" s="69">
        <f>'All Email Performance'!E741</f>
        <v>256196</v>
      </c>
      <c r="E506" s="70">
        <f t="shared" si="121"/>
        <v>0.99724039407328768</v>
      </c>
      <c r="F506" s="69">
        <f>'All Email Performance'!G741</f>
        <v>707</v>
      </c>
      <c r="G506" s="69">
        <f>'All Email Performance'!H741</f>
        <v>98914</v>
      </c>
      <c r="H506" s="70">
        <f t="shared" si="122"/>
        <v>0.38608721447641647</v>
      </c>
      <c r="I506" s="69">
        <f>'All Email Performance'!J741</f>
        <v>1005</v>
      </c>
      <c r="J506" s="70">
        <f t="shared" si="126"/>
        <v>3.9227778731908379E-3</v>
      </c>
      <c r="K506" s="70">
        <f t="shared" si="127"/>
        <v>1.0160341306589563E-2</v>
      </c>
      <c r="L506" s="69">
        <f>'All Email Performance'!M741</f>
        <v>286</v>
      </c>
      <c r="M506" s="70">
        <f t="shared" si="125"/>
        <v>1.1163328076941091E-3</v>
      </c>
      <c r="N506" s="67" t="s">
        <v>16</v>
      </c>
    </row>
    <row r="507" spans="1:14" ht="24" customHeight="1" x14ac:dyDescent="0.3">
      <c r="A507" s="76" t="s">
        <v>647</v>
      </c>
      <c r="B507" s="67" t="s">
        <v>16</v>
      </c>
      <c r="C507" s="68">
        <v>45091</v>
      </c>
      <c r="D507" s="69">
        <f>SUM('All Email Performance'!E742:E743)</f>
        <v>351218</v>
      </c>
      <c r="E507" s="70">
        <f t="shared" si="121"/>
        <v>0.99742610002904175</v>
      </c>
      <c r="F507" s="69">
        <f>SUM('All Email Performance'!G742:G743)</f>
        <v>904</v>
      </c>
      <c r="G507" s="69">
        <f>SUM('All Email Performance'!H742:H743)</f>
        <v>104796</v>
      </c>
      <c r="H507" s="70">
        <f t="shared" si="122"/>
        <v>0.29837878468643408</v>
      </c>
      <c r="I507" s="69">
        <f>SUM('All Email Performance'!J742:J743)</f>
        <v>1552</v>
      </c>
      <c r="J507" s="70">
        <f t="shared" si="126"/>
        <v>4.4189079147424109E-3</v>
      </c>
      <c r="K507" s="70">
        <f t="shared" si="127"/>
        <v>1.4809725562044353E-2</v>
      </c>
      <c r="L507" s="69">
        <f>SUM('All Email Performance'!M742:M743)</f>
        <v>577</v>
      </c>
      <c r="M507" s="70">
        <f t="shared" si="125"/>
        <v>1.6428542956226618E-3</v>
      </c>
      <c r="N507" s="67" t="s">
        <v>16</v>
      </c>
    </row>
    <row r="508" spans="1:14" ht="24" customHeight="1" x14ac:dyDescent="0.3">
      <c r="A508" s="76" t="s">
        <v>648</v>
      </c>
      <c r="B508" s="67" t="s">
        <v>16</v>
      </c>
      <c r="C508" s="68">
        <v>45091</v>
      </c>
      <c r="D508" s="69">
        <f>SUM('All Email Performance'!E744:E745)</f>
        <v>4970343</v>
      </c>
      <c r="E508" s="70">
        <f t="shared" si="121"/>
        <v>0.99715733904078652</v>
      </c>
      <c r="F508" s="69">
        <f>SUM('All Email Performance'!G744:G745)</f>
        <v>14129</v>
      </c>
      <c r="G508" s="69">
        <f>SUM('All Email Performance'!H744:H745)</f>
        <v>1762477</v>
      </c>
      <c r="H508" s="70">
        <f t="shared" si="122"/>
        <v>0.35459866653065997</v>
      </c>
      <c r="I508" s="69">
        <f>SUM('All Email Performance'!J744:J745)</f>
        <v>20383</v>
      </c>
      <c r="J508" s="70">
        <f t="shared" si="126"/>
        <v>4.100924221929955E-3</v>
      </c>
      <c r="K508" s="70">
        <f t="shared" si="127"/>
        <v>1.1564973613840067E-2</v>
      </c>
      <c r="L508" s="69">
        <f>SUM('All Email Performance'!M744:M745)</f>
        <v>7224</v>
      </c>
      <c r="M508" s="70">
        <f t="shared" si="125"/>
        <v>1.4534208202532501E-3</v>
      </c>
      <c r="N508" s="67" t="s">
        <v>16</v>
      </c>
    </row>
    <row r="509" spans="1:14" ht="24" customHeight="1" x14ac:dyDescent="0.3">
      <c r="A509" s="76" t="s">
        <v>649</v>
      </c>
      <c r="B509" s="67" t="s">
        <v>16</v>
      </c>
      <c r="C509" s="68">
        <v>45092</v>
      </c>
      <c r="D509" s="69">
        <f>'All Email Performance'!E746</f>
        <v>21427</v>
      </c>
      <c r="E509" s="70">
        <f t="shared" si="121"/>
        <v>0.99710645447332802</v>
      </c>
      <c r="F509" s="69">
        <f>'All Email Performance'!G746</f>
        <v>62</v>
      </c>
      <c r="G509" s="69">
        <f>'All Email Performance'!H746</f>
        <v>6281</v>
      </c>
      <c r="H509" s="70">
        <f t="shared" si="122"/>
        <v>0.29313482988752509</v>
      </c>
      <c r="I509" s="69">
        <f>'All Email Performance'!J746</f>
        <v>54</v>
      </c>
      <c r="J509" s="70">
        <f t="shared" si="126"/>
        <v>2.520184813552994E-3</v>
      </c>
      <c r="K509" s="70">
        <f t="shared" si="127"/>
        <v>8.5973571087406466E-3</v>
      </c>
      <c r="L509" s="69">
        <f>'All Email Performance'!M746</f>
        <v>7</v>
      </c>
      <c r="M509" s="70">
        <f t="shared" si="125"/>
        <v>3.2669062397909179E-4</v>
      </c>
      <c r="N509" s="67" t="s">
        <v>16</v>
      </c>
    </row>
    <row r="510" spans="1:14" ht="24" customHeight="1" x14ac:dyDescent="0.3">
      <c r="A510" s="76" t="s">
        <v>650</v>
      </c>
      <c r="B510" s="67" t="s">
        <v>16</v>
      </c>
      <c r="C510" s="68">
        <v>45092</v>
      </c>
      <c r="D510" s="69">
        <f>'All Email Performance'!E747</f>
        <v>370302</v>
      </c>
      <c r="E510" s="70">
        <f t="shared" si="121"/>
        <v>0.99729680098946261</v>
      </c>
      <c r="F510" s="69">
        <f>'All Email Performance'!G747</f>
        <v>1001</v>
      </c>
      <c r="G510" s="69">
        <f>'All Email Performance'!H747</f>
        <v>125205</v>
      </c>
      <c r="H510" s="70">
        <f t="shared" si="122"/>
        <v>0.3381159161981302</v>
      </c>
      <c r="I510" s="69">
        <f>'All Email Performance'!J747</f>
        <v>830</v>
      </c>
      <c r="J510" s="70">
        <f t="shared" si="126"/>
        <v>2.2414137649810154E-3</v>
      </c>
      <c r="K510" s="70">
        <f t="shared" si="127"/>
        <v>6.6291282297032865E-3</v>
      </c>
      <c r="L510" s="69">
        <f>'All Email Performance'!M747</f>
        <v>210</v>
      </c>
      <c r="M510" s="70">
        <f t="shared" si="125"/>
        <v>5.6710468752531719E-4</v>
      </c>
      <c r="N510" s="67" t="s">
        <v>16</v>
      </c>
    </row>
    <row r="511" spans="1:14" ht="24" customHeight="1" x14ac:dyDescent="0.3">
      <c r="A511" s="76" t="s">
        <v>651</v>
      </c>
      <c r="B511" s="67" t="s">
        <v>16</v>
      </c>
      <c r="C511" s="68">
        <v>45092</v>
      </c>
      <c r="D511" s="69">
        <f>'All Email Performance'!E748</f>
        <v>1143</v>
      </c>
      <c r="E511" s="70">
        <f t="shared" si="121"/>
        <v>0.99475065616797897</v>
      </c>
      <c r="F511" s="69">
        <f>'All Email Performance'!G748</f>
        <v>6</v>
      </c>
      <c r="G511" s="69">
        <f>'All Email Performance'!H748</f>
        <v>339</v>
      </c>
      <c r="H511" s="70">
        <f t="shared" si="122"/>
        <v>0.29658792650918636</v>
      </c>
      <c r="I511" s="69">
        <f>'All Email Performance'!J748</f>
        <v>4</v>
      </c>
      <c r="J511" s="70">
        <f t="shared" si="126"/>
        <v>3.499562554680665E-3</v>
      </c>
      <c r="K511" s="70">
        <f t="shared" si="127"/>
        <v>1.1799410029498525E-2</v>
      </c>
      <c r="L511" s="69">
        <f>'All Email Performance'!M748</f>
        <v>0</v>
      </c>
      <c r="M511" s="70">
        <f t="shared" si="125"/>
        <v>0</v>
      </c>
      <c r="N511" s="67" t="s">
        <v>16</v>
      </c>
    </row>
    <row r="512" spans="1:14" ht="24" customHeight="1" x14ac:dyDescent="0.3">
      <c r="A512" s="76" t="s">
        <v>652</v>
      </c>
      <c r="B512" s="67" t="s">
        <v>16</v>
      </c>
      <c r="C512" s="68">
        <v>45092</v>
      </c>
      <c r="D512" s="69">
        <f>'All Email Performance'!E749</f>
        <v>19550</v>
      </c>
      <c r="E512" s="70">
        <f t="shared" si="121"/>
        <v>0.99713554987212272</v>
      </c>
      <c r="F512" s="69">
        <f>'All Email Performance'!G749</f>
        <v>56</v>
      </c>
      <c r="G512" s="69">
        <f>'All Email Performance'!H749</f>
        <v>6574</v>
      </c>
      <c r="H512" s="70">
        <f t="shared" si="122"/>
        <v>0.33626598465473145</v>
      </c>
      <c r="I512" s="69">
        <f>'All Email Performance'!J749</f>
        <v>37</v>
      </c>
      <c r="J512" s="70">
        <f t="shared" si="126"/>
        <v>1.8925831202046036E-3</v>
      </c>
      <c r="K512" s="70">
        <f t="shared" si="127"/>
        <v>5.6282324307879526E-3</v>
      </c>
      <c r="L512" s="69">
        <f>'All Email Performance'!M749</f>
        <v>9</v>
      </c>
      <c r="M512" s="70">
        <f t="shared" si="125"/>
        <v>4.6035805626598467E-4</v>
      </c>
      <c r="N512" s="67" t="s">
        <v>16</v>
      </c>
    </row>
    <row r="513" spans="1:14" ht="24" customHeight="1" x14ac:dyDescent="0.3">
      <c r="A513" s="76" t="s">
        <v>653</v>
      </c>
      <c r="B513" s="67" t="s">
        <v>102</v>
      </c>
      <c r="C513" s="68">
        <v>45092</v>
      </c>
      <c r="D513" s="69">
        <f>SUM('All Email Performance'!E750:E751)</f>
        <v>4972</v>
      </c>
      <c r="E513" s="70">
        <f t="shared" si="121"/>
        <v>0.99738535800482708</v>
      </c>
      <c r="F513" s="69">
        <f>SUM('All Email Performance'!G750:G751)</f>
        <v>13</v>
      </c>
      <c r="G513" s="69">
        <f>SUM('All Email Performance'!H750:H751)</f>
        <v>1941</v>
      </c>
      <c r="H513" s="70">
        <f t="shared" si="122"/>
        <v>0.39038616251005631</v>
      </c>
      <c r="I513" s="69">
        <f>SUM('All Email Performance'!J750:J751)</f>
        <v>41</v>
      </c>
      <c r="J513" s="70">
        <f t="shared" si="126"/>
        <v>8.2461786001609017E-3</v>
      </c>
      <c r="K513" s="70">
        <f t="shared" si="127"/>
        <v>2.1123132405976301E-2</v>
      </c>
      <c r="L513" s="69">
        <f>SUM('All Email Performance'!M750:M751)</f>
        <v>2</v>
      </c>
      <c r="M513" s="70">
        <f t="shared" si="125"/>
        <v>4.0225261464199515E-4</v>
      </c>
      <c r="N513" s="67" t="s">
        <v>102</v>
      </c>
    </row>
    <row r="514" spans="1:14" ht="24" customHeight="1" x14ac:dyDescent="0.3">
      <c r="A514" s="76" t="s">
        <v>654</v>
      </c>
      <c r="B514" s="67" t="s">
        <v>102</v>
      </c>
      <c r="C514" s="68">
        <v>45092</v>
      </c>
      <c r="D514" s="69">
        <f>SUM('All Email Performance'!E752:E753)</f>
        <v>100693</v>
      </c>
      <c r="E514" s="70">
        <f t="shared" si="121"/>
        <v>0.9980932140267943</v>
      </c>
      <c r="F514" s="69">
        <f>SUM('All Email Performance'!G752:G753)</f>
        <v>192</v>
      </c>
      <c r="G514" s="69">
        <f>SUM('All Email Performance'!H752:H753)</f>
        <v>41557</v>
      </c>
      <c r="H514" s="70">
        <f t="shared" si="122"/>
        <v>0.41270992025264913</v>
      </c>
      <c r="I514" s="69">
        <f>SUM('All Email Performance'!J752:J753)</f>
        <v>707</v>
      </c>
      <c r="J514" s="70">
        <f t="shared" si="126"/>
        <v>7.0213420992521827E-3</v>
      </c>
      <c r="K514" s="70">
        <f t="shared" si="127"/>
        <v>1.7012777630724066E-2</v>
      </c>
      <c r="L514" s="69">
        <f>SUM('All Email Performance'!M752:M753)</f>
        <v>54</v>
      </c>
      <c r="M514" s="70">
        <f t="shared" si="125"/>
        <v>5.3628355496409879E-4</v>
      </c>
      <c r="N514" s="67" t="s">
        <v>102</v>
      </c>
    </row>
    <row r="515" spans="1:14" ht="24" customHeight="1" x14ac:dyDescent="0.3">
      <c r="A515" s="66" t="s">
        <v>26</v>
      </c>
      <c r="B515" s="67" t="s">
        <v>23</v>
      </c>
      <c r="C515" s="68">
        <v>45092</v>
      </c>
      <c r="D515" s="69">
        <f>'All Email Performance'!E754</f>
        <v>1641</v>
      </c>
      <c r="E515" s="70">
        <f t="shared" si="121"/>
        <v>0.99878123095673366</v>
      </c>
      <c r="F515" s="69">
        <f>'All Email Performance'!G754</f>
        <v>2</v>
      </c>
      <c r="G515" s="69">
        <f>'All Email Performance'!H754</f>
        <v>580</v>
      </c>
      <c r="H515" s="70">
        <f t="shared" si="122"/>
        <v>0.35344302254722731</v>
      </c>
      <c r="I515" s="69">
        <f>'All Email Performance'!J754</f>
        <v>15</v>
      </c>
      <c r="J515" s="70">
        <f t="shared" si="126"/>
        <v>9.140767824497258E-3</v>
      </c>
      <c r="K515" s="70">
        <f t="shared" si="127"/>
        <v>2.5862068965517241E-2</v>
      </c>
      <c r="L515" s="69">
        <f>'All Email Performance'!M754</f>
        <v>0</v>
      </c>
      <c r="M515" s="70">
        <f t="shared" si="125"/>
        <v>0</v>
      </c>
      <c r="N515" s="67" t="s">
        <v>23</v>
      </c>
    </row>
    <row r="516" spans="1:14" ht="24" customHeight="1" x14ac:dyDescent="0.3">
      <c r="A516" s="76" t="s">
        <v>658</v>
      </c>
      <c r="B516" s="67" t="s">
        <v>21</v>
      </c>
      <c r="C516" s="68">
        <v>45093</v>
      </c>
      <c r="D516" s="69">
        <f>SUM('All Email Performance'!E755:E756)</f>
        <v>634</v>
      </c>
      <c r="E516" s="70">
        <f t="shared" si="121"/>
        <v>1</v>
      </c>
      <c r="F516" s="69">
        <f>SUM('All Email Performance'!G755:G756)</f>
        <v>0</v>
      </c>
      <c r="G516" s="69">
        <f>SUM('All Email Performance'!H755:H756)</f>
        <v>259</v>
      </c>
      <c r="H516" s="70">
        <f t="shared" si="122"/>
        <v>0.40851735015772872</v>
      </c>
      <c r="I516" s="69">
        <f>SUM('All Email Performance'!J755:J756)</f>
        <v>7</v>
      </c>
      <c r="J516" s="70">
        <f t="shared" si="126"/>
        <v>1.1041009463722398E-2</v>
      </c>
      <c r="K516" s="70">
        <f t="shared" si="127"/>
        <v>2.7027027027027029E-2</v>
      </c>
      <c r="L516" s="69">
        <f>SUM('All Email Performance'!M755:M756)</f>
        <v>0</v>
      </c>
      <c r="M516" s="70">
        <f t="shared" si="125"/>
        <v>0</v>
      </c>
      <c r="N516" s="67" t="s">
        <v>21</v>
      </c>
    </row>
    <row r="517" spans="1:14" ht="24" customHeight="1" x14ac:dyDescent="0.3">
      <c r="A517" s="76" t="s">
        <v>659</v>
      </c>
      <c r="B517" s="67" t="s">
        <v>21</v>
      </c>
      <c r="C517" s="68">
        <v>45093</v>
      </c>
      <c r="D517" s="69">
        <f>SUM('All Email Performance'!E757:E758)</f>
        <v>16321</v>
      </c>
      <c r="E517" s="70">
        <f t="shared" si="121"/>
        <v>0.99791679431407387</v>
      </c>
      <c r="F517" s="69">
        <f>SUM('All Email Performance'!G757:G758)</f>
        <v>34</v>
      </c>
      <c r="G517" s="69">
        <f>SUM('All Email Performance'!H757:H758)</f>
        <v>8620</v>
      </c>
      <c r="H517" s="70">
        <f t="shared" si="122"/>
        <v>0.52815391213773666</v>
      </c>
      <c r="I517" s="69">
        <f>SUM('All Email Performance'!J757:J758)</f>
        <v>175</v>
      </c>
      <c r="J517" s="70">
        <f t="shared" si="126"/>
        <v>1.0722382206972612E-2</v>
      </c>
      <c r="K517" s="70">
        <f t="shared" si="127"/>
        <v>2.0301624129930394E-2</v>
      </c>
      <c r="L517" s="69">
        <f>SUM('All Email Performance'!M757:M758)</f>
        <v>4</v>
      </c>
      <c r="M517" s="70">
        <f t="shared" si="125"/>
        <v>2.4508302187365973E-4</v>
      </c>
      <c r="N517" s="67" t="s">
        <v>21</v>
      </c>
    </row>
    <row r="518" spans="1:14" ht="24" customHeight="1" x14ac:dyDescent="0.3">
      <c r="A518" s="76" t="s">
        <v>655</v>
      </c>
      <c r="B518" s="67" t="s">
        <v>16</v>
      </c>
      <c r="C518" s="68">
        <v>45093</v>
      </c>
      <c r="D518" s="69">
        <f>SUM('All Email Performance'!E759:E760)</f>
        <v>292730</v>
      </c>
      <c r="E518" s="70">
        <f t="shared" si="121"/>
        <v>0.99721928056570897</v>
      </c>
      <c r="F518" s="69">
        <f>SUM('All Email Performance'!G759:G760)</f>
        <v>814</v>
      </c>
      <c r="G518" s="69">
        <f>SUM('All Email Performance'!H759:H760)</f>
        <v>108060</v>
      </c>
      <c r="H518" s="70">
        <f t="shared" si="122"/>
        <v>0.36914562907798998</v>
      </c>
      <c r="I518" s="69">
        <f>SUM('All Email Performance'!J759:J760)</f>
        <v>835</v>
      </c>
      <c r="J518" s="70">
        <f t="shared" si="126"/>
        <v>2.8524578963550029E-3</v>
      </c>
      <c r="K518" s="70">
        <f t="shared" si="127"/>
        <v>7.7271885989265224E-3</v>
      </c>
      <c r="L518" s="69">
        <f>SUM('All Email Performance'!M759:M760)</f>
        <v>51</v>
      </c>
      <c r="M518" s="70">
        <f t="shared" si="125"/>
        <v>1.7422197929832951E-4</v>
      </c>
      <c r="N518" s="67" t="s">
        <v>16</v>
      </c>
    </row>
    <row r="519" spans="1:14" ht="24" customHeight="1" x14ac:dyDescent="0.3">
      <c r="A519" s="76" t="s">
        <v>28</v>
      </c>
      <c r="B519" s="67" t="s">
        <v>16</v>
      </c>
      <c r="C519" s="68">
        <v>45093</v>
      </c>
      <c r="D519" s="69">
        <f>SUM('All Email Performance'!E761:E762)</f>
        <v>312235</v>
      </c>
      <c r="E519" s="70">
        <f t="shared" si="121"/>
        <v>0.99766201739074734</v>
      </c>
      <c r="F519" s="69">
        <f>SUM('All Email Performance'!G761:G762)</f>
        <v>730</v>
      </c>
      <c r="G519" s="69">
        <f>SUM('All Email Performance'!H761:H762)</f>
        <v>91280</v>
      </c>
      <c r="H519" s="70">
        <f t="shared" si="122"/>
        <v>0.29234390763367335</v>
      </c>
      <c r="I519" s="69">
        <f>SUM('All Email Performance'!J761:J762)</f>
        <v>1655</v>
      </c>
      <c r="J519" s="70">
        <f t="shared" si="126"/>
        <v>5.3004948196070266E-3</v>
      </c>
      <c r="K519" s="70">
        <f t="shared" si="127"/>
        <v>1.8131025416301488E-2</v>
      </c>
      <c r="L519" s="69">
        <f>SUM('All Email Performance'!M761:M762)</f>
        <v>67</v>
      </c>
      <c r="M519" s="70">
        <f t="shared" si="125"/>
        <v>2.1458196550674973E-4</v>
      </c>
      <c r="N519" s="67" t="s">
        <v>16</v>
      </c>
    </row>
    <row r="520" spans="1:14" ht="24" customHeight="1" x14ac:dyDescent="0.3">
      <c r="A520" s="76" t="s">
        <v>22</v>
      </c>
      <c r="B520" s="67" t="s">
        <v>16</v>
      </c>
      <c r="C520" s="68">
        <v>45093</v>
      </c>
      <c r="D520" s="69">
        <f>SUM('All Email Performance'!E763:E764)</f>
        <v>4383644</v>
      </c>
      <c r="E520" s="70">
        <f t="shared" si="121"/>
        <v>0.99727737927623683</v>
      </c>
      <c r="F520" s="69">
        <f>SUM('All Email Performance'!G763:G764)</f>
        <v>11935</v>
      </c>
      <c r="G520" s="69">
        <f>SUM('All Email Performance'!H763:H764)</f>
        <v>1456088</v>
      </c>
      <c r="H520" s="70">
        <f t="shared" si="122"/>
        <v>0.33216383447195985</v>
      </c>
      <c r="I520" s="69">
        <f>SUM('All Email Performance'!J763:J764)</f>
        <v>18799</v>
      </c>
      <c r="J520" s="70">
        <f t="shared" si="126"/>
        <v>4.2884413059089653E-3</v>
      </c>
      <c r="K520" s="70">
        <f t="shared" si="127"/>
        <v>1.2910620786655752E-2</v>
      </c>
      <c r="L520" s="69">
        <f>SUM('All Email Performance'!M763:M764)</f>
        <v>1219</v>
      </c>
      <c r="M520" s="70">
        <f t="shared" si="125"/>
        <v>2.7807915058795831E-4</v>
      </c>
      <c r="N520" s="67" t="s">
        <v>16</v>
      </c>
    </row>
    <row r="521" spans="1:14" ht="24" customHeight="1" x14ac:dyDescent="0.3">
      <c r="A521" s="76" t="s">
        <v>33</v>
      </c>
      <c r="B521" s="67" t="s">
        <v>21</v>
      </c>
      <c r="C521" s="68">
        <v>45093</v>
      </c>
      <c r="D521" s="69">
        <f>'All Email Performance'!E765</f>
        <v>232748</v>
      </c>
      <c r="E521" s="70">
        <f t="shared" si="121"/>
        <v>0.99796775912145319</v>
      </c>
      <c r="F521" s="69">
        <f>'All Email Performance'!G765</f>
        <v>473</v>
      </c>
      <c r="G521" s="69">
        <f>'All Email Performance'!H765</f>
        <v>102640</v>
      </c>
      <c r="H521" s="70">
        <f t="shared" si="122"/>
        <v>0.44099197415230207</v>
      </c>
      <c r="I521" s="69">
        <f>'All Email Performance'!J765</f>
        <v>1887</v>
      </c>
      <c r="J521" s="70">
        <f t="shared" si="126"/>
        <v>8.1074810524687652E-3</v>
      </c>
      <c r="K521" s="70">
        <f t="shared" si="127"/>
        <v>1.8384645362431801E-2</v>
      </c>
      <c r="L521" s="69">
        <f>'All Email Performance'!M765</f>
        <v>41</v>
      </c>
      <c r="M521" s="70">
        <f t="shared" si="125"/>
        <v>1.761561860896764E-4</v>
      </c>
      <c r="N521" s="67" t="s">
        <v>21</v>
      </c>
    </row>
    <row r="522" spans="1:14" ht="24" customHeight="1" x14ac:dyDescent="0.3">
      <c r="A522" s="76" t="s">
        <v>19</v>
      </c>
      <c r="B522" s="67" t="s">
        <v>21</v>
      </c>
      <c r="C522" s="68">
        <v>45093</v>
      </c>
      <c r="D522" s="69">
        <f>'All Email Performance'!E766</f>
        <v>331907</v>
      </c>
      <c r="E522" s="70">
        <f t="shared" si="121"/>
        <v>0.99636645204831475</v>
      </c>
      <c r="F522" s="69">
        <f>'All Email Performance'!G766</f>
        <v>1206</v>
      </c>
      <c r="G522" s="69">
        <f>'All Email Performance'!H766</f>
        <v>119489</v>
      </c>
      <c r="H522" s="70">
        <f t="shared" si="122"/>
        <v>0.3600074719725706</v>
      </c>
      <c r="I522" s="69">
        <f>'All Email Performance'!J766</f>
        <v>2322</v>
      </c>
      <c r="J522" s="70">
        <f t="shared" si="126"/>
        <v>6.9959356084686375E-3</v>
      </c>
      <c r="K522" s="70">
        <f t="shared" si="127"/>
        <v>1.9432751131903354E-2</v>
      </c>
      <c r="L522" s="69">
        <f>'All Email Performance'!M766</f>
        <v>69</v>
      </c>
      <c r="M522" s="70">
        <f t="shared" si="125"/>
        <v>2.0788955942477864E-4</v>
      </c>
      <c r="N522" s="67" t="s">
        <v>21</v>
      </c>
    </row>
    <row r="523" spans="1:14" ht="24" customHeight="1" x14ac:dyDescent="0.3">
      <c r="A523" s="76" t="s">
        <v>75</v>
      </c>
      <c r="B523" s="67" t="s">
        <v>16</v>
      </c>
      <c r="C523" s="68">
        <v>45094</v>
      </c>
      <c r="D523" s="69">
        <f>'All Email Performance'!E767</f>
        <v>29593</v>
      </c>
      <c r="E523" s="70">
        <f t="shared" si="121"/>
        <v>0.99797249349508332</v>
      </c>
      <c r="F523" s="69">
        <f>'All Email Performance'!G767</f>
        <v>60</v>
      </c>
      <c r="G523" s="69">
        <f>'All Email Performance'!H767</f>
        <v>8584</v>
      </c>
      <c r="H523" s="70">
        <f t="shared" si="122"/>
        <v>0.29006859730341633</v>
      </c>
      <c r="I523" s="69">
        <f>'All Email Performance'!J767</f>
        <v>261</v>
      </c>
      <c r="J523" s="70">
        <f t="shared" si="126"/>
        <v>8.8196532963876594E-3</v>
      </c>
      <c r="K523" s="70">
        <f t="shared" si="127"/>
        <v>3.0405405405405407E-2</v>
      </c>
      <c r="L523" s="69">
        <f>'All Email Performance'!M767</f>
        <v>2</v>
      </c>
      <c r="M523" s="70">
        <f t="shared" si="125"/>
        <v>6.7583550163890106E-5</v>
      </c>
      <c r="N523" s="67" t="s">
        <v>16</v>
      </c>
    </row>
    <row r="524" spans="1:14" ht="24" customHeight="1" x14ac:dyDescent="0.3">
      <c r="A524" s="76" t="s">
        <v>78</v>
      </c>
      <c r="B524" s="67" t="s">
        <v>16</v>
      </c>
      <c r="C524" s="68">
        <v>45094</v>
      </c>
      <c r="D524" s="69">
        <f>'All Email Performance'!E768</f>
        <v>476813</v>
      </c>
      <c r="E524" s="70">
        <f t="shared" si="121"/>
        <v>0.99746231751231618</v>
      </c>
      <c r="F524" s="69">
        <f>'All Email Performance'!G768</f>
        <v>1210</v>
      </c>
      <c r="G524" s="69">
        <f>'All Email Performance'!H768</f>
        <v>153105</v>
      </c>
      <c r="H524" s="70">
        <f t="shared" si="122"/>
        <v>0.32110072502217851</v>
      </c>
      <c r="I524" s="69">
        <f>'All Email Performance'!J768</f>
        <v>2584</v>
      </c>
      <c r="J524" s="70">
        <f t="shared" si="126"/>
        <v>5.4193153290703067E-3</v>
      </c>
      <c r="K524" s="70">
        <f t="shared" si="127"/>
        <v>1.6877306423696156E-2</v>
      </c>
      <c r="L524" s="69">
        <f>'All Email Performance'!M768</f>
        <v>52</v>
      </c>
      <c r="M524" s="70">
        <f t="shared" si="125"/>
        <v>1.0905742922277707E-4</v>
      </c>
      <c r="N524" s="67" t="s">
        <v>16</v>
      </c>
    </row>
    <row r="525" spans="1:14" ht="24" customHeight="1" x14ac:dyDescent="0.3">
      <c r="A525" s="95" t="s">
        <v>668</v>
      </c>
      <c r="B525" s="58" t="s">
        <v>16</v>
      </c>
      <c r="C525" s="83">
        <v>45096</v>
      </c>
      <c r="D525" s="59">
        <f>SUM('All Email Performance'!E769:E770)</f>
        <v>105192</v>
      </c>
      <c r="E525" s="60">
        <f t="shared" ref="E525:E546" si="128">(D525-F525)/D525</f>
        <v>0.99804167617309303</v>
      </c>
      <c r="F525" s="59">
        <f>SUM('All Email Performance'!G769:G770)</f>
        <v>206</v>
      </c>
      <c r="G525" s="59">
        <f>SUM('All Email Performance'!H769:H770)</f>
        <v>31404</v>
      </c>
      <c r="H525" s="60">
        <f t="shared" ref="H525:H546" si="129">G525/D525</f>
        <v>0.29853981291352955</v>
      </c>
      <c r="I525" s="59">
        <f>SUM('All Email Performance'!J769:J770)</f>
        <v>422</v>
      </c>
      <c r="J525" s="60">
        <f t="shared" ref="J525:J546" si="130">I525/D525</f>
        <v>4.0117119172560648E-3</v>
      </c>
      <c r="K525" s="60">
        <f t="shared" ref="K525:K546" si="131">I525/G525</f>
        <v>1.3437778626926506E-2</v>
      </c>
      <c r="L525" s="59">
        <f>SUM('All Email Performance'!M769:M770)</f>
        <v>113</v>
      </c>
      <c r="M525" s="60">
        <f t="shared" ref="M525:M546" si="132">L525/D525</f>
        <v>1.0742261768955815E-3</v>
      </c>
      <c r="N525" s="58" t="s">
        <v>16</v>
      </c>
    </row>
    <row r="526" spans="1:14" ht="24" customHeight="1" x14ac:dyDescent="0.3">
      <c r="A526" s="95" t="s">
        <v>669</v>
      </c>
      <c r="B526" s="58" t="s">
        <v>16</v>
      </c>
      <c r="C526" s="83">
        <v>45096</v>
      </c>
      <c r="D526" s="59">
        <f>SUM('All Email Performance'!E771:E772)</f>
        <v>1194576</v>
      </c>
      <c r="E526" s="60">
        <f t="shared" si="128"/>
        <v>0.99761923896009963</v>
      </c>
      <c r="F526" s="59">
        <f>SUM('All Email Performance'!G771:G772)</f>
        <v>2844</v>
      </c>
      <c r="G526" s="59">
        <f>SUM('All Email Performance'!H771:H772)</f>
        <v>450845</v>
      </c>
      <c r="H526" s="60">
        <f t="shared" si="129"/>
        <v>0.37741006013849265</v>
      </c>
      <c r="I526" s="59">
        <f>SUM('All Email Performance'!J771:J772)</f>
        <v>4780</v>
      </c>
      <c r="J526" s="60">
        <f t="shared" si="130"/>
        <v>4.0014197506060729E-3</v>
      </c>
      <c r="K526" s="60">
        <f t="shared" si="131"/>
        <v>1.0602313433663454E-2</v>
      </c>
      <c r="L526" s="59">
        <f>SUM('All Email Performance'!M771:M772)</f>
        <v>1363</v>
      </c>
      <c r="M526" s="60">
        <f t="shared" si="132"/>
        <v>1.1409906108945768E-3</v>
      </c>
      <c r="N526" s="58" t="s">
        <v>16</v>
      </c>
    </row>
    <row r="527" spans="1:14" ht="24" customHeight="1" x14ac:dyDescent="0.3">
      <c r="A527" s="95" t="s">
        <v>29</v>
      </c>
      <c r="B527" s="58" t="s">
        <v>16</v>
      </c>
      <c r="C527" s="83">
        <v>45097</v>
      </c>
      <c r="D527" s="59">
        <f>SUM('All Email Performance'!E773:E774)</f>
        <v>54328</v>
      </c>
      <c r="E527" s="60">
        <f t="shared" si="128"/>
        <v>0.99769916065380648</v>
      </c>
      <c r="F527" s="59">
        <f>SUM('All Email Performance'!G773:G774)</f>
        <v>125</v>
      </c>
      <c r="G527" s="59">
        <f>SUM('All Email Performance'!H773:H774)</f>
        <v>18329</v>
      </c>
      <c r="H527" s="60">
        <f t="shared" si="129"/>
        <v>0.33737667501104401</v>
      </c>
      <c r="I527" s="59">
        <f>SUM('All Email Performance'!J773:J774)</f>
        <v>356</v>
      </c>
      <c r="J527" s="60">
        <f t="shared" si="130"/>
        <v>6.5527904579590632E-3</v>
      </c>
      <c r="K527" s="60">
        <f t="shared" si="131"/>
        <v>1.9422772655354904E-2</v>
      </c>
      <c r="L527" s="59">
        <f>SUM('All Email Performance'!M773:M774)</f>
        <v>28</v>
      </c>
      <c r="M527" s="60">
        <f t="shared" si="132"/>
        <v>5.1538801354734205E-4</v>
      </c>
      <c r="N527" s="58" t="s">
        <v>16</v>
      </c>
    </row>
    <row r="528" spans="1:14" ht="24" customHeight="1" x14ac:dyDescent="0.3">
      <c r="A528" s="95" t="s">
        <v>17</v>
      </c>
      <c r="B528" s="58" t="s">
        <v>16</v>
      </c>
      <c r="C528" s="83">
        <v>45097</v>
      </c>
      <c r="D528" s="59">
        <f>SUM('All Email Performance'!E775:E776)</f>
        <v>722762</v>
      </c>
      <c r="E528" s="60">
        <f t="shared" si="128"/>
        <v>0.99750540288504375</v>
      </c>
      <c r="F528" s="59">
        <f>SUM('All Email Performance'!G775:G776)</f>
        <v>1803</v>
      </c>
      <c r="G528" s="59">
        <f>SUM('All Email Performance'!H775:H776)</f>
        <v>262358</v>
      </c>
      <c r="H528" s="60">
        <f t="shared" si="129"/>
        <v>0.36299362722445289</v>
      </c>
      <c r="I528" s="59">
        <f>SUM('All Email Performance'!J775:J776)</f>
        <v>3415</v>
      </c>
      <c r="J528" s="60">
        <f t="shared" si="130"/>
        <v>4.7249301983225463E-3</v>
      </c>
      <c r="K528" s="60">
        <f t="shared" si="131"/>
        <v>1.30165651514343E-2</v>
      </c>
      <c r="L528" s="59">
        <f>SUM('All Email Performance'!M775:M776)</f>
        <v>523</v>
      </c>
      <c r="M528" s="60">
        <f t="shared" si="132"/>
        <v>7.2361302890854809E-4</v>
      </c>
      <c r="N528" s="58" t="s">
        <v>16</v>
      </c>
    </row>
    <row r="529" spans="1:14" ht="24" customHeight="1" x14ac:dyDescent="0.3">
      <c r="A529" s="95" t="s">
        <v>670</v>
      </c>
      <c r="B529" s="58" t="s">
        <v>98</v>
      </c>
      <c r="C529" s="83">
        <v>45097</v>
      </c>
      <c r="D529" s="59">
        <f>'All Email Performance'!E777</f>
        <v>7347</v>
      </c>
      <c r="E529" s="60">
        <f t="shared" si="128"/>
        <v>0.978494623655914</v>
      </c>
      <c r="F529" s="59">
        <f>'All Email Performance'!G777</f>
        <v>158</v>
      </c>
      <c r="G529" s="59">
        <f>'All Email Performance'!H777</f>
        <v>2291</v>
      </c>
      <c r="H529" s="60">
        <f t="shared" si="129"/>
        <v>0.31182795698924731</v>
      </c>
      <c r="I529" s="59">
        <f>'All Email Performance'!J777</f>
        <v>185</v>
      </c>
      <c r="J529" s="60">
        <f t="shared" si="130"/>
        <v>2.5180345719341229E-2</v>
      </c>
      <c r="K529" s="60">
        <f t="shared" si="131"/>
        <v>8.0750763858577046E-2</v>
      </c>
      <c r="L529" s="59">
        <f>'All Email Performance'!M777</f>
        <v>65</v>
      </c>
      <c r="M529" s="60">
        <f t="shared" si="132"/>
        <v>8.8471484959847559E-3</v>
      </c>
      <c r="N529" s="58" t="s">
        <v>98</v>
      </c>
    </row>
    <row r="530" spans="1:14" ht="24" customHeight="1" x14ac:dyDescent="0.3">
      <c r="A530" s="95" t="s">
        <v>671</v>
      </c>
      <c r="B530" s="58" t="s">
        <v>98</v>
      </c>
      <c r="C530" s="83">
        <v>45097</v>
      </c>
      <c r="D530" s="59">
        <f>'All Email Performance'!E778</f>
        <v>830</v>
      </c>
      <c r="E530" s="60">
        <f t="shared" si="128"/>
        <v>0.99036144578313257</v>
      </c>
      <c r="F530" s="59">
        <f>'All Email Performance'!G778</f>
        <v>8</v>
      </c>
      <c r="G530" s="59">
        <f>'All Email Performance'!H778</f>
        <v>196</v>
      </c>
      <c r="H530" s="60">
        <f t="shared" si="129"/>
        <v>0.236144578313253</v>
      </c>
      <c r="I530" s="59">
        <f>'All Email Performance'!J778</f>
        <v>9</v>
      </c>
      <c r="J530" s="60">
        <f t="shared" si="130"/>
        <v>1.0843373493975903E-2</v>
      </c>
      <c r="K530" s="60">
        <f t="shared" si="131"/>
        <v>4.5918367346938778E-2</v>
      </c>
      <c r="L530" s="59">
        <f>'All Email Performance'!M778</f>
        <v>4</v>
      </c>
      <c r="M530" s="60">
        <f t="shared" si="132"/>
        <v>4.8192771084337354E-3</v>
      </c>
      <c r="N530" s="58" t="s">
        <v>98</v>
      </c>
    </row>
    <row r="531" spans="1:14" ht="24" customHeight="1" x14ac:dyDescent="0.3">
      <c r="A531" s="95" t="s">
        <v>672</v>
      </c>
      <c r="B531" s="58" t="s">
        <v>16</v>
      </c>
      <c r="C531" s="83">
        <v>45098</v>
      </c>
      <c r="D531" s="59">
        <f>SUM('All Email Performance'!E779:E780)</f>
        <v>350805</v>
      </c>
      <c r="E531" s="60">
        <f t="shared" si="128"/>
        <v>0.99786491070537764</v>
      </c>
      <c r="F531" s="59">
        <f>SUM('All Email Performance'!G779:G780)</f>
        <v>749</v>
      </c>
      <c r="G531" s="59">
        <f>SUM('All Email Performance'!H779:H780)</f>
        <v>103457</v>
      </c>
      <c r="H531" s="60">
        <f t="shared" si="129"/>
        <v>0.2949131283761634</v>
      </c>
      <c r="I531" s="59">
        <f>SUM('All Email Performance'!J779:J780)</f>
        <v>1233</v>
      </c>
      <c r="J531" s="60">
        <f t="shared" si="130"/>
        <v>3.5147731645786121E-3</v>
      </c>
      <c r="K531" s="60">
        <f t="shared" si="131"/>
        <v>1.1917994915762104E-2</v>
      </c>
      <c r="L531" s="59">
        <f>SUM('All Email Performance'!M779:M780)</f>
        <v>444</v>
      </c>
      <c r="M531" s="60">
        <f t="shared" si="132"/>
        <v>1.2656604096292813E-3</v>
      </c>
      <c r="N531" s="58" t="s">
        <v>16</v>
      </c>
    </row>
    <row r="532" spans="1:14" ht="24" customHeight="1" x14ac:dyDescent="0.3">
      <c r="A532" s="95" t="s">
        <v>673</v>
      </c>
      <c r="B532" s="58" t="s">
        <v>16</v>
      </c>
      <c r="C532" s="83">
        <v>45098</v>
      </c>
      <c r="D532" s="59">
        <f>SUM('All Email Performance'!E781:E782)</f>
        <v>4988426</v>
      </c>
      <c r="E532" s="60">
        <f t="shared" si="128"/>
        <v>0.997477761522372</v>
      </c>
      <c r="F532" s="59">
        <f>SUM('All Email Performance'!G781:G782)</f>
        <v>12582</v>
      </c>
      <c r="G532" s="59">
        <f>SUM('All Email Performance'!H781:H782)</f>
        <v>1727052</v>
      </c>
      <c r="H532" s="60">
        <f t="shared" si="129"/>
        <v>0.34621181110033505</v>
      </c>
      <c r="I532" s="59">
        <f>SUM('All Email Performance'!J781:J782)</f>
        <v>20392</v>
      </c>
      <c r="J532" s="60">
        <f t="shared" si="130"/>
        <v>4.0878625843101613E-3</v>
      </c>
      <c r="K532" s="60">
        <f t="shared" si="131"/>
        <v>1.1807403598733564E-2</v>
      </c>
      <c r="L532" s="59">
        <f>SUM('All Email Performance'!M781:M782)</f>
        <v>6555</v>
      </c>
      <c r="M532" s="60">
        <f t="shared" si="132"/>
        <v>1.3140417438286145E-3</v>
      </c>
      <c r="N532" s="58" t="s">
        <v>16</v>
      </c>
    </row>
    <row r="533" spans="1:14" ht="24" customHeight="1" x14ac:dyDescent="0.3">
      <c r="A533" s="95" t="s">
        <v>32</v>
      </c>
      <c r="B533" s="58" t="s">
        <v>23</v>
      </c>
      <c r="C533" s="83">
        <v>45098</v>
      </c>
      <c r="D533" s="59">
        <f>'All Email Performance'!E783</f>
        <v>261</v>
      </c>
      <c r="E533" s="60">
        <f t="shared" si="128"/>
        <v>1</v>
      </c>
      <c r="F533" s="59">
        <f>'All Email Performance'!G783</f>
        <v>0</v>
      </c>
      <c r="G533" s="59">
        <f>'All Email Performance'!H783</f>
        <v>88</v>
      </c>
      <c r="H533" s="60">
        <f t="shared" si="129"/>
        <v>0.33716475095785442</v>
      </c>
      <c r="I533" s="59">
        <f>'All Email Performance'!J783</f>
        <v>4</v>
      </c>
      <c r="J533" s="60">
        <f t="shared" si="130"/>
        <v>1.532567049808429E-2</v>
      </c>
      <c r="K533" s="60">
        <f t="shared" si="131"/>
        <v>4.5454545454545456E-2</v>
      </c>
      <c r="L533" s="59">
        <f>'All Email Performance'!M783</f>
        <v>0</v>
      </c>
      <c r="M533" s="60">
        <f t="shared" si="132"/>
        <v>0</v>
      </c>
      <c r="N533" s="58" t="s">
        <v>23</v>
      </c>
    </row>
    <row r="534" spans="1:14" ht="24" customHeight="1" x14ac:dyDescent="0.3">
      <c r="A534" s="95" t="s">
        <v>674</v>
      </c>
      <c r="B534" s="58" t="s">
        <v>30</v>
      </c>
      <c r="C534" s="83">
        <v>45098</v>
      </c>
      <c r="D534" s="59">
        <f>'All Email Performance'!E784</f>
        <v>22194</v>
      </c>
      <c r="E534" s="60">
        <f t="shared" si="128"/>
        <v>0.99729656663963229</v>
      </c>
      <c r="F534" s="59">
        <f>'All Email Performance'!G784</f>
        <v>60</v>
      </c>
      <c r="G534" s="59">
        <f>'All Email Performance'!H784</f>
        <v>10093</v>
      </c>
      <c r="H534" s="60">
        <f t="shared" si="129"/>
        <v>0.45476254843651437</v>
      </c>
      <c r="I534" s="59">
        <f>'All Email Performance'!J784</f>
        <v>1326</v>
      </c>
      <c r="J534" s="60">
        <f t="shared" si="130"/>
        <v>5.974587726412544E-2</v>
      </c>
      <c r="K534" s="60">
        <f t="shared" si="131"/>
        <v>0.13137818289903894</v>
      </c>
      <c r="L534" s="59">
        <f>'All Email Performance'!M784</f>
        <v>20</v>
      </c>
      <c r="M534" s="60">
        <f t="shared" si="132"/>
        <v>9.0114445345588893E-4</v>
      </c>
      <c r="N534" s="58" t="s">
        <v>31</v>
      </c>
    </row>
    <row r="535" spans="1:14" ht="24" customHeight="1" x14ac:dyDescent="0.3">
      <c r="A535" s="95" t="s">
        <v>675</v>
      </c>
      <c r="B535" s="58" t="s">
        <v>30</v>
      </c>
      <c r="C535" s="83">
        <v>45098</v>
      </c>
      <c r="D535" s="59">
        <f>'All Email Performance'!E785</f>
        <v>6472</v>
      </c>
      <c r="E535" s="60">
        <f t="shared" si="128"/>
        <v>0.9984548825710754</v>
      </c>
      <c r="F535" s="59">
        <f>'All Email Performance'!G785</f>
        <v>10</v>
      </c>
      <c r="G535" s="59">
        <f>'All Email Performance'!H785</f>
        <v>2389</v>
      </c>
      <c r="H535" s="60">
        <f t="shared" si="129"/>
        <v>0.36912855377008652</v>
      </c>
      <c r="I535" s="59">
        <f>'All Email Performance'!J785</f>
        <v>432</v>
      </c>
      <c r="J535" s="60">
        <f t="shared" si="130"/>
        <v>6.6749072929542644E-2</v>
      </c>
      <c r="K535" s="60">
        <f t="shared" si="131"/>
        <v>0.18082879866052742</v>
      </c>
      <c r="L535" s="59">
        <f>'All Email Performance'!M785</f>
        <v>5</v>
      </c>
      <c r="M535" s="60">
        <f t="shared" si="132"/>
        <v>7.7255871446229912E-4</v>
      </c>
      <c r="N535" s="58" t="s">
        <v>31</v>
      </c>
    </row>
    <row r="536" spans="1:14" ht="24" customHeight="1" x14ac:dyDescent="0.3">
      <c r="A536" s="95" t="s">
        <v>676</v>
      </c>
      <c r="B536" s="58" t="s">
        <v>102</v>
      </c>
      <c r="C536" s="83">
        <v>45099</v>
      </c>
      <c r="D536" s="59">
        <f>'All Email Performance'!E786</f>
        <v>858</v>
      </c>
      <c r="E536" s="60">
        <f t="shared" si="128"/>
        <v>0.99650349650349646</v>
      </c>
      <c r="F536" s="59">
        <f>'All Email Performance'!G786</f>
        <v>3</v>
      </c>
      <c r="G536" s="59">
        <f>'All Email Performance'!H786</f>
        <v>359</v>
      </c>
      <c r="H536" s="60">
        <f t="shared" si="129"/>
        <v>0.4184149184149184</v>
      </c>
      <c r="I536" s="59">
        <f>'All Email Performance'!J786</f>
        <v>34</v>
      </c>
      <c r="J536" s="60">
        <f t="shared" si="130"/>
        <v>3.9627039627039624E-2</v>
      </c>
      <c r="K536" s="60">
        <f t="shared" si="131"/>
        <v>9.4707520891364902E-2</v>
      </c>
      <c r="L536" s="59">
        <f>'All Email Performance'!M786</f>
        <v>0</v>
      </c>
      <c r="M536" s="60">
        <f t="shared" si="132"/>
        <v>0</v>
      </c>
      <c r="N536" s="58" t="s">
        <v>102</v>
      </c>
    </row>
    <row r="537" spans="1:14" ht="24" customHeight="1" x14ac:dyDescent="0.3">
      <c r="A537" s="95" t="s">
        <v>677</v>
      </c>
      <c r="B537" s="58" t="s">
        <v>102</v>
      </c>
      <c r="C537" s="83">
        <v>45099</v>
      </c>
      <c r="D537" s="59">
        <f>'All Email Performance'!E787</f>
        <v>23693</v>
      </c>
      <c r="E537" s="60">
        <f t="shared" si="128"/>
        <v>0.99860718355632461</v>
      </c>
      <c r="F537" s="59">
        <f>'All Email Performance'!G787</f>
        <v>33</v>
      </c>
      <c r="G537" s="59">
        <f>'All Email Performance'!H787</f>
        <v>10787</v>
      </c>
      <c r="H537" s="60">
        <f t="shared" si="129"/>
        <v>0.45528215084624152</v>
      </c>
      <c r="I537" s="59">
        <f>'All Email Performance'!J787</f>
        <v>1034</v>
      </c>
      <c r="J537" s="60">
        <f t="shared" si="130"/>
        <v>4.3641581901827542E-2</v>
      </c>
      <c r="K537" s="60">
        <f t="shared" si="131"/>
        <v>9.5856123111152311E-2</v>
      </c>
      <c r="L537" s="59">
        <f>'All Email Performance'!M787</f>
        <v>4</v>
      </c>
      <c r="M537" s="60">
        <f t="shared" si="132"/>
        <v>1.6882623559701177E-4</v>
      </c>
      <c r="N537" s="58" t="s">
        <v>102</v>
      </c>
    </row>
    <row r="538" spans="1:14" ht="24" customHeight="1" x14ac:dyDescent="0.3">
      <c r="A538" s="95" t="s">
        <v>678</v>
      </c>
      <c r="B538" s="58" t="s">
        <v>102</v>
      </c>
      <c r="C538" s="83">
        <v>45099</v>
      </c>
      <c r="D538" s="59">
        <f>'All Email Performance'!E788</f>
        <v>23646</v>
      </c>
      <c r="E538" s="60">
        <f t="shared" si="128"/>
        <v>0.99906961008204342</v>
      </c>
      <c r="F538" s="59">
        <f>'All Email Performance'!G788</f>
        <v>22</v>
      </c>
      <c r="G538" s="59">
        <f>'All Email Performance'!H788</f>
        <v>10977</v>
      </c>
      <c r="H538" s="60">
        <f t="shared" si="129"/>
        <v>0.46422227860949</v>
      </c>
      <c r="I538" s="59">
        <f>'All Email Performance'!J788</f>
        <v>1392</v>
      </c>
      <c r="J538" s="60">
        <f t="shared" si="130"/>
        <v>5.8868307536158335E-2</v>
      </c>
      <c r="K538" s="60">
        <f t="shared" si="131"/>
        <v>0.12681060399016125</v>
      </c>
      <c r="L538" s="59">
        <f>'All Email Performance'!M788</f>
        <v>2</v>
      </c>
      <c r="M538" s="60">
        <f t="shared" si="132"/>
        <v>8.4580901632411398E-5</v>
      </c>
      <c r="N538" s="58" t="s">
        <v>102</v>
      </c>
    </row>
    <row r="539" spans="1:14" ht="24" customHeight="1" x14ac:dyDescent="0.3">
      <c r="A539" s="95" t="s">
        <v>679</v>
      </c>
      <c r="B539" s="58" t="s">
        <v>102</v>
      </c>
      <c r="C539" s="83">
        <v>45099</v>
      </c>
      <c r="D539" s="59">
        <f>'All Email Performance'!E789</f>
        <v>856</v>
      </c>
      <c r="E539" s="60">
        <f t="shared" si="128"/>
        <v>0.99883177570093462</v>
      </c>
      <c r="F539" s="59">
        <f>'All Email Performance'!G789</f>
        <v>1</v>
      </c>
      <c r="G539" s="59">
        <f>'All Email Performance'!H789</f>
        <v>380</v>
      </c>
      <c r="H539" s="60">
        <f t="shared" si="129"/>
        <v>0.44392523364485981</v>
      </c>
      <c r="I539" s="59">
        <f>'All Email Performance'!J789</f>
        <v>47</v>
      </c>
      <c r="J539" s="60">
        <f t="shared" si="130"/>
        <v>5.4906542056074766E-2</v>
      </c>
      <c r="K539" s="60">
        <f t="shared" si="131"/>
        <v>0.12368421052631579</v>
      </c>
      <c r="L539" s="59">
        <f>'All Email Performance'!M789</f>
        <v>0</v>
      </c>
      <c r="M539" s="60">
        <f t="shared" si="132"/>
        <v>0</v>
      </c>
      <c r="N539" s="58" t="s">
        <v>102</v>
      </c>
    </row>
    <row r="540" spans="1:14" ht="24" customHeight="1" x14ac:dyDescent="0.3">
      <c r="A540" s="95" t="s">
        <v>26</v>
      </c>
      <c r="B540" s="58" t="s">
        <v>23</v>
      </c>
      <c r="C540" s="83">
        <v>45099</v>
      </c>
      <c r="D540" s="59">
        <f>'All Email Performance'!E790</f>
        <v>1641</v>
      </c>
      <c r="E540" s="60">
        <f t="shared" si="128"/>
        <v>1</v>
      </c>
      <c r="F540" s="59">
        <f>'All Email Performance'!G790</f>
        <v>0</v>
      </c>
      <c r="G540" s="59">
        <f>'All Email Performance'!H790</f>
        <v>595</v>
      </c>
      <c r="H540" s="60">
        <f t="shared" si="129"/>
        <v>0.36258379037172456</v>
      </c>
      <c r="I540" s="59">
        <f>'All Email Performance'!J790</f>
        <v>22</v>
      </c>
      <c r="J540" s="60">
        <f t="shared" si="130"/>
        <v>1.3406459475929311E-2</v>
      </c>
      <c r="K540" s="60">
        <f t="shared" si="131"/>
        <v>3.6974789915966387E-2</v>
      </c>
      <c r="L540" s="59">
        <f>'All Email Performance'!M790</f>
        <v>0</v>
      </c>
      <c r="M540" s="60">
        <f t="shared" si="132"/>
        <v>0</v>
      </c>
      <c r="N540" s="58" t="s">
        <v>23</v>
      </c>
    </row>
    <row r="541" spans="1:14" ht="24" customHeight="1" x14ac:dyDescent="0.3">
      <c r="A541" s="95" t="s">
        <v>28</v>
      </c>
      <c r="B541" s="58" t="s">
        <v>16</v>
      </c>
      <c r="C541" s="83">
        <v>45100</v>
      </c>
      <c r="D541" s="59">
        <f>SUM('All Email Performance'!E791:E792)</f>
        <v>311655</v>
      </c>
      <c r="E541" s="60">
        <f t="shared" si="128"/>
        <v>0.99802024674720446</v>
      </c>
      <c r="F541" s="59">
        <f>SUM('All Email Performance'!G791:G792)</f>
        <v>617</v>
      </c>
      <c r="G541" s="59">
        <f>SUM('All Email Performance'!H791:H792)</f>
        <v>85952</v>
      </c>
      <c r="H541" s="60">
        <f t="shared" si="129"/>
        <v>0.27579214195183777</v>
      </c>
      <c r="I541" s="59">
        <f>SUM('All Email Performance'!J791:J792)</f>
        <v>1477</v>
      </c>
      <c r="J541" s="60">
        <f t="shared" si="130"/>
        <v>4.7392148369190291E-3</v>
      </c>
      <c r="K541" s="60">
        <f t="shared" si="131"/>
        <v>1.7184009679821297E-2</v>
      </c>
      <c r="L541" s="59">
        <f>SUM('All Email Performance'!M791:M792)</f>
        <v>329</v>
      </c>
      <c r="M541" s="60">
        <f t="shared" si="132"/>
        <v>1.0556544897402577E-3</v>
      </c>
      <c r="N541" s="58" t="s">
        <v>16</v>
      </c>
    </row>
    <row r="542" spans="1:14" ht="24" customHeight="1" x14ac:dyDescent="0.3">
      <c r="A542" s="95" t="s">
        <v>22</v>
      </c>
      <c r="B542" s="58" t="s">
        <v>16</v>
      </c>
      <c r="C542" s="83">
        <v>45100</v>
      </c>
      <c r="D542" s="59">
        <f>SUM('All Email Performance'!E793:E794)</f>
        <v>4397635</v>
      </c>
      <c r="E542" s="60">
        <f t="shared" si="128"/>
        <v>0.9976068955245263</v>
      </c>
      <c r="F542" s="59">
        <f>SUM('All Email Performance'!G793:G794)</f>
        <v>10524</v>
      </c>
      <c r="G542" s="59">
        <f>SUM('All Email Performance'!H793:H794)</f>
        <v>1446093</v>
      </c>
      <c r="H542" s="60">
        <f t="shared" si="129"/>
        <v>0.3288342484085196</v>
      </c>
      <c r="I542" s="59">
        <f>SUM('All Email Performance'!J793:J794)</f>
        <v>18049</v>
      </c>
      <c r="J542" s="60">
        <f t="shared" si="130"/>
        <v>4.10425148972118E-3</v>
      </c>
      <c r="K542" s="60">
        <f t="shared" si="131"/>
        <v>1.2481216629912461E-2</v>
      </c>
      <c r="L542" s="59">
        <f>SUM('All Email Performance'!M793:M794)</f>
        <v>4745</v>
      </c>
      <c r="M542" s="60">
        <f t="shared" si="132"/>
        <v>1.078989047522134E-3</v>
      </c>
      <c r="N542" s="58" t="s">
        <v>16</v>
      </c>
    </row>
    <row r="543" spans="1:14" ht="24" customHeight="1" x14ac:dyDescent="0.3">
      <c r="A543" s="95" t="s">
        <v>33</v>
      </c>
      <c r="B543" s="58" t="s">
        <v>21</v>
      </c>
      <c r="C543" s="83">
        <v>45100</v>
      </c>
      <c r="D543" s="59">
        <f>'All Email Performance'!E795</f>
        <v>232835</v>
      </c>
      <c r="E543" s="60">
        <f t="shared" si="128"/>
        <v>0.99823909635578845</v>
      </c>
      <c r="F543" s="59">
        <f>'All Email Performance'!G795</f>
        <v>410</v>
      </c>
      <c r="G543" s="59">
        <f>'All Email Performance'!H795</f>
        <v>105363</v>
      </c>
      <c r="H543" s="60">
        <f t="shared" si="129"/>
        <v>0.45252217235381281</v>
      </c>
      <c r="I543" s="59">
        <f>'All Email Performance'!J795</f>
        <v>2008</v>
      </c>
      <c r="J543" s="60">
        <f t="shared" si="130"/>
        <v>8.624132969699572E-3</v>
      </c>
      <c r="K543" s="60">
        <f t="shared" si="131"/>
        <v>1.9057923559503812E-2</v>
      </c>
      <c r="L543" s="59">
        <f>'All Email Performance'!M795</f>
        <v>231</v>
      </c>
      <c r="M543" s="60">
        <f t="shared" si="132"/>
        <v>9.9211888247041895E-4</v>
      </c>
      <c r="N543" s="58" t="s">
        <v>21</v>
      </c>
    </row>
    <row r="544" spans="1:14" ht="24" customHeight="1" x14ac:dyDescent="0.3">
      <c r="A544" s="95" t="s">
        <v>19</v>
      </c>
      <c r="B544" s="58" t="s">
        <v>21</v>
      </c>
      <c r="C544" s="83">
        <v>45100</v>
      </c>
      <c r="D544" s="59">
        <f>'All Email Performance'!E796</f>
        <v>331811</v>
      </c>
      <c r="E544" s="60">
        <f t="shared" si="128"/>
        <v>0.99681445160045934</v>
      </c>
      <c r="F544" s="59">
        <f>'All Email Performance'!G796</f>
        <v>1057</v>
      </c>
      <c r="G544" s="59">
        <f>'All Email Performance'!H796</f>
        <v>121188</v>
      </c>
      <c r="H544" s="60">
        <f t="shared" si="129"/>
        <v>0.36523201461072718</v>
      </c>
      <c r="I544" s="59">
        <f>'All Email Performance'!J796</f>
        <v>2461</v>
      </c>
      <c r="J544" s="60">
        <f t="shared" si="130"/>
        <v>7.416872858344057E-3</v>
      </c>
      <c r="K544" s="60">
        <f t="shared" si="131"/>
        <v>2.0307291150939037E-2</v>
      </c>
      <c r="L544" s="59">
        <f>'All Email Performance'!M796</f>
        <v>278</v>
      </c>
      <c r="M544" s="60">
        <f t="shared" si="132"/>
        <v>8.3782635295394066E-4</v>
      </c>
      <c r="N544" s="58" t="s">
        <v>21</v>
      </c>
    </row>
    <row r="545" spans="1:14" ht="24" customHeight="1" x14ac:dyDescent="0.3">
      <c r="A545" s="95" t="s">
        <v>24</v>
      </c>
      <c r="B545" s="58" t="s">
        <v>21</v>
      </c>
      <c r="C545" s="83">
        <v>45101</v>
      </c>
      <c r="D545" s="59">
        <f>'All Email Performance'!E797</f>
        <v>14954</v>
      </c>
      <c r="E545" s="60">
        <f t="shared" si="128"/>
        <v>0.99819446301992776</v>
      </c>
      <c r="F545" s="59">
        <f>'All Email Performance'!G797</f>
        <v>27</v>
      </c>
      <c r="G545" s="59">
        <f>'All Email Performance'!H797</f>
        <v>4698</v>
      </c>
      <c r="H545" s="60">
        <f t="shared" si="129"/>
        <v>0.31416343453256651</v>
      </c>
      <c r="I545" s="59">
        <f>'All Email Performance'!J797</f>
        <v>191</v>
      </c>
      <c r="J545" s="60">
        <f t="shared" si="130"/>
        <v>1.2772502340510901E-2</v>
      </c>
      <c r="K545" s="60">
        <f t="shared" si="131"/>
        <v>4.0655598126862494E-2</v>
      </c>
      <c r="L545" s="59">
        <f>'All Email Performance'!M797</f>
        <v>16</v>
      </c>
      <c r="M545" s="60">
        <f t="shared" si="132"/>
        <v>1.0699478400427978E-3</v>
      </c>
      <c r="N545" s="58" t="s">
        <v>21</v>
      </c>
    </row>
    <row r="546" spans="1:14" ht="24" customHeight="1" x14ac:dyDescent="0.3">
      <c r="A546" s="95" t="s">
        <v>680</v>
      </c>
      <c r="B546" s="58" t="s">
        <v>30</v>
      </c>
      <c r="C546" s="83">
        <v>45101</v>
      </c>
      <c r="D546" s="59">
        <f>'All Email Performance'!E798</f>
        <v>20681</v>
      </c>
      <c r="E546" s="60">
        <f t="shared" si="128"/>
        <v>0.99734055413181177</v>
      </c>
      <c r="F546" s="59">
        <f>'All Email Performance'!G798</f>
        <v>55</v>
      </c>
      <c r="G546" s="59">
        <f>'All Email Performance'!H798</f>
        <v>9552</v>
      </c>
      <c r="H546" s="60">
        <f t="shared" si="129"/>
        <v>0.46187321696242928</v>
      </c>
      <c r="I546" s="59">
        <f>'All Email Performance'!J798</f>
        <v>1704</v>
      </c>
      <c r="J546" s="60">
        <f t="shared" si="130"/>
        <v>8.2394468352594175E-2</v>
      </c>
      <c r="K546" s="60">
        <f t="shared" si="131"/>
        <v>0.17839195979899497</v>
      </c>
      <c r="L546" s="59">
        <f>'All Email Performance'!M798</f>
        <v>17</v>
      </c>
      <c r="M546" s="60">
        <f t="shared" si="132"/>
        <v>8.2201054107635025E-4</v>
      </c>
      <c r="N546" s="58" t="s">
        <v>31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7FAA32-69A5-428B-A46B-2021E31617A6}">
          <x14:formula1>
            <xm:f>'List Sheet'!$A$2:$A$4</xm:f>
          </x14:formula1>
          <xm:sqref>B2:B31 B33:B79 B82:B84 N162 N62 B162 N151:N159 N167:N176 N300 N251:N253 N342:N370 N109 B89:B159 N143 N326:N327 N395:N412 N414:N434 N437:N451 N495:N546 B167:B1048576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777F-9EF3-4DB5-B685-D12CDE13BD8A}">
  <dimension ref="A1:L35"/>
  <sheetViews>
    <sheetView zoomScaleNormal="100" workbookViewId="0">
      <pane ySplit="1" topLeftCell="A11" activePane="bottomLeft" state="frozen"/>
      <selection pane="bottomLeft" activeCell="C19" sqref="C19"/>
    </sheetView>
  </sheetViews>
  <sheetFormatPr defaultColWidth="21.44140625" defaultRowHeight="24.75" customHeight="1" x14ac:dyDescent="0.3"/>
  <cols>
    <col min="1" max="1" width="20" style="1" customWidth="1"/>
    <col min="2" max="2" width="31.6640625" style="1" bestFit="1" customWidth="1"/>
    <col min="3" max="3" width="18.6640625" style="2" customWidth="1"/>
    <col min="4" max="4" width="18.6640625" style="2" hidden="1" customWidth="1"/>
    <col min="5" max="5" width="18.6640625" style="3" customWidth="1"/>
    <col min="6" max="6" width="18.6640625" style="3" hidden="1" customWidth="1"/>
    <col min="7" max="8" width="18.6640625" style="3" customWidth="1"/>
    <col min="9" max="9" width="18.6640625" style="2" hidden="1" customWidth="1"/>
    <col min="10" max="11" width="18.6640625" style="3" customWidth="1"/>
    <col min="12" max="16384" width="21.44140625" style="1"/>
  </cols>
  <sheetData>
    <row r="1" spans="1:11" ht="47.25" customHeight="1" x14ac:dyDescent="0.3">
      <c r="A1" s="123" t="s">
        <v>40</v>
      </c>
      <c r="B1" s="123"/>
      <c r="C1" s="9" t="s">
        <v>4</v>
      </c>
      <c r="D1" s="9" t="s">
        <v>7</v>
      </c>
      <c r="E1" s="11" t="s">
        <v>8</v>
      </c>
      <c r="F1" s="11" t="s">
        <v>42</v>
      </c>
      <c r="G1" s="11" t="s">
        <v>10</v>
      </c>
      <c r="H1" s="11" t="s">
        <v>43</v>
      </c>
      <c r="I1" s="9" t="s">
        <v>12</v>
      </c>
      <c r="J1" s="12" t="s">
        <v>44</v>
      </c>
      <c r="K1" s="11" t="s">
        <v>13</v>
      </c>
    </row>
    <row r="2" spans="1:11" ht="24.75" customHeight="1" x14ac:dyDescent="0.3">
      <c r="A2" s="67" t="s">
        <v>45</v>
      </c>
      <c r="B2" s="67" t="s">
        <v>82</v>
      </c>
      <c r="C2" s="69">
        <v>5901273</v>
      </c>
      <c r="D2" s="69">
        <v>2179320</v>
      </c>
      <c r="E2" s="71">
        <f t="shared" ref="E2:E8" si="0">D2/C2</f>
        <v>0.36929659075253762</v>
      </c>
      <c r="F2" s="69">
        <v>57769</v>
      </c>
      <c r="G2" s="71">
        <f t="shared" ref="G2:G27" si="1">F2/C2</f>
        <v>9.7892437784186572E-3</v>
      </c>
      <c r="H2" s="71">
        <f t="shared" ref="H2:H27" si="2">F2/D2</f>
        <v>2.650780977552631E-2</v>
      </c>
      <c r="I2" s="69">
        <v>18747</v>
      </c>
      <c r="J2" s="71">
        <f t="shared" ref="J2" si="3">I2/F2</f>
        <v>0.3245166092540982</v>
      </c>
      <c r="K2" s="71">
        <f t="shared" ref="K2:K27" si="4">I2/C2</f>
        <v>3.1767721981341992E-3</v>
      </c>
    </row>
    <row r="3" spans="1:11" ht="24.75" customHeight="1" x14ac:dyDescent="0.3">
      <c r="A3" s="67" t="s">
        <v>65</v>
      </c>
      <c r="B3" s="67" t="s">
        <v>83</v>
      </c>
      <c r="C3" s="69">
        <v>10498117</v>
      </c>
      <c r="D3" s="69">
        <v>3891651</v>
      </c>
      <c r="E3" s="71">
        <f t="shared" si="0"/>
        <v>0.37069990742149284</v>
      </c>
      <c r="F3" s="69">
        <v>69398</v>
      </c>
      <c r="G3" s="71">
        <f t="shared" si="1"/>
        <v>6.6105188197083343E-3</v>
      </c>
      <c r="H3" s="71">
        <f t="shared" si="2"/>
        <v>1.7832534315127435E-2</v>
      </c>
      <c r="I3" s="69">
        <v>25931</v>
      </c>
      <c r="J3" s="71">
        <f t="shared" ref="J3" si="5">I3/F3</f>
        <v>0.37365630133433242</v>
      </c>
      <c r="K3" s="71">
        <f t="shared" si="4"/>
        <v>2.470062012073213E-3</v>
      </c>
    </row>
    <row r="4" spans="1:11" ht="24.75" customHeight="1" x14ac:dyDescent="0.3">
      <c r="A4" s="67" t="s">
        <v>80</v>
      </c>
      <c r="B4" s="67" t="s">
        <v>81</v>
      </c>
      <c r="C4" s="69">
        <v>14749691</v>
      </c>
      <c r="D4" s="69">
        <v>6393713</v>
      </c>
      <c r="E4" s="71">
        <f t="shared" si="0"/>
        <v>0.43348114885932187</v>
      </c>
      <c r="F4" s="69">
        <v>142811</v>
      </c>
      <c r="G4" s="71">
        <f t="shared" si="1"/>
        <v>9.6823045309898364E-3</v>
      </c>
      <c r="H4" s="71">
        <f t="shared" si="2"/>
        <v>2.2336160537703209E-2</v>
      </c>
      <c r="I4" s="69">
        <v>41254</v>
      </c>
      <c r="J4" s="71">
        <f t="shared" ref="J4" si="6">I4/F4</f>
        <v>0.2888713054316544</v>
      </c>
      <c r="K4" s="71">
        <f t="shared" si="4"/>
        <v>2.7969399494538563E-3</v>
      </c>
    </row>
    <row r="5" spans="1:11" ht="24.75" customHeight="1" x14ac:dyDescent="0.3">
      <c r="A5" s="67" t="s">
        <v>99</v>
      </c>
      <c r="B5" s="67" t="s">
        <v>100</v>
      </c>
      <c r="C5" s="69">
        <v>11960843</v>
      </c>
      <c r="D5" s="69">
        <v>4691733</v>
      </c>
      <c r="E5" s="71">
        <f t="shared" si="0"/>
        <v>0.39225771962728712</v>
      </c>
      <c r="F5" s="69">
        <v>87659</v>
      </c>
      <c r="G5" s="71">
        <f t="shared" si="1"/>
        <v>7.3288312537837007E-3</v>
      </c>
      <c r="H5" s="71">
        <f t="shared" si="2"/>
        <v>1.8683714525101917E-2</v>
      </c>
      <c r="I5" s="69">
        <v>31449</v>
      </c>
      <c r="J5" s="71">
        <f t="shared" ref="J5" si="7">I5/F5</f>
        <v>0.35876521520893462</v>
      </c>
      <c r="K5" s="71">
        <f t="shared" si="4"/>
        <v>2.6293297219936755E-3</v>
      </c>
    </row>
    <row r="6" spans="1:11" s="26" customFormat="1" ht="24.75" customHeight="1" x14ac:dyDescent="0.3">
      <c r="A6" s="67" t="s">
        <v>120</v>
      </c>
      <c r="B6" s="67" t="s">
        <v>121</v>
      </c>
      <c r="C6" s="69">
        <v>11983400</v>
      </c>
      <c r="D6" s="69">
        <v>4480708</v>
      </c>
      <c r="E6" s="71">
        <f t="shared" si="0"/>
        <v>0.37390957491196153</v>
      </c>
      <c r="F6" s="69">
        <v>125360</v>
      </c>
      <c r="G6" s="71">
        <f t="shared" si="1"/>
        <v>1.0461137907438623E-2</v>
      </c>
      <c r="H6" s="71">
        <f t="shared" si="2"/>
        <v>2.7977721377960806E-2</v>
      </c>
      <c r="I6" s="69">
        <v>28045</v>
      </c>
      <c r="J6" s="71">
        <f t="shared" ref="J6:J7" si="8">I6/F6</f>
        <v>0.22371569878749203</v>
      </c>
      <c r="K6" s="71">
        <f t="shared" si="4"/>
        <v>2.3403207770749538E-3</v>
      </c>
    </row>
    <row r="7" spans="1:11" ht="24.75" customHeight="1" x14ac:dyDescent="0.3">
      <c r="A7" s="67" t="s">
        <v>122</v>
      </c>
      <c r="B7" s="67" t="s">
        <v>123</v>
      </c>
      <c r="C7" s="69">
        <v>16809857</v>
      </c>
      <c r="D7" s="69">
        <v>6439077</v>
      </c>
      <c r="E7" s="71">
        <f t="shared" si="0"/>
        <v>0.38305364525111663</v>
      </c>
      <c r="F7" s="69">
        <v>95106</v>
      </c>
      <c r="G7" s="71">
        <f t="shared" si="1"/>
        <v>5.6577518773657624E-3</v>
      </c>
      <c r="H7" s="71">
        <f t="shared" si="2"/>
        <v>1.4770129321329749E-2</v>
      </c>
      <c r="I7" s="69">
        <v>42128</v>
      </c>
      <c r="J7" s="71">
        <f t="shared" si="8"/>
        <v>0.44295838327760606</v>
      </c>
      <c r="K7" s="71">
        <f t="shared" si="4"/>
        <v>2.5061486245837785E-3</v>
      </c>
    </row>
    <row r="8" spans="1:11" ht="24.75" customHeight="1" x14ac:dyDescent="0.3">
      <c r="A8" s="67" t="s">
        <v>150</v>
      </c>
      <c r="B8" s="67" t="s">
        <v>151</v>
      </c>
      <c r="C8" s="69">
        <v>11817737</v>
      </c>
      <c r="D8" s="69">
        <v>4372026</v>
      </c>
      <c r="E8" s="71">
        <f t="shared" si="0"/>
        <v>0.36995458605991993</v>
      </c>
      <c r="F8" s="69">
        <v>76230</v>
      </c>
      <c r="G8" s="71">
        <f t="shared" ref="G8" si="9">F8/C8</f>
        <v>6.4504735551315787E-3</v>
      </c>
      <c r="H8" s="71">
        <f t="shared" ref="H8" si="10">F8/D8</f>
        <v>1.7435852394290428E-2</v>
      </c>
      <c r="I8" s="69">
        <v>23746</v>
      </c>
      <c r="J8" s="71">
        <f t="shared" ref="J8" si="11">I8/F8</f>
        <v>0.31150465695920243</v>
      </c>
      <c r="K8" s="71">
        <f t="shared" ref="K8" si="12">I8/C8</f>
        <v>2.0093525520156691E-3</v>
      </c>
    </row>
    <row r="9" spans="1:11" ht="24.75" customHeight="1" x14ac:dyDescent="0.3">
      <c r="A9" s="67" t="s">
        <v>169</v>
      </c>
      <c r="B9" s="67" t="s">
        <v>170</v>
      </c>
      <c r="C9" s="69">
        <v>18019341</v>
      </c>
      <c r="D9" s="69">
        <v>6916675</v>
      </c>
      <c r="E9" s="71">
        <f t="shared" ref="E9:E12" si="13">D9/C9</f>
        <v>0.3838472783216656</v>
      </c>
      <c r="F9" s="69">
        <v>151558</v>
      </c>
      <c r="G9" s="71">
        <f t="shared" ref="G9" si="14">F9/C9</f>
        <v>8.4108514290283983E-3</v>
      </c>
      <c r="H9" s="71">
        <f t="shared" ref="H9" si="15">F9/D9</f>
        <v>2.1911973600031807E-2</v>
      </c>
      <c r="I9" s="69">
        <v>38055</v>
      </c>
      <c r="J9" s="71">
        <f t="shared" ref="J9" si="16">I9/F9</f>
        <v>0.25109199118489289</v>
      </c>
      <c r="K9" s="71">
        <f t="shared" ref="K9" si="17">I9/C9</f>
        <v>2.1118974328750424E-3</v>
      </c>
    </row>
    <row r="10" spans="1:11" ht="24.75" customHeight="1" x14ac:dyDescent="0.3">
      <c r="A10" s="67" t="s">
        <v>181</v>
      </c>
      <c r="B10" s="67" t="s">
        <v>182</v>
      </c>
      <c r="C10" s="69">
        <v>13206205</v>
      </c>
      <c r="D10" s="69">
        <v>5032492</v>
      </c>
      <c r="E10" s="71">
        <f t="shared" si="13"/>
        <v>0.38107026204727246</v>
      </c>
      <c r="F10" s="69">
        <v>81232</v>
      </c>
      <c r="G10" s="71">
        <f t="shared" ref="G10:G11" si="18">F10/C10</f>
        <v>6.1510479354212663E-3</v>
      </c>
      <c r="H10" s="71">
        <f t="shared" ref="H10:H11" si="19">F10/D10</f>
        <v>1.6141506037168067E-2</v>
      </c>
      <c r="I10" s="69">
        <v>28490</v>
      </c>
      <c r="J10" s="71">
        <f t="shared" ref="J10" si="20">I10/F10</f>
        <v>0.35072385266889894</v>
      </c>
      <c r="K10" s="71">
        <f t="shared" ref="K10" si="21">I10/C10</f>
        <v>2.1573192298620231E-3</v>
      </c>
    </row>
    <row r="11" spans="1:11" ht="24.75" customHeight="1" x14ac:dyDescent="0.3">
      <c r="A11" s="67" t="s">
        <v>195</v>
      </c>
      <c r="B11" s="67" t="s">
        <v>196</v>
      </c>
      <c r="C11" s="69">
        <v>13300772</v>
      </c>
      <c r="D11" s="69">
        <v>4941364</v>
      </c>
      <c r="E11" s="71">
        <f t="shared" si="13"/>
        <v>0.37150956350503567</v>
      </c>
      <c r="F11" s="69">
        <v>78522</v>
      </c>
      <c r="G11" s="71">
        <f t="shared" si="18"/>
        <v>5.9035671012178841E-3</v>
      </c>
      <c r="H11" s="71">
        <f t="shared" si="19"/>
        <v>1.5890754050905783E-2</v>
      </c>
      <c r="I11" s="69">
        <v>17970</v>
      </c>
      <c r="J11" s="71">
        <f t="shared" ref="J11" si="22">I11/F11</f>
        <v>0.22885306028883626</v>
      </c>
      <c r="K11" s="71">
        <f t="shared" ref="K11" si="23">I11/C11</f>
        <v>1.3510493977342067E-3</v>
      </c>
    </row>
    <row r="12" spans="1:11" ht="24.75" customHeight="1" x14ac:dyDescent="0.3">
      <c r="A12" s="67" t="s">
        <v>216</v>
      </c>
      <c r="B12" s="67" t="s">
        <v>217</v>
      </c>
      <c r="C12" s="69">
        <v>16557064</v>
      </c>
      <c r="D12" s="69">
        <v>6645473</v>
      </c>
      <c r="E12" s="71">
        <f t="shared" si="13"/>
        <v>0.40136783912896634</v>
      </c>
      <c r="F12" s="69">
        <v>99161</v>
      </c>
      <c r="G12" s="71">
        <f t="shared" ref="G12" si="24">F12/C12</f>
        <v>5.9890449176254919E-3</v>
      </c>
      <c r="H12" s="71">
        <f t="shared" ref="H12" si="25">F12/D12</f>
        <v>1.4921586469465755E-2</v>
      </c>
      <c r="I12" s="69">
        <v>16674</v>
      </c>
      <c r="J12" s="71">
        <f t="shared" ref="J12" si="26">I12/F12</f>
        <v>0.16815078508687892</v>
      </c>
      <c r="K12" s="71">
        <f t="shared" ref="K12" si="27">I12/C12</f>
        <v>1.0070626048193085E-3</v>
      </c>
    </row>
    <row r="13" spans="1:11" ht="24.75" customHeight="1" x14ac:dyDescent="0.3">
      <c r="A13" s="67" t="s">
        <v>220</v>
      </c>
      <c r="B13" s="67" t="s">
        <v>221</v>
      </c>
      <c r="C13" s="69">
        <v>5888053</v>
      </c>
      <c r="D13" s="69">
        <v>2168000</v>
      </c>
      <c r="E13" s="71">
        <f t="shared" ref="E13" si="28">D13/C13</f>
        <v>0.36820320740998763</v>
      </c>
      <c r="F13" s="69">
        <v>40434</v>
      </c>
      <c r="G13" s="71">
        <f t="shared" ref="G13" si="29">F13/C13</f>
        <v>6.8671256865384875E-3</v>
      </c>
      <c r="H13" s="71">
        <f t="shared" ref="H13" si="30">F13/D13</f>
        <v>1.8650369003690038E-2</v>
      </c>
      <c r="I13" s="69">
        <v>8996</v>
      </c>
      <c r="J13" s="71">
        <f t="shared" ref="J13" si="31">I13/F13</f>
        <v>0.22248602661126773</v>
      </c>
      <c r="K13" s="71">
        <f t="shared" ref="K13" si="32">I13/C13</f>
        <v>1.5278395082381222E-3</v>
      </c>
    </row>
    <row r="14" spans="1:11" ht="24.75" customHeight="1" x14ac:dyDescent="0.3">
      <c r="A14" s="67" t="s">
        <v>237</v>
      </c>
      <c r="B14" s="67" t="s">
        <v>238</v>
      </c>
      <c r="C14" s="69">
        <v>7610409</v>
      </c>
      <c r="D14" s="69">
        <v>2791313</v>
      </c>
      <c r="E14" s="71">
        <f t="shared" ref="E14:E17" si="33">D14/C14</f>
        <v>0.36677568840255498</v>
      </c>
      <c r="F14" s="69">
        <v>50381</v>
      </c>
      <c r="G14" s="71">
        <f t="shared" ref="G14" si="34">F14/C14</f>
        <v>6.6200121438939746E-3</v>
      </c>
      <c r="H14" s="71">
        <f t="shared" ref="H14" si="35">F14/D14</f>
        <v>1.8049211965838301E-2</v>
      </c>
      <c r="I14" s="69">
        <v>11848</v>
      </c>
      <c r="J14" s="71">
        <f t="shared" ref="J14" si="36">I14/F14</f>
        <v>0.23516801968996248</v>
      </c>
      <c r="K14" s="71">
        <f t="shared" ref="K14" si="37">I14/C14</f>
        <v>1.556815146203049E-3</v>
      </c>
    </row>
    <row r="15" spans="1:11" ht="24.75" customHeight="1" x14ac:dyDescent="0.3">
      <c r="A15" s="67" t="s">
        <v>254</v>
      </c>
      <c r="B15" s="67" t="s">
        <v>255</v>
      </c>
      <c r="C15" s="69">
        <v>16776968</v>
      </c>
      <c r="D15" s="69">
        <v>6058100</v>
      </c>
      <c r="E15" s="71">
        <f t="shared" si="33"/>
        <v>0.36109623622099057</v>
      </c>
      <c r="F15" s="69">
        <v>95635</v>
      </c>
      <c r="G15" s="71">
        <f t="shared" ref="G15" si="38">F15/C15</f>
        <v>5.7003744657556721E-3</v>
      </c>
      <c r="H15" s="71">
        <f t="shared" ref="H15" si="39">F15/D15</f>
        <v>1.5786302636140045E-2</v>
      </c>
      <c r="I15" s="69">
        <v>23231</v>
      </c>
      <c r="J15" s="71">
        <f t="shared" ref="J15" si="40">I15/F15</f>
        <v>0.24291315940816646</v>
      </c>
      <c r="K15" s="71">
        <f t="shared" ref="K15" si="41">I15/C15</f>
        <v>1.3846959712863493E-3</v>
      </c>
    </row>
    <row r="16" spans="1:11" ht="24.75" customHeight="1" x14ac:dyDescent="0.3">
      <c r="A16" s="67" t="s">
        <v>263</v>
      </c>
      <c r="B16" s="67" t="s">
        <v>264</v>
      </c>
      <c r="C16" s="69">
        <v>8998549</v>
      </c>
      <c r="D16" s="69">
        <v>3162793</v>
      </c>
      <c r="E16" s="71">
        <f t="shared" si="33"/>
        <v>0.35147811052648598</v>
      </c>
      <c r="F16" s="69">
        <v>51329</v>
      </c>
      <c r="G16" s="71">
        <f t="shared" ref="G16" si="42">F16/C16</f>
        <v>5.7041418566482222E-3</v>
      </c>
      <c r="H16" s="71">
        <f t="shared" ref="H16" si="43">F16/D16</f>
        <v>1.6229010245058718E-2</v>
      </c>
      <c r="I16" s="69">
        <v>11776</v>
      </c>
      <c r="J16" s="71">
        <f t="shared" ref="J16" si="44">I16/F16</f>
        <v>0.22942196419178243</v>
      </c>
      <c r="K16" s="71">
        <f t="shared" ref="K16" si="45">I16/C16</f>
        <v>1.3086554287807957E-3</v>
      </c>
    </row>
    <row r="17" spans="1:12" ht="24.75" customHeight="1" x14ac:dyDescent="0.3">
      <c r="A17" s="67" t="s">
        <v>275</v>
      </c>
      <c r="B17" s="67" t="s">
        <v>276</v>
      </c>
      <c r="C17" s="69">
        <v>14867627</v>
      </c>
      <c r="D17" s="69">
        <v>5564683</v>
      </c>
      <c r="E17" s="71">
        <f t="shared" si="33"/>
        <v>0.3742818541250732</v>
      </c>
      <c r="F17" s="69">
        <v>61542</v>
      </c>
      <c r="G17" s="71">
        <f t="shared" ref="G17" si="46">F17/C17</f>
        <v>4.1393290267505364E-3</v>
      </c>
      <c r="H17" s="71">
        <f t="shared" ref="H17" si="47">F17/D17</f>
        <v>1.1059390085652678E-2</v>
      </c>
      <c r="I17" s="69">
        <v>23253</v>
      </c>
      <c r="J17" s="71">
        <f t="shared" ref="J17" si="48">I17/F17</f>
        <v>0.37783952422735695</v>
      </c>
      <c r="K17" s="71">
        <f t="shared" ref="K17" si="49">I17/C17</f>
        <v>1.5640021100879111E-3</v>
      </c>
    </row>
    <row r="18" spans="1:12" ht="24.75" customHeight="1" x14ac:dyDescent="0.3">
      <c r="A18" s="67" t="s">
        <v>297</v>
      </c>
      <c r="B18" s="67" t="s">
        <v>298</v>
      </c>
      <c r="C18" s="69">
        <v>17717091</v>
      </c>
      <c r="D18" s="69">
        <v>6336441</v>
      </c>
      <c r="E18" s="71">
        <f t="shared" ref="E18:E19" si="50">D18/C18</f>
        <v>0.35764567670843933</v>
      </c>
      <c r="F18" s="69">
        <v>108472</v>
      </c>
      <c r="G18" s="71">
        <f t="shared" ref="G18" si="51">F18/C18</f>
        <v>6.1224497859157581E-3</v>
      </c>
      <c r="H18" s="71">
        <f t="shared" ref="H18" si="52">F18/D18</f>
        <v>1.711875799048709E-2</v>
      </c>
      <c r="I18" s="69">
        <v>23331</v>
      </c>
      <c r="J18" s="71">
        <f t="shared" ref="J18" si="53">I18/F18</f>
        <v>0.21508776458440887</v>
      </c>
      <c r="K18" s="71">
        <f t="shared" ref="K18" si="54">I18/C18</f>
        <v>1.316864038232913E-3</v>
      </c>
    </row>
    <row r="19" spans="1:12" ht="24.75" customHeight="1" x14ac:dyDescent="0.3">
      <c r="A19" s="67" t="s">
        <v>299</v>
      </c>
      <c r="B19" s="67" t="s">
        <v>300</v>
      </c>
      <c r="C19" s="69">
        <v>12388956</v>
      </c>
      <c r="D19" s="69">
        <v>4351926</v>
      </c>
      <c r="E19" s="71">
        <f t="shared" si="50"/>
        <v>0.35127463524771579</v>
      </c>
      <c r="F19" s="69">
        <v>76234</v>
      </c>
      <c r="G19" s="71">
        <f t="shared" ref="G19" si="55">F19/C19</f>
        <v>6.1533837072308591E-3</v>
      </c>
      <c r="H19" s="71">
        <f t="shared" ref="H19" si="56">F19/D19</f>
        <v>1.7517301534998527E-2</v>
      </c>
      <c r="I19" s="69">
        <v>16049</v>
      </c>
      <c r="J19" s="71">
        <f t="shared" ref="J19" si="57">I19/F19</f>
        <v>0.21052286381404622</v>
      </c>
      <c r="K19" s="71">
        <f t="shared" ref="K19" si="58">I19/C19</f>
        <v>1.2954279601929332E-3</v>
      </c>
    </row>
    <row r="20" spans="1:12" ht="24.75" customHeight="1" x14ac:dyDescent="0.3">
      <c r="A20" s="67" t="s">
        <v>325</v>
      </c>
      <c r="B20" s="67" t="s">
        <v>326</v>
      </c>
      <c r="C20" s="69">
        <v>16730503</v>
      </c>
      <c r="D20" s="69">
        <v>5844255</v>
      </c>
      <c r="E20" s="71">
        <f t="shared" ref="E20:E26" si="59">D20/C20</f>
        <v>0.34931735166599592</v>
      </c>
      <c r="F20" s="69">
        <v>68643</v>
      </c>
      <c r="G20" s="71">
        <f t="shared" ref="G20" si="60">F20/C20</f>
        <v>4.1028652874333781E-3</v>
      </c>
      <c r="H20" s="71">
        <f t="shared" ref="H20" si="61">F20/D20</f>
        <v>1.1745380720040451E-2</v>
      </c>
      <c r="I20" s="69">
        <v>21220</v>
      </c>
      <c r="J20" s="71">
        <f t="shared" ref="J20" si="62">I20/F20</f>
        <v>0.30913567297466604</v>
      </c>
      <c r="K20" s="71">
        <f t="shared" ref="K20" si="63">I20/C20</f>
        <v>1.268342021755114E-3</v>
      </c>
    </row>
    <row r="21" spans="1:12" ht="24.75" customHeight="1" x14ac:dyDescent="0.3">
      <c r="A21" s="67" t="s">
        <v>327</v>
      </c>
      <c r="B21" s="67" t="s">
        <v>328</v>
      </c>
      <c r="C21" s="69">
        <v>8614418</v>
      </c>
      <c r="D21" s="69">
        <v>3123271</v>
      </c>
      <c r="E21" s="71">
        <f t="shared" si="59"/>
        <v>0.36256320508245593</v>
      </c>
      <c r="F21" s="69">
        <v>59190</v>
      </c>
      <c r="G21" s="71">
        <f t="shared" ref="G21" si="64">F21/C21</f>
        <v>6.8710387631526586E-3</v>
      </c>
      <c r="H21" s="71">
        <f t="shared" ref="H21" si="65">F21/D21</f>
        <v>1.8951285367167947E-2</v>
      </c>
      <c r="I21" s="69">
        <v>8921</v>
      </c>
      <c r="J21" s="71">
        <f t="shared" ref="J21" si="66">I21/F21</f>
        <v>0.15071802669369827</v>
      </c>
      <c r="K21" s="71">
        <f t="shared" ref="K21" si="67">I21/C21</f>
        <v>1.0355894037182779E-3</v>
      </c>
    </row>
    <row r="22" spans="1:12" ht="24.75" customHeight="1" x14ac:dyDescent="0.3">
      <c r="A22" s="67" t="s">
        <v>348</v>
      </c>
      <c r="B22" s="67" t="s">
        <v>349</v>
      </c>
      <c r="C22" s="69">
        <v>13196341</v>
      </c>
      <c r="D22" s="69">
        <v>4697024</v>
      </c>
      <c r="E22" s="71">
        <f t="shared" si="59"/>
        <v>0.3559338152901626</v>
      </c>
      <c r="F22" s="69">
        <v>56810</v>
      </c>
      <c r="G22" s="71">
        <f t="shared" ref="G22:G23" si="68">F22/C22</f>
        <v>4.3049812065329325E-3</v>
      </c>
      <c r="H22" s="71">
        <f t="shared" ref="H22:H23" si="69">F22/D22</f>
        <v>1.2094892425501765E-2</v>
      </c>
      <c r="I22" s="69">
        <v>16066</v>
      </c>
      <c r="J22" s="71">
        <f t="shared" ref="J22:J23" si="70">I22/F22</f>
        <v>0.28280232353458901</v>
      </c>
      <c r="K22" s="71">
        <f t="shared" ref="K22:K23" si="71">I22/C22</f>
        <v>1.2174586879802516E-3</v>
      </c>
    </row>
    <row r="23" spans="1:12" ht="24.75" customHeight="1" x14ac:dyDescent="0.3">
      <c r="A23" s="67" t="s">
        <v>350</v>
      </c>
      <c r="B23" s="67" t="s">
        <v>351</v>
      </c>
      <c r="C23" s="69">
        <v>16477410</v>
      </c>
      <c r="D23" s="69">
        <v>6468189</v>
      </c>
      <c r="E23" s="71">
        <f t="shared" si="59"/>
        <v>0.39254888966166407</v>
      </c>
      <c r="F23" s="69">
        <v>74730</v>
      </c>
      <c r="G23" s="71">
        <f t="shared" si="68"/>
        <v>4.5353001472925661E-3</v>
      </c>
      <c r="H23" s="71">
        <f t="shared" si="69"/>
        <v>1.1553465738246053E-2</v>
      </c>
      <c r="I23" s="69">
        <v>22510</v>
      </c>
      <c r="J23" s="71">
        <f t="shared" si="70"/>
        <v>0.30121771711494716</v>
      </c>
      <c r="K23" s="71">
        <f t="shared" si="71"/>
        <v>1.3661127567985503E-3</v>
      </c>
    </row>
    <row r="24" spans="1:12" ht="24.75" customHeight="1" x14ac:dyDescent="0.3">
      <c r="A24" s="67" t="s">
        <v>373</v>
      </c>
      <c r="B24" s="67" t="s">
        <v>374</v>
      </c>
      <c r="C24" s="69">
        <v>11154358</v>
      </c>
      <c r="D24" s="69">
        <v>3820142</v>
      </c>
      <c r="E24" s="71">
        <f t="shared" si="59"/>
        <v>0.34247977337646862</v>
      </c>
      <c r="F24" s="69">
        <v>55170</v>
      </c>
      <c r="G24" s="71">
        <f t="shared" ref="G24" si="72">F24/C24</f>
        <v>4.9460488895909562E-3</v>
      </c>
      <c r="H24" s="71">
        <f t="shared" ref="H24" si="73">F24/D24</f>
        <v>1.4441871532524183E-2</v>
      </c>
      <c r="I24" s="69">
        <v>13558</v>
      </c>
      <c r="J24" s="71">
        <f t="shared" ref="J24" si="74">I24/F24</f>
        <v>0.24574950154069242</v>
      </c>
      <c r="K24" s="71">
        <f t="shared" ref="K24" si="75">I24/C24</f>
        <v>1.2154890492128726E-3</v>
      </c>
    </row>
    <row r="25" spans="1:12" ht="24.75" customHeight="1" x14ac:dyDescent="0.3">
      <c r="A25" s="67" t="s">
        <v>656</v>
      </c>
      <c r="B25" s="67" t="s">
        <v>657</v>
      </c>
      <c r="C25" s="69">
        <v>15089884</v>
      </c>
      <c r="D25" s="69">
        <v>5403781</v>
      </c>
      <c r="E25" s="71">
        <f t="shared" si="59"/>
        <v>0.35810619882830114</v>
      </c>
      <c r="F25" s="69">
        <v>65499</v>
      </c>
      <c r="G25" s="71">
        <f t="shared" ref="G25" si="76">F25/C25</f>
        <v>4.3405900270671394E-3</v>
      </c>
      <c r="H25" s="71">
        <f t="shared" ref="H25" si="77">F25/D25</f>
        <v>1.2120957529551994E-2</v>
      </c>
      <c r="I25" s="69">
        <v>12792</v>
      </c>
      <c r="J25" s="71">
        <f t="shared" ref="J25" si="78">I25/F25</f>
        <v>0.19530069161361241</v>
      </c>
      <c r="K25" s="71">
        <f t="shared" ref="K25" si="79">I25/C25</f>
        <v>8.4772023429736108E-4</v>
      </c>
    </row>
    <row r="26" spans="1:12" ht="24.75" customHeight="1" x14ac:dyDescent="0.3">
      <c r="A26" s="58" t="s">
        <v>681</v>
      </c>
      <c r="B26" s="58" t="s">
        <v>682</v>
      </c>
      <c r="C26" s="59">
        <v>12813458</v>
      </c>
      <c r="D26" s="59">
        <v>4404446</v>
      </c>
      <c r="E26" s="84">
        <f t="shared" si="59"/>
        <v>0.34373593763681903</v>
      </c>
      <c r="F26" s="59">
        <v>60973</v>
      </c>
      <c r="G26" s="84">
        <f t="shared" ref="G26" si="80">F26/C26</f>
        <v>4.7585124952218205E-3</v>
      </c>
      <c r="H26" s="84">
        <f t="shared" ref="H26" si="81">F26/D26</f>
        <v>1.3843511760616432E-2</v>
      </c>
      <c r="I26" s="59">
        <v>14742</v>
      </c>
      <c r="J26" s="84">
        <f t="shared" ref="J26" si="82">I26/F26</f>
        <v>0.2417791481475407</v>
      </c>
      <c r="K26" s="84">
        <f t="shared" ref="K26" si="83">I26/C26</f>
        <v>1.1505090975441601E-3</v>
      </c>
    </row>
    <row r="27" spans="1:12" ht="24.75" customHeight="1" x14ac:dyDescent="0.3">
      <c r="A27" s="124" t="s">
        <v>46</v>
      </c>
      <c r="B27" s="124"/>
      <c r="C27" s="28">
        <f>SUM(C2:C26)</f>
        <v>323128325</v>
      </c>
      <c r="D27" s="28">
        <f>SUM(D2:D26)</f>
        <v>120178596</v>
      </c>
      <c r="E27" s="13">
        <f t="shared" ref="E27" si="84">D27/C27</f>
        <v>0.37192219530739062</v>
      </c>
      <c r="F27" s="28">
        <f>SUM(F2:F26)</f>
        <v>1989848</v>
      </c>
      <c r="G27" s="13">
        <f t="shared" si="1"/>
        <v>6.1580735764962726E-3</v>
      </c>
      <c r="H27" s="13">
        <f t="shared" si="2"/>
        <v>1.6557424252152189E-2</v>
      </c>
      <c r="I27" s="28">
        <f>SUM(I2:I26)</f>
        <v>540782</v>
      </c>
      <c r="J27" s="13">
        <f t="shared" ref="J27" si="85">I27/F27</f>
        <v>0.27177050709400918</v>
      </c>
      <c r="K27" s="13">
        <f t="shared" si="4"/>
        <v>1.6735827786066109E-3</v>
      </c>
    </row>
    <row r="28" spans="1:12" ht="24.75" customHeight="1" x14ac:dyDescent="0.3">
      <c r="F28" s="2"/>
      <c r="J28" s="1"/>
      <c r="K28" s="1"/>
    </row>
    <row r="29" spans="1:12" ht="24.75" customHeight="1" x14ac:dyDescent="0.3">
      <c r="I29" s="3"/>
      <c r="J29" s="1"/>
      <c r="K29" s="1"/>
    </row>
    <row r="30" spans="1:12" ht="24.75" customHeight="1" x14ac:dyDescent="0.3">
      <c r="A30" s="37" t="s">
        <v>41</v>
      </c>
      <c r="B30" s="37"/>
      <c r="C30" s="41"/>
      <c r="D30" s="41"/>
      <c r="E30" s="43">
        <v>0.23899999999999999</v>
      </c>
      <c r="F30" s="49"/>
      <c r="G30" s="43">
        <v>2.9000000000000001E-2</v>
      </c>
      <c r="H30" s="43">
        <v>0.124</v>
      </c>
      <c r="I30" s="48"/>
      <c r="J30" s="49"/>
      <c r="K30" s="43">
        <v>1E-3</v>
      </c>
      <c r="L30" s="2"/>
    </row>
    <row r="34" spans="4:12" ht="24.75" customHeight="1" x14ac:dyDescent="0.3">
      <c r="D34" s="6"/>
      <c r="E34" s="75"/>
      <c r="F34" s="75"/>
      <c r="H34" s="75"/>
      <c r="I34" s="6"/>
      <c r="K34" s="75"/>
      <c r="L34" s="6"/>
    </row>
    <row r="35" spans="4:12" ht="24.75" customHeight="1" x14ac:dyDescent="0.3">
      <c r="D35" s="6"/>
      <c r="E35" s="75"/>
      <c r="F35" s="75"/>
      <c r="H35" s="75"/>
      <c r="I35" s="6"/>
      <c r="K35" s="75"/>
      <c r="L35" s="6"/>
    </row>
  </sheetData>
  <mergeCells count="2">
    <mergeCell ref="A1:B1"/>
    <mergeCell ref="A27:B27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69E7-6A78-B34A-9091-F180DB661674}">
  <dimension ref="A1:O106"/>
  <sheetViews>
    <sheetView zoomScaleNormal="100" workbookViewId="0">
      <pane ySplit="1" topLeftCell="A74" activePane="bottomLeft" state="frozen"/>
      <selection pane="bottomLeft" activeCell="F93" sqref="F93"/>
    </sheetView>
  </sheetViews>
  <sheetFormatPr defaultColWidth="10.6640625" defaultRowHeight="14.4" x14ac:dyDescent="0.3"/>
  <cols>
    <col min="1" max="1" width="23.77734375" customWidth="1"/>
    <col min="2" max="2" width="9.44140625" bestFit="1" customWidth="1"/>
    <col min="3" max="3" width="13.109375" bestFit="1" customWidth="1"/>
    <col min="4" max="5" width="11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109375" bestFit="1" customWidth="1"/>
    <col min="13" max="13" width="12.77734375" bestFit="1" customWidth="1"/>
    <col min="14" max="14" width="16.44140625" bestFit="1" customWidth="1"/>
    <col min="15" max="15" width="9.6640625" style="21" bestFit="1" customWidth="1"/>
  </cols>
  <sheetData>
    <row r="1" spans="1:15" s="1" customFormat="1" x14ac:dyDescent="0.3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7" t="s">
        <v>14</v>
      </c>
    </row>
    <row r="2" spans="1:15" s="1" customFormat="1" x14ac:dyDescent="0.3">
      <c r="A2" s="66" t="s">
        <v>28</v>
      </c>
      <c r="B2" s="67" t="s">
        <v>15</v>
      </c>
      <c r="C2" s="67" t="s">
        <v>16</v>
      </c>
      <c r="D2" s="68">
        <v>44932</v>
      </c>
      <c r="E2" s="69">
        <v>95994</v>
      </c>
      <c r="F2" s="70">
        <f t="shared" ref="F2:F45" si="0">(E2-G2)/E2</f>
        <v>0.99888534700085418</v>
      </c>
      <c r="G2" s="69">
        <v>107</v>
      </c>
      <c r="H2" s="69">
        <v>30775</v>
      </c>
      <c r="I2" s="70">
        <f t="shared" ref="I2:I45" si="1">H2/E2</f>
        <v>0.32059295372627455</v>
      </c>
      <c r="J2" s="69">
        <v>946</v>
      </c>
      <c r="K2" s="70">
        <f t="shared" ref="K2:K45" si="2">J2/E2</f>
        <v>9.8547825905785785E-3</v>
      </c>
      <c r="L2" s="70">
        <f t="shared" ref="L2:L45" si="3">J2/H2</f>
        <v>3.0739236393176279E-2</v>
      </c>
      <c r="M2" s="69">
        <v>86</v>
      </c>
      <c r="N2" s="70">
        <f t="shared" ref="N2:N45" si="4">M2/E2</f>
        <v>8.958893264162344E-4</v>
      </c>
      <c r="O2" s="67" t="s">
        <v>16</v>
      </c>
    </row>
    <row r="3" spans="1:15" s="1" customFormat="1" x14ac:dyDescent="0.3">
      <c r="A3" s="66" t="s">
        <v>22</v>
      </c>
      <c r="B3" s="67" t="s">
        <v>15</v>
      </c>
      <c r="C3" s="67" t="s">
        <v>16</v>
      </c>
      <c r="D3" s="68">
        <v>44932</v>
      </c>
      <c r="E3" s="69">
        <v>1750473</v>
      </c>
      <c r="F3" s="70">
        <f t="shared" si="0"/>
        <v>0.99671403100761913</v>
      </c>
      <c r="G3" s="69">
        <v>5752</v>
      </c>
      <c r="H3" s="69">
        <v>625509</v>
      </c>
      <c r="I3" s="70">
        <f t="shared" si="1"/>
        <v>0.35733713116397681</v>
      </c>
      <c r="J3" s="69">
        <v>12915</v>
      </c>
      <c r="K3" s="70">
        <f t="shared" si="2"/>
        <v>7.3780058304241201E-3</v>
      </c>
      <c r="L3" s="70">
        <f t="shared" si="3"/>
        <v>2.0647184932590899E-2</v>
      </c>
      <c r="M3" s="69">
        <v>2797</v>
      </c>
      <c r="N3" s="70">
        <f t="shared" si="4"/>
        <v>1.5978538372199971E-3</v>
      </c>
      <c r="O3" s="67" t="s">
        <v>16</v>
      </c>
    </row>
    <row r="4" spans="1:15" s="1" customFormat="1" x14ac:dyDescent="0.3">
      <c r="A4" s="66" t="s">
        <v>28</v>
      </c>
      <c r="B4" s="67" t="s">
        <v>18</v>
      </c>
      <c r="C4" s="67" t="s">
        <v>16</v>
      </c>
      <c r="D4" s="68">
        <v>44932</v>
      </c>
      <c r="E4" s="69">
        <v>223652</v>
      </c>
      <c r="F4" s="70">
        <f t="shared" si="0"/>
        <v>0.99710711283601305</v>
      </c>
      <c r="G4" s="69">
        <v>647</v>
      </c>
      <c r="H4" s="69">
        <v>78135</v>
      </c>
      <c r="I4" s="70">
        <f t="shared" si="1"/>
        <v>0.34935971956432316</v>
      </c>
      <c r="J4" s="69">
        <v>3430</v>
      </c>
      <c r="K4" s="70">
        <f t="shared" si="2"/>
        <v>1.5336326078014058E-2</v>
      </c>
      <c r="L4" s="70">
        <f t="shared" si="3"/>
        <v>4.3898381007231077E-2</v>
      </c>
      <c r="M4" s="69">
        <v>1896</v>
      </c>
      <c r="N4" s="70">
        <f t="shared" si="4"/>
        <v>8.4774560477885279E-3</v>
      </c>
      <c r="O4" s="67" t="s">
        <v>16</v>
      </c>
    </row>
    <row r="5" spans="1:15" s="1" customFormat="1" x14ac:dyDescent="0.3">
      <c r="A5" s="66" t="s">
        <v>22</v>
      </c>
      <c r="B5" s="67" t="s">
        <v>18</v>
      </c>
      <c r="C5" s="67" t="s">
        <v>16</v>
      </c>
      <c r="D5" s="68">
        <v>44932</v>
      </c>
      <c r="E5" s="69">
        <v>2511131</v>
      </c>
      <c r="F5" s="70">
        <f t="shared" si="0"/>
        <v>0.99525074558037796</v>
      </c>
      <c r="G5" s="69">
        <v>11926</v>
      </c>
      <c r="H5" s="69">
        <v>923449</v>
      </c>
      <c r="I5" s="70">
        <f t="shared" si="1"/>
        <v>0.36774226434224261</v>
      </c>
      <c r="J5" s="69">
        <v>23859</v>
      </c>
      <c r="K5" s="70">
        <f t="shared" si="2"/>
        <v>9.5012964277849301E-3</v>
      </c>
      <c r="L5" s="70">
        <f t="shared" si="3"/>
        <v>2.5836835602182688E-2</v>
      </c>
      <c r="M5" s="69">
        <v>11684</v>
      </c>
      <c r="N5" s="70">
        <f t="shared" si="4"/>
        <v>4.6528835014979309E-3</v>
      </c>
      <c r="O5" s="67" t="s">
        <v>16</v>
      </c>
    </row>
    <row r="6" spans="1:15" s="1" customFormat="1" x14ac:dyDescent="0.3">
      <c r="A6" s="66" t="s">
        <v>28</v>
      </c>
      <c r="B6" s="67" t="s">
        <v>15</v>
      </c>
      <c r="C6" s="67" t="s">
        <v>16</v>
      </c>
      <c r="D6" s="72">
        <v>44939</v>
      </c>
      <c r="E6" s="69">
        <v>96595</v>
      </c>
      <c r="F6" s="70">
        <f t="shared" si="0"/>
        <v>0.99883016719291884</v>
      </c>
      <c r="G6" s="69">
        <v>113</v>
      </c>
      <c r="H6" s="69">
        <v>31810</v>
      </c>
      <c r="I6" s="70">
        <f t="shared" si="1"/>
        <v>0.32931311144469178</v>
      </c>
      <c r="J6" s="69">
        <v>847</v>
      </c>
      <c r="K6" s="70">
        <f t="shared" si="2"/>
        <v>8.7685698017495733E-3</v>
      </c>
      <c r="L6" s="70">
        <f t="shared" si="3"/>
        <v>2.662684690348947E-2</v>
      </c>
      <c r="M6" s="69">
        <v>78</v>
      </c>
      <c r="N6" s="70">
        <f t="shared" si="4"/>
        <v>8.0749521196749312E-4</v>
      </c>
      <c r="O6" s="67" t="s">
        <v>16</v>
      </c>
    </row>
    <row r="7" spans="1:15" s="1" customFormat="1" x14ac:dyDescent="0.3">
      <c r="A7" s="66" t="s">
        <v>28</v>
      </c>
      <c r="B7" s="67" t="s">
        <v>18</v>
      </c>
      <c r="C7" s="67" t="s">
        <v>16</v>
      </c>
      <c r="D7" s="72">
        <v>44939</v>
      </c>
      <c r="E7" s="69">
        <v>226314</v>
      </c>
      <c r="F7" s="70">
        <f t="shared" si="0"/>
        <v>0.99721183841918748</v>
      </c>
      <c r="G7" s="69">
        <v>631</v>
      </c>
      <c r="H7" s="69">
        <v>81138</v>
      </c>
      <c r="I7" s="70">
        <f t="shared" si="1"/>
        <v>0.35851957899201992</v>
      </c>
      <c r="J7" s="69">
        <v>2838</v>
      </c>
      <c r="K7" s="70">
        <f t="shared" si="2"/>
        <v>1.2540099154272382E-2</v>
      </c>
      <c r="L7" s="70">
        <f t="shared" si="3"/>
        <v>3.4977445833025214E-2</v>
      </c>
      <c r="M7" s="69">
        <v>1339</v>
      </c>
      <c r="N7" s="70">
        <f t="shared" si="4"/>
        <v>5.9165584099967299E-3</v>
      </c>
      <c r="O7" s="67" t="s">
        <v>16</v>
      </c>
    </row>
    <row r="8" spans="1:15" s="1" customFormat="1" x14ac:dyDescent="0.3">
      <c r="A8" s="66" t="s">
        <v>22</v>
      </c>
      <c r="B8" s="67" t="s">
        <v>15</v>
      </c>
      <c r="C8" s="67" t="s">
        <v>16</v>
      </c>
      <c r="D8" s="72">
        <v>44939</v>
      </c>
      <c r="E8" s="69">
        <v>1768850</v>
      </c>
      <c r="F8" s="70">
        <f t="shared" si="0"/>
        <v>0.99685219210221332</v>
      </c>
      <c r="G8" s="69">
        <v>5568</v>
      </c>
      <c r="H8" s="69">
        <v>643388</v>
      </c>
      <c r="I8" s="70">
        <f t="shared" si="1"/>
        <v>0.36373236848800067</v>
      </c>
      <c r="J8" s="69">
        <v>11627</v>
      </c>
      <c r="K8" s="70">
        <f t="shared" si="2"/>
        <v>6.5731972750657204E-3</v>
      </c>
      <c r="L8" s="70">
        <f t="shared" si="3"/>
        <v>1.8071521383675168E-2</v>
      </c>
      <c r="M8" s="69">
        <v>2397</v>
      </c>
      <c r="N8" s="70">
        <f t="shared" si="4"/>
        <v>1.3551177318596827E-3</v>
      </c>
      <c r="O8" s="67" t="s">
        <v>16</v>
      </c>
    </row>
    <row r="9" spans="1:15" s="1" customFormat="1" x14ac:dyDescent="0.3">
      <c r="A9" s="66" t="s">
        <v>22</v>
      </c>
      <c r="B9" s="67" t="s">
        <v>18</v>
      </c>
      <c r="C9" s="67" t="s">
        <v>16</v>
      </c>
      <c r="D9" s="72">
        <v>44939</v>
      </c>
      <c r="E9" s="69">
        <v>2523494</v>
      </c>
      <c r="F9" s="70">
        <f t="shared" si="0"/>
        <v>0.99528154217921661</v>
      </c>
      <c r="G9" s="69">
        <v>11907</v>
      </c>
      <c r="H9" s="69">
        <v>918692</v>
      </c>
      <c r="I9" s="70">
        <f t="shared" si="1"/>
        <v>0.36405555154876534</v>
      </c>
      <c r="J9" s="69">
        <v>20283</v>
      </c>
      <c r="K9" s="70">
        <f t="shared" si="2"/>
        <v>8.0376652371671967E-3</v>
      </c>
      <c r="L9" s="70">
        <f t="shared" si="3"/>
        <v>2.207812846960679E-2</v>
      </c>
      <c r="M9" s="69">
        <v>9972</v>
      </c>
      <c r="N9" s="70">
        <f t="shared" si="4"/>
        <v>3.9516638438609327E-3</v>
      </c>
      <c r="O9" s="67" t="s">
        <v>16</v>
      </c>
    </row>
    <row r="10" spans="1:15" s="1" customFormat="1" x14ac:dyDescent="0.3">
      <c r="A10" s="66" t="s">
        <v>28</v>
      </c>
      <c r="B10" s="67" t="s">
        <v>18</v>
      </c>
      <c r="C10" s="67" t="s">
        <v>16</v>
      </c>
      <c r="D10" s="72">
        <v>44946</v>
      </c>
      <c r="E10" s="69">
        <v>198628</v>
      </c>
      <c r="F10" s="70">
        <f t="shared" si="0"/>
        <v>0.99706486497371971</v>
      </c>
      <c r="G10" s="69">
        <v>583</v>
      </c>
      <c r="H10" s="69">
        <v>68163</v>
      </c>
      <c r="I10" s="70">
        <f t="shared" si="1"/>
        <v>0.34316914030247497</v>
      </c>
      <c r="J10" s="69">
        <v>2069</v>
      </c>
      <c r="K10" s="70">
        <f t="shared" si="2"/>
        <v>1.0416456894294863E-2</v>
      </c>
      <c r="L10" s="70">
        <f t="shared" si="3"/>
        <v>3.0353710957557619E-2</v>
      </c>
      <c r="M10" s="69">
        <v>989</v>
      </c>
      <c r="N10" s="70">
        <f t="shared" si="4"/>
        <v>4.9791570171375636E-3</v>
      </c>
      <c r="O10" s="67" t="s">
        <v>16</v>
      </c>
    </row>
    <row r="11" spans="1:15" s="1" customFormat="1" x14ac:dyDescent="0.3">
      <c r="A11" s="66" t="s">
        <v>28</v>
      </c>
      <c r="B11" s="67" t="s">
        <v>15</v>
      </c>
      <c r="C11" s="67" t="s">
        <v>16</v>
      </c>
      <c r="D11" s="72">
        <v>44946</v>
      </c>
      <c r="E11" s="69">
        <v>96804</v>
      </c>
      <c r="F11" s="70">
        <f t="shared" si="0"/>
        <v>0.99904962604851044</v>
      </c>
      <c r="G11" s="69">
        <v>92</v>
      </c>
      <c r="H11" s="69">
        <v>31041</v>
      </c>
      <c r="I11" s="70">
        <f t="shared" si="1"/>
        <v>0.32065823726292303</v>
      </c>
      <c r="J11" s="69">
        <v>747</v>
      </c>
      <c r="K11" s="70">
        <f t="shared" si="2"/>
        <v>7.7166232800297508E-3</v>
      </c>
      <c r="L11" s="70">
        <f t="shared" si="3"/>
        <v>2.4064946361264133E-2</v>
      </c>
      <c r="M11" s="69">
        <v>60</v>
      </c>
      <c r="N11" s="70">
        <f t="shared" si="4"/>
        <v>6.1980909879757031E-4</v>
      </c>
      <c r="O11" s="67" t="s">
        <v>16</v>
      </c>
    </row>
    <row r="12" spans="1:15" s="1" customFormat="1" x14ac:dyDescent="0.3">
      <c r="A12" s="66" t="s">
        <v>22</v>
      </c>
      <c r="B12" s="67" t="s">
        <v>15</v>
      </c>
      <c r="C12" s="67" t="s">
        <v>16</v>
      </c>
      <c r="D12" s="72">
        <v>44946</v>
      </c>
      <c r="E12" s="69">
        <v>1657825</v>
      </c>
      <c r="F12" s="70">
        <f t="shared" si="0"/>
        <v>0.99766501289339948</v>
      </c>
      <c r="G12" s="69">
        <v>3871</v>
      </c>
      <c r="H12" s="69">
        <v>754373</v>
      </c>
      <c r="I12" s="70">
        <f t="shared" si="1"/>
        <v>0.455037775398489</v>
      </c>
      <c r="J12" s="69">
        <v>13840</v>
      </c>
      <c r="K12" s="70">
        <f t="shared" si="2"/>
        <v>8.3482876660684931E-3</v>
      </c>
      <c r="L12" s="70">
        <f t="shared" si="3"/>
        <v>1.8346361813055344E-2</v>
      </c>
      <c r="M12" s="69">
        <v>2343</v>
      </c>
      <c r="N12" s="70">
        <f t="shared" si="4"/>
        <v>1.4132975434680982E-3</v>
      </c>
      <c r="O12" s="67" t="s">
        <v>16</v>
      </c>
    </row>
    <row r="13" spans="1:15" s="1" customFormat="1" x14ac:dyDescent="0.3">
      <c r="A13" s="66" t="s">
        <v>22</v>
      </c>
      <c r="B13" s="67" t="s">
        <v>18</v>
      </c>
      <c r="C13" s="67" t="s">
        <v>16</v>
      </c>
      <c r="D13" s="72">
        <v>44946</v>
      </c>
      <c r="E13" s="69">
        <v>2181188</v>
      </c>
      <c r="F13" s="70">
        <f t="shared" si="0"/>
        <v>0.99528330432773338</v>
      </c>
      <c r="G13" s="69">
        <v>10288</v>
      </c>
      <c r="H13" s="69">
        <v>789271</v>
      </c>
      <c r="I13" s="70">
        <f t="shared" si="1"/>
        <v>0.36185372375054325</v>
      </c>
      <c r="J13" s="69">
        <v>15872</v>
      </c>
      <c r="K13" s="70">
        <f t="shared" si="2"/>
        <v>7.2767684399510724E-3</v>
      </c>
      <c r="L13" s="70">
        <f t="shared" si="3"/>
        <v>2.0109696162661495E-2</v>
      </c>
      <c r="M13" s="69">
        <v>6565</v>
      </c>
      <c r="N13" s="70">
        <f t="shared" si="4"/>
        <v>3.0098276718925651E-3</v>
      </c>
      <c r="O13" s="67" t="s">
        <v>16</v>
      </c>
    </row>
    <row r="14" spans="1:15" s="1" customFormat="1" x14ac:dyDescent="0.3">
      <c r="A14" s="66" t="s">
        <v>28</v>
      </c>
      <c r="B14" s="67" t="s">
        <v>18</v>
      </c>
      <c r="C14" s="67" t="s">
        <v>16</v>
      </c>
      <c r="D14" s="72">
        <v>44953</v>
      </c>
      <c r="E14" s="69">
        <v>198423</v>
      </c>
      <c r="F14" s="70">
        <f t="shared" si="0"/>
        <v>0.99889629730424401</v>
      </c>
      <c r="G14" s="69">
        <v>219</v>
      </c>
      <c r="H14" s="69">
        <v>67539</v>
      </c>
      <c r="I14" s="70">
        <f t="shared" si="1"/>
        <v>0.34037888752815953</v>
      </c>
      <c r="J14" s="69">
        <v>2066</v>
      </c>
      <c r="K14" s="70">
        <f t="shared" si="2"/>
        <v>1.0412099403798955E-2</v>
      </c>
      <c r="L14" s="70">
        <f t="shared" si="3"/>
        <v>3.0589733339255836E-2</v>
      </c>
      <c r="M14" s="69">
        <v>1215</v>
      </c>
      <c r="N14" s="70">
        <f t="shared" si="4"/>
        <v>6.1232820791944486E-3</v>
      </c>
      <c r="O14" s="67" t="s">
        <v>16</v>
      </c>
    </row>
    <row r="15" spans="1:15" s="1" customFormat="1" x14ac:dyDescent="0.3">
      <c r="A15" s="66" t="s">
        <v>28</v>
      </c>
      <c r="B15" s="67" t="s">
        <v>15</v>
      </c>
      <c r="C15" s="67" t="s">
        <v>16</v>
      </c>
      <c r="D15" s="72">
        <v>44953</v>
      </c>
      <c r="E15" s="69">
        <v>97005</v>
      </c>
      <c r="F15" s="70">
        <f t="shared" si="0"/>
        <v>0.99915468274831198</v>
      </c>
      <c r="G15" s="69">
        <v>82</v>
      </c>
      <c r="H15" s="69">
        <v>31269</v>
      </c>
      <c r="I15" s="70">
        <f t="shared" si="1"/>
        <v>0.32234420906138861</v>
      </c>
      <c r="J15" s="69">
        <v>689</v>
      </c>
      <c r="K15" s="70">
        <f t="shared" si="2"/>
        <v>7.1027266635740422E-3</v>
      </c>
      <c r="L15" s="70">
        <f t="shared" si="3"/>
        <v>2.2034602961399471E-2</v>
      </c>
      <c r="M15" s="69">
        <v>58</v>
      </c>
      <c r="N15" s="70">
        <f t="shared" si="4"/>
        <v>5.9790732436472351E-4</v>
      </c>
      <c r="O15" s="67" t="s">
        <v>16</v>
      </c>
    </row>
    <row r="16" spans="1:15" s="1" customFormat="1" x14ac:dyDescent="0.3">
      <c r="A16" s="66" t="s">
        <v>22</v>
      </c>
      <c r="B16" s="67" t="s">
        <v>18</v>
      </c>
      <c r="C16" s="67" t="s">
        <v>16</v>
      </c>
      <c r="D16" s="72">
        <v>44953</v>
      </c>
      <c r="E16" s="69">
        <v>2178172</v>
      </c>
      <c r="F16" s="70">
        <f t="shared" si="0"/>
        <v>0.998045149786151</v>
      </c>
      <c r="G16" s="69">
        <v>4258</v>
      </c>
      <c r="H16" s="69">
        <v>782787</v>
      </c>
      <c r="I16" s="70">
        <f t="shared" si="1"/>
        <v>0.35937795545989942</v>
      </c>
      <c r="J16" s="69">
        <v>15959</v>
      </c>
      <c r="K16" s="70">
        <f t="shared" si="2"/>
        <v>7.3267859471152878E-3</v>
      </c>
      <c r="L16" s="70">
        <f t="shared" si="3"/>
        <v>2.0387410623835093E-2</v>
      </c>
      <c r="M16" s="69">
        <v>7995</v>
      </c>
      <c r="N16" s="70">
        <f t="shared" si="4"/>
        <v>3.670509032344553E-3</v>
      </c>
      <c r="O16" s="67" t="s">
        <v>16</v>
      </c>
    </row>
    <row r="17" spans="1:15" s="1" customFormat="1" x14ac:dyDescent="0.3">
      <c r="A17" s="66" t="s">
        <v>22</v>
      </c>
      <c r="B17" s="67" t="s">
        <v>15</v>
      </c>
      <c r="C17" s="67" t="s">
        <v>16</v>
      </c>
      <c r="D17" s="72">
        <v>44953</v>
      </c>
      <c r="E17" s="69">
        <v>1671088</v>
      </c>
      <c r="F17" s="70">
        <f t="shared" si="0"/>
        <v>0.99787743075170188</v>
      </c>
      <c r="G17" s="69">
        <v>3547</v>
      </c>
      <c r="H17" s="69">
        <v>595762</v>
      </c>
      <c r="I17" s="70">
        <f t="shared" si="1"/>
        <v>0.35651144643489752</v>
      </c>
      <c r="J17" s="69">
        <v>8334</v>
      </c>
      <c r="K17" s="70">
        <f t="shared" si="2"/>
        <v>4.987170035330276E-3</v>
      </c>
      <c r="L17" s="70">
        <f t="shared" si="3"/>
        <v>1.3988807611093021E-2</v>
      </c>
      <c r="M17" s="69">
        <v>2431</v>
      </c>
      <c r="N17" s="70">
        <f t="shared" si="4"/>
        <v>1.4547408634374732E-3</v>
      </c>
      <c r="O17" s="67" t="s">
        <v>16</v>
      </c>
    </row>
    <row r="18" spans="1:15" s="1" customFormat="1" x14ac:dyDescent="0.3">
      <c r="A18" s="76" t="s">
        <v>28</v>
      </c>
      <c r="B18" s="67" t="s">
        <v>15</v>
      </c>
      <c r="C18" s="67" t="s">
        <v>16</v>
      </c>
      <c r="D18" s="68">
        <v>44960</v>
      </c>
      <c r="E18" s="69">
        <v>97142</v>
      </c>
      <c r="F18" s="70">
        <f t="shared" si="0"/>
        <v>0.99924852278108334</v>
      </c>
      <c r="G18" s="69">
        <v>73</v>
      </c>
      <c r="H18" s="69">
        <v>31023</v>
      </c>
      <c r="I18" s="70">
        <f t="shared" si="1"/>
        <v>0.31935722962261431</v>
      </c>
      <c r="J18" s="69">
        <v>648</v>
      </c>
      <c r="K18" s="70">
        <f t="shared" si="2"/>
        <v>6.6706470939449465E-3</v>
      </c>
      <c r="L18" s="70">
        <f t="shared" si="3"/>
        <v>2.0887728459530026E-2</v>
      </c>
      <c r="M18" s="69">
        <v>54</v>
      </c>
      <c r="N18" s="70">
        <f t="shared" si="4"/>
        <v>5.5588725782874558E-4</v>
      </c>
      <c r="O18" s="67" t="s">
        <v>16</v>
      </c>
    </row>
    <row r="19" spans="1:15" s="1" customFormat="1" x14ac:dyDescent="0.3">
      <c r="A19" s="76" t="s">
        <v>28</v>
      </c>
      <c r="B19" s="67" t="s">
        <v>18</v>
      </c>
      <c r="C19" s="67" t="s">
        <v>16</v>
      </c>
      <c r="D19" s="68">
        <v>44960</v>
      </c>
      <c r="E19" s="69">
        <v>196771</v>
      </c>
      <c r="F19" s="70">
        <f t="shared" si="0"/>
        <v>0.99887178496831341</v>
      </c>
      <c r="G19" s="69">
        <v>222</v>
      </c>
      <c r="H19" s="69">
        <v>66486</v>
      </c>
      <c r="I19" s="70">
        <f t="shared" si="1"/>
        <v>0.33788515584105383</v>
      </c>
      <c r="J19" s="69">
        <v>1573</v>
      </c>
      <c r="K19" s="70">
        <f t="shared" si="2"/>
        <v>7.994064165959415E-3</v>
      </c>
      <c r="L19" s="70">
        <f t="shared" si="3"/>
        <v>2.3659116204915322E-2</v>
      </c>
      <c r="M19" s="69">
        <v>793</v>
      </c>
      <c r="N19" s="70">
        <f t="shared" si="4"/>
        <v>4.0300654059795393E-3</v>
      </c>
      <c r="O19" s="67" t="s">
        <v>16</v>
      </c>
    </row>
    <row r="20" spans="1:15" s="1" customFormat="1" x14ac:dyDescent="0.3">
      <c r="A20" s="76" t="s">
        <v>22</v>
      </c>
      <c r="B20" s="67" t="s">
        <v>15</v>
      </c>
      <c r="C20" s="67" t="s">
        <v>16</v>
      </c>
      <c r="D20" s="68">
        <v>44960</v>
      </c>
      <c r="E20" s="69">
        <v>1689355</v>
      </c>
      <c r="F20" s="70">
        <f t="shared" si="0"/>
        <v>0.99800278804632536</v>
      </c>
      <c r="G20" s="69">
        <v>3374</v>
      </c>
      <c r="H20" s="69">
        <v>600658</v>
      </c>
      <c r="I20" s="70">
        <f t="shared" si="1"/>
        <v>0.35555463475705223</v>
      </c>
      <c r="J20" s="69">
        <v>8152</v>
      </c>
      <c r="K20" s="70">
        <f t="shared" si="2"/>
        <v>4.8255103279062125E-3</v>
      </c>
      <c r="L20" s="70">
        <f t="shared" si="3"/>
        <v>1.3571782944703974E-2</v>
      </c>
      <c r="M20" s="69">
        <v>1766</v>
      </c>
      <c r="N20" s="70">
        <f t="shared" si="4"/>
        <v>1.0453693865410171E-3</v>
      </c>
      <c r="O20" s="67" t="s">
        <v>16</v>
      </c>
    </row>
    <row r="21" spans="1:15" s="1" customFormat="1" x14ac:dyDescent="0.3">
      <c r="A21" s="76" t="s">
        <v>22</v>
      </c>
      <c r="B21" s="67" t="s">
        <v>18</v>
      </c>
      <c r="C21" s="67" t="s">
        <v>16</v>
      </c>
      <c r="D21" s="68">
        <v>44960</v>
      </c>
      <c r="E21" s="69">
        <v>2178700</v>
      </c>
      <c r="F21" s="70">
        <f t="shared" si="0"/>
        <v>0.99819800798641389</v>
      </c>
      <c r="G21" s="69">
        <v>3926</v>
      </c>
      <c r="H21" s="69">
        <v>762166</v>
      </c>
      <c r="I21" s="70">
        <f t="shared" si="1"/>
        <v>0.34982604305319687</v>
      </c>
      <c r="J21" s="69">
        <v>11968</v>
      </c>
      <c r="K21" s="70">
        <f t="shared" si="2"/>
        <v>5.4931840088125947E-3</v>
      </c>
      <c r="L21" s="70">
        <f t="shared" si="3"/>
        <v>1.5702615965550813E-2</v>
      </c>
      <c r="M21" s="69">
        <v>6509</v>
      </c>
      <c r="N21" s="70">
        <f t="shared" si="4"/>
        <v>2.9875613898196172E-3</v>
      </c>
      <c r="O21" s="67" t="s">
        <v>16</v>
      </c>
    </row>
    <row r="22" spans="1:15" s="1" customFormat="1" x14ac:dyDescent="0.3">
      <c r="A22" s="66" t="s">
        <v>22</v>
      </c>
      <c r="B22" s="67" t="s">
        <v>18</v>
      </c>
      <c r="C22" s="67" t="s">
        <v>16</v>
      </c>
      <c r="D22" s="68">
        <v>44967</v>
      </c>
      <c r="E22" s="69">
        <v>2176409</v>
      </c>
      <c r="F22" s="70">
        <f t="shared" si="0"/>
        <v>0.99820254373144024</v>
      </c>
      <c r="G22" s="69">
        <v>3912</v>
      </c>
      <c r="H22" s="69">
        <v>784867</v>
      </c>
      <c r="I22" s="70">
        <f t="shared" si="1"/>
        <v>0.36062477227396139</v>
      </c>
      <c r="J22" s="69">
        <v>14505</v>
      </c>
      <c r="K22" s="70">
        <f t="shared" si="2"/>
        <v>6.6646480509867405E-3</v>
      </c>
      <c r="L22" s="70">
        <f t="shared" si="3"/>
        <v>1.8480838154744689E-2</v>
      </c>
      <c r="M22" s="69">
        <v>7705</v>
      </c>
      <c r="N22" s="70">
        <f t="shared" si="4"/>
        <v>3.5402353142263243E-3</v>
      </c>
      <c r="O22" s="67" t="s">
        <v>16</v>
      </c>
    </row>
    <row r="23" spans="1:15" s="1" customFormat="1" x14ac:dyDescent="0.3">
      <c r="A23" s="66" t="s">
        <v>22</v>
      </c>
      <c r="B23" s="67" t="s">
        <v>15</v>
      </c>
      <c r="C23" s="67" t="s">
        <v>16</v>
      </c>
      <c r="D23" s="68">
        <v>44967</v>
      </c>
      <c r="E23" s="69">
        <v>1701825</v>
      </c>
      <c r="F23" s="70">
        <f t="shared" si="0"/>
        <v>0.99803916383882008</v>
      </c>
      <c r="G23" s="69">
        <v>3337</v>
      </c>
      <c r="H23" s="69">
        <v>626473</v>
      </c>
      <c r="I23" s="70">
        <f t="shared" si="1"/>
        <v>0.36811834354296125</v>
      </c>
      <c r="J23" s="69">
        <v>9672</v>
      </c>
      <c r="K23" s="70">
        <f t="shared" si="2"/>
        <v>5.6833105636596003E-3</v>
      </c>
      <c r="L23" s="70">
        <f t="shared" si="3"/>
        <v>1.543881380362761E-2</v>
      </c>
      <c r="M23" s="69">
        <v>1950</v>
      </c>
      <c r="N23" s="70">
        <f t="shared" si="4"/>
        <v>1.1458287426733065E-3</v>
      </c>
      <c r="O23" s="67" t="s">
        <v>16</v>
      </c>
    </row>
    <row r="24" spans="1:15" s="1" customFormat="1" x14ac:dyDescent="0.3">
      <c r="A24" s="66" t="s">
        <v>28</v>
      </c>
      <c r="B24" s="67" t="s">
        <v>18</v>
      </c>
      <c r="C24" s="67" t="s">
        <v>16</v>
      </c>
      <c r="D24" s="68">
        <v>44967</v>
      </c>
      <c r="E24" s="69">
        <v>195605</v>
      </c>
      <c r="F24" s="70">
        <f t="shared" si="0"/>
        <v>0.99898264359295519</v>
      </c>
      <c r="G24" s="69">
        <v>199</v>
      </c>
      <c r="H24" s="69">
        <v>64938</v>
      </c>
      <c r="I24" s="70">
        <f t="shared" si="1"/>
        <v>0.33198537869686356</v>
      </c>
      <c r="J24" s="69">
        <v>1695</v>
      </c>
      <c r="K24" s="70">
        <f t="shared" si="2"/>
        <v>8.665422663019862E-3</v>
      </c>
      <c r="L24" s="70">
        <f t="shared" si="3"/>
        <v>2.6101820197727062E-2</v>
      </c>
      <c r="M24" s="69">
        <v>1095</v>
      </c>
      <c r="N24" s="70">
        <f t="shared" si="4"/>
        <v>5.5980164106234501E-3</v>
      </c>
      <c r="O24" s="67" t="s">
        <v>16</v>
      </c>
    </row>
    <row r="25" spans="1:15" s="1" customFormat="1" x14ac:dyDescent="0.3">
      <c r="A25" s="66" t="s">
        <v>28</v>
      </c>
      <c r="B25" s="67" t="s">
        <v>15</v>
      </c>
      <c r="C25" s="67" t="s">
        <v>16</v>
      </c>
      <c r="D25" s="68">
        <v>44967</v>
      </c>
      <c r="E25" s="69">
        <v>96749</v>
      </c>
      <c r="F25" s="70">
        <f t="shared" si="0"/>
        <v>0.9992454702374185</v>
      </c>
      <c r="G25" s="69">
        <v>73</v>
      </c>
      <c r="H25" s="69">
        <v>30226</v>
      </c>
      <c r="I25" s="70">
        <f t="shared" si="1"/>
        <v>0.31241666580533134</v>
      </c>
      <c r="J25" s="69">
        <v>602</v>
      </c>
      <c r="K25" s="70">
        <f t="shared" si="2"/>
        <v>6.2222865352613461E-3</v>
      </c>
      <c r="L25" s="70">
        <f t="shared" si="3"/>
        <v>1.9916628068550254E-2</v>
      </c>
      <c r="M25" s="69">
        <v>84</v>
      </c>
      <c r="N25" s="70">
        <f t="shared" si="4"/>
        <v>8.6822602817600183E-4</v>
      </c>
      <c r="O25" s="67" t="s">
        <v>16</v>
      </c>
    </row>
    <row r="26" spans="1:15" s="1" customFormat="1" x14ac:dyDescent="0.3">
      <c r="A26" s="66" t="s">
        <v>28</v>
      </c>
      <c r="B26" s="67" t="s">
        <v>15</v>
      </c>
      <c r="C26" s="67" t="s">
        <v>16</v>
      </c>
      <c r="D26" s="68">
        <v>44974</v>
      </c>
      <c r="E26" s="69">
        <v>96885</v>
      </c>
      <c r="F26" s="70">
        <f t="shared" si="0"/>
        <v>0.99928781545130829</v>
      </c>
      <c r="G26" s="69">
        <v>69</v>
      </c>
      <c r="H26" s="69">
        <v>31156</v>
      </c>
      <c r="I26" s="70">
        <f t="shared" si="1"/>
        <v>0.32157712752232026</v>
      </c>
      <c r="J26" s="69">
        <v>542</v>
      </c>
      <c r="K26" s="70">
        <f t="shared" si="2"/>
        <v>5.5942612375496723E-3</v>
      </c>
      <c r="L26" s="70">
        <f t="shared" si="3"/>
        <v>1.7396328155090512E-2</v>
      </c>
      <c r="M26" s="69">
        <v>50</v>
      </c>
      <c r="N26" s="70">
        <f t="shared" si="4"/>
        <v>5.1607575992155652E-4</v>
      </c>
      <c r="O26" s="67" t="s">
        <v>16</v>
      </c>
    </row>
    <row r="27" spans="1:15" s="1" customFormat="1" x14ac:dyDescent="0.3">
      <c r="A27" s="66" t="s">
        <v>28</v>
      </c>
      <c r="B27" s="67" t="s">
        <v>18</v>
      </c>
      <c r="C27" s="67" t="s">
        <v>16</v>
      </c>
      <c r="D27" s="68">
        <v>44974</v>
      </c>
      <c r="E27" s="69">
        <v>194509</v>
      </c>
      <c r="F27" s="70">
        <f t="shared" si="0"/>
        <v>0.9990180402963359</v>
      </c>
      <c r="G27" s="69">
        <v>191</v>
      </c>
      <c r="H27" s="69">
        <v>65351</v>
      </c>
      <c r="I27" s="70">
        <f t="shared" si="1"/>
        <v>0.3359793120112694</v>
      </c>
      <c r="J27" s="69">
        <v>1438</v>
      </c>
      <c r="K27" s="70">
        <f t="shared" si="2"/>
        <v>7.3929741040260344E-3</v>
      </c>
      <c r="L27" s="70">
        <f t="shared" si="3"/>
        <v>2.2004253951737541E-2</v>
      </c>
      <c r="M27" s="69">
        <v>837</v>
      </c>
      <c r="N27" s="70">
        <f t="shared" si="4"/>
        <v>4.303142785166753E-3</v>
      </c>
      <c r="O27" s="67" t="s">
        <v>16</v>
      </c>
    </row>
    <row r="28" spans="1:15" s="1" customFormat="1" x14ac:dyDescent="0.3">
      <c r="A28" s="66" t="s">
        <v>22</v>
      </c>
      <c r="B28" s="67" t="s">
        <v>15</v>
      </c>
      <c r="C28" s="67" t="s">
        <v>16</v>
      </c>
      <c r="D28" s="68">
        <v>44974</v>
      </c>
      <c r="E28" s="69">
        <v>1717383</v>
      </c>
      <c r="F28" s="70">
        <f t="shared" si="0"/>
        <v>0.99801267393470183</v>
      </c>
      <c r="G28" s="69">
        <v>3413</v>
      </c>
      <c r="H28" s="69">
        <v>616790</v>
      </c>
      <c r="I28" s="70">
        <f t="shared" si="1"/>
        <v>0.35914528093034576</v>
      </c>
      <c r="J28" s="69">
        <v>10525</v>
      </c>
      <c r="K28" s="70">
        <f t="shared" si="2"/>
        <v>6.1285106467223677E-3</v>
      </c>
      <c r="L28" s="70">
        <f t="shared" si="3"/>
        <v>1.7064154736620242E-2</v>
      </c>
      <c r="M28" s="69">
        <v>1693</v>
      </c>
      <c r="N28" s="70">
        <f t="shared" si="4"/>
        <v>9.8580223514498511E-4</v>
      </c>
      <c r="O28" s="67" t="s">
        <v>16</v>
      </c>
    </row>
    <row r="29" spans="1:15" s="1" customFormat="1" x14ac:dyDescent="0.3">
      <c r="A29" s="66" t="s">
        <v>22</v>
      </c>
      <c r="B29" s="67" t="s">
        <v>18</v>
      </c>
      <c r="C29" s="67" t="s">
        <v>16</v>
      </c>
      <c r="D29" s="68">
        <v>44974</v>
      </c>
      <c r="E29" s="69">
        <v>2174207</v>
      </c>
      <c r="F29" s="70">
        <f t="shared" si="0"/>
        <v>0.99826005527532569</v>
      </c>
      <c r="G29" s="69">
        <v>3783</v>
      </c>
      <c r="H29" s="69">
        <v>758355</v>
      </c>
      <c r="I29" s="70">
        <f t="shared" si="1"/>
        <v>0.34879613578651897</v>
      </c>
      <c r="J29" s="69">
        <v>13911</v>
      </c>
      <c r="K29" s="70">
        <f t="shared" si="2"/>
        <v>6.3981948360942635E-3</v>
      </c>
      <c r="L29" s="70">
        <f t="shared" si="3"/>
        <v>1.8343651719840971E-2</v>
      </c>
      <c r="M29" s="69">
        <v>5843</v>
      </c>
      <c r="N29" s="70">
        <f t="shared" si="4"/>
        <v>2.6874166075263302E-3</v>
      </c>
      <c r="O29" s="67" t="s">
        <v>16</v>
      </c>
    </row>
    <row r="30" spans="1:15" s="1" customFormat="1" x14ac:dyDescent="0.3">
      <c r="A30" s="66" t="s">
        <v>28</v>
      </c>
      <c r="B30" s="67" t="s">
        <v>15</v>
      </c>
      <c r="C30" s="67" t="s">
        <v>16</v>
      </c>
      <c r="D30" s="68">
        <v>44981</v>
      </c>
      <c r="E30" s="69">
        <v>96887</v>
      </c>
      <c r="F30" s="70">
        <f t="shared" si="0"/>
        <v>0.99921558103770369</v>
      </c>
      <c r="G30" s="69">
        <v>76</v>
      </c>
      <c r="H30" s="69">
        <v>29052</v>
      </c>
      <c r="I30" s="70">
        <f t="shared" si="1"/>
        <v>0.29985446963988976</v>
      </c>
      <c r="J30" s="69">
        <v>532</v>
      </c>
      <c r="K30" s="70">
        <f t="shared" si="2"/>
        <v>5.4909327360739835E-3</v>
      </c>
      <c r="L30" s="70">
        <f t="shared" si="3"/>
        <v>1.8311992289687457E-2</v>
      </c>
      <c r="M30" s="69">
        <v>54</v>
      </c>
      <c r="N30" s="70">
        <f t="shared" si="4"/>
        <v>5.5735031531578029E-4</v>
      </c>
      <c r="O30" s="67" t="s">
        <v>16</v>
      </c>
    </row>
    <row r="31" spans="1:15" s="1" customFormat="1" x14ac:dyDescent="0.3">
      <c r="A31" s="66" t="s">
        <v>28</v>
      </c>
      <c r="B31" s="67" t="s">
        <v>18</v>
      </c>
      <c r="C31" s="67" t="s">
        <v>16</v>
      </c>
      <c r="D31" s="68">
        <v>44981</v>
      </c>
      <c r="E31" s="69">
        <v>193445</v>
      </c>
      <c r="F31" s="70">
        <f t="shared" si="0"/>
        <v>0.99898679211145291</v>
      </c>
      <c r="G31" s="69">
        <v>196</v>
      </c>
      <c r="H31" s="69">
        <v>59766</v>
      </c>
      <c r="I31" s="70">
        <f t="shared" si="1"/>
        <v>0.30895603401483623</v>
      </c>
      <c r="J31" s="69">
        <v>1321</v>
      </c>
      <c r="K31" s="70">
        <f t="shared" si="2"/>
        <v>6.8288143916875599E-3</v>
      </c>
      <c r="L31" s="70">
        <f t="shared" si="3"/>
        <v>2.2102867851286685E-2</v>
      </c>
      <c r="M31" s="69">
        <v>752</v>
      </c>
      <c r="N31" s="70">
        <f t="shared" si="4"/>
        <v>3.8874098580992012E-3</v>
      </c>
      <c r="O31" s="67" t="s">
        <v>16</v>
      </c>
    </row>
    <row r="32" spans="1:15" s="1" customFormat="1" x14ac:dyDescent="0.3">
      <c r="A32" s="66" t="s">
        <v>22</v>
      </c>
      <c r="B32" s="67" t="s">
        <v>15</v>
      </c>
      <c r="C32" s="67" t="s">
        <v>16</v>
      </c>
      <c r="D32" s="68">
        <v>44981</v>
      </c>
      <c r="E32" s="69">
        <v>1736522</v>
      </c>
      <c r="F32" s="70">
        <f t="shared" si="0"/>
        <v>0.99784914904619693</v>
      </c>
      <c r="G32" s="69">
        <v>3735</v>
      </c>
      <c r="H32" s="69">
        <v>613549</v>
      </c>
      <c r="I32" s="70">
        <f t="shared" si="1"/>
        <v>0.35332060290626899</v>
      </c>
      <c r="J32" s="69">
        <v>9784</v>
      </c>
      <c r="K32" s="70">
        <f t="shared" si="2"/>
        <v>5.6342505306584082E-3</v>
      </c>
      <c r="L32" s="70">
        <f t="shared" si="3"/>
        <v>1.5946566614891394E-2</v>
      </c>
      <c r="M32" s="69">
        <v>1806</v>
      </c>
      <c r="N32" s="70">
        <f t="shared" si="4"/>
        <v>1.0400098587867012E-3</v>
      </c>
      <c r="O32" s="67" t="s">
        <v>16</v>
      </c>
    </row>
    <row r="33" spans="1:15" s="1" customFormat="1" x14ac:dyDescent="0.3">
      <c r="A33" s="66" t="s">
        <v>22</v>
      </c>
      <c r="B33" s="67" t="s">
        <v>18</v>
      </c>
      <c r="C33" s="67" t="s">
        <v>16</v>
      </c>
      <c r="D33" s="68">
        <v>44981</v>
      </c>
      <c r="E33" s="69">
        <v>2176097</v>
      </c>
      <c r="F33" s="70">
        <f t="shared" si="0"/>
        <v>0.99815817033891407</v>
      </c>
      <c r="G33" s="69">
        <v>4008</v>
      </c>
      <c r="H33" s="69">
        <v>768818</v>
      </c>
      <c r="I33" s="70">
        <f t="shared" si="1"/>
        <v>0.35330134640137822</v>
      </c>
      <c r="J33" s="69">
        <v>13398</v>
      </c>
      <c r="K33" s="70">
        <f t="shared" si="2"/>
        <v>6.1568946604861827E-3</v>
      </c>
      <c r="L33" s="70">
        <f t="shared" si="3"/>
        <v>1.742675119469107E-2</v>
      </c>
      <c r="M33" s="69">
        <v>6322</v>
      </c>
      <c r="N33" s="70">
        <f t="shared" si="4"/>
        <v>2.9052013765930472E-3</v>
      </c>
      <c r="O33" s="67" t="s">
        <v>16</v>
      </c>
    </row>
    <row r="34" spans="1:15" s="1" customFormat="1" x14ac:dyDescent="0.3">
      <c r="A34" s="66" t="s">
        <v>28</v>
      </c>
      <c r="B34" s="67" t="s">
        <v>15</v>
      </c>
      <c r="C34" s="67" t="s">
        <v>16</v>
      </c>
      <c r="D34" s="68">
        <v>44988</v>
      </c>
      <c r="E34" s="69">
        <v>96915</v>
      </c>
      <c r="F34" s="70">
        <f t="shared" si="0"/>
        <v>0.99923644430686687</v>
      </c>
      <c r="G34" s="69">
        <v>74</v>
      </c>
      <c r="H34" s="69">
        <v>31082</v>
      </c>
      <c r="I34" s="70">
        <f t="shared" si="1"/>
        <v>0.32071402775628127</v>
      </c>
      <c r="J34" s="69">
        <v>582</v>
      </c>
      <c r="K34" s="70">
        <f t="shared" si="2"/>
        <v>6.0052623432905123E-3</v>
      </c>
      <c r="L34" s="70">
        <f t="shared" si="3"/>
        <v>1.8724663792548741E-2</v>
      </c>
      <c r="M34" s="69">
        <v>58</v>
      </c>
      <c r="N34" s="70">
        <f t="shared" si="4"/>
        <v>5.9846257029355621E-4</v>
      </c>
      <c r="O34" s="67" t="s">
        <v>16</v>
      </c>
    </row>
    <row r="35" spans="1:15" s="1" customFormat="1" x14ac:dyDescent="0.3">
      <c r="A35" s="66" t="s">
        <v>28</v>
      </c>
      <c r="B35" s="67" t="s">
        <v>18</v>
      </c>
      <c r="C35" s="67" t="s">
        <v>16</v>
      </c>
      <c r="D35" s="68">
        <v>44988</v>
      </c>
      <c r="E35" s="69">
        <v>191523</v>
      </c>
      <c r="F35" s="70">
        <f t="shared" si="0"/>
        <v>0.99897140291244391</v>
      </c>
      <c r="G35" s="69">
        <v>197</v>
      </c>
      <c r="H35" s="69">
        <v>62297</v>
      </c>
      <c r="I35" s="70">
        <f t="shared" si="1"/>
        <v>0.32527163839330003</v>
      </c>
      <c r="J35" s="69">
        <v>1288</v>
      </c>
      <c r="K35" s="70">
        <f t="shared" si="2"/>
        <v>6.7250408567117266E-3</v>
      </c>
      <c r="L35" s="70">
        <f t="shared" si="3"/>
        <v>2.0675152896608182E-2</v>
      </c>
      <c r="M35" s="69">
        <v>580</v>
      </c>
      <c r="N35" s="70">
        <f t="shared" si="4"/>
        <v>3.0283569075254669E-3</v>
      </c>
      <c r="O35" s="67" t="s">
        <v>16</v>
      </c>
    </row>
    <row r="36" spans="1:15" s="1" customFormat="1" x14ac:dyDescent="0.3">
      <c r="A36" s="66" t="s">
        <v>22</v>
      </c>
      <c r="B36" s="67" t="s">
        <v>15</v>
      </c>
      <c r="C36" s="67" t="s">
        <v>16</v>
      </c>
      <c r="D36" s="68">
        <v>44988</v>
      </c>
      <c r="E36" s="69">
        <v>1744898</v>
      </c>
      <c r="F36" s="70">
        <f t="shared" si="0"/>
        <v>0.99788010531274607</v>
      </c>
      <c r="G36" s="69">
        <v>3699</v>
      </c>
      <c r="H36" s="69">
        <v>704864</v>
      </c>
      <c r="I36" s="70">
        <f t="shared" si="1"/>
        <v>0.40395713674954065</v>
      </c>
      <c r="J36" s="69">
        <v>9825</v>
      </c>
      <c r="K36" s="70">
        <f t="shared" si="2"/>
        <v>5.6307016226736463E-3</v>
      </c>
      <c r="L36" s="70">
        <f t="shared" si="3"/>
        <v>1.3938859127434512E-2</v>
      </c>
      <c r="M36" s="69">
        <v>1713</v>
      </c>
      <c r="N36" s="70">
        <f t="shared" si="4"/>
        <v>9.8171927528142053E-4</v>
      </c>
      <c r="O36" s="67" t="s">
        <v>16</v>
      </c>
    </row>
    <row r="37" spans="1:15" s="1" customFormat="1" x14ac:dyDescent="0.3">
      <c r="A37" s="66" t="s">
        <v>22</v>
      </c>
      <c r="B37" s="67" t="s">
        <v>18</v>
      </c>
      <c r="C37" s="67" t="s">
        <v>16</v>
      </c>
      <c r="D37" s="68">
        <v>44988</v>
      </c>
      <c r="E37" s="69">
        <v>2168282</v>
      </c>
      <c r="F37" s="70">
        <f t="shared" si="0"/>
        <v>0.9982142544189363</v>
      </c>
      <c r="G37" s="69">
        <v>3872</v>
      </c>
      <c r="H37" s="69">
        <v>784145</v>
      </c>
      <c r="I37" s="70">
        <f t="shared" si="1"/>
        <v>0.3616434578159114</v>
      </c>
      <c r="J37" s="69">
        <v>11899</v>
      </c>
      <c r="K37" s="70">
        <f t="shared" si="2"/>
        <v>5.4877548215591879E-3</v>
      </c>
      <c r="L37" s="70">
        <f t="shared" si="3"/>
        <v>1.5174489412034763E-2</v>
      </c>
      <c r="M37" s="69">
        <v>4893</v>
      </c>
      <c r="N37" s="70">
        <f t="shared" si="4"/>
        <v>2.2566252913597032E-3</v>
      </c>
      <c r="O37" s="67" t="s">
        <v>16</v>
      </c>
    </row>
    <row r="38" spans="1:15" s="1" customFormat="1" x14ac:dyDescent="0.3">
      <c r="A38" s="66" t="s">
        <v>28</v>
      </c>
      <c r="B38" s="67" t="s">
        <v>15</v>
      </c>
      <c r="C38" s="67" t="s">
        <v>16</v>
      </c>
      <c r="D38" s="68">
        <v>44995</v>
      </c>
      <c r="E38" s="69">
        <v>96975</v>
      </c>
      <c r="F38" s="70">
        <f t="shared" si="0"/>
        <v>0.99922660479505032</v>
      </c>
      <c r="G38" s="69">
        <v>75</v>
      </c>
      <c r="H38" s="69">
        <v>29387</v>
      </c>
      <c r="I38" s="70">
        <f t="shared" si="1"/>
        <v>0.30303686517143591</v>
      </c>
      <c r="J38" s="69">
        <v>606</v>
      </c>
      <c r="K38" s="70">
        <f t="shared" si="2"/>
        <v>6.2490332559938131E-3</v>
      </c>
      <c r="L38" s="70">
        <f t="shared" si="3"/>
        <v>2.062136318780413E-2</v>
      </c>
      <c r="M38" s="69">
        <v>58</v>
      </c>
      <c r="N38" s="70">
        <f t="shared" si="4"/>
        <v>5.9809229182779071E-4</v>
      </c>
      <c r="O38" s="67" t="s">
        <v>16</v>
      </c>
    </row>
    <row r="39" spans="1:15" s="1" customFormat="1" x14ac:dyDescent="0.3">
      <c r="A39" s="66" t="s">
        <v>28</v>
      </c>
      <c r="B39" s="67" t="s">
        <v>18</v>
      </c>
      <c r="C39" s="67" t="s">
        <v>16</v>
      </c>
      <c r="D39" s="68">
        <v>44995</v>
      </c>
      <c r="E39" s="69">
        <v>190580</v>
      </c>
      <c r="F39" s="70">
        <f t="shared" si="0"/>
        <v>0.99880365200965471</v>
      </c>
      <c r="G39" s="69">
        <v>228</v>
      </c>
      <c r="H39" s="69">
        <v>58766</v>
      </c>
      <c r="I39" s="70">
        <f t="shared" si="1"/>
        <v>0.3083534473711827</v>
      </c>
      <c r="J39" s="69">
        <v>1312</v>
      </c>
      <c r="K39" s="70">
        <f t="shared" si="2"/>
        <v>6.8842480847937874E-3</v>
      </c>
      <c r="L39" s="70">
        <f t="shared" si="3"/>
        <v>2.2325834666303643E-2</v>
      </c>
      <c r="M39" s="69">
        <v>661</v>
      </c>
      <c r="N39" s="70">
        <f t="shared" si="4"/>
        <v>3.468359743939553E-3</v>
      </c>
      <c r="O39" s="67" t="s">
        <v>16</v>
      </c>
    </row>
    <row r="40" spans="1:15" s="1" customFormat="1" x14ac:dyDescent="0.3">
      <c r="A40" s="66" t="s">
        <v>22</v>
      </c>
      <c r="B40" s="67" t="s">
        <v>15</v>
      </c>
      <c r="C40" s="67" t="s">
        <v>16</v>
      </c>
      <c r="D40" s="68">
        <v>44995</v>
      </c>
      <c r="E40" s="69">
        <v>1752004</v>
      </c>
      <c r="F40" s="70">
        <f t="shared" si="0"/>
        <v>0.99789555274987962</v>
      </c>
      <c r="G40" s="69">
        <v>3687</v>
      </c>
      <c r="H40" s="69">
        <v>707834</v>
      </c>
      <c r="I40" s="70">
        <f t="shared" si="1"/>
        <v>0.40401391777644341</v>
      </c>
      <c r="J40" s="69">
        <v>12905</v>
      </c>
      <c r="K40" s="70">
        <f t="shared" si="2"/>
        <v>7.3658507628978015E-3</v>
      </c>
      <c r="L40" s="70">
        <f t="shared" si="3"/>
        <v>1.8231675788391064E-2</v>
      </c>
      <c r="M40" s="69">
        <v>1710</v>
      </c>
      <c r="N40" s="70">
        <f t="shared" si="4"/>
        <v>9.760251688923085E-4</v>
      </c>
      <c r="O40" s="67" t="s">
        <v>16</v>
      </c>
    </row>
    <row r="41" spans="1:15" s="1" customFormat="1" x14ac:dyDescent="0.3">
      <c r="A41" s="66" t="s">
        <v>22</v>
      </c>
      <c r="B41" s="67" t="s">
        <v>18</v>
      </c>
      <c r="C41" s="67" t="s">
        <v>16</v>
      </c>
      <c r="D41" s="68">
        <v>44995</v>
      </c>
      <c r="E41" s="69">
        <v>2170502</v>
      </c>
      <c r="F41" s="70">
        <f t="shared" si="0"/>
        <v>0.9980345560612246</v>
      </c>
      <c r="G41" s="69">
        <v>4266</v>
      </c>
      <c r="H41" s="69">
        <v>776199</v>
      </c>
      <c r="I41" s="70">
        <f t="shared" si="1"/>
        <v>0.35761266287706717</v>
      </c>
      <c r="J41" s="69">
        <v>14645</v>
      </c>
      <c r="K41" s="70">
        <f t="shared" si="2"/>
        <v>6.7472870331379562E-3</v>
      </c>
      <c r="L41" s="70">
        <f t="shared" si="3"/>
        <v>1.8867584214872734E-2</v>
      </c>
      <c r="M41" s="69">
        <v>5069</v>
      </c>
      <c r="N41" s="70">
        <f t="shared" si="4"/>
        <v>2.3354044363930555E-3</v>
      </c>
      <c r="O41" s="67" t="s">
        <v>16</v>
      </c>
    </row>
    <row r="42" spans="1:15" s="1" customFormat="1" x14ac:dyDescent="0.3">
      <c r="A42" s="66" t="s">
        <v>28</v>
      </c>
      <c r="B42" s="67" t="s">
        <v>15</v>
      </c>
      <c r="C42" s="67" t="s">
        <v>16</v>
      </c>
      <c r="D42" s="68">
        <v>45002</v>
      </c>
      <c r="E42" s="69">
        <v>96989</v>
      </c>
      <c r="F42" s="70">
        <f t="shared" si="0"/>
        <v>0.99896895524234708</v>
      </c>
      <c r="G42" s="69">
        <v>100</v>
      </c>
      <c r="H42" s="69">
        <v>29477</v>
      </c>
      <c r="I42" s="70">
        <f t="shared" si="1"/>
        <v>0.3039210632133541</v>
      </c>
      <c r="J42" s="69">
        <v>582</v>
      </c>
      <c r="K42" s="70">
        <f t="shared" si="2"/>
        <v>6.0006804895400513E-3</v>
      </c>
      <c r="L42" s="70">
        <f t="shared" si="3"/>
        <v>1.9744207348101912E-2</v>
      </c>
      <c r="M42" s="69">
        <v>31</v>
      </c>
      <c r="N42" s="70">
        <f t="shared" si="4"/>
        <v>3.1962387487240819E-4</v>
      </c>
      <c r="O42" s="67" t="s">
        <v>16</v>
      </c>
    </row>
    <row r="43" spans="1:15" s="1" customFormat="1" x14ac:dyDescent="0.3">
      <c r="A43" s="66" t="s">
        <v>28</v>
      </c>
      <c r="B43" s="67" t="s">
        <v>18</v>
      </c>
      <c r="C43" s="67" t="s">
        <v>16</v>
      </c>
      <c r="D43" s="68">
        <v>45002</v>
      </c>
      <c r="E43" s="69">
        <v>188901</v>
      </c>
      <c r="F43" s="70">
        <f t="shared" si="0"/>
        <v>0.99876125589594544</v>
      </c>
      <c r="G43" s="69">
        <v>234</v>
      </c>
      <c r="H43" s="69">
        <v>57746</v>
      </c>
      <c r="I43" s="70">
        <f t="shared" si="1"/>
        <v>0.30569451723389501</v>
      </c>
      <c r="J43" s="69">
        <v>1075</v>
      </c>
      <c r="K43" s="70">
        <f t="shared" si="2"/>
        <v>5.6908115891392847E-3</v>
      </c>
      <c r="L43" s="70">
        <f t="shared" si="3"/>
        <v>1.8616008035188585E-2</v>
      </c>
      <c r="M43" s="69">
        <v>193</v>
      </c>
      <c r="N43" s="70">
        <f t="shared" si="4"/>
        <v>1.0216991969338436E-3</v>
      </c>
      <c r="O43" s="67" t="s">
        <v>16</v>
      </c>
    </row>
    <row r="44" spans="1:15" s="1" customFormat="1" x14ac:dyDescent="0.3">
      <c r="A44" s="66" t="s">
        <v>22</v>
      </c>
      <c r="B44" s="67" t="s">
        <v>15</v>
      </c>
      <c r="C44" s="67" t="s">
        <v>16</v>
      </c>
      <c r="D44" s="68">
        <v>45002</v>
      </c>
      <c r="E44" s="69">
        <v>1764156</v>
      </c>
      <c r="F44" s="70">
        <f t="shared" si="0"/>
        <v>0.99782332174705635</v>
      </c>
      <c r="G44" s="69">
        <v>3840</v>
      </c>
      <c r="H44" s="69">
        <v>719220</v>
      </c>
      <c r="I44" s="70">
        <f t="shared" si="1"/>
        <v>0.40768503465679906</v>
      </c>
      <c r="J44" s="69">
        <v>9914</v>
      </c>
      <c r="K44" s="70">
        <f t="shared" si="2"/>
        <v>5.6196844270007869E-3</v>
      </c>
      <c r="L44" s="70">
        <f t="shared" si="3"/>
        <v>1.378437752009121E-2</v>
      </c>
      <c r="M44" s="69">
        <v>789</v>
      </c>
      <c r="N44" s="70">
        <f t="shared" si="4"/>
        <v>4.4723935978450887E-4</v>
      </c>
      <c r="O44" s="67" t="s">
        <v>16</v>
      </c>
    </row>
    <row r="45" spans="1:15" s="1" customFormat="1" x14ac:dyDescent="0.3">
      <c r="A45" s="66" t="s">
        <v>22</v>
      </c>
      <c r="B45" s="67" t="s">
        <v>18</v>
      </c>
      <c r="C45" s="67" t="s">
        <v>16</v>
      </c>
      <c r="D45" s="68">
        <v>45002</v>
      </c>
      <c r="E45" s="69">
        <v>2165495</v>
      </c>
      <c r="F45" s="70">
        <f t="shared" si="0"/>
        <v>0.99802077585032523</v>
      </c>
      <c r="G45" s="69">
        <v>4286</v>
      </c>
      <c r="H45" s="69">
        <v>747271</v>
      </c>
      <c r="I45" s="70">
        <f t="shared" si="1"/>
        <v>0.34508091683425729</v>
      </c>
      <c r="J45" s="69">
        <v>9829</v>
      </c>
      <c r="K45" s="70">
        <f t="shared" si="2"/>
        <v>4.5389160445995025E-3</v>
      </c>
      <c r="L45" s="70">
        <f t="shared" si="3"/>
        <v>1.3153193419790142E-2</v>
      </c>
      <c r="M45" s="69">
        <v>1839</v>
      </c>
      <c r="N45" s="70">
        <f t="shared" si="4"/>
        <v>8.4922846739429096E-4</v>
      </c>
      <c r="O45" s="67" t="s">
        <v>16</v>
      </c>
    </row>
    <row r="46" spans="1:15" s="1" customFormat="1" x14ac:dyDescent="0.3">
      <c r="A46" s="66" t="s">
        <v>28</v>
      </c>
      <c r="B46" s="67" t="s">
        <v>15</v>
      </c>
      <c r="C46" s="67" t="s">
        <v>16</v>
      </c>
      <c r="D46" s="68">
        <v>45009</v>
      </c>
      <c r="E46" s="69">
        <v>106493</v>
      </c>
      <c r="F46" s="70">
        <f t="shared" ref="F46:F101" si="5">(E46-G46)/E46</f>
        <v>0.99699510765965837</v>
      </c>
      <c r="G46" s="69">
        <v>320</v>
      </c>
      <c r="H46" s="69">
        <v>32923</v>
      </c>
      <c r="I46" s="70">
        <f t="shared" ref="I46:I101" si="6">H46/E46</f>
        <v>0.30915647037833471</v>
      </c>
      <c r="J46" s="69">
        <v>888</v>
      </c>
      <c r="K46" s="70">
        <f t="shared" ref="K46:K101" si="7">J46/E46</f>
        <v>8.3385762444479917E-3</v>
      </c>
      <c r="L46" s="70">
        <f t="shared" ref="L46:L101" si="8">J46/H46</f>
        <v>2.6972025635573917E-2</v>
      </c>
      <c r="M46" s="69">
        <v>47</v>
      </c>
      <c r="N46" s="70">
        <f t="shared" ref="N46:N101" si="9">M46/E46</f>
        <v>4.4134356248767527E-4</v>
      </c>
      <c r="O46" s="67" t="s">
        <v>16</v>
      </c>
    </row>
    <row r="47" spans="1:15" s="1" customFormat="1" x14ac:dyDescent="0.3">
      <c r="A47" s="66" t="s">
        <v>28</v>
      </c>
      <c r="B47" s="67" t="s">
        <v>18</v>
      </c>
      <c r="C47" s="67" t="s">
        <v>16</v>
      </c>
      <c r="D47" s="68">
        <v>45009</v>
      </c>
      <c r="E47" s="69">
        <v>203693</v>
      </c>
      <c r="F47" s="70">
        <f t="shared" si="5"/>
        <v>0.99774660886726596</v>
      </c>
      <c r="G47" s="69">
        <v>459</v>
      </c>
      <c r="H47" s="69">
        <v>61715</v>
      </c>
      <c r="I47" s="70">
        <f t="shared" si="6"/>
        <v>0.30298046570083409</v>
      </c>
      <c r="J47" s="69">
        <v>1427</v>
      </c>
      <c r="K47" s="70">
        <f t="shared" si="7"/>
        <v>7.0056408418551451E-3</v>
      </c>
      <c r="L47" s="70">
        <f t="shared" si="8"/>
        <v>2.312241756461152E-2</v>
      </c>
      <c r="M47" s="69">
        <v>457</v>
      </c>
      <c r="N47" s="70">
        <f t="shared" si="9"/>
        <v>2.2435724349879477E-3</v>
      </c>
      <c r="O47" s="67" t="s">
        <v>16</v>
      </c>
    </row>
    <row r="48" spans="1:15" s="1" customFormat="1" x14ac:dyDescent="0.3">
      <c r="A48" s="66" t="s">
        <v>22</v>
      </c>
      <c r="B48" s="67" t="s">
        <v>15</v>
      </c>
      <c r="C48" s="67" t="s">
        <v>16</v>
      </c>
      <c r="D48" s="68">
        <v>45009</v>
      </c>
      <c r="E48" s="69">
        <v>1666806</v>
      </c>
      <c r="F48" s="70">
        <f t="shared" si="5"/>
        <v>0.99701704937467228</v>
      </c>
      <c r="G48" s="69">
        <v>4972</v>
      </c>
      <c r="H48" s="69">
        <v>607779</v>
      </c>
      <c r="I48" s="70">
        <f t="shared" si="6"/>
        <v>0.36463691635379281</v>
      </c>
      <c r="J48" s="69">
        <v>10543</v>
      </c>
      <c r="K48" s="70">
        <f t="shared" si="7"/>
        <v>6.3252712073270673E-3</v>
      </c>
      <c r="L48" s="70">
        <f t="shared" si="8"/>
        <v>1.7346765847454419E-2</v>
      </c>
      <c r="M48" s="69">
        <v>1458</v>
      </c>
      <c r="N48" s="70">
        <f t="shared" si="9"/>
        <v>8.7472687283343111E-4</v>
      </c>
      <c r="O48" s="67" t="s">
        <v>16</v>
      </c>
    </row>
    <row r="49" spans="1:15" s="1" customFormat="1" x14ac:dyDescent="0.3">
      <c r="A49" s="66" t="s">
        <v>22</v>
      </c>
      <c r="B49" s="67" t="s">
        <v>18</v>
      </c>
      <c r="C49" s="67" t="s">
        <v>16</v>
      </c>
      <c r="D49" s="68">
        <v>45009</v>
      </c>
      <c r="E49" s="69">
        <v>2221901</v>
      </c>
      <c r="F49" s="70">
        <f t="shared" si="5"/>
        <v>0.99750033867395527</v>
      </c>
      <c r="G49" s="69">
        <v>5554</v>
      </c>
      <c r="H49" s="69">
        <v>761823</v>
      </c>
      <c r="I49" s="70">
        <f t="shared" si="6"/>
        <v>0.34286991184575732</v>
      </c>
      <c r="J49" s="69">
        <v>12121</v>
      </c>
      <c r="K49" s="70">
        <f t="shared" si="7"/>
        <v>5.455238554733087E-3</v>
      </c>
      <c r="L49" s="70">
        <f t="shared" si="8"/>
        <v>1.5910519897666519E-2</v>
      </c>
      <c r="M49" s="69">
        <v>3613</v>
      </c>
      <c r="N49" s="70">
        <f t="shared" si="9"/>
        <v>1.6260850505940634E-3</v>
      </c>
      <c r="O49" s="67" t="s">
        <v>16</v>
      </c>
    </row>
    <row r="50" spans="1:15" s="1" customFormat="1" x14ac:dyDescent="0.3">
      <c r="A50" s="66" t="s">
        <v>28</v>
      </c>
      <c r="B50" s="67" t="s">
        <v>15</v>
      </c>
      <c r="C50" s="67" t="s">
        <v>16</v>
      </c>
      <c r="D50" s="68">
        <v>45016</v>
      </c>
      <c r="E50" s="69">
        <v>104288</v>
      </c>
      <c r="F50" s="70">
        <f t="shared" si="5"/>
        <v>0.99554119361767412</v>
      </c>
      <c r="G50" s="69">
        <v>465</v>
      </c>
      <c r="H50" s="69">
        <v>32278</v>
      </c>
      <c r="I50" s="70">
        <f t="shared" si="6"/>
        <v>0.30950828474992331</v>
      </c>
      <c r="J50" s="69">
        <v>708</v>
      </c>
      <c r="K50" s="70">
        <f t="shared" si="7"/>
        <v>6.7888922982509972E-3</v>
      </c>
      <c r="L50" s="70">
        <f t="shared" si="8"/>
        <v>2.1934444513290786E-2</v>
      </c>
      <c r="M50" s="69">
        <v>56</v>
      </c>
      <c r="N50" s="70">
        <f t="shared" si="9"/>
        <v>5.3697453206505061E-4</v>
      </c>
      <c r="O50" s="67" t="s">
        <v>16</v>
      </c>
    </row>
    <row r="51" spans="1:15" s="1" customFormat="1" x14ac:dyDescent="0.3">
      <c r="A51" s="66" t="s">
        <v>28</v>
      </c>
      <c r="B51" s="67" t="s">
        <v>18</v>
      </c>
      <c r="C51" s="67" t="s">
        <v>16</v>
      </c>
      <c r="D51" s="68">
        <v>45016</v>
      </c>
      <c r="E51" s="69">
        <v>203955</v>
      </c>
      <c r="F51" s="70">
        <f t="shared" si="5"/>
        <v>0.99638645779706303</v>
      </c>
      <c r="G51" s="69">
        <v>737</v>
      </c>
      <c r="H51" s="69">
        <v>63325</v>
      </c>
      <c r="I51" s="70">
        <f t="shared" si="6"/>
        <v>0.31048515603932242</v>
      </c>
      <c r="J51" s="69">
        <v>1172</v>
      </c>
      <c r="K51" s="70">
        <f t="shared" si="7"/>
        <v>5.7463656198671279E-3</v>
      </c>
      <c r="L51" s="70">
        <f t="shared" si="8"/>
        <v>1.850769838136597E-2</v>
      </c>
      <c r="M51" s="69">
        <v>397</v>
      </c>
      <c r="N51" s="70">
        <f t="shared" si="9"/>
        <v>1.9465078080949229E-3</v>
      </c>
      <c r="O51" s="67" t="s">
        <v>16</v>
      </c>
    </row>
    <row r="52" spans="1:15" s="1" customFormat="1" x14ac:dyDescent="0.3">
      <c r="A52" s="66" t="s">
        <v>22</v>
      </c>
      <c r="B52" s="67" t="s">
        <v>15</v>
      </c>
      <c r="C52" s="67" t="s">
        <v>16</v>
      </c>
      <c r="D52" s="68">
        <v>45016</v>
      </c>
      <c r="E52" s="69">
        <v>1832170</v>
      </c>
      <c r="F52" s="70">
        <f t="shared" si="5"/>
        <v>0.99662040094532711</v>
      </c>
      <c r="G52" s="69">
        <v>6192</v>
      </c>
      <c r="H52" s="69">
        <v>648690</v>
      </c>
      <c r="I52" s="70">
        <f t="shared" si="6"/>
        <v>0.35405557344569555</v>
      </c>
      <c r="J52" s="69">
        <v>9783</v>
      </c>
      <c r="K52" s="70">
        <f t="shared" si="7"/>
        <v>5.3395700180660088E-3</v>
      </c>
      <c r="L52" s="70">
        <f t="shared" si="8"/>
        <v>1.5081163575822041E-2</v>
      </c>
      <c r="M52" s="69">
        <v>1579</v>
      </c>
      <c r="N52" s="70">
        <f t="shared" si="9"/>
        <v>8.6181959097681989E-4</v>
      </c>
      <c r="O52" s="67" t="s">
        <v>16</v>
      </c>
    </row>
    <row r="53" spans="1:15" s="1" customFormat="1" x14ac:dyDescent="0.3">
      <c r="A53" s="66" t="s">
        <v>22</v>
      </c>
      <c r="B53" s="67" t="s">
        <v>18</v>
      </c>
      <c r="C53" s="67" t="s">
        <v>16</v>
      </c>
      <c r="D53" s="68">
        <v>45016</v>
      </c>
      <c r="E53" s="69">
        <v>2233662</v>
      </c>
      <c r="F53" s="70">
        <f t="shared" si="5"/>
        <v>0.996934182521796</v>
      </c>
      <c r="G53" s="69">
        <v>6848</v>
      </c>
      <c r="H53" s="69">
        <v>765579</v>
      </c>
      <c r="I53" s="70">
        <f t="shared" si="6"/>
        <v>0.34274612721172676</v>
      </c>
      <c r="J53" s="69">
        <v>11408</v>
      </c>
      <c r="K53" s="70">
        <f t="shared" si="7"/>
        <v>5.1073080886902319E-3</v>
      </c>
      <c r="L53" s="70">
        <f t="shared" si="8"/>
        <v>1.4901140182789758E-2</v>
      </c>
      <c r="M53" s="69">
        <v>3808</v>
      </c>
      <c r="N53" s="70">
        <f t="shared" si="9"/>
        <v>1.7048237378797688E-3</v>
      </c>
      <c r="O53" s="67" t="s">
        <v>16</v>
      </c>
    </row>
    <row r="54" spans="1:15" s="1" customFormat="1" x14ac:dyDescent="0.3">
      <c r="A54" s="66" t="s">
        <v>28</v>
      </c>
      <c r="B54" s="67" t="s">
        <v>15</v>
      </c>
      <c r="C54" s="67" t="s">
        <v>16</v>
      </c>
      <c r="D54" s="68">
        <v>45023</v>
      </c>
      <c r="E54" s="69">
        <v>104313</v>
      </c>
      <c r="F54" s="70">
        <f t="shared" si="5"/>
        <v>0.99350991726822158</v>
      </c>
      <c r="G54" s="69">
        <v>677</v>
      </c>
      <c r="H54" s="69">
        <v>32141</v>
      </c>
      <c r="I54" s="70">
        <f t="shared" si="6"/>
        <v>0.30812075196763589</v>
      </c>
      <c r="J54" s="69">
        <v>781</v>
      </c>
      <c r="K54" s="70">
        <f t="shared" si="7"/>
        <v>7.4870821469998948E-3</v>
      </c>
      <c r="L54" s="70">
        <f t="shared" si="8"/>
        <v>2.4299181730499983E-2</v>
      </c>
      <c r="M54" s="69">
        <v>32</v>
      </c>
      <c r="N54" s="70">
        <f t="shared" si="9"/>
        <v>3.0676905083738365E-4</v>
      </c>
      <c r="O54" s="67" t="s">
        <v>16</v>
      </c>
    </row>
    <row r="55" spans="1:15" s="1" customFormat="1" x14ac:dyDescent="0.3">
      <c r="A55" s="66" t="s">
        <v>28</v>
      </c>
      <c r="B55" s="67" t="s">
        <v>18</v>
      </c>
      <c r="C55" s="67" t="s">
        <v>16</v>
      </c>
      <c r="D55" s="68">
        <v>45023</v>
      </c>
      <c r="E55" s="69">
        <v>203399</v>
      </c>
      <c r="F55" s="70">
        <f t="shared" si="5"/>
        <v>0.99458207759133521</v>
      </c>
      <c r="G55" s="69">
        <v>1102</v>
      </c>
      <c r="H55" s="69">
        <v>62426</v>
      </c>
      <c r="I55" s="70">
        <f t="shared" si="6"/>
        <v>0.30691399662731872</v>
      </c>
      <c r="J55" s="69">
        <v>1360</v>
      </c>
      <c r="K55" s="70">
        <f t="shared" si="7"/>
        <v>6.686365223034528E-3</v>
      </c>
      <c r="L55" s="70">
        <f t="shared" si="8"/>
        <v>2.1785794380546567E-2</v>
      </c>
      <c r="M55" s="69">
        <v>359</v>
      </c>
      <c r="N55" s="70">
        <f t="shared" si="9"/>
        <v>1.7650037610804381E-3</v>
      </c>
      <c r="O55" s="67" t="s">
        <v>16</v>
      </c>
    </row>
    <row r="56" spans="1:15" s="1" customFormat="1" x14ac:dyDescent="0.3">
      <c r="A56" s="66" t="s">
        <v>22</v>
      </c>
      <c r="B56" s="67" t="s">
        <v>15</v>
      </c>
      <c r="C56" s="67" t="s">
        <v>16</v>
      </c>
      <c r="D56" s="68">
        <v>45023</v>
      </c>
      <c r="E56" s="69">
        <v>1847801</v>
      </c>
      <c r="F56" s="70">
        <f t="shared" si="5"/>
        <v>0.99565645867709784</v>
      </c>
      <c r="G56" s="69">
        <v>8026</v>
      </c>
      <c r="H56" s="69">
        <v>709708</v>
      </c>
      <c r="I56" s="70">
        <f t="shared" si="6"/>
        <v>0.38408248507279735</v>
      </c>
      <c r="J56" s="69">
        <v>12062</v>
      </c>
      <c r="K56" s="70">
        <f t="shared" si="7"/>
        <v>6.5277592121662448E-3</v>
      </c>
      <c r="L56" s="70">
        <f t="shared" si="8"/>
        <v>1.6995722184334965E-2</v>
      </c>
      <c r="M56" s="69">
        <v>1547</v>
      </c>
      <c r="N56" s="70">
        <f t="shared" si="9"/>
        <v>8.3721136637549172E-4</v>
      </c>
      <c r="O56" s="67" t="s">
        <v>16</v>
      </c>
    </row>
    <row r="57" spans="1:15" s="1" customFormat="1" x14ac:dyDescent="0.3">
      <c r="A57" s="66" t="s">
        <v>22</v>
      </c>
      <c r="B57" s="67" t="s">
        <v>18</v>
      </c>
      <c r="C57" s="67" t="s">
        <v>16</v>
      </c>
      <c r="D57" s="68">
        <v>45023</v>
      </c>
      <c r="E57" s="69">
        <v>2240811</v>
      </c>
      <c r="F57" s="70">
        <f t="shared" si="5"/>
        <v>0.99608043694894388</v>
      </c>
      <c r="G57" s="69">
        <v>8783</v>
      </c>
      <c r="H57" s="69">
        <v>769127</v>
      </c>
      <c r="I57" s="70">
        <f t="shared" si="6"/>
        <v>0.34323599803821025</v>
      </c>
      <c r="J57" s="69">
        <v>12471</v>
      </c>
      <c r="K57" s="70">
        <f t="shared" si="7"/>
        <v>5.5653957428805911E-3</v>
      </c>
      <c r="L57" s="70">
        <f t="shared" si="8"/>
        <v>1.6214487334341401E-2</v>
      </c>
      <c r="M57" s="69">
        <v>3565</v>
      </c>
      <c r="N57" s="70">
        <f t="shared" si="9"/>
        <v>1.5909418509637806E-3</v>
      </c>
      <c r="O57" s="67" t="s">
        <v>16</v>
      </c>
    </row>
    <row r="58" spans="1:15" s="1" customFormat="1" x14ac:dyDescent="0.3">
      <c r="A58" s="66" t="s">
        <v>28</v>
      </c>
      <c r="B58" s="67" t="s">
        <v>15</v>
      </c>
      <c r="C58" s="67" t="s">
        <v>16</v>
      </c>
      <c r="D58" s="68">
        <v>45030</v>
      </c>
      <c r="E58" s="69">
        <v>105155</v>
      </c>
      <c r="F58" s="70">
        <f t="shared" si="5"/>
        <v>0.99282012267604969</v>
      </c>
      <c r="G58" s="69">
        <v>755</v>
      </c>
      <c r="H58" s="69">
        <v>32793</v>
      </c>
      <c r="I58" s="70">
        <f t="shared" si="6"/>
        <v>0.31185392991298561</v>
      </c>
      <c r="J58" s="69">
        <v>553</v>
      </c>
      <c r="K58" s="70">
        <f t="shared" si="7"/>
        <v>5.2589035233702626E-3</v>
      </c>
      <c r="L58" s="70">
        <f t="shared" si="8"/>
        <v>1.686335498429543E-2</v>
      </c>
      <c r="M58" s="69">
        <v>55</v>
      </c>
      <c r="N58" s="70">
        <f t="shared" si="9"/>
        <v>5.230374209500261E-4</v>
      </c>
      <c r="O58" s="67" t="s">
        <v>16</v>
      </c>
    </row>
    <row r="59" spans="1:15" s="1" customFormat="1" x14ac:dyDescent="0.3">
      <c r="A59" s="66" t="s">
        <v>28</v>
      </c>
      <c r="B59" s="67" t="s">
        <v>18</v>
      </c>
      <c r="C59" s="67" t="s">
        <v>16</v>
      </c>
      <c r="D59" s="68">
        <v>45030</v>
      </c>
      <c r="E59" s="69">
        <v>207014</v>
      </c>
      <c r="F59" s="70">
        <f t="shared" si="5"/>
        <v>0.99446414252176185</v>
      </c>
      <c r="G59" s="69">
        <v>1146</v>
      </c>
      <c r="H59" s="69">
        <v>63483</v>
      </c>
      <c r="I59" s="70">
        <f t="shared" si="6"/>
        <v>0.30666041910208969</v>
      </c>
      <c r="J59" s="69">
        <v>1099</v>
      </c>
      <c r="K59" s="70">
        <f t="shared" si="7"/>
        <v>5.3088196933540723E-3</v>
      </c>
      <c r="L59" s="70">
        <f t="shared" si="8"/>
        <v>1.7311721248208182E-2</v>
      </c>
      <c r="M59" s="69">
        <v>498</v>
      </c>
      <c r="N59" s="70">
        <f t="shared" si="9"/>
        <v>2.4056344015380604E-3</v>
      </c>
      <c r="O59" s="67" t="s">
        <v>16</v>
      </c>
    </row>
    <row r="60" spans="1:15" s="1" customFormat="1" x14ac:dyDescent="0.3">
      <c r="A60" s="66" t="s">
        <v>22</v>
      </c>
      <c r="B60" s="67" t="s">
        <v>15</v>
      </c>
      <c r="C60" s="67" t="s">
        <v>16</v>
      </c>
      <c r="D60" s="68">
        <v>45030</v>
      </c>
      <c r="E60" s="69">
        <v>1885869</v>
      </c>
      <c r="F60" s="70">
        <f t="shared" si="5"/>
        <v>0.9949179927131736</v>
      </c>
      <c r="G60" s="69">
        <v>9584</v>
      </c>
      <c r="H60" s="69">
        <v>642469</v>
      </c>
      <c r="I60" s="70">
        <f t="shared" si="6"/>
        <v>0.34067530671536572</v>
      </c>
      <c r="J60" s="69">
        <v>7776</v>
      </c>
      <c r="K60" s="70">
        <f t="shared" si="7"/>
        <v>4.1232980657723312E-3</v>
      </c>
      <c r="L60" s="70">
        <f t="shared" si="8"/>
        <v>1.2103307708231837E-2</v>
      </c>
      <c r="M60" s="69">
        <v>1601</v>
      </c>
      <c r="N60" s="70">
        <f t="shared" si="9"/>
        <v>8.4894549939576924E-4</v>
      </c>
      <c r="O60" s="67" t="s">
        <v>16</v>
      </c>
    </row>
    <row r="61" spans="1:15" s="1" customFormat="1" x14ac:dyDescent="0.3">
      <c r="A61" s="66" t="s">
        <v>22</v>
      </c>
      <c r="B61" s="67" t="s">
        <v>18</v>
      </c>
      <c r="C61" s="67" t="s">
        <v>16</v>
      </c>
      <c r="D61" s="68">
        <v>45030</v>
      </c>
      <c r="E61" s="69">
        <v>2273969</v>
      </c>
      <c r="F61" s="70">
        <f t="shared" si="5"/>
        <v>0.99563582441097487</v>
      </c>
      <c r="G61" s="69">
        <v>9924</v>
      </c>
      <c r="H61" s="69">
        <v>761356</v>
      </c>
      <c r="I61" s="70">
        <f t="shared" si="6"/>
        <v>0.33481371118075925</v>
      </c>
      <c r="J61" s="69">
        <v>9006</v>
      </c>
      <c r="K61" s="70">
        <f t="shared" si="7"/>
        <v>3.960476154248365E-3</v>
      </c>
      <c r="L61" s="70">
        <f t="shared" si="8"/>
        <v>1.1828894761451936E-2</v>
      </c>
      <c r="M61" s="69">
        <v>3810</v>
      </c>
      <c r="N61" s="70">
        <f t="shared" si="9"/>
        <v>1.6754845822436453E-3</v>
      </c>
      <c r="O61" s="67" t="s">
        <v>16</v>
      </c>
    </row>
    <row r="62" spans="1:15" s="1" customFormat="1" x14ac:dyDescent="0.3">
      <c r="A62" s="66" t="s">
        <v>28</v>
      </c>
      <c r="B62" s="67" t="s">
        <v>15</v>
      </c>
      <c r="C62" s="67" t="s">
        <v>16</v>
      </c>
      <c r="D62" s="68">
        <v>45037</v>
      </c>
      <c r="E62" s="69">
        <v>105314</v>
      </c>
      <c r="F62" s="70">
        <f t="shared" si="5"/>
        <v>0.99466357749207135</v>
      </c>
      <c r="G62" s="69">
        <v>562</v>
      </c>
      <c r="H62" s="69">
        <v>32307</v>
      </c>
      <c r="I62" s="70">
        <f t="shared" si="6"/>
        <v>0.30676833089617717</v>
      </c>
      <c r="J62" s="69">
        <v>644</v>
      </c>
      <c r="K62" s="70">
        <f t="shared" si="7"/>
        <v>6.1150464325730675E-3</v>
      </c>
      <c r="L62" s="70">
        <f t="shared" si="8"/>
        <v>1.9933760485343732E-2</v>
      </c>
      <c r="M62" s="69">
        <v>81</v>
      </c>
      <c r="N62" s="70">
        <f t="shared" si="9"/>
        <v>7.6912851092922124E-4</v>
      </c>
      <c r="O62" s="67" t="s">
        <v>16</v>
      </c>
    </row>
    <row r="63" spans="1:15" s="1" customFormat="1" x14ac:dyDescent="0.3">
      <c r="A63" s="66" t="s">
        <v>28</v>
      </c>
      <c r="B63" s="67" t="s">
        <v>18</v>
      </c>
      <c r="C63" s="67" t="s">
        <v>16</v>
      </c>
      <c r="D63" s="68">
        <v>45037</v>
      </c>
      <c r="E63" s="69">
        <v>206840</v>
      </c>
      <c r="F63" s="70">
        <f t="shared" si="5"/>
        <v>0.99593405530845103</v>
      </c>
      <c r="G63" s="69">
        <v>841</v>
      </c>
      <c r="H63" s="69">
        <v>62825</v>
      </c>
      <c r="I63" s="70">
        <f t="shared" si="6"/>
        <v>0.30373718816476503</v>
      </c>
      <c r="J63" s="69">
        <v>1163</v>
      </c>
      <c r="K63" s="70">
        <f t="shared" si="7"/>
        <v>5.6227035389673176E-3</v>
      </c>
      <c r="L63" s="70">
        <f t="shared" si="8"/>
        <v>1.8511738957421409E-2</v>
      </c>
      <c r="M63" s="69">
        <v>425</v>
      </c>
      <c r="N63" s="70">
        <f t="shared" si="9"/>
        <v>2.0547282923999224E-3</v>
      </c>
      <c r="O63" s="67" t="s">
        <v>16</v>
      </c>
    </row>
    <row r="64" spans="1:15" s="1" customFormat="1" x14ac:dyDescent="0.3">
      <c r="A64" s="66" t="s">
        <v>22</v>
      </c>
      <c r="B64" s="67" t="s">
        <v>15</v>
      </c>
      <c r="C64" s="67" t="s">
        <v>16</v>
      </c>
      <c r="D64" s="68">
        <v>45037</v>
      </c>
      <c r="E64" s="69">
        <v>1903092</v>
      </c>
      <c r="F64" s="70">
        <f t="shared" si="5"/>
        <v>0.99565496570843659</v>
      </c>
      <c r="G64" s="69">
        <v>8269</v>
      </c>
      <c r="H64" s="69">
        <v>642254</v>
      </c>
      <c r="I64" s="70">
        <f t="shared" si="6"/>
        <v>0.33747921803044728</v>
      </c>
      <c r="J64" s="69">
        <v>7210</v>
      </c>
      <c r="K64" s="70">
        <f t="shared" si="7"/>
        <v>3.7885714405819582E-3</v>
      </c>
      <c r="L64" s="70">
        <f t="shared" si="8"/>
        <v>1.1226088120899208E-2</v>
      </c>
      <c r="M64" s="69">
        <v>1729</v>
      </c>
      <c r="N64" s="70">
        <f t="shared" si="9"/>
        <v>9.0852150079975119E-4</v>
      </c>
      <c r="O64" s="67" t="s">
        <v>16</v>
      </c>
    </row>
    <row r="65" spans="1:15" s="1" customFormat="1" x14ac:dyDescent="0.3">
      <c r="A65" s="66" t="s">
        <v>22</v>
      </c>
      <c r="B65" s="67" t="s">
        <v>18</v>
      </c>
      <c r="C65" s="67" t="s">
        <v>16</v>
      </c>
      <c r="D65" s="68">
        <v>45037</v>
      </c>
      <c r="E65" s="69">
        <v>2279587</v>
      </c>
      <c r="F65" s="70">
        <f t="shared" si="5"/>
        <v>0.99632301816074575</v>
      </c>
      <c r="G65" s="69">
        <v>8382</v>
      </c>
      <c r="H65" s="69">
        <v>757186</v>
      </c>
      <c r="I65" s="70">
        <f t="shared" si="6"/>
        <v>0.33215929025740187</v>
      </c>
      <c r="J65" s="69">
        <v>8619</v>
      </c>
      <c r="K65" s="70">
        <f t="shared" si="7"/>
        <v>3.7809480401493779E-3</v>
      </c>
      <c r="L65" s="70">
        <f t="shared" si="8"/>
        <v>1.1382936293064055E-2</v>
      </c>
      <c r="M65" s="69">
        <v>3679</v>
      </c>
      <c r="N65" s="70">
        <f t="shared" si="9"/>
        <v>1.6138888316173062E-3</v>
      </c>
      <c r="O65" s="67" t="s">
        <v>16</v>
      </c>
    </row>
    <row r="66" spans="1:15" s="1" customFormat="1" x14ac:dyDescent="0.3">
      <c r="A66" s="66" t="s">
        <v>28</v>
      </c>
      <c r="B66" s="67" t="s">
        <v>15</v>
      </c>
      <c r="C66" s="67" t="s">
        <v>16</v>
      </c>
      <c r="D66" s="68">
        <v>45044</v>
      </c>
      <c r="E66" s="69">
        <v>105579</v>
      </c>
      <c r="F66" s="70">
        <f t="shared" si="5"/>
        <v>0.99390977372394129</v>
      </c>
      <c r="G66" s="69">
        <v>643</v>
      </c>
      <c r="H66" s="69">
        <v>32098</v>
      </c>
      <c r="I66" s="70">
        <f t="shared" si="6"/>
        <v>0.3040187916157569</v>
      </c>
      <c r="J66" s="69">
        <v>796</v>
      </c>
      <c r="K66" s="70">
        <f t="shared" si="7"/>
        <v>7.5393780960228834E-3</v>
      </c>
      <c r="L66" s="70">
        <f t="shared" si="8"/>
        <v>2.4799052900492242E-2</v>
      </c>
      <c r="M66" s="69">
        <v>59</v>
      </c>
      <c r="N66" s="70">
        <f t="shared" si="9"/>
        <v>5.5882325083586701E-4</v>
      </c>
      <c r="O66" s="67" t="s">
        <v>16</v>
      </c>
    </row>
    <row r="67" spans="1:15" s="1" customFormat="1" x14ac:dyDescent="0.3">
      <c r="A67" s="66" t="s">
        <v>28</v>
      </c>
      <c r="B67" s="67" t="s">
        <v>18</v>
      </c>
      <c r="C67" s="67" t="s">
        <v>16</v>
      </c>
      <c r="D67" s="68">
        <v>45044</v>
      </c>
      <c r="E67" s="69">
        <v>206556</v>
      </c>
      <c r="F67" s="70">
        <f t="shared" si="5"/>
        <v>0.99555568465694533</v>
      </c>
      <c r="G67" s="69">
        <v>918</v>
      </c>
      <c r="H67" s="69">
        <v>62029</v>
      </c>
      <c r="I67" s="70">
        <f t="shared" si="6"/>
        <v>0.30030112899165362</v>
      </c>
      <c r="J67" s="69">
        <v>1292</v>
      </c>
      <c r="K67" s="70">
        <f t="shared" si="7"/>
        <v>6.2549623346695327E-3</v>
      </c>
      <c r="L67" s="70">
        <f t="shared" si="8"/>
        <v>2.0828967096035725E-2</v>
      </c>
      <c r="M67" s="69">
        <v>481</v>
      </c>
      <c r="N67" s="70">
        <f t="shared" si="9"/>
        <v>2.3286663180929141E-3</v>
      </c>
      <c r="O67" s="67" t="s">
        <v>16</v>
      </c>
    </row>
    <row r="68" spans="1:15" s="1" customFormat="1" x14ac:dyDescent="0.3">
      <c r="A68" s="66" t="s">
        <v>22</v>
      </c>
      <c r="B68" s="67" t="s">
        <v>15</v>
      </c>
      <c r="C68" s="67" t="s">
        <v>16</v>
      </c>
      <c r="D68" s="68">
        <v>45044</v>
      </c>
      <c r="E68" s="69">
        <v>1923125</v>
      </c>
      <c r="F68" s="70">
        <f t="shared" si="5"/>
        <v>0.99572674683132922</v>
      </c>
      <c r="G68" s="69">
        <v>8218</v>
      </c>
      <c r="H68" s="69">
        <v>637758</v>
      </c>
      <c r="I68" s="70">
        <f t="shared" si="6"/>
        <v>0.33162586935326616</v>
      </c>
      <c r="J68" s="69">
        <v>8871</v>
      </c>
      <c r="K68" s="70">
        <f t="shared" si="7"/>
        <v>4.6128046798830031E-3</v>
      </c>
      <c r="L68" s="70">
        <f t="shared" si="8"/>
        <v>1.3909664794483174E-2</v>
      </c>
      <c r="M68" s="69">
        <v>1698</v>
      </c>
      <c r="N68" s="70">
        <f t="shared" si="9"/>
        <v>8.8293792655183621E-4</v>
      </c>
      <c r="O68" s="67" t="s">
        <v>16</v>
      </c>
    </row>
    <row r="69" spans="1:15" s="1" customFormat="1" x14ac:dyDescent="0.3">
      <c r="A69" s="66" t="s">
        <v>22</v>
      </c>
      <c r="B69" s="67" t="s">
        <v>18</v>
      </c>
      <c r="C69" s="67" t="s">
        <v>16</v>
      </c>
      <c r="D69" s="68">
        <v>45044</v>
      </c>
      <c r="E69" s="69">
        <v>2276123</v>
      </c>
      <c r="F69" s="70">
        <f t="shared" si="5"/>
        <v>0.99639518602465682</v>
      </c>
      <c r="G69" s="69">
        <v>8205</v>
      </c>
      <c r="H69" s="69">
        <v>739935</v>
      </c>
      <c r="I69" s="70">
        <f t="shared" si="6"/>
        <v>0.32508568297934692</v>
      </c>
      <c r="J69" s="69">
        <v>10283</v>
      </c>
      <c r="K69" s="70">
        <f t="shared" si="7"/>
        <v>4.5177699096226346E-3</v>
      </c>
      <c r="L69" s="70">
        <f t="shared" si="8"/>
        <v>1.389716664301594E-2</v>
      </c>
      <c r="M69" s="69">
        <v>4468</v>
      </c>
      <c r="N69" s="70">
        <f t="shared" si="9"/>
        <v>1.9629870617712663E-3</v>
      </c>
      <c r="O69" s="67" t="s">
        <v>16</v>
      </c>
    </row>
    <row r="70" spans="1:15" s="1" customFormat="1" x14ac:dyDescent="0.3">
      <c r="A70" s="66" t="s">
        <v>311</v>
      </c>
      <c r="B70" s="67" t="s">
        <v>18</v>
      </c>
      <c r="C70" s="67" t="s">
        <v>16</v>
      </c>
      <c r="D70" s="68">
        <v>45051</v>
      </c>
      <c r="E70" s="69">
        <v>208040</v>
      </c>
      <c r="F70" s="70">
        <f t="shared" si="5"/>
        <v>0.99474139588540667</v>
      </c>
      <c r="G70" s="69">
        <v>1094</v>
      </c>
      <c r="H70" s="69">
        <v>61907</v>
      </c>
      <c r="I70" s="70">
        <f t="shared" si="6"/>
        <v>0.29757258219573157</v>
      </c>
      <c r="J70" s="69">
        <v>1132</v>
      </c>
      <c r="K70" s="70">
        <f t="shared" si="7"/>
        <v>5.4412612959046334E-3</v>
      </c>
      <c r="L70" s="70">
        <f t="shared" si="8"/>
        <v>1.8285492755261926E-2</v>
      </c>
      <c r="M70" s="69">
        <v>407</v>
      </c>
      <c r="N70" s="70">
        <f t="shared" si="9"/>
        <v>1.9563545472024609E-3</v>
      </c>
      <c r="O70" s="67" t="s">
        <v>16</v>
      </c>
    </row>
    <row r="71" spans="1:15" s="1" customFormat="1" x14ac:dyDescent="0.3">
      <c r="A71" s="66" t="s">
        <v>314</v>
      </c>
      <c r="B71" s="67" t="s">
        <v>15</v>
      </c>
      <c r="C71" s="67" t="s">
        <v>16</v>
      </c>
      <c r="D71" s="68">
        <v>45051</v>
      </c>
      <c r="E71" s="69">
        <v>105718</v>
      </c>
      <c r="F71" s="70">
        <f t="shared" si="5"/>
        <v>0.99290565466618741</v>
      </c>
      <c r="G71" s="69">
        <v>750</v>
      </c>
      <c r="H71" s="69">
        <v>31664</v>
      </c>
      <c r="I71" s="70">
        <f t="shared" si="6"/>
        <v>0.29951380086645607</v>
      </c>
      <c r="J71" s="69">
        <v>620</v>
      </c>
      <c r="K71" s="70">
        <f t="shared" si="7"/>
        <v>5.8646588092850791E-3</v>
      </c>
      <c r="L71" s="70">
        <f t="shared" si="8"/>
        <v>1.9580596260737746E-2</v>
      </c>
      <c r="M71" s="69">
        <v>42</v>
      </c>
      <c r="N71" s="70">
        <f t="shared" si="9"/>
        <v>3.9728333869350538E-4</v>
      </c>
      <c r="O71" s="67" t="s">
        <v>16</v>
      </c>
    </row>
    <row r="72" spans="1:15" s="1" customFormat="1" x14ac:dyDescent="0.3">
      <c r="A72" s="66" t="s">
        <v>22</v>
      </c>
      <c r="B72" s="67" t="s">
        <v>15</v>
      </c>
      <c r="C72" s="67" t="s">
        <v>16</v>
      </c>
      <c r="D72" s="68">
        <v>45051</v>
      </c>
      <c r="E72" s="69">
        <v>1937286</v>
      </c>
      <c r="F72" s="70">
        <f t="shared" si="5"/>
        <v>0.99512100949472615</v>
      </c>
      <c r="G72" s="69">
        <v>9452</v>
      </c>
      <c r="H72" s="69">
        <v>660433</v>
      </c>
      <c r="I72" s="70">
        <f t="shared" si="6"/>
        <v>0.34090629881184298</v>
      </c>
      <c r="J72" s="69">
        <v>10979</v>
      </c>
      <c r="K72" s="70">
        <f t="shared" si="7"/>
        <v>5.6672065972706151E-3</v>
      </c>
      <c r="L72" s="70">
        <f t="shared" si="8"/>
        <v>1.6623942171272485E-2</v>
      </c>
      <c r="M72" s="69">
        <v>1432</v>
      </c>
      <c r="N72" s="70">
        <f t="shared" si="9"/>
        <v>7.3917841764200025E-4</v>
      </c>
      <c r="O72" s="67" t="s">
        <v>16</v>
      </c>
    </row>
    <row r="73" spans="1:15" s="1" customFormat="1" x14ac:dyDescent="0.3">
      <c r="A73" s="66" t="s">
        <v>312</v>
      </c>
      <c r="B73" s="67" t="s">
        <v>18</v>
      </c>
      <c r="C73" s="67" t="s">
        <v>16</v>
      </c>
      <c r="D73" s="68">
        <v>45051</v>
      </c>
      <c r="E73" s="69">
        <v>2294957</v>
      </c>
      <c r="F73" s="70">
        <f t="shared" si="5"/>
        <v>0.99584436658290332</v>
      </c>
      <c r="G73" s="69">
        <v>9537</v>
      </c>
      <c r="H73" s="69">
        <v>756783</v>
      </c>
      <c r="I73" s="70">
        <f t="shared" si="6"/>
        <v>0.32975911966978033</v>
      </c>
      <c r="J73" s="69">
        <v>11975</v>
      </c>
      <c r="K73" s="70">
        <f t="shared" si="7"/>
        <v>5.2179626894970146E-3</v>
      </c>
      <c r="L73" s="70">
        <f t="shared" si="8"/>
        <v>1.5823558404456761E-2</v>
      </c>
      <c r="M73" s="69">
        <v>3699</v>
      </c>
      <c r="N73" s="70">
        <f t="shared" si="9"/>
        <v>1.6117949050897249E-3</v>
      </c>
      <c r="O73" s="67" t="s">
        <v>16</v>
      </c>
    </row>
    <row r="74" spans="1:15" s="1" customFormat="1" x14ac:dyDescent="0.3">
      <c r="A74" s="66" t="s">
        <v>28</v>
      </c>
      <c r="B74" s="67" t="s">
        <v>18</v>
      </c>
      <c r="C74" s="67" t="s">
        <v>16</v>
      </c>
      <c r="D74" s="68">
        <v>45058</v>
      </c>
      <c r="E74" s="69">
        <v>207586</v>
      </c>
      <c r="F74" s="70">
        <f t="shared" si="5"/>
        <v>0.99540431435645949</v>
      </c>
      <c r="G74" s="69">
        <v>954</v>
      </c>
      <c r="H74" s="69">
        <v>61169</v>
      </c>
      <c r="I74" s="70">
        <f t="shared" si="6"/>
        <v>0.29466823388860519</v>
      </c>
      <c r="J74" s="69">
        <v>953</v>
      </c>
      <c r="K74" s="70">
        <f t="shared" si="7"/>
        <v>4.590868362991724E-3</v>
      </c>
      <c r="L74" s="70">
        <f t="shared" si="8"/>
        <v>1.5579787147084308E-2</v>
      </c>
      <c r="M74" s="69">
        <v>465</v>
      </c>
      <c r="N74" s="70">
        <f t="shared" si="9"/>
        <v>2.2400354551848391E-3</v>
      </c>
      <c r="O74" s="67" t="s">
        <v>16</v>
      </c>
    </row>
    <row r="75" spans="1:15" s="1" customFormat="1" x14ac:dyDescent="0.3">
      <c r="A75" s="66" t="s">
        <v>28</v>
      </c>
      <c r="B75" s="67" t="s">
        <v>15</v>
      </c>
      <c r="C75" s="67" t="s">
        <v>16</v>
      </c>
      <c r="D75" s="68">
        <v>45058</v>
      </c>
      <c r="E75" s="69">
        <v>105535</v>
      </c>
      <c r="F75" s="70">
        <f t="shared" si="5"/>
        <v>0.99416307386175207</v>
      </c>
      <c r="G75" s="69">
        <v>616</v>
      </c>
      <c r="H75" s="69">
        <v>31712</v>
      </c>
      <c r="I75" s="70">
        <f t="shared" si="6"/>
        <v>0.30048798976642821</v>
      </c>
      <c r="J75" s="69">
        <v>462</v>
      </c>
      <c r="K75" s="70">
        <f t="shared" si="7"/>
        <v>4.3776946036859811E-3</v>
      </c>
      <c r="L75" s="70">
        <f t="shared" si="8"/>
        <v>1.45686175580222E-2</v>
      </c>
      <c r="M75" s="69">
        <v>47</v>
      </c>
      <c r="N75" s="70">
        <f t="shared" si="9"/>
        <v>4.4534988392476427E-4</v>
      </c>
      <c r="O75" s="67" t="s">
        <v>16</v>
      </c>
    </row>
    <row r="76" spans="1:15" s="1" customFormat="1" x14ac:dyDescent="0.3">
      <c r="A76" s="66" t="s">
        <v>22</v>
      </c>
      <c r="B76" s="67" t="s">
        <v>18</v>
      </c>
      <c r="C76" s="67" t="s">
        <v>16</v>
      </c>
      <c r="D76" s="68">
        <v>45058</v>
      </c>
      <c r="E76" s="69">
        <v>2297937</v>
      </c>
      <c r="F76" s="70">
        <f t="shared" si="5"/>
        <v>0.99615133051950511</v>
      </c>
      <c r="G76" s="69">
        <v>8844</v>
      </c>
      <c r="H76" s="69">
        <v>760330</v>
      </c>
      <c r="I76" s="70">
        <f t="shared" si="6"/>
        <v>0.33087504139582591</v>
      </c>
      <c r="J76" s="69">
        <v>9322</v>
      </c>
      <c r="K76" s="70">
        <f t="shared" si="7"/>
        <v>4.0566821457681387E-3</v>
      </c>
      <c r="L76" s="70">
        <f t="shared" si="8"/>
        <v>1.2260465850354452E-2</v>
      </c>
      <c r="M76" s="69">
        <v>3747</v>
      </c>
      <c r="N76" s="70">
        <f t="shared" si="9"/>
        <v>1.6305930058134754E-3</v>
      </c>
      <c r="O76" s="67" t="s">
        <v>16</v>
      </c>
    </row>
    <row r="77" spans="1:15" s="1" customFormat="1" x14ac:dyDescent="0.3">
      <c r="A77" s="66" t="s">
        <v>22</v>
      </c>
      <c r="B77" s="67" t="s">
        <v>15</v>
      </c>
      <c r="C77" s="67" t="s">
        <v>16</v>
      </c>
      <c r="D77" s="68">
        <v>45058</v>
      </c>
      <c r="E77" s="69">
        <v>1931207</v>
      </c>
      <c r="F77" s="70">
        <f t="shared" si="5"/>
        <v>0.99541789150515714</v>
      </c>
      <c r="G77" s="69">
        <v>8849</v>
      </c>
      <c r="H77" s="69">
        <v>658589</v>
      </c>
      <c r="I77" s="70">
        <f t="shared" si="6"/>
        <v>0.34102455096734841</v>
      </c>
      <c r="J77" s="69">
        <v>8211</v>
      </c>
      <c r="K77" s="70">
        <f t="shared" si="7"/>
        <v>4.2517451521250698E-3</v>
      </c>
      <c r="L77" s="70">
        <f t="shared" si="8"/>
        <v>1.2467563229874778E-2</v>
      </c>
      <c r="M77" s="69">
        <v>1511</v>
      </c>
      <c r="N77" s="70">
        <f t="shared" si="9"/>
        <v>7.8241224270624542E-4</v>
      </c>
      <c r="O77" s="67" t="s">
        <v>16</v>
      </c>
    </row>
    <row r="78" spans="1:15" s="1" customFormat="1" x14ac:dyDescent="0.3">
      <c r="A78" s="66" t="s">
        <v>28</v>
      </c>
      <c r="B78" s="67" t="s">
        <v>18</v>
      </c>
      <c r="C78" s="67" t="s">
        <v>16</v>
      </c>
      <c r="D78" s="68">
        <v>45065</v>
      </c>
      <c r="E78" s="69">
        <v>207227</v>
      </c>
      <c r="F78" s="70">
        <f t="shared" si="5"/>
        <v>0.99592717165234257</v>
      </c>
      <c r="G78" s="69">
        <v>844</v>
      </c>
      <c r="H78" s="69">
        <v>58476</v>
      </c>
      <c r="I78" s="70">
        <f t="shared" si="6"/>
        <v>0.28218330622940063</v>
      </c>
      <c r="J78" s="69">
        <v>1096</v>
      </c>
      <c r="K78" s="70">
        <f t="shared" si="7"/>
        <v>5.2888861007494197E-3</v>
      </c>
      <c r="L78" s="70">
        <f t="shared" si="8"/>
        <v>1.8742732061016485E-2</v>
      </c>
      <c r="M78" s="69">
        <v>314</v>
      </c>
      <c r="N78" s="70">
        <f t="shared" si="9"/>
        <v>1.5152465653606915E-3</v>
      </c>
      <c r="O78" s="67" t="s">
        <v>16</v>
      </c>
    </row>
    <row r="79" spans="1:15" s="1" customFormat="1" x14ac:dyDescent="0.3">
      <c r="A79" s="66" t="s">
        <v>340</v>
      </c>
      <c r="B79" s="67" t="s">
        <v>15</v>
      </c>
      <c r="C79" s="67" t="s">
        <v>16</v>
      </c>
      <c r="D79" s="68">
        <v>45065</v>
      </c>
      <c r="E79" s="69">
        <v>105851</v>
      </c>
      <c r="F79" s="70">
        <f t="shared" si="5"/>
        <v>0.99482291145100188</v>
      </c>
      <c r="G79" s="69">
        <v>548</v>
      </c>
      <c r="H79" s="69">
        <v>31394</v>
      </c>
      <c r="I79" s="70">
        <f t="shared" si="6"/>
        <v>0.29658671150957477</v>
      </c>
      <c r="J79" s="69">
        <v>679</v>
      </c>
      <c r="K79" s="70">
        <f t="shared" si="7"/>
        <v>6.4146772349812468E-3</v>
      </c>
      <c r="L79" s="70">
        <f t="shared" si="8"/>
        <v>2.162833662483277E-2</v>
      </c>
      <c r="M79" s="69">
        <v>41</v>
      </c>
      <c r="N79" s="70">
        <f t="shared" si="9"/>
        <v>3.8733691698708561E-4</v>
      </c>
      <c r="O79" s="67" t="s">
        <v>16</v>
      </c>
    </row>
    <row r="80" spans="1:15" s="1" customFormat="1" x14ac:dyDescent="0.3">
      <c r="A80" s="66" t="s">
        <v>22</v>
      </c>
      <c r="B80" s="67" t="s">
        <v>18</v>
      </c>
      <c r="C80" s="67" t="s">
        <v>16</v>
      </c>
      <c r="D80" s="68">
        <v>45065</v>
      </c>
      <c r="E80" s="69">
        <v>2307120</v>
      </c>
      <c r="F80" s="70">
        <f t="shared" si="5"/>
        <v>0.99607952772287522</v>
      </c>
      <c r="G80" s="69">
        <v>9045</v>
      </c>
      <c r="H80" s="69">
        <v>731790</v>
      </c>
      <c r="I80" s="70">
        <f t="shared" si="6"/>
        <v>0.31718766254031</v>
      </c>
      <c r="J80" s="69">
        <v>10032</v>
      </c>
      <c r="K80" s="70">
        <f t="shared" si="7"/>
        <v>4.3482783730365128E-3</v>
      </c>
      <c r="L80" s="70">
        <f t="shared" si="8"/>
        <v>1.3708850899848317E-2</v>
      </c>
      <c r="M80" s="69">
        <v>3033</v>
      </c>
      <c r="N80" s="70">
        <f t="shared" si="9"/>
        <v>1.3146260272547592E-3</v>
      </c>
      <c r="O80" s="67" t="s">
        <v>16</v>
      </c>
    </row>
    <row r="81" spans="1:15" s="1" customFormat="1" x14ac:dyDescent="0.3">
      <c r="A81" s="66" t="s">
        <v>22</v>
      </c>
      <c r="B81" s="67" t="s">
        <v>15</v>
      </c>
      <c r="C81" s="67" t="s">
        <v>16</v>
      </c>
      <c r="D81" s="68">
        <v>45065</v>
      </c>
      <c r="E81" s="69">
        <v>1973420</v>
      </c>
      <c r="F81" s="70">
        <f t="shared" si="5"/>
        <v>0.99528787587031653</v>
      </c>
      <c r="G81" s="69">
        <v>9299</v>
      </c>
      <c r="H81" s="69">
        <v>658700</v>
      </c>
      <c r="I81" s="70">
        <f t="shared" si="6"/>
        <v>0.33378601615469589</v>
      </c>
      <c r="J81" s="69">
        <v>10141</v>
      </c>
      <c r="K81" s="70">
        <f t="shared" si="7"/>
        <v>5.1387945799677721E-3</v>
      </c>
      <c r="L81" s="70">
        <f t="shared" si="8"/>
        <v>1.5395475937452559E-2</v>
      </c>
      <c r="M81" s="69">
        <v>1539</v>
      </c>
      <c r="N81" s="70">
        <f t="shared" si="9"/>
        <v>7.7986439784739187E-4</v>
      </c>
      <c r="O81" s="67" t="s">
        <v>16</v>
      </c>
    </row>
    <row r="82" spans="1:15" s="1" customFormat="1" x14ac:dyDescent="0.3">
      <c r="A82" s="66" t="s">
        <v>22</v>
      </c>
      <c r="B82" s="67" t="s">
        <v>18</v>
      </c>
      <c r="C82" s="67" t="s">
        <v>16</v>
      </c>
      <c r="D82" s="68">
        <v>45072</v>
      </c>
      <c r="E82" s="69">
        <v>2318694</v>
      </c>
      <c r="F82" s="70">
        <f t="shared" si="5"/>
        <v>0.99658083386596075</v>
      </c>
      <c r="G82" s="69">
        <v>7928</v>
      </c>
      <c r="H82" s="69">
        <v>753668</v>
      </c>
      <c r="I82" s="70">
        <f t="shared" si="6"/>
        <v>0.32503987158288244</v>
      </c>
      <c r="J82" s="69">
        <v>9182</v>
      </c>
      <c r="K82" s="70">
        <f t="shared" si="7"/>
        <v>3.9599878207301183E-3</v>
      </c>
      <c r="L82" s="70">
        <f t="shared" si="8"/>
        <v>1.2183083267433406E-2</v>
      </c>
      <c r="M82" s="69">
        <v>3868</v>
      </c>
      <c r="N82" s="70">
        <f t="shared" si="9"/>
        <v>1.6681804498566866E-3</v>
      </c>
      <c r="O82" s="67" t="s">
        <v>16</v>
      </c>
    </row>
    <row r="83" spans="1:15" s="1" customFormat="1" x14ac:dyDescent="0.3">
      <c r="A83" s="66" t="s">
        <v>22</v>
      </c>
      <c r="B83" s="67" t="s">
        <v>15</v>
      </c>
      <c r="C83" s="67" t="s">
        <v>16</v>
      </c>
      <c r="D83" s="68">
        <v>45072</v>
      </c>
      <c r="E83" s="69">
        <v>1967463</v>
      </c>
      <c r="F83" s="70">
        <f t="shared" si="5"/>
        <v>0.99604668550310727</v>
      </c>
      <c r="G83" s="69">
        <v>7778</v>
      </c>
      <c r="H83" s="69">
        <v>670046</v>
      </c>
      <c r="I83" s="70">
        <f t="shared" si="6"/>
        <v>0.34056345659359288</v>
      </c>
      <c r="J83" s="69">
        <v>7770</v>
      </c>
      <c r="K83" s="70">
        <f t="shared" si="7"/>
        <v>3.9492483467287566E-3</v>
      </c>
      <c r="L83" s="70">
        <f t="shared" si="8"/>
        <v>1.1596218767069724E-2</v>
      </c>
      <c r="M83" s="69">
        <v>1522</v>
      </c>
      <c r="N83" s="70">
        <f t="shared" si="9"/>
        <v>7.7358506868998298E-4</v>
      </c>
      <c r="O83" s="67" t="s">
        <v>16</v>
      </c>
    </row>
    <row r="84" spans="1:15" s="1" customFormat="1" x14ac:dyDescent="0.3">
      <c r="A84" s="66" t="s">
        <v>28</v>
      </c>
      <c r="B84" s="67" t="s">
        <v>18</v>
      </c>
      <c r="C84" s="67" t="s">
        <v>16</v>
      </c>
      <c r="D84" s="68">
        <v>45072</v>
      </c>
      <c r="E84" s="69">
        <v>207896</v>
      </c>
      <c r="F84" s="70">
        <f t="shared" si="5"/>
        <v>0.99636356639858392</v>
      </c>
      <c r="G84" s="69">
        <v>756</v>
      </c>
      <c r="H84" s="69">
        <v>62785</v>
      </c>
      <c r="I84" s="70">
        <f t="shared" si="6"/>
        <v>0.30200196251972139</v>
      </c>
      <c r="J84" s="69">
        <v>1151</v>
      </c>
      <c r="K84" s="70">
        <f t="shared" si="7"/>
        <v>5.5364220571824376E-3</v>
      </c>
      <c r="L84" s="70">
        <f t="shared" si="8"/>
        <v>1.8332404236680738E-2</v>
      </c>
      <c r="M84" s="69">
        <v>437</v>
      </c>
      <c r="N84" s="70">
        <f t="shared" si="9"/>
        <v>2.1020125447339054E-3</v>
      </c>
      <c r="O84" s="67" t="s">
        <v>16</v>
      </c>
    </row>
    <row r="85" spans="1:15" s="1" customFormat="1" x14ac:dyDescent="0.3">
      <c r="A85" s="66" t="s">
        <v>28</v>
      </c>
      <c r="B85" s="67" t="s">
        <v>15</v>
      </c>
      <c r="C85" s="67" t="s">
        <v>16</v>
      </c>
      <c r="D85" s="68">
        <v>45072</v>
      </c>
      <c r="E85" s="69">
        <v>105649</v>
      </c>
      <c r="F85" s="70">
        <f t="shared" si="5"/>
        <v>0.9956459597345928</v>
      </c>
      <c r="G85" s="69">
        <v>460</v>
      </c>
      <c r="H85" s="69">
        <v>33115</v>
      </c>
      <c r="I85" s="70">
        <f t="shared" si="6"/>
        <v>0.3134435725846908</v>
      </c>
      <c r="J85" s="69">
        <v>601</v>
      </c>
      <c r="K85" s="70">
        <f t="shared" si="7"/>
        <v>5.68864825980369E-3</v>
      </c>
      <c r="L85" s="70">
        <f t="shared" si="8"/>
        <v>1.8148875132115355E-2</v>
      </c>
      <c r="M85" s="69">
        <v>46</v>
      </c>
      <c r="N85" s="70">
        <f t="shared" si="9"/>
        <v>4.3540402654071501E-4</v>
      </c>
      <c r="O85" s="67" t="s">
        <v>16</v>
      </c>
    </row>
    <row r="86" spans="1:15" x14ac:dyDescent="0.3">
      <c r="A86" s="76" t="s">
        <v>22</v>
      </c>
      <c r="B86" s="67" t="s">
        <v>18</v>
      </c>
      <c r="C86" s="67" t="s">
        <v>16</v>
      </c>
      <c r="D86" s="68">
        <v>45079</v>
      </c>
      <c r="E86" s="88">
        <v>2320888</v>
      </c>
      <c r="F86" s="70">
        <f t="shared" si="5"/>
        <v>0.99674995088086971</v>
      </c>
      <c r="G86" s="88">
        <v>7543</v>
      </c>
      <c r="H86" s="88">
        <v>797702</v>
      </c>
      <c r="I86" s="70">
        <f t="shared" si="6"/>
        <v>0.34370551271754607</v>
      </c>
      <c r="J86" s="69">
        <v>9359</v>
      </c>
      <c r="K86" s="70">
        <f t="shared" si="7"/>
        <v>4.0325082468434499E-3</v>
      </c>
      <c r="L86" s="70">
        <f t="shared" si="8"/>
        <v>1.1732451466838493E-2</v>
      </c>
      <c r="M86" s="69">
        <v>3181</v>
      </c>
      <c r="N86" s="70">
        <f t="shared" si="9"/>
        <v>1.3705960821892311E-3</v>
      </c>
      <c r="O86" s="67" t="s">
        <v>16</v>
      </c>
    </row>
    <row r="87" spans="1:15" x14ac:dyDescent="0.3">
      <c r="A87" s="76" t="s">
        <v>22</v>
      </c>
      <c r="B87" s="67" t="s">
        <v>15</v>
      </c>
      <c r="C87" s="67" t="s">
        <v>16</v>
      </c>
      <c r="D87" s="68">
        <v>45079</v>
      </c>
      <c r="E87" s="88">
        <v>2004464</v>
      </c>
      <c r="F87" s="70">
        <f t="shared" si="5"/>
        <v>0.9961815228410188</v>
      </c>
      <c r="G87" s="88">
        <v>7654</v>
      </c>
      <c r="H87" s="88">
        <v>697790</v>
      </c>
      <c r="I87" s="70">
        <f t="shared" si="6"/>
        <v>0.34811800062261034</v>
      </c>
      <c r="J87" s="69">
        <v>7713</v>
      </c>
      <c r="K87" s="70">
        <f t="shared" si="7"/>
        <v>3.8479114616176693E-3</v>
      </c>
      <c r="L87" s="70">
        <f t="shared" si="8"/>
        <v>1.1053468808667364E-2</v>
      </c>
      <c r="M87" s="69">
        <v>1556</v>
      </c>
      <c r="N87" s="70">
        <f t="shared" si="9"/>
        <v>7.7626737122742041E-4</v>
      </c>
      <c r="O87" s="67" t="s">
        <v>16</v>
      </c>
    </row>
    <row r="88" spans="1:15" x14ac:dyDescent="0.3">
      <c r="A88" s="76" t="s">
        <v>28</v>
      </c>
      <c r="B88" s="67" t="s">
        <v>18</v>
      </c>
      <c r="C88" s="67" t="s">
        <v>16</v>
      </c>
      <c r="D88" s="68">
        <v>45079</v>
      </c>
      <c r="E88" s="88">
        <v>207349</v>
      </c>
      <c r="F88" s="70">
        <f t="shared" si="5"/>
        <v>0.99667709996190001</v>
      </c>
      <c r="G88" s="88">
        <v>689</v>
      </c>
      <c r="H88" s="88">
        <v>61389</v>
      </c>
      <c r="I88" s="70">
        <f t="shared" si="6"/>
        <v>0.29606605288667898</v>
      </c>
      <c r="J88" s="69">
        <v>887</v>
      </c>
      <c r="K88" s="70">
        <f t="shared" si="7"/>
        <v>4.2778118052172907E-3</v>
      </c>
      <c r="L88" s="70">
        <f t="shared" si="8"/>
        <v>1.4448842626529183E-2</v>
      </c>
      <c r="M88" s="69">
        <v>300</v>
      </c>
      <c r="N88" s="70">
        <f t="shared" si="9"/>
        <v>1.446836010783751E-3</v>
      </c>
      <c r="O88" s="67" t="s">
        <v>16</v>
      </c>
    </row>
    <row r="89" spans="1:15" x14ac:dyDescent="0.3">
      <c r="A89" s="76" t="s">
        <v>28</v>
      </c>
      <c r="B89" s="67" t="s">
        <v>15</v>
      </c>
      <c r="C89" s="67" t="s">
        <v>16</v>
      </c>
      <c r="D89" s="68">
        <v>45079</v>
      </c>
      <c r="E89" s="88">
        <v>106058</v>
      </c>
      <c r="F89" s="70">
        <f t="shared" si="5"/>
        <v>0.99576646740462771</v>
      </c>
      <c r="G89" s="88">
        <v>449</v>
      </c>
      <c r="H89" s="88">
        <v>31956</v>
      </c>
      <c r="I89" s="70">
        <f t="shared" si="6"/>
        <v>0.30130683211073184</v>
      </c>
      <c r="J89" s="69">
        <v>427</v>
      </c>
      <c r="K89" s="70">
        <f t="shared" si="7"/>
        <v>4.0260989270022064E-3</v>
      </c>
      <c r="L89" s="70">
        <f t="shared" si="8"/>
        <v>1.3362122919013644E-2</v>
      </c>
      <c r="M89" s="69">
        <v>45</v>
      </c>
      <c r="N89" s="70">
        <f t="shared" si="9"/>
        <v>4.2429613984800769E-4</v>
      </c>
      <c r="O89" s="67" t="s">
        <v>16</v>
      </c>
    </row>
    <row r="90" spans="1:15" s="1" customFormat="1" x14ac:dyDescent="0.3">
      <c r="A90" s="76" t="s">
        <v>28</v>
      </c>
      <c r="B90" s="67" t="s">
        <v>15</v>
      </c>
      <c r="C90" s="67" t="s">
        <v>16</v>
      </c>
      <c r="D90" s="68">
        <v>45086</v>
      </c>
      <c r="E90" s="69">
        <v>106034</v>
      </c>
      <c r="F90" s="70">
        <f t="shared" si="5"/>
        <v>0.99648226040703924</v>
      </c>
      <c r="G90" s="67">
        <v>373</v>
      </c>
      <c r="H90" s="69">
        <v>31170</v>
      </c>
      <c r="I90" s="70">
        <f t="shared" si="6"/>
        <v>0.2939623139747628</v>
      </c>
      <c r="J90" s="69">
        <v>509</v>
      </c>
      <c r="K90" s="70">
        <f t="shared" si="7"/>
        <v>4.8003470584906732E-3</v>
      </c>
      <c r="L90" s="70">
        <f t="shared" si="8"/>
        <v>1.6329804299005456E-2</v>
      </c>
      <c r="M90" s="69">
        <v>44</v>
      </c>
      <c r="N90" s="70">
        <f t="shared" si="9"/>
        <v>4.1496123884791669E-4</v>
      </c>
      <c r="O90" s="67" t="s">
        <v>16</v>
      </c>
    </row>
    <row r="91" spans="1:15" s="1" customFormat="1" x14ac:dyDescent="0.3">
      <c r="A91" s="76" t="s">
        <v>28</v>
      </c>
      <c r="B91" s="67" t="s">
        <v>18</v>
      </c>
      <c r="C91" s="67" t="s">
        <v>16</v>
      </c>
      <c r="D91" s="68">
        <v>45086</v>
      </c>
      <c r="E91" s="69">
        <v>207094</v>
      </c>
      <c r="F91" s="70">
        <f t="shared" si="5"/>
        <v>0.99731040010816341</v>
      </c>
      <c r="G91" s="67">
        <v>557</v>
      </c>
      <c r="H91" s="69">
        <v>59750</v>
      </c>
      <c r="I91" s="70">
        <f t="shared" si="6"/>
        <v>0.28851632591963072</v>
      </c>
      <c r="J91" s="69">
        <v>965</v>
      </c>
      <c r="K91" s="70">
        <f t="shared" si="7"/>
        <v>4.6597197407940352E-3</v>
      </c>
      <c r="L91" s="70">
        <f t="shared" si="8"/>
        <v>1.6150627615062762E-2</v>
      </c>
      <c r="M91" s="69">
        <v>369</v>
      </c>
      <c r="N91" s="70">
        <f t="shared" si="9"/>
        <v>1.7817995692777193E-3</v>
      </c>
      <c r="O91" s="67" t="s">
        <v>16</v>
      </c>
    </row>
    <row r="92" spans="1:15" s="1" customFormat="1" x14ac:dyDescent="0.3">
      <c r="A92" s="76" t="s">
        <v>22</v>
      </c>
      <c r="B92" s="67" t="s">
        <v>15</v>
      </c>
      <c r="C92" s="67" t="s">
        <v>16</v>
      </c>
      <c r="D92" s="68">
        <v>45086</v>
      </c>
      <c r="E92" s="69">
        <v>2145816</v>
      </c>
      <c r="F92" s="70">
        <f t="shared" si="5"/>
        <v>0.99601969600375806</v>
      </c>
      <c r="G92" s="67">
        <v>8541</v>
      </c>
      <c r="H92" s="69">
        <v>746541</v>
      </c>
      <c r="I92" s="70">
        <f t="shared" si="6"/>
        <v>0.3479054122068248</v>
      </c>
      <c r="J92" s="69">
        <v>10386</v>
      </c>
      <c r="K92" s="70">
        <f t="shared" si="7"/>
        <v>4.8401167667684458E-3</v>
      </c>
      <c r="L92" s="70">
        <f t="shared" si="8"/>
        <v>1.3912162895272999E-2</v>
      </c>
      <c r="M92" s="69">
        <v>2620</v>
      </c>
      <c r="N92" s="70">
        <f t="shared" si="9"/>
        <v>1.2209807364657547E-3</v>
      </c>
      <c r="O92" s="67" t="s">
        <v>16</v>
      </c>
    </row>
    <row r="93" spans="1:15" s="1" customFormat="1" x14ac:dyDescent="0.3">
      <c r="A93" s="76" t="s">
        <v>22</v>
      </c>
      <c r="B93" s="67" t="s">
        <v>18</v>
      </c>
      <c r="C93" s="67" t="s">
        <v>16</v>
      </c>
      <c r="D93" s="68">
        <v>45086</v>
      </c>
      <c r="E93" s="69">
        <v>2339774</v>
      </c>
      <c r="F93" s="70">
        <f t="shared" si="5"/>
        <v>0.99648983192393792</v>
      </c>
      <c r="G93" s="67">
        <v>8213</v>
      </c>
      <c r="H93" s="69">
        <v>729358</v>
      </c>
      <c r="I93" s="70">
        <f t="shared" si="6"/>
        <v>0.31172155943266316</v>
      </c>
      <c r="J93" s="69">
        <v>8938</v>
      </c>
      <c r="K93" s="70">
        <f t="shared" si="7"/>
        <v>3.8200270624427829E-3</v>
      </c>
      <c r="L93" s="70">
        <f t="shared" si="8"/>
        <v>1.2254612960987609E-2</v>
      </c>
      <c r="M93" s="69">
        <v>3283</v>
      </c>
      <c r="N93" s="70">
        <f t="shared" si="9"/>
        <v>1.4031269686730428E-3</v>
      </c>
      <c r="O93" s="67" t="s">
        <v>16</v>
      </c>
    </row>
    <row r="94" spans="1:15" s="1" customFormat="1" x14ac:dyDescent="0.3">
      <c r="A94" s="76" t="s">
        <v>28</v>
      </c>
      <c r="B94" s="67" t="s">
        <v>18</v>
      </c>
      <c r="C94" s="67" t="s">
        <v>16</v>
      </c>
      <c r="D94" s="68">
        <v>45093</v>
      </c>
      <c r="E94" s="69">
        <v>206333</v>
      </c>
      <c r="F94" s="70">
        <f t="shared" si="5"/>
        <v>0.99789175749880044</v>
      </c>
      <c r="G94" s="67">
        <v>435</v>
      </c>
      <c r="H94" s="69">
        <v>59044</v>
      </c>
      <c r="I94" s="70">
        <f t="shared" si="6"/>
        <v>0.28615878216281448</v>
      </c>
      <c r="J94" s="69">
        <v>1033</v>
      </c>
      <c r="K94" s="70">
        <f t="shared" si="7"/>
        <v>5.0064701235381639E-3</v>
      </c>
      <c r="L94" s="70">
        <f t="shared" si="8"/>
        <v>1.7495427139082718E-2</v>
      </c>
      <c r="M94" s="69">
        <v>54</v>
      </c>
      <c r="N94" s="70">
        <f t="shared" si="9"/>
        <v>2.6171286221787109E-4</v>
      </c>
      <c r="O94" s="67" t="s">
        <v>16</v>
      </c>
    </row>
    <row r="95" spans="1:15" s="1" customFormat="1" x14ac:dyDescent="0.3">
      <c r="A95" s="76" t="s">
        <v>28</v>
      </c>
      <c r="B95" s="67" t="s">
        <v>15</v>
      </c>
      <c r="C95" s="67" t="s">
        <v>16</v>
      </c>
      <c r="D95" s="68">
        <v>45093</v>
      </c>
      <c r="E95" s="69">
        <v>105902</v>
      </c>
      <c r="F95" s="70">
        <f t="shared" si="5"/>
        <v>0.99721440577137355</v>
      </c>
      <c r="G95" s="67">
        <v>295</v>
      </c>
      <c r="H95" s="69">
        <v>32236</v>
      </c>
      <c r="I95" s="70">
        <f t="shared" si="6"/>
        <v>0.30439462899661951</v>
      </c>
      <c r="J95" s="69">
        <v>622</v>
      </c>
      <c r="K95" s="70">
        <f t="shared" si="7"/>
        <v>5.8733546108666506E-3</v>
      </c>
      <c r="L95" s="70">
        <f t="shared" si="8"/>
        <v>1.9295197915374117E-2</v>
      </c>
      <c r="M95" s="69">
        <v>13</v>
      </c>
      <c r="N95" s="70">
        <f t="shared" si="9"/>
        <v>1.2275499990557306E-4</v>
      </c>
      <c r="O95" s="67" t="s">
        <v>16</v>
      </c>
    </row>
    <row r="96" spans="1:15" s="1" customFormat="1" x14ac:dyDescent="0.3">
      <c r="A96" s="76" t="s">
        <v>22</v>
      </c>
      <c r="B96" s="67" t="s">
        <v>18</v>
      </c>
      <c r="C96" s="67" t="s">
        <v>16</v>
      </c>
      <c r="D96" s="68">
        <v>45093</v>
      </c>
      <c r="E96" s="69">
        <v>2346541</v>
      </c>
      <c r="F96" s="70">
        <f t="shared" si="5"/>
        <v>0.99746435284957735</v>
      </c>
      <c r="G96" s="67">
        <v>5950</v>
      </c>
      <c r="H96" s="69">
        <v>759705</v>
      </c>
      <c r="I96" s="70">
        <f t="shared" si="6"/>
        <v>0.32375526359863305</v>
      </c>
      <c r="J96" s="69">
        <v>9756</v>
      </c>
      <c r="K96" s="70">
        <f t="shared" si="7"/>
        <v>4.1576090083233147E-3</v>
      </c>
      <c r="L96" s="70">
        <f t="shared" si="8"/>
        <v>1.2841826761703557E-2</v>
      </c>
      <c r="M96" s="69">
        <v>819</v>
      </c>
      <c r="N96" s="70">
        <f t="shared" si="9"/>
        <v>3.4902437246994619E-4</v>
      </c>
      <c r="O96" s="67" t="s">
        <v>16</v>
      </c>
    </row>
    <row r="97" spans="1:15" s="1" customFormat="1" x14ac:dyDescent="0.3">
      <c r="A97" s="76" t="s">
        <v>22</v>
      </c>
      <c r="B97" s="67" t="s">
        <v>15</v>
      </c>
      <c r="C97" s="67" t="s">
        <v>16</v>
      </c>
      <c r="D97" s="68">
        <v>45093</v>
      </c>
      <c r="E97" s="69">
        <v>2037103</v>
      </c>
      <c r="F97" s="70">
        <f t="shared" si="5"/>
        <v>0.99706200422855396</v>
      </c>
      <c r="G97" s="67">
        <v>5985</v>
      </c>
      <c r="H97" s="69">
        <v>696383</v>
      </c>
      <c r="I97" s="70">
        <f t="shared" si="6"/>
        <v>0.34184967574050013</v>
      </c>
      <c r="J97" s="69">
        <v>9043</v>
      </c>
      <c r="K97" s="70">
        <f t="shared" si="7"/>
        <v>4.4391471614346452E-3</v>
      </c>
      <c r="L97" s="70">
        <f t="shared" si="8"/>
        <v>1.2985670241806592E-2</v>
      </c>
      <c r="M97" s="69">
        <v>400</v>
      </c>
      <c r="N97" s="70">
        <f t="shared" si="9"/>
        <v>1.9635727795796286E-4</v>
      </c>
      <c r="O97" s="67" t="s">
        <v>16</v>
      </c>
    </row>
    <row r="98" spans="1:15" s="1" customFormat="1" x14ac:dyDescent="0.3">
      <c r="A98" s="95" t="s">
        <v>28</v>
      </c>
      <c r="B98" s="58" t="s">
        <v>15</v>
      </c>
      <c r="C98" s="58" t="s">
        <v>16</v>
      </c>
      <c r="D98" s="83">
        <v>45100</v>
      </c>
      <c r="E98" s="59">
        <v>105766</v>
      </c>
      <c r="F98" s="60">
        <f t="shared" si="5"/>
        <v>0.99779702361817602</v>
      </c>
      <c r="G98" s="58">
        <v>233</v>
      </c>
      <c r="H98" s="59">
        <v>30486</v>
      </c>
      <c r="I98" s="60">
        <f t="shared" si="6"/>
        <v>0.28824007715144756</v>
      </c>
      <c r="J98" s="59">
        <v>562</v>
      </c>
      <c r="K98" s="60">
        <f t="shared" si="7"/>
        <v>5.313616852296579E-3</v>
      </c>
      <c r="L98" s="60">
        <f t="shared" si="8"/>
        <v>1.8434691333726955E-2</v>
      </c>
      <c r="M98" s="59">
        <v>41</v>
      </c>
      <c r="N98" s="60">
        <f t="shared" si="9"/>
        <v>3.8764820452697466E-4</v>
      </c>
      <c r="O98" s="58" t="s">
        <v>16</v>
      </c>
    </row>
    <row r="99" spans="1:15" s="1" customFormat="1" x14ac:dyDescent="0.3">
      <c r="A99" s="95" t="s">
        <v>28</v>
      </c>
      <c r="B99" s="58" t="s">
        <v>18</v>
      </c>
      <c r="C99" s="58" t="s">
        <v>16</v>
      </c>
      <c r="D99" s="83">
        <v>45100</v>
      </c>
      <c r="E99" s="59">
        <v>205889</v>
      </c>
      <c r="F99" s="60">
        <f t="shared" si="5"/>
        <v>0.99813491735838245</v>
      </c>
      <c r="G99" s="58">
        <v>384</v>
      </c>
      <c r="H99" s="59">
        <v>55466</v>
      </c>
      <c r="I99" s="60">
        <f t="shared" si="6"/>
        <v>0.26939758802072961</v>
      </c>
      <c r="J99" s="59">
        <v>915</v>
      </c>
      <c r="K99" s="60">
        <f t="shared" si="7"/>
        <v>4.4441422319793679E-3</v>
      </c>
      <c r="L99" s="60">
        <f t="shared" si="8"/>
        <v>1.6496592507121481E-2</v>
      </c>
      <c r="M99" s="59">
        <v>288</v>
      </c>
      <c r="N99" s="60">
        <f t="shared" si="9"/>
        <v>1.398811981213178E-3</v>
      </c>
      <c r="O99" s="58" t="s">
        <v>16</v>
      </c>
    </row>
    <row r="100" spans="1:15" s="1" customFormat="1" x14ac:dyDescent="0.3">
      <c r="A100" s="95" t="s">
        <v>22</v>
      </c>
      <c r="B100" s="58" t="s">
        <v>15</v>
      </c>
      <c r="C100" s="58" t="s">
        <v>16</v>
      </c>
      <c r="D100" s="83">
        <v>45100</v>
      </c>
      <c r="E100" s="59">
        <v>2049144</v>
      </c>
      <c r="F100" s="60">
        <f t="shared" si="5"/>
        <v>0.99746577107318957</v>
      </c>
      <c r="G100" s="58">
        <v>5193</v>
      </c>
      <c r="H100" s="59">
        <v>693803</v>
      </c>
      <c r="I100" s="60">
        <f t="shared" si="6"/>
        <v>0.33858186637932719</v>
      </c>
      <c r="J100" s="59">
        <v>8856</v>
      </c>
      <c r="K100" s="60">
        <f t="shared" si="7"/>
        <v>4.3218046169522491E-3</v>
      </c>
      <c r="L100" s="60">
        <f t="shared" si="8"/>
        <v>1.2764430248932333E-2</v>
      </c>
      <c r="M100" s="59">
        <v>1566</v>
      </c>
      <c r="N100" s="60">
        <f t="shared" si="9"/>
        <v>7.6422154811960508E-4</v>
      </c>
      <c r="O100" s="58" t="s">
        <v>16</v>
      </c>
    </row>
    <row r="101" spans="1:15" s="1" customFormat="1" x14ac:dyDescent="0.3">
      <c r="A101" s="95" t="s">
        <v>22</v>
      </c>
      <c r="B101" s="58" t="s">
        <v>18</v>
      </c>
      <c r="C101" s="58" t="s">
        <v>16</v>
      </c>
      <c r="D101" s="83">
        <v>45100</v>
      </c>
      <c r="E101" s="59">
        <v>2348491</v>
      </c>
      <c r="F101" s="60">
        <f t="shared" si="5"/>
        <v>0.9977300317523039</v>
      </c>
      <c r="G101" s="58">
        <v>5331</v>
      </c>
      <c r="H101" s="59">
        <v>752290</v>
      </c>
      <c r="I101" s="60">
        <f t="shared" si="6"/>
        <v>0.32032909642830226</v>
      </c>
      <c r="J101" s="59">
        <v>9193</v>
      </c>
      <c r="K101" s="60">
        <f t="shared" si="7"/>
        <v>3.9144284564003014E-3</v>
      </c>
      <c r="L101" s="60">
        <f t="shared" si="8"/>
        <v>1.2220021534248761E-2</v>
      </c>
      <c r="M101" s="59">
        <v>3179</v>
      </c>
      <c r="N101" s="60">
        <f t="shared" si="9"/>
        <v>1.3536351640266026E-3</v>
      </c>
      <c r="O101" s="58" t="s">
        <v>16</v>
      </c>
    </row>
    <row r="103" spans="1:15" x14ac:dyDescent="0.3">
      <c r="A103" s="33" t="s">
        <v>48</v>
      </c>
      <c r="B103" s="35"/>
      <c r="C103" s="35"/>
      <c r="D103" s="30"/>
      <c r="E103" s="31">
        <f>SUM(E2:E101)</f>
        <v>110393094</v>
      </c>
      <c r="F103" s="32">
        <f>(E103-G103)/E103</f>
        <v>0.99682138630882111</v>
      </c>
      <c r="G103" s="31">
        <f>SUM(G2:G101)</f>
        <v>350897</v>
      </c>
      <c r="H103" s="31">
        <f>SUM(H2:H101)</f>
        <v>38342700</v>
      </c>
      <c r="I103" s="32">
        <f>H103/E103</f>
        <v>0.34732879214346507</v>
      </c>
      <c r="J103" s="31">
        <f>SUM(J2:J101)</f>
        <v>606555</v>
      </c>
      <c r="K103" s="32">
        <f>J103/E103</f>
        <v>5.4945013136419567E-3</v>
      </c>
      <c r="L103" s="32">
        <f>J103/H103</f>
        <v>1.5819308499401451E-2</v>
      </c>
      <c r="M103" s="31">
        <f>SUM(M2:M101)</f>
        <v>182222</v>
      </c>
      <c r="N103" s="32">
        <f>M103/E103</f>
        <v>1.6506648504660988E-3</v>
      </c>
      <c r="O103" s="46"/>
    </row>
    <row r="104" spans="1:15" x14ac:dyDescent="0.3">
      <c r="D104" s="5"/>
      <c r="E104" s="2"/>
      <c r="F104" s="6"/>
      <c r="G104" s="2"/>
      <c r="H104" s="2"/>
      <c r="I104" s="22"/>
      <c r="J104" s="2"/>
      <c r="K104" s="22"/>
      <c r="L104" s="22"/>
      <c r="M104" s="16">
        <f>M103/J103</f>
        <v>0.30042123138050136</v>
      </c>
      <c r="N104" s="22"/>
    </row>
    <row r="105" spans="1:15" x14ac:dyDescent="0.3">
      <c r="D105" s="5"/>
      <c r="E105" s="2"/>
      <c r="F105" s="6"/>
      <c r="G105" s="2"/>
      <c r="H105" s="2"/>
      <c r="I105" s="6"/>
      <c r="J105" s="2"/>
      <c r="K105" s="6"/>
      <c r="L105" s="6"/>
      <c r="M105" s="2"/>
      <c r="N105" s="22"/>
    </row>
    <row r="106" spans="1:15" x14ac:dyDescent="0.3">
      <c r="A106" s="36" t="s">
        <v>41</v>
      </c>
      <c r="B106" s="37"/>
      <c r="C106" s="38"/>
      <c r="D106" s="39"/>
      <c r="E106" s="40"/>
      <c r="F106" s="41"/>
      <c r="G106" s="42"/>
      <c r="H106" s="41"/>
      <c r="I106" s="43">
        <v>0.23899999999999999</v>
      </c>
      <c r="J106" s="41"/>
      <c r="K106" s="43">
        <v>2.9000000000000001E-2</v>
      </c>
      <c r="L106" s="43">
        <v>0.124</v>
      </c>
      <c r="M106" s="41"/>
      <c r="N106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83D80D2-5BA8-BA45-A116-26538573C6C9}">
          <x14:formula1>
            <xm:f>'List Sheet'!$A$2:$A$4</xm:f>
          </x14:formula1>
          <xm:sqref>C2:C5 C26:C37 O34:O53 C90:C101 O90:O101</xm:sqref>
        </x14:dataValidation>
        <x14:dataValidation type="list" allowBlank="1" showInputMessage="1" showErrorMessage="1" xr:uid="{F9A5E1C2-9328-BE4E-8D11-AD8275C00D8A}">
          <x14:formula1>
            <xm:f>'List Sheet'!$B$2:$B$3</xm:f>
          </x14:formula1>
          <xm:sqref>B2:B9 B11:B13 B15 B17:B85 B90:B101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1D9B-1181-5441-AA8F-96D849CDED5B}">
  <dimension ref="A1:O109"/>
  <sheetViews>
    <sheetView zoomScaleNormal="100" workbookViewId="0">
      <pane ySplit="1" topLeftCell="A75" activePane="bottomLeft" state="frozen"/>
      <selection pane="bottomLeft" activeCell="E90" sqref="E90"/>
    </sheetView>
  </sheetViews>
  <sheetFormatPr defaultColWidth="10.6640625" defaultRowHeight="14.4" x14ac:dyDescent="0.3"/>
  <cols>
    <col min="1" max="1" width="25.33203125" customWidth="1"/>
    <col min="2" max="2" width="9.44140625" bestFit="1" customWidth="1"/>
    <col min="3" max="3" width="13.109375" bestFit="1" customWidth="1"/>
    <col min="4" max="4" width="11.109375" bestFit="1" customWidth="1"/>
    <col min="5" max="5" width="10.109375" bestFit="1" customWidth="1"/>
    <col min="6" max="6" width="12.77734375" bestFit="1" customWidth="1"/>
    <col min="7" max="7" width="15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10937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s="1" customFormat="1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29</v>
      </c>
      <c r="B2" s="67" t="s">
        <v>15</v>
      </c>
      <c r="C2" s="67" t="s">
        <v>16</v>
      </c>
      <c r="D2" s="68">
        <v>44929</v>
      </c>
      <c r="E2" s="69">
        <v>22244</v>
      </c>
      <c r="F2" s="70">
        <f t="shared" ref="F2:F45" si="0">(E2-G2)/E2</f>
        <v>0.99878618953425646</v>
      </c>
      <c r="G2" s="69">
        <v>27</v>
      </c>
      <c r="H2" s="69">
        <v>7887</v>
      </c>
      <c r="I2" s="70">
        <f t="shared" ref="I2:I45" si="1">H2/E2</f>
        <v>0.35456752382664991</v>
      </c>
      <c r="J2" s="69">
        <v>378</v>
      </c>
      <c r="K2" s="70">
        <f t="shared" ref="K2:K45" si="2">J2/E2</f>
        <v>1.6993346520409999E-2</v>
      </c>
      <c r="L2" s="70">
        <f t="shared" ref="L2:L45" si="3">J2/H2</f>
        <v>4.7926968429060482E-2</v>
      </c>
      <c r="M2" s="69">
        <v>19</v>
      </c>
      <c r="N2" s="70">
        <f t="shared" ref="N2:N45" si="4">M2/E2</f>
        <v>8.5416292033806867E-4</v>
      </c>
      <c r="O2" s="67" t="s">
        <v>16</v>
      </c>
    </row>
    <row r="3" spans="1:15" x14ac:dyDescent="0.3">
      <c r="A3" s="66" t="s">
        <v>17</v>
      </c>
      <c r="B3" s="67" t="s">
        <v>15</v>
      </c>
      <c r="C3" s="67" t="s">
        <v>16</v>
      </c>
      <c r="D3" s="68">
        <v>44929</v>
      </c>
      <c r="E3" s="69">
        <v>194636</v>
      </c>
      <c r="F3" s="70">
        <f t="shared" si="0"/>
        <v>0.998145255759469</v>
      </c>
      <c r="G3" s="69">
        <v>361</v>
      </c>
      <c r="H3" s="69">
        <v>69766</v>
      </c>
      <c r="I3" s="70">
        <f t="shared" si="1"/>
        <v>0.35844345342074435</v>
      </c>
      <c r="J3" s="69">
        <v>1647</v>
      </c>
      <c r="K3" s="70">
        <f t="shared" si="2"/>
        <v>8.4619494851928736E-3</v>
      </c>
      <c r="L3" s="70">
        <f t="shared" si="3"/>
        <v>2.360748788808302E-2</v>
      </c>
      <c r="M3" s="69">
        <v>157</v>
      </c>
      <c r="N3" s="70">
        <f t="shared" si="4"/>
        <v>8.066339217821986E-4</v>
      </c>
      <c r="O3" s="67" t="s">
        <v>16</v>
      </c>
    </row>
    <row r="4" spans="1:15" x14ac:dyDescent="0.3">
      <c r="A4" s="66" t="s">
        <v>29</v>
      </c>
      <c r="B4" s="67" t="s">
        <v>18</v>
      </c>
      <c r="C4" s="67" t="s">
        <v>16</v>
      </c>
      <c r="D4" s="68">
        <v>44929</v>
      </c>
      <c r="E4" s="69">
        <v>17887</v>
      </c>
      <c r="F4" s="70">
        <f t="shared" si="0"/>
        <v>0.99921730865992064</v>
      </c>
      <c r="G4" s="69">
        <v>14</v>
      </c>
      <c r="H4" s="69">
        <v>6856</v>
      </c>
      <c r="I4" s="70">
        <f t="shared" si="1"/>
        <v>0.3832951305417342</v>
      </c>
      <c r="J4" s="69">
        <v>224</v>
      </c>
      <c r="K4" s="70">
        <f t="shared" si="2"/>
        <v>1.2523061441270196E-2</v>
      </c>
      <c r="L4" s="70">
        <f t="shared" si="3"/>
        <v>3.2672112018669777E-2</v>
      </c>
      <c r="M4" s="69">
        <v>38</v>
      </c>
      <c r="N4" s="70">
        <f t="shared" si="4"/>
        <v>2.1244479230726225E-3</v>
      </c>
      <c r="O4" s="67" t="s">
        <v>16</v>
      </c>
    </row>
    <row r="5" spans="1:15" x14ac:dyDescent="0.3">
      <c r="A5" s="66" t="s">
        <v>17</v>
      </c>
      <c r="B5" s="67" t="s">
        <v>18</v>
      </c>
      <c r="C5" s="67" t="s">
        <v>16</v>
      </c>
      <c r="D5" s="68">
        <v>44929</v>
      </c>
      <c r="E5" s="69">
        <v>354949</v>
      </c>
      <c r="F5" s="70">
        <f t="shared" si="0"/>
        <v>0.99838286627092909</v>
      </c>
      <c r="G5" s="69">
        <v>574</v>
      </c>
      <c r="H5" s="69">
        <v>141863</v>
      </c>
      <c r="I5" s="70">
        <f t="shared" si="1"/>
        <v>0.39967150210311903</v>
      </c>
      <c r="J5" s="69">
        <v>2270</v>
      </c>
      <c r="K5" s="70">
        <f t="shared" si="2"/>
        <v>6.3952849564303605E-3</v>
      </c>
      <c r="L5" s="70">
        <f t="shared" si="3"/>
        <v>1.6001353418438915E-2</v>
      </c>
      <c r="M5" s="69">
        <v>606</v>
      </c>
      <c r="N5" s="70">
        <f t="shared" si="4"/>
        <v>1.7072875258135676E-3</v>
      </c>
      <c r="O5" s="67" t="s">
        <v>16</v>
      </c>
    </row>
    <row r="6" spans="1:15" s="1" customFormat="1" x14ac:dyDescent="0.3">
      <c r="A6" s="66" t="s">
        <v>29</v>
      </c>
      <c r="B6" s="67" t="s">
        <v>18</v>
      </c>
      <c r="C6" s="67" t="s">
        <v>16</v>
      </c>
      <c r="D6" s="68">
        <v>44936</v>
      </c>
      <c r="E6" s="69">
        <v>18438</v>
      </c>
      <c r="F6" s="70">
        <f t="shared" si="0"/>
        <v>0.99940340600932853</v>
      </c>
      <c r="G6" s="69">
        <v>11</v>
      </c>
      <c r="H6" s="69">
        <v>7217</v>
      </c>
      <c r="I6" s="70">
        <f t="shared" si="1"/>
        <v>0.391419893697798</v>
      </c>
      <c r="J6" s="69">
        <v>237</v>
      </c>
      <c r="K6" s="70">
        <f t="shared" si="2"/>
        <v>1.2853888708102831E-2</v>
      </c>
      <c r="L6" s="70">
        <f t="shared" si="3"/>
        <v>3.2839129832340309E-2</v>
      </c>
      <c r="M6" s="69">
        <v>34</v>
      </c>
      <c r="N6" s="70">
        <f t="shared" si="4"/>
        <v>1.8440177893480855E-3</v>
      </c>
      <c r="O6" s="67" t="s">
        <v>16</v>
      </c>
    </row>
    <row r="7" spans="1:15" s="1" customFormat="1" x14ac:dyDescent="0.3">
      <c r="A7" s="66" t="s">
        <v>29</v>
      </c>
      <c r="B7" s="67" t="s">
        <v>15</v>
      </c>
      <c r="C7" s="67" t="s">
        <v>16</v>
      </c>
      <c r="D7" s="68">
        <v>44936</v>
      </c>
      <c r="E7" s="69">
        <v>22406</v>
      </c>
      <c r="F7" s="70">
        <f t="shared" si="0"/>
        <v>0.99928590556101049</v>
      </c>
      <c r="G7" s="69">
        <v>16</v>
      </c>
      <c r="H7" s="69">
        <v>8105</v>
      </c>
      <c r="I7" s="70">
        <f t="shared" si="1"/>
        <v>0.36173346425064717</v>
      </c>
      <c r="J7" s="69">
        <v>343</v>
      </c>
      <c r="K7" s="70">
        <f t="shared" si="2"/>
        <v>1.5308399535838615E-2</v>
      </c>
      <c r="L7" s="70">
        <f t="shared" si="3"/>
        <v>4.2319555829734734E-2</v>
      </c>
      <c r="M7" s="69">
        <v>13</v>
      </c>
      <c r="N7" s="70">
        <f t="shared" si="4"/>
        <v>5.802017316790146E-4</v>
      </c>
      <c r="O7" s="67" t="s">
        <v>16</v>
      </c>
    </row>
    <row r="8" spans="1:15" s="1" customFormat="1" x14ac:dyDescent="0.3">
      <c r="A8" s="66" t="s">
        <v>17</v>
      </c>
      <c r="B8" s="67" t="s">
        <v>15</v>
      </c>
      <c r="C8" s="67" t="s">
        <v>16</v>
      </c>
      <c r="D8" s="68">
        <v>44936</v>
      </c>
      <c r="E8" s="69">
        <v>196490</v>
      </c>
      <c r="F8" s="70">
        <f t="shared" si="0"/>
        <v>0.99831543590004579</v>
      </c>
      <c r="G8" s="69">
        <v>331</v>
      </c>
      <c r="H8" s="69">
        <v>71868</v>
      </c>
      <c r="I8" s="70">
        <f t="shared" si="1"/>
        <v>0.36575907170848387</v>
      </c>
      <c r="J8" s="69">
        <v>1795</v>
      </c>
      <c r="K8" s="70">
        <f t="shared" si="2"/>
        <v>9.135324952923813E-3</v>
      </c>
      <c r="L8" s="70">
        <f t="shared" si="3"/>
        <v>2.4976345522346524E-2</v>
      </c>
      <c r="M8" s="69">
        <v>123</v>
      </c>
      <c r="N8" s="70">
        <f t="shared" si="4"/>
        <v>6.2598605526998827E-4</v>
      </c>
      <c r="O8" s="67" t="s">
        <v>16</v>
      </c>
    </row>
    <row r="9" spans="1:15" s="1" customFormat="1" x14ac:dyDescent="0.3">
      <c r="A9" s="66" t="s">
        <v>17</v>
      </c>
      <c r="B9" s="67" t="s">
        <v>18</v>
      </c>
      <c r="C9" s="67" t="s">
        <v>16</v>
      </c>
      <c r="D9" s="68">
        <v>44936</v>
      </c>
      <c r="E9" s="69">
        <v>358419</v>
      </c>
      <c r="F9" s="70">
        <f t="shared" si="0"/>
        <v>0.99861056473010634</v>
      </c>
      <c r="G9" s="69">
        <v>498</v>
      </c>
      <c r="H9" s="69">
        <v>141898</v>
      </c>
      <c r="I9" s="70">
        <f t="shared" si="1"/>
        <v>0.39589977093848261</v>
      </c>
      <c r="J9" s="69">
        <v>2425</v>
      </c>
      <c r="K9" s="70">
        <f t="shared" si="2"/>
        <v>6.7658243564096771E-3</v>
      </c>
      <c r="L9" s="70">
        <f t="shared" si="3"/>
        <v>1.7089740517836755E-2</v>
      </c>
      <c r="M9" s="69">
        <v>556</v>
      </c>
      <c r="N9" s="70">
        <f t="shared" si="4"/>
        <v>1.5512570483149611E-3</v>
      </c>
      <c r="O9" s="67" t="s">
        <v>16</v>
      </c>
    </row>
    <row r="10" spans="1:15" s="1" customFormat="1" x14ac:dyDescent="0.3">
      <c r="A10" s="66" t="s">
        <v>29</v>
      </c>
      <c r="B10" s="67" t="s">
        <v>15</v>
      </c>
      <c r="C10" s="67" t="s">
        <v>16</v>
      </c>
      <c r="D10" s="72">
        <v>44943</v>
      </c>
      <c r="E10" s="69">
        <v>22648</v>
      </c>
      <c r="F10" s="70">
        <f t="shared" si="0"/>
        <v>0.99920522783468735</v>
      </c>
      <c r="G10" s="69">
        <v>18</v>
      </c>
      <c r="H10" s="69">
        <v>8068</v>
      </c>
      <c r="I10" s="70">
        <f t="shared" si="1"/>
        <v>0.35623454609678556</v>
      </c>
      <c r="J10" s="69">
        <v>265</v>
      </c>
      <c r="K10" s="70">
        <f t="shared" si="2"/>
        <v>1.1700812433768986E-2</v>
      </c>
      <c r="L10" s="70">
        <f t="shared" si="3"/>
        <v>3.2845810609816561E-2</v>
      </c>
      <c r="M10" s="69">
        <v>17</v>
      </c>
      <c r="N10" s="70">
        <f t="shared" si="4"/>
        <v>7.5061815612857653E-4</v>
      </c>
      <c r="O10" s="67" t="s">
        <v>16</v>
      </c>
    </row>
    <row r="11" spans="1:15" s="1" customFormat="1" x14ac:dyDescent="0.3">
      <c r="A11" s="66" t="s">
        <v>29</v>
      </c>
      <c r="B11" s="67" t="s">
        <v>18</v>
      </c>
      <c r="C11" s="67" t="s">
        <v>16</v>
      </c>
      <c r="D11" s="72">
        <v>44943</v>
      </c>
      <c r="E11" s="69">
        <v>25216</v>
      </c>
      <c r="F11" s="70">
        <f t="shared" si="0"/>
        <v>0.99857233502538068</v>
      </c>
      <c r="G11" s="69">
        <v>36</v>
      </c>
      <c r="H11" s="69">
        <v>9722</v>
      </c>
      <c r="I11" s="70">
        <f t="shared" si="1"/>
        <v>0.38554885786802029</v>
      </c>
      <c r="J11" s="69">
        <v>289</v>
      </c>
      <c r="K11" s="70">
        <f t="shared" si="2"/>
        <v>1.1460977157360407E-2</v>
      </c>
      <c r="L11" s="70">
        <f t="shared" si="3"/>
        <v>2.9726393746142769E-2</v>
      </c>
      <c r="M11" s="69">
        <v>116</v>
      </c>
      <c r="N11" s="70">
        <f t="shared" si="4"/>
        <v>4.6002538071065989E-3</v>
      </c>
      <c r="O11" s="67" t="s">
        <v>16</v>
      </c>
    </row>
    <row r="12" spans="1:15" s="1" customFormat="1" x14ac:dyDescent="0.3">
      <c r="A12" s="66" t="s">
        <v>17</v>
      </c>
      <c r="B12" s="67" t="s">
        <v>15</v>
      </c>
      <c r="C12" s="67" t="s">
        <v>16</v>
      </c>
      <c r="D12" s="72">
        <v>44943</v>
      </c>
      <c r="E12" s="69">
        <v>207913</v>
      </c>
      <c r="F12" s="70">
        <f t="shared" si="0"/>
        <v>0.99800878251961156</v>
      </c>
      <c r="G12" s="69">
        <v>414</v>
      </c>
      <c r="H12" s="69">
        <v>77636</v>
      </c>
      <c r="I12" s="70">
        <f t="shared" si="1"/>
        <v>0.37340618431747896</v>
      </c>
      <c r="J12" s="69">
        <v>1924</v>
      </c>
      <c r="K12" s="70">
        <f t="shared" si="2"/>
        <v>9.253870609341408E-3</v>
      </c>
      <c r="L12" s="70">
        <f t="shared" si="3"/>
        <v>2.4782317481580711E-2</v>
      </c>
      <c r="M12" s="69">
        <v>141</v>
      </c>
      <c r="N12" s="70">
        <f t="shared" si="4"/>
        <v>6.7816827230620497E-4</v>
      </c>
      <c r="O12" s="67" t="s">
        <v>16</v>
      </c>
    </row>
    <row r="13" spans="1:15" s="1" customFormat="1" x14ac:dyDescent="0.3">
      <c r="A13" s="66" t="s">
        <v>17</v>
      </c>
      <c r="B13" s="67" t="s">
        <v>18</v>
      </c>
      <c r="C13" s="67" t="s">
        <v>16</v>
      </c>
      <c r="D13" s="72">
        <v>44943</v>
      </c>
      <c r="E13" s="69">
        <v>418744</v>
      </c>
      <c r="F13" s="70">
        <f t="shared" si="0"/>
        <v>0.99802743442294095</v>
      </c>
      <c r="G13" s="69">
        <v>826</v>
      </c>
      <c r="H13" s="69">
        <v>168010</v>
      </c>
      <c r="I13" s="70">
        <f t="shared" si="1"/>
        <v>0.40122365932407389</v>
      </c>
      <c r="J13" s="69">
        <v>3250</v>
      </c>
      <c r="K13" s="70">
        <f t="shared" si="2"/>
        <v>7.7613052366123456E-3</v>
      </c>
      <c r="L13" s="70">
        <f t="shared" si="3"/>
        <v>1.9344086661508244E-2</v>
      </c>
      <c r="M13" s="69">
        <v>1139</v>
      </c>
      <c r="N13" s="70">
        <f t="shared" si="4"/>
        <v>2.7200389736927572E-3</v>
      </c>
      <c r="O13" s="67" t="s">
        <v>16</v>
      </c>
    </row>
    <row r="14" spans="1:15" s="1" customFormat="1" x14ac:dyDescent="0.3">
      <c r="A14" s="66" t="s">
        <v>29</v>
      </c>
      <c r="B14" s="67" t="s">
        <v>15</v>
      </c>
      <c r="C14" s="67" t="s">
        <v>16</v>
      </c>
      <c r="D14" s="72">
        <v>44950</v>
      </c>
      <c r="E14" s="69">
        <v>22739</v>
      </c>
      <c r="F14" s="70">
        <f t="shared" si="0"/>
        <v>0.99925238576894326</v>
      </c>
      <c r="G14" s="69">
        <v>17</v>
      </c>
      <c r="H14" s="69">
        <v>8196</v>
      </c>
      <c r="I14" s="70">
        <f t="shared" si="1"/>
        <v>0.36043801398478387</v>
      </c>
      <c r="J14" s="69">
        <v>352</v>
      </c>
      <c r="K14" s="70">
        <f t="shared" si="2"/>
        <v>1.5480012313646159E-2</v>
      </c>
      <c r="L14" s="70">
        <f t="shared" si="3"/>
        <v>4.2947779404587605E-2</v>
      </c>
      <c r="M14" s="69">
        <v>8</v>
      </c>
      <c r="N14" s="70">
        <f t="shared" si="4"/>
        <v>3.5181846167377636E-4</v>
      </c>
      <c r="O14" s="67" t="s">
        <v>16</v>
      </c>
    </row>
    <row r="15" spans="1:15" s="1" customFormat="1" x14ac:dyDescent="0.3">
      <c r="A15" s="66" t="s">
        <v>29</v>
      </c>
      <c r="B15" s="67" t="s">
        <v>18</v>
      </c>
      <c r="C15" s="67" t="s">
        <v>16</v>
      </c>
      <c r="D15" s="72">
        <v>44950</v>
      </c>
      <c r="E15" s="69">
        <v>25135</v>
      </c>
      <c r="F15" s="70">
        <f t="shared" si="0"/>
        <v>0.99900537099661824</v>
      </c>
      <c r="G15" s="69">
        <v>25</v>
      </c>
      <c r="H15" s="69">
        <v>9658</v>
      </c>
      <c r="I15" s="70">
        <f t="shared" si="1"/>
        <v>0.38424507658643325</v>
      </c>
      <c r="J15" s="69">
        <v>331</v>
      </c>
      <c r="K15" s="70">
        <f t="shared" si="2"/>
        <v>1.3168888004774219E-2</v>
      </c>
      <c r="L15" s="70">
        <f t="shared" si="3"/>
        <v>3.4272106026092361E-2</v>
      </c>
      <c r="M15" s="69">
        <v>66</v>
      </c>
      <c r="N15" s="70">
        <f t="shared" si="4"/>
        <v>2.6258205689277899E-3</v>
      </c>
      <c r="O15" s="67" t="s">
        <v>16</v>
      </c>
    </row>
    <row r="16" spans="1:15" s="1" customFormat="1" x14ac:dyDescent="0.3">
      <c r="A16" s="66" t="s">
        <v>17</v>
      </c>
      <c r="B16" s="67" t="s">
        <v>15</v>
      </c>
      <c r="C16" s="67" t="s">
        <v>16</v>
      </c>
      <c r="D16" s="72">
        <v>44950</v>
      </c>
      <c r="E16" s="69">
        <v>209346</v>
      </c>
      <c r="F16" s="70">
        <f t="shared" si="0"/>
        <v>0.99794598416019409</v>
      </c>
      <c r="G16" s="69">
        <v>430</v>
      </c>
      <c r="H16" s="69">
        <v>96776</v>
      </c>
      <c r="I16" s="70">
        <f t="shared" si="1"/>
        <v>0.46227776026291401</v>
      </c>
      <c r="J16" s="69">
        <v>3125</v>
      </c>
      <c r="K16" s="70">
        <f t="shared" si="2"/>
        <v>1.4927440696263602E-2</v>
      </c>
      <c r="L16" s="70">
        <f t="shared" si="3"/>
        <v>3.2291063900140533E-2</v>
      </c>
      <c r="M16" s="69">
        <v>151</v>
      </c>
      <c r="N16" s="70">
        <f t="shared" si="4"/>
        <v>7.212939344434572E-4</v>
      </c>
      <c r="O16" s="67" t="s">
        <v>16</v>
      </c>
    </row>
    <row r="17" spans="1:15" s="1" customFormat="1" x14ac:dyDescent="0.3">
      <c r="A17" s="66" t="s">
        <v>17</v>
      </c>
      <c r="B17" s="67" t="s">
        <v>18</v>
      </c>
      <c r="C17" s="67" t="s">
        <v>16</v>
      </c>
      <c r="D17" s="72">
        <v>44950</v>
      </c>
      <c r="E17" s="69">
        <v>419454</v>
      </c>
      <c r="F17" s="70">
        <f t="shared" si="0"/>
        <v>0.99802362118372934</v>
      </c>
      <c r="G17" s="69">
        <v>829</v>
      </c>
      <c r="H17" s="69">
        <v>210787</v>
      </c>
      <c r="I17" s="70">
        <f t="shared" si="1"/>
        <v>0.50252709474698065</v>
      </c>
      <c r="J17" s="69">
        <v>5194</v>
      </c>
      <c r="K17" s="70">
        <f t="shared" si="2"/>
        <v>1.2382764260204933E-2</v>
      </c>
      <c r="L17" s="70">
        <f t="shared" si="3"/>
        <v>2.4640988296242179E-2</v>
      </c>
      <c r="M17" s="69">
        <v>912</v>
      </c>
      <c r="N17" s="70">
        <f t="shared" si="4"/>
        <v>2.1742551030625528E-3</v>
      </c>
      <c r="O17" s="67" t="s">
        <v>16</v>
      </c>
    </row>
    <row r="18" spans="1:15" s="1" customFormat="1" x14ac:dyDescent="0.3">
      <c r="A18" s="76" t="s">
        <v>29</v>
      </c>
      <c r="B18" s="67" t="s">
        <v>18</v>
      </c>
      <c r="C18" s="67" t="s">
        <v>16</v>
      </c>
      <c r="D18" s="68">
        <v>44957</v>
      </c>
      <c r="E18" s="69">
        <v>25183</v>
      </c>
      <c r="F18" s="70">
        <f t="shared" si="0"/>
        <v>0.99908668546241508</v>
      </c>
      <c r="G18" s="69">
        <v>23</v>
      </c>
      <c r="H18" s="69">
        <v>9403</v>
      </c>
      <c r="I18" s="70">
        <f t="shared" si="1"/>
        <v>0.37338680856133105</v>
      </c>
      <c r="J18" s="69">
        <v>221</v>
      </c>
      <c r="K18" s="70">
        <f t="shared" si="2"/>
        <v>8.7757614263590522E-3</v>
      </c>
      <c r="L18" s="70">
        <f t="shared" si="3"/>
        <v>2.3503137296607465E-2</v>
      </c>
      <c r="M18" s="69">
        <v>56</v>
      </c>
      <c r="N18" s="70">
        <f t="shared" si="4"/>
        <v>2.2237223523805744E-3</v>
      </c>
      <c r="O18" s="67" t="s">
        <v>16</v>
      </c>
    </row>
    <row r="19" spans="1:15" s="1" customFormat="1" x14ac:dyDescent="0.3">
      <c r="A19" s="76" t="s">
        <v>29</v>
      </c>
      <c r="B19" s="67" t="s">
        <v>15</v>
      </c>
      <c r="C19" s="67" t="s">
        <v>16</v>
      </c>
      <c r="D19" s="68">
        <v>44957</v>
      </c>
      <c r="E19" s="69">
        <v>22796</v>
      </c>
      <c r="F19" s="70">
        <f t="shared" si="0"/>
        <v>0.99938585716792416</v>
      </c>
      <c r="G19" s="69">
        <v>14</v>
      </c>
      <c r="H19" s="69">
        <v>8007</v>
      </c>
      <c r="I19" s="70">
        <f t="shared" si="1"/>
        <v>0.35124583260221093</v>
      </c>
      <c r="J19" s="69">
        <v>248</v>
      </c>
      <c r="K19" s="70">
        <f t="shared" si="2"/>
        <v>1.0879101596771364E-2</v>
      </c>
      <c r="L19" s="70">
        <f t="shared" si="3"/>
        <v>3.0972898713625577E-2</v>
      </c>
      <c r="M19" s="69">
        <v>9</v>
      </c>
      <c r="N19" s="70">
        <f t="shared" si="4"/>
        <v>3.9480610633444465E-4</v>
      </c>
      <c r="O19" s="67" t="s">
        <v>16</v>
      </c>
    </row>
    <row r="20" spans="1:15" s="1" customFormat="1" x14ac:dyDescent="0.3">
      <c r="A20" s="76" t="s">
        <v>17</v>
      </c>
      <c r="B20" s="67" t="s">
        <v>18</v>
      </c>
      <c r="C20" s="67" t="s">
        <v>16</v>
      </c>
      <c r="D20" s="68">
        <v>44957</v>
      </c>
      <c r="E20" s="69">
        <v>421318</v>
      </c>
      <c r="F20" s="70">
        <f t="shared" si="0"/>
        <v>0.99821749842161978</v>
      </c>
      <c r="G20" s="69">
        <v>751</v>
      </c>
      <c r="H20" s="69">
        <v>163380</v>
      </c>
      <c r="I20" s="70">
        <f t="shared" si="1"/>
        <v>0.38778309970141317</v>
      </c>
      <c r="J20" s="69">
        <v>2326</v>
      </c>
      <c r="K20" s="70">
        <f t="shared" si="2"/>
        <v>5.520770534370713E-3</v>
      </c>
      <c r="L20" s="70">
        <f t="shared" si="3"/>
        <v>1.4236748684049455E-2</v>
      </c>
      <c r="M20" s="69">
        <v>595</v>
      </c>
      <c r="N20" s="70">
        <f t="shared" si="4"/>
        <v>1.4122349389297396E-3</v>
      </c>
      <c r="O20" s="67" t="s">
        <v>16</v>
      </c>
    </row>
    <row r="21" spans="1:15" s="1" customFormat="1" x14ac:dyDescent="0.3">
      <c r="A21" s="76" t="s">
        <v>17</v>
      </c>
      <c r="B21" s="67" t="s">
        <v>15</v>
      </c>
      <c r="C21" s="67" t="s">
        <v>16</v>
      </c>
      <c r="D21" s="68">
        <v>44957</v>
      </c>
      <c r="E21" s="69">
        <v>210778</v>
      </c>
      <c r="F21" s="70">
        <f t="shared" si="0"/>
        <v>0.99817817798821507</v>
      </c>
      <c r="G21" s="69">
        <v>384</v>
      </c>
      <c r="H21" s="69">
        <v>80412</v>
      </c>
      <c r="I21" s="70">
        <f t="shared" si="1"/>
        <v>0.38150091565533406</v>
      </c>
      <c r="J21" s="69">
        <v>1824</v>
      </c>
      <c r="K21" s="70">
        <f t="shared" si="2"/>
        <v>8.6536545559783278E-3</v>
      </c>
      <c r="L21" s="70">
        <f t="shared" si="3"/>
        <v>2.2683181614684376E-2</v>
      </c>
      <c r="M21" s="69">
        <v>148</v>
      </c>
      <c r="N21" s="70">
        <f t="shared" si="4"/>
        <v>7.0216056704210117E-4</v>
      </c>
      <c r="O21" s="67" t="s">
        <v>16</v>
      </c>
    </row>
    <row r="22" spans="1:15" s="1" customFormat="1" x14ac:dyDescent="0.3">
      <c r="A22" s="85" t="s">
        <v>17</v>
      </c>
      <c r="B22" s="86" t="s">
        <v>18</v>
      </c>
      <c r="C22" s="86" t="s">
        <v>16</v>
      </c>
      <c r="D22" s="87">
        <v>44964</v>
      </c>
      <c r="E22" s="88">
        <v>423191</v>
      </c>
      <c r="F22" s="89">
        <f t="shared" si="0"/>
        <v>0.99862000845953713</v>
      </c>
      <c r="G22" s="88">
        <v>584</v>
      </c>
      <c r="H22" s="88">
        <v>165354</v>
      </c>
      <c r="I22" s="89">
        <f t="shared" si="1"/>
        <v>0.39073137188645318</v>
      </c>
      <c r="J22" s="88">
        <v>2220</v>
      </c>
      <c r="K22" s="89">
        <f t="shared" si="2"/>
        <v>5.2458582531292016E-3</v>
      </c>
      <c r="L22" s="89">
        <f t="shared" si="3"/>
        <v>1.3425741137196559E-2</v>
      </c>
      <c r="M22" s="88">
        <v>569</v>
      </c>
      <c r="N22" s="89">
        <f t="shared" si="4"/>
        <v>1.3445465522659982E-3</v>
      </c>
      <c r="O22" s="86" t="s">
        <v>16</v>
      </c>
    </row>
    <row r="23" spans="1:15" s="1" customFormat="1" x14ac:dyDescent="0.3">
      <c r="A23" s="85" t="s">
        <v>17</v>
      </c>
      <c r="B23" s="86" t="s">
        <v>15</v>
      </c>
      <c r="C23" s="86" t="s">
        <v>16</v>
      </c>
      <c r="D23" s="87">
        <v>44964</v>
      </c>
      <c r="E23" s="88">
        <v>211898</v>
      </c>
      <c r="F23" s="89">
        <f t="shared" si="0"/>
        <v>0.99800375652436546</v>
      </c>
      <c r="G23" s="88">
        <v>423</v>
      </c>
      <c r="H23" s="88">
        <v>77828</v>
      </c>
      <c r="I23" s="89">
        <f t="shared" si="1"/>
        <v>0.36728992250988685</v>
      </c>
      <c r="J23" s="88">
        <v>1608</v>
      </c>
      <c r="K23" s="89">
        <f t="shared" si="2"/>
        <v>7.5885567584403815E-3</v>
      </c>
      <c r="L23" s="89">
        <f t="shared" si="3"/>
        <v>2.0660944647170686E-2</v>
      </c>
      <c r="M23" s="88">
        <v>126</v>
      </c>
      <c r="N23" s="89">
        <f t="shared" si="4"/>
        <v>5.946257161464478E-4</v>
      </c>
      <c r="O23" s="86" t="s">
        <v>16</v>
      </c>
    </row>
    <row r="24" spans="1:15" s="1" customFormat="1" x14ac:dyDescent="0.3">
      <c r="A24" s="85" t="s">
        <v>29</v>
      </c>
      <c r="B24" s="86" t="s">
        <v>18</v>
      </c>
      <c r="C24" s="86" t="s">
        <v>16</v>
      </c>
      <c r="D24" s="87">
        <v>44964</v>
      </c>
      <c r="E24" s="88">
        <v>25117</v>
      </c>
      <c r="F24" s="89">
        <f t="shared" si="0"/>
        <v>0.99940279491977546</v>
      </c>
      <c r="G24" s="88">
        <v>15</v>
      </c>
      <c r="H24" s="88">
        <v>9540</v>
      </c>
      <c r="I24" s="89">
        <f t="shared" si="1"/>
        <v>0.37982243102281321</v>
      </c>
      <c r="J24" s="88">
        <v>213</v>
      </c>
      <c r="K24" s="89">
        <f t="shared" si="2"/>
        <v>8.4803121391885967E-3</v>
      </c>
      <c r="L24" s="89">
        <f t="shared" si="3"/>
        <v>2.2327044025157231E-2</v>
      </c>
      <c r="M24" s="88">
        <v>26</v>
      </c>
      <c r="N24" s="89">
        <f t="shared" si="4"/>
        <v>1.0351554723892185E-3</v>
      </c>
      <c r="O24" s="86" t="s">
        <v>16</v>
      </c>
    </row>
    <row r="25" spans="1:15" s="1" customFormat="1" x14ac:dyDescent="0.3">
      <c r="A25" s="85" t="s">
        <v>29</v>
      </c>
      <c r="B25" s="86" t="s">
        <v>15</v>
      </c>
      <c r="C25" s="86" t="s">
        <v>16</v>
      </c>
      <c r="D25" s="87">
        <v>44964</v>
      </c>
      <c r="E25" s="88">
        <v>22832</v>
      </c>
      <c r="F25" s="89">
        <f t="shared" si="0"/>
        <v>0.99938682550805891</v>
      </c>
      <c r="G25" s="88">
        <v>14</v>
      </c>
      <c r="H25" s="88">
        <v>8237</v>
      </c>
      <c r="I25" s="89">
        <f t="shared" si="1"/>
        <v>0.3607655921513665</v>
      </c>
      <c r="J25" s="88">
        <v>235</v>
      </c>
      <c r="K25" s="89">
        <f t="shared" si="2"/>
        <v>1.0292571829011913E-2</v>
      </c>
      <c r="L25" s="89">
        <f t="shared" si="3"/>
        <v>2.8529804540488042E-2</v>
      </c>
      <c r="M25" s="88">
        <v>14</v>
      </c>
      <c r="N25" s="89">
        <f t="shared" si="4"/>
        <v>6.1317449194113526E-4</v>
      </c>
      <c r="O25" s="86" t="s">
        <v>16</v>
      </c>
    </row>
    <row r="26" spans="1:15" s="1" customFormat="1" x14ac:dyDescent="0.3">
      <c r="A26" s="66" t="s">
        <v>29</v>
      </c>
      <c r="B26" s="67" t="s">
        <v>15</v>
      </c>
      <c r="C26" s="67" t="s">
        <v>16</v>
      </c>
      <c r="D26" s="68">
        <v>44971</v>
      </c>
      <c r="E26" s="69">
        <v>22832</v>
      </c>
      <c r="F26" s="70">
        <f t="shared" si="0"/>
        <v>0.99899264190609671</v>
      </c>
      <c r="G26" s="69">
        <v>23</v>
      </c>
      <c r="H26" s="69">
        <v>7975</v>
      </c>
      <c r="I26" s="70">
        <f t="shared" si="1"/>
        <v>0.34929046951646814</v>
      </c>
      <c r="J26" s="69">
        <v>188</v>
      </c>
      <c r="K26" s="70">
        <f t="shared" si="2"/>
        <v>8.234057463209531E-3</v>
      </c>
      <c r="L26" s="70">
        <f t="shared" si="3"/>
        <v>2.3573667711598745E-2</v>
      </c>
      <c r="M26" s="69">
        <v>20</v>
      </c>
      <c r="N26" s="70">
        <f t="shared" si="4"/>
        <v>8.7596355991590748E-4</v>
      </c>
      <c r="O26" s="67" t="s">
        <v>16</v>
      </c>
    </row>
    <row r="27" spans="1:15" s="1" customFormat="1" x14ac:dyDescent="0.3">
      <c r="A27" s="66" t="s">
        <v>29</v>
      </c>
      <c r="B27" s="67" t="s">
        <v>18</v>
      </c>
      <c r="C27" s="67" t="s">
        <v>16</v>
      </c>
      <c r="D27" s="68">
        <v>44971</v>
      </c>
      <c r="E27" s="69">
        <v>25101</v>
      </c>
      <c r="F27" s="70">
        <f t="shared" si="0"/>
        <v>0.99916337994502213</v>
      </c>
      <c r="G27" s="69">
        <v>21</v>
      </c>
      <c r="H27" s="69">
        <v>9207</v>
      </c>
      <c r="I27" s="70">
        <f t="shared" si="1"/>
        <v>0.36679813553244889</v>
      </c>
      <c r="J27" s="69">
        <v>143</v>
      </c>
      <c r="K27" s="70">
        <f t="shared" si="2"/>
        <v>5.696984183897056E-3</v>
      </c>
      <c r="L27" s="70">
        <f t="shared" si="3"/>
        <v>1.5531660692951015E-2</v>
      </c>
      <c r="M27" s="69">
        <v>35</v>
      </c>
      <c r="N27" s="70">
        <f t="shared" si="4"/>
        <v>1.3943667582964822E-3</v>
      </c>
      <c r="O27" s="67" t="s">
        <v>16</v>
      </c>
    </row>
    <row r="28" spans="1:15" s="1" customFormat="1" x14ac:dyDescent="0.3">
      <c r="A28" s="66" t="s">
        <v>17</v>
      </c>
      <c r="B28" s="67" t="s">
        <v>15</v>
      </c>
      <c r="C28" s="67" t="s">
        <v>16</v>
      </c>
      <c r="D28" s="68">
        <v>44971</v>
      </c>
      <c r="E28" s="69">
        <v>213217</v>
      </c>
      <c r="F28" s="70">
        <f t="shared" si="0"/>
        <v>0.99815211732647957</v>
      </c>
      <c r="G28" s="69">
        <v>394</v>
      </c>
      <c r="H28" s="69">
        <v>76129</v>
      </c>
      <c r="I28" s="70">
        <f t="shared" si="1"/>
        <v>0.3570493909960275</v>
      </c>
      <c r="J28" s="69">
        <v>1420</v>
      </c>
      <c r="K28" s="70">
        <f t="shared" si="2"/>
        <v>6.6598817167486642E-3</v>
      </c>
      <c r="L28" s="70">
        <f t="shared" si="3"/>
        <v>1.8652550276504355E-2</v>
      </c>
      <c r="M28" s="69">
        <v>115</v>
      </c>
      <c r="N28" s="70">
        <f t="shared" si="4"/>
        <v>5.3935661790570171E-4</v>
      </c>
      <c r="O28" s="67" t="s">
        <v>16</v>
      </c>
    </row>
    <row r="29" spans="1:15" s="1" customFormat="1" x14ac:dyDescent="0.3">
      <c r="A29" s="66" t="s">
        <v>17</v>
      </c>
      <c r="B29" s="67" t="s">
        <v>18</v>
      </c>
      <c r="C29" s="67" t="s">
        <v>16</v>
      </c>
      <c r="D29" s="68">
        <v>44971</v>
      </c>
      <c r="E29" s="69">
        <v>425181</v>
      </c>
      <c r="F29" s="70">
        <f t="shared" si="0"/>
        <v>0.99863822701390703</v>
      </c>
      <c r="G29" s="69">
        <v>579</v>
      </c>
      <c r="H29" s="69">
        <v>163002</v>
      </c>
      <c r="I29" s="70">
        <f t="shared" si="1"/>
        <v>0.38337084676878785</v>
      </c>
      <c r="J29" s="69">
        <v>2075</v>
      </c>
      <c r="K29" s="70">
        <f t="shared" si="2"/>
        <v>4.8802745183815837E-3</v>
      </c>
      <c r="L29" s="70">
        <f t="shared" si="3"/>
        <v>1.2729905154537981E-2</v>
      </c>
      <c r="M29" s="69">
        <v>533</v>
      </c>
      <c r="N29" s="70">
        <f t="shared" si="4"/>
        <v>1.2535837678541609E-3</v>
      </c>
      <c r="O29" s="67" t="s">
        <v>16</v>
      </c>
    </row>
    <row r="30" spans="1:15" s="1" customFormat="1" x14ac:dyDescent="0.3">
      <c r="A30" s="66" t="s">
        <v>29</v>
      </c>
      <c r="B30" s="67" t="s">
        <v>15</v>
      </c>
      <c r="C30" s="67" t="s">
        <v>16</v>
      </c>
      <c r="D30" s="68">
        <v>44978</v>
      </c>
      <c r="E30" s="69">
        <v>22921</v>
      </c>
      <c r="F30" s="70">
        <f t="shared" si="0"/>
        <v>0.99904018149295404</v>
      </c>
      <c r="G30" s="69">
        <v>22</v>
      </c>
      <c r="H30" s="69">
        <v>7754</v>
      </c>
      <c r="I30" s="70">
        <f t="shared" si="1"/>
        <v>0.33829239561973734</v>
      </c>
      <c r="J30" s="69">
        <v>186</v>
      </c>
      <c r="K30" s="70">
        <f t="shared" si="2"/>
        <v>8.1148291959338599E-3</v>
      </c>
      <c r="L30" s="70">
        <f t="shared" si="3"/>
        <v>2.3987619293267991E-2</v>
      </c>
      <c r="M30" s="69">
        <v>15</v>
      </c>
      <c r="N30" s="70">
        <f t="shared" si="4"/>
        <v>6.5442170934950478E-4</v>
      </c>
      <c r="O30" s="67" t="s">
        <v>16</v>
      </c>
    </row>
    <row r="31" spans="1:15" s="1" customFormat="1" x14ac:dyDescent="0.3">
      <c r="A31" s="66" t="s">
        <v>29</v>
      </c>
      <c r="B31" s="67" t="s">
        <v>18</v>
      </c>
      <c r="C31" s="67" t="s">
        <v>16</v>
      </c>
      <c r="D31" s="68">
        <v>44978</v>
      </c>
      <c r="E31" s="69">
        <v>25120</v>
      </c>
      <c r="F31" s="70">
        <f t="shared" si="0"/>
        <v>0.99924363057324839</v>
      </c>
      <c r="G31" s="69">
        <v>19</v>
      </c>
      <c r="H31" s="69">
        <v>8974</v>
      </c>
      <c r="I31" s="70">
        <f t="shared" si="1"/>
        <v>0.35724522292993632</v>
      </c>
      <c r="J31" s="69">
        <v>176</v>
      </c>
      <c r="K31" s="70">
        <f t="shared" si="2"/>
        <v>7.0063694267515925E-3</v>
      </c>
      <c r="L31" s="70">
        <f t="shared" si="3"/>
        <v>1.9612213059950971E-2</v>
      </c>
      <c r="M31" s="69">
        <v>49</v>
      </c>
      <c r="N31" s="70">
        <f t="shared" si="4"/>
        <v>1.9506369426751592E-3</v>
      </c>
      <c r="O31" s="67" t="s">
        <v>16</v>
      </c>
    </row>
    <row r="32" spans="1:15" s="1" customFormat="1" x14ac:dyDescent="0.3">
      <c r="A32" s="66" t="s">
        <v>17</v>
      </c>
      <c r="B32" s="67" t="s">
        <v>15</v>
      </c>
      <c r="C32" s="67" t="s">
        <v>16</v>
      </c>
      <c r="D32" s="68">
        <v>44978</v>
      </c>
      <c r="E32" s="69">
        <v>214637</v>
      </c>
      <c r="F32" s="70">
        <f t="shared" si="0"/>
        <v>0.998243546080126</v>
      </c>
      <c r="G32" s="69">
        <v>377</v>
      </c>
      <c r="H32" s="69">
        <v>91847</v>
      </c>
      <c r="I32" s="70">
        <f t="shared" si="1"/>
        <v>0.42791783336517003</v>
      </c>
      <c r="J32" s="69">
        <v>1644</v>
      </c>
      <c r="K32" s="70">
        <f t="shared" si="2"/>
        <v>7.6594436187609775E-3</v>
      </c>
      <c r="L32" s="70">
        <f t="shared" si="3"/>
        <v>1.7899332585713197E-2</v>
      </c>
      <c r="M32" s="69">
        <v>174</v>
      </c>
      <c r="N32" s="70">
        <f t="shared" si="4"/>
        <v>8.1067103994185527E-4</v>
      </c>
      <c r="O32" s="67" t="s">
        <v>16</v>
      </c>
    </row>
    <row r="33" spans="1:15" s="1" customFormat="1" x14ac:dyDescent="0.3">
      <c r="A33" s="66" t="s">
        <v>17</v>
      </c>
      <c r="B33" s="67" t="s">
        <v>18</v>
      </c>
      <c r="C33" s="67" t="s">
        <v>16</v>
      </c>
      <c r="D33" s="68">
        <v>44978</v>
      </c>
      <c r="E33" s="69">
        <v>427916</v>
      </c>
      <c r="F33" s="70">
        <f t="shared" si="0"/>
        <v>0.99860019256115684</v>
      </c>
      <c r="G33" s="69">
        <v>599</v>
      </c>
      <c r="H33" s="69">
        <v>163443</v>
      </c>
      <c r="I33" s="70">
        <f t="shared" si="1"/>
        <v>0.38195113059572439</v>
      </c>
      <c r="J33" s="69">
        <v>1907</v>
      </c>
      <c r="K33" s="70">
        <f t="shared" si="2"/>
        <v>4.4564821133119582E-3</v>
      </c>
      <c r="L33" s="70">
        <f t="shared" si="3"/>
        <v>1.1667676192923526E-2</v>
      </c>
      <c r="M33" s="69">
        <v>642</v>
      </c>
      <c r="N33" s="70">
        <f t="shared" si="4"/>
        <v>1.5002944503126781E-3</v>
      </c>
      <c r="O33" s="67" t="s">
        <v>16</v>
      </c>
    </row>
    <row r="34" spans="1:15" s="1" customFormat="1" x14ac:dyDescent="0.3">
      <c r="A34" s="66" t="s">
        <v>29</v>
      </c>
      <c r="B34" s="67" t="s">
        <v>15</v>
      </c>
      <c r="C34" s="67" t="s">
        <v>16</v>
      </c>
      <c r="D34" s="68">
        <v>44985</v>
      </c>
      <c r="E34" s="69">
        <v>22912</v>
      </c>
      <c r="F34" s="70">
        <f t="shared" si="0"/>
        <v>0.99903980446927376</v>
      </c>
      <c r="G34" s="69">
        <v>22</v>
      </c>
      <c r="H34" s="69">
        <v>8082</v>
      </c>
      <c r="I34" s="70">
        <f t="shared" si="1"/>
        <v>0.35274092178770949</v>
      </c>
      <c r="J34" s="69">
        <v>227</v>
      </c>
      <c r="K34" s="70">
        <f t="shared" si="2"/>
        <v>9.9074720670391057E-3</v>
      </c>
      <c r="L34" s="70">
        <f t="shared" si="3"/>
        <v>2.8087107151695125E-2</v>
      </c>
      <c r="M34" s="69">
        <v>16</v>
      </c>
      <c r="N34" s="70">
        <f t="shared" si="4"/>
        <v>6.9832402234636874E-4</v>
      </c>
      <c r="O34" s="67" t="s">
        <v>16</v>
      </c>
    </row>
    <row r="35" spans="1:15" s="1" customFormat="1" x14ac:dyDescent="0.3">
      <c r="A35" s="66" t="s">
        <v>29</v>
      </c>
      <c r="B35" s="67" t="s">
        <v>18</v>
      </c>
      <c r="C35" s="67" t="s">
        <v>16</v>
      </c>
      <c r="D35" s="68">
        <v>44985</v>
      </c>
      <c r="E35" s="69">
        <v>25210</v>
      </c>
      <c r="F35" s="70">
        <f t="shared" si="0"/>
        <v>0.99960333201110674</v>
      </c>
      <c r="G35" s="69">
        <v>10</v>
      </c>
      <c r="H35" s="69">
        <v>9508</v>
      </c>
      <c r="I35" s="70">
        <f t="shared" si="1"/>
        <v>0.37715192383974611</v>
      </c>
      <c r="J35" s="69">
        <v>227</v>
      </c>
      <c r="K35" s="70">
        <f t="shared" si="2"/>
        <v>9.0043633478778268E-3</v>
      </c>
      <c r="L35" s="70">
        <f t="shared" si="3"/>
        <v>2.3874631888935634E-2</v>
      </c>
      <c r="M35" s="69">
        <v>40</v>
      </c>
      <c r="N35" s="70">
        <f t="shared" si="4"/>
        <v>1.5866719555731853E-3</v>
      </c>
      <c r="O35" s="67" t="s">
        <v>16</v>
      </c>
    </row>
    <row r="36" spans="1:15" s="1" customFormat="1" x14ac:dyDescent="0.3">
      <c r="A36" s="66" t="s">
        <v>17</v>
      </c>
      <c r="B36" s="67" t="s">
        <v>15</v>
      </c>
      <c r="C36" s="67" t="s">
        <v>16</v>
      </c>
      <c r="D36" s="68">
        <v>44985</v>
      </c>
      <c r="E36" s="69">
        <v>215653</v>
      </c>
      <c r="F36" s="70">
        <f t="shared" si="0"/>
        <v>0.99825645829179288</v>
      </c>
      <c r="G36" s="69">
        <v>376</v>
      </c>
      <c r="H36" s="69">
        <v>79666</v>
      </c>
      <c r="I36" s="70">
        <f t="shared" si="1"/>
        <v>0.36941753650540454</v>
      </c>
      <c r="J36" s="69">
        <v>2298</v>
      </c>
      <c r="K36" s="70">
        <f t="shared" si="2"/>
        <v>1.0656007567712946E-2</v>
      </c>
      <c r="L36" s="70">
        <f t="shared" si="3"/>
        <v>2.8845429668867523E-2</v>
      </c>
      <c r="M36" s="69">
        <v>113</v>
      </c>
      <c r="N36" s="70">
        <f t="shared" si="4"/>
        <v>5.2398992826438765E-4</v>
      </c>
      <c r="O36" s="67" t="s">
        <v>16</v>
      </c>
    </row>
    <row r="37" spans="1:15" s="1" customFormat="1" x14ac:dyDescent="0.3">
      <c r="A37" s="66" t="s">
        <v>17</v>
      </c>
      <c r="B37" s="67" t="s">
        <v>18</v>
      </c>
      <c r="C37" s="67" t="s">
        <v>16</v>
      </c>
      <c r="D37" s="68">
        <v>44985</v>
      </c>
      <c r="E37" s="69">
        <v>429428</v>
      </c>
      <c r="F37" s="70">
        <f t="shared" si="0"/>
        <v>0.99867731028251538</v>
      </c>
      <c r="G37" s="69">
        <v>568</v>
      </c>
      <c r="H37" s="69">
        <v>172694</v>
      </c>
      <c r="I37" s="70">
        <f t="shared" si="1"/>
        <v>0.40214890505509654</v>
      </c>
      <c r="J37" s="69">
        <v>2929</v>
      </c>
      <c r="K37" s="70">
        <f t="shared" si="2"/>
        <v>6.820701025550267E-3</v>
      </c>
      <c r="L37" s="70">
        <f t="shared" si="3"/>
        <v>1.6960635575063408E-2</v>
      </c>
      <c r="M37" s="69">
        <v>423</v>
      </c>
      <c r="N37" s="70">
        <f t="shared" si="4"/>
        <v>9.8503125087325461E-4</v>
      </c>
      <c r="O37" s="67" t="s">
        <v>16</v>
      </c>
    </row>
    <row r="38" spans="1:15" s="1" customFormat="1" x14ac:dyDescent="0.3">
      <c r="A38" s="66" t="s">
        <v>29</v>
      </c>
      <c r="B38" s="67" t="s">
        <v>15</v>
      </c>
      <c r="C38" s="67" t="s">
        <v>16</v>
      </c>
      <c r="D38" s="68">
        <v>44992</v>
      </c>
      <c r="E38" s="69">
        <v>23018</v>
      </c>
      <c r="F38" s="70">
        <f t="shared" si="0"/>
        <v>0.99878356069163265</v>
      </c>
      <c r="G38" s="69">
        <v>28</v>
      </c>
      <c r="H38" s="69">
        <v>7984</v>
      </c>
      <c r="I38" s="70">
        <f t="shared" si="1"/>
        <v>0.34685897992875142</v>
      </c>
      <c r="J38" s="69">
        <v>203</v>
      </c>
      <c r="K38" s="70">
        <f t="shared" si="2"/>
        <v>8.8191849856633937E-3</v>
      </c>
      <c r="L38" s="70">
        <f t="shared" si="3"/>
        <v>2.5425851703406815E-2</v>
      </c>
      <c r="M38" s="69">
        <v>4</v>
      </c>
      <c r="N38" s="70">
        <f t="shared" si="4"/>
        <v>1.7377704405248067E-4</v>
      </c>
      <c r="O38" s="67" t="s">
        <v>16</v>
      </c>
    </row>
    <row r="39" spans="1:15" s="1" customFormat="1" x14ac:dyDescent="0.3">
      <c r="A39" s="66" t="s">
        <v>29</v>
      </c>
      <c r="B39" s="67" t="s">
        <v>18</v>
      </c>
      <c r="C39" s="67" t="s">
        <v>16</v>
      </c>
      <c r="D39" s="68">
        <v>44992</v>
      </c>
      <c r="E39" s="69">
        <v>25390</v>
      </c>
      <c r="F39" s="70">
        <f t="shared" si="0"/>
        <v>0.99944860181173689</v>
      </c>
      <c r="G39" s="69">
        <v>14</v>
      </c>
      <c r="H39" s="69">
        <v>9551</v>
      </c>
      <c r="I39" s="70">
        <f t="shared" si="1"/>
        <v>0.37617172115005909</v>
      </c>
      <c r="J39" s="69">
        <v>201</v>
      </c>
      <c r="K39" s="70">
        <f t="shared" si="2"/>
        <v>7.9165025600630174E-3</v>
      </c>
      <c r="L39" s="70">
        <f t="shared" si="3"/>
        <v>2.1044916762642654E-2</v>
      </c>
      <c r="M39" s="69">
        <v>51</v>
      </c>
      <c r="N39" s="70">
        <f t="shared" si="4"/>
        <v>2.0086648286727058E-3</v>
      </c>
      <c r="O39" s="67" t="s">
        <v>16</v>
      </c>
    </row>
    <row r="40" spans="1:15" s="1" customFormat="1" x14ac:dyDescent="0.3">
      <c r="A40" s="66" t="s">
        <v>17</v>
      </c>
      <c r="B40" s="67" t="s">
        <v>15</v>
      </c>
      <c r="C40" s="67" t="s">
        <v>16</v>
      </c>
      <c r="D40" s="68">
        <v>44992</v>
      </c>
      <c r="E40" s="69">
        <v>216829</v>
      </c>
      <c r="F40" s="70">
        <f t="shared" si="0"/>
        <v>0.99833048162376803</v>
      </c>
      <c r="G40" s="69">
        <v>362</v>
      </c>
      <c r="H40" s="69">
        <v>96632</v>
      </c>
      <c r="I40" s="70">
        <f t="shared" si="1"/>
        <v>0.44565994401117931</v>
      </c>
      <c r="J40" s="69">
        <v>2035</v>
      </c>
      <c r="K40" s="70">
        <f t="shared" si="2"/>
        <v>9.3852759547846457E-3</v>
      </c>
      <c r="L40" s="70">
        <f t="shared" si="3"/>
        <v>2.1059276430168059E-2</v>
      </c>
      <c r="M40" s="69">
        <v>148</v>
      </c>
      <c r="N40" s="70">
        <f t="shared" si="4"/>
        <v>6.825655239843379E-4</v>
      </c>
      <c r="O40" s="67" t="s">
        <v>16</v>
      </c>
    </row>
    <row r="41" spans="1:15" s="1" customFormat="1" x14ac:dyDescent="0.3">
      <c r="A41" s="66" t="s">
        <v>17</v>
      </c>
      <c r="B41" s="67" t="s">
        <v>18</v>
      </c>
      <c r="C41" s="67" t="s">
        <v>16</v>
      </c>
      <c r="D41" s="68">
        <v>44992</v>
      </c>
      <c r="E41" s="69">
        <v>430300</v>
      </c>
      <c r="F41" s="70">
        <f t="shared" si="0"/>
        <v>0.99863815942365797</v>
      </c>
      <c r="G41" s="69">
        <v>586</v>
      </c>
      <c r="H41" s="69">
        <v>199499</v>
      </c>
      <c r="I41" s="70">
        <f t="shared" si="1"/>
        <v>0.46362770160353239</v>
      </c>
      <c r="J41" s="69">
        <v>3207</v>
      </c>
      <c r="K41" s="70">
        <f t="shared" si="2"/>
        <v>7.4529398094352779E-3</v>
      </c>
      <c r="L41" s="70">
        <f t="shared" si="3"/>
        <v>1.6075268547712018E-2</v>
      </c>
      <c r="M41" s="69">
        <v>587</v>
      </c>
      <c r="N41" s="70">
        <f t="shared" si="4"/>
        <v>1.3641645363699744E-3</v>
      </c>
      <c r="O41" s="67" t="s">
        <v>16</v>
      </c>
    </row>
    <row r="42" spans="1:15" s="1" customFormat="1" x14ac:dyDescent="0.3">
      <c r="A42" s="66" t="s">
        <v>29</v>
      </c>
      <c r="B42" s="67" t="s">
        <v>15</v>
      </c>
      <c r="C42" s="67" t="s">
        <v>16</v>
      </c>
      <c r="D42" s="68">
        <v>44999</v>
      </c>
      <c r="E42" s="69">
        <v>23049</v>
      </c>
      <c r="F42" s="70">
        <f t="shared" si="0"/>
        <v>0.99882858258492779</v>
      </c>
      <c r="G42" s="69">
        <v>27</v>
      </c>
      <c r="H42" s="69">
        <v>7939</v>
      </c>
      <c r="I42" s="70">
        <f t="shared" si="1"/>
        <v>0.34444010586142565</v>
      </c>
      <c r="J42" s="69">
        <v>199</v>
      </c>
      <c r="K42" s="70">
        <f t="shared" si="2"/>
        <v>8.6337802073842684E-3</v>
      </c>
      <c r="L42" s="70">
        <f t="shared" si="3"/>
        <v>2.5066129235420079E-2</v>
      </c>
      <c r="M42" s="69">
        <v>2</v>
      </c>
      <c r="N42" s="70">
        <f t="shared" si="4"/>
        <v>8.6771660375721283E-5</v>
      </c>
      <c r="O42" s="67" t="s">
        <v>16</v>
      </c>
    </row>
    <row r="43" spans="1:15" s="1" customFormat="1" x14ac:dyDescent="0.3">
      <c r="A43" s="66" t="s">
        <v>29</v>
      </c>
      <c r="B43" s="67" t="s">
        <v>18</v>
      </c>
      <c r="C43" s="67" t="s">
        <v>16</v>
      </c>
      <c r="D43" s="68">
        <v>44999</v>
      </c>
      <c r="E43" s="69">
        <v>25583</v>
      </c>
      <c r="F43" s="70">
        <f t="shared" si="0"/>
        <v>0.9994136731423211</v>
      </c>
      <c r="G43" s="69">
        <v>15</v>
      </c>
      <c r="H43" s="69">
        <v>9323</v>
      </c>
      <c r="I43" s="70">
        <f t="shared" si="1"/>
        <v>0.36442168627604271</v>
      </c>
      <c r="J43" s="69">
        <v>214</v>
      </c>
      <c r="K43" s="70">
        <f t="shared" si="2"/>
        <v>8.3649298362193647E-3</v>
      </c>
      <c r="L43" s="70">
        <f t="shared" si="3"/>
        <v>2.2953984768851229E-2</v>
      </c>
      <c r="M43" s="69">
        <v>14</v>
      </c>
      <c r="N43" s="70">
        <f t="shared" si="4"/>
        <v>5.4723840050033225E-4</v>
      </c>
      <c r="O43" s="67" t="s">
        <v>16</v>
      </c>
    </row>
    <row r="44" spans="1:15" s="1" customFormat="1" x14ac:dyDescent="0.3">
      <c r="A44" s="66" t="s">
        <v>17</v>
      </c>
      <c r="B44" s="67" t="s">
        <v>15</v>
      </c>
      <c r="C44" s="67" t="s">
        <v>16</v>
      </c>
      <c r="D44" s="68">
        <v>44999</v>
      </c>
      <c r="E44" s="69">
        <v>217659</v>
      </c>
      <c r="F44" s="70">
        <f t="shared" si="0"/>
        <v>0.99831387629273316</v>
      </c>
      <c r="G44" s="69">
        <v>367</v>
      </c>
      <c r="H44" s="69">
        <v>79540</v>
      </c>
      <c r="I44" s="70">
        <f t="shared" si="1"/>
        <v>0.36543400456677649</v>
      </c>
      <c r="J44" s="69">
        <v>1752</v>
      </c>
      <c r="K44" s="70">
        <f t="shared" si="2"/>
        <v>8.0492881066255018E-3</v>
      </c>
      <c r="L44" s="70">
        <f t="shared" si="3"/>
        <v>2.2026653256223282E-2</v>
      </c>
      <c r="M44" s="69">
        <v>56</v>
      </c>
      <c r="N44" s="70">
        <f t="shared" si="4"/>
        <v>2.5728318149031282E-4</v>
      </c>
      <c r="O44" s="67" t="s">
        <v>16</v>
      </c>
    </row>
    <row r="45" spans="1:15" s="1" customFormat="1" x14ac:dyDescent="0.3">
      <c r="A45" s="66" t="s">
        <v>17</v>
      </c>
      <c r="B45" s="67" t="s">
        <v>18</v>
      </c>
      <c r="C45" s="67" t="s">
        <v>16</v>
      </c>
      <c r="D45" s="68">
        <v>44999</v>
      </c>
      <c r="E45" s="69">
        <v>431945</v>
      </c>
      <c r="F45" s="70">
        <f t="shared" si="0"/>
        <v>0.99856463207121282</v>
      </c>
      <c r="G45" s="69">
        <v>620</v>
      </c>
      <c r="H45" s="69">
        <v>175694</v>
      </c>
      <c r="I45" s="70">
        <f t="shared" si="1"/>
        <v>0.40675085948442508</v>
      </c>
      <c r="J45" s="69">
        <v>2966</v>
      </c>
      <c r="K45" s="70">
        <f t="shared" si="2"/>
        <v>6.8666149625531032E-3</v>
      </c>
      <c r="L45" s="70">
        <f t="shared" si="3"/>
        <v>1.6881623732170704E-2</v>
      </c>
      <c r="M45" s="69">
        <v>269</v>
      </c>
      <c r="N45" s="70">
        <f t="shared" si="4"/>
        <v>6.227644723286529E-4</v>
      </c>
      <c r="O45" s="67" t="s">
        <v>16</v>
      </c>
    </row>
    <row r="46" spans="1:15" s="1" customFormat="1" x14ac:dyDescent="0.3">
      <c r="A46" s="66" t="s">
        <v>29</v>
      </c>
      <c r="B46" s="67" t="s">
        <v>15</v>
      </c>
      <c r="C46" s="67" t="s">
        <v>16</v>
      </c>
      <c r="D46" s="68">
        <v>45006</v>
      </c>
      <c r="E46" s="69">
        <v>23188</v>
      </c>
      <c r="F46" s="70">
        <f>(E46-G46)/E46</f>
        <v>0.99844747283077451</v>
      </c>
      <c r="G46" s="69">
        <v>36</v>
      </c>
      <c r="H46" s="69">
        <v>7985</v>
      </c>
      <c r="I46" s="70">
        <f>H46/E46</f>
        <v>0.34435915128514749</v>
      </c>
      <c r="J46" s="69">
        <v>245</v>
      </c>
      <c r="K46" s="70">
        <f>J46/E46</f>
        <v>1.056580990167328E-2</v>
      </c>
      <c r="L46" s="70">
        <f>J46/H46</f>
        <v>3.0682529743268627E-2</v>
      </c>
      <c r="M46" s="69">
        <v>12</v>
      </c>
      <c r="N46" s="70">
        <f>M46/E46</f>
        <v>5.1750905640848713E-4</v>
      </c>
      <c r="O46" s="67" t="s">
        <v>16</v>
      </c>
    </row>
    <row r="47" spans="1:15" s="1" customFormat="1" x14ac:dyDescent="0.3">
      <c r="A47" s="66" t="s">
        <v>29</v>
      </c>
      <c r="B47" s="67" t="s">
        <v>18</v>
      </c>
      <c r="C47" s="67" t="s">
        <v>16</v>
      </c>
      <c r="D47" s="68">
        <v>45006</v>
      </c>
      <c r="E47" s="69">
        <v>25573</v>
      </c>
      <c r="F47" s="70">
        <f>(E47-G47)/E47</f>
        <v>0.99870957650647163</v>
      </c>
      <c r="G47" s="69">
        <v>33</v>
      </c>
      <c r="H47" s="69">
        <v>9149</v>
      </c>
      <c r="I47" s="70">
        <f>H47/E47</f>
        <v>0.35776013764517262</v>
      </c>
      <c r="J47" s="69">
        <v>197</v>
      </c>
      <c r="K47" s="70">
        <f>J47/E47</f>
        <v>7.703437218941853E-3</v>
      </c>
      <c r="L47" s="70">
        <f>J47/H47</f>
        <v>2.1532407913433162E-2</v>
      </c>
      <c r="M47" s="69">
        <v>49</v>
      </c>
      <c r="N47" s="70">
        <f>M47/E47</f>
        <v>1.9160833691784303E-3</v>
      </c>
      <c r="O47" s="67" t="s">
        <v>16</v>
      </c>
    </row>
    <row r="48" spans="1:15" s="1" customFormat="1" x14ac:dyDescent="0.3">
      <c r="A48" s="66" t="s">
        <v>17</v>
      </c>
      <c r="B48" s="67" t="s">
        <v>15</v>
      </c>
      <c r="C48" s="67" t="s">
        <v>16</v>
      </c>
      <c r="D48" s="68">
        <v>45006</v>
      </c>
      <c r="E48" s="69">
        <v>219716</v>
      </c>
      <c r="F48" s="70">
        <f>(E48-G48)/E48</f>
        <v>0.99801106883431334</v>
      </c>
      <c r="G48" s="69">
        <v>437</v>
      </c>
      <c r="H48" s="69">
        <v>87660</v>
      </c>
      <c r="I48" s="70">
        <f>H48/E48</f>
        <v>0.3989695789109578</v>
      </c>
      <c r="J48" s="69">
        <v>1774</v>
      </c>
      <c r="K48" s="70">
        <f>J48/E48</f>
        <v>8.0740592401099594E-3</v>
      </c>
      <c r="L48" s="70">
        <f>J48/H48</f>
        <v>2.0237280401551448E-2</v>
      </c>
      <c r="M48" s="69">
        <v>144</v>
      </c>
      <c r="N48" s="70">
        <f>M48/E48</f>
        <v>6.5539150539787726E-4</v>
      </c>
      <c r="O48" s="67" t="s">
        <v>16</v>
      </c>
    </row>
    <row r="49" spans="1:15" s="1" customFormat="1" x14ac:dyDescent="0.3">
      <c r="A49" s="66" t="s">
        <v>17</v>
      </c>
      <c r="B49" s="67" t="s">
        <v>18</v>
      </c>
      <c r="C49" s="67" t="s">
        <v>16</v>
      </c>
      <c r="D49" s="68">
        <v>45006</v>
      </c>
      <c r="E49" s="69">
        <v>434922</v>
      </c>
      <c r="F49" s="70">
        <f>(E49-G49)/E49</f>
        <v>0.99830774253774235</v>
      </c>
      <c r="G49" s="69">
        <v>736</v>
      </c>
      <c r="H49" s="69">
        <v>186460</v>
      </c>
      <c r="I49" s="70">
        <f>H49/E49</f>
        <v>0.42872055219096755</v>
      </c>
      <c r="J49" s="69">
        <v>2533</v>
      </c>
      <c r="K49" s="70">
        <f>J49/E49</f>
        <v>5.8240328150794855E-3</v>
      </c>
      <c r="L49" s="70">
        <f>J49/H49</f>
        <v>1.3584683041939291E-2</v>
      </c>
      <c r="M49" s="69">
        <v>542</v>
      </c>
      <c r="N49" s="70">
        <f>M49/E49</f>
        <v>1.2462004681299175E-3</v>
      </c>
      <c r="O49" s="67" t="s">
        <v>16</v>
      </c>
    </row>
    <row r="50" spans="1:15" s="1" customFormat="1" x14ac:dyDescent="0.3">
      <c r="A50" s="76" t="s">
        <v>227</v>
      </c>
      <c r="B50" s="67" t="s">
        <v>15</v>
      </c>
      <c r="C50" s="67" t="s">
        <v>16</v>
      </c>
      <c r="D50" s="68">
        <v>45012</v>
      </c>
      <c r="E50" s="69">
        <v>90553</v>
      </c>
      <c r="F50" s="70">
        <f t="shared" ref="F50:F103" si="5">(E50-G50)/E50</f>
        <v>0.997780305456473</v>
      </c>
      <c r="G50" s="69">
        <v>201</v>
      </c>
      <c r="H50" s="69">
        <v>32038</v>
      </c>
      <c r="I50" s="70">
        <f t="shared" ref="I50:I103" si="6">H50/E50</f>
        <v>0.35380384967919343</v>
      </c>
      <c r="J50" s="69">
        <v>517</v>
      </c>
      <c r="K50" s="70">
        <f t="shared" ref="K50:K103" si="7">J50/E50</f>
        <v>5.7093635771316249E-3</v>
      </c>
      <c r="L50" s="70">
        <f t="shared" ref="L50:L103" si="8">J50/H50</f>
        <v>1.6137087208939385E-2</v>
      </c>
      <c r="M50" s="69">
        <v>100</v>
      </c>
      <c r="N50" s="70">
        <f t="shared" ref="N50:N103" si="9">M50/E50</f>
        <v>1.1043256435457687E-3</v>
      </c>
      <c r="O50" s="67" t="s">
        <v>16</v>
      </c>
    </row>
    <row r="51" spans="1:15" s="1" customFormat="1" x14ac:dyDescent="0.3">
      <c r="A51" s="76" t="s">
        <v>236</v>
      </c>
      <c r="B51" s="67" t="s">
        <v>15</v>
      </c>
      <c r="C51" s="67" t="s">
        <v>16</v>
      </c>
      <c r="D51" s="68">
        <v>45013</v>
      </c>
      <c r="E51" s="69">
        <v>90667</v>
      </c>
      <c r="F51" s="70">
        <f t="shared" si="5"/>
        <v>0.9973529509082687</v>
      </c>
      <c r="G51" s="69">
        <v>240</v>
      </c>
      <c r="H51" s="69">
        <v>32002</v>
      </c>
      <c r="I51" s="70">
        <f t="shared" si="6"/>
        <v>0.35296193763993516</v>
      </c>
      <c r="J51" s="69">
        <v>434</v>
      </c>
      <c r="K51" s="70">
        <f t="shared" si="7"/>
        <v>4.786747107547399E-3</v>
      </c>
      <c r="L51" s="70">
        <f t="shared" si="8"/>
        <v>1.3561652396725205E-2</v>
      </c>
      <c r="M51" s="69">
        <v>71</v>
      </c>
      <c r="N51" s="70">
        <f t="shared" si="9"/>
        <v>7.8308535630383712E-4</v>
      </c>
      <c r="O51" s="67" t="s">
        <v>16</v>
      </c>
    </row>
    <row r="52" spans="1:15" s="1" customFormat="1" x14ac:dyDescent="0.3">
      <c r="A52" s="66" t="s">
        <v>29</v>
      </c>
      <c r="B52" s="67" t="s">
        <v>15</v>
      </c>
      <c r="C52" s="67" t="s">
        <v>16</v>
      </c>
      <c r="D52" s="68">
        <v>45013</v>
      </c>
      <c r="E52" s="69">
        <v>25783</v>
      </c>
      <c r="F52" s="70">
        <f t="shared" si="5"/>
        <v>0.99658689834387004</v>
      </c>
      <c r="G52" s="69">
        <v>88</v>
      </c>
      <c r="H52" s="69">
        <v>9075</v>
      </c>
      <c r="I52" s="70">
        <f t="shared" si="6"/>
        <v>0.35197610828840709</v>
      </c>
      <c r="J52" s="69">
        <v>341</v>
      </c>
      <c r="K52" s="70">
        <f t="shared" si="7"/>
        <v>1.3225768917503782E-2</v>
      </c>
      <c r="L52" s="70">
        <f t="shared" si="8"/>
        <v>3.7575757575757575E-2</v>
      </c>
      <c r="M52" s="69">
        <v>14</v>
      </c>
      <c r="N52" s="70">
        <f t="shared" si="9"/>
        <v>5.429934452934104E-4</v>
      </c>
      <c r="O52" s="67" t="s">
        <v>16</v>
      </c>
    </row>
    <row r="53" spans="1:15" s="1" customFormat="1" x14ac:dyDescent="0.3">
      <c r="A53" s="66" t="s">
        <v>29</v>
      </c>
      <c r="B53" s="67" t="s">
        <v>18</v>
      </c>
      <c r="C53" s="67" t="s">
        <v>16</v>
      </c>
      <c r="D53" s="68">
        <v>45013</v>
      </c>
      <c r="E53" s="69">
        <v>26525</v>
      </c>
      <c r="F53" s="70">
        <f t="shared" si="5"/>
        <v>0.99841658812441092</v>
      </c>
      <c r="G53" s="69">
        <v>42</v>
      </c>
      <c r="H53" s="69">
        <v>9541</v>
      </c>
      <c r="I53" s="70">
        <f t="shared" si="6"/>
        <v>0.35969839773798301</v>
      </c>
      <c r="J53" s="69">
        <v>255</v>
      </c>
      <c r="K53" s="70">
        <f t="shared" si="7"/>
        <v>9.6135721017907641E-3</v>
      </c>
      <c r="L53" s="70">
        <f t="shared" si="8"/>
        <v>2.6726758201446391E-2</v>
      </c>
      <c r="M53" s="69">
        <v>34</v>
      </c>
      <c r="N53" s="70">
        <f t="shared" si="9"/>
        <v>1.2818096135721018E-3</v>
      </c>
      <c r="O53" s="67" t="s">
        <v>16</v>
      </c>
    </row>
    <row r="54" spans="1:15" s="1" customFormat="1" x14ac:dyDescent="0.3">
      <c r="A54" s="66" t="s">
        <v>17</v>
      </c>
      <c r="B54" s="67" t="s">
        <v>15</v>
      </c>
      <c r="C54" s="67" t="s">
        <v>16</v>
      </c>
      <c r="D54" s="68">
        <v>45013</v>
      </c>
      <c r="E54" s="69">
        <v>225120</v>
      </c>
      <c r="F54" s="70">
        <f t="shared" si="5"/>
        <v>0.99740138592750538</v>
      </c>
      <c r="G54" s="69">
        <v>585</v>
      </c>
      <c r="H54" s="69">
        <v>82855</v>
      </c>
      <c r="I54" s="70">
        <f t="shared" si="6"/>
        <v>0.36804815209665959</v>
      </c>
      <c r="J54" s="69">
        <v>1732</v>
      </c>
      <c r="K54" s="70">
        <f t="shared" si="7"/>
        <v>7.6936744847192606E-3</v>
      </c>
      <c r="L54" s="70">
        <f t="shared" si="8"/>
        <v>2.0903988896264557E-2</v>
      </c>
      <c r="M54" s="69">
        <v>117</v>
      </c>
      <c r="N54" s="70">
        <f t="shared" si="9"/>
        <v>5.1972281449893392E-4</v>
      </c>
      <c r="O54" s="67" t="s">
        <v>16</v>
      </c>
    </row>
    <row r="55" spans="1:15" s="1" customFormat="1" x14ac:dyDescent="0.3">
      <c r="A55" s="66" t="s">
        <v>17</v>
      </c>
      <c r="B55" s="67" t="s">
        <v>18</v>
      </c>
      <c r="C55" s="67" t="s">
        <v>16</v>
      </c>
      <c r="D55" s="68">
        <v>45013</v>
      </c>
      <c r="E55" s="69">
        <v>440828</v>
      </c>
      <c r="F55" s="70">
        <f t="shared" si="5"/>
        <v>0.9980173673178655</v>
      </c>
      <c r="G55" s="69">
        <v>874</v>
      </c>
      <c r="H55" s="69">
        <v>165876</v>
      </c>
      <c r="I55" s="70">
        <f t="shared" si="6"/>
        <v>0.37628281325142687</v>
      </c>
      <c r="J55" s="69">
        <v>2331</v>
      </c>
      <c r="K55" s="70">
        <f t="shared" si="7"/>
        <v>5.287776638507536E-3</v>
      </c>
      <c r="L55" s="70">
        <f t="shared" si="8"/>
        <v>1.4052665846777111E-2</v>
      </c>
      <c r="M55" s="69">
        <v>441</v>
      </c>
      <c r="N55" s="70">
        <f t="shared" si="9"/>
        <v>1.0003901748527771E-3</v>
      </c>
      <c r="O55" s="67" t="s">
        <v>16</v>
      </c>
    </row>
    <row r="56" spans="1:15" s="1" customFormat="1" x14ac:dyDescent="0.3">
      <c r="A56" s="66" t="s">
        <v>29</v>
      </c>
      <c r="B56" s="67" t="s">
        <v>15</v>
      </c>
      <c r="C56" s="67" t="s">
        <v>16</v>
      </c>
      <c r="D56" s="68">
        <v>45020</v>
      </c>
      <c r="E56" s="69">
        <v>25867</v>
      </c>
      <c r="F56" s="70">
        <f t="shared" si="5"/>
        <v>0.99501295086403529</v>
      </c>
      <c r="G56" s="69">
        <v>129</v>
      </c>
      <c r="H56" s="69">
        <v>8935</v>
      </c>
      <c r="I56" s="70">
        <f t="shared" si="6"/>
        <v>0.34542080643290679</v>
      </c>
      <c r="J56" s="69">
        <v>260</v>
      </c>
      <c r="K56" s="70">
        <f t="shared" si="7"/>
        <v>1.0051416863184753E-2</v>
      </c>
      <c r="L56" s="70">
        <f t="shared" si="8"/>
        <v>2.9099048684946838E-2</v>
      </c>
      <c r="M56" s="69">
        <v>13</v>
      </c>
      <c r="N56" s="70">
        <f t="shared" si="9"/>
        <v>5.0257084315923767E-4</v>
      </c>
      <c r="O56" s="67" t="s">
        <v>16</v>
      </c>
    </row>
    <row r="57" spans="1:15" s="1" customFormat="1" x14ac:dyDescent="0.3">
      <c r="A57" s="66" t="s">
        <v>29</v>
      </c>
      <c r="B57" s="67" t="s">
        <v>18</v>
      </c>
      <c r="C57" s="67" t="s">
        <v>16</v>
      </c>
      <c r="D57" s="68">
        <v>45020</v>
      </c>
      <c r="E57" s="69">
        <v>26633</v>
      </c>
      <c r="F57" s="70">
        <f t="shared" si="5"/>
        <v>0.99575714339353438</v>
      </c>
      <c r="G57" s="69">
        <v>113</v>
      </c>
      <c r="H57" s="69">
        <v>9755</v>
      </c>
      <c r="I57" s="70">
        <f t="shared" si="6"/>
        <v>0.36627492208913753</v>
      </c>
      <c r="J57" s="69">
        <v>202</v>
      </c>
      <c r="K57" s="70">
        <f t="shared" si="7"/>
        <v>7.5845755266023352E-3</v>
      </c>
      <c r="L57" s="70">
        <f t="shared" si="8"/>
        <v>2.0707329574577139E-2</v>
      </c>
      <c r="M57" s="69">
        <v>33</v>
      </c>
      <c r="N57" s="70">
        <f t="shared" si="9"/>
        <v>1.2390643187023618E-3</v>
      </c>
      <c r="O57" s="67" t="s">
        <v>16</v>
      </c>
    </row>
    <row r="58" spans="1:15" s="1" customFormat="1" x14ac:dyDescent="0.3">
      <c r="A58" s="66" t="s">
        <v>17</v>
      </c>
      <c r="B58" s="67" t="s">
        <v>15</v>
      </c>
      <c r="C58" s="67" t="s">
        <v>16</v>
      </c>
      <c r="D58" s="68">
        <v>45020</v>
      </c>
      <c r="E58" s="69">
        <v>227842</v>
      </c>
      <c r="F58" s="70">
        <f t="shared" si="5"/>
        <v>0.99610256230194605</v>
      </c>
      <c r="G58" s="69">
        <v>888</v>
      </c>
      <c r="H58" s="69">
        <v>81592</v>
      </c>
      <c r="I58" s="70">
        <f t="shared" si="6"/>
        <v>0.35810781155362048</v>
      </c>
      <c r="J58" s="69">
        <v>1540</v>
      </c>
      <c r="K58" s="70">
        <f t="shared" si="7"/>
        <v>6.759069881760167E-3</v>
      </c>
      <c r="L58" s="70">
        <f t="shared" si="8"/>
        <v>1.887439945092656E-2</v>
      </c>
      <c r="M58" s="69">
        <v>128</v>
      </c>
      <c r="N58" s="70">
        <f t="shared" si="9"/>
        <v>5.6179282134110481E-4</v>
      </c>
      <c r="O58" s="67" t="s">
        <v>16</v>
      </c>
    </row>
    <row r="59" spans="1:15" s="1" customFormat="1" x14ac:dyDescent="0.3">
      <c r="A59" s="66" t="s">
        <v>17</v>
      </c>
      <c r="B59" s="67" t="s">
        <v>18</v>
      </c>
      <c r="C59" s="67" t="s">
        <v>16</v>
      </c>
      <c r="D59" s="68">
        <v>45020</v>
      </c>
      <c r="E59" s="69">
        <v>443643</v>
      </c>
      <c r="F59" s="70">
        <f t="shared" si="5"/>
        <v>0.99684881763039201</v>
      </c>
      <c r="G59" s="69">
        <v>1398</v>
      </c>
      <c r="H59" s="69">
        <v>171518</v>
      </c>
      <c r="I59" s="70">
        <f t="shared" si="6"/>
        <v>0.38661265927784277</v>
      </c>
      <c r="J59" s="69">
        <v>2261</v>
      </c>
      <c r="K59" s="70">
        <f t="shared" si="7"/>
        <v>5.0964401557107852E-3</v>
      </c>
      <c r="L59" s="70">
        <f t="shared" si="8"/>
        <v>1.3182289905432666E-2</v>
      </c>
      <c r="M59" s="69">
        <v>463</v>
      </c>
      <c r="N59" s="70">
        <f t="shared" si="9"/>
        <v>1.0436319292764678E-3</v>
      </c>
      <c r="O59" s="67" t="s">
        <v>16</v>
      </c>
    </row>
    <row r="60" spans="1:15" s="1" customFormat="1" x14ac:dyDescent="0.3">
      <c r="A60" s="66" t="s">
        <v>29</v>
      </c>
      <c r="B60" s="67" t="s">
        <v>15</v>
      </c>
      <c r="C60" s="67" t="s">
        <v>16</v>
      </c>
      <c r="D60" s="68">
        <v>45027</v>
      </c>
      <c r="E60" s="69">
        <v>25937</v>
      </c>
      <c r="F60" s="70">
        <f t="shared" si="5"/>
        <v>0.99390831630489263</v>
      </c>
      <c r="G60" s="69">
        <v>158</v>
      </c>
      <c r="H60" s="69">
        <v>9232</v>
      </c>
      <c r="I60" s="70">
        <f t="shared" si="6"/>
        <v>0.35593939160272969</v>
      </c>
      <c r="J60" s="69">
        <v>286</v>
      </c>
      <c r="K60" s="70">
        <f t="shared" si="7"/>
        <v>1.1026718587346261E-2</v>
      </c>
      <c r="L60" s="70">
        <f t="shared" si="8"/>
        <v>3.0979202772963604E-2</v>
      </c>
      <c r="M60" s="69">
        <v>19</v>
      </c>
      <c r="N60" s="70">
        <f t="shared" si="9"/>
        <v>7.3254424181670968E-4</v>
      </c>
      <c r="O60" s="67" t="s">
        <v>16</v>
      </c>
    </row>
    <row r="61" spans="1:15" s="1" customFormat="1" x14ac:dyDescent="0.3">
      <c r="A61" s="66" t="s">
        <v>29</v>
      </c>
      <c r="B61" s="67" t="s">
        <v>18</v>
      </c>
      <c r="C61" s="67" t="s">
        <v>16</v>
      </c>
      <c r="D61" s="68">
        <v>45027</v>
      </c>
      <c r="E61" s="69">
        <v>26722</v>
      </c>
      <c r="F61" s="70">
        <f t="shared" si="5"/>
        <v>0.99550931816480803</v>
      </c>
      <c r="G61" s="69">
        <v>120</v>
      </c>
      <c r="H61" s="69">
        <v>10200</v>
      </c>
      <c r="I61" s="70">
        <f t="shared" si="6"/>
        <v>0.38170795599131802</v>
      </c>
      <c r="J61" s="69">
        <v>287</v>
      </c>
      <c r="K61" s="70">
        <f t="shared" si="7"/>
        <v>1.0740214055834144E-2</v>
      </c>
      <c r="L61" s="70">
        <f t="shared" si="8"/>
        <v>2.8137254901960784E-2</v>
      </c>
      <c r="M61" s="69">
        <v>34</v>
      </c>
      <c r="N61" s="70">
        <f t="shared" si="9"/>
        <v>1.2723598533043933E-3</v>
      </c>
      <c r="O61" s="67" t="s">
        <v>16</v>
      </c>
    </row>
    <row r="62" spans="1:15" s="1" customFormat="1" x14ac:dyDescent="0.3">
      <c r="A62" s="66" t="s">
        <v>17</v>
      </c>
      <c r="B62" s="67" t="s">
        <v>15</v>
      </c>
      <c r="C62" s="67" t="s">
        <v>16</v>
      </c>
      <c r="D62" s="68">
        <v>45027</v>
      </c>
      <c r="E62" s="69">
        <v>229129</v>
      </c>
      <c r="F62" s="70">
        <f t="shared" si="5"/>
        <v>0.99498099323961608</v>
      </c>
      <c r="G62" s="69">
        <v>1150</v>
      </c>
      <c r="H62" s="69">
        <v>82143</v>
      </c>
      <c r="I62" s="70">
        <f t="shared" si="6"/>
        <v>0.35850110636366411</v>
      </c>
      <c r="J62" s="69">
        <v>1645</v>
      </c>
      <c r="K62" s="70">
        <f t="shared" si="7"/>
        <v>7.1793618442013013E-3</v>
      </c>
      <c r="L62" s="70">
        <f t="shared" si="8"/>
        <v>2.0026052128604994E-2</v>
      </c>
      <c r="M62" s="69">
        <v>125</v>
      </c>
      <c r="N62" s="70">
        <f t="shared" si="9"/>
        <v>5.4554421308520532E-4</v>
      </c>
      <c r="O62" s="67" t="s">
        <v>16</v>
      </c>
    </row>
    <row r="63" spans="1:15" s="1" customFormat="1" x14ac:dyDescent="0.3">
      <c r="A63" s="66" t="s">
        <v>17</v>
      </c>
      <c r="B63" s="67" t="s">
        <v>18</v>
      </c>
      <c r="C63" s="67" t="s">
        <v>16</v>
      </c>
      <c r="D63" s="68">
        <v>45027</v>
      </c>
      <c r="E63" s="69">
        <v>445785</v>
      </c>
      <c r="F63" s="70">
        <f t="shared" si="5"/>
        <v>0.99608331370503722</v>
      </c>
      <c r="G63" s="69">
        <v>1746</v>
      </c>
      <c r="H63" s="69">
        <v>173279</v>
      </c>
      <c r="I63" s="70">
        <f t="shared" si="6"/>
        <v>0.38870531758583171</v>
      </c>
      <c r="J63" s="69">
        <v>2565</v>
      </c>
      <c r="K63" s="70">
        <f t="shared" si="7"/>
        <v>5.7538948147649654E-3</v>
      </c>
      <c r="L63" s="70">
        <f t="shared" si="8"/>
        <v>1.4802717005522884E-2</v>
      </c>
      <c r="M63" s="69">
        <v>457</v>
      </c>
      <c r="N63" s="70">
        <f t="shared" si="9"/>
        <v>1.0251578675819061E-3</v>
      </c>
      <c r="O63" s="67" t="s">
        <v>16</v>
      </c>
    </row>
    <row r="64" spans="1:15" s="1" customFormat="1" x14ac:dyDescent="0.3">
      <c r="A64" s="66" t="s">
        <v>29</v>
      </c>
      <c r="B64" s="67" t="s">
        <v>15</v>
      </c>
      <c r="C64" s="67" t="s">
        <v>16</v>
      </c>
      <c r="D64" s="68">
        <v>45034</v>
      </c>
      <c r="E64" s="69">
        <v>26069</v>
      </c>
      <c r="F64" s="70">
        <f t="shared" si="5"/>
        <v>0.99397752119375504</v>
      </c>
      <c r="G64" s="69">
        <v>157</v>
      </c>
      <c r="H64" s="69">
        <v>9248</v>
      </c>
      <c r="I64" s="70">
        <f t="shared" si="6"/>
        <v>0.35475085350416202</v>
      </c>
      <c r="J64" s="69">
        <v>233</v>
      </c>
      <c r="K64" s="70">
        <f t="shared" si="7"/>
        <v>8.9378188653189607E-3</v>
      </c>
      <c r="L64" s="70">
        <f t="shared" si="8"/>
        <v>2.5194636678200693E-2</v>
      </c>
      <c r="M64" s="69">
        <v>13</v>
      </c>
      <c r="N64" s="70">
        <f t="shared" si="9"/>
        <v>4.9867658905213084E-4</v>
      </c>
      <c r="O64" s="67" t="s">
        <v>16</v>
      </c>
    </row>
    <row r="65" spans="1:15" s="1" customFormat="1" x14ac:dyDescent="0.3">
      <c r="A65" s="66" t="s">
        <v>29</v>
      </c>
      <c r="B65" s="67" t="s">
        <v>18</v>
      </c>
      <c r="C65" s="67" t="s">
        <v>16</v>
      </c>
      <c r="D65" s="68">
        <v>45034</v>
      </c>
      <c r="E65" s="69">
        <v>26859</v>
      </c>
      <c r="F65" s="70">
        <f t="shared" si="5"/>
        <v>0.99545776089951232</v>
      </c>
      <c r="G65" s="69">
        <v>122</v>
      </c>
      <c r="H65" s="69">
        <v>9867</v>
      </c>
      <c r="I65" s="70">
        <f t="shared" si="6"/>
        <v>0.36736289511895454</v>
      </c>
      <c r="J65" s="69">
        <v>176</v>
      </c>
      <c r="K65" s="70">
        <f t="shared" si="7"/>
        <v>6.5527383744741052E-3</v>
      </c>
      <c r="L65" s="70">
        <f t="shared" si="8"/>
        <v>1.7837235228539576E-2</v>
      </c>
      <c r="M65" s="69">
        <v>37</v>
      </c>
      <c r="N65" s="70">
        <f t="shared" si="9"/>
        <v>1.3775643173610335E-3</v>
      </c>
      <c r="O65" s="67" t="s">
        <v>16</v>
      </c>
    </row>
    <row r="66" spans="1:15" s="1" customFormat="1" x14ac:dyDescent="0.3">
      <c r="A66" s="66" t="s">
        <v>17</v>
      </c>
      <c r="B66" s="67" t="s">
        <v>15</v>
      </c>
      <c r="C66" s="67" t="s">
        <v>16</v>
      </c>
      <c r="D66" s="68">
        <v>45034</v>
      </c>
      <c r="E66" s="69">
        <v>230740</v>
      </c>
      <c r="F66" s="70">
        <f t="shared" si="5"/>
        <v>0.99862182543122124</v>
      </c>
      <c r="G66" s="69">
        <v>318</v>
      </c>
      <c r="H66" s="69">
        <v>82884</v>
      </c>
      <c r="I66" s="70">
        <f t="shared" si="6"/>
        <v>0.35920949986998352</v>
      </c>
      <c r="J66" s="69">
        <v>1364</v>
      </c>
      <c r="K66" s="70">
        <f t="shared" si="7"/>
        <v>5.9114154459564876E-3</v>
      </c>
      <c r="L66" s="70">
        <f t="shared" si="8"/>
        <v>1.6456734713575599E-2</v>
      </c>
      <c r="M66" s="69">
        <v>117</v>
      </c>
      <c r="N66" s="70">
        <f t="shared" si="9"/>
        <v>5.0706422813556382E-4</v>
      </c>
      <c r="O66" s="67" t="s">
        <v>16</v>
      </c>
    </row>
    <row r="67" spans="1:15" s="1" customFormat="1" x14ac:dyDescent="0.3">
      <c r="A67" s="66" t="s">
        <v>17</v>
      </c>
      <c r="B67" s="67" t="s">
        <v>18</v>
      </c>
      <c r="C67" s="67" t="s">
        <v>16</v>
      </c>
      <c r="D67" s="68">
        <v>45034</v>
      </c>
      <c r="E67" s="69">
        <v>448953</v>
      </c>
      <c r="F67" s="70">
        <f t="shared" si="5"/>
        <v>0.99873928896788755</v>
      </c>
      <c r="G67" s="69">
        <v>566</v>
      </c>
      <c r="H67" s="69">
        <v>174098</v>
      </c>
      <c r="I67" s="70">
        <f t="shared" si="6"/>
        <v>0.38778669482106143</v>
      </c>
      <c r="J67" s="69">
        <v>2058</v>
      </c>
      <c r="K67" s="70">
        <f t="shared" si="7"/>
        <v>4.5839987704726333E-3</v>
      </c>
      <c r="L67" s="70">
        <f t="shared" si="8"/>
        <v>1.1820928442601294E-2</v>
      </c>
      <c r="M67" s="69">
        <v>462</v>
      </c>
      <c r="N67" s="70">
        <f t="shared" si="9"/>
        <v>1.0290609484734483E-3</v>
      </c>
      <c r="O67" s="67" t="s">
        <v>16</v>
      </c>
    </row>
    <row r="68" spans="1:15" s="1" customFormat="1" x14ac:dyDescent="0.3">
      <c r="A68" s="66" t="s">
        <v>29</v>
      </c>
      <c r="B68" s="67" t="s">
        <v>18</v>
      </c>
      <c r="C68" s="67" t="s">
        <v>16</v>
      </c>
      <c r="D68" s="68">
        <v>45041</v>
      </c>
      <c r="E68" s="69">
        <v>26947</v>
      </c>
      <c r="F68" s="70">
        <f t="shared" si="5"/>
        <v>0.99654878094036436</v>
      </c>
      <c r="G68" s="69">
        <v>93</v>
      </c>
      <c r="H68" s="69">
        <v>9894</v>
      </c>
      <c r="I68" s="70">
        <f t="shared" si="6"/>
        <v>0.36716517608639182</v>
      </c>
      <c r="J68" s="69">
        <v>179</v>
      </c>
      <c r="K68" s="70">
        <f t="shared" si="7"/>
        <v>6.6426689427394516E-3</v>
      </c>
      <c r="L68" s="70">
        <f t="shared" si="8"/>
        <v>1.8091772791590865E-2</v>
      </c>
      <c r="M68" s="69">
        <v>26</v>
      </c>
      <c r="N68" s="70">
        <f t="shared" si="9"/>
        <v>9.6485694140349579E-4</v>
      </c>
      <c r="O68" s="67" t="s">
        <v>16</v>
      </c>
    </row>
    <row r="69" spans="1:15" s="1" customFormat="1" x14ac:dyDescent="0.3">
      <c r="A69" s="66" t="s">
        <v>29</v>
      </c>
      <c r="B69" s="67" t="s">
        <v>15</v>
      </c>
      <c r="C69" s="67" t="s">
        <v>16</v>
      </c>
      <c r="D69" s="68">
        <v>45041</v>
      </c>
      <c r="E69" s="69">
        <v>26154</v>
      </c>
      <c r="F69" s="70">
        <f t="shared" si="5"/>
        <v>0.99445591496520613</v>
      </c>
      <c r="G69" s="69">
        <v>145</v>
      </c>
      <c r="H69" s="69">
        <v>9001</v>
      </c>
      <c r="I69" s="70">
        <f t="shared" si="6"/>
        <v>0.34415385791848285</v>
      </c>
      <c r="J69" s="69">
        <v>223</v>
      </c>
      <c r="K69" s="70">
        <f t="shared" si="7"/>
        <v>8.5264204328209837E-3</v>
      </c>
      <c r="L69" s="70">
        <f t="shared" si="8"/>
        <v>2.477502499722253E-2</v>
      </c>
      <c r="M69" s="69">
        <v>14</v>
      </c>
      <c r="N69" s="70">
        <f t="shared" si="9"/>
        <v>5.3529096887665372E-4</v>
      </c>
      <c r="O69" s="67" t="s">
        <v>16</v>
      </c>
    </row>
    <row r="70" spans="1:15" s="1" customFormat="1" x14ac:dyDescent="0.3">
      <c r="A70" s="66" t="s">
        <v>17</v>
      </c>
      <c r="B70" s="67" t="s">
        <v>15</v>
      </c>
      <c r="C70" s="67" t="s">
        <v>16</v>
      </c>
      <c r="D70" s="68">
        <v>45041</v>
      </c>
      <c r="E70" s="69">
        <v>232199</v>
      </c>
      <c r="F70" s="70">
        <f t="shared" si="5"/>
        <v>0.99478895257946842</v>
      </c>
      <c r="G70" s="69">
        <v>1210</v>
      </c>
      <c r="H70" s="69">
        <v>82640</v>
      </c>
      <c r="I70" s="70">
        <f t="shared" si="6"/>
        <v>0.35590161887002097</v>
      </c>
      <c r="J70" s="69">
        <v>1568</v>
      </c>
      <c r="K70" s="70">
        <f t="shared" si="7"/>
        <v>6.7528283928871358E-3</v>
      </c>
      <c r="L70" s="70">
        <f t="shared" si="8"/>
        <v>1.8973862536302032E-2</v>
      </c>
      <c r="M70" s="69">
        <v>127</v>
      </c>
      <c r="N70" s="70">
        <f t="shared" si="9"/>
        <v>5.4694464661777186E-4</v>
      </c>
      <c r="O70" s="67" t="s">
        <v>16</v>
      </c>
    </row>
    <row r="71" spans="1:15" s="1" customFormat="1" x14ac:dyDescent="0.3">
      <c r="A71" s="66" t="s">
        <v>17</v>
      </c>
      <c r="B71" s="67" t="s">
        <v>18</v>
      </c>
      <c r="C71" s="67" t="s">
        <v>16</v>
      </c>
      <c r="D71" s="68">
        <v>45041</v>
      </c>
      <c r="E71" s="69">
        <v>450922</v>
      </c>
      <c r="F71" s="70">
        <f t="shared" si="5"/>
        <v>0.99647167359321565</v>
      </c>
      <c r="G71" s="69">
        <v>1591</v>
      </c>
      <c r="H71" s="69">
        <v>173036</v>
      </c>
      <c r="I71" s="70">
        <f t="shared" si="6"/>
        <v>0.38373820749486609</v>
      </c>
      <c r="J71" s="69">
        <v>2250</v>
      </c>
      <c r="K71" s="70">
        <f t="shared" si="7"/>
        <v>4.9897765023662628E-3</v>
      </c>
      <c r="L71" s="70">
        <f t="shared" si="8"/>
        <v>1.300307450472734E-2</v>
      </c>
      <c r="M71" s="69">
        <v>405</v>
      </c>
      <c r="N71" s="70">
        <f t="shared" si="9"/>
        <v>8.9815977042592731E-4</v>
      </c>
      <c r="O71" s="67" t="s">
        <v>16</v>
      </c>
    </row>
    <row r="72" spans="1:15" s="1" customFormat="1" x14ac:dyDescent="0.3">
      <c r="A72" s="66" t="s">
        <v>29</v>
      </c>
      <c r="B72" s="67" t="s">
        <v>15</v>
      </c>
      <c r="C72" s="67" t="s">
        <v>16</v>
      </c>
      <c r="D72" s="68">
        <v>45048</v>
      </c>
      <c r="E72" s="69">
        <v>26231</v>
      </c>
      <c r="F72" s="70">
        <f t="shared" si="5"/>
        <v>0.99332850444130993</v>
      </c>
      <c r="G72" s="69">
        <v>175</v>
      </c>
      <c r="H72" s="69">
        <v>9283</v>
      </c>
      <c r="I72" s="70">
        <f t="shared" si="6"/>
        <v>0.35389424726468682</v>
      </c>
      <c r="J72" s="69">
        <v>316</v>
      </c>
      <c r="K72" s="70">
        <f t="shared" si="7"/>
        <v>1.2046814837406123E-2</v>
      </c>
      <c r="L72" s="70">
        <f t="shared" si="8"/>
        <v>3.4040719594958524E-2</v>
      </c>
      <c r="M72" s="69">
        <v>10</v>
      </c>
      <c r="N72" s="70">
        <f t="shared" si="9"/>
        <v>3.8122831763943424E-4</v>
      </c>
      <c r="O72" s="67" t="s">
        <v>16</v>
      </c>
    </row>
    <row r="73" spans="1:15" s="1" customFormat="1" x14ac:dyDescent="0.3">
      <c r="A73" s="66" t="s">
        <v>29</v>
      </c>
      <c r="B73" s="67" t="s">
        <v>18</v>
      </c>
      <c r="C73" s="67" t="s">
        <v>16</v>
      </c>
      <c r="D73" s="68">
        <v>45048</v>
      </c>
      <c r="E73" s="69">
        <v>27102</v>
      </c>
      <c r="F73" s="70">
        <f t="shared" si="5"/>
        <v>0.99535089661279608</v>
      </c>
      <c r="G73" s="69">
        <v>126</v>
      </c>
      <c r="H73" s="69">
        <v>10104</v>
      </c>
      <c r="I73" s="70">
        <f t="shared" si="6"/>
        <v>0.37281381447863626</v>
      </c>
      <c r="J73" s="69">
        <v>271</v>
      </c>
      <c r="K73" s="70">
        <f t="shared" si="7"/>
        <v>9.9992620470813962E-3</v>
      </c>
      <c r="L73" s="70">
        <f t="shared" si="8"/>
        <v>2.6821060965954078E-2</v>
      </c>
      <c r="M73" s="69">
        <v>25</v>
      </c>
      <c r="N73" s="70">
        <f t="shared" si="9"/>
        <v>9.2244114825474136E-4</v>
      </c>
      <c r="O73" s="67" t="s">
        <v>16</v>
      </c>
    </row>
    <row r="74" spans="1:15" s="1" customFormat="1" x14ac:dyDescent="0.3">
      <c r="A74" s="66" t="s">
        <v>17</v>
      </c>
      <c r="B74" s="67" t="s">
        <v>15</v>
      </c>
      <c r="C74" s="67" t="s">
        <v>16</v>
      </c>
      <c r="D74" s="68">
        <v>45048</v>
      </c>
      <c r="E74" s="69">
        <v>233675</v>
      </c>
      <c r="F74" s="70">
        <f t="shared" si="5"/>
        <v>0.99459933668556755</v>
      </c>
      <c r="G74" s="69">
        <v>1262</v>
      </c>
      <c r="H74" s="69">
        <v>82903</v>
      </c>
      <c r="I74" s="70">
        <f t="shared" si="6"/>
        <v>0.35477907349951854</v>
      </c>
      <c r="J74" s="69">
        <v>2098</v>
      </c>
      <c r="K74" s="70">
        <f t="shared" si="7"/>
        <v>8.978281801647588E-3</v>
      </c>
      <c r="L74" s="70">
        <f t="shared" si="8"/>
        <v>2.5306683714702724E-2</v>
      </c>
      <c r="M74" s="69">
        <v>123</v>
      </c>
      <c r="N74" s="70">
        <f t="shared" si="9"/>
        <v>5.2637209799935808E-4</v>
      </c>
      <c r="O74" s="67" t="s">
        <v>16</v>
      </c>
    </row>
    <row r="75" spans="1:15" s="1" customFormat="1" x14ac:dyDescent="0.3">
      <c r="A75" s="66" t="s">
        <v>17</v>
      </c>
      <c r="B75" s="67" t="s">
        <v>18</v>
      </c>
      <c r="C75" s="67" t="s">
        <v>16</v>
      </c>
      <c r="D75" s="68">
        <v>45048</v>
      </c>
      <c r="E75" s="69">
        <v>453737</v>
      </c>
      <c r="F75" s="70">
        <f t="shared" si="5"/>
        <v>0.99624011266438484</v>
      </c>
      <c r="G75" s="69">
        <v>1706</v>
      </c>
      <c r="H75" s="69">
        <v>173750</v>
      </c>
      <c r="I75" s="70">
        <f t="shared" si="6"/>
        <v>0.38293108122105979</v>
      </c>
      <c r="J75" s="69">
        <v>2701</v>
      </c>
      <c r="K75" s="70">
        <f t="shared" si="7"/>
        <v>5.9527876280752951E-3</v>
      </c>
      <c r="L75" s="70">
        <f t="shared" si="8"/>
        <v>1.5545323741007195E-2</v>
      </c>
      <c r="M75" s="69">
        <v>405</v>
      </c>
      <c r="N75" s="70">
        <f t="shared" si="9"/>
        <v>8.9258755622750624E-4</v>
      </c>
      <c r="O75" s="67" t="s">
        <v>16</v>
      </c>
    </row>
    <row r="76" spans="1:15" s="1" customFormat="1" x14ac:dyDescent="0.3">
      <c r="A76" s="66" t="s">
        <v>29</v>
      </c>
      <c r="B76" s="67" t="s">
        <v>18</v>
      </c>
      <c r="C76" s="67" t="s">
        <v>16</v>
      </c>
      <c r="D76" s="68">
        <v>45055</v>
      </c>
      <c r="E76" s="69">
        <v>27234</v>
      </c>
      <c r="F76" s="70">
        <f t="shared" si="5"/>
        <v>0.99449217889402952</v>
      </c>
      <c r="G76" s="69">
        <v>150</v>
      </c>
      <c r="H76" s="69">
        <v>9741</v>
      </c>
      <c r="I76" s="70">
        <f t="shared" si="6"/>
        <v>0.35767790262172283</v>
      </c>
      <c r="J76" s="69">
        <v>164</v>
      </c>
      <c r="K76" s="70">
        <f t="shared" si="7"/>
        <v>6.0218844091943892E-3</v>
      </c>
      <c r="L76" s="70">
        <f t="shared" si="8"/>
        <v>1.6836053793245046E-2</v>
      </c>
      <c r="M76" s="69">
        <v>28</v>
      </c>
      <c r="N76" s="70">
        <f t="shared" si="9"/>
        <v>1.0281266064478226E-3</v>
      </c>
      <c r="O76" s="67" t="s">
        <v>16</v>
      </c>
    </row>
    <row r="77" spans="1:15" s="1" customFormat="1" x14ac:dyDescent="0.3">
      <c r="A77" s="66" t="s">
        <v>29</v>
      </c>
      <c r="B77" s="67" t="s">
        <v>15</v>
      </c>
      <c r="C77" s="67" t="s">
        <v>16</v>
      </c>
      <c r="D77" s="68">
        <v>45055</v>
      </c>
      <c r="E77" s="69">
        <v>26291</v>
      </c>
      <c r="F77" s="70">
        <f t="shared" si="5"/>
        <v>0.99231676239017153</v>
      </c>
      <c r="G77" s="69">
        <v>202</v>
      </c>
      <c r="H77" s="69">
        <v>8968</v>
      </c>
      <c r="I77" s="70">
        <f t="shared" si="6"/>
        <v>0.34110532121258225</v>
      </c>
      <c r="J77" s="69">
        <v>227</v>
      </c>
      <c r="K77" s="70">
        <f t="shared" si="7"/>
        <v>8.6341333536191084E-3</v>
      </c>
      <c r="L77" s="70">
        <f t="shared" si="8"/>
        <v>2.5312221231043711E-2</v>
      </c>
      <c r="M77" s="69">
        <v>9</v>
      </c>
      <c r="N77" s="70">
        <f t="shared" si="9"/>
        <v>3.4232246776463431E-4</v>
      </c>
      <c r="O77" s="67" t="s">
        <v>16</v>
      </c>
    </row>
    <row r="78" spans="1:15" s="1" customFormat="1" x14ac:dyDescent="0.3">
      <c r="A78" s="66" t="s">
        <v>17</v>
      </c>
      <c r="B78" s="67" t="s">
        <v>18</v>
      </c>
      <c r="C78" s="67" t="s">
        <v>16</v>
      </c>
      <c r="D78" s="68">
        <v>45055</v>
      </c>
      <c r="E78" s="69">
        <v>456838</v>
      </c>
      <c r="F78" s="70">
        <f t="shared" si="5"/>
        <v>0.99563740319325456</v>
      </c>
      <c r="G78" s="69">
        <v>1993</v>
      </c>
      <c r="H78" s="69">
        <v>170245</v>
      </c>
      <c r="I78" s="70">
        <f t="shared" si="6"/>
        <v>0.37265945477390233</v>
      </c>
      <c r="J78" s="69">
        <v>1981</v>
      </c>
      <c r="K78" s="70">
        <f t="shared" si="7"/>
        <v>4.3363292895949989E-3</v>
      </c>
      <c r="L78" s="70">
        <f t="shared" si="8"/>
        <v>1.1636171400041117E-2</v>
      </c>
      <c r="M78" s="69">
        <v>377</v>
      </c>
      <c r="N78" s="70">
        <f t="shared" si="9"/>
        <v>8.2523783047820014E-4</v>
      </c>
      <c r="O78" s="67" t="s">
        <v>16</v>
      </c>
    </row>
    <row r="79" spans="1:15" s="1" customFormat="1" x14ac:dyDescent="0.3">
      <c r="A79" s="66" t="s">
        <v>17</v>
      </c>
      <c r="B79" s="67" t="s">
        <v>15</v>
      </c>
      <c r="C79" s="67" t="s">
        <v>16</v>
      </c>
      <c r="D79" s="68">
        <v>45055</v>
      </c>
      <c r="E79" s="69">
        <v>234727</v>
      </c>
      <c r="F79" s="70">
        <f t="shared" si="5"/>
        <v>0.9941762132179085</v>
      </c>
      <c r="G79" s="69">
        <v>1367</v>
      </c>
      <c r="H79" s="69">
        <v>80262</v>
      </c>
      <c r="I79" s="70">
        <f t="shared" si="6"/>
        <v>0.34193765523352659</v>
      </c>
      <c r="J79" s="69">
        <v>1635</v>
      </c>
      <c r="K79" s="70">
        <f t="shared" si="7"/>
        <v>6.9655386896266729E-3</v>
      </c>
      <c r="L79" s="70">
        <f t="shared" si="8"/>
        <v>2.0370785676908126E-2</v>
      </c>
      <c r="M79" s="69">
        <v>89</v>
      </c>
      <c r="N79" s="70">
        <f t="shared" si="9"/>
        <v>3.791638797411461E-4</v>
      </c>
      <c r="O79" s="67" t="s">
        <v>16</v>
      </c>
    </row>
    <row r="80" spans="1:15" s="1" customFormat="1" x14ac:dyDescent="0.3">
      <c r="A80" s="66" t="s">
        <v>29</v>
      </c>
      <c r="B80" s="67" t="s">
        <v>18</v>
      </c>
      <c r="C80" s="67" t="s">
        <v>16</v>
      </c>
      <c r="D80" s="68">
        <v>45062</v>
      </c>
      <c r="E80" s="69">
        <v>27366</v>
      </c>
      <c r="F80" s="70">
        <f t="shared" si="5"/>
        <v>0.99601695534604984</v>
      </c>
      <c r="G80" s="69">
        <v>109</v>
      </c>
      <c r="H80" s="69">
        <v>9978</v>
      </c>
      <c r="I80" s="70">
        <f t="shared" si="6"/>
        <v>0.36461302345976759</v>
      </c>
      <c r="J80" s="69">
        <v>292</v>
      </c>
      <c r="K80" s="70">
        <f t="shared" si="7"/>
        <v>1.0670174669297669E-2</v>
      </c>
      <c r="L80" s="70">
        <f t="shared" si="8"/>
        <v>2.9264381639607137E-2</v>
      </c>
      <c r="M80" s="69">
        <v>26</v>
      </c>
      <c r="N80" s="70">
        <f t="shared" si="9"/>
        <v>9.5008404589636778E-4</v>
      </c>
      <c r="O80" s="67" t="s">
        <v>16</v>
      </c>
    </row>
    <row r="81" spans="1:15" s="1" customFormat="1" x14ac:dyDescent="0.3">
      <c r="A81" s="66" t="s">
        <v>29</v>
      </c>
      <c r="B81" s="67" t="s">
        <v>15</v>
      </c>
      <c r="C81" s="67" t="s">
        <v>16</v>
      </c>
      <c r="D81" s="68">
        <v>45062</v>
      </c>
      <c r="E81" s="69">
        <v>26370</v>
      </c>
      <c r="F81" s="70">
        <f t="shared" si="5"/>
        <v>0.99378081152825182</v>
      </c>
      <c r="G81" s="69">
        <v>164</v>
      </c>
      <c r="H81" s="69">
        <v>9486</v>
      </c>
      <c r="I81" s="70">
        <f t="shared" si="6"/>
        <v>0.35972696245733787</v>
      </c>
      <c r="J81" s="69">
        <v>361</v>
      </c>
      <c r="K81" s="70">
        <f t="shared" si="7"/>
        <v>1.3689799014031096E-2</v>
      </c>
      <c r="L81" s="70">
        <f t="shared" si="8"/>
        <v>3.8056082648113006E-2</v>
      </c>
      <c r="M81" s="69">
        <v>12</v>
      </c>
      <c r="N81" s="70">
        <f t="shared" si="9"/>
        <v>4.5506257110352672E-4</v>
      </c>
      <c r="O81" s="67" t="s">
        <v>16</v>
      </c>
    </row>
    <row r="82" spans="1:15" s="1" customFormat="1" x14ac:dyDescent="0.3">
      <c r="A82" s="66" t="s">
        <v>17</v>
      </c>
      <c r="B82" s="67" t="s">
        <v>18</v>
      </c>
      <c r="C82" s="67" t="s">
        <v>16</v>
      </c>
      <c r="D82" s="68">
        <v>45062</v>
      </c>
      <c r="E82" s="69">
        <v>461672</v>
      </c>
      <c r="F82" s="70">
        <f t="shared" si="5"/>
        <v>0.99591268259716859</v>
      </c>
      <c r="G82" s="69">
        <v>1887</v>
      </c>
      <c r="H82" s="69">
        <v>175151</v>
      </c>
      <c r="I82" s="70">
        <f t="shared" si="6"/>
        <v>0.37938406487722887</v>
      </c>
      <c r="J82" s="69">
        <v>2805</v>
      </c>
      <c r="K82" s="70">
        <f t="shared" si="7"/>
        <v>6.0757420852899898E-3</v>
      </c>
      <c r="L82" s="70">
        <f t="shared" si="8"/>
        <v>1.6014752984567601E-2</v>
      </c>
      <c r="M82" s="69">
        <v>411</v>
      </c>
      <c r="N82" s="70">
        <f t="shared" si="9"/>
        <v>8.9024242319222309E-4</v>
      </c>
      <c r="O82" s="67" t="s">
        <v>16</v>
      </c>
    </row>
    <row r="83" spans="1:15" s="1" customFormat="1" x14ac:dyDescent="0.3">
      <c r="A83" s="66" t="s">
        <v>17</v>
      </c>
      <c r="B83" s="67" t="s">
        <v>15</v>
      </c>
      <c r="C83" s="67" t="s">
        <v>16</v>
      </c>
      <c r="D83" s="68">
        <v>45062</v>
      </c>
      <c r="E83" s="69">
        <v>237056</v>
      </c>
      <c r="F83" s="70">
        <f t="shared" si="5"/>
        <v>0.99441060340172782</v>
      </c>
      <c r="G83" s="69">
        <v>1325</v>
      </c>
      <c r="H83" s="69">
        <v>84680</v>
      </c>
      <c r="I83" s="70">
        <f t="shared" si="6"/>
        <v>0.35721517278617709</v>
      </c>
      <c r="J83" s="69">
        <v>2295</v>
      </c>
      <c r="K83" s="70">
        <f t="shared" si="7"/>
        <v>9.6812567494600436E-3</v>
      </c>
      <c r="L83" s="70">
        <f t="shared" si="8"/>
        <v>2.7102031176192726E-2</v>
      </c>
      <c r="M83" s="69">
        <v>124</v>
      </c>
      <c r="N83" s="70">
        <f t="shared" si="9"/>
        <v>5.2308315334773222E-4</v>
      </c>
      <c r="O83" s="67" t="s">
        <v>16</v>
      </c>
    </row>
    <row r="84" spans="1:15" s="1" customFormat="1" x14ac:dyDescent="0.3">
      <c r="A84" s="66" t="s">
        <v>17</v>
      </c>
      <c r="B84" s="67" t="s">
        <v>18</v>
      </c>
      <c r="C84" s="67" t="s">
        <v>16</v>
      </c>
      <c r="D84" s="68">
        <v>45069</v>
      </c>
      <c r="E84" s="69">
        <v>464080</v>
      </c>
      <c r="F84" s="70">
        <f t="shared" si="5"/>
        <v>0.99620755042234099</v>
      </c>
      <c r="G84" s="69">
        <v>1760</v>
      </c>
      <c r="H84" s="69">
        <v>174393</v>
      </c>
      <c r="I84" s="70">
        <f t="shared" si="6"/>
        <v>0.37578219272539215</v>
      </c>
      <c r="J84" s="69">
        <v>2518</v>
      </c>
      <c r="K84" s="70">
        <f t="shared" si="7"/>
        <v>5.4257886571280811E-3</v>
      </c>
      <c r="L84" s="70">
        <f t="shared" si="8"/>
        <v>1.4438652927583102E-2</v>
      </c>
      <c r="M84" s="69">
        <v>361</v>
      </c>
      <c r="N84" s="70">
        <f t="shared" si="9"/>
        <v>7.7788312359937937E-4</v>
      </c>
      <c r="O84" s="67" t="s">
        <v>16</v>
      </c>
    </row>
    <row r="85" spans="1:15" s="1" customFormat="1" x14ac:dyDescent="0.3">
      <c r="A85" s="66" t="s">
        <v>17</v>
      </c>
      <c r="B85" s="67" t="s">
        <v>15</v>
      </c>
      <c r="C85" s="67" t="s">
        <v>16</v>
      </c>
      <c r="D85" s="68">
        <v>45069</v>
      </c>
      <c r="E85" s="69">
        <v>238668</v>
      </c>
      <c r="F85" s="70">
        <f t="shared" si="5"/>
        <v>0.995114552432668</v>
      </c>
      <c r="G85" s="69">
        <v>1166</v>
      </c>
      <c r="H85" s="69">
        <v>83877</v>
      </c>
      <c r="I85" s="70">
        <f t="shared" si="6"/>
        <v>0.35143798079340338</v>
      </c>
      <c r="J85" s="69">
        <v>1825</v>
      </c>
      <c r="K85" s="70">
        <f t="shared" si="7"/>
        <v>7.6466053262272274E-3</v>
      </c>
      <c r="L85" s="70">
        <f t="shared" si="8"/>
        <v>2.1758050478677109E-2</v>
      </c>
      <c r="M85" s="69">
        <v>98</v>
      </c>
      <c r="N85" s="70">
        <f t="shared" si="9"/>
        <v>4.1061223121658541E-4</v>
      </c>
      <c r="O85" s="67" t="s">
        <v>16</v>
      </c>
    </row>
    <row r="86" spans="1:15" s="1" customFormat="1" x14ac:dyDescent="0.3">
      <c r="A86" s="66" t="s">
        <v>29</v>
      </c>
      <c r="B86" s="67" t="s">
        <v>18</v>
      </c>
      <c r="C86" s="67" t="s">
        <v>16</v>
      </c>
      <c r="D86" s="68">
        <v>45069</v>
      </c>
      <c r="E86" s="69">
        <v>27442</v>
      </c>
      <c r="F86" s="70">
        <f t="shared" si="5"/>
        <v>0.99606442679105023</v>
      </c>
      <c r="G86" s="69">
        <v>108</v>
      </c>
      <c r="H86" s="69">
        <v>9456</v>
      </c>
      <c r="I86" s="70">
        <f t="shared" si="6"/>
        <v>0.34458129873915894</v>
      </c>
      <c r="J86" s="69">
        <v>169</v>
      </c>
      <c r="K86" s="70">
        <f t="shared" si="7"/>
        <v>6.158443262152904E-3</v>
      </c>
      <c r="L86" s="70">
        <f t="shared" si="8"/>
        <v>1.7872250423011844E-2</v>
      </c>
      <c r="M86" s="69">
        <v>23</v>
      </c>
      <c r="N86" s="70">
        <f t="shared" si="9"/>
        <v>8.3813133153560235E-4</v>
      </c>
      <c r="O86" s="67" t="s">
        <v>16</v>
      </c>
    </row>
    <row r="87" spans="1:15" s="1" customFormat="1" x14ac:dyDescent="0.3">
      <c r="A87" s="66" t="s">
        <v>29</v>
      </c>
      <c r="B87" s="67" t="s">
        <v>15</v>
      </c>
      <c r="C87" s="67" t="s">
        <v>16</v>
      </c>
      <c r="D87" s="68">
        <v>45069</v>
      </c>
      <c r="E87" s="69">
        <v>26439</v>
      </c>
      <c r="F87" s="70">
        <f t="shared" si="5"/>
        <v>0.99406180264003929</v>
      </c>
      <c r="G87" s="69">
        <v>157</v>
      </c>
      <c r="H87" s="69">
        <v>8868</v>
      </c>
      <c r="I87" s="70">
        <f t="shared" si="6"/>
        <v>0.33541359355497563</v>
      </c>
      <c r="J87" s="69">
        <v>237</v>
      </c>
      <c r="K87" s="70">
        <f t="shared" si="7"/>
        <v>8.9640304096221483E-3</v>
      </c>
      <c r="L87" s="70">
        <f t="shared" si="8"/>
        <v>2.6725304465493909E-2</v>
      </c>
      <c r="M87" s="69">
        <v>11</v>
      </c>
      <c r="N87" s="70">
        <f t="shared" si="9"/>
        <v>4.1605204432845419E-4</v>
      </c>
      <c r="O87" s="67" t="s">
        <v>16</v>
      </c>
    </row>
    <row r="88" spans="1:15" s="1" customFormat="1" x14ac:dyDescent="0.3">
      <c r="A88" s="76" t="s">
        <v>17</v>
      </c>
      <c r="B88" s="67" t="s">
        <v>18</v>
      </c>
      <c r="C88" s="67" t="s">
        <v>16</v>
      </c>
      <c r="D88" s="68">
        <v>45076</v>
      </c>
      <c r="E88" s="88">
        <v>466072</v>
      </c>
      <c r="F88" s="70">
        <f t="shared" si="5"/>
        <v>0.9965970922947528</v>
      </c>
      <c r="G88" s="88">
        <v>1586</v>
      </c>
      <c r="H88" s="88">
        <v>179341</v>
      </c>
      <c r="I88" s="70">
        <f t="shared" si="6"/>
        <v>0.38479247841535213</v>
      </c>
      <c r="J88" s="69">
        <v>2007</v>
      </c>
      <c r="K88" s="70">
        <f t="shared" si="7"/>
        <v>4.3062016169175578E-3</v>
      </c>
      <c r="L88" s="70">
        <f t="shared" si="8"/>
        <v>1.1190971389698953E-2</v>
      </c>
      <c r="M88" s="69">
        <v>464</v>
      </c>
      <c r="N88" s="70">
        <f t="shared" si="9"/>
        <v>9.955543349525395E-4</v>
      </c>
      <c r="O88" s="67" t="s">
        <v>16</v>
      </c>
    </row>
    <row r="89" spans="1:15" s="1" customFormat="1" x14ac:dyDescent="0.3">
      <c r="A89" s="76" t="s">
        <v>17</v>
      </c>
      <c r="B89" s="67" t="s">
        <v>15</v>
      </c>
      <c r="C89" s="67" t="s">
        <v>16</v>
      </c>
      <c r="D89" s="68">
        <v>45076</v>
      </c>
      <c r="E89" s="88">
        <v>240159</v>
      </c>
      <c r="F89" s="70">
        <f t="shared" si="5"/>
        <v>0.99586107537090007</v>
      </c>
      <c r="G89" s="88">
        <v>994</v>
      </c>
      <c r="H89" s="88">
        <v>83019</v>
      </c>
      <c r="I89" s="70">
        <f t="shared" si="6"/>
        <v>0.34568348469139193</v>
      </c>
      <c r="J89" s="69">
        <v>1214</v>
      </c>
      <c r="K89" s="70">
        <f t="shared" si="7"/>
        <v>5.0549844061642491E-3</v>
      </c>
      <c r="L89" s="70">
        <f t="shared" si="8"/>
        <v>1.4623158554065936E-2</v>
      </c>
      <c r="M89" s="69">
        <v>114</v>
      </c>
      <c r="N89" s="70">
        <f t="shared" si="9"/>
        <v>4.746855208424419E-4</v>
      </c>
      <c r="O89" s="67" t="s">
        <v>16</v>
      </c>
    </row>
    <row r="90" spans="1:15" s="1" customFormat="1" x14ac:dyDescent="0.3">
      <c r="A90" s="76" t="s">
        <v>29</v>
      </c>
      <c r="B90" s="67" t="s">
        <v>18</v>
      </c>
      <c r="C90" s="67" t="s">
        <v>16</v>
      </c>
      <c r="D90" s="68">
        <v>45076</v>
      </c>
      <c r="E90" s="88">
        <v>27485</v>
      </c>
      <c r="F90" s="70">
        <f t="shared" si="5"/>
        <v>0.99687102055666732</v>
      </c>
      <c r="G90" s="88">
        <v>86</v>
      </c>
      <c r="H90" s="88">
        <v>9660</v>
      </c>
      <c r="I90" s="70">
        <f t="shared" si="6"/>
        <v>0.35146443514644349</v>
      </c>
      <c r="J90" s="69">
        <v>131</v>
      </c>
      <c r="K90" s="70">
        <f t="shared" si="7"/>
        <v>4.7662361287975257E-3</v>
      </c>
      <c r="L90" s="70">
        <f t="shared" si="8"/>
        <v>1.3561076604554866E-2</v>
      </c>
      <c r="M90" s="69">
        <v>21</v>
      </c>
      <c r="N90" s="70">
        <f t="shared" si="9"/>
        <v>7.640531198835729E-4</v>
      </c>
      <c r="O90" s="67" t="s">
        <v>16</v>
      </c>
    </row>
    <row r="91" spans="1:15" s="1" customFormat="1" x14ac:dyDescent="0.3">
      <c r="A91" s="76" t="s">
        <v>29</v>
      </c>
      <c r="B91" s="67" t="s">
        <v>15</v>
      </c>
      <c r="C91" s="67" t="s">
        <v>16</v>
      </c>
      <c r="D91" s="68">
        <v>45076</v>
      </c>
      <c r="E91" s="88">
        <v>26485</v>
      </c>
      <c r="F91" s="70">
        <f t="shared" si="5"/>
        <v>0.99463847460826882</v>
      </c>
      <c r="G91" s="88">
        <v>142</v>
      </c>
      <c r="H91" s="88">
        <v>8841</v>
      </c>
      <c r="I91" s="70">
        <f t="shared" si="6"/>
        <v>0.33381159146686806</v>
      </c>
      <c r="J91" s="69">
        <v>187</v>
      </c>
      <c r="K91" s="70">
        <f t="shared" si="7"/>
        <v>7.0606003398149897E-3</v>
      </c>
      <c r="L91" s="70">
        <f t="shared" si="8"/>
        <v>2.1151453455491461E-2</v>
      </c>
      <c r="M91" s="69">
        <v>9</v>
      </c>
      <c r="N91" s="70">
        <f t="shared" si="9"/>
        <v>3.3981498961676421E-4</v>
      </c>
      <c r="O91" s="67" t="s">
        <v>16</v>
      </c>
    </row>
    <row r="92" spans="1:15" s="1" customFormat="1" x14ac:dyDescent="0.3">
      <c r="A92" s="76" t="s">
        <v>29</v>
      </c>
      <c r="B92" s="67" t="s">
        <v>18</v>
      </c>
      <c r="C92" s="67" t="s">
        <v>16</v>
      </c>
      <c r="D92" s="68">
        <v>45083</v>
      </c>
      <c r="E92" s="69">
        <v>27567</v>
      </c>
      <c r="F92" s="70">
        <f t="shared" si="5"/>
        <v>0.99684405267167264</v>
      </c>
      <c r="G92" s="67">
        <v>87</v>
      </c>
      <c r="H92" s="69">
        <v>9529</v>
      </c>
      <c r="I92" s="70">
        <f t="shared" si="6"/>
        <v>0.34566692059346321</v>
      </c>
      <c r="J92" s="69">
        <v>190</v>
      </c>
      <c r="K92" s="70">
        <f t="shared" si="7"/>
        <v>6.8922987630137484E-3</v>
      </c>
      <c r="L92" s="70">
        <f t="shared" si="8"/>
        <v>1.993913317242103E-2</v>
      </c>
      <c r="M92" s="69">
        <v>25</v>
      </c>
      <c r="N92" s="70">
        <f t="shared" si="9"/>
        <v>9.0688141618601946E-4</v>
      </c>
      <c r="O92" s="67" t="s">
        <v>16</v>
      </c>
    </row>
    <row r="93" spans="1:15" s="1" customFormat="1" x14ac:dyDescent="0.3">
      <c r="A93" s="76" t="s">
        <v>29</v>
      </c>
      <c r="B93" s="67" t="s">
        <v>15</v>
      </c>
      <c r="C93" s="67" t="s">
        <v>16</v>
      </c>
      <c r="D93" s="68">
        <v>45083</v>
      </c>
      <c r="E93" s="69">
        <v>26511</v>
      </c>
      <c r="F93" s="70">
        <f t="shared" si="5"/>
        <v>0.99505865489796685</v>
      </c>
      <c r="G93" s="67">
        <v>131</v>
      </c>
      <c r="H93" s="69">
        <v>8974</v>
      </c>
      <c r="I93" s="70">
        <f t="shared" si="6"/>
        <v>0.3385009995850779</v>
      </c>
      <c r="J93" s="69">
        <v>231</v>
      </c>
      <c r="K93" s="70">
        <f t="shared" si="7"/>
        <v>8.7133642638904611E-3</v>
      </c>
      <c r="L93" s="70">
        <f t="shared" si="8"/>
        <v>2.5741029641185648E-2</v>
      </c>
      <c r="M93" s="69">
        <v>11</v>
      </c>
      <c r="N93" s="70">
        <f t="shared" si="9"/>
        <v>4.1492210780430766E-4</v>
      </c>
      <c r="O93" s="67" t="s">
        <v>16</v>
      </c>
    </row>
    <row r="94" spans="1:15" s="1" customFormat="1" x14ac:dyDescent="0.3">
      <c r="A94" s="76" t="s">
        <v>17</v>
      </c>
      <c r="B94" s="67" t="s">
        <v>15</v>
      </c>
      <c r="C94" s="67" t="s">
        <v>16</v>
      </c>
      <c r="D94" s="68">
        <v>45083</v>
      </c>
      <c r="E94" s="69">
        <v>241761</v>
      </c>
      <c r="F94" s="70">
        <f t="shared" si="5"/>
        <v>0.99558655035344823</v>
      </c>
      <c r="G94" s="67">
        <v>1067</v>
      </c>
      <c r="H94" s="69">
        <v>84542</v>
      </c>
      <c r="I94" s="70">
        <f t="shared" si="6"/>
        <v>0.34969246487233258</v>
      </c>
      <c r="J94" s="69">
        <v>1607</v>
      </c>
      <c r="K94" s="70">
        <f t="shared" si="7"/>
        <v>6.6470605267185357E-3</v>
      </c>
      <c r="L94" s="70">
        <f t="shared" si="8"/>
        <v>1.9008303565091908E-2</v>
      </c>
      <c r="M94" s="69">
        <v>100</v>
      </c>
      <c r="N94" s="70">
        <f t="shared" si="9"/>
        <v>4.1363164447532892E-4</v>
      </c>
      <c r="O94" s="67" t="s">
        <v>16</v>
      </c>
    </row>
    <row r="95" spans="1:15" s="1" customFormat="1" x14ac:dyDescent="0.3">
      <c r="A95" s="76" t="s">
        <v>17</v>
      </c>
      <c r="B95" s="67" t="s">
        <v>18</v>
      </c>
      <c r="C95" s="67" t="s">
        <v>16</v>
      </c>
      <c r="D95" s="68">
        <v>45083</v>
      </c>
      <c r="E95" s="69">
        <v>469199</v>
      </c>
      <c r="F95" s="70">
        <f t="shared" si="5"/>
        <v>0.99670502281547912</v>
      </c>
      <c r="G95" s="67">
        <v>1546</v>
      </c>
      <c r="H95" s="69">
        <v>176408</v>
      </c>
      <c r="I95" s="70">
        <f t="shared" si="6"/>
        <v>0.37597693089712469</v>
      </c>
      <c r="J95" s="69">
        <v>2434</v>
      </c>
      <c r="K95" s="70">
        <f t="shared" si="7"/>
        <v>5.1875643383724173E-3</v>
      </c>
      <c r="L95" s="70">
        <f t="shared" si="8"/>
        <v>1.3797560201351413E-2</v>
      </c>
      <c r="M95" s="69">
        <v>368</v>
      </c>
      <c r="N95" s="70">
        <f t="shared" si="9"/>
        <v>7.8431539709163914E-4</v>
      </c>
      <c r="O95" s="67" t="s">
        <v>16</v>
      </c>
    </row>
    <row r="96" spans="1:15" s="1" customFormat="1" x14ac:dyDescent="0.3">
      <c r="A96" s="76" t="s">
        <v>29</v>
      </c>
      <c r="B96" s="67" t="s">
        <v>15</v>
      </c>
      <c r="C96" s="67" t="s">
        <v>16</v>
      </c>
      <c r="D96" s="68">
        <v>45090</v>
      </c>
      <c r="E96" s="69">
        <v>26538</v>
      </c>
      <c r="F96" s="70">
        <f t="shared" si="5"/>
        <v>0.99649559122767351</v>
      </c>
      <c r="G96" s="67">
        <v>93</v>
      </c>
      <c r="H96" s="69">
        <v>9069</v>
      </c>
      <c r="I96" s="70">
        <f t="shared" si="6"/>
        <v>0.34173637802396561</v>
      </c>
      <c r="J96" s="69">
        <v>200</v>
      </c>
      <c r="K96" s="70">
        <f t="shared" si="7"/>
        <v>7.5363629512397315E-3</v>
      </c>
      <c r="L96" s="70">
        <f t="shared" si="8"/>
        <v>2.2053148086889404E-2</v>
      </c>
      <c r="M96" s="69">
        <v>9</v>
      </c>
      <c r="N96" s="70">
        <f t="shared" si="9"/>
        <v>3.3913633280578795E-4</v>
      </c>
      <c r="O96" s="67" t="s">
        <v>16</v>
      </c>
    </row>
    <row r="97" spans="1:15" s="1" customFormat="1" x14ac:dyDescent="0.3">
      <c r="A97" s="76" t="s">
        <v>29</v>
      </c>
      <c r="B97" s="67" t="s">
        <v>18</v>
      </c>
      <c r="C97" s="67" t="s">
        <v>16</v>
      </c>
      <c r="D97" s="68">
        <v>45090</v>
      </c>
      <c r="E97" s="69">
        <v>27681</v>
      </c>
      <c r="F97" s="70">
        <f t="shared" si="5"/>
        <v>0.99765181893717714</v>
      </c>
      <c r="G97" s="67">
        <v>65</v>
      </c>
      <c r="H97" s="69">
        <v>9708</v>
      </c>
      <c r="I97" s="70">
        <f t="shared" si="6"/>
        <v>0.35070987319822261</v>
      </c>
      <c r="J97" s="69">
        <v>154</v>
      </c>
      <c r="K97" s="70">
        <f t="shared" si="7"/>
        <v>5.5633828257649655E-3</v>
      </c>
      <c r="L97" s="70">
        <f t="shared" si="8"/>
        <v>1.5863205603625877E-2</v>
      </c>
      <c r="M97" s="69">
        <v>26</v>
      </c>
      <c r="N97" s="70">
        <f t="shared" si="9"/>
        <v>9.3927242512914998E-4</v>
      </c>
      <c r="O97" s="67" t="s">
        <v>16</v>
      </c>
    </row>
    <row r="98" spans="1:15" s="1" customFormat="1" x14ac:dyDescent="0.3">
      <c r="A98" s="76" t="s">
        <v>17</v>
      </c>
      <c r="B98" s="67" t="s">
        <v>15</v>
      </c>
      <c r="C98" s="67" t="s">
        <v>16</v>
      </c>
      <c r="D98" s="68">
        <v>45090</v>
      </c>
      <c r="E98" s="69">
        <v>243577</v>
      </c>
      <c r="F98" s="70">
        <f t="shared" si="5"/>
        <v>0.99639949584730902</v>
      </c>
      <c r="G98" s="67">
        <v>877</v>
      </c>
      <c r="H98" s="69">
        <v>86167</v>
      </c>
      <c r="I98" s="70">
        <f t="shared" si="6"/>
        <v>0.35375671758827804</v>
      </c>
      <c r="J98" s="69">
        <v>1483</v>
      </c>
      <c r="K98" s="70">
        <f t="shared" si="7"/>
        <v>6.0884237838547978E-3</v>
      </c>
      <c r="L98" s="70">
        <f t="shared" si="8"/>
        <v>1.7210765142107766E-2</v>
      </c>
      <c r="M98" s="69">
        <v>105</v>
      </c>
      <c r="N98" s="70">
        <f t="shared" si="9"/>
        <v>4.3107518361750082E-4</v>
      </c>
      <c r="O98" s="67" t="s">
        <v>16</v>
      </c>
    </row>
    <row r="99" spans="1:15" s="1" customFormat="1" x14ac:dyDescent="0.3">
      <c r="A99" s="76" t="s">
        <v>17</v>
      </c>
      <c r="B99" s="67" t="s">
        <v>18</v>
      </c>
      <c r="C99" s="67" t="s">
        <v>16</v>
      </c>
      <c r="D99" s="68">
        <v>45090</v>
      </c>
      <c r="E99" s="69">
        <v>473963</v>
      </c>
      <c r="F99" s="70">
        <f t="shared" si="5"/>
        <v>0.99730991659686519</v>
      </c>
      <c r="G99" s="67">
        <v>1275</v>
      </c>
      <c r="H99" s="69">
        <v>180894</v>
      </c>
      <c r="I99" s="70">
        <f t="shared" si="6"/>
        <v>0.38166270362876425</v>
      </c>
      <c r="J99" s="69">
        <v>2183</v>
      </c>
      <c r="K99" s="70">
        <f t="shared" si="7"/>
        <v>4.605844760034011E-3</v>
      </c>
      <c r="L99" s="70">
        <f t="shared" si="8"/>
        <v>1.2067840834964122E-2</v>
      </c>
      <c r="M99" s="69">
        <v>348</v>
      </c>
      <c r="N99" s="70">
        <f t="shared" si="9"/>
        <v>7.3423452885562797E-4</v>
      </c>
      <c r="O99" s="67" t="s">
        <v>16</v>
      </c>
    </row>
    <row r="100" spans="1:15" s="1" customFormat="1" x14ac:dyDescent="0.3">
      <c r="A100" s="95" t="s">
        <v>29</v>
      </c>
      <c r="B100" s="58" t="s">
        <v>15</v>
      </c>
      <c r="C100" s="58" t="s">
        <v>16</v>
      </c>
      <c r="D100" s="83">
        <v>45097</v>
      </c>
      <c r="E100" s="59">
        <v>26581</v>
      </c>
      <c r="F100" s="60">
        <f t="shared" si="5"/>
        <v>0.99702795229675334</v>
      </c>
      <c r="G100" s="58">
        <v>79</v>
      </c>
      <c r="H100" s="59">
        <v>8881</v>
      </c>
      <c r="I100" s="60">
        <f t="shared" si="6"/>
        <v>0.33411083104473122</v>
      </c>
      <c r="J100" s="59">
        <v>191</v>
      </c>
      <c r="K100" s="60">
        <f t="shared" si="7"/>
        <v>7.1855836875964032E-3</v>
      </c>
      <c r="L100" s="60">
        <f t="shared" si="8"/>
        <v>2.1506587096047743E-2</v>
      </c>
      <c r="M100" s="59">
        <v>8</v>
      </c>
      <c r="N100" s="60">
        <f t="shared" si="9"/>
        <v>3.0096685602498023E-4</v>
      </c>
      <c r="O100" s="58" t="s">
        <v>16</v>
      </c>
    </row>
    <row r="101" spans="1:15" s="1" customFormat="1" x14ac:dyDescent="0.3">
      <c r="A101" s="95" t="s">
        <v>29</v>
      </c>
      <c r="B101" s="58" t="s">
        <v>18</v>
      </c>
      <c r="C101" s="58" t="s">
        <v>16</v>
      </c>
      <c r="D101" s="83">
        <v>45097</v>
      </c>
      <c r="E101" s="59">
        <v>27747</v>
      </c>
      <c r="F101" s="60">
        <f t="shared" si="5"/>
        <v>0.99834216311673329</v>
      </c>
      <c r="G101" s="58">
        <v>46</v>
      </c>
      <c r="H101" s="59">
        <v>9448</v>
      </c>
      <c r="I101" s="60">
        <f t="shared" si="6"/>
        <v>0.34050527985007389</v>
      </c>
      <c r="J101" s="59">
        <v>165</v>
      </c>
      <c r="K101" s="60">
        <f t="shared" si="7"/>
        <v>5.946588820413018E-3</v>
      </c>
      <c r="L101" s="60">
        <f t="shared" si="8"/>
        <v>1.7464013547840811E-2</v>
      </c>
      <c r="M101" s="59">
        <v>20</v>
      </c>
      <c r="N101" s="60">
        <f t="shared" si="9"/>
        <v>7.2079864489854757E-4</v>
      </c>
      <c r="O101" s="58" t="s">
        <v>16</v>
      </c>
    </row>
    <row r="102" spans="1:15" s="1" customFormat="1" x14ac:dyDescent="0.3">
      <c r="A102" s="95" t="s">
        <v>17</v>
      </c>
      <c r="B102" s="58" t="s">
        <v>15</v>
      </c>
      <c r="C102" s="58" t="s">
        <v>16</v>
      </c>
      <c r="D102" s="83">
        <v>45097</v>
      </c>
      <c r="E102" s="59">
        <v>245145</v>
      </c>
      <c r="F102" s="60">
        <f t="shared" si="5"/>
        <v>0.99704256664423097</v>
      </c>
      <c r="G102" s="58">
        <v>725</v>
      </c>
      <c r="H102" s="59">
        <v>85179</v>
      </c>
      <c r="I102" s="60">
        <f t="shared" si="6"/>
        <v>0.34746374594627671</v>
      </c>
      <c r="J102" s="59">
        <v>1355</v>
      </c>
      <c r="K102" s="60">
        <f t="shared" si="7"/>
        <v>5.5273409614717819E-3</v>
      </c>
      <c r="L102" s="60">
        <f t="shared" si="8"/>
        <v>1.590767677479191E-2</v>
      </c>
      <c r="M102" s="59">
        <v>117</v>
      </c>
      <c r="N102" s="60">
        <f t="shared" si="9"/>
        <v>4.7726855534479596E-4</v>
      </c>
      <c r="O102" s="58" t="s">
        <v>16</v>
      </c>
    </row>
    <row r="103" spans="1:15" s="1" customFormat="1" x14ac:dyDescent="0.3">
      <c r="A103" s="95" t="s">
        <v>17</v>
      </c>
      <c r="B103" s="58" t="s">
        <v>18</v>
      </c>
      <c r="C103" s="58" t="s">
        <v>16</v>
      </c>
      <c r="D103" s="83">
        <v>45097</v>
      </c>
      <c r="E103" s="59">
        <v>477617</v>
      </c>
      <c r="F103" s="60">
        <f t="shared" si="5"/>
        <v>0.99774296141050256</v>
      </c>
      <c r="G103" s="58">
        <v>1078</v>
      </c>
      <c r="H103" s="59">
        <v>177179</v>
      </c>
      <c r="I103" s="60">
        <f t="shared" si="6"/>
        <v>0.37096460134375453</v>
      </c>
      <c r="J103" s="59">
        <v>2060</v>
      </c>
      <c r="K103" s="60">
        <f t="shared" si="7"/>
        <v>4.3130793083160776E-3</v>
      </c>
      <c r="L103" s="60">
        <f t="shared" si="8"/>
        <v>1.1626660044361916E-2</v>
      </c>
      <c r="M103" s="59">
        <v>406</v>
      </c>
      <c r="N103" s="60">
        <f t="shared" si="9"/>
        <v>8.5005349474579005E-4</v>
      </c>
      <c r="O103" s="58" t="s">
        <v>16</v>
      </c>
    </row>
    <row r="105" spans="1:15" x14ac:dyDescent="0.3">
      <c r="A105" s="33" t="s">
        <v>49</v>
      </c>
      <c r="B105" s="35"/>
      <c r="C105" s="35"/>
      <c r="D105" s="35"/>
      <c r="E105" s="31">
        <f>SUM(E2:E103)</f>
        <v>17955970</v>
      </c>
      <c r="F105" s="32">
        <f>(E105-G105)/E105</f>
        <v>0.99730596564819385</v>
      </c>
      <c r="G105" s="31">
        <f>SUM(G2:G103)</f>
        <v>48374</v>
      </c>
      <c r="H105" s="31">
        <f>SUM(H2:H103)</f>
        <v>6898864</v>
      </c>
      <c r="I105" s="32">
        <f>H105/E105</f>
        <v>0.38421004267661396</v>
      </c>
      <c r="J105" s="31">
        <f>SUM(J2:J103)</f>
        <v>120284</v>
      </c>
      <c r="K105" s="32">
        <f>J105/E105</f>
        <v>6.6988305282310008E-3</v>
      </c>
      <c r="L105" s="32">
        <f>J105/H105</f>
        <v>1.7435334281122226E-2</v>
      </c>
      <c r="M105" s="31">
        <f>SUM(M2:M103)</f>
        <v>17225</v>
      </c>
      <c r="N105" s="32">
        <f>M105/E105</f>
        <v>9.592909767614893E-4</v>
      </c>
      <c r="O105" s="21"/>
    </row>
    <row r="106" spans="1:15" x14ac:dyDescent="0.3">
      <c r="D106" s="5"/>
      <c r="E106" s="2"/>
      <c r="F106" s="6"/>
      <c r="G106" s="2"/>
      <c r="H106" s="2"/>
      <c r="I106" s="22"/>
      <c r="J106" s="2"/>
      <c r="K106" s="22"/>
      <c r="L106" s="22"/>
      <c r="M106" s="16">
        <f>M105/J105</f>
        <v>0.14320275348342257</v>
      </c>
      <c r="N106" s="22"/>
      <c r="O106" s="21"/>
    </row>
    <row r="107" spans="1:15" x14ac:dyDescent="0.3">
      <c r="D107" s="5"/>
      <c r="E107" s="2"/>
      <c r="F107" s="6"/>
      <c r="G107" s="2"/>
      <c r="H107" s="2"/>
      <c r="I107" s="22"/>
      <c r="J107" s="2"/>
      <c r="K107" s="22"/>
      <c r="L107" s="22"/>
      <c r="M107" s="16"/>
      <c r="N107" s="22"/>
      <c r="O107" s="21"/>
    </row>
    <row r="108" spans="1:15" x14ac:dyDescent="0.3">
      <c r="A108" s="36" t="s">
        <v>41</v>
      </c>
      <c r="B108" s="37"/>
      <c r="C108" s="38"/>
      <c r="D108" s="38"/>
      <c r="E108" s="40"/>
      <c r="F108" s="41"/>
      <c r="G108" s="42"/>
      <c r="H108" s="41"/>
      <c r="I108" s="43">
        <v>0.23899999999999999</v>
      </c>
      <c r="J108" s="41"/>
      <c r="K108" s="43">
        <v>2.9000000000000001E-2</v>
      </c>
      <c r="L108" s="43">
        <v>0.124</v>
      </c>
      <c r="M108" s="41"/>
      <c r="N108" s="43">
        <v>1E-3</v>
      </c>
    </row>
    <row r="109" spans="1:15" x14ac:dyDescent="0.3">
      <c r="E109" s="21"/>
      <c r="F109" s="21"/>
      <c r="G109" s="21"/>
      <c r="H109" s="21"/>
      <c r="I109" s="22"/>
      <c r="J109" s="21"/>
      <c r="K109" s="22"/>
      <c r="L109" s="22"/>
      <c r="M109" s="16"/>
      <c r="N109" s="2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AE90C8-3B8C-1742-BC7F-B7CB4ECBD447}">
          <x14:formula1>
            <xm:f>'List Sheet'!$A$2:$A$4</xm:f>
          </x14:formula1>
          <xm:sqref>C2:C5 C26:C37 C50:C51 O34:O55 C92:C104 O92:O103</xm:sqref>
        </x14:dataValidation>
        <x14:dataValidation type="list" allowBlank="1" showInputMessage="1" showErrorMessage="1" xr:uid="{4EFE20F4-AF2B-414A-BC46-E0CADF5E5D20}">
          <x14:formula1>
            <xm:f>'List Sheet'!$B$2:$B$3</xm:f>
          </x14:formula1>
          <xm:sqref>B6:B103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49D7-02C1-BD4D-A401-ECAC1E14AEE4}">
  <dimension ref="A1:O80"/>
  <sheetViews>
    <sheetView zoomScaleNormal="100" workbookViewId="0">
      <pane ySplit="1" topLeftCell="A42" activePane="bottomLeft" state="frozen"/>
      <selection pane="bottomLeft" activeCell="O71" sqref="O71"/>
    </sheetView>
  </sheetViews>
  <sheetFormatPr defaultColWidth="10.6640625" defaultRowHeight="14.4" x14ac:dyDescent="0.3"/>
  <cols>
    <col min="1" max="1" width="27.6640625" customWidth="1"/>
    <col min="2" max="2" width="9.44140625" bestFit="1" customWidth="1"/>
    <col min="3" max="3" width="14.109375" bestFit="1" customWidth="1"/>
    <col min="4" max="4" width="10.44140625" bestFit="1" customWidth="1"/>
    <col min="5" max="5" width="10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10937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s="21" customFormat="1" x14ac:dyDescent="0.3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s="1" customFormat="1" x14ac:dyDescent="0.3">
      <c r="A2" s="66" t="s">
        <v>33</v>
      </c>
      <c r="B2" s="67" t="s">
        <v>18</v>
      </c>
      <c r="C2" s="67" t="s">
        <v>21</v>
      </c>
      <c r="D2" s="68">
        <v>44932</v>
      </c>
      <c r="E2" s="69">
        <v>229503</v>
      </c>
      <c r="F2" s="70">
        <f t="shared" ref="F2:F21" si="0">(E2-G2)/E2</f>
        <v>0.99866232685411516</v>
      </c>
      <c r="G2" s="69">
        <v>307</v>
      </c>
      <c r="H2" s="69">
        <v>105460</v>
      </c>
      <c r="I2" s="70">
        <f t="shared" ref="I2:I21" si="1">H2/E2</f>
        <v>0.45951469043977639</v>
      </c>
      <c r="J2" s="69">
        <v>2616</v>
      </c>
      <c r="K2" s="70">
        <f t="shared" ref="K2:K21" si="2">J2/E2</f>
        <v>1.1398543809884839E-2</v>
      </c>
      <c r="L2" s="70">
        <f t="shared" ref="L2:L21" si="3">J2/H2</f>
        <v>2.4805613502749856E-2</v>
      </c>
      <c r="M2" s="69">
        <v>317</v>
      </c>
      <c r="N2" s="70">
        <f t="shared" ref="N2:N21" si="4">M2/E2</f>
        <v>1.3812455610602041E-3</v>
      </c>
      <c r="O2" s="67" t="s">
        <v>21</v>
      </c>
    </row>
    <row r="3" spans="1:15" s="1" customFormat="1" x14ac:dyDescent="0.3">
      <c r="A3" s="66" t="s">
        <v>19</v>
      </c>
      <c r="B3" s="67" t="s">
        <v>18</v>
      </c>
      <c r="C3" s="67" t="s">
        <v>21</v>
      </c>
      <c r="D3" s="68">
        <v>44932</v>
      </c>
      <c r="E3" s="69">
        <v>327320</v>
      </c>
      <c r="F3" s="70">
        <f t="shared" si="0"/>
        <v>0.99716179885127709</v>
      </c>
      <c r="G3" s="69">
        <v>929</v>
      </c>
      <c r="H3" s="69">
        <v>123722</v>
      </c>
      <c r="I3" s="70">
        <f t="shared" si="1"/>
        <v>0.37798484663326409</v>
      </c>
      <c r="J3" s="69">
        <v>3484</v>
      </c>
      <c r="K3" s="70">
        <f t="shared" si="2"/>
        <v>1.0644018086276427E-2</v>
      </c>
      <c r="L3" s="70">
        <f t="shared" si="3"/>
        <v>2.815990688802315E-2</v>
      </c>
      <c r="M3" s="69">
        <v>473</v>
      </c>
      <c r="N3" s="70">
        <f t="shared" si="4"/>
        <v>1.4450690455823049E-3</v>
      </c>
      <c r="O3" s="67" t="s">
        <v>21</v>
      </c>
    </row>
    <row r="4" spans="1:15" s="1" customFormat="1" x14ac:dyDescent="0.3">
      <c r="A4" s="66" t="s">
        <v>24</v>
      </c>
      <c r="B4" s="67" t="s">
        <v>18</v>
      </c>
      <c r="C4" s="67" t="s">
        <v>21</v>
      </c>
      <c r="D4" s="68">
        <v>44933</v>
      </c>
      <c r="E4" s="69">
        <v>13458</v>
      </c>
      <c r="F4" s="70">
        <f t="shared" si="0"/>
        <v>0.99903403180264527</v>
      </c>
      <c r="G4" s="69">
        <v>13</v>
      </c>
      <c r="H4" s="69">
        <v>4436</v>
      </c>
      <c r="I4" s="70">
        <f t="shared" si="1"/>
        <v>0.32961807103581514</v>
      </c>
      <c r="J4" s="69">
        <v>200</v>
      </c>
      <c r="K4" s="70">
        <f t="shared" si="2"/>
        <v>1.486104919007282E-2</v>
      </c>
      <c r="L4" s="70">
        <f t="shared" si="3"/>
        <v>4.5085662759242563E-2</v>
      </c>
      <c r="M4" s="69">
        <v>42</v>
      </c>
      <c r="N4" s="70">
        <f t="shared" si="4"/>
        <v>3.120820329915292E-3</v>
      </c>
      <c r="O4" s="67" t="s">
        <v>21</v>
      </c>
    </row>
    <row r="5" spans="1:15" s="1" customFormat="1" x14ac:dyDescent="0.3">
      <c r="A5" s="66" t="s">
        <v>33</v>
      </c>
      <c r="B5" s="67" t="s">
        <v>18</v>
      </c>
      <c r="C5" s="67" t="s">
        <v>21</v>
      </c>
      <c r="D5" s="72">
        <v>44939</v>
      </c>
      <c r="E5" s="69">
        <v>252620</v>
      </c>
      <c r="F5" s="70">
        <f t="shared" si="0"/>
        <v>0.99887974032143145</v>
      </c>
      <c r="G5" s="69">
        <v>283</v>
      </c>
      <c r="H5" s="69">
        <v>95330</v>
      </c>
      <c r="I5" s="70">
        <f t="shared" si="1"/>
        <v>0.37736521257224287</v>
      </c>
      <c r="J5" s="69">
        <v>2226</v>
      </c>
      <c r="K5" s="70">
        <f t="shared" si="2"/>
        <v>8.8116538674689257E-3</v>
      </c>
      <c r="L5" s="70">
        <f t="shared" si="3"/>
        <v>2.3350466799538446E-2</v>
      </c>
      <c r="M5" s="69">
        <v>330</v>
      </c>
      <c r="N5" s="70">
        <f t="shared" si="4"/>
        <v>1.3063098725358245E-3</v>
      </c>
      <c r="O5" s="67" t="s">
        <v>21</v>
      </c>
    </row>
    <row r="6" spans="1:15" s="1" customFormat="1" x14ac:dyDescent="0.3">
      <c r="A6" s="66" t="s">
        <v>19</v>
      </c>
      <c r="B6" s="67" t="s">
        <v>18</v>
      </c>
      <c r="C6" s="67" t="s">
        <v>21</v>
      </c>
      <c r="D6" s="72">
        <v>44939</v>
      </c>
      <c r="E6" s="69">
        <v>334315</v>
      </c>
      <c r="F6" s="70">
        <f t="shared" si="0"/>
        <v>0.99789121038541495</v>
      </c>
      <c r="G6" s="69">
        <v>705</v>
      </c>
      <c r="H6" s="69">
        <v>101194</v>
      </c>
      <c r="I6" s="70">
        <f t="shared" si="1"/>
        <v>0.30269057625293511</v>
      </c>
      <c r="J6" s="69">
        <v>2570</v>
      </c>
      <c r="K6" s="70">
        <f t="shared" si="2"/>
        <v>7.6873607226717313E-3</v>
      </c>
      <c r="L6" s="70">
        <f t="shared" si="3"/>
        <v>2.5396762653912289E-2</v>
      </c>
      <c r="M6" s="69">
        <v>321</v>
      </c>
      <c r="N6" s="70">
        <f t="shared" si="4"/>
        <v>9.6017229259829804E-4</v>
      </c>
      <c r="O6" s="67" t="s">
        <v>21</v>
      </c>
    </row>
    <row r="7" spans="1:15" s="1" customFormat="1" x14ac:dyDescent="0.3">
      <c r="A7" s="66" t="s">
        <v>33</v>
      </c>
      <c r="B7" s="67" t="s">
        <v>18</v>
      </c>
      <c r="C7" s="67" t="s">
        <v>21</v>
      </c>
      <c r="D7" s="72">
        <v>44946</v>
      </c>
      <c r="E7" s="69">
        <v>251190</v>
      </c>
      <c r="F7" s="70">
        <f t="shared" si="0"/>
        <v>0.99849914407420681</v>
      </c>
      <c r="G7" s="69">
        <v>377</v>
      </c>
      <c r="H7" s="69">
        <v>116570</v>
      </c>
      <c r="I7" s="70">
        <f t="shared" si="1"/>
        <v>0.46407102193558658</v>
      </c>
      <c r="J7" s="69">
        <v>2464</v>
      </c>
      <c r="K7" s="70">
        <f t="shared" si="2"/>
        <v>9.8093076953700391E-3</v>
      </c>
      <c r="L7" s="70">
        <f t="shared" si="3"/>
        <v>2.1137513940121814E-2</v>
      </c>
      <c r="M7" s="69">
        <v>385</v>
      </c>
      <c r="N7" s="70">
        <f t="shared" si="4"/>
        <v>1.5327043274015685E-3</v>
      </c>
      <c r="O7" s="67" t="s">
        <v>21</v>
      </c>
    </row>
    <row r="8" spans="1:15" s="1" customFormat="1" x14ac:dyDescent="0.3">
      <c r="A8" s="66" t="s">
        <v>19</v>
      </c>
      <c r="B8" s="67" t="s">
        <v>18</v>
      </c>
      <c r="C8" s="67" t="s">
        <v>21</v>
      </c>
      <c r="D8" s="72">
        <v>44946</v>
      </c>
      <c r="E8" s="69">
        <v>334231</v>
      </c>
      <c r="F8" s="70">
        <f t="shared" si="0"/>
        <v>0.99706789615565283</v>
      </c>
      <c r="G8" s="69">
        <v>980</v>
      </c>
      <c r="H8" s="69">
        <v>127214</v>
      </c>
      <c r="I8" s="70">
        <f t="shared" si="1"/>
        <v>0.3806169984232462</v>
      </c>
      <c r="J8" s="69">
        <v>3076</v>
      </c>
      <c r="K8" s="70">
        <f t="shared" si="2"/>
        <v>9.2032157400121477E-3</v>
      </c>
      <c r="L8" s="70">
        <f t="shared" si="3"/>
        <v>2.4179728646218184E-2</v>
      </c>
      <c r="M8" s="69">
        <v>473</v>
      </c>
      <c r="N8" s="70">
        <f t="shared" si="4"/>
        <v>1.4151888963022581E-3</v>
      </c>
      <c r="O8" s="67" t="s">
        <v>21</v>
      </c>
    </row>
    <row r="9" spans="1:15" s="1" customFormat="1" x14ac:dyDescent="0.3">
      <c r="A9" s="66" t="s">
        <v>24</v>
      </c>
      <c r="B9" s="67" t="s">
        <v>18</v>
      </c>
      <c r="C9" s="67" t="s">
        <v>21</v>
      </c>
      <c r="D9" s="72">
        <v>44947</v>
      </c>
      <c r="E9" s="69">
        <v>15444</v>
      </c>
      <c r="F9" s="70">
        <f t="shared" si="0"/>
        <v>0.99909349909349909</v>
      </c>
      <c r="G9" s="69">
        <v>14</v>
      </c>
      <c r="H9" s="69">
        <v>5022</v>
      </c>
      <c r="I9" s="70">
        <f t="shared" si="1"/>
        <v>0.32517482517482516</v>
      </c>
      <c r="J9" s="69">
        <v>173</v>
      </c>
      <c r="K9" s="70">
        <f t="shared" si="2"/>
        <v>1.1201761201761203E-2</v>
      </c>
      <c r="L9" s="70">
        <f t="shared" si="3"/>
        <v>3.4448426921545199E-2</v>
      </c>
      <c r="M9" s="69">
        <v>17</v>
      </c>
      <c r="N9" s="70">
        <f t="shared" si="4"/>
        <v>1.1007511007511007E-3</v>
      </c>
      <c r="O9" s="67" t="s">
        <v>21</v>
      </c>
    </row>
    <row r="10" spans="1:15" s="1" customFormat="1" x14ac:dyDescent="0.3">
      <c r="A10" s="66" t="s">
        <v>19</v>
      </c>
      <c r="B10" s="67" t="s">
        <v>18</v>
      </c>
      <c r="C10" s="67" t="s">
        <v>21</v>
      </c>
      <c r="D10" s="72">
        <v>44953</v>
      </c>
      <c r="E10" s="69">
        <v>334048</v>
      </c>
      <c r="F10" s="70">
        <f t="shared" si="0"/>
        <v>0.99770092920777853</v>
      </c>
      <c r="G10" s="69">
        <v>768</v>
      </c>
      <c r="H10" s="69">
        <v>122888</v>
      </c>
      <c r="I10" s="70">
        <f t="shared" si="1"/>
        <v>0.36787527540952197</v>
      </c>
      <c r="J10" s="69">
        <v>3571</v>
      </c>
      <c r="K10" s="70">
        <f t="shared" si="2"/>
        <v>1.0690080467477728E-2</v>
      </c>
      <c r="L10" s="70">
        <f t="shared" si="3"/>
        <v>2.9058980535121411E-2</v>
      </c>
      <c r="M10" s="69">
        <v>581</v>
      </c>
      <c r="N10" s="70">
        <f t="shared" si="4"/>
        <v>1.7392710029696331E-3</v>
      </c>
      <c r="O10" s="67" t="s">
        <v>21</v>
      </c>
    </row>
    <row r="11" spans="1:15" s="1" customFormat="1" x14ac:dyDescent="0.3">
      <c r="A11" s="66" t="s">
        <v>33</v>
      </c>
      <c r="B11" s="67" t="s">
        <v>18</v>
      </c>
      <c r="C11" s="67" t="s">
        <v>21</v>
      </c>
      <c r="D11" s="72">
        <v>44953</v>
      </c>
      <c r="E11" s="69">
        <v>250619</v>
      </c>
      <c r="F11" s="70">
        <f t="shared" si="0"/>
        <v>0.99901444024595099</v>
      </c>
      <c r="G11" s="69">
        <v>247</v>
      </c>
      <c r="H11" s="69">
        <v>114442</v>
      </c>
      <c r="I11" s="70">
        <f t="shared" si="1"/>
        <v>0.45663736588207599</v>
      </c>
      <c r="J11" s="69">
        <v>3246</v>
      </c>
      <c r="K11" s="70">
        <f t="shared" si="2"/>
        <v>1.2951931018797458E-2</v>
      </c>
      <c r="L11" s="70">
        <f t="shared" si="3"/>
        <v>2.8363712622988063E-2</v>
      </c>
      <c r="M11" s="69">
        <v>438</v>
      </c>
      <c r="N11" s="70">
        <f t="shared" si="4"/>
        <v>1.747672762240692E-3</v>
      </c>
      <c r="O11" s="67" t="s">
        <v>21</v>
      </c>
    </row>
    <row r="12" spans="1:15" s="1" customFormat="1" x14ac:dyDescent="0.3">
      <c r="A12" s="76" t="s">
        <v>33</v>
      </c>
      <c r="B12" s="67" t="s">
        <v>18</v>
      </c>
      <c r="C12" s="67" t="s">
        <v>21</v>
      </c>
      <c r="D12" s="68">
        <v>44960</v>
      </c>
      <c r="E12" s="69">
        <v>249719</v>
      </c>
      <c r="F12" s="70">
        <f t="shared" si="0"/>
        <v>0.99873457766529583</v>
      </c>
      <c r="G12" s="69">
        <v>316</v>
      </c>
      <c r="H12" s="69">
        <v>113555</v>
      </c>
      <c r="I12" s="70">
        <f t="shared" si="1"/>
        <v>0.45473111777638064</v>
      </c>
      <c r="J12" s="69">
        <v>1651</v>
      </c>
      <c r="K12" s="70">
        <f t="shared" si="2"/>
        <v>6.6114312487235653E-3</v>
      </c>
      <c r="L12" s="70">
        <f t="shared" si="3"/>
        <v>1.453921007441328E-2</v>
      </c>
      <c r="M12" s="69">
        <v>348</v>
      </c>
      <c r="N12" s="70">
        <f t="shared" si="4"/>
        <v>1.3935663685983046E-3</v>
      </c>
      <c r="O12" s="67" t="s">
        <v>21</v>
      </c>
    </row>
    <row r="13" spans="1:15" s="1" customFormat="1" x14ac:dyDescent="0.3">
      <c r="A13" s="76" t="s">
        <v>19</v>
      </c>
      <c r="B13" s="67" t="s">
        <v>18</v>
      </c>
      <c r="C13" s="67" t="s">
        <v>21</v>
      </c>
      <c r="D13" s="68">
        <v>44960</v>
      </c>
      <c r="E13" s="69">
        <v>333398</v>
      </c>
      <c r="F13" s="70">
        <f t="shared" si="0"/>
        <v>0.99789140906664109</v>
      </c>
      <c r="G13" s="69">
        <v>703</v>
      </c>
      <c r="H13" s="69">
        <v>124313</v>
      </c>
      <c r="I13" s="70">
        <f t="shared" si="1"/>
        <v>0.37286666386720974</v>
      </c>
      <c r="J13" s="69">
        <v>2170</v>
      </c>
      <c r="K13" s="70">
        <f t="shared" si="2"/>
        <v>6.5087373049628368E-3</v>
      </c>
      <c r="L13" s="70">
        <f t="shared" si="3"/>
        <v>1.745593783433752E-2</v>
      </c>
      <c r="M13" s="69">
        <v>394</v>
      </c>
      <c r="N13" s="70">
        <f t="shared" si="4"/>
        <v>1.1817707364771234E-3</v>
      </c>
      <c r="O13" s="67" t="s">
        <v>21</v>
      </c>
    </row>
    <row r="14" spans="1:15" s="1" customFormat="1" x14ac:dyDescent="0.3">
      <c r="A14" s="76" t="s">
        <v>24</v>
      </c>
      <c r="B14" s="67" t="s">
        <v>18</v>
      </c>
      <c r="C14" s="67" t="s">
        <v>21</v>
      </c>
      <c r="D14" s="68">
        <v>44961</v>
      </c>
      <c r="E14" s="69">
        <v>15415</v>
      </c>
      <c r="F14" s="70">
        <f t="shared" si="0"/>
        <v>0.99948102497567304</v>
      </c>
      <c r="G14" s="69">
        <v>8</v>
      </c>
      <c r="H14" s="69">
        <v>5477</v>
      </c>
      <c r="I14" s="70">
        <f t="shared" si="1"/>
        <v>0.35530327602984108</v>
      </c>
      <c r="J14" s="69">
        <v>195</v>
      </c>
      <c r="K14" s="70">
        <f t="shared" si="2"/>
        <v>1.2650016217969511E-2</v>
      </c>
      <c r="L14" s="70">
        <f t="shared" si="3"/>
        <v>3.5603432536059888E-2</v>
      </c>
      <c r="M14" s="69">
        <v>31</v>
      </c>
      <c r="N14" s="70">
        <f t="shared" si="4"/>
        <v>2.0110282192669477E-3</v>
      </c>
      <c r="O14" s="67" t="s">
        <v>21</v>
      </c>
    </row>
    <row r="15" spans="1:15" x14ac:dyDescent="0.3">
      <c r="A15" s="85" t="s">
        <v>19</v>
      </c>
      <c r="B15" s="67" t="s">
        <v>18</v>
      </c>
      <c r="C15" s="67" t="s">
        <v>21</v>
      </c>
      <c r="D15" s="68">
        <v>44967</v>
      </c>
      <c r="E15" s="69">
        <v>333199</v>
      </c>
      <c r="F15" s="70">
        <f t="shared" si="0"/>
        <v>0.99785113400700487</v>
      </c>
      <c r="G15" s="69">
        <v>716</v>
      </c>
      <c r="H15" s="69">
        <v>123850</v>
      </c>
      <c r="I15" s="70">
        <f t="shared" si="1"/>
        <v>0.37169979501739203</v>
      </c>
      <c r="J15" s="69">
        <v>2709</v>
      </c>
      <c r="K15" s="70">
        <f t="shared" si="2"/>
        <v>8.1302765014300768E-3</v>
      </c>
      <c r="L15" s="70">
        <f t="shared" si="3"/>
        <v>2.1873233750504643E-2</v>
      </c>
      <c r="M15" s="86">
        <v>417</v>
      </c>
      <c r="N15" s="70">
        <f t="shared" si="4"/>
        <v>1.2515043562555709E-3</v>
      </c>
      <c r="O15" s="67" t="s">
        <v>21</v>
      </c>
    </row>
    <row r="16" spans="1:15" x14ac:dyDescent="0.3">
      <c r="A16" s="85" t="s">
        <v>33</v>
      </c>
      <c r="B16" s="67" t="s">
        <v>18</v>
      </c>
      <c r="C16" s="67" t="s">
        <v>21</v>
      </c>
      <c r="D16" s="68">
        <v>44967</v>
      </c>
      <c r="E16" s="69">
        <v>248900</v>
      </c>
      <c r="F16" s="70">
        <f t="shared" si="0"/>
        <v>0.99873844917637611</v>
      </c>
      <c r="G16" s="69">
        <v>314</v>
      </c>
      <c r="H16" s="69">
        <v>111507</v>
      </c>
      <c r="I16" s="70">
        <f t="shared" si="1"/>
        <v>0.44799919646444353</v>
      </c>
      <c r="J16" s="69">
        <v>1758</v>
      </c>
      <c r="K16" s="70">
        <f t="shared" si="2"/>
        <v>7.0630775411811971E-3</v>
      </c>
      <c r="L16" s="70">
        <f t="shared" si="3"/>
        <v>1.5765826360676909E-2</v>
      </c>
      <c r="M16" s="86">
        <v>400</v>
      </c>
      <c r="N16" s="70">
        <f t="shared" si="4"/>
        <v>1.6070711128967456E-3</v>
      </c>
      <c r="O16" s="67" t="s">
        <v>21</v>
      </c>
    </row>
    <row r="17" spans="1:15" s="1" customFormat="1" x14ac:dyDescent="0.3">
      <c r="A17" s="66" t="s">
        <v>33</v>
      </c>
      <c r="B17" s="67" t="s">
        <v>18</v>
      </c>
      <c r="C17" s="67" t="s">
        <v>21</v>
      </c>
      <c r="D17" s="68">
        <v>44974</v>
      </c>
      <c r="E17" s="69">
        <v>246868</v>
      </c>
      <c r="F17" s="70">
        <f t="shared" si="0"/>
        <v>0.99882528314726904</v>
      </c>
      <c r="G17" s="69">
        <v>290</v>
      </c>
      <c r="H17" s="69">
        <v>118975</v>
      </c>
      <c r="I17" s="70">
        <f t="shared" si="1"/>
        <v>0.48193771570231864</v>
      </c>
      <c r="J17" s="69">
        <v>3351</v>
      </c>
      <c r="K17" s="70">
        <f t="shared" si="2"/>
        <v>1.357405577069527E-2</v>
      </c>
      <c r="L17" s="70">
        <f t="shared" si="3"/>
        <v>2.8165581004412691E-2</v>
      </c>
      <c r="M17" s="69">
        <v>283</v>
      </c>
      <c r="N17" s="70">
        <f t="shared" si="4"/>
        <v>1.1463616183547483E-3</v>
      </c>
      <c r="O17" s="67" t="s">
        <v>21</v>
      </c>
    </row>
    <row r="18" spans="1:15" s="1" customFormat="1" x14ac:dyDescent="0.3">
      <c r="A18" s="66" t="s">
        <v>19</v>
      </c>
      <c r="B18" s="67" t="s">
        <v>18</v>
      </c>
      <c r="C18" s="67" t="s">
        <v>21</v>
      </c>
      <c r="D18" s="68">
        <v>44974</v>
      </c>
      <c r="E18" s="69">
        <v>332952</v>
      </c>
      <c r="F18" s="70">
        <f t="shared" si="0"/>
        <v>0.99791261202816017</v>
      </c>
      <c r="G18" s="69">
        <v>695</v>
      </c>
      <c r="H18" s="69">
        <v>129902</v>
      </c>
      <c r="I18" s="70">
        <f t="shared" si="1"/>
        <v>0.39015233427040535</v>
      </c>
      <c r="J18" s="69">
        <v>3972</v>
      </c>
      <c r="K18" s="70">
        <f t="shared" si="2"/>
        <v>1.1929647516759172E-2</v>
      </c>
      <c r="L18" s="70">
        <f t="shared" si="3"/>
        <v>3.0576896429616172E-2</v>
      </c>
      <c r="M18" s="69">
        <v>392</v>
      </c>
      <c r="N18" s="70">
        <f t="shared" si="4"/>
        <v>1.1773468848362526E-3</v>
      </c>
      <c r="O18" s="67" t="s">
        <v>21</v>
      </c>
    </row>
    <row r="19" spans="1:15" s="1" customFormat="1" x14ac:dyDescent="0.3">
      <c r="A19" s="66" t="s">
        <v>24</v>
      </c>
      <c r="B19" s="67" t="s">
        <v>18</v>
      </c>
      <c r="C19" s="67" t="s">
        <v>21</v>
      </c>
      <c r="D19" s="68">
        <v>44975</v>
      </c>
      <c r="E19" s="69">
        <v>15271</v>
      </c>
      <c r="F19" s="70">
        <f t="shared" si="0"/>
        <v>0.99947613122912715</v>
      </c>
      <c r="G19" s="69">
        <v>8</v>
      </c>
      <c r="H19" s="69">
        <v>5708</v>
      </c>
      <c r="I19" s="70">
        <f t="shared" si="1"/>
        <v>0.37378036801781156</v>
      </c>
      <c r="J19" s="69">
        <v>289</v>
      </c>
      <c r="K19" s="70">
        <f t="shared" si="2"/>
        <v>1.8924759347783381E-2</v>
      </c>
      <c r="L19" s="70">
        <f t="shared" si="3"/>
        <v>5.0630693763139452E-2</v>
      </c>
      <c r="M19" s="69">
        <v>27</v>
      </c>
      <c r="N19" s="70">
        <f t="shared" si="4"/>
        <v>1.768057101696025E-3</v>
      </c>
      <c r="O19" s="67" t="s">
        <v>21</v>
      </c>
    </row>
    <row r="20" spans="1:15" s="1" customFormat="1" x14ac:dyDescent="0.3">
      <c r="A20" s="91" t="s">
        <v>33</v>
      </c>
      <c r="B20" s="92" t="s">
        <v>18</v>
      </c>
      <c r="C20" s="92" t="s">
        <v>21</v>
      </c>
      <c r="D20" s="68">
        <v>44981</v>
      </c>
      <c r="E20" s="69">
        <v>246917</v>
      </c>
      <c r="F20" s="70">
        <f t="shared" si="0"/>
        <v>0.99919001121834461</v>
      </c>
      <c r="G20" s="69">
        <v>200</v>
      </c>
      <c r="H20" s="69">
        <v>92327</v>
      </c>
      <c r="I20" s="70">
        <f t="shared" si="1"/>
        <v>0.3739191712194786</v>
      </c>
      <c r="J20" s="69">
        <v>2269</v>
      </c>
      <c r="K20" s="70">
        <f t="shared" si="2"/>
        <v>9.1893227278802194E-3</v>
      </c>
      <c r="L20" s="70">
        <f t="shared" si="3"/>
        <v>2.4575692917564743E-2</v>
      </c>
      <c r="M20" s="69">
        <v>290</v>
      </c>
      <c r="N20" s="70">
        <f t="shared" si="4"/>
        <v>1.1744837334002924E-3</v>
      </c>
      <c r="O20" s="67" t="s">
        <v>21</v>
      </c>
    </row>
    <row r="21" spans="1:15" s="1" customFormat="1" x14ac:dyDescent="0.3">
      <c r="A21" s="93" t="s">
        <v>19</v>
      </c>
      <c r="B21" s="94" t="s">
        <v>18</v>
      </c>
      <c r="C21" s="94" t="s">
        <v>21</v>
      </c>
      <c r="D21" s="68">
        <v>44981</v>
      </c>
      <c r="E21" s="69">
        <v>333167</v>
      </c>
      <c r="F21" s="70">
        <f t="shared" si="0"/>
        <v>0.99855327808576477</v>
      </c>
      <c r="G21" s="69">
        <v>482</v>
      </c>
      <c r="H21" s="69">
        <v>100082</v>
      </c>
      <c r="I21" s="70">
        <f t="shared" si="1"/>
        <v>0.30039589755287888</v>
      </c>
      <c r="J21" s="69">
        <v>2565</v>
      </c>
      <c r="K21" s="70">
        <f t="shared" si="2"/>
        <v>7.6988417220192878E-3</v>
      </c>
      <c r="L21" s="70">
        <f t="shared" si="3"/>
        <v>2.5628984232928999E-2</v>
      </c>
      <c r="M21" s="69">
        <v>301</v>
      </c>
      <c r="N21" s="70">
        <f t="shared" si="4"/>
        <v>9.0345082196015812E-4</v>
      </c>
      <c r="O21" s="67" t="s">
        <v>21</v>
      </c>
    </row>
    <row r="22" spans="1:15" s="1" customFormat="1" x14ac:dyDescent="0.3">
      <c r="A22" s="66" t="s">
        <v>33</v>
      </c>
      <c r="B22" s="67" t="s">
        <v>18</v>
      </c>
      <c r="C22" s="67" t="s">
        <v>21</v>
      </c>
      <c r="D22" s="68">
        <v>44988</v>
      </c>
      <c r="E22" s="69">
        <v>245320</v>
      </c>
      <c r="F22" s="70">
        <f>(E22-G22)/E22</f>
        <v>0.99869558128159142</v>
      </c>
      <c r="G22" s="69">
        <v>320</v>
      </c>
      <c r="H22" s="69">
        <v>109864</v>
      </c>
      <c r="I22" s="70">
        <f>H22/E22</f>
        <v>0.44783955649763574</v>
      </c>
      <c r="J22" s="69">
        <v>2151</v>
      </c>
      <c r="K22" s="70">
        <f>J22/E22</f>
        <v>8.7681395728028706E-3</v>
      </c>
      <c r="L22" s="70">
        <f>J22/H22</f>
        <v>1.9578751911454161E-2</v>
      </c>
      <c r="M22" s="69">
        <v>295</v>
      </c>
      <c r="N22" s="70">
        <f>M22/E22</f>
        <v>1.2025110060329366E-3</v>
      </c>
      <c r="O22" s="67" t="s">
        <v>21</v>
      </c>
    </row>
    <row r="23" spans="1:15" s="1" customFormat="1" x14ac:dyDescent="0.3">
      <c r="A23" s="66" t="s">
        <v>19</v>
      </c>
      <c r="B23" s="67" t="s">
        <v>18</v>
      </c>
      <c r="C23" s="67" t="s">
        <v>21</v>
      </c>
      <c r="D23" s="68">
        <v>44988</v>
      </c>
      <c r="E23" s="69">
        <v>333132</v>
      </c>
      <c r="F23" s="70">
        <f t="shared" ref="F23:F64" si="5">(E23-G23)/E23</f>
        <v>0.99796477072151579</v>
      </c>
      <c r="G23" s="69">
        <v>678</v>
      </c>
      <c r="H23" s="69">
        <v>122788</v>
      </c>
      <c r="I23" s="70">
        <f t="shared" ref="I23:I64" si="6">H23/E23</f>
        <v>0.36858662632229866</v>
      </c>
      <c r="J23" s="69">
        <v>2826</v>
      </c>
      <c r="K23" s="70">
        <f t="shared" ref="K23:K64" si="7">J23/E23</f>
        <v>8.4831238067792948E-3</v>
      </c>
      <c r="L23" s="70">
        <f t="shared" ref="L23:L64" si="8">J23/H23</f>
        <v>2.3015278365964099E-2</v>
      </c>
      <c r="M23" s="69">
        <v>377</v>
      </c>
      <c r="N23" s="70">
        <f t="shared" ref="N23:N64" si="9">M23/E23</f>
        <v>1.1316835368562611E-3</v>
      </c>
      <c r="O23" s="67" t="s">
        <v>21</v>
      </c>
    </row>
    <row r="24" spans="1:15" s="1" customFormat="1" x14ac:dyDescent="0.3">
      <c r="A24" s="66" t="s">
        <v>24</v>
      </c>
      <c r="B24" s="67" t="s">
        <v>18</v>
      </c>
      <c r="C24" s="67" t="s">
        <v>21</v>
      </c>
      <c r="D24" s="68">
        <v>44989</v>
      </c>
      <c r="E24" s="69">
        <v>15041</v>
      </c>
      <c r="F24" s="70">
        <f t="shared" si="5"/>
        <v>0.99946812047071343</v>
      </c>
      <c r="G24" s="69">
        <v>8</v>
      </c>
      <c r="H24" s="69">
        <v>4998</v>
      </c>
      <c r="I24" s="70">
        <f t="shared" si="6"/>
        <v>0.33229173592181371</v>
      </c>
      <c r="J24" s="69">
        <v>279</v>
      </c>
      <c r="K24" s="70">
        <f t="shared" si="7"/>
        <v>1.8549298583870753E-2</v>
      </c>
      <c r="L24" s="70">
        <f t="shared" si="8"/>
        <v>5.5822328931572629E-2</v>
      </c>
      <c r="M24" s="69">
        <v>29</v>
      </c>
      <c r="N24" s="70">
        <f t="shared" si="9"/>
        <v>1.9280632936639851E-3</v>
      </c>
      <c r="O24" s="67" t="s">
        <v>21</v>
      </c>
    </row>
    <row r="25" spans="1:15" s="1" customFormat="1" x14ac:dyDescent="0.3">
      <c r="A25" s="66" t="s">
        <v>33</v>
      </c>
      <c r="B25" s="67" t="s">
        <v>18</v>
      </c>
      <c r="C25" s="67" t="s">
        <v>21</v>
      </c>
      <c r="D25" s="68">
        <v>44995</v>
      </c>
      <c r="E25" s="69">
        <v>244272</v>
      </c>
      <c r="F25" s="70">
        <f t="shared" si="5"/>
        <v>0.99864495316696145</v>
      </c>
      <c r="G25" s="69">
        <v>331</v>
      </c>
      <c r="H25" s="69">
        <v>113808</v>
      </c>
      <c r="I25" s="70">
        <f t="shared" si="6"/>
        <v>0.46590685792886616</v>
      </c>
      <c r="J25" s="69">
        <v>2357</v>
      </c>
      <c r="K25" s="70">
        <f t="shared" si="7"/>
        <v>9.6490797144167164E-3</v>
      </c>
      <c r="L25" s="70">
        <f t="shared" si="8"/>
        <v>2.0710319133980037E-2</v>
      </c>
      <c r="M25" s="69">
        <v>246</v>
      </c>
      <c r="N25" s="70">
        <f t="shared" si="9"/>
        <v>1.0070740813519356E-3</v>
      </c>
      <c r="O25" s="67" t="s">
        <v>21</v>
      </c>
    </row>
    <row r="26" spans="1:15" s="1" customFormat="1" x14ac:dyDescent="0.3">
      <c r="A26" s="66" t="s">
        <v>19</v>
      </c>
      <c r="B26" s="67" t="s">
        <v>18</v>
      </c>
      <c r="C26" s="67" t="s">
        <v>21</v>
      </c>
      <c r="D26" s="68">
        <v>44995</v>
      </c>
      <c r="E26" s="69">
        <v>332944</v>
      </c>
      <c r="F26" s="70">
        <f t="shared" si="5"/>
        <v>0.99804771973665241</v>
      </c>
      <c r="G26" s="69">
        <v>650</v>
      </c>
      <c r="H26" s="69">
        <v>125388</v>
      </c>
      <c r="I26" s="70">
        <f t="shared" si="6"/>
        <v>0.37660387332404249</v>
      </c>
      <c r="J26" s="69">
        <v>2893</v>
      </c>
      <c r="K26" s="70">
        <f t="shared" si="7"/>
        <v>8.689148925945505E-3</v>
      </c>
      <c r="L26" s="70">
        <f t="shared" si="8"/>
        <v>2.3072383322167992E-2</v>
      </c>
      <c r="M26" s="69">
        <v>376</v>
      </c>
      <c r="N26" s="70">
        <f t="shared" si="9"/>
        <v>1.1293190446441444E-3</v>
      </c>
      <c r="O26" s="67" t="s">
        <v>21</v>
      </c>
    </row>
    <row r="27" spans="1:15" s="1" customFormat="1" x14ac:dyDescent="0.3">
      <c r="A27" s="66" t="s">
        <v>33</v>
      </c>
      <c r="B27" s="67" t="s">
        <v>18</v>
      </c>
      <c r="C27" s="67" t="s">
        <v>21</v>
      </c>
      <c r="D27" s="68">
        <v>45002</v>
      </c>
      <c r="E27" s="69">
        <v>242816</v>
      </c>
      <c r="F27" s="70">
        <f t="shared" si="5"/>
        <v>0.99848856747496051</v>
      </c>
      <c r="G27" s="69">
        <v>367</v>
      </c>
      <c r="H27" s="69">
        <v>108423</v>
      </c>
      <c r="I27" s="70">
        <f t="shared" si="6"/>
        <v>0.44652329335793356</v>
      </c>
      <c r="J27" s="69">
        <v>2193</v>
      </c>
      <c r="K27" s="70">
        <f t="shared" si="7"/>
        <v>9.0315300474433317E-3</v>
      </c>
      <c r="L27" s="70">
        <f t="shared" si="8"/>
        <v>2.0226335740571651E-2</v>
      </c>
      <c r="M27" s="69">
        <v>109</v>
      </c>
      <c r="N27" s="70">
        <f t="shared" si="9"/>
        <v>4.4889957828149712E-4</v>
      </c>
      <c r="O27" s="67" t="s">
        <v>21</v>
      </c>
    </row>
    <row r="28" spans="1:15" s="1" customFormat="1" x14ac:dyDescent="0.3">
      <c r="A28" s="66" t="s">
        <v>19</v>
      </c>
      <c r="B28" s="67" t="s">
        <v>18</v>
      </c>
      <c r="C28" s="67" t="s">
        <v>21</v>
      </c>
      <c r="D28" s="68">
        <v>45002</v>
      </c>
      <c r="E28" s="69">
        <v>332925</v>
      </c>
      <c r="F28" s="70">
        <f t="shared" si="5"/>
        <v>0.9977922955620635</v>
      </c>
      <c r="G28" s="69">
        <v>735</v>
      </c>
      <c r="H28" s="69">
        <v>121920</v>
      </c>
      <c r="I28" s="70">
        <f t="shared" si="6"/>
        <v>0.36620860554178869</v>
      </c>
      <c r="J28" s="69">
        <v>2847</v>
      </c>
      <c r="K28" s="70">
        <f t="shared" si="7"/>
        <v>8.5514755575580078E-3</v>
      </c>
      <c r="L28" s="70">
        <f t="shared" si="8"/>
        <v>2.3351377952755905E-2</v>
      </c>
      <c r="M28" s="69">
        <v>222</v>
      </c>
      <c r="N28" s="70">
        <f t="shared" si="9"/>
        <v>6.668168506420365E-4</v>
      </c>
      <c r="O28" s="67" t="s">
        <v>21</v>
      </c>
    </row>
    <row r="29" spans="1:15" s="1" customFormat="1" x14ac:dyDescent="0.3">
      <c r="A29" s="66" t="s">
        <v>24</v>
      </c>
      <c r="B29" s="67" t="s">
        <v>18</v>
      </c>
      <c r="C29" s="67" t="s">
        <v>21</v>
      </c>
      <c r="D29" s="68">
        <v>45003</v>
      </c>
      <c r="E29" s="69">
        <v>14849</v>
      </c>
      <c r="F29" s="70">
        <f t="shared" si="5"/>
        <v>0.99905717556737828</v>
      </c>
      <c r="G29" s="69">
        <v>14</v>
      </c>
      <c r="H29" s="69">
        <v>4800</v>
      </c>
      <c r="I29" s="70">
        <f t="shared" si="6"/>
        <v>0.32325409118459153</v>
      </c>
      <c r="J29" s="69">
        <v>229</v>
      </c>
      <c r="K29" s="70">
        <f t="shared" si="7"/>
        <v>1.5421913933598222E-2</v>
      </c>
      <c r="L29" s="70">
        <f t="shared" si="8"/>
        <v>4.7708333333333332E-2</v>
      </c>
      <c r="M29" s="69">
        <v>12</v>
      </c>
      <c r="N29" s="70">
        <f t="shared" si="9"/>
        <v>8.0813522796147888E-4</v>
      </c>
      <c r="O29" s="67" t="s">
        <v>21</v>
      </c>
    </row>
    <row r="30" spans="1:15" s="1" customFormat="1" x14ac:dyDescent="0.3">
      <c r="A30" s="66" t="s">
        <v>33</v>
      </c>
      <c r="B30" s="67" t="s">
        <v>18</v>
      </c>
      <c r="C30" s="67" t="s">
        <v>21</v>
      </c>
      <c r="D30" s="68">
        <v>45009</v>
      </c>
      <c r="E30" s="69">
        <v>242534</v>
      </c>
      <c r="F30" s="70">
        <f t="shared" si="5"/>
        <v>0.9979136945747813</v>
      </c>
      <c r="G30" s="69">
        <v>506</v>
      </c>
      <c r="H30" s="69">
        <v>109145</v>
      </c>
      <c r="I30" s="70">
        <f t="shared" si="6"/>
        <v>0.45001937872628167</v>
      </c>
      <c r="J30" s="69">
        <v>1804</v>
      </c>
      <c r="K30" s="70">
        <f t="shared" si="7"/>
        <v>7.4381323855624362E-3</v>
      </c>
      <c r="L30" s="70">
        <f t="shared" si="8"/>
        <v>1.6528471299647258E-2</v>
      </c>
      <c r="M30" s="69">
        <v>253</v>
      </c>
      <c r="N30" s="70">
        <f t="shared" si="9"/>
        <v>1.0431527126093661E-3</v>
      </c>
      <c r="O30" s="67" t="s">
        <v>21</v>
      </c>
    </row>
    <row r="31" spans="1:15" s="1" customFormat="1" x14ac:dyDescent="0.3">
      <c r="A31" s="66" t="s">
        <v>19</v>
      </c>
      <c r="B31" s="67" t="s">
        <v>18</v>
      </c>
      <c r="C31" s="67" t="s">
        <v>21</v>
      </c>
      <c r="D31" s="68">
        <v>45009</v>
      </c>
      <c r="E31" s="69">
        <v>332843</v>
      </c>
      <c r="F31" s="70">
        <f t="shared" si="5"/>
        <v>0.99724494731750402</v>
      </c>
      <c r="G31" s="69">
        <v>917</v>
      </c>
      <c r="H31" s="69">
        <v>121892</v>
      </c>
      <c r="I31" s="70">
        <f t="shared" si="6"/>
        <v>0.3662147018263866</v>
      </c>
      <c r="J31" s="69">
        <v>2295</v>
      </c>
      <c r="K31" s="70">
        <f t="shared" si="7"/>
        <v>6.8951427549925944E-3</v>
      </c>
      <c r="L31" s="70">
        <f t="shared" si="8"/>
        <v>1.8828142946214682E-2</v>
      </c>
      <c r="M31" s="69">
        <v>358</v>
      </c>
      <c r="N31" s="70">
        <f t="shared" si="9"/>
        <v>1.0755821813888229E-3</v>
      </c>
      <c r="O31" s="67" t="s">
        <v>21</v>
      </c>
    </row>
    <row r="32" spans="1:15" s="1" customFormat="1" x14ac:dyDescent="0.3">
      <c r="A32" s="66" t="s">
        <v>33</v>
      </c>
      <c r="B32" s="67" t="s">
        <v>18</v>
      </c>
      <c r="C32" s="67" t="s">
        <v>21</v>
      </c>
      <c r="D32" s="68">
        <v>45016</v>
      </c>
      <c r="E32" s="69">
        <v>241444</v>
      </c>
      <c r="F32" s="70">
        <f t="shared" si="5"/>
        <v>0.99723745464786862</v>
      </c>
      <c r="G32" s="69">
        <v>667</v>
      </c>
      <c r="H32" s="69">
        <v>108228</v>
      </c>
      <c r="I32" s="70">
        <f t="shared" si="6"/>
        <v>0.44825301105018139</v>
      </c>
      <c r="J32" s="69">
        <v>1997</v>
      </c>
      <c r="K32" s="70">
        <f t="shared" si="7"/>
        <v>8.2710690677755497E-3</v>
      </c>
      <c r="L32" s="70">
        <f t="shared" si="8"/>
        <v>1.8451786968252209E-2</v>
      </c>
      <c r="M32" s="69">
        <v>263</v>
      </c>
      <c r="N32" s="70">
        <f t="shared" si="9"/>
        <v>1.0892795016649824E-3</v>
      </c>
      <c r="O32" s="67" t="s">
        <v>21</v>
      </c>
    </row>
    <row r="33" spans="1:15" s="1" customFormat="1" x14ac:dyDescent="0.3">
      <c r="A33" s="66" t="s">
        <v>19</v>
      </c>
      <c r="B33" s="67" t="s">
        <v>18</v>
      </c>
      <c r="C33" s="67" t="s">
        <v>21</v>
      </c>
      <c r="D33" s="68">
        <v>45016</v>
      </c>
      <c r="E33" s="69">
        <v>332771</v>
      </c>
      <c r="F33" s="70">
        <f t="shared" si="5"/>
        <v>0.99625267826823849</v>
      </c>
      <c r="G33" s="69">
        <v>1247</v>
      </c>
      <c r="H33" s="69">
        <v>120812</v>
      </c>
      <c r="I33" s="70">
        <f t="shared" si="6"/>
        <v>0.36304846275667052</v>
      </c>
      <c r="J33" s="69">
        <v>2503</v>
      </c>
      <c r="K33" s="70">
        <f t="shared" si="7"/>
        <v>7.5216890894939763E-3</v>
      </c>
      <c r="L33" s="70">
        <f t="shared" si="8"/>
        <v>2.0718140582061385E-2</v>
      </c>
      <c r="M33" s="69">
        <v>335</v>
      </c>
      <c r="N33" s="70">
        <f t="shared" si="9"/>
        <v>1.0066983000321542E-3</v>
      </c>
      <c r="O33" s="67" t="s">
        <v>21</v>
      </c>
    </row>
    <row r="34" spans="1:15" s="1" customFormat="1" x14ac:dyDescent="0.3">
      <c r="A34" s="66" t="s">
        <v>24</v>
      </c>
      <c r="B34" s="67" t="s">
        <v>18</v>
      </c>
      <c r="C34" s="67" t="s">
        <v>21</v>
      </c>
      <c r="D34" s="68">
        <v>45017</v>
      </c>
      <c r="E34" s="69">
        <v>14810</v>
      </c>
      <c r="F34" s="70">
        <f t="shared" si="5"/>
        <v>0.99540850776502365</v>
      </c>
      <c r="G34" s="69">
        <v>68</v>
      </c>
      <c r="H34" s="69">
        <v>5047</v>
      </c>
      <c r="I34" s="70">
        <f t="shared" si="6"/>
        <v>0.34078325455773129</v>
      </c>
      <c r="J34" s="69">
        <v>211</v>
      </c>
      <c r="K34" s="70">
        <f t="shared" si="7"/>
        <v>1.4247130317353141E-2</v>
      </c>
      <c r="L34" s="70">
        <f t="shared" si="8"/>
        <v>4.1807014067763028E-2</v>
      </c>
      <c r="M34" s="69">
        <v>18</v>
      </c>
      <c r="N34" s="70">
        <f t="shared" si="9"/>
        <v>1.2153950033760973E-3</v>
      </c>
      <c r="O34" s="67" t="s">
        <v>21</v>
      </c>
    </row>
    <row r="35" spans="1:15" s="1" customFormat="1" x14ac:dyDescent="0.3">
      <c r="A35" s="66" t="s">
        <v>33</v>
      </c>
      <c r="B35" s="67" t="s">
        <v>18</v>
      </c>
      <c r="C35" s="67" t="s">
        <v>21</v>
      </c>
      <c r="D35" s="68">
        <v>45023</v>
      </c>
      <c r="E35" s="69">
        <v>238042</v>
      </c>
      <c r="F35" s="70">
        <f t="shared" si="5"/>
        <v>0.99618974802765903</v>
      </c>
      <c r="G35" s="69">
        <v>907</v>
      </c>
      <c r="H35" s="69">
        <v>105398</v>
      </c>
      <c r="I35" s="70">
        <f t="shared" si="6"/>
        <v>0.44277060350694414</v>
      </c>
      <c r="J35" s="69">
        <v>3143</v>
      </c>
      <c r="K35" s="70">
        <f t="shared" si="7"/>
        <v>1.3203552314297477E-2</v>
      </c>
      <c r="L35" s="70">
        <f t="shared" si="8"/>
        <v>2.982030019544963E-2</v>
      </c>
      <c r="M35" s="69">
        <v>197</v>
      </c>
      <c r="N35" s="70">
        <f t="shared" si="9"/>
        <v>8.2758504801673657E-4</v>
      </c>
      <c r="O35" s="67" t="s">
        <v>21</v>
      </c>
    </row>
    <row r="36" spans="1:15" s="1" customFormat="1" x14ac:dyDescent="0.3">
      <c r="A36" s="66" t="s">
        <v>19</v>
      </c>
      <c r="B36" s="67" t="s">
        <v>18</v>
      </c>
      <c r="C36" s="67" t="s">
        <v>21</v>
      </c>
      <c r="D36" s="68">
        <v>45023</v>
      </c>
      <c r="E36" s="69">
        <v>332850</v>
      </c>
      <c r="F36" s="70">
        <f t="shared" si="5"/>
        <v>0.99486555505482954</v>
      </c>
      <c r="G36" s="69">
        <v>1709</v>
      </c>
      <c r="H36" s="69">
        <v>119937</v>
      </c>
      <c r="I36" s="70">
        <f t="shared" si="6"/>
        <v>0.36033348355114919</v>
      </c>
      <c r="J36" s="69">
        <v>3704</v>
      </c>
      <c r="K36" s="70">
        <f t="shared" si="7"/>
        <v>1.1128135796905513E-2</v>
      </c>
      <c r="L36" s="70">
        <f t="shared" si="8"/>
        <v>3.0882880178760515E-2</v>
      </c>
      <c r="M36" s="69">
        <v>290</v>
      </c>
      <c r="N36" s="70">
        <f t="shared" si="9"/>
        <v>8.7126333183115516E-4</v>
      </c>
      <c r="O36" s="67" t="s">
        <v>21</v>
      </c>
    </row>
    <row r="37" spans="1:15" s="1" customFormat="1" x14ac:dyDescent="0.3">
      <c r="A37" s="66" t="s">
        <v>33</v>
      </c>
      <c r="B37" s="67" t="s">
        <v>18</v>
      </c>
      <c r="C37" s="67" t="s">
        <v>21</v>
      </c>
      <c r="D37" s="68">
        <v>45030</v>
      </c>
      <c r="E37" s="69">
        <v>238448</v>
      </c>
      <c r="F37" s="70">
        <f t="shared" si="5"/>
        <v>0.99592363953566398</v>
      </c>
      <c r="G37" s="69">
        <v>972</v>
      </c>
      <c r="H37" s="69">
        <v>106462</v>
      </c>
      <c r="I37" s="70">
        <f t="shared" si="6"/>
        <v>0.44647889686640274</v>
      </c>
      <c r="J37" s="69">
        <v>2225</v>
      </c>
      <c r="K37" s="70">
        <f t="shared" si="7"/>
        <v>9.331174931221901E-3</v>
      </c>
      <c r="L37" s="70">
        <f t="shared" si="8"/>
        <v>2.0899475869324266E-2</v>
      </c>
      <c r="M37" s="69">
        <v>223</v>
      </c>
      <c r="N37" s="70">
        <f t="shared" si="9"/>
        <v>9.352143863651614E-4</v>
      </c>
      <c r="O37" s="67" t="s">
        <v>21</v>
      </c>
    </row>
    <row r="38" spans="1:15" s="1" customFormat="1" x14ac:dyDescent="0.3">
      <c r="A38" s="66" t="s">
        <v>19</v>
      </c>
      <c r="B38" s="67" t="s">
        <v>18</v>
      </c>
      <c r="C38" s="67" t="s">
        <v>21</v>
      </c>
      <c r="D38" s="68">
        <v>45030</v>
      </c>
      <c r="E38" s="69">
        <v>332969</v>
      </c>
      <c r="F38" s="70">
        <f t="shared" si="5"/>
        <v>0.99439287140844945</v>
      </c>
      <c r="G38" s="69">
        <v>1867</v>
      </c>
      <c r="H38" s="69">
        <v>120031</v>
      </c>
      <c r="I38" s="70">
        <f t="shared" si="6"/>
        <v>0.36048701230444874</v>
      </c>
      <c r="J38" s="69">
        <v>2852</v>
      </c>
      <c r="K38" s="70">
        <f t="shared" si="7"/>
        <v>8.5653619406010767E-3</v>
      </c>
      <c r="L38" s="70">
        <f t="shared" si="8"/>
        <v>2.3760528530129717E-2</v>
      </c>
      <c r="M38" s="69">
        <v>329</v>
      </c>
      <c r="N38" s="70">
        <f t="shared" si="9"/>
        <v>9.8807997140874966E-4</v>
      </c>
      <c r="O38" s="67" t="s">
        <v>21</v>
      </c>
    </row>
    <row r="39" spans="1:15" s="1" customFormat="1" x14ac:dyDescent="0.3">
      <c r="A39" s="66" t="s">
        <v>24</v>
      </c>
      <c r="B39" s="67" t="s">
        <v>18</v>
      </c>
      <c r="C39" s="67" t="s">
        <v>21</v>
      </c>
      <c r="D39" s="68">
        <v>45031</v>
      </c>
      <c r="E39" s="69">
        <v>14896</v>
      </c>
      <c r="F39" s="70">
        <f t="shared" si="5"/>
        <v>0.9938238453276047</v>
      </c>
      <c r="G39" s="69">
        <v>92</v>
      </c>
      <c r="H39" s="69">
        <v>4369</v>
      </c>
      <c r="I39" s="70">
        <f t="shared" si="6"/>
        <v>0.29330021482277119</v>
      </c>
      <c r="J39" s="69">
        <v>141</v>
      </c>
      <c r="K39" s="70">
        <f t="shared" si="7"/>
        <v>9.4656283566058007E-3</v>
      </c>
      <c r="L39" s="70">
        <f t="shared" si="8"/>
        <v>3.2272831311512935E-2</v>
      </c>
      <c r="M39" s="69">
        <v>13</v>
      </c>
      <c r="N39" s="70">
        <f t="shared" si="9"/>
        <v>8.7271750805585397E-4</v>
      </c>
      <c r="O39" s="67" t="s">
        <v>21</v>
      </c>
    </row>
    <row r="40" spans="1:15" s="1" customFormat="1" x14ac:dyDescent="0.3">
      <c r="A40" s="66" t="s">
        <v>19</v>
      </c>
      <c r="B40" s="67" t="s">
        <v>18</v>
      </c>
      <c r="C40" s="67" t="s">
        <v>21</v>
      </c>
      <c r="D40" s="68">
        <v>45037</v>
      </c>
      <c r="E40" s="69">
        <v>332852</v>
      </c>
      <c r="F40" s="70">
        <f t="shared" si="5"/>
        <v>0.99491365531827958</v>
      </c>
      <c r="G40" s="69">
        <v>1693</v>
      </c>
      <c r="H40" s="69">
        <v>123871</v>
      </c>
      <c r="I40" s="70">
        <f t="shared" si="6"/>
        <v>0.3721503851561655</v>
      </c>
      <c r="J40" s="69">
        <v>2630</v>
      </c>
      <c r="K40" s="70">
        <f t="shared" si="7"/>
        <v>7.9014096355136815E-3</v>
      </c>
      <c r="L40" s="70">
        <f t="shared" si="8"/>
        <v>2.1231765304227785E-2</v>
      </c>
      <c r="M40" s="69">
        <v>304</v>
      </c>
      <c r="N40" s="70">
        <f t="shared" si="9"/>
        <v>9.1331883239397687E-4</v>
      </c>
      <c r="O40" s="67" t="s">
        <v>21</v>
      </c>
    </row>
    <row r="41" spans="1:15" s="1" customFormat="1" x14ac:dyDescent="0.3">
      <c r="A41" s="66" t="s">
        <v>33</v>
      </c>
      <c r="B41" s="67" t="s">
        <v>18</v>
      </c>
      <c r="C41" s="67" t="s">
        <v>21</v>
      </c>
      <c r="D41" s="68">
        <v>45037</v>
      </c>
      <c r="E41" s="69">
        <v>237372</v>
      </c>
      <c r="F41" s="70">
        <f t="shared" si="5"/>
        <v>0.99668031612827124</v>
      </c>
      <c r="G41" s="69">
        <v>788</v>
      </c>
      <c r="H41" s="69">
        <v>109976</v>
      </c>
      <c r="I41" s="70">
        <f t="shared" si="6"/>
        <v>0.46330653994573917</v>
      </c>
      <c r="J41" s="69">
        <v>2393</v>
      </c>
      <c r="K41" s="70">
        <f t="shared" si="7"/>
        <v>1.0081222722140775E-2</v>
      </c>
      <c r="L41" s="70">
        <f t="shared" si="8"/>
        <v>2.1759292936640723E-2</v>
      </c>
      <c r="M41" s="69">
        <v>217</v>
      </c>
      <c r="N41" s="70">
        <f t="shared" si="9"/>
        <v>9.1417690376287015E-4</v>
      </c>
      <c r="O41" s="67" t="s">
        <v>21</v>
      </c>
    </row>
    <row r="42" spans="1:15" s="1" customFormat="1" x14ac:dyDescent="0.3">
      <c r="A42" s="66" t="s">
        <v>33</v>
      </c>
      <c r="B42" s="67" t="s">
        <v>18</v>
      </c>
      <c r="C42" s="67" t="s">
        <v>21</v>
      </c>
      <c r="D42" s="68">
        <v>45044</v>
      </c>
      <c r="E42" s="69">
        <v>235331</v>
      </c>
      <c r="F42" s="70">
        <f t="shared" si="5"/>
        <v>0.99658778486472244</v>
      </c>
      <c r="G42" s="69">
        <v>803</v>
      </c>
      <c r="H42" s="69">
        <v>104943</v>
      </c>
      <c r="I42" s="70">
        <f t="shared" si="6"/>
        <v>0.44593784924213131</v>
      </c>
      <c r="J42" s="69">
        <v>1611</v>
      </c>
      <c r="K42" s="70">
        <f t="shared" si="7"/>
        <v>6.845676940139633E-3</v>
      </c>
      <c r="L42" s="70">
        <f t="shared" si="8"/>
        <v>1.5351190646350876E-2</v>
      </c>
      <c r="M42" s="69">
        <v>230</v>
      </c>
      <c r="N42" s="70">
        <f t="shared" si="9"/>
        <v>9.7734680088896065E-4</v>
      </c>
      <c r="O42" s="67" t="s">
        <v>21</v>
      </c>
    </row>
    <row r="43" spans="1:15" s="1" customFormat="1" x14ac:dyDescent="0.3">
      <c r="A43" s="66" t="s">
        <v>19</v>
      </c>
      <c r="B43" s="67" t="s">
        <v>18</v>
      </c>
      <c r="C43" s="67" t="s">
        <v>21</v>
      </c>
      <c r="D43" s="68">
        <v>45044</v>
      </c>
      <c r="E43" s="69">
        <v>332784</v>
      </c>
      <c r="F43" s="70">
        <f t="shared" si="5"/>
        <v>0.99478340304822344</v>
      </c>
      <c r="G43" s="69">
        <v>1736</v>
      </c>
      <c r="H43" s="69">
        <v>119981</v>
      </c>
      <c r="I43" s="70">
        <f t="shared" si="6"/>
        <v>0.36053716524832924</v>
      </c>
      <c r="J43" s="69">
        <v>1983</v>
      </c>
      <c r="K43" s="70">
        <f t="shared" si="7"/>
        <v>5.9588201355834413E-3</v>
      </c>
      <c r="L43" s="70">
        <f t="shared" si="8"/>
        <v>1.6527616872671506E-2</v>
      </c>
      <c r="M43" s="69">
        <v>297</v>
      </c>
      <c r="N43" s="70">
        <f t="shared" si="9"/>
        <v>8.9247079186499352E-4</v>
      </c>
      <c r="O43" s="67" t="s">
        <v>21</v>
      </c>
    </row>
    <row r="44" spans="1:15" s="1" customFormat="1" x14ac:dyDescent="0.3">
      <c r="A44" s="66" t="s">
        <v>24</v>
      </c>
      <c r="B44" s="67" t="s">
        <v>18</v>
      </c>
      <c r="C44" s="67" t="s">
        <v>21</v>
      </c>
      <c r="D44" s="68">
        <v>45045</v>
      </c>
      <c r="E44" s="69">
        <v>14780</v>
      </c>
      <c r="F44" s="70">
        <f t="shared" si="5"/>
        <v>0.99499323410013529</v>
      </c>
      <c r="G44" s="69">
        <v>74</v>
      </c>
      <c r="H44" s="69">
        <v>4768</v>
      </c>
      <c r="I44" s="70">
        <f t="shared" si="6"/>
        <v>0.32259810554803792</v>
      </c>
      <c r="J44" s="69">
        <v>171</v>
      </c>
      <c r="K44" s="70">
        <f t="shared" si="7"/>
        <v>1.1569688768606225E-2</v>
      </c>
      <c r="L44" s="70">
        <f t="shared" si="8"/>
        <v>3.5864093959731544E-2</v>
      </c>
      <c r="M44" s="69">
        <v>17</v>
      </c>
      <c r="N44" s="70">
        <f t="shared" si="9"/>
        <v>1.1502029769959404E-3</v>
      </c>
      <c r="O44" s="67" t="s">
        <v>21</v>
      </c>
    </row>
    <row r="45" spans="1:15" s="1" customFormat="1" x14ac:dyDescent="0.3">
      <c r="A45" s="66" t="s">
        <v>33</v>
      </c>
      <c r="B45" s="67" t="s">
        <v>18</v>
      </c>
      <c r="C45" s="67" t="s">
        <v>21</v>
      </c>
      <c r="D45" s="68">
        <v>45051</v>
      </c>
      <c r="E45" s="69">
        <v>234667</v>
      </c>
      <c r="F45" s="70">
        <f t="shared" si="5"/>
        <v>0.9958238695683671</v>
      </c>
      <c r="G45" s="69">
        <v>980</v>
      </c>
      <c r="H45" s="69">
        <v>103613</v>
      </c>
      <c r="I45" s="70">
        <f t="shared" si="6"/>
        <v>0.44153204327834761</v>
      </c>
      <c r="J45" s="69">
        <v>2426</v>
      </c>
      <c r="K45" s="70">
        <f t="shared" si="7"/>
        <v>1.03380534970831E-2</v>
      </c>
      <c r="L45" s="70">
        <f t="shared" si="8"/>
        <v>2.3414050360476002E-2</v>
      </c>
      <c r="M45" s="69">
        <v>200</v>
      </c>
      <c r="N45" s="70">
        <f t="shared" si="9"/>
        <v>8.522715166597775E-4</v>
      </c>
      <c r="O45" s="67" t="s">
        <v>21</v>
      </c>
    </row>
    <row r="46" spans="1:15" s="1" customFormat="1" x14ac:dyDescent="0.3">
      <c r="A46" s="66" t="s">
        <v>19</v>
      </c>
      <c r="B46" s="67" t="s">
        <v>18</v>
      </c>
      <c r="C46" s="67" t="s">
        <v>21</v>
      </c>
      <c r="D46" s="68">
        <v>45051</v>
      </c>
      <c r="E46" s="69">
        <v>332694</v>
      </c>
      <c r="F46" s="70">
        <f t="shared" si="5"/>
        <v>0.99370893373490354</v>
      </c>
      <c r="G46" s="69">
        <v>2093</v>
      </c>
      <c r="H46" s="69">
        <v>118691</v>
      </c>
      <c r="I46" s="70">
        <f t="shared" si="6"/>
        <v>0.3567572604254961</v>
      </c>
      <c r="J46" s="69">
        <v>2503</v>
      </c>
      <c r="K46" s="70">
        <f t="shared" si="7"/>
        <v>7.5234299386222779E-3</v>
      </c>
      <c r="L46" s="70">
        <f t="shared" si="8"/>
        <v>2.1088372328146195E-2</v>
      </c>
      <c r="M46" s="69">
        <v>295</v>
      </c>
      <c r="N46" s="70">
        <f t="shared" si="9"/>
        <v>8.8670069192711622E-4</v>
      </c>
      <c r="O46" s="67" t="s">
        <v>21</v>
      </c>
    </row>
    <row r="47" spans="1:15" s="1" customFormat="1" x14ac:dyDescent="0.3">
      <c r="A47" s="66" t="s">
        <v>33</v>
      </c>
      <c r="B47" s="67" t="s">
        <v>18</v>
      </c>
      <c r="C47" s="67" t="s">
        <v>21</v>
      </c>
      <c r="D47" s="68">
        <v>45058</v>
      </c>
      <c r="E47" s="69">
        <v>234031</v>
      </c>
      <c r="F47" s="70">
        <f t="shared" si="5"/>
        <v>0.99615008268135419</v>
      </c>
      <c r="G47" s="69">
        <v>901</v>
      </c>
      <c r="H47" s="69">
        <v>104160</v>
      </c>
      <c r="I47" s="70">
        <f t="shared" si="6"/>
        <v>0.445069242963539</v>
      </c>
      <c r="J47" s="69">
        <v>1430</v>
      </c>
      <c r="K47" s="70">
        <f t="shared" si="7"/>
        <v>6.1103016267075733E-3</v>
      </c>
      <c r="L47" s="70">
        <f t="shared" si="8"/>
        <v>1.3728878648233488E-2</v>
      </c>
      <c r="M47" s="69">
        <v>214</v>
      </c>
      <c r="N47" s="70">
        <f t="shared" si="9"/>
        <v>9.144087749058885E-4</v>
      </c>
      <c r="O47" s="67" t="s">
        <v>21</v>
      </c>
    </row>
    <row r="48" spans="1:15" s="1" customFormat="1" x14ac:dyDescent="0.3">
      <c r="A48" s="66" t="s">
        <v>19</v>
      </c>
      <c r="B48" s="67" t="s">
        <v>18</v>
      </c>
      <c r="C48" s="67" t="s">
        <v>21</v>
      </c>
      <c r="D48" s="68">
        <v>45058</v>
      </c>
      <c r="E48" s="69">
        <v>332479</v>
      </c>
      <c r="F48" s="70">
        <f t="shared" si="5"/>
        <v>0.99393044372727302</v>
      </c>
      <c r="G48" s="69">
        <v>2018</v>
      </c>
      <c r="H48" s="69">
        <v>119256</v>
      </c>
      <c r="I48" s="70">
        <f t="shared" si="6"/>
        <v>0.35868731558985678</v>
      </c>
      <c r="J48" s="69">
        <v>1813</v>
      </c>
      <c r="K48" s="70">
        <f t="shared" si="7"/>
        <v>5.4529759774301538E-3</v>
      </c>
      <c r="L48" s="70">
        <f t="shared" si="8"/>
        <v>1.5202589387536056E-2</v>
      </c>
      <c r="M48" s="69">
        <v>282</v>
      </c>
      <c r="N48" s="70">
        <f t="shared" si="9"/>
        <v>8.4817386962785619E-4</v>
      </c>
      <c r="O48" s="67" t="s">
        <v>21</v>
      </c>
    </row>
    <row r="49" spans="1:15" s="1" customFormat="1" x14ac:dyDescent="0.3">
      <c r="A49" s="66" t="s">
        <v>24</v>
      </c>
      <c r="B49" s="67" t="s">
        <v>18</v>
      </c>
      <c r="C49" s="67" t="s">
        <v>21</v>
      </c>
      <c r="D49" s="68">
        <v>45059</v>
      </c>
      <c r="E49" s="69">
        <v>14811</v>
      </c>
      <c r="F49" s="70">
        <f t="shared" si="5"/>
        <v>0.99520626561339542</v>
      </c>
      <c r="G49" s="69">
        <v>71</v>
      </c>
      <c r="H49" s="69">
        <v>3710</v>
      </c>
      <c r="I49" s="70">
        <f t="shared" si="6"/>
        <v>0.25048950104651946</v>
      </c>
      <c r="J49" s="69">
        <v>105</v>
      </c>
      <c r="K49" s="70">
        <f t="shared" si="7"/>
        <v>7.0893255013165894E-3</v>
      </c>
      <c r="L49" s="70">
        <f t="shared" si="8"/>
        <v>2.8301886792452831E-2</v>
      </c>
      <c r="M49" s="69">
        <v>12</v>
      </c>
      <c r="N49" s="70">
        <f t="shared" si="9"/>
        <v>8.1020862872189592E-4</v>
      </c>
      <c r="O49" s="67" t="s">
        <v>21</v>
      </c>
    </row>
    <row r="50" spans="1:15" s="1" customFormat="1" x14ac:dyDescent="0.3">
      <c r="A50" s="66" t="s">
        <v>33</v>
      </c>
      <c r="B50" s="67" t="s">
        <v>18</v>
      </c>
      <c r="C50" s="67" t="s">
        <v>21</v>
      </c>
      <c r="D50" s="68">
        <v>45065</v>
      </c>
      <c r="E50" s="69">
        <v>233791</v>
      </c>
      <c r="F50" s="70">
        <f t="shared" si="5"/>
        <v>0.99679200653575206</v>
      </c>
      <c r="G50" s="69">
        <v>750</v>
      </c>
      <c r="H50" s="69">
        <v>102602</v>
      </c>
      <c r="I50" s="70">
        <f t="shared" si="6"/>
        <v>0.43886206055836197</v>
      </c>
      <c r="J50" s="69">
        <v>2824</v>
      </c>
      <c r="K50" s="70">
        <f t="shared" si="7"/>
        <v>1.2079164724048403E-2</v>
      </c>
      <c r="L50" s="70">
        <f t="shared" si="8"/>
        <v>2.7523829944835383E-2</v>
      </c>
      <c r="M50" s="69">
        <v>187</v>
      </c>
      <c r="N50" s="70">
        <f t="shared" si="9"/>
        <v>7.9985970375249691E-4</v>
      </c>
      <c r="O50" s="67" t="s">
        <v>21</v>
      </c>
    </row>
    <row r="51" spans="1:15" s="1" customFormat="1" x14ac:dyDescent="0.3">
      <c r="A51" s="66" t="s">
        <v>19</v>
      </c>
      <c r="B51" s="67" t="s">
        <v>18</v>
      </c>
      <c r="C51" s="67" t="s">
        <v>21</v>
      </c>
      <c r="D51" s="68">
        <v>45065</v>
      </c>
      <c r="E51" s="69">
        <v>332248</v>
      </c>
      <c r="F51" s="70">
        <f t="shared" si="5"/>
        <v>0.99467867376176833</v>
      </c>
      <c r="G51" s="69">
        <v>1768</v>
      </c>
      <c r="H51" s="69">
        <v>117822</v>
      </c>
      <c r="I51" s="70">
        <f t="shared" si="6"/>
        <v>0.35462064481953237</v>
      </c>
      <c r="J51" s="69">
        <v>2942</v>
      </c>
      <c r="K51" s="70">
        <f t="shared" si="7"/>
        <v>8.8548313308131274E-3</v>
      </c>
      <c r="L51" s="70">
        <f t="shared" si="8"/>
        <v>2.4969869803602045E-2</v>
      </c>
      <c r="M51" s="69">
        <v>257</v>
      </c>
      <c r="N51" s="70">
        <f t="shared" si="9"/>
        <v>7.7351857648503522E-4</v>
      </c>
      <c r="O51" s="67" t="s">
        <v>21</v>
      </c>
    </row>
    <row r="52" spans="1:15" s="1" customFormat="1" x14ac:dyDescent="0.3">
      <c r="A52" s="66" t="s">
        <v>33</v>
      </c>
      <c r="B52" s="67" t="s">
        <v>18</v>
      </c>
      <c r="C52" s="67" t="s">
        <v>21</v>
      </c>
      <c r="D52" s="68">
        <v>45072</v>
      </c>
      <c r="E52" s="69">
        <v>234084</v>
      </c>
      <c r="F52" s="70">
        <f t="shared" si="5"/>
        <v>0.99713350762973973</v>
      </c>
      <c r="G52" s="69">
        <v>671</v>
      </c>
      <c r="H52" s="69">
        <v>104116</v>
      </c>
      <c r="I52" s="70">
        <f t="shared" si="6"/>
        <v>0.44478050614309395</v>
      </c>
      <c r="J52" s="69">
        <v>1860</v>
      </c>
      <c r="K52" s="70">
        <f t="shared" si="7"/>
        <v>7.9458655867124615E-3</v>
      </c>
      <c r="L52" s="70">
        <f t="shared" si="8"/>
        <v>1.7864689384916824E-2</v>
      </c>
      <c r="M52" s="69">
        <v>209</v>
      </c>
      <c r="N52" s="70">
        <f t="shared" si="9"/>
        <v>8.928418858187659E-4</v>
      </c>
      <c r="O52" s="67" t="s">
        <v>21</v>
      </c>
    </row>
    <row r="53" spans="1:15" s="1" customFormat="1" x14ac:dyDescent="0.3">
      <c r="A53" s="66" t="s">
        <v>19</v>
      </c>
      <c r="B53" s="67" t="s">
        <v>18</v>
      </c>
      <c r="C53" s="67" t="s">
        <v>21</v>
      </c>
      <c r="D53" s="68">
        <v>45072</v>
      </c>
      <c r="E53" s="69">
        <v>332318</v>
      </c>
      <c r="F53" s="70">
        <f t="shared" si="5"/>
        <v>0.99514621537202319</v>
      </c>
      <c r="G53" s="69">
        <v>1613</v>
      </c>
      <c r="H53" s="69">
        <v>119992</v>
      </c>
      <c r="I53" s="70">
        <f t="shared" si="6"/>
        <v>0.36107583699950047</v>
      </c>
      <c r="J53" s="69">
        <v>2391</v>
      </c>
      <c r="K53" s="70">
        <f t="shared" si="7"/>
        <v>7.1949157132625979E-3</v>
      </c>
      <c r="L53" s="70">
        <f t="shared" si="8"/>
        <v>1.9926328421894794E-2</v>
      </c>
      <c r="M53" s="69">
        <v>279</v>
      </c>
      <c r="N53" s="70">
        <f t="shared" si="9"/>
        <v>8.3955729150993923E-4</v>
      </c>
      <c r="O53" s="67" t="s">
        <v>21</v>
      </c>
    </row>
    <row r="54" spans="1:15" s="1" customFormat="1" x14ac:dyDescent="0.3">
      <c r="A54" s="66" t="s">
        <v>24</v>
      </c>
      <c r="B54" s="67" t="s">
        <v>18</v>
      </c>
      <c r="C54" s="67" t="s">
        <v>21</v>
      </c>
      <c r="D54" s="68">
        <v>45073</v>
      </c>
      <c r="E54" s="69">
        <v>14918</v>
      </c>
      <c r="F54" s="70">
        <f t="shared" si="5"/>
        <v>0.99597801313849044</v>
      </c>
      <c r="G54" s="69">
        <v>60</v>
      </c>
      <c r="H54" s="69">
        <v>4659</v>
      </c>
      <c r="I54" s="70">
        <f t="shared" si="6"/>
        <v>0.31230727979621931</v>
      </c>
      <c r="J54" s="69">
        <v>206</v>
      </c>
      <c r="K54" s="70">
        <f t="shared" si="7"/>
        <v>1.3808821557849578E-2</v>
      </c>
      <c r="L54" s="70">
        <f t="shared" si="8"/>
        <v>4.4215496887744149E-2</v>
      </c>
      <c r="M54" s="69">
        <v>11</v>
      </c>
      <c r="N54" s="70">
        <f t="shared" si="9"/>
        <v>7.3736425794342401E-4</v>
      </c>
      <c r="O54" s="67" t="s">
        <v>21</v>
      </c>
    </row>
    <row r="55" spans="1:15" s="1" customFormat="1" x14ac:dyDescent="0.3">
      <c r="A55" s="76" t="s">
        <v>33</v>
      </c>
      <c r="B55" s="67" t="s">
        <v>18</v>
      </c>
      <c r="C55" s="67" t="s">
        <v>21</v>
      </c>
      <c r="D55" s="68">
        <v>45079</v>
      </c>
      <c r="E55" s="88">
        <v>233832</v>
      </c>
      <c r="F55" s="70">
        <f t="shared" si="5"/>
        <v>0.99743833179376651</v>
      </c>
      <c r="G55" s="88">
        <v>599</v>
      </c>
      <c r="H55" s="88">
        <v>111353</v>
      </c>
      <c r="I55" s="70">
        <f t="shared" si="6"/>
        <v>0.47620941530671596</v>
      </c>
      <c r="J55" s="69">
        <v>1661</v>
      </c>
      <c r="K55" s="70">
        <f t="shared" si="7"/>
        <v>7.1033904683704538E-3</v>
      </c>
      <c r="L55" s="70">
        <f t="shared" si="8"/>
        <v>1.4916526721327669E-2</v>
      </c>
      <c r="M55" s="69">
        <v>194</v>
      </c>
      <c r="N55" s="70">
        <f t="shared" si="9"/>
        <v>8.2965547914742204E-4</v>
      </c>
      <c r="O55" s="67" t="s">
        <v>21</v>
      </c>
    </row>
    <row r="56" spans="1:15" s="1" customFormat="1" x14ac:dyDescent="0.3">
      <c r="A56" s="76" t="s">
        <v>19</v>
      </c>
      <c r="B56" s="67" t="s">
        <v>18</v>
      </c>
      <c r="C56" s="67" t="s">
        <v>21</v>
      </c>
      <c r="D56" s="68">
        <v>45079</v>
      </c>
      <c r="E56" s="88">
        <v>332161</v>
      </c>
      <c r="F56" s="70">
        <f t="shared" si="5"/>
        <v>0.99540584234753626</v>
      </c>
      <c r="G56" s="88">
        <v>1526</v>
      </c>
      <c r="H56" s="88">
        <v>127397</v>
      </c>
      <c r="I56" s="70">
        <f t="shared" si="6"/>
        <v>0.38353990986298814</v>
      </c>
      <c r="J56" s="69">
        <v>2215</v>
      </c>
      <c r="K56" s="70">
        <f t="shared" si="7"/>
        <v>6.6684529490217094E-3</v>
      </c>
      <c r="L56" s="70">
        <f t="shared" si="8"/>
        <v>1.738659466078479E-2</v>
      </c>
      <c r="M56" s="69">
        <v>262</v>
      </c>
      <c r="N56" s="70">
        <f t="shared" si="9"/>
        <v>7.8877411857502838E-4</v>
      </c>
      <c r="O56" s="67" t="s">
        <v>21</v>
      </c>
    </row>
    <row r="57" spans="1:15" s="1" customFormat="1" x14ac:dyDescent="0.3">
      <c r="A57" s="76" t="s">
        <v>33</v>
      </c>
      <c r="B57" s="67" t="s">
        <v>18</v>
      </c>
      <c r="C57" s="67" t="s">
        <v>21</v>
      </c>
      <c r="D57" s="68">
        <v>45086</v>
      </c>
      <c r="E57" s="69">
        <v>233139</v>
      </c>
      <c r="F57" s="70">
        <f t="shared" si="5"/>
        <v>0.99747789945054233</v>
      </c>
      <c r="G57" s="67">
        <v>588</v>
      </c>
      <c r="H57" s="69">
        <v>101650</v>
      </c>
      <c r="I57" s="70">
        <f t="shared" si="6"/>
        <v>0.43600598784416161</v>
      </c>
      <c r="J57" s="69">
        <v>2115</v>
      </c>
      <c r="K57" s="70">
        <f t="shared" si="7"/>
        <v>9.0718412620797041E-3</v>
      </c>
      <c r="L57" s="70">
        <f t="shared" si="8"/>
        <v>2.0806689621249385E-2</v>
      </c>
      <c r="M57" s="69">
        <v>198</v>
      </c>
      <c r="N57" s="70">
        <f t="shared" si="9"/>
        <v>8.4927875645001479E-4</v>
      </c>
      <c r="O57" s="67" t="s">
        <v>21</v>
      </c>
    </row>
    <row r="58" spans="1:15" s="1" customFormat="1" x14ac:dyDescent="0.3">
      <c r="A58" s="76" t="s">
        <v>19</v>
      </c>
      <c r="B58" s="67" t="s">
        <v>18</v>
      </c>
      <c r="C58" s="67" t="s">
        <v>21</v>
      </c>
      <c r="D58" s="68">
        <v>45086</v>
      </c>
      <c r="E58" s="69">
        <v>332040</v>
      </c>
      <c r="F58" s="70">
        <f t="shared" si="5"/>
        <v>0.99566317311167329</v>
      </c>
      <c r="G58" s="67">
        <v>1440</v>
      </c>
      <c r="H58" s="69">
        <v>117637</v>
      </c>
      <c r="I58" s="70">
        <f t="shared" si="6"/>
        <v>0.35428562823756177</v>
      </c>
      <c r="J58" s="69">
        <v>2574</v>
      </c>
      <c r="K58" s="70">
        <f t="shared" si="7"/>
        <v>7.7520780628839896E-3</v>
      </c>
      <c r="L58" s="70">
        <f t="shared" si="8"/>
        <v>2.1880870814454636E-2</v>
      </c>
      <c r="M58" s="69">
        <v>276</v>
      </c>
      <c r="N58" s="70">
        <f t="shared" si="9"/>
        <v>8.3122515359595225E-4</v>
      </c>
      <c r="O58" s="67" t="s">
        <v>21</v>
      </c>
    </row>
    <row r="59" spans="1:15" s="1" customFormat="1" x14ac:dyDescent="0.3">
      <c r="A59" s="76" t="s">
        <v>24</v>
      </c>
      <c r="B59" s="67" t="s">
        <v>18</v>
      </c>
      <c r="C59" s="67" t="s">
        <v>21</v>
      </c>
      <c r="D59" s="68">
        <v>45087</v>
      </c>
      <c r="E59" s="69">
        <v>14891</v>
      </c>
      <c r="F59" s="70">
        <f t="shared" si="5"/>
        <v>0.99697804042710358</v>
      </c>
      <c r="G59" s="67">
        <v>45</v>
      </c>
      <c r="H59" s="69">
        <v>4585</v>
      </c>
      <c r="I59" s="70">
        <f t="shared" si="6"/>
        <v>0.30790410314955341</v>
      </c>
      <c r="J59" s="69">
        <v>194</v>
      </c>
      <c r="K59" s="70">
        <f t="shared" si="7"/>
        <v>1.3028003492042172E-2</v>
      </c>
      <c r="L59" s="70">
        <f t="shared" si="8"/>
        <v>4.2311886586695747E-2</v>
      </c>
      <c r="M59" s="69">
        <v>14</v>
      </c>
      <c r="N59" s="70">
        <f t="shared" si="9"/>
        <v>9.4016520045665168E-4</v>
      </c>
      <c r="O59" s="67" t="s">
        <v>21</v>
      </c>
    </row>
    <row r="60" spans="1:15" s="1" customFormat="1" x14ac:dyDescent="0.3">
      <c r="A60" s="76" t="s">
        <v>33</v>
      </c>
      <c r="B60" s="67" t="s">
        <v>18</v>
      </c>
      <c r="C60" s="67" t="s">
        <v>21</v>
      </c>
      <c r="D60" s="68">
        <v>45093</v>
      </c>
      <c r="E60" s="69">
        <v>232748</v>
      </c>
      <c r="F60" s="70">
        <f t="shared" si="5"/>
        <v>0.99796775912145319</v>
      </c>
      <c r="G60" s="67">
        <v>473</v>
      </c>
      <c r="H60" s="69">
        <v>102640</v>
      </c>
      <c r="I60" s="70">
        <f t="shared" si="6"/>
        <v>0.44099197415230207</v>
      </c>
      <c r="J60" s="69">
        <v>1887</v>
      </c>
      <c r="K60" s="70">
        <f t="shared" si="7"/>
        <v>8.1074810524687652E-3</v>
      </c>
      <c r="L60" s="70">
        <f t="shared" si="8"/>
        <v>1.8384645362431801E-2</v>
      </c>
      <c r="M60" s="69">
        <v>41</v>
      </c>
      <c r="N60" s="70">
        <f t="shared" si="9"/>
        <v>1.761561860896764E-4</v>
      </c>
      <c r="O60" s="67" t="s">
        <v>21</v>
      </c>
    </row>
    <row r="61" spans="1:15" s="1" customFormat="1" x14ac:dyDescent="0.3">
      <c r="A61" s="76" t="s">
        <v>19</v>
      </c>
      <c r="B61" s="67" t="s">
        <v>18</v>
      </c>
      <c r="C61" s="67" t="s">
        <v>21</v>
      </c>
      <c r="D61" s="68">
        <v>45093</v>
      </c>
      <c r="E61" s="69">
        <v>331907</v>
      </c>
      <c r="F61" s="70">
        <f t="shared" si="5"/>
        <v>0.99636645204831475</v>
      </c>
      <c r="G61" s="67">
        <v>1206</v>
      </c>
      <c r="H61" s="69">
        <v>119489</v>
      </c>
      <c r="I61" s="70">
        <f t="shared" si="6"/>
        <v>0.3600074719725706</v>
      </c>
      <c r="J61" s="69">
        <v>2322</v>
      </c>
      <c r="K61" s="70">
        <f t="shared" si="7"/>
        <v>6.9959356084686375E-3</v>
      </c>
      <c r="L61" s="70">
        <f t="shared" si="8"/>
        <v>1.9432751131903354E-2</v>
      </c>
      <c r="M61" s="69">
        <v>69</v>
      </c>
      <c r="N61" s="70">
        <f t="shared" si="9"/>
        <v>2.0788955942477864E-4</v>
      </c>
      <c r="O61" s="67" t="s">
        <v>21</v>
      </c>
    </row>
    <row r="62" spans="1:15" s="1" customFormat="1" x14ac:dyDescent="0.3">
      <c r="A62" s="95" t="s">
        <v>33</v>
      </c>
      <c r="B62" s="58" t="s">
        <v>18</v>
      </c>
      <c r="C62" s="58" t="s">
        <v>21</v>
      </c>
      <c r="D62" s="83">
        <v>45100</v>
      </c>
      <c r="E62" s="59">
        <v>232835</v>
      </c>
      <c r="F62" s="60">
        <f t="shared" si="5"/>
        <v>0.99823909635578845</v>
      </c>
      <c r="G62" s="58">
        <v>410</v>
      </c>
      <c r="H62" s="59">
        <v>105363</v>
      </c>
      <c r="I62" s="60">
        <f t="shared" si="6"/>
        <v>0.45252217235381281</v>
      </c>
      <c r="J62" s="59">
        <v>2008</v>
      </c>
      <c r="K62" s="60">
        <f t="shared" si="7"/>
        <v>8.624132969699572E-3</v>
      </c>
      <c r="L62" s="60">
        <f t="shared" si="8"/>
        <v>1.9057923559503812E-2</v>
      </c>
      <c r="M62" s="59">
        <v>231</v>
      </c>
      <c r="N62" s="60">
        <f t="shared" si="9"/>
        <v>9.9211888247041895E-4</v>
      </c>
      <c r="O62" s="58" t="s">
        <v>21</v>
      </c>
    </row>
    <row r="63" spans="1:15" s="1" customFormat="1" x14ac:dyDescent="0.3">
      <c r="A63" s="95" t="s">
        <v>19</v>
      </c>
      <c r="B63" s="58" t="s">
        <v>18</v>
      </c>
      <c r="C63" s="58" t="s">
        <v>21</v>
      </c>
      <c r="D63" s="83">
        <v>45100</v>
      </c>
      <c r="E63" s="59">
        <v>331811</v>
      </c>
      <c r="F63" s="60">
        <f t="shared" si="5"/>
        <v>0.99681445160045934</v>
      </c>
      <c r="G63" s="58">
        <v>1057</v>
      </c>
      <c r="H63" s="59">
        <v>121188</v>
      </c>
      <c r="I63" s="60">
        <f t="shared" si="6"/>
        <v>0.36523201461072718</v>
      </c>
      <c r="J63" s="59">
        <v>2461</v>
      </c>
      <c r="K63" s="60">
        <f t="shared" si="7"/>
        <v>7.416872858344057E-3</v>
      </c>
      <c r="L63" s="60">
        <f t="shared" si="8"/>
        <v>2.0307291150939037E-2</v>
      </c>
      <c r="M63" s="59">
        <v>278</v>
      </c>
      <c r="N63" s="60">
        <f t="shared" si="9"/>
        <v>8.3782635295394066E-4</v>
      </c>
      <c r="O63" s="58" t="s">
        <v>21</v>
      </c>
    </row>
    <row r="64" spans="1:15" s="1" customFormat="1" x14ac:dyDescent="0.3">
      <c r="A64" s="95" t="s">
        <v>24</v>
      </c>
      <c r="B64" s="58" t="s">
        <v>18</v>
      </c>
      <c r="C64" s="58" t="s">
        <v>21</v>
      </c>
      <c r="D64" s="83">
        <v>45101</v>
      </c>
      <c r="E64" s="59">
        <v>14954</v>
      </c>
      <c r="F64" s="60">
        <f t="shared" si="5"/>
        <v>0.99819446301992776</v>
      </c>
      <c r="G64" s="58">
        <v>27</v>
      </c>
      <c r="H64" s="59">
        <v>4698</v>
      </c>
      <c r="I64" s="60">
        <f t="shared" si="6"/>
        <v>0.31416343453256651</v>
      </c>
      <c r="J64" s="59">
        <v>191</v>
      </c>
      <c r="K64" s="60">
        <f t="shared" si="7"/>
        <v>1.2772502340510901E-2</v>
      </c>
      <c r="L64" s="60">
        <f t="shared" si="8"/>
        <v>4.0655598126862494E-2</v>
      </c>
      <c r="M64" s="59">
        <v>16</v>
      </c>
      <c r="N64" s="60">
        <f t="shared" si="9"/>
        <v>1.0699478400427978E-3</v>
      </c>
      <c r="O64" s="58" t="s">
        <v>21</v>
      </c>
    </row>
    <row r="66" spans="1:15" x14ac:dyDescent="0.3">
      <c r="A66" s="33" t="s">
        <v>50</v>
      </c>
      <c r="B66" s="35"/>
      <c r="C66" s="35"/>
      <c r="D66" s="30"/>
      <c r="E66" s="31">
        <f>SUM(E2:E64)</f>
        <v>14520938</v>
      </c>
      <c r="F66" s="32">
        <f>(E66-G66)/E66</f>
        <v>0.9969836659312229</v>
      </c>
      <c r="G66" s="31">
        <f>SUM(G2:G64)</f>
        <v>43800</v>
      </c>
      <c r="H66" s="31">
        <f>SUM(H2:H64)</f>
        <v>5753444</v>
      </c>
      <c r="I66" s="32">
        <f>H66/E66</f>
        <v>0.39621710388130577</v>
      </c>
      <c r="J66" s="31">
        <f>SUM(J2:J64)</f>
        <v>126121</v>
      </c>
      <c r="K66" s="32">
        <f>J66/E66</f>
        <v>8.6854581983615651E-3</v>
      </c>
      <c r="L66" s="32">
        <f>J66/H66</f>
        <v>2.1920957256210367E-2</v>
      </c>
      <c r="M66" s="31">
        <f>SUM(M2:M64)</f>
        <v>14795</v>
      </c>
      <c r="N66" s="32">
        <f>M66/E66</f>
        <v>1.0188735741451414E-3</v>
      </c>
    </row>
    <row r="67" spans="1:15" x14ac:dyDescent="0.3">
      <c r="A67" s="51"/>
      <c r="B67" s="51"/>
      <c r="C67" s="51"/>
      <c r="D67" s="53"/>
      <c r="E67" s="54"/>
      <c r="F67" s="50"/>
      <c r="G67" s="54"/>
      <c r="H67" s="54"/>
      <c r="I67" s="50"/>
      <c r="J67" s="54"/>
      <c r="K67" s="50"/>
      <c r="L67" s="50"/>
      <c r="M67" s="55">
        <f>M66/J66</f>
        <v>0.11730798201726914</v>
      </c>
      <c r="N67" s="50"/>
    </row>
    <row r="68" spans="1:15" x14ac:dyDescent="0.3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</row>
    <row r="69" spans="1:15" x14ac:dyDescent="0.3">
      <c r="A69" s="35" t="s">
        <v>25</v>
      </c>
      <c r="B69" s="35"/>
      <c r="C69" s="35"/>
      <c r="D69" s="35"/>
      <c r="E69" s="31">
        <f>E2+E5+E7+E11+E12+E16+E17+E20+E22+E25+E27+E30+E32+E35+E37+E41+E42+E45+E47+E50+E52+E55+E57+E60+E62</f>
        <v>6011042</v>
      </c>
      <c r="F69" s="32">
        <f>(E69-G69)/E69</f>
        <v>0.99777625909118584</v>
      </c>
      <c r="G69" s="31">
        <f>G2+G5+G7+G11+G12+G16+G17+G20+G22+G25+G27+G30+G32+G35+G37+G41+G42+G45+G47+G50+G52+G55+G57+G60+G62</f>
        <v>13367</v>
      </c>
      <c r="H69" s="31">
        <f>H2+H5+H7+H11+H12+H16+H17+H20+H22+H25+H27+H30+H32+H35+H37+H41+H42+H45+H47+H50+H52+H55+H57+H60+H62</f>
        <v>2679910</v>
      </c>
      <c r="I69" s="32">
        <f>H69/E69</f>
        <v>0.44583118866911925</v>
      </c>
      <c r="J69" s="31">
        <f>J2+J5+J7+J11+J12+J16+J17+J20+J22+J25+J27+J30+J32+J35+J37+J41+J42+J45+J47+J50+J52+J55+J57+J60+J62</f>
        <v>55666</v>
      </c>
      <c r="K69" s="32">
        <f>J69/E69</f>
        <v>9.2606240315738931E-3</v>
      </c>
      <c r="L69" s="32">
        <f>J69/H69</f>
        <v>2.0771593075886878E-2</v>
      </c>
      <c r="M69" s="31">
        <f>M2+M5+M7+M11+M12+M16+M17+M20+M22+M25+M27+M30+M32+M35+M37+M41+M42+M45+M47+M50+M52+M55+M57+M60+M62</f>
        <v>6298</v>
      </c>
      <c r="N69" s="32">
        <f>M69/E69</f>
        <v>1.0477384786198465E-3</v>
      </c>
    </row>
    <row r="70" spans="1:15" x14ac:dyDescent="0.3">
      <c r="A70" s="51"/>
      <c r="B70" s="51"/>
      <c r="C70" s="51"/>
      <c r="D70" s="51"/>
      <c r="E70" s="54"/>
      <c r="F70" s="50"/>
      <c r="G70" s="54"/>
      <c r="H70" s="54"/>
      <c r="I70" s="50"/>
      <c r="J70" s="54"/>
      <c r="K70" s="50"/>
      <c r="L70" s="50"/>
      <c r="M70" s="55">
        <f>M69/J69</f>
        <v>0.11313907950993425</v>
      </c>
      <c r="N70" s="50"/>
    </row>
    <row r="71" spans="1:15" x14ac:dyDescent="0.3">
      <c r="A71" s="51"/>
      <c r="B71" s="51"/>
      <c r="C71" s="51"/>
      <c r="D71" s="51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21"/>
    </row>
    <row r="72" spans="1:15" x14ac:dyDescent="0.3">
      <c r="A72" s="35" t="s">
        <v>47</v>
      </c>
      <c r="B72" s="35"/>
      <c r="C72" s="35"/>
      <c r="D72" s="35"/>
      <c r="E72" s="47">
        <f>E3+E6+E8+E10+E13+E15+E18+E21+E23+E26+E28+E31+E33+E36+E38+E40+E43+E46+E48+E51+E53+E56+E58+E61+E63</f>
        <v>8316358</v>
      </c>
      <c r="F72" s="32">
        <f>(E72-G72)/E72</f>
        <v>0.9964009485883123</v>
      </c>
      <c r="G72" s="47">
        <f>G3+G6+G8+G10+G13+G15+G18+G21+G23+G26+G28+G31+G33+G36+G38+G40+G43+G46+G48+G51+G53+G56+G58+G61+G63</f>
        <v>29931</v>
      </c>
      <c r="H72" s="47">
        <f>H3+H6+H8+H10+H13+H15+H18+H21+H23+H26+H28+H31+H33+H36+H38+H40+H43+H46+H48+H51+H53+H56+H58+H61+H63</f>
        <v>3011257</v>
      </c>
      <c r="I72" s="32">
        <f>H72/E72</f>
        <v>0.36208842861262103</v>
      </c>
      <c r="J72" s="47">
        <f>J3+J6+J8+J10+J13+J15+J18+J21+J23+J26+J28+J31+J33+J36+J38+J40+J43+J46+J48+J51+J53+J56+J58+J61+J63</f>
        <v>67871</v>
      </c>
      <c r="K72" s="32">
        <f>J72/E72</f>
        <v>8.1611445779510693E-3</v>
      </c>
      <c r="L72" s="32">
        <f>J72/H72</f>
        <v>2.2539092478655924E-2</v>
      </c>
      <c r="M72" s="47">
        <f>M3+M6+M8+M10+M13+M15+M18+M21+M23+M26+M28+M31+M33+M36+M38+M40+M43+M46+M48+M51+M53+M56+M58+M61+M63</f>
        <v>8238</v>
      </c>
      <c r="N72" s="32">
        <f>M72/E72</f>
        <v>9.9057784669683534E-4</v>
      </c>
      <c r="O72" s="21"/>
    </row>
    <row r="73" spans="1:15" x14ac:dyDescent="0.3">
      <c r="A73" s="51"/>
      <c r="B73" s="51"/>
      <c r="C73" s="51"/>
      <c r="D73" s="51"/>
      <c r="E73" s="52"/>
      <c r="F73" s="52"/>
      <c r="G73" s="52"/>
      <c r="H73" s="52"/>
      <c r="I73" s="50"/>
      <c r="J73" s="52"/>
      <c r="K73" s="50"/>
      <c r="L73" s="50"/>
      <c r="M73" s="55">
        <f>M72/J72</f>
        <v>0.12137731873701581</v>
      </c>
      <c r="N73" s="50"/>
      <c r="O73" s="21"/>
    </row>
    <row r="74" spans="1:15" x14ac:dyDescent="0.3">
      <c r="A74" s="51"/>
      <c r="B74" s="51"/>
      <c r="C74" s="51"/>
      <c r="D74" s="51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21"/>
    </row>
    <row r="75" spans="1:15" x14ac:dyDescent="0.3">
      <c r="A75" s="35" t="s">
        <v>24</v>
      </c>
      <c r="B75" s="35"/>
      <c r="C75" s="35"/>
      <c r="D75" s="35"/>
      <c r="E75" s="47">
        <f>E9+E4+E14+E19+E24+E29+E34+E39+E44+E49+E54+E59+E64</f>
        <v>193538</v>
      </c>
      <c r="F75" s="32">
        <f>(E75-G75)/E75</f>
        <v>0.99740619413241849</v>
      </c>
      <c r="G75" s="47">
        <f>G9+G4+G14+G19+G24+G29+G34+G39+G44+G49+G54+G59+G64</f>
        <v>502</v>
      </c>
      <c r="H75" s="47">
        <f>H9+H4+H14+H19+H24+H29+H34+H39+H44+H49+H54+H59+H64</f>
        <v>62277</v>
      </c>
      <c r="I75" s="32">
        <f>H75/E75</f>
        <v>0.32178176895493393</v>
      </c>
      <c r="J75" s="47">
        <f>J9+J4+J14+J19+J24+J29+J34+J39+J44+J49+J54+J59+J64</f>
        <v>2584</v>
      </c>
      <c r="K75" s="32">
        <f>J75/E75</f>
        <v>1.3351383190897912E-2</v>
      </c>
      <c r="L75" s="32">
        <f>J75/H75</f>
        <v>4.1492043611606209E-2</v>
      </c>
      <c r="M75" s="47">
        <f>M9+M4+M14+M19+M24+M29+M34+M39+M44+M49+M54+M59+M64</f>
        <v>259</v>
      </c>
      <c r="N75" s="32">
        <f>M75/E75</f>
        <v>1.3382384854653867E-3</v>
      </c>
      <c r="O75" s="21"/>
    </row>
    <row r="76" spans="1:15" x14ac:dyDescent="0.3">
      <c r="A76" s="56"/>
      <c r="B76" s="56"/>
      <c r="C76" s="56"/>
      <c r="D76" s="56"/>
      <c r="E76" s="57"/>
      <c r="F76" s="57"/>
      <c r="G76" s="57"/>
      <c r="H76" s="57"/>
      <c r="I76" s="50"/>
      <c r="J76" s="57"/>
      <c r="K76" s="50"/>
      <c r="L76" s="50"/>
      <c r="M76" s="55">
        <f>M75/J75</f>
        <v>0.10023219814241487</v>
      </c>
      <c r="N76" s="50"/>
      <c r="O76" s="21"/>
    </row>
    <row r="77" spans="1:15" x14ac:dyDescent="0.3">
      <c r="A77" s="56"/>
      <c r="B77" s="56"/>
      <c r="C77" s="56"/>
      <c r="D77" s="56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21"/>
    </row>
    <row r="78" spans="1:15" x14ac:dyDescent="0.3">
      <c r="A78" s="36" t="s">
        <v>41</v>
      </c>
      <c r="B78" s="37"/>
      <c r="C78" s="38"/>
      <c r="D78" s="39"/>
      <c r="E78" s="40"/>
      <c r="F78" s="41"/>
      <c r="G78" s="42"/>
      <c r="H78" s="41"/>
      <c r="I78" s="43">
        <v>0.23899999999999999</v>
      </c>
      <c r="J78" s="41"/>
      <c r="K78" s="43">
        <v>2.9000000000000001E-2</v>
      </c>
      <c r="L78" s="43">
        <v>0.124</v>
      </c>
      <c r="M78" s="41"/>
      <c r="N78" s="43">
        <v>1E-3</v>
      </c>
    </row>
    <row r="80" spans="1:15" x14ac:dyDescent="0.3">
      <c r="E80" s="108"/>
      <c r="G80" s="108"/>
      <c r="J80" s="108"/>
      <c r="M80" s="10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8827E5D-D34D-4446-B681-EC8810097E6B}">
          <x14:formula1>
            <xm:f>'List Sheet'!$B$2:$B$3</xm:f>
          </x14:formula1>
          <xm:sqref>B10 B2:B3 B13 B17:B19 B22:B64</xm:sqref>
        </x14:dataValidation>
        <x14:dataValidation type="list" allowBlank="1" showInputMessage="1" showErrorMessage="1" xr:uid="{8E0232E6-F86F-FC42-946B-6E5FD500B188}">
          <x14:formula1>
            <xm:f>'List Sheet'!$A$2:$A$4</xm:f>
          </x14:formula1>
          <xm:sqref>C17 C22:C24 C57:C64 O57:O64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2012-5C0D-1F49-B62F-8A72CE167897}">
  <dimension ref="A1:O514"/>
  <sheetViews>
    <sheetView zoomScale="90" zoomScaleNormal="90" workbookViewId="0">
      <pane ySplit="1" topLeftCell="A476" activePane="bottomLeft" state="frozen"/>
      <selection pane="bottomLeft" activeCell="A483" sqref="A483"/>
    </sheetView>
  </sheetViews>
  <sheetFormatPr defaultColWidth="10.6640625" defaultRowHeight="14.4" x14ac:dyDescent="0.3"/>
  <cols>
    <col min="1" max="1" width="52.33203125" customWidth="1"/>
    <col min="2" max="2" width="9.44140625" bestFit="1" customWidth="1"/>
    <col min="3" max="3" width="13.109375" bestFit="1" customWidth="1"/>
    <col min="4" max="4" width="11.33203125" bestFit="1" customWidth="1"/>
    <col min="5" max="5" width="12" bestFit="1" customWidth="1"/>
    <col min="6" max="6" width="13" bestFit="1" customWidth="1"/>
    <col min="7" max="7" width="15.44140625" bestFit="1" customWidth="1"/>
    <col min="8" max="8" width="13.77734375" bestFit="1" customWidth="1"/>
    <col min="9" max="9" width="10.44140625" bestFit="1" customWidth="1"/>
    <col min="10" max="10" width="13.109375" bestFit="1" customWidth="1"/>
    <col min="11" max="11" width="7" bestFit="1" customWidth="1"/>
    <col min="12" max="12" width="7.6640625" bestFit="1" customWidth="1"/>
    <col min="13" max="13" width="12.77734375" bestFit="1" customWidth="1"/>
    <col min="14" max="14" width="16.6640625" bestFit="1" customWidth="1"/>
    <col min="15" max="15" width="9.7773437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29</v>
      </c>
      <c r="B2" s="67" t="s">
        <v>15</v>
      </c>
      <c r="C2" s="67" t="s">
        <v>16</v>
      </c>
      <c r="D2" s="68">
        <v>44929</v>
      </c>
      <c r="E2" s="69">
        <v>22244</v>
      </c>
      <c r="F2" s="70">
        <f t="shared" ref="F2:F33" si="0">(E2-G2)/E2</f>
        <v>0.99878618953425646</v>
      </c>
      <c r="G2" s="69">
        <v>27</v>
      </c>
      <c r="H2" s="69">
        <v>7887</v>
      </c>
      <c r="I2" s="70">
        <f t="shared" ref="I2:I33" si="1">H2/E2</f>
        <v>0.35456752382664991</v>
      </c>
      <c r="J2" s="69">
        <v>378</v>
      </c>
      <c r="K2" s="70">
        <f t="shared" ref="K2:K33" si="2">J2/E2</f>
        <v>1.6993346520409999E-2</v>
      </c>
      <c r="L2" s="70">
        <f t="shared" ref="L2:L33" si="3">J2/H2</f>
        <v>4.7926968429060482E-2</v>
      </c>
      <c r="M2" s="69">
        <v>19</v>
      </c>
      <c r="N2" s="70">
        <f t="shared" ref="N2:N33" si="4">M2/E2</f>
        <v>8.5416292033806867E-4</v>
      </c>
      <c r="O2" s="67" t="s">
        <v>16</v>
      </c>
    </row>
    <row r="3" spans="1:15" x14ac:dyDescent="0.3">
      <c r="A3" s="66" t="s">
        <v>17</v>
      </c>
      <c r="B3" s="67" t="s">
        <v>15</v>
      </c>
      <c r="C3" s="67" t="s">
        <v>16</v>
      </c>
      <c r="D3" s="68">
        <v>44929</v>
      </c>
      <c r="E3" s="69">
        <v>194636</v>
      </c>
      <c r="F3" s="70">
        <f t="shared" si="0"/>
        <v>0.998145255759469</v>
      </c>
      <c r="G3" s="69">
        <v>361</v>
      </c>
      <c r="H3" s="69">
        <v>69766</v>
      </c>
      <c r="I3" s="70">
        <f t="shared" si="1"/>
        <v>0.35844345342074435</v>
      </c>
      <c r="J3" s="69">
        <v>1647</v>
      </c>
      <c r="K3" s="70">
        <f t="shared" si="2"/>
        <v>8.4619494851928736E-3</v>
      </c>
      <c r="L3" s="70">
        <f t="shared" si="3"/>
        <v>2.360748788808302E-2</v>
      </c>
      <c r="M3" s="69">
        <v>157</v>
      </c>
      <c r="N3" s="70">
        <f t="shared" si="4"/>
        <v>8.066339217821986E-4</v>
      </c>
      <c r="O3" s="67" t="s">
        <v>16</v>
      </c>
    </row>
    <row r="4" spans="1:15" x14ac:dyDescent="0.3">
      <c r="A4" s="66" t="s">
        <v>29</v>
      </c>
      <c r="B4" s="67" t="s">
        <v>18</v>
      </c>
      <c r="C4" s="67" t="s">
        <v>16</v>
      </c>
      <c r="D4" s="68">
        <v>44929</v>
      </c>
      <c r="E4" s="69">
        <v>17887</v>
      </c>
      <c r="F4" s="70">
        <f t="shared" si="0"/>
        <v>0.99921730865992064</v>
      </c>
      <c r="G4" s="69">
        <v>14</v>
      </c>
      <c r="H4" s="69">
        <v>6856</v>
      </c>
      <c r="I4" s="70">
        <f t="shared" si="1"/>
        <v>0.3832951305417342</v>
      </c>
      <c r="J4" s="69">
        <v>224</v>
      </c>
      <c r="K4" s="70">
        <f t="shared" si="2"/>
        <v>1.2523061441270196E-2</v>
      </c>
      <c r="L4" s="70">
        <f t="shared" si="3"/>
        <v>3.2672112018669777E-2</v>
      </c>
      <c r="M4" s="69">
        <v>38</v>
      </c>
      <c r="N4" s="70">
        <f t="shared" si="4"/>
        <v>2.1244479230726225E-3</v>
      </c>
      <c r="O4" s="67" t="s">
        <v>16</v>
      </c>
    </row>
    <row r="5" spans="1:15" x14ac:dyDescent="0.3">
      <c r="A5" s="66" t="s">
        <v>17</v>
      </c>
      <c r="B5" s="67" t="s">
        <v>18</v>
      </c>
      <c r="C5" s="67" t="s">
        <v>16</v>
      </c>
      <c r="D5" s="68">
        <v>44929</v>
      </c>
      <c r="E5" s="69">
        <v>354949</v>
      </c>
      <c r="F5" s="70">
        <f t="shared" si="0"/>
        <v>0.99838286627092909</v>
      </c>
      <c r="G5" s="69">
        <v>574</v>
      </c>
      <c r="H5" s="69">
        <v>141863</v>
      </c>
      <c r="I5" s="70">
        <f t="shared" si="1"/>
        <v>0.39967150210311903</v>
      </c>
      <c r="J5" s="69">
        <v>2270</v>
      </c>
      <c r="K5" s="70">
        <f t="shared" si="2"/>
        <v>6.3952849564303605E-3</v>
      </c>
      <c r="L5" s="70">
        <f t="shared" si="3"/>
        <v>1.6001353418438915E-2</v>
      </c>
      <c r="M5" s="69">
        <v>606</v>
      </c>
      <c r="N5" s="70">
        <f t="shared" si="4"/>
        <v>1.7072875258135676E-3</v>
      </c>
      <c r="O5" s="67" t="s">
        <v>16</v>
      </c>
    </row>
    <row r="6" spans="1:15" x14ac:dyDescent="0.3">
      <c r="A6" s="66" t="s">
        <v>28</v>
      </c>
      <c r="B6" s="67" t="s">
        <v>15</v>
      </c>
      <c r="C6" s="67" t="s">
        <v>16</v>
      </c>
      <c r="D6" s="68">
        <v>44932</v>
      </c>
      <c r="E6" s="69">
        <v>95994</v>
      </c>
      <c r="F6" s="70">
        <f t="shared" si="0"/>
        <v>0.99888534700085418</v>
      </c>
      <c r="G6" s="69">
        <v>107</v>
      </c>
      <c r="H6" s="69">
        <v>30775</v>
      </c>
      <c r="I6" s="70">
        <f t="shared" si="1"/>
        <v>0.32059295372627455</v>
      </c>
      <c r="J6" s="69">
        <v>946</v>
      </c>
      <c r="K6" s="70">
        <f t="shared" si="2"/>
        <v>9.8547825905785785E-3</v>
      </c>
      <c r="L6" s="70">
        <f t="shared" si="3"/>
        <v>3.0739236393176279E-2</v>
      </c>
      <c r="M6" s="69">
        <v>86</v>
      </c>
      <c r="N6" s="70">
        <f t="shared" si="4"/>
        <v>8.958893264162344E-4</v>
      </c>
      <c r="O6" s="67" t="s">
        <v>16</v>
      </c>
    </row>
    <row r="7" spans="1:15" x14ac:dyDescent="0.3">
      <c r="A7" s="66" t="s">
        <v>22</v>
      </c>
      <c r="B7" s="67" t="s">
        <v>15</v>
      </c>
      <c r="C7" s="67" t="s">
        <v>16</v>
      </c>
      <c r="D7" s="68">
        <v>44932</v>
      </c>
      <c r="E7" s="69">
        <v>1750473</v>
      </c>
      <c r="F7" s="70">
        <f t="shared" si="0"/>
        <v>0.99671403100761913</v>
      </c>
      <c r="G7" s="69">
        <v>5752</v>
      </c>
      <c r="H7" s="69">
        <v>625509</v>
      </c>
      <c r="I7" s="70">
        <f t="shared" si="1"/>
        <v>0.35733713116397681</v>
      </c>
      <c r="J7" s="69">
        <v>12915</v>
      </c>
      <c r="K7" s="70">
        <f t="shared" si="2"/>
        <v>7.3780058304241201E-3</v>
      </c>
      <c r="L7" s="70">
        <f t="shared" si="3"/>
        <v>2.0647184932590899E-2</v>
      </c>
      <c r="M7" s="69">
        <v>2797</v>
      </c>
      <c r="N7" s="70">
        <f t="shared" si="4"/>
        <v>1.5978538372199971E-3</v>
      </c>
      <c r="O7" s="67" t="s">
        <v>16</v>
      </c>
    </row>
    <row r="8" spans="1:15" x14ac:dyDescent="0.3">
      <c r="A8" s="66" t="s">
        <v>28</v>
      </c>
      <c r="B8" s="67" t="s">
        <v>18</v>
      </c>
      <c r="C8" s="67" t="s">
        <v>16</v>
      </c>
      <c r="D8" s="68">
        <v>44932</v>
      </c>
      <c r="E8" s="69">
        <v>223652</v>
      </c>
      <c r="F8" s="70">
        <f t="shared" si="0"/>
        <v>0.99710711283601305</v>
      </c>
      <c r="G8" s="69">
        <v>647</v>
      </c>
      <c r="H8" s="69">
        <v>78135</v>
      </c>
      <c r="I8" s="70">
        <f t="shared" si="1"/>
        <v>0.34935971956432316</v>
      </c>
      <c r="J8" s="69">
        <v>3430</v>
      </c>
      <c r="K8" s="70">
        <f t="shared" si="2"/>
        <v>1.5336326078014058E-2</v>
      </c>
      <c r="L8" s="70">
        <f t="shared" si="3"/>
        <v>4.3898381007231077E-2</v>
      </c>
      <c r="M8" s="69">
        <v>1896</v>
      </c>
      <c r="N8" s="70">
        <f t="shared" si="4"/>
        <v>8.4774560477885279E-3</v>
      </c>
      <c r="O8" s="67" t="s">
        <v>16</v>
      </c>
    </row>
    <row r="9" spans="1:15" x14ac:dyDescent="0.3">
      <c r="A9" s="66" t="s">
        <v>22</v>
      </c>
      <c r="B9" s="67" t="s">
        <v>18</v>
      </c>
      <c r="C9" s="67" t="s">
        <v>16</v>
      </c>
      <c r="D9" s="68">
        <v>44932</v>
      </c>
      <c r="E9" s="69">
        <v>2511131</v>
      </c>
      <c r="F9" s="70">
        <f t="shared" si="0"/>
        <v>0.99525074558037796</v>
      </c>
      <c r="G9" s="69">
        <v>11926</v>
      </c>
      <c r="H9" s="69">
        <v>923449</v>
      </c>
      <c r="I9" s="70">
        <f t="shared" si="1"/>
        <v>0.36774226434224261</v>
      </c>
      <c r="J9" s="69">
        <v>23859</v>
      </c>
      <c r="K9" s="70">
        <f t="shared" si="2"/>
        <v>9.5012964277849301E-3</v>
      </c>
      <c r="L9" s="70">
        <f t="shared" si="3"/>
        <v>2.5836835602182688E-2</v>
      </c>
      <c r="M9" s="69">
        <v>11684</v>
      </c>
      <c r="N9" s="70">
        <f t="shared" si="4"/>
        <v>4.6528835014979309E-3</v>
      </c>
      <c r="O9" s="67" t="s">
        <v>16</v>
      </c>
    </row>
    <row r="10" spans="1:15" x14ac:dyDescent="0.3">
      <c r="A10" s="66" t="s">
        <v>38</v>
      </c>
      <c r="B10" s="67" t="s">
        <v>15</v>
      </c>
      <c r="C10" s="67" t="s">
        <v>16</v>
      </c>
      <c r="D10" s="68">
        <v>44932</v>
      </c>
      <c r="E10" s="69">
        <v>4172</v>
      </c>
      <c r="F10" s="70">
        <f t="shared" si="0"/>
        <v>0.99856184084372002</v>
      </c>
      <c r="G10" s="69">
        <v>6</v>
      </c>
      <c r="H10" s="69">
        <v>1614</v>
      </c>
      <c r="I10" s="70">
        <f t="shared" si="1"/>
        <v>0.3868648130393097</v>
      </c>
      <c r="J10" s="69">
        <v>24</v>
      </c>
      <c r="K10" s="70">
        <f t="shared" si="2"/>
        <v>5.7526366251198467E-3</v>
      </c>
      <c r="L10" s="70">
        <f t="shared" si="3"/>
        <v>1.4869888475836431E-2</v>
      </c>
      <c r="M10" s="69">
        <v>4</v>
      </c>
      <c r="N10" s="70">
        <f t="shared" si="4"/>
        <v>9.5877277085330771E-4</v>
      </c>
      <c r="O10" s="67" t="s">
        <v>16</v>
      </c>
    </row>
    <row r="11" spans="1:15" x14ac:dyDescent="0.3">
      <c r="A11" s="66" t="s">
        <v>38</v>
      </c>
      <c r="B11" s="67" t="s">
        <v>18</v>
      </c>
      <c r="C11" s="67" t="s">
        <v>16</v>
      </c>
      <c r="D11" s="68">
        <v>44932</v>
      </c>
      <c r="E11" s="69">
        <v>2196</v>
      </c>
      <c r="F11" s="70">
        <f t="shared" si="0"/>
        <v>0.99908925318761388</v>
      </c>
      <c r="G11" s="69">
        <v>2</v>
      </c>
      <c r="H11" s="69">
        <v>865</v>
      </c>
      <c r="I11" s="70">
        <f t="shared" si="1"/>
        <v>0.39389799635701273</v>
      </c>
      <c r="J11" s="69">
        <v>15</v>
      </c>
      <c r="K11" s="70">
        <f t="shared" si="2"/>
        <v>6.8306010928961746E-3</v>
      </c>
      <c r="L11" s="70">
        <f t="shared" si="3"/>
        <v>1.7341040462427744E-2</v>
      </c>
      <c r="M11" s="69">
        <v>4</v>
      </c>
      <c r="N11" s="70">
        <f t="shared" si="4"/>
        <v>1.8214936247723133E-3</v>
      </c>
      <c r="O11" s="67" t="s">
        <v>16</v>
      </c>
    </row>
    <row r="12" spans="1:15" x14ac:dyDescent="0.3">
      <c r="A12" s="66" t="s">
        <v>36</v>
      </c>
      <c r="B12" s="67" t="s">
        <v>15</v>
      </c>
      <c r="C12" s="67" t="s">
        <v>16</v>
      </c>
      <c r="D12" s="68">
        <v>44933</v>
      </c>
      <c r="E12" s="69">
        <v>1320</v>
      </c>
      <c r="F12" s="70">
        <f t="shared" si="0"/>
        <v>0.99848484848484853</v>
      </c>
      <c r="G12" s="69">
        <v>2</v>
      </c>
      <c r="H12" s="69">
        <v>655</v>
      </c>
      <c r="I12" s="70">
        <f t="shared" si="1"/>
        <v>0.49621212121212122</v>
      </c>
      <c r="J12" s="69">
        <v>100</v>
      </c>
      <c r="K12" s="70">
        <f t="shared" si="2"/>
        <v>7.575757575757576E-2</v>
      </c>
      <c r="L12" s="70">
        <f t="shared" si="3"/>
        <v>0.15267175572519084</v>
      </c>
      <c r="M12" s="69">
        <v>4</v>
      </c>
      <c r="N12" s="70">
        <f t="shared" si="4"/>
        <v>3.0303030303030303E-3</v>
      </c>
      <c r="O12" s="67" t="s">
        <v>16</v>
      </c>
    </row>
    <row r="13" spans="1:15" x14ac:dyDescent="0.3">
      <c r="A13" s="66" t="s">
        <v>37</v>
      </c>
      <c r="B13" s="67" t="s">
        <v>15</v>
      </c>
      <c r="C13" s="67" t="s">
        <v>16</v>
      </c>
      <c r="D13" s="68">
        <v>44933</v>
      </c>
      <c r="E13" s="69">
        <v>10010</v>
      </c>
      <c r="F13" s="70">
        <f t="shared" si="0"/>
        <v>0.99890109890109891</v>
      </c>
      <c r="G13" s="69">
        <v>11</v>
      </c>
      <c r="H13" s="69">
        <v>4668</v>
      </c>
      <c r="I13" s="70">
        <f t="shared" si="1"/>
        <v>0.46633366633366635</v>
      </c>
      <c r="J13" s="69">
        <v>555</v>
      </c>
      <c r="K13" s="70">
        <f t="shared" si="2"/>
        <v>5.5444555444555448E-2</v>
      </c>
      <c r="L13" s="70">
        <f t="shared" si="3"/>
        <v>0.11889460154241645</v>
      </c>
      <c r="M13" s="69">
        <v>7</v>
      </c>
      <c r="N13" s="70">
        <f t="shared" si="4"/>
        <v>6.993006993006993E-4</v>
      </c>
      <c r="O13" s="67" t="s">
        <v>16</v>
      </c>
    </row>
    <row r="14" spans="1:15" x14ac:dyDescent="0.3">
      <c r="A14" s="66" t="s">
        <v>36</v>
      </c>
      <c r="B14" s="67" t="s">
        <v>18</v>
      </c>
      <c r="C14" s="67" t="s">
        <v>16</v>
      </c>
      <c r="D14" s="68">
        <v>44933</v>
      </c>
      <c r="E14" s="69">
        <v>571</v>
      </c>
      <c r="F14" s="70">
        <f t="shared" si="0"/>
        <v>0.99649737302977237</v>
      </c>
      <c r="G14" s="69">
        <v>2</v>
      </c>
      <c r="H14" s="69">
        <v>268</v>
      </c>
      <c r="I14" s="70">
        <f t="shared" si="1"/>
        <v>0.46935201401050786</v>
      </c>
      <c r="J14" s="69">
        <v>18</v>
      </c>
      <c r="K14" s="70">
        <f t="shared" si="2"/>
        <v>3.1523642732049037E-2</v>
      </c>
      <c r="L14" s="70">
        <f t="shared" si="3"/>
        <v>6.7164179104477612E-2</v>
      </c>
      <c r="M14" s="69">
        <v>4</v>
      </c>
      <c r="N14" s="70">
        <f t="shared" si="4"/>
        <v>7.0052539404553416E-3</v>
      </c>
      <c r="O14" s="67" t="s">
        <v>16</v>
      </c>
    </row>
    <row r="15" spans="1:15" x14ac:dyDescent="0.3">
      <c r="A15" s="66" t="s">
        <v>37</v>
      </c>
      <c r="B15" s="67" t="s">
        <v>18</v>
      </c>
      <c r="C15" s="67" t="s">
        <v>16</v>
      </c>
      <c r="D15" s="68">
        <v>44933</v>
      </c>
      <c r="E15" s="69">
        <v>7319</v>
      </c>
      <c r="F15" s="70">
        <f t="shared" si="0"/>
        <v>0.99863369312747641</v>
      </c>
      <c r="G15" s="69">
        <v>10</v>
      </c>
      <c r="H15" s="69">
        <v>3426</v>
      </c>
      <c r="I15" s="70">
        <f t="shared" si="1"/>
        <v>0.46809673452657469</v>
      </c>
      <c r="J15" s="69">
        <v>303</v>
      </c>
      <c r="K15" s="70">
        <f t="shared" si="2"/>
        <v>4.1399098237464134E-2</v>
      </c>
      <c r="L15" s="70">
        <f t="shared" si="3"/>
        <v>8.8441330998248691E-2</v>
      </c>
      <c r="M15" s="69">
        <v>21</v>
      </c>
      <c r="N15" s="70">
        <f t="shared" si="4"/>
        <v>2.8692444322994943E-3</v>
      </c>
      <c r="O15" s="67" t="s">
        <v>16</v>
      </c>
    </row>
    <row r="16" spans="1:15" s="1" customFormat="1" x14ac:dyDescent="0.3">
      <c r="A16" s="66" t="s">
        <v>59</v>
      </c>
      <c r="B16" s="67" t="s">
        <v>15</v>
      </c>
      <c r="C16" s="67" t="s">
        <v>16</v>
      </c>
      <c r="D16" s="68">
        <v>44935</v>
      </c>
      <c r="E16" s="69">
        <v>103766</v>
      </c>
      <c r="F16" s="70">
        <f t="shared" si="0"/>
        <v>0.99888210010986256</v>
      </c>
      <c r="G16" s="69">
        <v>116</v>
      </c>
      <c r="H16" s="69">
        <v>36997</v>
      </c>
      <c r="I16" s="70">
        <f t="shared" si="1"/>
        <v>0.35654260547770944</v>
      </c>
      <c r="J16" s="69">
        <v>611</v>
      </c>
      <c r="K16" s="70">
        <f t="shared" si="2"/>
        <v>5.8882485592583311E-3</v>
      </c>
      <c r="L16" s="70">
        <f t="shared" si="3"/>
        <v>1.6514852555612618E-2</v>
      </c>
      <c r="M16" s="69">
        <v>97</v>
      </c>
      <c r="N16" s="70">
        <f t="shared" si="4"/>
        <v>9.3479559778732917E-4</v>
      </c>
      <c r="O16" s="67" t="s">
        <v>16</v>
      </c>
    </row>
    <row r="17" spans="1:15" s="1" customFormat="1" x14ac:dyDescent="0.3">
      <c r="A17" s="66" t="s">
        <v>59</v>
      </c>
      <c r="B17" s="67" t="s">
        <v>18</v>
      </c>
      <c r="C17" s="67" t="s">
        <v>16</v>
      </c>
      <c r="D17" s="68">
        <v>44935</v>
      </c>
      <c r="E17" s="69">
        <v>82482</v>
      </c>
      <c r="F17" s="70">
        <f t="shared" si="0"/>
        <v>0.99904221527121073</v>
      </c>
      <c r="G17" s="69">
        <v>79</v>
      </c>
      <c r="H17" s="69">
        <v>30721</v>
      </c>
      <c r="I17" s="70">
        <f t="shared" si="1"/>
        <v>0.37245702092577776</v>
      </c>
      <c r="J17" s="69">
        <v>805</v>
      </c>
      <c r="K17" s="70">
        <f t="shared" si="2"/>
        <v>9.7597051477898208E-3</v>
      </c>
      <c r="L17" s="70">
        <f t="shared" si="3"/>
        <v>2.6203574102405522E-2</v>
      </c>
      <c r="M17" s="69">
        <v>714</v>
      </c>
      <c r="N17" s="70">
        <f t="shared" si="4"/>
        <v>8.6564341310831454E-3</v>
      </c>
      <c r="O17" s="67" t="s">
        <v>16</v>
      </c>
    </row>
    <row r="18" spans="1:15" s="1" customFormat="1" x14ac:dyDescent="0.3">
      <c r="A18" s="66" t="s">
        <v>60</v>
      </c>
      <c r="B18" s="67" t="s">
        <v>15</v>
      </c>
      <c r="C18" s="67" t="s">
        <v>16</v>
      </c>
      <c r="D18" s="68">
        <v>44935</v>
      </c>
      <c r="E18" s="69">
        <v>1576166</v>
      </c>
      <c r="F18" s="70">
        <f t="shared" si="0"/>
        <v>0.99788410611572642</v>
      </c>
      <c r="G18" s="69">
        <v>3335</v>
      </c>
      <c r="H18" s="69">
        <v>611099</v>
      </c>
      <c r="I18" s="70">
        <f t="shared" si="1"/>
        <v>0.38771233486828166</v>
      </c>
      <c r="J18" s="69">
        <v>7493</v>
      </c>
      <c r="K18" s="70">
        <f t="shared" si="2"/>
        <v>4.7539408920126433E-3</v>
      </c>
      <c r="L18" s="70">
        <f t="shared" si="3"/>
        <v>1.2261515728220795E-2</v>
      </c>
      <c r="M18" s="69">
        <v>2036</v>
      </c>
      <c r="N18" s="70">
        <f t="shared" si="4"/>
        <v>1.2917421134575927E-3</v>
      </c>
      <c r="O18" s="67" t="s">
        <v>16</v>
      </c>
    </row>
    <row r="19" spans="1:15" s="1" customFormat="1" x14ac:dyDescent="0.3">
      <c r="A19" s="66" t="s">
        <v>60</v>
      </c>
      <c r="B19" s="67" t="s">
        <v>18</v>
      </c>
      <c r="C19" s="67" t="s">
        <v>16</v>
      </c>
      <c r="D19" s="68">
        <v>44935</v>
      </c>
      <c r="E19" s="69">
        <v>1067678</v>
      </c>
      <c r="F19" s="70">
        <f t="shared" si="0"/>
        <v>0.99833657713280599</v>
      </c>
      <c r="G19" s="69">
        <v>1776</v>
      </c>
      <c r="H19" s="69">
        <v>417805</v>
      </c>
      <c r="I19" s="70">
        <f t="shared" si="1"/>
        <v>0.39132116611937307</v>
      </c>
      <c r="J19" s="69">
        <v>6897</v>
      </c>
      <c r="K19" s="70">
        <f t="shared" si="2"/>
        <v>6.459812789998483E-3</v>
      </c>
      <c r="L19" s="70">
        <f t="shared" si="3"/>
        <v>1.6507700960974616E-2</v>
      </c>
      <c r="M19" s="69">
        <v>4269</v>
      </c>
      <c r="N19" s="70">
        <f t="shared" si="4"/>
        <v>3.9983965202991913E-3</v>
      </c>
      <c r="O19" s="67" t="s">
        <v>16</v>
      </c>
    </row>
    <row r="20" spans="1:15" s="1" customFormat="1" x14ac:dyDescent="0.3">
      <c r="A20" s="66" t="s">
        <v>29</v>
      </c>
      <c r="B20" s="67" t="s">
        <v>18</v>
      </c>
      <c r="C20" s="67" t="s">
        <v>16</v>
      </c>
      <c r="D20" s="68">
        <v>44936</v>
      </c>
      <c r="E20" s="69">
        <v>18438</v>
      </c>
      <c r="F20" s="70">
        <f t="shared" si="0"/>
        <v>0.99940340600932853</v>
      </c>
      <c r="G20" s="69">
        <v>11</v>
      </c>
      <c r="H20" s="69">
        <v>7217</v>
      </c>
      <c r="I20" s="70">
        <f t="shared" si="1"/>
        <v>0.391419893697798</v>
      </c>
      <c r="J20" s="69">
        <v>237</v>
      </c>
      <c r="K20" s="70">
        <f t="shared" si="2"/>
        <v>1.2853888708102831E-2</v>
      </c>
      <c r="L20" s="70">
        <f t="shared" si="3"/>
        <v>3.2839129832340309E-2</v>
      </c>
      <c r="M20" s="69">
        <v>34</v>
      </c>
      <c r="N20" s="70">
        <f t="shared" si="4"/>
        <v>1.8440177893480855E-3</v>
      </c>
      <c r="O20" s="67" t="s">
        <v>16</v>
      </c>
    </row>
    <row r="21" spans="1:15" s="1" customFormat="1" x14ac:dyDescent="0.3">
      <c r="A21" s="66" t="s">
        <v>29</v>
      </c>
      <c r="B21" s="67" t="s">
        <v>15</v>
      </c>
      <c r="C21" s="67" t="s">
        <v>16</v>
      </c>
      <c r="D21" s="68">
        <v>44936</v>
      </c>
      <c r="E21" s="69">
        <v>22406</v>
      </c>
      <c r="F21" s="70">
        <f t="shared" si="0"/>
        <v>0.99928590556101049</v>
      </c>
      <c r="G21" s="69">
        <v>16</v>
      </c>
      <c r="H21" s="69">
        <v>8105</v>
      </c>
      <c r="I21" s="70">
        <f t="shared" si="1"/>
        <v>0.36173346425064717</v>
      </c>
      <c r="J21" s="69">
        <v>343</v>
      </c>
      <c r="K21" s="70">
        <f t="shared" si="2"/>
        <v>1.5308399535838615E-2</v>
      </c>
      <c r="L21" s="70">
        <f t="shared" si="3"/>
        <v>4.2319555829734734E-2</v>
      </c>
      <c r="M21" s="69">
        <v>13</v>
      </c>
      <c r="N21" s="70">
        <f t="shared" si="4"/>
        <v>5.802017316790146E-4</v>
      </c>
      <c r="O21" s="67" t="s">
        <v>16</v>
      </c>
    </row>
    <row r="22" spans="1:15" s="1" customFormat="1" x14ac:dyDescent="0.3">
      <c r="A22" s="66" t="s">
        <v>17</v>
      </c>
      <c r="B22" s="67" t="s">
        <v>15</v>
      </c>
      <c r="C22" s="67" t="s">
        <v>16</v>
      </c>
      <c r="D22" s="68">
        <v>44936</v>
      </c>
      <c r="E22" s="69">
        <v>196490</v>
      </c>
      <c r="F22" s="70">
        <f t="shared" si="0"/>
        <v>0.99831543590004579</v>
      </c>
      <c r="G22" s="69">
        <v>331</v>
      </c>
      <c r="H22" s="69">
        <v>71868</v>
      </c>
      <c r="I22" s="70">
        <f t="shared" si="1"/>
        <v>0.36575907170848387</v>
      </c>
      <c r="J22" s="69">
        <v>1795</v>
      </c>
      <c r="K22" s="70">
        <f t="shared" si="2"/>
        <v>9.135324952923813E-3</v>
      </c>
      <c r="L22" s="70">
        <f t="shared" si="3"/>
        <v>2.4976345522346524E-2</v>
      </c>
      <c r="M22" s="69">
        <v>123</v>
      </c>
      <c r="N22" s="70">
        <f t="shared" si="4"/>
        <v>6.2598605526998827E-4</v>
      </c>
      <c r="O22" s="67" t="s">
        <v>16</v>
      </c>
    </row>
    <row r="23" spans="1:15" s="1" customFormat="1" x14ac:dyDescent="0.3">
      <c r="A23" s="66" t="s">
        <v>17</v>
      </c>
      <c r="B23" s="67" t="s">
        <v>18</v>
      </c>
      <c r="C23" s="67" t="s">
        <v>16</v>
      </c>
      <c r="D23" s="68">
        <v>44936</v>
      </c>
      <c r="E23" s="69">
        <v>358419</v>
      </c>
      <c r="F23" s="70">
        <f t="shared" si="0"/>
        <v>0.99861056473010634</v>
      </c>
      <c r="G23" s="69">
        <v>498</v>
      </c>
      <c r="H23" s="69">
        <v>141898</v>
      </c>
      <c r="I23" s="70">
        <f t="shared" si="1"/>
        <v>0.39589977093848261</v>
      </c>
      <c r="J23" s="69">
        <v>2425</v>
      </c>
      <c r="K23" s="70">
        <f t="shared" si="2"/>
        <v>6.7658243564096771E-3</v>
      </c>
      <c r="L23" s="70">
        <f t="shared" si="3"/>
        <v>1.7089740517836755E-2</v>
      </c>
      <c r="M23" s="69">
        <v>556</v>
      </c>
      <c r="N23" s="70">
        <f t="shared" si="4"/>
        <v>1.5512570483149611E-3</v>
      </c>
      <c r="O23" s="67" t="s">
        <v>16</v>
      </c>
    </row>
    <row r="24" spans="1:15" s="1" customFormat="1" x14ac:dyDescent="0.3">
      <c r="A24" s="66" t="s">
        <v>63</v>
      </c>
      <c r="B24" s="67" t="s">
        <v>18</v>
      </c>
      <c r="C24" s="67" t="s">
        <v>16</v>
      </c>
      <c r="D24" s="72">
        <v>44938</v>
      </c>
      <c r="E24" s="69">
        <v>33268</v>
      </c>
      <c r="F24" s="70">
        <f t="shared" si="0"/>
        <v>0.99819646507154025</v>
      </c>
      <c r="G24" s="69">
        <v>60</v>
      </c>
      <c r="H24" s="69">
        <v>10310</v>
      </c>
      <c r="I24" s="70">
        <f t="shared" si="1"/>
        <v>0.30990741854033904</v>
      </c>
      <c r="J24" s="69">
        <v>198</v>
      </c>
      <c r="K24" s="70">
        <f t="shared" si="2"/>
        <v>5.9516652639172779E-3</v>
      </c>
      <c r="L24" s="70">
        <f t="shared" si="3"/>
        <v>1.9204655674102813E-2</v>
      </c>
      <c r="M24" s="69">
        <v>161</v>
      </c>
      <c r="N24" s="70">
        <f t="shared" si="4"/>
        <v>4.8394853913670795E-3</v>
      </c>
      <c r="O24" s="67" t="s">
        <v>16</v>
      </c>
    </row>
    <row r="25" spans="1:15" s="1" customFormat="1" x14ac:dyDescent="0.3">
      <c r="A25" s="66" t="s">
        <v>63</v>
      </c>
      <c r="B25" s="67" t="s">
        <v>15</v>
      </c>
      <c r="C25" s="67" t="s">
        <v>16</v>
      </c>
      <c r="D25" s="72">
        <v>44938</v>
      </c>
      <c r="E25" s="69">
        <v>57823</v>
      </c>
      <c r="F25" s="70">
        <f t="shared" si="0"/>
        <v>0.9991525863410754</v>
      </c>
      <c r="G25" s="69">
        <v>49</v>
      </c>
      <c r="H25" s="69">
        <v>15025</v>
      </c>
      <c r="I25" s="70">
        <f t="shared" si="1"/>
        <v>0.25984469847638481</v>
      </c>
      <c r="J25" s="69">
        <v>136</v>
      </c>
      <c r="K25" s="70">
        <f t="shared" si="2"/>
        <v>2.3520052574235164E-3</v>
      </c>
      <c r="L25" s="70">
        <f t="shared" si="3"/>
        <v>9.0515806988352744E-3</v>
      </c>
      <c r="M25" s="69">
        <v>31</v>
      </c>
      <c r="N25" s="70">
        <f t="shared" si="4"/>
        <v>5.3611884544212509E-4</v>
      </c>
      <c r="O25" s="67" t="s">
        <v>16</v>
      </c>
    </row>
    <row r="26" spans="1:15" s="1" customFormat="1" x14ac:dyDescent="0.3">
      <c r="A26" s="66" t="s">
        <v>64</v>
      </c>
      <c r="B26" s="67" t="s">
        <v>18</v>
      </c>
      <c r="C26" s="67" t="s">
        <v>16</v>
      </c>
      <c r="D26" s="72">
        <v>44938</v>
      </c>
      <c r="E26" s="69">
        <v>503909</v>
      </c>
      <c r="F26" s="70">
        <f t="shared" si="0"/>
        <v>0.99717409294138426</v>
      </c>
      <c r="G26" s="69">
        <v>1424</v>
      </c>
      <c r="H26" s="69">
        <v>185312</v>
      </c>
      <c r="I26" s="70">
        <f t="shared" si="1"/>
        <v>0.36774893879648907</v>
      </c>
      <c r="J26" s="69">
        <v>2675</v>
      </c>
      <c r="K26" s="70">
        <f t="shared" si="2"/>
        <v>5.3084981613743748E-3</v>
      </c>
      <c r="L26" s="70">
        <f t="shared" si="3"/>
        <v>1.4435114833362114E-2</v>
      </c>
      <c r="M26" s="69">
        <v>1796</v>
      </c>
      <c r="N26" s="70">
        <f t="shared" si="4"/>
        <v>3.5641355879732252E-3</v>
      </c>
      <c r="O26" s="67" t="s">
        <v>16</v>
      </c>
    </row>
    <row r="27" spans="1:15" s="1" customFormat="1" x14ac:dyDescent="0.3">
      <c r="A27" s="66" t="s">
        <v>64</v>
      </c>
      <c r="B27" s="67" t="s">
        <v>15</v>
      </c>
      <c r="C27" s="67" t="s">
        <v>16</v>
      </c>
      <c r="D27" s="72">
        <v>44938</v>
      </c>
      <c r="E27" s="69">
        <v>933758</v>
      </c>
      <c r="F27" s="70">
        <f t="shared" si="0"/>
        <v>0.99778743528837233</v>
      </c>
      <c r="G27" s="69">
        <v>2066</v>
      </c>
      <c r="H27" s="69">
        <v>328255</v>
      </c>
      <c r="I27" s="70">
        <f t="shared" si="1"/>
        <v>0.35154183417973395</v>
      </c>
      <c r="J27" s="69">
        <v>3131</v>
      </c>
      <c r="K27" s="70">
        <f t="shared" si="2"/>
        <v>3.353117188821943E-3</v>
      </c>
      <c r="L27" s="70">
        <f t="shared" si="3"/>
        <v>9.5383162480388722E-3</v>
      </c>
      <c r="M27" s="69">
        <v>1083</v>
      </c>
      <c r="N27" s="70">
        <f t="shared" si="4"/>
        <v>1.1598294204708285E-3</v>
      </c>
      <c r="O27" s="67" t="s">
        <v>16</v>
      </c>
    </row>
    <row r="28" spans="1:15" s="1" customFormat="1" x14ac:dyDescent="0.3">
      <c r="A28" s="66" t="s">
        <v>28</v>
      </c>
      <c r="B28" s="67" t="s">
        <v>15</v>
      </c>
      <c r="C28" s="67" t="s">
        <v>16</v>
      </c>
      <c r="D28" s="72">
        <v>44939</v>
      </c>
      <c r="E28" s="69">
        <v>96595</v>
      </c>
      <c r="F28" s="70">
        <f t="shared" si="0"/>
        <v>0.99883016719291884</v>
      </c>
      <c r="G28" s="69">
        <v>113</v>
      </c>
      <c r="H28" s="69">
        <v>31810</v>
      </c>
      <c r="I28" s="70">
        <f t="shared" si="1"/>
        <v>0.32931311144469178</v>
      </c>
      <c r="J28" s="69">
        <v>847</v>
      </c>
      <c r="K28" s="70">
        <f t="shared" si="2"/>
        <v>8.7685698017495733E-3</v>
      </c>
      <c r="L28" s="70">
        <f t="shared" si="3"/>
        <v>2.662684690348947E-2</v>
      </c>
      <c r="M28" s="69">
        <v>78</v>
      </c>
      <c r="N28" s="70">
        <f t="shared" si="4"/>
        <v>8.0749521196749312E-4</v>
      </c>
      <c r="O28" s="67" t="s">
        <v>16</v>
      </c>
    </row>
    <row r="29" spans="1:15" s="1" customFormat="1" x14ac:dyDescent="0.3">
      <c r="A29" s="66" t="s">
        <v>28</v>
      </c>
      <c r="B29" s="67" t="s">
        <v>18</v>
      </c>
      <c r="C29" s="67" t="s">
        <v>16</v>
      </c>
      <c r="D29" s="72">
        <v>44939</v>
      </c>
      <c r="E29" s="69">
        <v>226314</v>
      </c>
      <c r="F29" s="70">
        <f t="shared" si="0"/>
        <v>0.99721183841918748</v>
      </c>
      <c r="G29" s="69">
        <v>631</v>
      </c>
      <c r="H29" s="69">
        <v>81138</v>
      </c>
      <c r="I29" s="70">
        <f t="shared" si="1"/>
        <v>0.35851957899201992</v>
      </c>
      <c r="J29" s="69">
        <v>2838</v>
      </c>
      <c r="K29" s="70">
        <f t="shared" si="2"/>
        <v>1.2540099154272382E-2</v>
      </c>
      <c r="L29" s="70">
        <f t="shared" si="3"/>
        <v>3.4977445833025214E-2</v>
      </c>
      <c r="M29" s="69">
        <v>1339</v>
      </c>
      <c r="N29" s="70">
        <f t="shared" si="4"/>
        <v>5.9165584099967299E-3</v>
      </c>
      <c r="O29" s="67" t="s">
        <v>16</v>
      </c>
    </row>
    <row r="30" spans="1:15" s="1" customFormat="1" x14ac:dyDescent="0.3">
      <c r="A30" s="66" t="s">
        <v>22</v>
      </c>
      <c r="B30" s="67" t="s">
        <v>15</v>
      </c>
      <c r="C30" s="67" t="s">
        <v>16</v>
      </c>
      <c r="D30" s="72">
        <v>44939</v>
      </c>
      <c r="E30" s="69">
        <v>1768850</v>
      </c>
      <c r="F30" s="70">
        <f t="shared" si="0"/>
        <v>0.99685219210221332</v>
      </c>
      <c r="G30" s="69">
        <v>5568</v>
      </c>
      <c r="H30" s="69">
        <v>643388</v>
      </c>
      <c r="I30" s="70">
        <f t="shared" si="1"/>
        <v>0.36373236848800067</v>
      </c>
      <c r="J30" s="69">
        <v>11627</v>
      </c>
      <c r="K30" s="70">
        <f t="shared" si="2"/>
        <v>6.5731972750657204E-3</v>
      </c>
      <c r="L30" s="70">
        <f t="shared" si="3"/>
        <v>1.8071521383675168E-2</v>
      </c>
      <c r="M30" s="69">
        <v>2397</v>
      </c>
      <c r="N30" s="70">
        <f t="shared" si="4"/>
        <v>1.3551177318596827E-3</v>
      </c>
      <c r="O30" s="67" t="s">
        <v>16</v>
      </c>
    </row>
    <row r="31" spans="1:15" s="1" customFormat="1" x14ac:dyDescent="0.3">
      <c r="A31" s="66" t="s">
        <v>22</v>
      </c>
      <c r="B31" s="67" t="s">
        <v>18</v>
      </c>
      <c r="C31" s="67" t="s">
        <v>16</v>
      </c>
      <c r="D31" s="72">
        <v>44939</v>
      </c>
      <c r="E31" s="69">
        <v>2523494</v>
      </c>
      <c r="F31" s="70">
        <f t="shared" si="0"/>
        <v>0.99528154217921661</v>
      </c>
      <c r="G31" s="69">
        <v>11907</v>
      </c>
      <c r="H31" s="69">
        <v>918692</v>
      </c>
      <c r="I31" s="70">
        <f t="shared" si="1"/>
        <v>0.36405555154876534</v>
      </c>
      <c r="J31" s="69">
        <v>20283</v>
      </c>
      <c r="K31" s="70">
        <f t="shared" si="2"/>
        <v>8.0376652371671967E-3</v>
      </c>
      <c r="L31" s="70">
        <f t="shared" si="3"/>
        <v>2.207812846960679E-2</v>
      </c>
      <c r="M31" s="69">
        <v>9972</v>
      </c>
      <c r="N31" s="70">
        <f t="shared" si="4"/>
        <v>3.9516638438609327E-3</v>
      </c>
      <c r="O31" s="67" t="s">
        <v>16</v>
      </c>
    </row>
    <row r="32" spans="1:15" s="1" customFormat="1" x14ac:dyDescent="0.3">
      <c r="A32" s="66" t="s">
        <v>69</v>
      </c>
      <c r="B32" s="67" t="s">
        <v>15</v>
      </c>
      <c r="C32" s="67" t="s">
        <v>16</v>
      </c>
      <c r="D32" s="72">
        <v>44942</v>
      </c>
      <c r="E32" s="69">
        <v>117955</v>
      </c>
      <c r="F32" s="70">
        <f t="shared" si="0"/>
        <v>0.99886397354923484</v>
      </c>
      <c r="G32" s="69">
        <v>134</v>
      </c>
      <c r="H32" s="69">
        <v>42090</v>
      </c>
      <c r="I32" s="70">
        <f t="shared" si="1"/>
        <v>0.35683099487092534</v>
      </c>
      <c r="J32" s="69">
        <v>693</v>
      </c>
      <c r="K32" s="70">
        <f t="shared" si="2"/>
        <v>5.8751218685091774E-3</v>
      </c>
      <c r="L32" s="70">
        <f t="shared" si="3"/>
        <v>1.646471846044191E-2</v>
      </c>
      <c r="M32" s="69">
        <v>104</v>
      </c>
      <c r="N32" s="70">
        <f t="shared" si="4"/>
        <v>8.8169217074307994E-4</v>
      </c>
      <c r="O32" s="67" t="s">
        <v>16</v>
      </c>
    </row>
    <row r="33" spans="1:15" s="1" customFormat="1" x14ac:dyDescent="0.3">
      <c r="A33" s="66" t="s">
        <v>69</v>
      </c>
      <c r="B33" s="67" t="s">
        <v>18</v>
      </c>
      <c r="C33" s="67" t="s">
        <v>16</v>
      </c>
      <c r="D33" s="72">
        <v>44942</v>
      </c>
      <c r="E33" s="69">
        <v>227708</v>
      </c>
      <c r="F33" s="70">
        <f t="shared" si="0"/>
        <v>0.99702689409243417</v>
      </c>
      <c r="G33" s="69">
        <v>677</v>
      </c>
      <c r="H33" s="69">
        <v>86575</v>
      </c>
      <c r="I33" s="70">
        <f t="shared" si="1"/>
        <v>0.38020183744093311</v>
      </c>
      <c r="J33" s="69">
        <v>2769</v>
      </c>
      <c r="K33" s="70">
        <f t="shared" si="2"/>
        <v>1.2160310573190227E-2</v>
      </c>
      <c r="L33" s="70">
        <f t="shared" si="3"/>
        <v>3.1983829049956683E-2</v>
      </c>
      <c r="M33" s="69">
        <v>2077</v>
      </c>
      <c r="N33" s="70">
        <f t="shared" si="4"/>
        <v>9.1213308271997466E-3</v>
      </c>
      <c r="O33" s="67" t="s">
        <v>16</v>
      </c>
    </row>
    <row r="34" spans="1:15" s="1" customFormat="1" x14ac:dyDescent="0.3">
      <c r="A34" s="66" t="s">
        <v>70</v>
      </c>
      <c r="B34" s="67" t="s">
        <v>15</v>
      </c>
      <c r="C34" s="67" t="s">
        <v>16</v>
      </c>
      <c r="D34" s="72">
        <v>44942</v>
      </c>
      <c r="E34" s="69">
        <v>2047772</v>
      </c>
      <c r="F34" s="70">
        <f t="shared" ref="F34:F65" si="5">(E34-G34)/E34</f>
        <v>0.99697866754697295</v>
      </c>
      <c r="G34" s="69">
        <v>6187</v>
      </c>
      <c r="H34" s="69">
        <v>1001982</v>
      </c>
      <c r="I34" s="70">
        <f t="shared" ref="I34:I65" si="6">H34/E34</f>
        <v>0.48930349667834117</v>
      </c>
      <c r="J34" s="69">
        <v>22127</v>
      </c>
      <c r="K34" s="70">
        <f t="shared" ref="K34:K65" si="7">J34/E34</f>
        <v>1.080540216391278E-2</v>
      </c>
      <c r="L34" s="70">
        <f t="shared" ref="L34:L65" si="8">J34/H34</f>
        <v>2.2083231036086476E-2</v>
      </c>
      <c r="M34" s="69">
        <v>4114</v>
      </c>
      <c r="N34" s="70">
        <f t="shared" ref="N34:N65" si="9">M34/E34</f>
        <v>2.0090127221194546E-3</v>
      </c>
      <c r="O34" s="67" t="s">
        <v>16</v>
      </c>
    </row>
    <row r="35" spans="1:15" s="1" customFormat="1" x14ac:dyDescent="0.3">
      <c r="A35" s="66" t="s">
        <v>70</v>
      </c>
      <c r="B35" s="67" t="s">
        <v>18</v>
      </c>
      <c r="C35" s="67" t="s">
        <v>16</v>
      </c>
      <c r="D35" s="72">
        <v>44942</v>
      </c>
      <c r="E35" s="69">
        <v>2413301</v>
      </c>
      <c r="F35" s="70">
        <f t="shared" si="5"/>
        <v>0.99528695343017715</v>
      </c>
      <c r="G35" s="69">
        <v>11374</v>
      </c>
      <c r="H35" s="69">
        <v>1113405</v>
      </c>
      <c r="I35" s="70">
        <f t="shared" si="6"/>
        <v>0.46136184421255366</v>
      </c>
      <c r="J35" s="69">
        <v>29958</v>
      </c>
      <c r="K35" s="70">
        <f t="shared" si="7"/>
        <v>1.2413702227778467E-2</v>
      </c>
      <c r="L35" s="70">
        <f t="shared" si="8"/>
        <v>2.6906651218559285E-2</v>
      </c>
      <c r="M35" s="69">
        <v>18021</v>
      </c>
      <c r="N35" s="70">
        <f t="shared" si="9"/>
        <v>7.4673652395619112E-3</v>
      </c>
      <c r="O35" s="67" t="s">
        <v>16</v>
      </c>
    </row>
    <row r="36" spans="1:15" s="1" customFormat="1" x14ac:dyDescent="0.3">
      <c r="A36" s="66" t="s">
        <v>29</v>
      </c>
      <c r="B36" s="67" t="s">
        <v>15</v>
      </c>
      <c r="C36" s="67" t="s">
        <v>16</v>
      </c>
      <c r="D36" s="72">
        <v>44943</v>
      </c>
      <c r="E36" s="69">
        <v>22648</v>
      </c>
      <c r="F36" s="70">
        <f t="shared" si="5"/>
        <v>0.99920522783468735</v>
      </c>
      <c r="G36" s="69">
        <v>18</v>
      </c>
      <c r="H36" s="69">
        <v>8068</v>
      </c>
      <c r="I36" s="70">
        <f t="shared" si="6"/>
        <v>0.35623454609678556</v>
      </c>
      <c r="J36" s="69">
        <v>265</v>
      </c>
      <c r="K36" s="70">
        <f t="shared" si="7"/>
        <v>1.1700812433768986E-2</v>
      </c>
      <c r="L36" s="70">
        <f t="shared" si="8"/>
        <v>3.2845810609816561E-2</v>
      </c>
      <c r="M36" s="69">
        <v>17</v>
      </c>
      <c r="N36" s="70">
        <f t="shared" si="9"/>
        <v>7.5061815612857653E-4</v>
      </c>
      <c r="O36" s="67" t="s">
        <v>16</v>
      </c>
    </row>
    <row r="37" spans="1:15" s="1" customFormat="1" x14ac:dyDescent="0.3">
      <c r="A37" s="66" t="s">
        <v>29</v>
      </c>
      <c r="B37" s="67" t="s">
        <v>18</v>
      </c>
      <c r="C37" s="67" t="s">
        <v>16</v>
      </c>
      <c r="D37" s="72">
        <v>44943</v>
      </c>
      <c r="E37" s="69">
        <v>25216</v>
      </c>
      <c r="F37" s="70">
        <f t="shared" si="5"/>
        <v>0.99857233502538068</v>
      </c>
      <c r="G37" s="69">
        <v>36</v>
      </c>
      <c r="H37" s="69">
        <v>9722</v>
      </c>
      <c r="I37" s="70">
        <f t="shared" si="6"/>
        <v>0.38554885786802029</v>
      </c>
      <c r="J37" s="69">
        <v>289</v>
      </c>
      <c r="K37" s="70">
        <f t="shared" si="7"/>
        <v>1.1460977157360407E-2</v>
      </c>
      <c r="L37" s="70">
        <f t="shared" si="8"/>
        <v>2.9726393746142769E-2</v>
      </c>
      <c r="M37" s="69">
        <v>116</v>
      </c>
      <c r="N37" s="70">
        <f t="shared" si="9"/>
        <v>4.6002538071065989E-3</v>
      </c>
      <c r="O37" s="67" t="s">
        <v>16</v>
      </c>
    </row>
    <row r="38" spans="1:15" s="1" customFormat="1" x14ac:dyDescent="0.3">
      <c r="A38" s="66" t="s">
        <v>17</v>
      </c>
      <c r="B38" s="67" t="s">
        <v>15</v>
      </c>
      <c r="C38" s="67" t="s">
        <v>16</v>
      </c>
      <c r="D38" s="72">
        <v>44943</v>
      </c>
      <c r="E38" s="69">
        <v>207913</v>
      </c>
      <c r="F38" s="70">
        <f t="shared" si="5"/>
        <v>0.99800878251961156</v>
      </c>
      <c r="G38" s="69">
        <v>414</v>
      </c>
      <c r="H38" s="69">
        <v>77636</v>
      </c>
      <c r="I38" s="70">
        <f t="shared" si="6"/>
        <v>0.37340618431747896</v>
      </c>
      <c r="J38" s="69">
        <v>1924</v>
      </c>
      <c r="K38" s="70">
        <f t="shared" si="7"/>
        <v>9.253870609341408E-3</v>
      </c>
      <c r="L38" s="70">
        <f t="shared" si="8"/>
        <v>2.4782317481580711E-2</v>
      </c>
      <c r="M38" s="69">
        <v>141</v>
      </c>
      <c r="N38" s="70">
        <f t="shared" si="9"/>
        <v>6.7816827230620497E-4</v>
      </c>
      <c r="O38" s="67" t="s">
        <v>16</v>
      </c>
    </row>
    <row r="39" spans="1:15" s="1" customFormat="1" x14ac:dyDescent="0.3">
      <c r="A39" s="66" t="s">
        <v>17</v>
      </c>
      <c r="B39" s="67" t="s">
        <v>18</v>
      </c>
      <c r="C39" s="67" t="s">
        <v>16</v>
      </c>
      <c r="D39" s="72">
        <v>44943</v>
      </c>
      <c r="E39" s="69">
        <v>418744</v>
      </c>
      <c r="F39" s="70">
        <f t="shared" si="5"/>
        <v>0.99802743442294095</v>
      </c>
      <c r="G39" s="69">
        <v>826</v>
      </c>
      <c r="H39" s="69">
        <v>168010</v>
      </c>
      <c r="I39" s="70">
        <f t="shared" si="6"/>
        <v>0.40122365932407389</v>
      </c>
      <c r="J39" s="69">
        <v>3250</v>
      </c>
      <c r="K39" s="70">
        <f t="shared" si="7"/>
        <v>7.7613052366123456E-3</v>
      </c>
      <c r="L39" s="70">
        <f t="shared" si="8"/>
        <v>1.9344086661508244E-2</v>
      </c>
      <c r="M39" s="69">
        <v>1139</v>
      </c>
      <c r="N39" s="70">
        <f t="shared" si="9"/>
        <v>2.7200389736927572E-3</v>
      </c>
      <c r="O39" s="67" t="s">
        <v>16</v>
      </c>
    </row>
    <row r="40" spans="1:15" s="1" customFormat="1" x14ac:dyDescent="0.3">
      <c r="A40" s="66" t="s">
        <v>71</v>
      </c>
      <c r="B40" s="67" t="s">
        <v>15</v>
      </c>
      <c r="C40" s="67" t="s">
        <v>16</v>
      </c>
      <c r="D40" s="72">
        <v>44944</v>
      </c>
      <c r="E40" s="69">
        <v>8805</v>
      </c>
      <c r="F40" s="70">
        <f t="shared" si="5"/>
        <v>0.99681998864281662</v>
      </c>
      <c r="G40" s="69">
        <v>28</v>
      </c>
      <c r="H40" s="69">
        <v>4066</v>
      </c>
      <c r="I40" s="70">
        <f t="shared" si="6"/>
        <v>0.46178307779670641</v>
      </c>
      <c r="J40" s="69">
        <v>52</v>
      </c>
      <c r="K40" s="70">
        <f t="shared" si="7"/>
        <v>5.9057353776263491E-3</v>
      </c>
      <c r="L40" s="70">
        <f t="shared" si="8"/>
        <v>1.278898180029513E-2</v>
      </c>
      <c r="M40" s="69">
        <v>7</v>
      </c>
      <c r="N40" s="70">
        <f t="shared" si="9"/>
        <v>7.9500283929585466E-4</v>
      </c>
      <c r="O40" s="67" t="s">
        <v>16</v>
      </c>
    </row>
    <row r="41" spans="1:15" s="1" customFormat="1" x14ac:dyDescent="0.3">
      <c r="A41" s="66" t="s">
        <v>71</v>
      </c>
      <c r="B41" s="67" t="s">
        <v>18</v>
      </c>
      <c r="C41" s="67" t="s">
        <v>16</v>
      </c>
      <c r="D41" s="72">
        <v>44944</v>
      </c>
      <c r="E41" s="69">
        <v>3805</v>
      </c>
      <c r="F41" s="70">
        <f t="shared" si="5"/>
        <v>0.99763469119579495</v>
      </c>
      <c r="G41" s="69">
        <v>9</v>
      </c>
      <c r="H41" s="69">
        <v>1624</v>
      </c>
      <c r="I41" s="70">
        <f t="shared" si="6"/>
        <v>0.42680683311432327</v>
      </c>
      <c r="J41" s="69">
        <v>35</v>
      </c>
      <c r="K41" s="70">
        <f t="shared" si="7"/>
        <v>9.1984231274638631E-3</v>
      </c>
      <c r="L41" s="70">
        <f t="shared" si="8"/>
        <v>2.1551724137931036E-2</v>
      </c>
      <c r="M41" s="69">
        <v>24</v>
      </c>
      <c r="N41" s="70">
        <f t="shared" si="9"/>
        <v>6.3074901445466488E-3</v>
      </c>
      <c r="O41" s="67" t="s">
        <v>16</v>
      </c>
    </row>
    <row r="42" spans="1:15" s="1" customFormat="1" x14ac:dyDescent="0.3">
      <c r="A42" s="66" t="s">
        <v>72</v>
      </c>
      <c r="B42" s="67" t="s">
        <v>18</v>
      </c>
      <c r="C42" s="67" t="s">
        <v>16</v>
      </c>
      <c r="D42" s="72">
        <v>44944</v>
      </c>
      <c r="E42" s="69">
        <v>183395</v>
      </c>
      <c r="F42" s="70">
        <f t="shared" si="5"/>
        <v>0.99721366449466997</v>
      </c>
      <c r="G42" s="69">
        <v>511</v>
      </c>
      <c r="H42" s="69">
        <v>81537</v>
      </c>
      <c r="I42" s="70">
        <f t="shared" si="6"/>
        <v>0.44459772621936255</v>
      </c>
      <c r="J42" s="69">
        <v>2387</v>
      </c>
      <c r="K42" s="70">
        <f t="shared" si="7"/>
        <v>1.3015622018048475E-2</v>
      </c>
      <c r="L42" s="70">
        <f t="shared" si="8"/>
        <v>2.9275053043403609E-2</v>
      </c>
      <c r="M42" s="69">
        <v>466</v>
      </c>
      <c r="N42" s="70">
        <f t="shared" si="9"/>
        <v>2.5409634940974399E-3</v>
      </c>
      <c r="O42" s="67" t="s">
        <v>16</v>
      </c>
    </row>
    <row r="43" spans="1:15" s="1" customFormat="1" x14ac:dyDescent="0.3">
      <c r="A43" s="66" t="s">
        <v>72</v>
      </c>
      <c r="B43" s="67" t="s">
        <v>15</v>
      </c>
      <c r="C43" s="67" t="s">
        <v>16</v>
      </c>
      <c r="D43" s="72">
        <v>44944</v>
      </c>
      <c r="E43" s="69">
        <v>288246</v>
      </c>
      <c r="F43" s="70">
        <f t="shared" si="5"/>
        <v>0.99808843834780014</v>
      </c>
      <c r="G43" s="69">
        <v>551</v>
      </c>
      <c r="H43" s="69">
        <v>170575</v>
      </c>
      <c r="I43" s="70">
        <f t="shared" si="6"/>
        <v>0.59176883634118083</v>
      </c>
      <c r="J43" s="69">
        <v>4871</v>
      </c>
      <c r="K43" s="70">
        <f t="shared" si="7"/>
        <v>1.6898760086870242E-2</v>
      </c>
      <c r="L43" s="70">
        <f t="shared" si="8"/>
        <v>2.8556353510186136E-2</v>
      </c>
      <c r="M43" s="69">
        <v>276</v>
      </c>
      <c r="N43" s="70">
        <f t="shared" si="9"/>
        <v>9.5751545554838573E-4</v>
      </c>
      <c r="O43" s="67" t="s">
        <v>16</v>
      </c>
    </row>
    <row r="44" spans="1:15" s="74" customFormat="1" x14ac:dyDescent="0.3">
      <c r="A44" s="66" t="s">
        <v>76</v>
      </c>
      <c r="B44" s="67" t="s">
        <v>15</v>
      </c>
      <c r="C44" s="67" t="s">
        <v>16</v>
      </c>
      <c r="D44" s="68">
        <v>44944</v>
      </c>
      <c r="E44" s="69">
        <v>111097</v>
      </c>
      <c r="F44" s="70">
        <f t="shared" si="5"/>
        <v>0.99912688911491765</v>
      </c>
      <c r="G44" s="69">
        <v>97</v>
      </c>
      <c r="H44" s="69">
        <v>39756</v>
      </c>
      <c r="I44" s="70">
        <f t="shared" si="6"/>
        <v>0.35784944687975373</v>
      </c>
      <c r="J44" s="69">
        <v>1074</v>
      </c>
      <c r="K44" s="70">
        <f t="shared" si="7"/>
        <v>9.6672277379227164E-3</v>
      </c>
      <c r="L44" s="70">
        <f t="shared" si="8"/>
        <v>2.7014790220344097E-2</v>
      </c>
      <c r="M44" s="69">
        <v>54</v>
      </c>
      <c r="N44" s="70">
        <f t="shared" si="9"/>
        <v>4.8606172983968964E-4</v>
      </c>
      <c r="O44" s="67" t="s">
        <v>16</v>
      </c>
    </row>
    <row r="45" spans="1:15" s="74" customFormat="1" x14ac:dyDescent="0.3">
      <c r="A45" s="66" t="s">
        <v>77</v>
      </c>
      <c r="B45" s="67" t="s">
        <v>15</v>
      </c>
      <c r="C45" s="67" t="s">
        <v>16</v>
      </c>
      <c r="D45" s="68">
        <v>44944</v>
      </c>
      <c r="E45" s="69">
        <v>1896017</v>
      </c>
      <c r="F45" s="70">
        <f t="shared" si="5"/>
        <v>0.99711500477052684</v>
      </c>
      <c r="G45" s="69">
        <v>5470</v>
      </c>
      <c r="H45" s="69">
        <v>860136</v>
      </c>
      <c r="I45" s="70">
        <f t="shared" si="6"/>
        <v>0.45365416027387939</v>
      </c>
      <c r="J45" s="69">
        <v>19533</v>
      </c>
      <c r="K45" s="70">
        <f t="shared" si="7"/>
        <v>1.0302122818519032E-2</v>
      </c>
      <c r="L45" s="70">
        <f t="shared" si="8"/>
        <v>2.2709199475431791E-2</v>
      </c>
      <c r="M45" s="69">
        <v>2275</v>
      </c>
      <c r="N45" s="70">
        <f t="shared" si="9"/>
        <v>1.199883756316531E-3</v>
      </c>
      <c r="O45" s="67" t="s">
        <v>16</v>
      </c>
    </row>
    <row r="46" spans="1:15" s="1" customFormat="1" x14ac:dyDescent="0.3">
      <c r="A46" s="66" t="s">
        <v>28</v>
      </c>
      <c r="B46" s="67" t="s">
        <v>18</v>
      </c>
      <c r="C46" s="67" t="s">
        <v>16</v>
      </c>
      <c r="D46" s="72">
        <v>44946</v>
      </c>
      <c r="E46" s="69">
        <v>198628</v>
      </c>
      <c r="F46" s="70">
        <f t="shared" si="5"/>
        <v>0.99706486497371971</v>
      </c>
      <c r="G46" s="69">
        <v>583</v>
      </c>
      <c r="H46" s="69">
        <v>68163</v>
      </c>
      <c r="I46" s="70">
        <f t="shared" si="6"/>
        <v>0.34316914030247497</v>
      </c>
      <c r="J46" s="69">
        <v>2069</v>
      </c>
      <c r="K46" s="70">
        <f t="shared" si="7"/>
        <v>1.0416456894294863E-2</v>
      </c>
      <c r="L46" s="70">
        <f t="shared" si="8"/>
        <v>3.0353710957557619E-2</v>
      </c>
      <c r="M46" s="69">
        <v>989</v>
      </c>
      <c r="N46" s="70">
        <f t="shared" si="9"/>
        <v>4.9791570171375636E-3</v>
      </c>
      <c r="O46" s="67" t="s">
        <v>16</v>
      </c>
    </row>
    <row r="47" spans="1:15" s="1" customFormat="1" x14ac:dyDescent="0.3">
      <c r="A47" s="66" t="s">
        <v>28</v>
      </c>
      <c r="B47" s="67" t="s">
        <v>15</v>
      </c>
      <c r="C47" s="67" t="s">
        <v>16</v>
      </c>
      <c r="D47" s="72">
        <v>44946</v>
      </c>
      <c r="E47" s="69">
        <v>96804</v>
      </c>
      <c r="F47" s="70">
        <f t="shared" si="5"/>
        <v>0.99904962604851044</v>
      </c>
      <c r="G47" s="69">
        <v>92</v>
      </c>
      <c r="H47" s="69">
        <v>31041</v>
      </c>
      <c r="I47" s="70">
        <f t="shared" si="6"/>
        <v>0.32065823726292303</v>
      </c>
      <c r="J47" s="69">
        <v>747</v>
      </c>
      <c r="K47" s="70">
        <f t="shared" si="7"/>
        <v>7.7166232800297508E-3</v>
      </c>
      <c r="L47" s="70">
        <f t="shared" si="8"/>
        <v>2.4064946361264133E-2</v>
      </c>
      <c r="M47" s="69">
        <v>60</v>
      </c>
      <c r="N47" s="70">
        <f t="shared" si="9"/>
        <v>6.1980909879757031E-4</v>
      </c>
      <c r="O47" s="67" t="s">
        <v>16</v>
      </c>
    </row>
    <row r="48" spans="1:15" s="1" customFormat="1" x14ac:dyDescent="0.3">
      <c r="A48" s="66" t="s">
        <v>22</v>
      </c>
      <c r="B48" s="67" t="s">
        <v>15</v>
      </c>
      <c r="C48" s="67" t="s">
        <v>16</v>
      </c>
      <c r="D48" s="72">
        <v>44946</v>
      </c>
      <c r="E48" s="69">
        <v>1657825</v>
      </c>
      <c r="F48" s="70">
        <f t="shared" si="5"/>
        <v>0.99766501289339948</v>
      </c>
      <c r="G48" s="69">
        <v>3871</v>
      </c>
      <c r="H48" s="69">
        <v>754373</v>
      </c>
      <c r="I48" s="70">
        <f t="shared" si="6"/>
        <v>0.455037775398489</v>
      </c>
      <c r="J48" s="69">
        <v>13840</v>
      </c>
      <c r="K48" s="70">
        <f t="shared" si="7"/>
        <v>8.3482876660684931E-3</v>
      </c>
      <c r="L48" s="70">
        <f t="shared" si="8"/>
        <v>1.8346361813055344E-2</v>
      </c>
      <c r="M48" s="69">
        <v>2343</v>
      </c>
      <c r="N48" s="70">
        <f t="shared" si="9"/>
        <v>1.4132975434680982E-3</v>
      </c>
      <c r="O48" s="67" t="s">
        <v>16</v>
      </c>
    </row>
    <row r="49" spans="1:15" s="1" customFormat="1" x14ac:dyDescent="0.3">
      <c r="A49" s="66" t="s">
        <v>22</v>
      </c>
      <c r="B49" s="67" t="s">
        <v>18</v>
      </c>
      <c r="C49" s="67" t="s">
        <v>16</v>
      </c>
      <c r="D49" s="72">
        <v>44946</v>
      </c>
      <c r="E49" s="69">
        <v>2181188</v>
      </c>
      <c r="F49" s="70">
        <f t="shared" si="5"/>
        <v>0.99528330432773338</v>
      </c>
      <c r="G49" s="69">
        <v>10288</v>
      </c>
      <c r="H49" s="69">
        <v>789271</v>
      </c>
      <c r="I49" s="70">
        <f t="shared" si="6"/>
        <v>0.36185372375054325</v>
      </c>
      <c r="J49" s="69">
        <v>15872</v>
      </c>
      <c r="K49" s="70">
        <f t="shared" si="7"/>
        <v>7.2767684399510724E-3</v>
      </c>
      <c r="L49" s="70">
        <f t="shared" si="8"/>
        <v>2.0109696162661495E-2</v>
      </c>
      <c r="M49" s="69">
        <v>6565</v>
      </c>
      <c r="N49" s="70">
        <f t="shared" si="9"/>
        <v>3.0098276718925651E-3</v>
      </c>
      <c r="O49" s="67" t="s">
        <v>16</v>
      </c>
    </row>
    <row r="50" spans="1:15" s="1" customFormat="1" x14ac:dyDescent="0.3">
      <c r="A50" s="66" t="s">
        <v>75</v>
      </c>
      <c r="B50" s="67" t="s">
        <v>15</v>
      </c>
      <c r="C50" s="67" t="s">
        <v>16</v>
      </c>
      <c r="D50" s="72">
        <v>44947</v>
      </c>
      <c r="E50" s="69">
        <v>28459</v>
      </c>
      <c r="F50" s="70">
        <f t="shared" si="5"/>
        <v>0.99943778769457814</v>
      </c>
      <c r="G50" s="69">
        <v>16</v>
      </c>
      <c r="H50" s="69">
        <v>8736</v>
      </c>
      <c r="I50" s="70">
        <f t="shared" si="6"/>
        <v>0.30696791876032187</v>
      </c>
      <c r="J50" s="69">
        <v>256</v>
      </c>
      <c r="K50" s="70">
        <f t="shared" si="7"/>
        <v>8.995396886749359E-3</v>
      </c>
      <c r="L50" s="70">
        <f t="shared" si="8"/>
        <v>2.9304029304029304E-2</v>
      </c>
      <c r="M50" s="69">
        <v>13</v>
      </c>
      <c r="N50" s="70">
        <f t="shared" si="9"/>
        <v>4.5679749815524085E-4</v>
      </c>
      <c r="O50" s="67" t="s">
        <v>16</v>
      </c>
    </row>
    <row r="51" spans="1:15" s="1" customFormat="1" x14ac:dyDescent="0.3">
      <c r="A51" s="66" t="s">
        <v>78</v>
      </c>
      <c r="B51" s="67" t="s">
        <v>15</v>
      </c>
      <c r="C51" s="67" t="s">
        <v>16</v>
      </c>
      <c r="D51" s="72">
        <v>44947</v>
      </c>
      <c r="E51" s="69">
        <v>394270</v>
      </c>
      <c r="F51" s="70">
        <f t="shared" si="5"/>
        <v>0.99824485758490378</v>
      </c>
      <c r="G51" s="69">
        <v>692</v>
      </c>
      <c r="H51" s="69">
        <v>139694</v>
      </c>
      <c r="I51" s="70">
        <f t="shared" si="6"/>
        <v>0.35431049788216196</v>
      </c>
      <c r="J51" s="69">
        <v>3402</v>
      </c>
      <c r="K51" s="70">
        <f t="shared" si="7"/>
        <v>8.6286047632333166E-3</v>
      </c>
      <c r="L51" s="70">
        <f t="shared" si="8"/>
        <v>2.435322920096783E-2</v>
      </c>
      <c r="M51" s="69">
        <v>293</v>
      </c>
      <c r="N51" s="70">
        <f t="shared" si="9"/>
        <v>7.4314556014913634E-4</v>
      </c>
      <c r="O51" s="67" t="s">
        <v>16</v>
      </c>
    </row>
    <row r="52" spans="1:15" s="1" customFormat="1" x14ac:dyDescent="0.3">
      <c r="A52" s="66" t="s">
        <v>84</v>
      </c>
      <c r="B52" s="67" t="s">
        <v>18</v>
      </c>
      <c r="C52" s="67" t="s">
        <v>16</v>
      </c>
      <c r="D52" s="72">
        <v>44950</v>
      </c>
      <c r="E52" s="69">
        <v>35988</v>
      </c>
      <c r="F52" s="70">
        <f t="shared" si="5"/>
        <v>0.99930532399688787</v>
      </c>
      <c r="G52" s="69">
        <v>25</v>
      </c>
      <c r="H52" s="69">
        <v>29052</v>
      </c>
      <c r="I52" s="70">
        <f t="shared" si="6"/>
        <v>0.80726908969656552</v>
      </c>
      <c r="J52" s="69">
        <v>625</v>
      </c>
      <c r="K52" s="70">
        <f t="shared" si="7"/>
        <v>1.7366900077803712E-2</v>
      </c>
      <c r="L52" s="70">
        <f t="shared" si="8"/>
        <v>2.1513148836568911E-2</v>
      </c>
      <c r="M52" s="69">
        <v>80</v>
      </c>
      <c r="N52" s="70">
        <f t="shared" si="9"/>
        <v>2.222963209958875E-3</v>
      </c>
      <c r="O52" s="67" t="s">
        <v>16</v>
      </c>
    </row>
    <row r="53" spans="1:15" s="1" customFormat="1" x14ac:dyDescent="0.3">
      <c r="A53" s="66" t="s">
        <v>84</v>
      </c>
      <c r="B53" s="67" t="s">
        <v>15</v>
      </c>
      <c r="C53" s="67" t="s">
        <v>16</v>
      </c>
      <c r="D53" s="72">
        <v>44950</v>
      </c>
      <c r="E53" s="69">
        <v>76737</v>
      </c>
      <c r="F53" s="70">
        <f t="shared" si="5"/>
        <v>0.99951783363957414</v>
      </c>
      <c r="G53" s="69">
        <v>37</v>
      </c>
      <c r="H53" s="69">
        <v>61198</v>
      </c>
      <c r="I53" s="70">
        <f t="shared" si="6"/>
        <v>0.79750316014438927</v>
      </c>
      <c r="J53" s="69">
        <v>1318</v>
      </c>
      <c r="K53" s="70">
        <f t="shared" si="7"/>
        <v>1.717554764976478E-2</v>
      </c>
      <c r="L53" s="70">
        <f t="shared" si="8"/>
        <v>2.1536651524559625E-2</v>
      </c>
      <c r="M53" s="69">
        <v>109</v>
      </c>
      <c r="N53" s="70">
        <f t="shared" si="9"/>
        <v>1.4204360347681039E-3</v>
      </c>
      <c r="O53" s="67" t="s">
        <v>16</v>
      </c>
    </row>
    <row r="54" spans="1:15" s="1" customFormat="1" x14ac:dyDescent="0.3">
      <c r="A54" s="66" t="s">
        <v>85</v>
      </c>
      <c r="B54" s="67" t="s">
        <v>18</v>
      </c>
      <c r="C54" s="67" t="s">
        <v>16</v>
      </c>
      <c r="D54" s="72">
        <v>44950</v>
      </c>
      <c r="E54" s="69">
        <v>1563</v>
      </c>
      <c r="F54" s="70">
        <f t="shared" si="5"/>
        <v>0.99936020473448495</v>
      </c>
      <c r="G54" s="69">
        <v>1</v>
      </c>
      <c r="H54" s="69">
        <v>756</v>
      </c>
      <c r="I54" s="70">
        <f t="shared" si="6"/>
        <v>0.48368522072936659</v>
      </c>
      <c r="J54" s="69">
        <v>112</v>
      </c>
      <c r="K54" s="70">
        <f t="shared" si="7"/>
        <v>7.1657069737683945E-2</v>
      </c>
      <c r="L54" s="70">
        <f t="shared" si="8"/>
        <v>0.14814814814814814</v>
      </c>
      <c r="M54" s="69">
        <v>1</v>
      </c>
      <c r="N54" s="70">
        <f t="shared" si="9"/>
        <v>6.3979526551503517E-4</v>
      </c>
      <c r="O54" s="67" t="s">
        <v>16</v>
      </c>
    </row>
    <row r="55" spans="1:15" s="1" customFormat="1" x14ac:dyDescent="0.3">
      <c r="A55" s="66" t="s">
        <v>85</v>
      </c>
      <c r="B55" s="67" t="s">
        <v>15</v>
      </c>
      <c r="C55" s="67" t="s">
        <v>16</v>
      </c>
      <c r="D55" s="72">
        <v>44950</v>
      </c>
      <c r="E55" s="69">
        <v>2161</v>
      </c>
      <c r="F55" s="70">
        <f t="shared" si="5"/>
        <v>0.99814900509023596</v>
      </c>
      <c r="G55" s="69">
        <v>4</v>
      </c>
      <c r="H55" s="69">
        <v>1375</v>
      </c>
      <c r="I55" s="70">
        <f t="shared" si="6"/>
        <v>0.63627950023137436</v>
      </c>
      <c r="J55" s="69">
        <v>209</v>
      </c>
      <c r="K55" s="70">
        <f t="shared" si="7"/>
        <v>9.6714484035168899E-2</v>
      </c>
      <c r="L55" s="70">
        <f t="shared" si="8"/>
        <v>0.152</v>
      </c>
      <c r="M55" s="69">
        <v>3</v>
      </c>
      <c r="N55" s="70">
        <f t="shared" si="9"/>
        <v>1.3882461823229986E-3</v>
      </c>
      <c r="O55" s="67" t="s">
        <v>16</v>
      </c>
    </row>
    <row r="56" spans="1:15" s="1" customFormat="1" x14ac:dyDescent="0.3">
      <c r="A56" s="66" t="s">
        <v>29</v>
      </c>
      <c r="B56" s="67" t="s">
        <v>15</v>
      </c>
      <c r="C56" s="67" t="s">
        <v>16</v>
      </c>
      <c r="D56" s="72">
        <v>44950</v>
      </c>
      <c r="E56" s="69">
        <v>22739</v>
      </c>
      <c r="F56" s="70">
        <f t="shared" si="5"/>
        <v>0.99925238576894326</v>
      </c>
      <c r="G56" s="69">
        <v>17</v>
      </c>
      <c r="H56" s="69">
        <v>8196</v>
      </c>
      <c r="I56" s="70">
        <f t="shared" si="6"/>
        <v>0.36043801398478387</v>
      </c>
      <c r="J56" s="69">
        <v>352</v>
      </c>
      <c r="K56" s="70">
        <f t="shared" si="7"/>
        <v>1.5480012313646159E-2</v>
      </c>
      <c r="L56" s="70">
        <f t="shared" si="8"/>
        <v>4.2947779404587605E-2</v>
      </c>
      <c r="M56" s="69">
        <v>8</v>
      </c>
      <c r="N56" s="70">
        <f t="shared" si="9"/>
        <v>3.5181846167377636E-4</v>
      </c>
      <c r="O56" s="67" t="s">
        <v>16</v>
      </c>
    </row>
    <row r="57" spans="1:15" s="1" customFormat="1" x14ac:dyDescent="0.3">
      <c r="A57" s="66" t="s">
        <v>29</v>
      </c>
      <c r="B57" s="67" t="s">
        <v>18</v>
      </c>
      <c r="C57" s="67" t="s">
        <v>16</v>
      </c>
      <c r="D57" s="72">
        <v>44950</v>
      </c>
      <c r="E57" s="69">
        <v>25135</v>
      </c>
      <c r="F57" s="70">
        <f t="shared" si="5"/>
        <v>0.99900537099661824</v>
      </c>
      <c r="G57" s="69">
        <v>25</v>
      </c>
      <c r="H57" s="69">
        <v>9658</v>
      </c>
      <c r="I57" s="70">
        <f t="shared" si="6"/>
        <v>0.38424507658643325</v>
      </c>
      <c r="J57" s="69">
        <v>331</v>
      </c>
      <c r="K57" s="70">
        <f t="shared" si="7"/>
        <v>1.3168888004774219E-2</v>
      </c>
      <c r="L57" s="70">
        <f t="shared" si="8"/>
        <v>3.4272106026092361E-2</v>
      </c>
      <c r="M57" s="69">
        <v>66</v>
      </c>
      <c r="N57" s="70">
        <f t="shared" si="9"/>
        <v>2.6258205689277899E-3</v>
      </c>
      <c r="O57" s="67" t="s">
        <v>16</v>
      </c>
    </row>
    <row r="58" spans="1:15" s="1" customFormat="1" x14ac:dyDescent="0.3">
      <c r="A58" s="66" t="s">
        <v>17</v>
      </c>
      <c r="B58" s="67" t="s">
        <v>15</v>
      </c>
      <c r="C58" s="67" t="s">
        <v>16</v>
      </c>
      <c r="D58" s="72">
        <v>44950</v>
      </c>
      <c r="E58" s="69">
        <v>209346</v>
      </c>
      <c r="F58" s="70">
        <f t="shared" si="5"/>
        <v>0.99794598416019409</v>
      </c>
      <c r="G58" s="69">
        <v>430</v>
      </c>
      <c r="H58" s="69">
        <v>96776</v>
      </c>
      <c r="I58" s="70">
        <f t="shared" si="6"/>
        <v>0.46227776026291401</v>
      </c>
      <c r="J58" s="69">
        <v>3125</v>
      </c>
      <c r="K58" s="70">
        <f t="shared" si="7"/>
        <v>1.4927440696263602E-2</v>
      </c>
      <c r="L58" s="70">
        <f t="shared" si="8"/>
        <v>3.2291063900140533E-2</v>
      </c>
      <c r="M58" s="69">
        <v>151</v>
      </c>
      <c r="N58" s="70">
        <f t="shared" si="9"/>
        <v>7.212939344434572E-4</v>
      </c>
      <c r="O58" s="67" t="s">
        <v>16</v>
      </c>
    </row>
    <row r="59" spans="1:15" s="1" customFormat="1" x14ac:dyDescent="0.3">
      <c r="A59" s="66" t="s">
        <v>17</v>
      </c>
      <c r="B59" s="67" t="s">
        <v>18</v>
      </c>
      <c r="C59" s="67" t="s">
        <v>16</v>
      </c>
      <c r="D59" s="72">
        <v>44950</v>
      </c>
      <c r="E59" s="69">
        <v>419454</v>
      </c>
      <c r="F59" s="70">
        <f t="shared" si="5"/>
        <v>0.99802362118372934</v>
      </c>
      <c r="G59" s="69">
        <v>829</v>
      </c>
      <c r="H59" s="69">
        <v>210787</v>
      </c>
      <c r="I59" s="70">
        <f t="shared" si="6"/>
        <v>0.50252709474698065</v>
      </c>
      <c r="J59" s="69">
        <v>5194</v>
      </c>
      <c r="K59" s="70">
        <f t="shared" si="7"/>
        <v>1.2382764260204933E-2</v>
      </c>
      <c r="L59" s="70">
        <f t="shared" si="8"/>
        <v>2.4640988296242179E-2</v>
      </c>
      <c r="M59" s="69">
        <v>912</v>
      </c>
      <c r="N59" s="70">
        <f t="shared" si="9"/>
        <v>2.1742551030625528E-3</v>
      </c>
      <c r="O59" s="67" t="s">
        <v>16</v>
      </c>
    </row>
    <row r="60" spans="1:15" s="1" customFormat="1" x14ac:dyDescent="0.3">
      <c r="A60" s="66" t="s">
        <v>96</v>
      </c>
      <c r="B60" s="67" t="s">
        <v>18</v>
      </c>
      <c r="C60" s="67" t="s">
        <v>16</v>
      </c>
      <c r="D60" s="72">
        <v>44951</v>
      </c>
      <c r="E60" s="69">
        <v>22295</v>
      </c>
      <c r="F60" s="70">
        <f t="shared" si="5"/>
        <v>0.99860955371159454</v>
      </c>
      <c r="G60" s="69">
        <v>31</v>
      </c>
      <c r="H60" s="69">
        <v>12223</v>
      </c>
      <c r="I60" s="70">
        <f t="shared" si="6"/>
        <v>0.54823951558645434</v>
      </c>
      <c r="J60" s="69">
        <v>232</v>
      </c>
      <c r="K60" s="70">
        <f t="shared" si="7"/>
        <v>1.0405920610002242E-2</v>
      </c>
      <c r="L60" s="70">
        <f t="shared" si="8"/>
        <v>1.8980610324797514E-2</v>
      </c>
      <c r="M60" s="69">
        <v>106</v>
      </c>
      <c r="N60" s="70">
        <f t="shared" si="9"/>
        <v>4.7544292442251628E-3</v>
      </c>
      <c r="O60" s="67" t="s">
        <v>16</v>
      </c>
    </row>
    <row r="61" spans="1:15" s="1" customFormat="1" x14ac:dyDescent="0.3">
      <c r="A61" s="66" t="s">
        <v>96</v>
      </c>
      <c r="B61" s="67" t="s">
        <v>15</v>
      </c>
      <c r="C61" s="67" t="s">
        <v>16</v>
      </c>
      <c r="D61" s="72">
        <v>44951</v>
      </c>
      <c r="E61" s="69">
        <v>44707</v>
      </c>
      <c r="F61" s="70">
        <f t="shared" si="5"/>
        <v>0.99821057105151323</v>
      </c>
      <c r="G61" s="69">
        <v>80</v>
      </c>
      <c r="H61" s="69">
        <v>22793</v>
      </c>
      <c r="I61" s="70">
        <f t="shared" si="6"/>
        <v>0.50983067528574944</v>
      </c>
      <c r="J61" s="69">
        <v>285</v>
      </c>
      <c r="K61" s="70">
        <f t="shared" si="7"/>
        <v>6.3748406289842758E-3</v>
      </c>
      <c r="L61" s="70">
        <f t="shared" si="8"/>
        <v>1.2503838897907252E-2</v>
      </c>
      <c r="M61" s="69">
        <v>69</v>
      </c>
      <c r="N61" s="70">
        <f t="shared" si="9"/>
        <v>1.5433824680698772E-3</v>
      </c>
      <c r="O61" s="67" t="s">
        <v>16</v>
      </c>
    </row>
    <row r="62" spans="1:15" s="1" customFormat="1" x14ac:dyDescent="0.3">
      <c r="A62" s="66" t="s">
        <v>97</v>
      </c>
      <c r="B62" s="67" t="s">
        <v>18</v>
      </c>
      <c r="C62" s="67" t="s">
        <v>16</v>
      </c>
      <c r="D62" s="72">
        <v>44951</v>
      </c>
      <c r="E62" s="69">
        <v>27803</v>
      </c>
      <c r="F62" s="70">
        <f t="shared" si="5"/>
        <v>0.99838146962557994</v>
      </c>
      <c r="G62" s="69">
        <v>45</v>
      </c>
      <c r="H62" s="69">
        <v>16120</v>
      </c>
      <c r="I62" s="70">
        <f t="shared" si="6"/>
        <v>0.57979354745890732</v>
      </c>
      <c r="J62" s="69">
        <v>701</v>
      </c>
      <c r="K62" s="70">
        <f t="shared" si="7"/>
        <v>2.5213106499298636E-2</v>
      </c>
      <c r="L62" s="70">
        <f t="shared" si="8"/>
        <v>4.3486352357320096E-2</v>
      </c>
      <c r="M62" s="69">
        <v>86</v>
      </c>
      <c r="N62" s="70">
        <f t="shared" si="9"/>
        <v>3.0931913822249395E-3</v>
      </c>
      <c r="O62" s="67" t="s">
        <v>16</v>
      </c>
    </row>
    <row r="63" spans="1:15" s="1" customFormat="1" x14ac:dyDescent="0.3">
      <c r="A63" s="66" t="s">
        <v>97</v>
      </c>
      <c r="B63" s="67" t="s">
        <v>15</v>
      </c>
      <c r="C63" s="67" t="s">
        <v>16</v>
      </c>
      <c r="D63" s="72">
        <v>44951</v>
      </c>
      <c r="E63" s="69">
        <v>17557</v>
      </c>
      <c r="F63" s="70">
        <f t="shared" si="5"/>
        <v>0.99908868257674999</v>
      </c>
      <c r="G63" s="69">
        <v>16</v>
      </c>
      <c r="H63" s="69">
        <v>8887</v>
      </c>
      <c r="I63" s="70">
        <f t="shared" si="6"/>
        <v>0.50617987127641395</v>
      </c>
      <c r="J63" s="69">
        <v>312</v>
      </c>
      <c r="K63" s="70">
        <f t="shared" si="7"/>
        <v>1.7770689753374723E-2</v>
      </c>
      <c r="L63" s="70">
        <f t="shared" si="8"/>
        <v>3.5107460335321257E-2</v>
      </c>
      <c r="M63" s="69">
        <v>20</v>
      </c>
      <c r="N63" s="70">
        <f t="shared" si="9"/>
        <v>1.1391467790624822E-3</v>
      </c>
      <c r="O63" s="67" t="s">
        <v>16</v>
      </c>
    </row>
    <row r="64" spans="1:15" s="1" customFormat="1" x14ac:dyDescent="0.3">
      <c r="A64" s="66" t="s">
        <v>88</v>
      </c>
      <c r="B64" s="67" t="s">
        <v>18</v>
      </c>
      <c r="C64" s="67" t="s">
        <v>16</v>
      </c>
      <c r="D64" s="72">
        <v>44951</v>
      </c>
      <c r="E64" s="69">
        <v>30260</v>
      </c>
      <c r="F64" s="70">
        <f t="shared" si="5"/>
        <v>0.99881031064111037</v>
      </c>
      <c r="G64" s="69">
        <v>36</v>
      </c>
      <c r="H64" s="69">
        <v>12987</v>
      </c>
      <c r="I64" s="70">
        <f t="shared" si="6"/>
        <v>0.42918043621943158</v>
      </c>
      <c r="J64" s="69">
        <v>254</v>
      </c>
      <c r="K64" s="70">
        <f t="shared" si="7"/>
        <v>8.3939193654990092E-3</v>
      </c>
      <c r="L64" s="70">
        <f t="shared" si="8"/>
        <v>1.9558019558019557E-2</v>
      </c>
      <c r="M64" s="69">
        <v>157</v>
      </c>
      <c r="N64" s="70">
        <f t="shared" si="9"/>
        <v>5.1883674818241901E-3</v>
      </c>
      <c r="O64" s="67" t="s">
        <v>16</v>
      </c>
    </row>
    <row r="65" spans="1:15" s="1" customFormat="1" x14ac:dyDescent="0.3">
      <c r="A65" s="66" t="s">
        <v>88</v>
      </c>
      <c r="B65" s="67" t="s">
        <v>15</v>
      </c>
      <c r="C65" s="67" t="s">
        <v>16</v>
      </c>
      <c r="D65" s="72">
        <v>44951</v>
      </c>
      <c r="E65" s="69">
        <v>39440</v>
      </c>
      <c r="F65" s="70">
        <f t="shared" si="5"/>
        <v>0.99931541582150096</v>
      </c>
      <c r="G65" s="69">
        <v>27</v>
      </c>
      <c r="H65" s="69">
        <v>14623</v>
      </c>
      <c r="I65" s="70">
        <f t="shared" si="6"/>
        <v>0.3707657200811359</v>
      </c>
      <c r="J65" s="69">
        <v>190</v>
      </c>
      <c r="K65" s="70">
        <f t="shared" si="7"/>
        <v>4.8174442190669371E-3</v>
      </c>
      <c r="L65" s="70">
        <f t="shared" si="8"/>
        <v>1.2993229843397387E-2</v>
      </c>
      <c r="M65" s="69">
        <v>22</v>
      </c>
      <c r="N65" s="70">
        <f t="shared" si="9"/>
        <v>5.5780933062880324E-4</v>
      </c>
      <c r="O65" s="67" t="s">
        <v>16</v>
      </c>
    </row>
    <row r="66" spans="1:15" s="1" customFormat="1" x14ac:dyDescent="0.3">
      <c r="A66" s="66" t="s">
        <v>89</v>
      </c>
      <c r="B66" s="67" t="s">
        <v>18</v>
      </c>
      <c r="C66" s="67" t="s">
        <v>16</v>
      </c>
      <c r="D66" s="72">
        <v>44951</v>
      </c>
      <c r="E66" s="69">
        <v>363896</v>
      </c>
      <c r="F66" s="70">
        <f t="shared" ref="F66:F95" si="10">(E66-G66)/E66</f>
        <v>0.99766691582210298</v>
      </c>
      <c r="G66" s="69">
        <v>849</v>
      </c>
      <c r="H66" s="69">
        <v>168347</v>
      </c>
      <c r="I66" s="70">
        <f t="shared" ref="I66:I95" si="11">H66/E66</f>
        <v>0.46262393650933231</v>
      </c>
      <c r="J66" s="69">
        <v>2721</v>
      </c>
      <c r="K66" s="70">
        <f t="shared" ref="K66:K95" si="12">J66/E66</f>
        <v>7.4774111284542834E-3</v>
      </c>
      <c r="L66" s="70">
        <f t="shared" ref="L66:L95" si="13">J66/H66</f>
        <v>1.6163044188491626E-2</v>
      </c>
      <c r="M66" s="69">
        <v>1513</v>
      </c>
      <c r="N66" s="70">
        <f t="shared" ref="N66:N95" si="14">M66/E66</f>
        <v>4.1577813441202984E-3</v>
      </c>
      <c r="O66" s="67" t="s">
        <v>16</v>
      </c>
    </row>
    <row r="67" spans="1:15" s="1" customFormat="1" x14ac:dyDescent="0.3">
      <c r="A67" s="66" t="s">
        <v>89</v>
      </c>
      <c r="B67" s="67" t="s">
        <v>15</v>
      </c>
      <c r="C67" s="67" t="s">
        <v>16</v>
      </c>
      <c r="D67" s="72">
        <v>44951</v>
      </c>
      <c r="E67" s="69">
        <v>484846</v>
      </c>
      <c r="F67" s="70">
        <f t="shared" si="10"/>
        <v>0.99849230477306194</v>
      </c>
      <c r="G67" s="69">
        <v>731</v>
      </c>
      <c r="H67" s="69">
        <v>223677</v>
      </c>
      <c r="I67" s="70">
        <f t="shared" si="11"/>
        <v>0.46133617684790634</v>
      </c>
      <c r="J67" s="69">
        <v>2356</v>
      </c>
      <c r="K67" s="70">
        <f t="shared" si="12"/>
        <v>4.8592749037838822E-3</v>
      </c>
      <c r="L67" s="70">
        <f t="shared" si="13"/>
        <v>1.053304541816995E-2</v>
      </c>
      <c r="M67" s="69">
        <v>438</v>
      </c>
      <c r="N67" s="70">
        <f t="shared" si="14"/>
        <v>9.0337962982060284E-4</v>
      </c>
      <c r="O67" s="67" t="s">
        <v>16</v>
      </c>
    </row>
    <row r="68" spans="1:15" s="1" customFormat="1" x14ac:dyDescent="0.3">
      <c r="A68" s="66" t="s">
        <v>90</v>
      </c>
      <c r="B68" s="67" t="s">
        <v>15</v>
      </c>
      <c r="C68" s="67" t="s">
        <v>16</v>
      </c>
      <c r="D68" s="72">
        <v>44952</v>
      </c>
      <c r="E68" s="69">
        <v>90560</v>
      </c>
      <c r="F68" s="70">
        <f>(E68-G68)/E68</f>
        <v>0.99833259717314493</v>
      </c>
      <c r="G68" s="69">
        <v>151</v>
      </c>
      <c r="H68" s="69">
        <v>35653</v>
      </c>
      <c r="I68" s="70">
        <f>H68/E68</f>
        <v>0.39369478798586571</v>
      </c>
      <c r="J68" s="69">
        <v>589</v>
      </c>
      <c r="K68" s="70">
        <f>J68/E68</f>
        <v>6.5039752650176679E-3</v>
      </c>
      <c r="L68" s="70">
        <f>J68/H68</f>
        <v>1.6520348918744567E-2</v>
      </c>
      <c r="M68" s="69">
        <v>97</v>
      </c>
      <c r="N68" s="70">
        <f>M68/E68</f>
        <v>1.0711130742049469E-3</v>
      </c>
      <c r="O68" s="67" t="s">
        <v>16</v>
      </c>
    </row>
    <row r="69" spans="1:15" s="1" customFormat="1" x14ac:dyDescent="0.3">
      <c r="A69" s="66" t="s">
        <v>91</v>
      </c>
      <c r="B69" s="67" t="s">
        <v>18</v>
      </c>
      <c r="C69" s="67" t="s">
        <v>16</v>
      </c>
      <c r="D69" s="72">
        <v>44952</v>
      </c>
      <c r="E69" s="69">
        <v>15373</v>
      </c>
      <c r="F69" s="70">
        <f t="shared" si="10"/>
        <v>0.99746308462889477</v>
      </c>
      <c r="G69" s="69">
        <v>39</v>
      </c>
      <c r="H69" s="69">
        <v>6352</v>
      </c>
      <c r="I69" s="70">
        <f t="shared" si="11"/>
        <v>0.41319195992974694</v>
      </c>
      <c r="J69" s="69">
        <v>162</v>
      </c>
      <c r="K69" s="70">
        <f t="shared" si="12"/>
        <v>1.0537956156898459E-2</v>
      </c>
      <c r="L69" s="70">
        <f t="shared" si="13"/>
        <v>2.5503778337531487E-2</v>
      </c>
      <c r="M69" s="69">
        <v>14</v>
      </c>
      <c r="N69" s="70">
        <f t="shared" si="14"/>
        <v>9.1068756911468157E-4</v>
      </c>
      <c r="O69" s="67" t="s">
        <v>16</v>
      </c>
    </row>
    <row r="70" spans="1:15" s="1" customFormat="1" x14ac:dyDescent="0.3">
      <c r="A70" s="66" t="s">
        <v>91</v>
      </c>
      <c r="B70" s="67" t="s">
        <v>15</v>
      </c>
      <c r="C70" s="67" t="s">
        <v>16</v>
      </c>
      <c r="D70" s="72">
        <v>44952</v>
      </c>
      <c r="E70" s="69">
        <v>57135</v>
      </c>
      <c r="F70" s="70">
        <f t="shared" si="10"/>
        <v>0.99865231469327032</v>
      </c>
      <c r="G70" s="69">
        <v>77</v>
      </c>
      <c r="H70" s="69">
        <v>21142</v>
      </c>
      <c r="I70" s="70">
        <f t="shared" si="11"/>
        <v>0.37003587993349085</v>
      </c>
      <c r="J70" s="69">
        <v>427</v>
      </c>
      <c r="K70" s="70">
        <f t="shared" si="12"/>
        <v>7.4735276100463812E-3</v>
      </c>
      <c r="L70" s="70">
        <f t="shared" si="13"/>
        <v>2.0196764733705422E-2</v>
      </c>
      <c r="M70" s="69">
        <v>27</v>
      </c>
      <c r="N70" s="70">
        <f t="shared" si="14"/>
        <v>4.7256497768443159E-4</v>
      </c>
      <c r="O70" s="67" t="s">
        <v>16</v>
      </c>
    </row>
    <row r="71" spans="1:15" s="1" customFormat="1" x14ac:dyDescent="0.3">
      <c r="A71" s="66" t="s">
        <v>92</v>
      </c>
      <c r="B71" s="67" t="s">
        <v>18</v>
      </c>
      <c r="C71" s="67" t="s">
        <v>16</v>
      </c>
      <c r="D71" s="72">
        <v>44952</v>
      </c>
      <c r="E71" s="69">
        <v>953</v>
      </c>
      <c r="F71" s="70">
        <f t="shared" si="10"/>
        <v>0.99895068205666315</v>
      </c>
      <c r="G71" s="69">
        <v>1</v>
      </c>
      <c r="H71" s="69">
        <v>389</v>
      </c>
      <c r="I71" s="70">
        <f t="shared" si="11"/>
        <v>0.40818467995802726</v>
      </c>
      <c r="J71" s="69">
        <v>11</v>
      </c>
      <c r="K71" s="70">
        <f t="shared" si="12"/>
        <v>1.1542497376705142E-2</v>
      </c>
      <c r="L71" s="70">
        <f t="shared" si="13"/>
        <v>2.8277634961439587E-2</v>
      </c>
      <c r="M71" s="69">
        <v>1</v>
      </c>
      <c r="N71" s="70">
        <f t="shared" si="14"/>
        <v>1.0493179433368311E-3</v>
      </c>
      <c r="O71" s="67" t="s">
        <v>16</v>
      </c>
    </row>
    <row r="72" spans="1:15" s="1" customFormat="1" x14ac:dyDescent="0.3">
      <c r="A72" s="66" t="s">
        <v>92</v>
      </c>
      <c r="B72" s="67" t="s">
        <v>15</v>
      </c>
      <c r="C72" s="67" t="s">
        <v>16</v>
      </c>
      <c r="D72" s="72">
        <v>44952</v>
      </c>
      <c r="E72" s="69">
        <v>3483</v>
      </c>
      <c r="F72" s="70">
        <f t="shared" si="10"/>
        <v>0.99971289118575946</v>
      </c>
      <c r="G72" s="69">
        <v>1</v>
      </c>
      <c r="H72" s="69">
        <v>1244</v>
      </c>
      <c r="I72" s="70">
        <f t="shared" si="11"/>
        <v>0.35716336491530287</v>
      </c>
      <c r="J72" s="69">
        <v>51</v>
      </c>
      <c r="K72" s="70">
        <f t="shared" si="12"/>
        <v>1.4642549526270457E-2</v>
      </c>
      <c r="L72" s="70">
        <f t="shared" si="13"/>
        <v>4.0996784565916398E-2</v>
      </c>
      <c r="M72" s="69">
        <v>1</v>
      </c>
      <c r="N72" s="70">
        <f t="shared" si="14"/>
        <v>2.871088142405972E-4</v>
      </c>
      <c r="O72" s="67" t="s">
        <v>16</v>
      </c>
    </row>
    <row r="73" spans="1:15" s="1" customFormat="1" x14ac:dyDescent="0.3">
      <c r="A73" s="66" t="s">
        <v>93</v>
      </c>
      <c r="B73" s="67" t="s">
        <v>18</v>
      </c>
      <c r="C73" s="67" t="s">
        <v>16</v>
      </c>
      <c r="D73" s="72">
        <v>44952</v>
      </c>
      <c r="E73" s="69">
        <v>2517285</v>
      </c>
      <c r="F73" s="70">
        <f t="shared" si="10"/>
        <v>0.99691572467956546</v>
      </c>
      <c r="G73" s="69">
        <v>7764</v>
      </c>
      <c r="H73" s="69">
        <v>965859</v>
      </c>
      <c r="I73" s="70">
        <f t="shared" si="11"/>
        <v>0.3836907620710408</v>
      </c>
      <c r="J73" s="69">
        <v>17823</v>
      </c>
      <c r="K73" s="70">
        <f t="shared" si="12"/>
        <v>7.0802471710592957E-3</v>
      </c>
      <c r="L73" s="70">
        <f t="shared" si="13"/>
        <v>1.8453004009902067E-2</v>
      </c>
      <c r="M73" s="69">
        <v>10534</v>
      </c>
      <c r="N73" s="70">
        <f t="shared" si="14"/>
        <v>4.1846672109038113E-3</v>
      </c>
      <c r="O73" s="67" t="s">
        <v>16</v>
      </c>
    </row>
    <row r="74" spans="1:15" s="1" customFormat="1" x14ac:dyDescent="0.3">
      <c r="A74" s="66" t="s">
        <v>93</v>
      </c>
      <c r="B74" s="67" t="s">
        <v>15</v>
      </c>
      <c r="C74" s="67" t="s">
        <v>16</v>
      </c>
      <c r="D74" s="72">
        <v>44952</v>
      </c>
      <c r="E74" s="69">
        <v>2119055</v>
      </c>
      <c r="F74" s="70">
        <f t="shared" si="10"/>
        <v>0.9976437610161133</v>
      </c>
      <c r="G74" s="69">
        <v>4993</v>
      </c>
      <c r="H74" s="69">
        <v>828565</v>
      </c>
      <c r="I74" s="70">
        <f t="shared" si="11"/>
        <v>0.39100684031325283</v>
      </c>
      <c r="J74" s="69">
        <v>13761</v>
      </c>
      <c r="K74" s="70">
        <f t="shared" si="12"/>
        <v>6.4939324368645454E-3</v>
      </c>
      <c r="L74" s="70">
        <f t="shared" si="13"/>
        <v>1.6608232305250645E-2</v>
      </c>
      <c r="M74" s="69">
        <v>2467</v>
      </c>
      <c r="N74" s="70">
        <f t="shared" si="14"/>
        <v>1.1641981921186567E-3</v>
      </c>
      <c r="O74" s="67" t="s">
        <v>16</v>
      </c>
    </row>
    <row r="75" spans="1:15" s="1" customFormat="1" x14ac:dyDescent="0.3">
      <c r="A75" s="66" t="s">
        <v>94</v>
      </c>
      <c r="B75" s="67" t="s">
        <v>18</v>
      </c>
      <c r="C75" s="67" t="s">
        <v>16</v>
      </c>
      <c r="D75" s="72">
        <v>44952</v>
      </c>
      <c r="E75" s="69">
        <v>237916</v>
      </c>
      <c r="F75" s="70">
        <f t="shared" si="10"/>
        <v>0.99833554699978144</v>
      </c>
      <c r="G75" s="69">
        <v>396</v>
      </c>
      <c r="H75" s="69">
        <v>85937</v>
      </c>
      <c r="I75" s="70">
        <f t="shared" si="11"/>
        <v>0.36120731686813834</v>
      </c>
      <c r="J75" s="69">
        <v>2037</v>
      </c>
      <c r="K75" s="70">
        <f t="shared" si="12"/>
        <v>8.5618453571848895E-3</v>
      </c>
      <c r="L75" s="70">
        <f t="shared" si="13"/>
        <v>2.3703410638025529E-2</v>
      </c>
      <c r="M75" s="69">
        <v>1577</v>
      </c>
      <c r="N75" s="70">
        <f t="shared" si="14"/>
        <v>6.628389851880496E-3</v>
      </c>
      <c r="O75" s="67" t="s">
        <v>16</v>
      </c>
    </row>
    <row r="76" spans="1:15" s="1" customFormat="1" x14ac:dyDescent="0.3">
      <c r="A76" s="66" t="s">
        <v>94</v>
      </c>
      <c r="B76" s="67" t="s">
        <v>15</v>
      </c>
      <c r="C76" s="67" t="s">
        <v>16</v>
      </c>
      <c r="D76" s="72">
        <v>44952</v>
      </c>
      <c r="E76" s="69">
        <v>121175</v>
      </c>
      <c r="F76" s="70">
        <f t="shared" si="10"/>
        <v>0.99914998968434088</v>
      </c>
      <c r="G76" s="69">
        <v>103</v>
      </c>
      <c r="H76" s="69">
        <v>41912</v>
      </c>
      <c r="I76" s="70">
        <f t="shared" si="11"/>
        <v>0.34587992572725396</v>
      </c>
      <c r="J76" s="69">
        <v>594</v>
      </c>
      <c r="K76" s="70">
        <f t="shared" si="12"/>
        <v>4.9020012378791005E-3</v>
      </c>
      <c r="L76" s="70">
        <f t="shared" si="13"/>
        <v>1.4172552013743081E-2</v>
      </c>
      <c r="M76" s="69">
        <v>71</v>
      </c>
      <c r="N76" s="70">
        <f t="shared" si="14"/>
        <v>5.8592944089127293E-4</v>
      </c>
      <c r="O76" s="67" t="s">
        <v>16</v>
      </c>
    </row>
    <row r="77" spans="1:15" s="1" customFormat="1" x14ac:dyDescent="0.3">
      <c r="A77" s="66" t="s">
        <v>28</v>
      </c>
      <c r="B77" s="67" t="s">
        <v>18</v>
      </c>
      <c r="C77" s="67" t="s">
        <v>16</v>
      </c>
      <c r="D77" s="72">
        <v>44953</v>
      </c>
      <c r="E77" s="69">
        <v>198423</v>
      </c>
      <c r="F77" s="70">
        <f t="shared" si="10"/>
        <v>0.99889629730424401</v>
      </c>
      <c r="G77" s="69">
        <v>219</v>
      </c>
      <c r="H77" s="69">
        <v>67539</v>
      </c>
      <c r="I77" s="70">
        <f t="shared" si="11"/>
        <v>0.34037888752815953</v>
      </c>
      <c r="J77" s="69">
        <v>2066</v>
      </c>
      <c r="K77" s="70">
        <f t="shared" si="12"/>
        <v>1.0412099403798955E-2</v>
      </c>
      <c r="L77" s="70">
        <f t="shared" si="13"/>
        <v>3.0589733339255836E-2</v>
      </c>
      <c r="M77" s="69">
        <v>1215</v>
      </c>
      <c r="N77" s="70">
        <f t="shared" si="14"/>
        <v>6.1232820791944486E-3</v>
      </c>
      <c r="O77" s="67" t="s">
        <v>16</v>
      </c>
    </row>
    <row r="78" spans="1:15" s="1" customFormat="1" x14ac:dyDescent="0.3">
      <c r="A78" s="66" t="s">
        <v>28</v>
      </c>
      <c r="B78" s="67" t="s">
        <v>15</v>
      </c>
      <c r="C78" s="67" t="s">
        <v>16</v>
      </c>
      <c r="D78" s="72">
        <v>44953</v>
      </c>
      <c r="E78" s="69">
        <v>97005</v>
      </c>
      <c r="F78" s="70">
        <f t="shared" si="10"/>
        <v>0.99915468274831198</v>
      </c>
      <c r="G78" s="69">
        <v>82</v>
      </c>
      <c r="H78" s="69">
        <v>31269</v>
      </c>
      <c r="I78" s="70">
        <f t="shared" si="11"/>
        <v>0.32234420906138861</v>
      </c>
      <c r="J78" s="69">
        <v>689</v>
      </c>
      <c r="K78" s="70">
        <f t="shared" si="12"/>
        <v>7.1027266635740422E-3</v>
      </c>
      <c r="L78" s="70">
        <f t="shared" si="13"/>
        <v>2.2034602961399471E-2</v>
      </c>
      <c r="M78" s="69">
        <v>58</v>
      </c>
      <c r="N78" s="70">
        <f t="shared" si="14"/>
        <v>5.9790732436472351E-4</v>
      </c>
      <c r="O78" s="67" t="s">
        <v>16</v>
      </c>
    </row>
    <row r="79" spans="1:15" s="1" customFormat="1" x14ac:dyDescent="0.3">
      <c r="A79" s="66" t="s">
        <v>22</v>
      </c>
      <c r="B79" s="67" t="s">
        <v>18</v>
      </c>
      <c r="C79" s="67" t="s">
        <v>16</v>
      </c>
      <c r="D79" s="72">
        <v>44953</v>
      </c>
      <c r="E79" s="69">
        <v>2178172</v>
      </c>
      <c r="F79" s="70">
        <f t="shared" si="10"/>
        <v>0.998045149786151</v>
      </c>
      <c r="G79" s="69">
        <v>4258</v>
      </c>
      <c r="H79" s="69">
        <v>782787</v>
      </c>
      <c r="I79" s="70">
        <f t="shared" si="11"/>
        <v>0.35937795545989942</v>
      </c>
      <c r="J79" s="69">
        <v>15959</v>
      </c>
      <c r="K79" s="70">
        <f t="shared" si="12"/>
        <v>7.3267859471152878E-3</v>
      </c>
      <c r="L79" s="70">
        <f t="shared" si="13"/>
        <v>2.0387410623835093E-2</v>
      </c>
      <c r="M79" s="69">
        <v>7995</v>
      </c>
      <c r="N79" s="70">
        <f t="shared" si="14"/>
        <v>3.670509032344553E-3</v>
      </c>
      <c r="O79" s="67" t="s">
        <v>16</v>
      </c>
    </row>
    <row r="80" spans="1:15" s="1" customFormat="1" x14ac:dyDescent="0.3">
      <c r="A80" s="66" t="s">
        <v>22</v>
      </c>
      <c r="B80" s="67" t="s">
        <v>15</v>
      </c>
      <c r="C80" s="67" t="s">
        <v>16</v>
      </c>
      <c r="D80" s="72">
        <v>44953</v>
      </c>
      <c r="E80" s="69">
        <v>1671088</v>
      </c>
      <c r="F80" s="70">
        <f t="shared" si="10"/>
        <v>0.99787743075170188</v>
      </c>
      <c r="G80" s="69">
        <v>3547</v>
      </c>
      <c r="H80" s="69">
        <v>595762</v>
      </c>
      <c r="I80" s="70">
        <f t="shared" si="11"/>
        <v>0.35651144643489752</v>
      </c>
      <c r="J80" s="69">
        <v>8334</v>
      </c>
      <c r="K80" s="70">
        <f t="shared" si="12"/>
        <v>4.987170035330276E-3</v>
      </c>
      <c r="L80" s="70">
        <f t="shared" si="13"/>
        <v>1.3988807611093021E-2</v>
      </c>
      <c r="M80" s="69">
        <v>2431</v>
      </c>
      <c r="N80" s="70">
        <f t="shared" si="14"/>
        <v>1.4547408634374732E-3</v>
      </c>
      <c r="O80" s="67" t="s">
        <v>16</v>
      </c>
    </row>
    <row r="81" spans="1:15" s="1" customFormat="1" x14ac:dyDescent="0.3">
      <c r="A81" s="76" t="s">
        <v>29</v>
      </c>
      <c r="B81" s="67" t="s">
        <v>18</v>
      </c>
      <c r="C81" s="67" t="s">
        <v>16</v>
      </c>
      <c r="D81" s="68">
        <v>44957</v>
      </c>
      <c r="E81" s="69">
        <v>25183</v>
      </c>
      <c r="F81" s="70">
        <f t="shared" si="10"/>
        <v>0.99908668546241508</v>
      </c>
      <c r="G81" s="69">
        <v>23</v>
      </c>
      <c r="H81" s="69">
        <v>9403</v>
      </c>
      <c r="I81" s="70">
        <f t="shared" si="11"/>
        <v>0.37338680856133105</v>
      </c>
      <c r="J81" s="69">
        <v>221</v>
      </c>
      <c r="K81" s="70">
        <f t="shared" si="12"/>
        <v>8.7757614263590522E-3</v>
      </c>
      <c r="L81" s="70">
        <f t="shared" si="13"/>
        <v>2.3503137296607465E-2</v>
      </c>
      <c r="M81" s="69">
        <v>56</v>
      </c>
      <c r="N81" s="70">
        <f t="shared" si="14"/>
        <v>2.2237223523805744E-3</v>
      </c>
      <c r="O81" s="67" t="s">
        <v>16</v>
      </c>
    </row>
    <row r="82" spans="1:15" s="1" customFormat="1" x14ac:dyDescent="0.3">
      <c r="A82" s="76" t="s">
        <v>29</v>
      </c>
      <c r="B82" s="67" t="s">
        <v>15</v>
      </c>
      <c r="C82" s="67" t="s">
        <v>16</v>
      </c>
      <c r="D82" s="68">
        <v>44957</v>
      </c>
      <c r="E82" s="69">
        <v>22796</v>
      </c>
      <c r="F82" s="70">
        <f t="shared" si="10"/>
        <v>0.99938585716792416</v>
      </c>
      <c r="G82" s="69">
        <v>14</v>
      </c>
      <c r="H82" s="69">
        <v>8007</v>
      </c>
      <c r="I82" s="70">
        <f t="shared" si="11"/>
        <v>0.35124583260221093</v>
      </c>
      <c r="J82" s="69">
        <v>248</v>
      </c>
      <c r="K82" s="70">
        <f t="shared" si="12"/>
        <v>1.0879101596771364E-2</v>
      </c>
      <c r="L82" s="70">
        <f t="shared" si="13"/>
        <v>3.0972898713625577E-2</v>
      </c>
      <c r="M82" s="69">
        <v>9</v>
      </c>
      <c r="N82" s="70">
        <f t="shared" si="14"/>
        <v>3.9480610633444465E-4</v>
      </c>
      <c r="O82" s="67" t="s">
        <v>16</v>
      </c>
    </row>
    <row r="83" spans="1:15" s="1" customFormat="1" x14ac:dyDescent="0.3">
      <c r="A83" s="76" t="s">
        <v>17</v>
      </c>
      <c r="B83" s="67" t="s">
        <v>18</v>
      </c>
      <c r="C83" s="67" t="s">
        <v>16</v>
      </c>
      <c r="D83" s="68">
        <v>44957</v>
      </c>
      <c r="E83" s="69">
        <v>421318</v>
      </c>
      <c r="F83" s="70">
        <f t="shared" si="10"/>
        <v>0.99821749842161978</v>
      </c>
      <c r="G83" s="69">
        <v>751</v>
      </c>
      <c r="H83" s="69">
        <v>163380</v>
      </c>
      <c r="I83" s="70">
        <f t="shared" si="11"/>
        <v>0.38778309970141317</v>
      </c>
      <c r="J83" s="69">
        <v>2326</v>
      </c>
      <c r="K83" s="70">
        <f t="shared" si="12"/>
        <v>5.520770534370713E-3</v>
      </c>
      <c r="L83" s="70">
        <f t="shared" si="13"/>
        <v>1.4236748684049455E-2</v>
      </c>
      <c r="M83" s="69">
        <v>595</v>
      </c>
      <c r="N83" s="70">
        <f t="shared" si="14"/>
        <v>1.4122349389297396E-3</v>
      </c>
      <c r="O83" s="67" t="s">
        <v>16</v>
      </c>
    </row>
    <row r="84" spans="1:15" s="1" customFormat="1" x14ac:dyDescent="0.3">
      <c r="A84" s="76" t="s">
        <v>17</v>
      </c>
      <c r="B84" s="67" t="s">
        <v>15</v>
      </c>
      <c r="C84" s="67" t="s">
        <v>16</v>
      </c>
      <c r="D84" s="68">
        <v>44957</v>
      </c>
      <c r="E84" s="69">
        <v>210778</v>
      </c>
      <c r="F84" s="70">
        <f t="shared" si="10"/>
        <v>0.99817817798821507</v>
      </c>
      <c r="G84" s="69">
        <v>384</v>
      </c>
      <c r="H84" s="69">
        <v>80412</v>
      </c>
      <c r="I84" s="70">
        <f t="shared" si="11"/>
        <v>0.38150091565533406</v>
      </c>
      <c r="J84" s="69">
        <v>1824</v>
      </c>
      <c r="K84" s="70">
        <f t="shared" si="12"/>
        <v>8.6536545559783278E-3</v>
      </c>
      <c r="L84" s="70">
        <f t="shared" si="13"/>
        <v>2.2683181614684376E-2</v>
      </c>
      <c r="M84" s="69">
        <v>148</v>
      </c>
      <c r="N84" s="70">
        <f t="shared" si="14"/>
        <v>7.0216056704210117E-4</v>
      </c>
      <c r="O84" s="67" t="s">
        <v>16</v>
      </c>
    </row>
    <row r="85" spans="1:15" s="1" customFormat="1" x14ac:dyDescent="0.3">
      <c r="A85" s="76" t="s">
        <v>103</v>
      </c>
      <c r="B85" s="67" t="s">
        <v>18</v>
      </c>
      <c r="C85" s="67" t="s">
        <v>16</v>
      </c>
      <c r="D85" s="68">
        <v>44957</v>
      </c>
      <c r="E85" s="69">
        <v>110822</v>
      </c>
      <c r="F85" s="70">
        <f t="shared" si="10"/>
        <v>0.99822237461875796</v>
      </c>
      <c r="G85" s="69">
        <v>197</v>
      </c>
      <c r="H85" s="69">
        <v>56329</v>
      </c>
      <c r="I85" s="70">
        <f t="shared" si="11"/>
        <v>0.50828355380700585</v>
      </c>
      <c r="J85" s="69">
        <v>847</v>
      </c>
      <c r="K85" s="70">
        <f t="shared" si="12"/>
        <v>7.6428867914313039E-3</v>
      </c>
      <c r="L85" s="70">
        <f t="shared" si="13"/>
        <v>1.5036659624704858E-2</v>
      </c>
      <c r="M85" s="69">
        <v>241</v>
      </c>
      <c r="N85" s="70">
        <f t="shared" si="14"/>
        <v>2.1746584613163453E-3</v>
      </c>
      <c r="O85" s="67" t="s">
        <v>16</v>
      </c>
    </row>
    <row r="86" spans="1:15" s="1" customFormat="1" x14ac:dyDescent="0.3">
      <c r="A86" s="76" t="s">
        <v>103</v>
      </c>
      <c r="B86" s="67" t="s">
        <v>15</v>
      </c>
      <c r="C86" s="67" t="s">
        <v>16</v>
      </c>
      <c r="D86" s="68">
        <v>44957</v>
      </c>
      <c r="E86" s="69">
        <v>328837</v>
      </c>
      <c r="F86" s="70">
        <f t="shared" si="10"/>
        <v>0.9984794898384306</v>
      </c>
      <c r="G86" s="69">
        <v>500</v>
      </c>
      <c r="H86" s="69">
        <v>150121</v>
      </c>
      <c r="I86" s="70">
        <f t="shared" si="11"/>
        <v>0.45652101192992273</v>
      </c>
      <c r="J86" s="69">
        <v>2210</v>
      </c>
      <c r="K86" s="70">
        <f t="shared" si="12"/>
        <v>6.720654914136791E-3</v>
      </c>
      <c r="L86" s="70">
        <f t="shared" si="13"/>
        <v>1.4721458023860752E-2</v>
      </c>
      <c r="M86" s="69">
        <v>199</v>
      </c>
      <c r="N86" s="70">
        <f t="shared" si="14"/>
        <v>6.0516304430462511E-4</v>
      </c>
      <c r="O86" s="67" t="s">
        <v>16</v>
      </c>
    </row>
    <row r="87" spans="1:15" s="1" customFormat="1" x14ac:dyDescent="0.3">
      <c r="A87" s="76" t="s">
        <v>110</v>
      </c>
      <c r="B87" s="67" t="s">
        <v>15</v>
      </c>
      <c r="C87" s="67" t="s">
        <v>16</v>
      </c>
      <c r="D87" s="68">
        <v>44959</v>
      </c>
      <c r="E87" s="69">
        <v>81038</v>
      </c>
      <c r="F87" s="70">
        <f>(E87-G87)/E87</f>
        <v>0.99835879463955179</v>
      </c>
      <c r="G87" s="69">
        <v>133</v>
      </c>
      <c r="H87" s="69">
        <v>32466</v>
      </c>
      <c r="I87" s="70">
        <f>H87/E87</f>
        <v>0.40062686640835166</v>
      </c>
      <c r="J87" s="69">
        <v>479</v>
      </c>
      <c r="K87" s="70">
        <f>J87/E87</f>
        <v>5.9108072755991014E-3</v>
      </c>
      <c r="L87" s="70">
        <f>J87/H87</f>
        <v>1.475389638390932E-2</v>
      </c>
      <c r="M87" s="69">
        <v>82</v>
      </c>
      <c r="N87" s="70">
        <f>M87/E87</f>
        <v>1.0118709741109109E-3</v>
      </c>
      <c r="O87" s="67" t="s">
        <v>16</v>
      </c>
    </row>
    <row r="88" spans="1:15" s="1" customFormat="1" x14ac:dyDescent="0.3">
      <c r="A88" s="76" t="s">
        <v>28</v>
      </c>
      <c r="B88" s="67" t="s">
        <v>15</v>
      </c>
      <c r="C88" s="67" t="s">
        <v>16</v>
      </c>
      <c r="D88" s="68">
        <v>44960</v>
      </c>
      <c r="E88" s="69">
        <v>97142</v>
      </c>
      <c r="F88" s="70">
        <f t="shared" si="10"/>
        <v>0.99924852278108334</v>
      </c>
      <c r="G88" s="69">
        <v>73</v>
      </c>
      <c r="H88" s="69">
        <v>31023</v>
      </c>
      <c r="I88" s="70">
        <f t="shared" si="11"/>
        <v>0.31935722962261431</v>
      </c>
      <c r="J88" s="69">
        <v>648</v>
      </c>
      <c r="K88" s="70">
        <f t="shared" si="12"/>
        <v>6.6706470939449465E-3</v>
      </c>
      <c r="L88" s="70">
        <f t="shared" si="13"/>
        <v>2.0887728459530026E-2</v>
      </c>
      <c r="M88" s="69">
        <v>54</v>
      </c>
      <c r="N88" s="70">
        <f t="shared" si="14"/>
        <v>5.5588725782874558E-4</v>
      </c>
      <c r="O88" s="67" t="s">
        <v>16</v>
      </c>
    </row>
    <row r="89" spans="1:15" s="1" customFormat="1" x14ac:dyDescent="0.3">
      <c r="A89" s="76" t="s">
        <v>28</v>
      </c>
      <c r="B89" s="67" t="s">
        <v>18</v>
      </c>
      <c r="C89" s="67" t="s">
        <v>16</v>
      </c>
      <c r="D89" s="68">
        <v>44960</v>
      </c>
      <c r="E89" s="69">
        <v>196771</v>
      </c>
      <c r="F89" s="70">
        <f t="shared" si="10"/>
        <v>0.99887178496831341</v>
      </c>
      <c r="G89" s="69">
        <v>222</v>
      </c>
      <c r="H89" s="69">
        <v>66486</v>
      </c>
      <c r="I89" s="70">
        <f t="shared" si="11"/>
        <v>0.33788515584105383</v>
      </c>
      <c r="J89" s="69">
        <v>1573</v>
      </c>
      <c r="K89" s="70">
        <f t="shared" si="12"/>
        <v>7.994064165959415E-3</v>
      </c>
      <c r="L89" s="70">
        <f t="shared" si="13"/>
        <v>2.3659116204915322E-2</v>
      </c>
      <c r="M89" s="69">
        <v>793</v>
      </c>
      <c r="N89" s="70">
        <f t="shared" si="14"/>
        <v>4.0300654059795393E-3</v>
      </c>
      <c r="O89" s="67" t="s">
        <v>16</v>
      </c>
    </row>
    <row r="90" spans="1:15" s="1" customFormat="1" x14ac:dyDescent="0.3">
      <c r="A90" s="76" t="s">
        <v>22</v>
      </c>
      <c r="B90" s="67" t="s">
        <v>15</v>
      </c>
      <c r="C90" s="67" t="s">
        <v>16</v>
      </c>
      <c r="D90" s="68">
        <v>44960</v>
      </c>
      <c r="E90" s="69">
        <v>1689355</v>
      </c>
      <c r="F90" s="70">
        <f t="shared" si="10"/>
        <v>0.99800278804632536</v>
      </c>
      <c r="G90" s="69">
        <v>3374</v>
      </c>
      <c r="H90" s="69">
        <v>600658</v>
      </c>
      <c r="I90" s="70">
        <f t="shared" si="11"/>
        <v>0.35555463475705223</v>
      </c>
      <c r="J90" s="69">
        <v>8152</v>
      </c>
      <c r="K90" s="70">
        <f t="shared" si="12"/>
        <v>4.8255103279062125E-3</v>
      </c>
      <c r="L90" s="70">
        <f t="shared" si="13"/>
        <v>1.3571782944703974E-2</v>
      </c>
      <c r="M90" s="69">
        <v>1766</v>
      </c>
      <c r="N90" s="70">
        <f t="shared" si="14"/>
        <v>1.0453693865410171E-3</v>
      </c>
      <c r="O90" s="67" t="s">
        <v>16</v>
      </c>
    </row>
    <row r="91" spans="1:15" s="1" customFormat="1" x14ac:dyDescent="0.3">
      <c r="A91" s="76" t="s">
        <v>22</v>
      </c>
      <c r="B91" s="67" t="s">
        <v>18</v>
      </c>
      <c r="C91" s="67" t="s">
        <v>16</v>
      </c>
      <c r="D91" s="68">
        <v>44960</v>
      </c>
      <c r="E91" s="69">
        <v>2178700</v>
      </c>
      <c r="F91" s="70">
        <f t="shared" si="10"/>
        <v>0.99819800798641389</v>
      </c>
      <c r="G91" s="69">
        <v>3926</v>
      </c>
      <c r="H91" s="69">
        <v>762166</v>
      </c>
      <c r="I91" s="70">
        <f t="shared" si="11"/>
        <v>0.34982604305319687</v>
      </c>
      <c r="J91" s="69">
        <v>11968</v>
      </c>
      <c r="K91" s="70">
        <f t="shared" si="12"/>
        <v>5.4931840088125947E-3</v>
      </c>
      <c r="L91" s="70">
        <f t="shared" si="13"/>
        <v>1.5702615965550813E-2</v>
      </c>
      <c r="M91" s="69">
        <v>6509</v>
      </c>
      <c r="N91" s="70">
        <f t="shared" si="14"/>
        <v>2.9875613898196172E-3</v>
      </c>
      <c r="O91" s="67" t="s">
        <v>16</v>
      </c>
    </row>
    <row r="92" spans="1:15" s="1" customFormat="1" x14ac:dyDescent="0.3">
      <c r="A92" s="76" t="s">
        <v>36</v>
      </c>
      <c r="B92" s="67" t="s">
        <v>15</v>
      </c>
      <c r="C92" s="67" t="s">
        <v>16</v>
      </c>
      <c r="D92" s="68">
        <v>44961</v>
      </c>
      <c r="E92" s="69">
        <v>1466</v>
      </c>
      <c r="F92" s="70">
        <f t="shared" si="10"/>
        <v>0.99863574351978168</v>
      </c>
      <c r="G92" s="69">
        <v>2</v>
      </c>
      <c r="H92" s="69">
        <v>740</v>
      </c>
      <c r="I92" s="70">
        <f t="shared" si="11"/>
        <v>0.504774897680764</v>
      </c>
      <c r="J92" s="69">
        <v>62</v>
      </c>
      <c r="K92" s="70">
        <f t="shared" si="12"/>
        <v>4.229195088676671E-2</v>
      </c>
      <c r="L92" s="70">
        <f t="shared" si="13"/>
        <v>8.3783783783783788E-2</v>
      </c>
      <c r="M92" s="69">
        <v>0</v>
      </c>
      <c r="N92" s="70">
        <f t="shared" si="14"/>
        <v>0</v>
      </c>
      <c r="O92" s="67" t="s">
        <v>16</v>
      </c>
    </row>
    <row r="93" spans="1:15" s="1" customFormat="1" x14ac:dyDescent="0.3">
      <c r="A93" s="76" t="s">
        <v>36</v>
      </c>
      <c r="B93" s="67" t="s">
        <v>18</v>
      </c>
      <c r="C93" s="67" t="s">
        <v>16</v>
      </c>
      <c r="D93" s="68">
        <v>44961</v>
      </c>
      <c r="E93" s="69">
        <v>1398</v>
      </c>
      <c r="F93" s="70">
        <f t="shared" si="10"/>
        <v>0.99928469241773965</v>
      </c>
      <c r="G93" s="69">
        <v>1</v>
      </c>
      <c r="H93" s="69">
        <v>636</v>
      </c>
      <c r="I93" s="70">
        <f t="shared" si="11"/>
        <v>0.45493562231759654</v>
      </c>
      <c r="J93" s="69">
        <v>54</v>
      </c>
      <c r="K93" s="70">
        <f t="shared" si="12"/>
        <v>3.8626609442060089E-2</v>
      </c>
      <c r="L93" s="70">
        <f t="shared" si="13"/>
        <v>8.4905660377358486E-2</v>
      </c>
      <c r="M93" s="69">
        <v>14</v>
      </c>
      <c r="N93" s="70">
        <f t="shared" si="14"/>
        <v>1.0014306151645207E-2</v>
      </c>
      <c r="O93" s="67" t="s">
        <v>16</v>
      </c>
    </row>
    <row r="94" spans="1:15" s="1" customFormat="1" x14ac:dyDescent="0.3">
      <c r="A94" s="76" t="s">
        <v>37</v>
      </c>
      <c r="B94" s="67" t="s">
        <v>15</v>
      </c>
      <c r="C94" s="67" t="s">
        <v>16</v>
      </c>
      <c r="D94" s="68">
        <v>44961</v>
      </c>
      <c r="E94" s="69">
        <v>12127</v>
      </c>
      <c r="F94" s="70">
        <f t="shared" si="10"/>
        <v>0.99818586624886618</v>
      </c>
      <c r="G94" s="69">
        <v>22</v>
      </c>
      <c r="H94" s="69">
        <v>5622</v>
      </c>
      <c r="I94" s="70">
        <f t="shared" si="11"/>
        <v>0.46359363403974602</v>
      </c>
      <c r="J94" s="69">
        <v>480</v>
      </c>
      <c r="K94" s="70">
        <f t="shared" si="12"/>
        <v>3.9581100024738185E-2</v>
      </c>
      <c r="L94" s="70">
        <f t="shared" si="13"/>
        <v>8.537886872998933E-2</v>
      </c>
      <c r="M94" s="69">
        <v>17</v>
      </c>
      <c r="N94" s="70">
        <f t="shared" si="14"/>
        <v>1.4018306258761441E-3</v>
      </c>
      <c r="O94" s="67" t="s">
        <v>16</v>
      </c>
    </row>
    <row r="95" spans="1:15" s="1" customFormat="1" x14ac:dyDescent="0.3">
      <c r="A95" s="76" t="s">
        <v>37</v>
      </c>
      <c r="B95" s="67" t="s">
        <v>18</v>
      </c>
      <c r="C95" s="67" t="s">
        <v>16</v>
      </c>
      <c r="D95" s="68">
        <v>44961</v>
      </c>
      <c r="E95" s="69">
        <v>16629</v>
      </c>
      <c r="F95" s="70">
        <f t="shared" si="10"/>
        <v>0.99723374827109268</v>
      </c>
      <c r="G95" s="69">
        <v>46</v>
      </c>
      <c r="H95" s="69">
        <v>7117</v>
      </c>
      <c r="I95" s="70">
        <f t="shared" si="11"/>
        <v>0.42798725118768416</v>
      </c>
      <c r="J95" s="69">
        <v>440</v>
      </c>
      <c r="K95" s="70">
        <f t="shared" si="12"/>
        <v>2.6459799146070117E-2</v>
      </c>
      <c r="L95" s="70">
        <f t="shared" si="13"/>
        <v>6.1823802163833076E-2</v>
      </c>
      <c r="M95" s="69">
        <v>99</v>
      </c>
      <c r="N95" s="70">
        <f t="shared" si="14"/>
        <v>5.9534548078657764E-3</v>
      </c>
      <c r="O95" s="67" t="s">
        <v>16</v>
      </c>
    </row>
    <row r="96" spans="1:15" s="1" customFormat="1" x14ac:dyDescent="0.3">
      <c r="A96" s="85" t="s">
        <v>126</v>
      </c>
      <c r="B96" s="67" t="s">
        <v>18</v>
      </c>
      <c r="C96" s="67" t="s">
        <v>16</v>
      </c>
      <c r="D96" s="68">
        <v>44965</v>
      </c>
      <c r="E96" s="69">
        <v>2520980</v>
      </c>
      <c r="F96" s="70">
        <f t="shared" ref="F96:F144" si="15">(E96-G96)/E96</f>
        <v>0.9980261644281192</v>
      </c>
      <c r="G96" s="69">
        <v>4976</v>
      </c>
      <c r="H96" s="69">
        <v>928809</v>
      </c>
      <c r="I96" s="70">
        <f t="shared" ref="I96:I144" si="16">H96/E96</f>
        <v>0.36843172099738991</v>
      </c>
      <c r="J96" s="69">
        <v>13439</v>
      </c>
      <c r="K96" s="70">
        <f t="shared" ref="K96:K144" si="17">J96/E96</f>
        <v>5.3308633943942437E-3</v>
      </c>
      <c r="L96" s="70">
        <f t="shared" ref="L96:L144" si="18">J96/H96</f>
        <v>1.446906737553146E-2</v>
      </c>
      <c r="M96" s="86">
        <v>9534</v>
      </c>
      <c r="N96" s="70">
        <f t="shared" ref="N96:N144" si="19">M96/E96</f>
        <v>3.7818626089853946E-3</v>
      </c>
      <c r="O96" s="67" t="s">
        <v>16</v>
      </c>
    </row>
    <row r="97" spans="1:15" s="1" customFormat="1" x14ac:dyDescent="0.3">
      <c r="A97" s="85" t="s">
        <v>126</v>
      </c>
      <c r="B97" s="67" t="s">
        <v>15</v>
      </c>
      <c r="C97" s="67" t="s">
        <v>16</v>
      </c>
      <c r="D97" s="68">
        <v>44965</v>
      </c>
      <c r="E97" s="69">
        <v>2200578</v>
      </c>
      <c r="F97" s="70">
        <f t="shared" si="15"/>
        <v>0.99779966899605466</v>
      </c>
      <c r="G97" s="69">
        <v>4842</v>
      </c>
      <c r="H97" s="69">
        <v>1001588</v>
      </c>
      <c r="I97" s="70">
        <f t="shared" si="16"/>
        <v>0.45514769301519875</v>
      </c>
      <c r="J97" s="69">
        <v>11450</v>
      </c>
      <c r="K97" s="70">
        <f t="shared" si="17"/>
        <v>5.2031784376650137E-3</v>
      </c>
      <c r="L97" s="70">
        <f t="shared" si="18"/>
        <v>1.1431846228189635E-2</v>
      </c>
      <c r="M97" s="86">
        <v>3589</v>
      </c>
      <c r="N97" s="70">
        <f t="shared" si="19"/>
        <v>1.6309351452209375E-3</v>
      </c>
      <c r="O97" s="67" t="s">
        <v>16</v>
      </c>
    </row>
    <row r="98" spans="1:15" s="1" customFormat="1" x14ac:dyDescent="0.3">
      <c r="A98" s="85" t="s">
        <v>127</v>
      </c>
      <c r="B98" s="67" t="s">
        <v>18</v>
      </c>
      <c r="C98" s="67" t="s">
        <v>16</v>
      </c>
      <c r="D98" s="68">
        <v>44965</v>
      </c>
      <c r="E98" s="69">
        <v>235847</v>
      </c>
      <c r="F98" s="70">
        <f t="shared" si="15"/>
        <v>0.99866862839043957</v>
      </c>
      <c r="G98" s="69">
        <v>314</v>
      </c>
      <c r="H98" s="69">
        <v>82451</v>
      </c>
      <c r="I98" s="70">
        <f t="shared" si="16"/>
        <v>0.34959528847091548</v>
      </c>
      <c r="J98" s="69">
        <v>1789</v>
      </c>
      <c r="K98" s="70">
        <f t="shared" si="17"/>
        <v>7.5854261449159839E-3</v>
      </c>
      <c r="L98" s="70">
        <f t="shared" si="18"/>
        <v>2.1697735624795333E-2</v>
      </c>
      <c r="M98" s="86">
        <v>1782</v>
      </c>
      <c r="N98" s="70">
        <f t="shared" si="19"/>
        <v>7.5557458861041267E-3</v>
      </c>
      <c r="O98" s="67" t="s">
        <v>16</v>
      </c>
    </row>
    <row r="99" spans="1:15" s="1" customFormat="1" x14ac:dyDescent="0.3">
      <c r="A99" s="85" t="s">
        <v>127</v>
      </c>
      <c r="B99" s="67" t="s">
        <v>15</v>
      </c>
      <c r="C99" s="67" t="s">
        <v>16</v>
      </c>
      <c r="D99" s="68">
        <v>44965</v>
      </c>
      <c r="E99" s="69">
        <v>124377</v>
      </c>
      <c r="F99" s="70">
        <f t="shared" si="15"/>
        <v>0.99925227333027811</v>
      </c>
      <c r="G99" s="69">
        <v>93</v>
      </c>
      <c r="H99" s="69">
        <v>41618</v>
      </c>
      <c r="I99" s="70">
        <f t="shared" si="16"/>
        <v>0.33461170473640622</v>
      </c>
      <c r="J99" s="69">
        <v>618</v>
      </c>
      <c r="K99" s="70">
        <f t="shared" si="17"/>
        <v>4.968764321377747E-3</v>
      </c>
      <c r="L99" s="70">
        <f t="shared" si="18"/>
        <v>1.4849344033831514E-2</v>
      </c>
      <c r="M99" s="86">
        <v>94</v>
      </c>
      <c r="N99" s="70">
        <f t="shared" si="19"/>
        <v>7.557667414393336E-4</v>
      </c>
      <c r="O99" s="67" t="s">
        <v>16</v>
      </c>
    </row>
    <row r="100" spans="1:15" s="1" customFormat="1" x14ac:dyDescent="0.3">
      <c r="A100" s="85" t="s">
        <v>129</v>
      </c>
      <c r="B100" s="67" t="s">
        <v>15</v>
      </c>
      <c r="C100" s="67" t="s">
        <v>16</v>
      </c>
      <c r="D100" s="68">
        <v>44966</v>
      </c>
      <c r="E100" s="69">
        <v>145794</v>
      </c>
      <c r="F100" s="70">
        <f>(E100-G100)/E100</f>
        <v>0.99858018848512287</v>
      </c>
      <c r="G100" s="69">
        <v>207</v>
      </c>
      <c r="H100" s="69">
        <v>58340</v>
      </c>
      <c r="I100" s="70">
        <f>H100/E100</f>
        <v>0.40015364143929105</v>
      </c>
      <c r="J100" s="69">
        <v>783</v>
      </c>
      <c r="K100" s="70">
        <f>J100/E100</f>
        <v>5.3705913823614143E-3</v>
      </c>
      <c r="L100" s="70">
        <f>J100/H100</f>
        <v>1.3421323277339733E-2</v>
      </c>
      <c r="M100" s="86">
        <v>126</v>
      </c>
      <c r="N100" s="70">
        <f>M100/E100</f>
        <v>8.6423309601218155E-4</v>
      </c>
      <c r="O100" s="67" t="s">
        <v>16</v>
      </c>
    </row>
    <row r="101" spans="1:15" s="1" customFormat="1" x14ac:dyDescent="0.3">
      <c r="A101" s="85" t="s">
        <v>130</v>
      </c>
      <c r="B101" s="67" t="s">
        <v>18</v>
      </c>
      <c r="C101" s="67" t="s">
        <v>16</v>
      </c>
      <c r="D101" s="68">
        <v>44966</v>
      </c>
      <c r="E101" s="69">
        <v>17001</v>
      </c>
      <c r="F101" s="70">
        <f t="shared" si="15"/>
        <v>0.99764719722369277</v>
      </c>
      <c r="G101" s="69">
        <v>40</v>
      </c>
      <c r="H101" s="69">
        <v>6851</v>
      </c>
      <c r="I101" s="70">
        <f t="shared" si="16"/>
        <v>0.40297629551202868</v>
      </c>
      <c r="J101" s="69">
        <v>106</v>
      </c>
      <c r="K101" s="70">
        <f t="shared" si="17"/>
        <v>6.2349273572142819E-3</v>
      </c>
      <c r="L101" s="70">
        <f t="shared" si="18"/>
        <v>1.5472193840315283E-2</v>
      </c>
      <c r="M101" s="86">
        <v>34</v>
      </c>
      <c r="N101" s="70">
        <f t="shared" si="19"/>
        <v>1.9998823598611848E-3</v>
      </c>
      <c r="O101" s="67" t="s">
        <v>16</v>
      </c>
    </row>
    <row r="102" spans="1:15" s="1" customFormat="1" x14ac:dyDescent="0.3">
      <c r="A102" s="85" t="s">
        <v>130</v>
      </c>
      <c r="B102" s="67" t="s">
        <v>15</v>
      </c>
      <c r="C102" s="67" t="s">
        <v>16</v>
      </c>
      <c r="D102" s="68">
        <v>44966</v>
      </c>
      <c r="E102" s="69">
        <v>42932</v>
      </c>
      <c r="F102" s="70">
        <f t="shared" si="15"/>
        <v>0.99843939252771829</v>
      </c>
      <c r="G102" s="69">
        <v>67</v>
      </c>
      <c r="H102" s="69">
        <v>17067</v>
      </c>
      <c r="I102" s="70">
        <f t="shared" si="16"/>
        <v>0.39753563775272521</v>
      </c>
      <c r="J102" s="69">
        <v>169</v>
      </c>
      <c r="K102" s="70">
        <f t="shared" si="17"/>
        <v>3.9364576539644086E-3</v>
      </c>
      <c r="L102" s="70">
        <f t="shared" si="18"/>
        <v>9.9021503486260033E-3</v>
      </c>
      <c r="M102" s="86">
        <v>21</v>
      </c>
      <c r="N102" s="70">
        <f t="shared" si="19"/>
        <v>4.891456256405478E-4</v>
      </c>
      <c r="O102" s="67" t="s">
        <v>16</v>
      </c>
    </row>
    <row r="103" spans="1:15" s="1" customFormat="1" x14ac:dyDescent="0.3">
      <c r="A103" s="85" t="s">
        <v>135</v>
      </c>
      <c r="B103" s="67" t="s">
        <v>18</v>
      </c>
      <c r="C103" s="67" t="s">
        <v>16</v>
      </c>
      <c r="D103" s="68">
        <v>44967</v>
      </c>
      <c r="E103" s="69">
        <v>2397128</v>
      </c>
      <c r="F103" s="70">
        <f t="shared" si="15"/>
        <v>0.99773437213198457</v>
      </c>
      <c r="G103" s="69">
        <v>5431</v>
      </c>
      <c r="H103" s="69">
        <v>865159</v>
      </c>
      <c r="I103" s="70">
        <f t="shared" si="16"/>
        <v>0.36091481139096454</v>
      </c>
      <c r="J103" s="69">
        <v>12529</v>
      </c>
      <c r="K103" s="70">
        <f t="shared" si="17"/>
        <v>5.2266712499290822E-3</v>
      </c>
      <c r="L103" s="70">
        <f t="shared" si="18"/>
        <v>1.448173110376243E-2</v>
      </c>
      <c r="M103" s="86">
        <v>7661</v>
      </c>
      <c r="N103" s="70">
        <f t="shared" si="19"/>
        <v>3.1959077696309918E-3</v>
      </c>
      <c r="O103" s="67" t="s">
        <v>16</v>
      </c>
    </row>
    <row r="104" spans="1:15" s="1" customFormat="1" x14ac:dyDescent="0.3">
      <c r="A104" s="85" t="s">
        <v>135</v>
      </c>
      <c r="B104" s="67" t="s">
        <v>15</v>
      </c>
      <c r="C104" s="67" t="s">
        <v>16</v>
      </c>
      <c r="D104" s="68">
        <v>44967</v>
      </c>
      <c r="E104" s="69">
        <v>2101851</v>
      </c>
      <c r="F104" s="70">
        <f t="shared" si="15"/>
        <v>0.99799985822020687</v>
      </c>
      <c r="G104" s="69">
        <v>4204</v>
      </c>
      <c r="H104" s="69">
        <v>772971</v>
      </c>
      <c r="I104" s="70">
        <f t="shared" si="16"/>
        <v>0.36775727680030601</v>
      </c>
      <c r="J104" s="69">
        <v>8957</v>
      </c>
      <c r="K104" s="70">
        <f t="shared" si="17"/>
        <v>4.261481903331873E-3</v>
      </c>
      <c r="L104" s="70">
        <f t="shared" si="18"/>
        <v>1.1587756849868883E-2</v>
      </c>
      <c r="M104" s="86">
        <v>1966</v>
      </c>
      <c r="N104" s="70">
        <f t="shared" si="19"/>
        <v>9.3536601785759309E-4</v>
      </c>
      <c r="O104" s="67" t="s">
        <v>16</v>
      </c>
    </row>
    <row r="105" spans="1:15" s="1" customFormat="1" x14ac:dyDescent="0.3">
      <c r="A105" s="85" t="s">
        <v>136</v>
      </c>
      <c r="B105" s="67" t="s">
        <v>18</v>
      </c>
      <c r="C105" s="67" t="s">
        <v>16</v>
      </c>
      <c r="D105" s="68">
        <v>44967</v>
      </c>
      <c r="E105" s="69">
        <v>223458</v>
      </c>
      <c r="F105" s="70">
        <f t="shared" si="15"/>
        <v>0.9986529907186138</v>
      </c>
      <c r="G105" s="69">
        <v>301</v>
      </c>
      <c r="H105" s="69">
        <v>76431</v>
      </c>
      <c r="I105" s="70">
        <f t="shared" si="16"/>
        <v>0.34203742985258972</v>
      </c>
      <c r="J105" s="69">
        <v>1622</v>
      </c>
      <c r="K105" s="70">
        <f t="shared" si="17"/>
        <v>7.2586347322539362E-3</v>
      </c>
      <c r="L105" s="70">
        <f t="shared" si="18"/>
        <v>2.1221755570383746E-2</v>
      </c>
      <c r="M105" s="86">
        <v>1167</v>
      </c>
      <c r="N105" s="70">
        <f t="shared" si="19"/>
        <v>5.2224579115538487E-3</v>
      </c>
      <c r="O105" s="67" t="s">
        <v>16</v>
      </c>
    </row>
    <row r="106" spans="1:15" s="1" customFormat="1" x14ac:dyDescent="0.3">
      <c r="A106" s="85" t="s">
        <v>136</v>
      </c>
      <c r="B106" s="67" t="s">
        <v>15</v>
      </c>
      <c r="C106" s="67" t="s">
        <v>16</v>
      </c>
      <c r="D106" s="68">
        <v>44967</v>
      </c>
      <c r="E106" s="69">
        <v>118347</v>
      </c>
      <c r="F106" s="70">
        <f t="shared" si="15"/>
        <v>0.99912967798085295</v>
      </c>
      <c r="G106" s="69">
        <v>103</v>
      </c>
      <c r="H106" s="69">
        <v>39219</v>
      </c>
      <c r="I106" s="70">
        <f t="shared" si="16"/>
        <v>0.33138989581484957</v>
      </c>
      <c r="J106" s="69">
        <v>536</v>
      </c>
      <c r="K106" s="70">
        <f t="shared" si="17"/>
        <v>4.5290543909013324E-3</v>
      </c>
      <c r="L106" s="70">
        <f t="shared" si="18"/>
        <v>1.3666845151584691E-2</v>
      </c>
      <c r="M106" s="86">
        <v>84</v>
      </c>
      <c r="N106" s="70">
        <f t="shared" si="19"/>
        <v>7.0977718066364168E-4</v>
      </c>
      <c r="O106" s="67" t="s">
        <v>16</v>
      </c>
    </row>
    <row r="107" spans="1:15" s="1" customFormat="1" x14ac:dyDescent="0.3">
      <c r="A107" s="85" t="s">
        <v>131</v>
      </c>
      <c r="B107" s="67" t="s">
        <v>15</v>
      </c>
      <c r="C107" s="67" t="s">
        <v>16</v>
      </c>
      <c r="D107" s="68">
        <v>44967</v>
      </c>
      <c r="E107" s="69">
        <v>16629</v>
      </c>
      <c r="F107" s="70">
        <f t="shared" si="15"/>
        <v>0.99861687413554634</v>
      </c>
      <c r="G107" s="69">
        <v>23</v>
      </c>
      <c r="H107" s="69">
        <v>6314</v>
      </c>
      <c r="I107" s="70">
        <f t="shared" si="16"/>
        <v>0.37969811774610618</v>
      </c>
      <c r="J107" s="69">
        <v>52</v>
      </c>
      <c r="K107" s="70">
        <f t="shared" si="17"/>
        <v>3.1270671718082866E-3</v>
      </c>
      <c r="L107" s="70">
        <f t="shared" si="18"/>
        <v>8.2356667722521381E-3</v>
      </c>
      <c r="M107" s="86">
        <v>13</v>
      </c>
      <c r="N107" s="70">
        <f t="shared" si="19"/>
        <v>7.8176679295207166E-4</v>
      </c>
      <c r="O107" s="67" t="s">
        <v>16</v>
      </c>
    </row>
    <row r="108" spans="1:15" s="1" customFormat="1" x14ac:dyDescent="0.3">
      <c r="A108" s="85" t="s">
        <v>132</v>
      </c>
      <c r="B108" s="67" t="s">
        <v>15</v>
      </c>
      <c r="C108" s="67" t="s">
        <v>16</v>
      </c>
      <c r="D108" s="68">
        <v>44967</v>
      </c>
      <c r="E108" s="69">
        <v>315541</v>
      </c>
      <c r="F108" s="70">
        <f t="shared" si="15"/>
        <v>0.99837105162245154</v>
      </c>
      <c r="G108" s="69">
        <v>514</v>
      </c>
      <c r="H108" s="69">
        <v>123936</v>
      </c>
      <c r="I108" s="70">
        <f t="shared" si="16"/>
        <v>0.3927730469257561</v>
      </c>
      <c r="J108" s="69">
        <v>903</v>
      </c>
      <c r="K108" s="70">
        <f t="shared" si="17"/>
        <v>2.8617517216463152E-3</v>
      </c>
      <c r="L108" s="70">
        <f t="shared" si="18"/>
        <v>7.2860185902401241E-3</v>
      </c>
      <c r="M108" s="86">
        <v>231</v>
      </c>
      <c r="N108" s="70">
        <f t="shared" si="19"/>
        <v>7.3207602181649925E-4</v>
      </c>
      <c r="O108" s="67" t="s">
        <v>16</v>
      </c>
    </row>
    <row r="109" spans="1:15" s="1" customFormat="1" x14ac:dyDescent="0.3">
      <c r="A109" s="85" t="s">
        <v>133</v>
      </c>
      <c r="B109" s="67" t="s">
        <v>15</v>
      </c>
      <c r="C109" s="67" t="s">
        <v>16</v>
      </c>
      <c r="D109" s="68">
        <v>44967</v>
      </c>
      <c r="E109" s="69">
        <v>1362</v>
      </c>
      <c r="F109" s="70">
        <f t="shared" si="15"/>
        <v>0.99926578560939794</v>
      </c>
      <c r="G109" s="69">
        <v>1</v>
      </c>
      <c r="H109" s="69">
        <v>483</v>
      </c>
      <c r="I109" s="70">
        <f t="shared" si="16"/>
        <v>0.35462555066079293</v>
      </c>
      <c r="J109" s="69">
        <v>5</v>
      </c>
      <c r="K109" s="70">
        <f t="shared" si="17"/>
        <v>3.6710719530102789E-3</v>
      </c>
      <c r="L109" s="70">
        <f t="shared" si="18"/>
        <v>1.0351966873706004E-2</v>
      </c>
      <c r="M109" s="86">
        <v>0</v>
      </c>
      <c r="N109" s="70">
        <f t="shared" si="19"/>
        <v>0</v>
      </c>
      <c r="O109" s="67" t="s">
        <v>16</v>
      </c>
    </row>
    <row r="110" spans="1:15" s="1" customFormat="1" x14ac:dyDescent="0.3">
      <c r="A110" s="85" t="s">
        <v>134</v>
      </c>
      <c r="B110" s="67" t="s">
        <v>15</v>
      </c>
      <c r="C110" s="67" t="s">
        <v>16</v>
      </c>
      <c r="D110" s="68">
        <v>44967</v>
      </c>
      <c r="E110" s="69">
        <v>25465</v>
      </c>
      <c r="F110" s="70">
        <f t="shared" si="15"/>
        <v>0.99929314745729436</v>
      </c>
      <c r="G110" s="69">
        <v>18</v>
      </c>
      <c r="H110" s="69">
        <v>8914</v>
      </c>
      <c r="I110" s="70">
        <f t="shared" si="16"/>
        <v>0.35004908698213233</v>
      </c>
      <c r="J110" s="69">
        <v>71</v>
      </c>
      <c r="K110" s="70">
        <f t="shared" si="17"/>
        <v>2.7881405851168271E-3</v>
      </c>
      <c r="L110" s="70">
        <f t="shared" si="18"/>
        <v>7.964998878169172E-3</v>
      </c>
      <c r="M110" s="86">
        <v>14</v>
      </c>
      <c r="N110" s="70">
        <f t="shared" si="19"/>
        <v>5.4977419988219125E-4</v>
      </c>
      <c r="O110" s="67" t="s">
        <v>16</v>
      </c>
    </row>
    <row r="111" spans="1:15" s="1" customFormat="1" x14ac:dyDescent="0.3">
      <c r="A111" s="66" t="s">
        <v>22</v>
      </c>
      <c r="B111" s="67" t="s">
        <v>18</v>
      </c>
      <c r="C111" s="67" t="s">
        <v>16</v>
      </c>
      <c r="D111" s="68">
        <v>44967</v>
      </c>
      <c r="E111" s="69">
        <v>2176409</v>
      </c>
      <c r="F111" s="70">
        <f t="shared" si="15"/>
        <v>0.99820254373144024</v>
      </c>
      <c r="G111" s="69">
        <v>3912</v>
      </c>
      <c r="H111" s="69">
        <v>784867</v>
      </c>
      <c r="I111" s="70">
        <f t="shared" si="16"/>
        <v>0.36062477227396139</v>
      </c>
      <c r="J111" s="69">
        <v>14505</v>
      </c>
      <c r="K111" s="70">
        <f t="shared" si="17"/>
        <v>6.6646480509867405E-3</v>
      </c>
      <c r="L111" s="70">
        <f t="shared" si="18"/>
        <v>1.8480838154744689E-2</v>
      </c>
      <c r="M111" s="86">
        <v>7705</v>
      </c>
      <c r="N111" s="70">
        <f t="shared" si="19"/>
        <v>3.5402353142263243E-3</v>
      </c>
      <c r="O111" s="67" t="s">
        <v>16</v>
      </c>
    </row>
    <row r="112" spans="1:15" s="1" customFormat="1" x14ac:dyDescent="0.3">
      <c r="A112" s="66" t="s">
        <v>22</v>
      </c>
      <c r="B112" s="67" t="s">
        <v>15</v>
      </c>
      <c r="C112" s="67" t="s">
        <v>16</v>
      </c>
      <c r="D112" s="68">
        <v>44967</v>
      </c>
      <c r="E112" s="69">
        <v>1701825</v>
      </c>
      <c r="F112" s="70">
        <f t="shared" si="15"/>
        <v>0.99803916383882008</v>
      </c>
      <c r="G112" s="69">
        <v>3337</v>
      </c>
      <c r="H112" s="69">
        <v>626473</v>
      </c>
      <c r="I112" s="70">
        <f t="shared" si="16"/>
        <v>0.36811834354296125</v>
      </c>
      <c r="J112" s="69">
        <v>9672</v>
      </c>
      <c r="K112" s="70">
        <f t="shared" si="17"/>
        <v>5.6833105636596003E-3</v>
      </c>
      <c r="L112" s="70">
        <f t="shared" si="18"/>
        <v>1.543881380362761E-2</v>
      </c>
      <c r="M112" s="86">
        <v>1950</v>
      </c>
      <c r="N112" s="70">
        <f t="shared" si="19"/>
        <v>1.1458287426733065E-3</v>
      </c>
      <c r="O112" s="67" t="s">
        <v>16</v>
      </c>
    </row>
    <row r="113" spans="1:15" s="1" customFormat="1" x14ac:dyDescent="0.3">
      <c r="A113" s="66" t="s">
        <v>28</v>
      </c>
      <c r="B113" s="67" t="s">
        <v>18</v>
      </c>
      <c r="C113" s="67" t="s">
        <v>16</v>
      </c>
      <c r="D113" s="68">
        <v>44967</v>
      </c>
      <c r="E113" s="69">
        <v>195605</v>
      </c>
      <c r="F113" s="70">
        <f t="shared" si="15"/>
        <v>0.99898264359295519</v>
      </c>
      <c r="G113" s="69">
        <v>199</v>
      </c>
      <c r="H113" s="69">
        <v>64938</v>
      </c>
      <c r="I113" s="70">
        <f t="shared" si="16"/>
        <v>0.33198537869686356</v>
      </c>
      <c r="J113" s="69">
        <v>1695</v>
      </c>
      <c r="K113" s="70">
        <f t="shared" si="17"/>
        <v>8.665422663019862E-3</v>
      </c>
      <c r="L113" s="70">
        <f t="shared" si="18"/>
        <v>2.6101820197727062E-2</v>
      </c>
      <c r="M113" s="86">
        <v>1095</v>
      </c>
      <c r="N113" s="70">
        <f t="shared" si="19"/>
        <v>5.5980164106234501E-3</v>
      </c>
      <c r="O113" s="67" t="s">
        <v>16</v>
      </c>
    </row>
    <row r="114" spans="1:15" x14ac:dyDescent="0.3">
      <c r="A114" s="66" t="s">
        <v>28</v>
      </c>
      <c r="B114" s="67" t="s">
        <v>15</v>
      </c>
      <c r="C114" s="67" t="s">
        <v>16</v>
      </c>
      <c r="D114" s="68">
        <v>44967</v>
      </c>
      <c r="E114" s="69">
        <v>96749</v>
      </c>
      <c r="F114" s="70">
        <f t="shared" si="15"/>
        <v>0.9992454702374185</v>
      </c>
      <c r="G114" s="69">
        <v>73</v>
      </c>
      <c r="H114" s="69">
        <v>30226</v>
      </c>
      <c r="I114" s="70">
        <f t="shared" si="16"/>
        <v>0.31241666580533134</v>
      </c>
      <c r="J114" s="69">
        <v>602</v>
      </c>
      <c r="K114" s="70">
        <f t="shared" si="17"/>
        <v>6.2222865352613461E-3</v>
      </c>
      <c r="L114" s="70">
        <f t="shared" si="18"/>
        <v>1.9916628068550254E-2</v>
      </c>
      <c r="M114" s="86">
        <v>84</v>
      </c>
      <c r="N114" s="70">
        <f t="shared" si="19"/>
        <v>8.6822602817600183E-4</v>
      </c>
      <c r="O114" s="67" t="s">
        <v>16</v>
      </c>
    </row>
    <row r="115" spans="1:15" s="1" customFormat="1" x14ac:dyDescent="0.3">
      <c r="A115" s="66" t="s">
        <v>29</v>
      </c>
      <c r="B115" s="67" t="s">
        <v>15</v>
      </c>
      <c r="C115" s="67" t="s">
        <v>16</v>
      </c>
      <c r="D115" s="68">
        <v>44971</v>
      </c>
      <c r="E115" s="69">
        <v>22832</v>
      </c>
      <c r="F115" s="70">
        <f t="shared" si="15"/>
        <v>0.99899264190609671</v>
      </c>
      <c r="G115" s="69">
        <v>23</v>
      </c>
      <c r="H115" s="69">
        <v>7975</v>
      </c>
      <c r="I115" s="70">
        <f t="shared" si="16"/>
        <v>0.34929046951646814</v>
      </c>
      <c r="J115" s="69">
        <v>188</v>
      </c>
      <c r="K115" s="70">
        <f t="shared" si="17"/>
        <v>8.234057463209531E-3</v>
      </c>
      <c r="L115" s="70">
        <f t="shared" si="18"/>
        <v>2.3573667711598745E-2</v>
      </c>
      <c r="M115" s="69">
        <v>20</v>
      </c>
      <c r="N115" s="70">
        <f t="shared" si="19"/>
        <v>8.7596355991590748E-4</v>
      </c>
      <c r="O115" s="67" t="s">
        <v>16</v>
      </c>
    </row>
    <row r="116" spans="1:15" s="1" customFormat="1" x14ac:dyDescent="0.3">
      <c r="A116" s="66" t="s">
        <v>29</v>
      </c>
      <c r="B116" s="67" t="s">
        <v>18</v>
      </c>
      <c r="C116" s="67" t="s">
        <v>16</v>
      </c>
      <c r="D116" s="68">
        <v>44971</v>
      </c>
      <c r="E116" s="69">
        <v>25101</v>
      </c>
      <c r="F116" s="70">
        <f t="shared" si="15"/>
        <v>0.99916337994502213</v>
      </c>
      <c r="G116" s="69">
        <v>21</v>
      </c>
      <c r="H116" s="69">
        <v>9207</v>
      </c>
      <c r="I116" s="70">
        <f t="shared" si="16"/>
        <v>0.36679813553244889</v>
      </c>
      <c r="J116" s="69">
        <v>143</v>
      </c>
      <c r="K116" s="70">
        <f t="shared" si="17"/>
        <v>5.696984183897056E-3</v>
      </c>
      <c r="L116" s="70">
        <f t="shared" si="18"/>
        <v>1.5531660692951015E-2</v>
      </c>
      <c r="M116" s="69">
        <v>35</v>
      </c>
      <c r="N116" s="70">
        <f t="shared" si="19"/>
        <v>1.3943667582964822E-3</v>
      </c>
      <c r="O116" s="67" t="s">
        <v>16</v>
      </c>
    </row>
    <row r="117" spans="1:15" s="1" customFormat="1" x14ac:dyDescent="0.3">
      <c r="A117" s="66" t="s">
        <v>17</v>
      </c>
      <c r="B117" s="67" t="s">
        <v>15</v>
      </c>
      <c r="C117" s="67" t="s">
        <v>16</v>
      </c>
      <c r="D117" s="68">
        <v>44971</v>
      </c>
      <c r="E117" s="69">
        <v>213217</v>
      </c>
      <c r="F117" s="70">
        <f t="shared" si="15"/>
        <v>0.99815211732647957</v>
      </c>
      <c r="G117" s="69">
        <v>394</v>
      </c>
      <c r="H117" s="69">
        <v>76129</v>
      </c>
      <c r="I117" s="70">
        <f t="shared" si="16"/>
        <v>0.3570493909960275</v>
      </c>
      <c r="J117" s="69">
        <v>1420</v>
      </c>
      <c r="K117" s="70">
        <f t="shared" si="17"/>
        <v>6.6598817167486642E-3</v>
      </c>
      <c r="L117" s="70">
        <f t="shared" si="18"/>
        <v>1.8652550276504355E-2</v>
      </c>
      <c r="M117" s="69">
        <v>115</v>
      </c>
      <c r="N117" s="70">
        <f t="shared" si="19"/>
        <v>5.3935661790570171E-4</v>
      </c>
      <c r="O117" s="67" t="s">
        <v>16</v>
      </c>
    </row>
    <row r="118" spans="1:15" s="1" customFormat="1" x14ac:dyDescent="0.3">
      <c r="A118" s="66" t="s">
        <v>17</v>
      </c>
      <c r="B118" s="67" t="s">
        <v>18</v>
      </c>
      <c r="C118" s="67" t="s">
        <v>16</v>
      </c>
      <c r="D118" s="68">
        <v>44971</v>
      </c>
      <c r="E118" s="69">
        <v>425181</v>
      </c>
      <c r="F118" s="70">
        <f t="shared" si="15"/>
        <v>0.99863822701390703</v>
      </c>
      <c r="G118" s="69">
        <v>579</v>
      </c>
      <c r="H118" s="69">
        <v>163002</v>
      </c>
      <c r="I118" s="70">
        <f t="shared" si="16"/>
        <v>0.38337084676878785</v>
      </c>
      <c r="J118" s="69">
        <v>2075</v>
      </c>
      <c r="K118" s="70">
        <f t="shared" si="17"/>
        <v>4.8802745183815837E-3</v>
      </c>
      <c r="L118" s="70">
        <f t="shared" si="18"/>
        <v>1.2729905154537981E-2</v>
      </c>
      <c r="M118" s="69">
        <v>533</v>
      </c>
      <c r="N118" s="70">
        <f t="shared" si="19"/>
        <v>1.2535837678541609E-3</v>
      </c>
      <c r="O118" s="67" t="s">
        <v>16</v>
      </c>
    </row>
    <row r="119" spans="1:15" s="1" customFormat="1" x14ac:dyDescent="0.3">
      <c r="A119" s="66" t="s">
        <v>149</v>
      </c>
      <c r="B119" s="67" t="s">
        <v>15</v>
      </c>
      <c r="C119" s="67" t="s">
        <v>16</v>
      </c>
      <c r="D119" s="68">
        <v>44973</v>
      </c>
      <c r="E119" s="69">
        <v>74717</v>
      </c>
      <c r="F119" s="70">
        <f>(E119-G119)/E119</f>
        <v>0.9986214649945796</v>
      </c>
      <c r="G119" s="69">
        <v>103</v>
      </c>
      <c r="H119" s="69">
        <v>29930</v>
      </c>
      <c r="I119" s="70">
        <f>H119/E119</f>
        <v>0.40057818167217635</v>
      </c>
      <c r="J119" s="69">
        <v>478</v>
      </c>
      <c r="K119" s="70">
        <f>J119/E119</f>
        <v>6.3974731319512293E-3</v>
      </c>
      <c r="L119" s="70">
        <f>J119/H119</f>
        <v>1.5970598062145003E-2</v>
      </c>
      <c r="M119" s="69">
        <v>63</v>
      </c>
      <c r="N119" s="70">
        <f>M119/E119</f>
        <v>8.4318160525717037E-4</v>
      </c>
      <c r="O119" s="67" t="s">
        <v>16</v>
      </c>
    </row>
    <row r="120" spans="1:15" s="1" customFormat="1" x14ac:dyDescent="0.3">
      <c r="A120" s="76" t="s">
        <v>94</v>
      </c>
      <c r="B120" s="67" t="s">
        <v>15</v>
      </c>
      <c r="C120" s="67" t="s">
        <v>16</v>
      </c>
      <c r="D120" s="68">
        <v>44973</v>
      </c>
      <c r="E120" s="69">
        <v>115350</v>
      </c>
      <c r="F120" s="70">
        <f t="shared" si="15"/>
        <v>0.99909839618552232</v>
      </c>
      <c r="G120" s="69">
        <v>104</v>
      </c>
      <c r="H120" s="69">
        <v>39186</v>
      </c>
      <c r="I120" s="70">
        <f t="shared" si="16"/>
        <v>0.33971391417425228</v>
      </c>
      <c r="J120" s="69">
        <v>454</v>
      </c>
      <c r="K120" s="70">
        <f t="shared" si="17"/>
        <v>3.9358474208929344E-3</v>
      </c>
      <c r="L120" s="70">
        <f t="shared" si="18"/>
        <v>1.1585770428214157E-2</v>
      </c>
      <c r="M120" s="69">
        <v>70</v>
      </c>
      <c r="N120" s="70">
        <f t="shared" si="19"/>
        <v>6.0684872128305162E-4</v>
      </c>
      <c r="O120" s="67" t="s">
        <v>16</v>
      </c>
    </row>
    <row r="121" spans="1:15" s="1" customFormat="1" x14ac:dyDescent="0.3">
      <c r="A121" s="76" t="s">
        <v>94</v>
      </c>
      <c r="B121" s="67" t="s">
        <v>18</v>
      </c>
      <c r="C121" s="67" t="s">
        <v>16</v>
      </c>
      <c r="D121" s="68">
        <v>44973</v>
      </c>
      <c r="E121" s="69">
        <v>221388</v>
      </c>
      <c r="F121" s="70">
        <f t="shared" si="15"/>
        <v>0.99862684517679368</v>
      </c>
      <c r="G121" s="69">
        <v>304</v>
      </c>
      <c r="H121" s="69">
        <v>76453</v>
      </c>
      <c r="I121" s="70">
        <f t="shared" si="16"/>
        <v>0.34533488716642274</v>
      </c>
      <c r="J121" s="69">
        <v>1287</v>
      </c>
      <c r="K121" s="70">
        <f t="shared" si="17"/>
        <v>5.8133232153504254E-3</v>
      </c>
      <c r="L121" s="70">
        <f t="shared" si="18"/>
        <v>1.6833871790511819E-2</v>
      </c>
      <c r="M121" s="69">
        <v>987</v>
      </c>
      <c r="N121" s="70">
        <f t="shared" si="19"/>
        <v>4.4582362187652446E-3</v>
      </c>
      <c r="O121" s="67" t="s">
        <v>16</v>
      </c>
    </row>
    <row r="122" spans="1:15" s="1" customFormat="1" x14ac:dyDescent="0.3">
      <c r="A122" s="76" t="s">
        <v>93</v>
      </c>
      <c r="B122" s="67" t="s">
        <v>15</v>
      </c>
      <c r="C122" s="67" t="s">
        <v>16</v>
      </c>
      <c r="D122" s="68">
        <v>44973</v>
      </c>
      <c r="E122" s="69">
        <v>2064942</v>
      </c>
      <c r="F122" s="70">
        <f t="shared" si="15"/>
        <v>0.99788226497402832</v>
      </c>
      <c r="G122" s="69">
        <v>4373</v>
      </c>
      <c r="H122" s="69">
        <v>795479</v>
      </c>
      <c r="I122" s="70">
        <f t="shared" si="16"/>
        <v>0.38523067475987222</v>
      </c>
      <c r="J122" s="69">
        <v>11353</v>
      </c>
      <c r="K122" s="70">
        <f t="shared" si="17"/>
        <v>5.4979752457938284E-3</v>
      </c>
      <c r="L122" s="70">
        <f t="shared" si="18"/>
        <v>1.4271904098034015E-2</v>
      </c>
      <c r="M122" s="69">
        <v>1992</v>
      </c>
      <c r="N122" s="70">
        <f t="shared" si="19"/>
        <v>9.6467600542775539E-4</v>
      </c>
      <c r="O122" s="67" t="s">
        <v>16</v>
      </c>
    </row>
    <row r="123" spans="1:15" s="1" customFormat="1" x14ac:dyDescent="0.3">
      <c r="A123" s="76" t="s">
        <v>93</v>
      </c>
      <c r="B123" s="67" t="s">
        <v>18</v>
      </c>
      <c r="C123" s="67" t="s">
        <v>16</v>
      </c>
      <c r="D123" s="68">
        <v>44973</v>
      </c>
      <c r="E123" s="69">
        <v>2379214</v>
      </c>
      <c r="F123" s="70">
        <f t="shared" si="15"/>
        <v>0.99805692131939372</v>
      </c>
      <c r="G123" s="69">
        <v>4623</v>
      </c>
      <c r="H123" s="69">
        <v>863626</v>
      </c>
      <c r="I123" s="70">
        <f t="shared" si="16"/>
        <v>0.36298794475822688</v>
      </c>
      <c r="J123" s="69">
        <v>12200</v>
      </c>
      <c r="K123" s="70">
        <f t="shared" si="17"/>
        <v>5.1277438683531617E-3</v>
      </c>
      <c r="L123" s="70">
        <f t="shared" si="18"/>
        <v>1.4126485307297371E-2</v>
      </c>
      <c r="M123" s="69">
        <v>6616</v>
      </c>
      <c r="N123" s="70">
        <f t="shared" si="19"/>
        <v>2.7807502813954523E-3</v>
      </c>
      <c r="O123" s="67" t="s">
        <v>16</v>
      </c>
    </row>
    <row r="124" spans="1:15" s="1" customFormat="1" x14ac:dyDescent="0.3">
      <c r="A124" s="76" t="s">
        <v>92</v>
      </c>
      <c r="B124" s="67" t="s">
        <v>15</v>
      </c>
      <c r="C124" s="67" t="s">
        <v>16</v>
      </c>
      <c r="D124" s="68">
        <v>44973</v>
      </c>
      <c r="E124" s="69">
        <v>3308</v>
      </c>
      <c r="F124" s="70">
        <f t="shared" si="15"/>
        <v>0.99879081015719473</v>
      </c>
      <c r="G124" s="69">
        <v>4</v>
      </c>
      <c r="H124" s="69">
        <v>1141</v>
      </c>
      <c r="I124" s="70">
        <f t="shared" si="16"/>
        <v>0.34492140266021765</v>
      </c>
      <c r="J124" s="69">
        <v>22</v>
      </c>
      <c r="K124" s="70">
        <f t="shared" si="17"/>
        <v>6.650544135429262E-3</v>
      </c>
      <c r="L124" s="70">
        <f t="shared" si="18"/>
        <v>1.9281332164767746E-2</v>
      </c>
      <c r="M124" s="69">
        <v>0</v>
      </c>
      <c r="N124" s="70">
        <f t="shared" si="19"/>
        <v>0</v>
      </c>
      <c r="O124" s="67" t="s">
        <v>16</v>
      </c>
    </row>
    <row r="125" spans="1:15" s="1" customFormat="1" x14ac:dyDescent="0.3">
      <c r="A125" s="76" t="s">
        <v>92</v>
      </c>
      <c r="B125" s="67" t="s">
        <v>18</v>
      </c>
      <c r="C125" s="67" t="s">
        <v>16</v>
      </c>
      <c r="D125" s="68">
        <v>44973</v>
      </c>
      <c r="E125" s="69">
        <v>900</v>
      </c>
      <c r="F125" s="70">
        <f t="shared" si="15"/>
        <v>1</v>
      </c>
      <c r="G125" s="69">
        <v>0</v>
      </c>
      <c r="H125" s="69">
        <v>331</v>
      </c>
      <c r="I125" s="70">
        <f t="shared" si="16"/>
        <v>0.36777777777777776</v>
      </c>
      <c r="J125" s="69">
        <v>6</v>
      </c>
      <c r="K125" s="70">
        <f t="shared" si="17"/>
        <v>6.6666666666666671E-3</v>
      </c>
      <c r="L125" s="70">
        <f t="shared" si="18"/>
        <v>1.812688821752266E-2</v>
      </c>
      <c r="M125" s="69">
        <v>0</v>
      </c>
      <c r="N125" s="70">
        <f t="shared" si="19"/>
        <v>0</v>
      </c>
      <c r="O125" s="67" t="s">
        <v>16</v>
      </c>
    </row>
    <row r="126" spans="1:15" s="1" customFormat="1" x14ac:dyDescent="0.3">
      <c r="A126" s="76" t="s">
        <v>91</v>
      </c>
      <c r="B126" s="67" t="s">
        <v>15</v>
      </c>
      <c r="C126" s="67" t="s">
        <v>16</v>
      </c>
      <c r="D126" s="68">
        <v>44973</v>
      </c>
      <c r="E126" s="69">
        <v>54190</v>
      </c>
      <c r="F126" s="70">
        <f t="shared" si="15"/>
        <v>0.99876360952205201</v>
      </c>
      <c r="G126" s="69">
        <v>67</v>
      </c>
      <c r="H126" s="69">
        <v>19623</v>
      </c>
      <c r="I126" s="70">
        <f t="shared" si="16"/>
        <v>0.36211478132496772</v>
      </c>
      <c r="J126" s="69">
        <v>322</v>
      </c>
      <c r="K126" s="70">
        <f t="shared" si="17"/>
        <v>5.9420557298394535E-3</v>
      </c>
      <c r="L126" s="70">
        <f t="shared" si="18"/>
        <v>1.6409315599041942E-2</v>
      </c>
      <c r="M126" s="69">
        <v>25</v>
      </c>
      <c r="N126" s="70">
        <f t="shared" si="19"/>
        <v>4.6133973057759734E-4</v>
      </c>
      <c r="O126" s="67" t="s">
        <v>16</v>
      </c>
    </row>
    <row r="127" spans="1:15" s="1" customFormat="1" x14ac:dyDescent="0.3">
      <c r="A127" s="76" t="s">
        <v>91</v>
      </c>
      <c r="B127" s="67" t="s">
        <v>18</v>
      </c>
      <c r="C127" s="67" t="s">
        <v>16</v>
      </c>
      <c r="D127" s="68">
        <v>44973</v>
      </c>
      <c r="E127" s="69">
        <v>14582</v>
      </c>
      <c r="F127" s="70">
        <f t="shared" si="15"/>
        <v>0.99814840213962419</v>
      </c>
      <c r="G127" s="69">
        <v>27</v>
      </c>
      <c r="H127" s="69">
        <v>5869</v>
      </c>
      <c r="I127" s="70">
        <f t="shared" si="16"/>
        <v>0.40248251268687424</v>
      </c>
      <c r="J127" s="69">
        <v>111</v>
      </c>
      <c r="K127" s="70">
        <f t="shared" si="17"/>
        <v>7.6121245371005347E-3</v>
      </c>
      <c r="L127" s="70">
        <f t="shared" si="18"/>
        <v>1.8912932356449138E-2</v>
      </c>
      <c r="M127" s="69">
        <v>15</v>
      </c>
      <c r="N127" s="70">
        <f t="shared" si="19"/>
        <v>1.0286654779865588E-3</v>
      </c>
      <c r="O127" s="67" t="s">
        <v>16</v>
      </c>
    </row>
    <row r="128" spans="1:15" s="1" customFormat="1" x14ac:dyDescent="0.3">
      <c r="A128" s="66" t="s">
        <v>28</v>
      </c>
      <c r="B128" s="67" t="s">
        <v>15</v>
      </c>
      <c r="C128" s="67" t="s">
        <v>16</v>
      </c>
      <c r="D128" s="68">
        <v>44974</v>
      </c>
      <c r="E128" s="69">
        <v>96885</v>
      </c>
      <c r="F128" s="70">
        <f t="shared" si="15"/>
        <v>0.99928781545130829</v>
      </c>
      <c r="G128" s="69">
        <v>69</v>
      </c>
      <c r="H128" s="69">
        <v>31156</v>
      </c>
      <c r="I128" s="70">
        <f t="shared" si="16"/>
        <v>0.32157712752232026</v>
      </c>
      <c r="J128" s="69">
        <v>542</v>
      </c>
      <c r="K128" s="70">
        <f t="shared" si="17"/>
        <v>5.5942612375496723E-3</v>
      </c>
      <c r="L128" s="70">
        <f t="shared" si="18"/>
        <v>1.7396328155090512E-2</v>
      </c>
      <c r="M128" s="69">
        <v>50</v>
      </c>
      <c r="N128" s="70">
        <f t="shared" si="19"/>
        <v>5.1607575992155652E-4</v>
      </c>
      <c r="O128" s="67" t="s">
        <v>16</v>
      </c>
    </row>
    <row r="129" spans="1:15" s="1" customFormat="1" x14ac:dyDescent="0.3">
      <c r="A129" s="66" t="s">
        <v>28</v>
      </c>
      <c r="B129" s="67" t="s">
        <v>18</v>
      </c>
      <c r="C129" s="67" t="s">
        <v>16</v>
      </c>
      <c r="D129" s="68">
        <v>44974</v>
      </c>
      <c r="E129" s="69">
        <v>194509</v>
      </c>
      <c r="F129" s="70">
        <f t="shared" si="15"/>
        <v>0.9990180402963359</v>
      </c>
      <c r="G129" s="69">
        <v>191</v>
      </c>
      <c r="H129" s="69">
        <v>65351</v>
      </c>
      <c r="I129" s="70">
        <f t="shared" si="16"/>
        <v>0.3359793120112694</v>
      </c>
      <c r="J129" s="69">
        <v>1438</v>
      </c>
      <c r="K129" s="70">
        <f t="shared" si="17"/>
        <v>7.3929741040260344E-3</v>
      </c>
      <c r="L129" s="70">
        <f t="shared" si="18"/>
        <v>2.2004253951737541E-2</v>
      </c>
      <c r="M129" s="69">
        <v>837</v>
      </c>
      <c r="N129" s="70">
        <f t="shared" si="19"/>
        <v>4.303142785166753E-3</v>
      </c>
      <c r="O129" s="67" t="s">
        <v>16</v>
      </c>
    </row>
    <row r="130" spans="1:15" s="1" customFormat="1" x14ac:dyDescent="0.3">
      <c r="A130" s="66" t="s">
        <v>22</v>
      </c>
      <c r="B130" s="67" t="s">
        <v>15</v>
      </c>
      <c r="C130" s="67" t="s">
        <v>16</v>
      </c>
      <c r="D130" s="68">
        <v>44974</v>
      </c>
      <c r="E130" s="69">
        <v>1717383</v>
      </c>
      <c r="F130" s="70">
        <f t="shared" si="15"/>
        <v>0.99801267393470183</v>
      </c>
      <c r="G130" s="69">
        <v>3413</v>
      </c>
      <c r="H130" s="69">
        <v>616790</v>
      </c>
      <c r="I130" s="70">
        <f t="shared" si="16"/>
        <v>0.35914528093034576</v>
      </c>
      <c r="J130" s="69">
        <v>10525</v>
      </c>
      <c r="K130" s="70">
        <f t="shared" si="17"/>
        <v>6.1285106467223677E-3</v>
      </c>
      <c r="L130" s="70">
        <f t="shared" si="18"/>
        <v>1.7064154736620242E-2</v>
      </c>
      <c r="M130" s="69">
        <v>1693</v>
      </c>
      <c r="N130" s="70">
        <f t="shared" si="19"/>
        <v>9.8580223514498511E-4</v>
      </c>
      <c r="O130" s="67" t="s">
        <v>16</v>
      </c>
    </row>
    <row r="131" spans="1:15" s="1" customFormat="1" x14ac:dyDescent="0.3">
      <c r="A131" s="66" t="s">
        <v>22</v>
      </c>
      <c r="B131" s="67" t="s">
        <v>18</v>
      </c>
      <c r="C131" s="67" t="s">
        <v>16</v>
      </c>
      <c r="D131" s="68">
        <v>44974</v>
      </c>
      <c r="E131" s="69">
        <v>2174207</v>
      </c>
      <c r="F131" s="70">
        <f t="shared" si="15"/>
        <v>0.99826005527532569</v>
      </c>
      <c r="G131" s="69">
        <v>3783</v>
      </c>
      <c r="H131" s="69">
        <v>758355</v>
      </c>
      <c r="I131" s="70">
        <f t="shared" si="16"/>
        <v>0.34879613578651897</v>
      </c>
      <c r="J131" s="69">
        <v>13911</v>
      </c>
      <c r="K131" s="70">
        <f t="shared" si="17"/>
        <v>6.3981948360942635E-3</v>
      </c>
      <c r="L131" s="70">
        <f t="shared" si="18"/>
        <v>1.8343651719840971E-2</v>
      </c>
      <c r="M131" s="69">
        <v>5843</v>
      </c>
      <c r="N131" s="70">
        <f t="shared" si="19"/>
        <v>2.6874166075263302E-3</v>
      </c>
      <c r="O131" s="67" t="s">
        <v>16</v>
      </c>
    </row>
    <row r="132" spans="1:15" s="1" customFormat="1" x14ac:dyDescent="0.3">
      <c r="A132" s="66" t="s">
        <v>75</v>
      </c>
      <c r="B132" s="67" t="s">
        <v>15</v>
      </c>
      <c r="C132" s="67" t="s">
        <v>16</v>
      </c>
      <c r="D132" s="68">
        <v>44975</v>
      </c>
      <c r="E132" s="69">
        <v>28513</v>
      </c>
      <c r="F132" s="70">
        <f t="shared" si="15"/>
        <v>0.99957913933995024</v>
      </c>
      <c r="G132" s="69">
        <v>12</v>
      </c>
      <c r="H132" s="69">
        <v>8882</v>
      </c>
      <c r="I132" s="70">
        <f t="shared" si="16"/>
        <v>0.31150703188019502</v>
      </c>
      <c r="J132" s="69">
        <v>304</v>
      </c>
      <c r="K132" s="70">
        <f t="shared" si="17"/>
        <v>1.0661803387928314E-2</v>
      </c>
      <c r="L132" s="70">
        <f t="shared" si="18"/>
        <v>3.422652555730691E-2</v>
      </c>
      <c r="M132" s="69">
        <v>20</v>
      </c>
      <c r="N132" s="70">
        <f t="shared" si="19"/>
        <v>7.0143443341633637E-4</v>
      </c>
      <c r="O132" s="67" t="s">
        <v>16</v>
      </c>
    </row>
    <row r="133" spans="1:15" s="1" customFormat="1" x14ac:dyDescent="0.3">
      <c r="A133" s="96" t="s">
        <v>78</v>
      </c>
      <c r="B133" s="97" t="s">
        <v>15</v>
      </c>
      <c r="C133" s="97" t="s">
        <v>16</v>
      </c>
      <c r="D133" s="98">
        <v>44975</v>
      </c>
      <c r="E133" s="99">
        <v>403392</v>
      </c>
      <c r="F133" s="100">
        <f t="shared" si="15"/>
        <v>0.99857210851975253</v>
      </c>
      <c r="G133" s="99">
        <v>576</v>
      </c>
      <c r="H133" s="99">
        <v>142404</v>
      </c>
      <c r="I133" s="100">
        <f t="shared" si="16"/>
        <v>0.35301642075202283</v>
      </c>
      <c r="J133" s="99">
        <v>3336</v>
      </c>
      <c r="K133" s="100">
        <f t="shared" si="17"/>
        <v>8.2698714897667773E-3</v>
      </c>
      <c r="L133" s="100">
        <f t="shared" si="18"/>
        <v>2.3426308249768265E-2</v>
      </c>
      <c r="M133" s="99">
        <v>275</v>
      </c>
      <c r="N133" s="100">
        <f t="shared" si="19"/>
        <v>6.8171902268760907E-4</v>
      </c>
      <c r="O133" s="67" t="s">
        <v>16</v>
      </c>
    </row>
    <row r="134" spans="1:15" s="1" customFormat="1" x14ac:dyDescent="0.3">
      <c r="A134" s="66" t="s">
        <v>158</v>
      </c>
      <c r="B134" s="67" t="s">
        <v>15</v>
      </c>
      <c r="C134" s="67" t="s">
        <v>16</v>
      </c>
      <c r="D134" s="68">
        <v>44978</v>
      </c>
      <c r="E134" s="69">
        <v>43458</v>
      </c>
      <c r="F134" s="70">
        <f t="shared" si="15"/>
        <v>0.99820516360624045</v>
      </c>
      <c r="G134" s="69">
        <v>78</v>
      </c>
      <c r="H134" s="69">
        <v>17501</v>
      </c>
      <c r="I134" s="70">
        <f t="shared" si="16"/>
        <v>0.40271066316903675</v>
      </c>
      <c r="J134" s="69">
        <v>466</v>
      </c>
      <c r="K134" s="70">
        <f t="shared" si="17"/>
        <v>1.0722996916563119E-2</v>
      </c>
      <c r="L134" s="70">
        <f t="shared" si="18"/>
        <v>2.6627049882863837E-2</v>
      </c>
      <c r="M134" s="69">
        <v>10</v>
      </c>
      <c r="N134" s="70">
        <f t="shared" si="19"/>
        <v>2.3010722996916563E-4</v>
      </c>
      <c r="O134" s="67" t="s">
        <v>16</v>
      </c>
    </row>
    <row r="135" spans="1:15" s="1" customFormat="1" x14ac:dyDescent="0.3">
      <c r="A135" s="66" t="s">
        <v>158</v>
      </c>
      <c r="B135" s="67" t="s">
        <v>18</v>
      </c>
      <c r="C135" s="67" t="s">
        <v>16</v>
      </c>
      <c r="D135" s="68">
        <v>44978</v>
      </c>
      <c r="E135" s="69">
        <v>4705</v>
      </c>
      <c r="F135" s="70">
        <f t="shared" si="15"/>
        <v>0.99872476089266737</v>
      </c>
      <c r="G135" s="69">
        <v>6</v>
      </c>
      <c r="H135" s="69">
        <v>2375</v>
      </c>
      <c r="I135" s="70">
        <f t="shared" si="16"/>
        <v>0.50478214665249732</v>
      </c>
      <c r="J135" s="69">
        <v>118</v>
      </c>
      <c r="K135" s="70">
        <f t="shared" si="17"/>
        <v>2.5079702444208291E-2</v>
      </c>
      <c r="L135" s="70">
        <f t="shared" si="18"/>
        <v>4.9684210526315789E-2</v>
      </c>
      <c r="M135" s="69">
        <v>5</v>
      </c>
      <c r="N135" s="70">
        <f t="shared" si="19"/>
        <v>1.0626992561105207E-3</v>
      </c>
      <c r="O135" s="67" t="s">
        <v>16</v>
      </c>
    </row>
    <row r="136" spans="1:15" s="1" customFormat="1" x14ac:dyDescent="0.3">
      <c r="A136" s="66" t="s">
        <v>29</v>
      </c>
      <c r="B136" s="67" t="s">
        <v>15</v>
      </c>
      <c r="C136" s="67" t="s">
        <v>16</v>
      </c>
      <c r="D136" s="68">
        <v>44978</v>
      </c>
      <c r="E136" s="69">
        <v>22921</v>
      </c>
      <c r="F136" s="70">
        <f t="shared" si="15"/>
        <v>0.99904018149295404</v>
      </c>
      <c r="G136" s="69">
        <v>22</v>
      </c>
      <c r="H136" s="69">
        <v>7754</v>
      </c>
      <c r="I136" s="70">
        <f t="shared" si="16"/>
        <v>0.33829239561973734</v>
      </c>
      <c r="J136" s="69">
        <v>186</v>
      </c>
      <c r="K136" s="70">
        <f t="shared" si="17"/>
        <v>8.1148291959338599E-3</v>
      </c>
      <c r="L136" s="70">
        <f t="shared" si="18"/>
        <v>2.3987619293267991E-2</v>
      </c>
      <c r="M136" s="69">
        <v>15</v>
      </c>
      <c r="N136" s="70">
        <f t="shared" si="19"/>
        <v>6.5442170934950478E-4</v>
      </c>
      <c r="O136" s="67" t="s">
        <v>16</v>
      </c>
    </row>
    <row r="137" spans="1:15" s="1" customFormat="1" x14ac:dyDescent="0.3">
      <c r="A137" s="66" t="s">
        <v>29</v>
      </c>
      <c r="B137" s="67" t="s">
        <v>18</v>
      </c>
      <c r="C137" s="67" t="s">
        <v>16</v>
      </c>
      <c r="D137" s="68">
        <v>44978</v>
      </c>
      <c r="E137" s="69">
        <v>25120</v>
      </c>
      <c r="F137" s="70">
        <f t="shared" si="15"/>
        <v>0.99924363057324839</v>
      </c>
      <c r="G137" s="69">
        <v>19</v>
      </c>
      <c r="H137" s="69">
        <v>8974</v>
      </c>
      <c r="I137" s="70">
        <f t="shared" si="16"/>
        <v>0.35724522292993632</v>
      </c>
      <c r="J137" s="69">
        <v>176</v>
      </c>
      <c r="K137" s="70">
        <f t="shared" si="17"/>
        <v>7.0063694267515925E-3</v>
      </c>
      <c r="L137" s="70">
        <f t="shared" si="18"/>
        <v>1.9612213059950971E-2</v>
      </c>
      <c r="M137" s="69">
        <v>49</v>
      </c>
      <c r="N137" s="70">
        <f t="shared" si="19"/>
        <v>1.9506369426751592E-3</v>
      </c>
      <c r="O137" s="67" t="s">
        <v>16</v>
      </c>
    </row>
    <row r="138" spans="1:15" s="1" customFormat="1" x14ac:dyDescent="0.3">
      <c r="A138" s="66" t="s">
        <v>17</v>
      </c>
      <c r="B138" s="67" t="s">
        <v>15</v>
      </c>
      <c r="C138" s="67" t="s">
        <v>16</v>
      </c>
      <c r="D138" s="68">
        <v>44978</v>
      </c>
      <c r="E138" s="69">
        <v>214637</v>
      </c>
      <c r="F138" s="70">
        <f t="shared" si="15"/>
        <v>0.998243546080126</v>
      </c>
      <c r="G138" s="69">
        <v>377</v>
      </c>
      <c r="H138" s="69">
        <v>91847</v>
      </c>
      <c r="I138" s="70">
        <f t="shared" si="16"/>
        <v>0.42791783336517003</v>
      </c>
      <c r="J138" s="69">
        <v>1644</v>
      </c>
      <c r="K138" s="70">
        <f t="shared" si="17"/>
        <v>7.6594436187609775E-3</v>
      </c>
      <c r="L138" s="70">
        <f t="shared" si="18"/>
        <v>1.7899332585713197E-2</v>
      </c>
      <c r="M138" s="69">
        <v>174</v>
      </c>
      <c r="N138" s="70">
        <f t="shared" si="19"/>
        <v>8.1067103994185527E-4</v>
      </c>
      <c r="O138" s="67" t="s">
        <v>16</v>
      </c>
    </row>
    <row r="139" spans="1:15" s="1" customFormat="1" x14ac:dyDescent="0.3">
      <c r="A139" s="66" t="s">
        <v>17</v>
      </c>
      <c r="B139" s="67" t="s">
        <v>18</v>
      </c>
      <c r="C139" s="67" t="s">
        <v>16</v>
      </c>
      <c r="D139" s="68">
        <v>44978</v>
      </c>
      <c r="E139" s="69">
        <v>427916</v>
      </c>
      <c r="F139" s="70">
        <f t="shared" si="15"/>
        <v>0.99860019256115684</v>
      </c>
      <c r="G139" s="69">
        <v>599</v>
      </c>
      <c r="H139" s="69">
        <v>163443</v>
      </c>
      <c r="I139" s="70">
        <f t="shared" si="16"/>
        <v>0.38195113059572439</v>
      </c>
      <c r="J139" s="69">
        <v>1907</v>
      </c>
      <c r="K139" s="70">
        <f t="shared" si="17"/>
        <v>4.4564821133119582E-3</v>
      </c>
      <c r="L139" s="70">
        <f t="shared" si="18"/>
        <v>1.1667676192923526E-2</v>
      </c>
      <c r="M139" s="69">
        <v>642</v>
      </c>
      <c r="N139" s="70">
        <f t="shared" si="19"/>
        <v>1.5002944503126781E-3</v>
      </c>
      <c r="O139" s="67" t="s">
        <v>16</v>
      </c>
    </row>
    <row r="140" spans="1:15" s="1" customFormat="1" x14ac:dyDescent="0.3">
      <c r="A140" s="90" t="s">
        <v>161</v>
      </c>
      <c r="B140" s="67" t="s">
        <v>15</v>
      </c>
      <c r="C140" s="67" t="s">
        <v>16</v>
      </c>
      <c r="D140" s="68">
        <v>44980</v>
      </c>
      <c r="E140" s="69">
        <v>44952</v>
      </c>
      <c r="F140" s="70">
        <f t="shared" si="15"/>
        <v>0.99837604555970816</v>
      </c>
      <c r="G140" s="69">
        <v>73</v>
      </c>
      <c r="H140" s="69">
        <v>20528</v>
      </c>
      <c r="I140" s="70">
        <f t="shared" si="16"/>
        <v>0.45666488699056773</v>
      </c>
      <c r="J140" s="69">
        <v>248</v>
      </c>
      <c r="K140" s="70">
        <f t="shared" si="17"/>
        <v>5.5169959067449727E-3</v>
      </c>
      <c r="L140" s="70">
        <f t="shared" si="18"/>
        <v>1.2081060015588464E-2</v>
      </c>
      <c r="M140" s="69">
        <v>33</v>
      </c>
      <c r="N140" s="70">
        <f t="shared" si="19"/>
        <v>7.3411639081687131E-4</v>
      </c>
      <c r="O140" s="67" t="s">
        <v>16</v>
      </c>
    </row>
    <row r="141" spans="1:15" s="1" customFormat="1" x14ac:dyDescent="0.3">
      <c r="A141" s="90" t="s">
        <v>161</v>
      </c>
      <c r="B141" s="67" t="s">
        <v>18</v>
      </c>
      <c r="C141" s="67" t="s">
        <v>16</v>
      </c>
      <c r="D141" s="68">
        <v>44980</v>
      </c>
      <c r="E141" s="69">
        <v>35724</v>
      </c>
      <c r="F141" s="70">
        <f t="shared" si="15"/>
        <v>0.99834844922181165</v>
      </c>
      <c r="G141" s="69">
        <v>59</v>
      </c>
      <c r="H141" s="69">
        <v>13580</v>
      </c>
      <c r="I141" s="70">
        <f t="shared" si="16"/>
        <v>0.38013660284402645</v>
      </c>
      <c r="J141" s="69">
        <v>126</v>
      </c>
      <c r="K141" s="70">
        <f t="shared" si="17"/>
        <v>3.5270406449445751E-3</v>
      </c>
      <c r="L141" s="70">
        <f t="shared" si="18"/>
        <v>9.2783505154639175E-3</v>
      </c>
      <c r="M141" s="69">
        <v>48</v>
      </c>
      <c r="N141" s="70">
        <f t="shared" si="19"/>
        <v>1.3436345314074571E-3</v>
      </c>
      <c r="O141" s="67" t="s">
        <v>16</v>
      </c>
    </row>
    <row r="142" spans="1:15" s="1" customFormat="1" x14ac:dyDescent="0.3">
      <c r="A142" s="66" t="s">
        <v>166</v>
      </c>
      <c r="B142" s="67" t="s">
        <v>18</v>
      </c>
      <c r="C142" s="67" t="s">
        <v>16</v>
      </c>
      <c r="D142" s="68">
        <v>44981</v>
      </c>
      <c r="E142" s="69">
        <v>6241</v>
      </c>
      <c r="F142" s="70">
        <f t="shared" si="15"/>
        <v>0.9991988463387278</v>
      </c>
      <c r="G142" s="69">
        <v>5</v>
      </c>
      <c r="H142" s="69">
        <v>2024</v>
      </c>
      <c r="I142" s="70">
        <f t="shared" si="16"/>
        <v>0.32430700208299951</v>
      </c>
      <c r="J142" s="69">
        <v>45</v>
      </c>
      <c r="K142" s="70">
        <f t="shared" si="17"/>
        <v>7.2103829514500884E-3</v>
      </c>
      <c r="L142" s="70">
        <f t="shared" si="18"/>
        <v>2.2233201581027668E-2</v>
      </c>
      <c r="M142" s="69">
        <v>19</v>
      </c>
      <c r="N142" s="70">
        <f t="shared" si="19"/>
        <v>3.0443839128344815E-3</v>
      </c>
      <c r="O142" s="67" t="s">
        <v>16</v>
      </c>
    </row>
    <row r="143" spans="1:15" s="1" customFormat="1" x14ac:dyDescent="0.3">
      <c r="A143" s="66" t="s">
        <v>166</v>
      </c>
      <c r="B143" s="67" t="s">
        <v>15</v>
      </c>
      <c r="C143" s="67" t="s">
        <v>16</v>
      </c>
      <c r="D143" s="68">
        <v>44981</v>
      </c>
      <c r="E143" s="69">
        <v>18918</v>
      </c>
      <c r="F143" s="70">
        <f t="shared" si="15"/>
        <v>0.99936568347605459</v>
      </c>
      <c r="G143" s="69">
        <v>12</v>
      </c>
      <c r="H143" s="69">
        <v>5883</v>
      </c>
      <c r="I143" s="70">
        <f t="shared" si="16"/>
        <v>0.31097367586425628</v>
      </c>
      <c r="J143" s="69">
        <v>96</v>
      </c>
      <c r="K143" s="70">
        <f t="shared" si="17"/>
        <v>5.0745321915635902E-3</v>
      </c>
      <c r="L143" s="70">
        <f t="shared" si="18"/>
        <v>1.6318204997450281E-2</v>
      </c>
      <c r="M143" s="69">
        <v>8</v>
      </c>
      <c r="N143" s="70">
        <f t="shared" si="19"/>
        <v>4.2287768263029918E-4</v>
      </c>
      <c r="O143" s="67" t="s">
        <v>16</v>
      </c>
    </row>
    <row r="144" spans="1:15" s="1" customFormat="1" x14ac:dyDescent="0.3">
      <c r="A144" s="66" t="s">
        <v>28</v>
      </c>
      <c r="B144" s="67" t="s">
        <v>15</v>
      </c>
      <c r="C144" s="67" t="s">
        <v>16</v>
      </c>
      <c r="D144" s="68">
        <v>44981</v>
      </c>
      <c r="E144" s="69">
        <v>96887</v>
      </c>
      <c r="F144" s="70">
        <f t="shared" si="15"/>
        <v>0.99921558103770369</v>
      </c>
      <c r="G144" s="69">
        <v>76</v>
      </c>
      <c r="H144" s="69">
        <v>29052</v>
      </c>
      <c r="I144" s="70">
        <f t="shared" si="16"/>
        <v>0.29985446963988976</v>
      </c>
      <c r="J144" s="69">
        <v>532</v>
      </c>
      <c r="K144" s="70">
        <f t="shared" si="17"/>
        <v>5.4909327360739835E-3</v>
      </c>
      <c r="L144" s="70">
        <f t="shared" si="18"/>
        <v>1.8311992289687457E-2</v>
      </c>
      <c r="M144" s="69">
        <v>54</v>
      </c>
      <c r="N144" s="70">
        <f t="shared" si="19"/>
        <v>5.5735031531578029E-4</v>
      </c>
      <c r="O144" s="67" t="s">
        <v>16</v>
      </c>
    </row>
    <row r="145" spans="1:15" s="1" customFormat="1" x14ac:dyDescent="0.3">
      <c r="A145" s="66" t="s">
        <v>28</v>
      </c>
      <c r="B145" s="67" t="s">
        <v>18</v>
      </c>
      <c r="C145" s="67" t="s">
        <v>16</v>
      </c>
      <c r="D145" s="68">
        <v>44981</v>
      </c>
      <c r="E145" s="69">
        <v>193445</v>
      </c>
      <c r="F145" s="70">
        <f t="shared" ref="F145:F203" si="20">(E145-G145)/E145</f>
        <v>0.99898679211145291</v>
      </c>
      <c r="G145" s="69">
        <v>196</v>
      </c>
      <c r="H145" s="69">
        <v>59766</v>
      </c>
      <c r="I145" s="70">
        <f t="shared" ref="I145:I203" si="21">H145/E145</f>
        <v>0.30895603401483623</v>
      </c>
      <c r="J145" s="69">
        <v>1321</v>
      </c>
      <c r="K145" s="70">
        <f t="shared" ref="K145:K203" si="22">J145/E145</f>
        <v>6.8288143916875599E-3</v>
      </c>
      <c r="L145" s="70">
        <f t="shared" ref="L145:L203" si="23">J145/H145</f>
        <v>2.2102867851286685E-2</v>
      </c>
      <c r="M145" s="69">
        <v>752</v>
      </c>
      <c r="N145" s="70">
        <f t="shared" ref="N145:N203" si="24">M145/E145</f>
        <v>3.8874098580992012E-3</v>
      </c>
      <c r="O145" s="67" t="s">
        <v>16</v>
      </c>
    </row>
    <row r="146" spans="1:15" s="1" customFormat="1" x14ac:dyDescent="0.3">
      <c r="A146" s="66" t="s">
        <v>22</v>
      </c>
      <c r="B146" s="67" t="s">
        <v>15</v>
      </c>
      <c r="C146" s="67" t="s">
        <v>16</v>
      </c>
      <c r="D146" s="68">
        <v>44981</v>
      </c>
      <c r="E146" s="69">
        <v>1736522</v>
      </c>
      <c r="F146" s="70">
        <f t="shared" si="20"/>
        <v>0.99784914904619693</v>
      </c>
      <c r="G146" s="69">
        <v>3735</v>
      </c>
      <c r="H146" s="69">
        <v>613549</v>
      </c>
      <c r="I146" s="70">
        <f t="shared" si="21"/>
        <v>0.35332060290626899</v>
      </c>
      <c r="J146" s="69">
        <v>9784</v>
      </c>
      <c r="K146" s="70">
        <f t="shared" si="22"/>
        <v>5.6342505306584082E-3</v>
      </c>
      <c r="L146" s="70">
        <f t="shared" si="23"/>
        <v>1.5946566614891394E-2</v>
      </c>
      <c r="M146" s="69">
        <v>1806</v>
      </c>
      <c r="N146" s="70">
        <f t="shared" si="24"/>
        <v>1.0400098587867012E-3</v>
      </c>
      <c r="O146" s="67" t="s">
        <v>16</v>
      </c>
    </row>
    <row r="147" spans="1:15" s="1" customFormat="1" x14ac:dyDescent="0.3">
      <c r="A147" s="66" t="s">
        <v>22</v>
      </c>
      <c r="B147" s="67" t="s">
        <v>18</v>
      </c>
      <c r="C147" s="67" t="s">
        <v>16</v>
      </c>
      <c r="D147" s="68">
        <v>44981</v>
      </c>
      <c r="E147" s="69">
        <v>2176097</v>
      </c>
      <c r="F147" s="70">
        <f t="shared" si="20"/>
        <v>0.99815817033891407</v>
      </c>
      <c r="G147" s="69">
        <v>4008</v>
      </c>
      <c r="H147" s="69">
        <v>768818</v>
      </c>
      <c r="I147" s="70">
        <f t="shared" si="21"/>
        <v>0.35330134640137822</v>
      </c>
      <c r="J147" s="69">
        <v>13398</v>
      </c>
      <c r="K147" s="70">
        <f t="shared" si="22"/>
        <v>6.1568946604861827E-3</v>
      </c>
      <c r="L147" s="70">
        <f t="shared" si="23"/>
        <v>1.742675119469107E-2</v>
      </c>
      <c r="M147" s="69">
        <v>6322</v>
      </c>
      <c r="N147" s="70">
        <f t="shared" si="24"/>
        <v>2.9052013765930472E-3</v>
      </c>
      <c r="O147" s="67" t="s">
        <v>16</v>
      </c>
    </row>
    <row r="148" spans="1:15" s="1" customFormat="1" x14ac:dyDescent="0.3">
      <c r="A148" s="66" t="s">
        <v>167</v>
      </c>
      <c r="B148" s="67" t="s">
        <v>15</v>
      </c>
      <c r="C148" s="67" t="s">
        <v>16</v>
      </c>
      <c r="D148" s="68">
        <v>44981</v>
      </c>
      <c r="E148" s="69">
        <v>118601</v>
      </c>
      <c r="F148" s="70">
        <f t="shared" si="20"/>
        <v>0.99914840515678616</v>
      </c>
      <c r="G148" s="69">
        <v>101</v>
      </c>
      <c r="H148" s="69">
        <v>36639</v>
      </c>
      <c r="I148" s="70">
        <f t="shared" si="21"/>
        <v>0.30892656891594505</v>
      </c>
      <c r="J148" s="69">
        <v>358</v>
      </c>
      <c r="K148" s="70">
        <f t="shared" si="22"/>
        <v>3.0185242957479277E-3</v>
      </c>
      <c r="L148" s="70">
        <f t="shared" si="23"/>
        <v>9.7710090340893587E-3</v>
      </c>
      <c r="M148" s="69">
        <v>90</v>
      </c>
      <c r="N148" s="70">
        <f t="shared" si="24"/>
        <v>7.588468899924958E-4</v>
      </c>
      <c r="O148" s="67" t="s">
        <v>16</v>
      </c>
    </row>
    <row r="149" spans="1:15" s="1" customFormat="1" x14ac:dyDescent="0.3">
      <c r="A149" s="66" t="s">
        <v>167</v>
      </c>
      <c r="B149" s="67" t="s">
        <v>18</v>
      </c>
      <c r="C149" s="67" t="s">
        <v>16</v>
      </c>
      <c r="D149" s="68">
        <v>44981</v>
      </c>
      <c r="E149" s="69">
        <v>220894</v>
      </c>
      <c r="F149" s="70">
        <f t="shared" si="20"/>
        <v>0.99904026365587117</v>
      </c>
      <c r="G149" s="69">
        <v>212</v>
      </c>
      <c r="H149" s="69">
        <v>68826</v>
      </c>
      <c r="I149" s="70">
        <f t="shared" si="21"/>
        <v>0.31157930953307922</v>
      </c>
      <c r="J149" s="69">
        <v>911</v>
      </c>
      <c r="K149" s="70">
        <f t="shared" si="22"/>
        <v>4.1241500448178769E-3</v>
      </c>
      <c r="L149" s="70">
        <f t="shared" si="23"/>
        <v>1.3236276988347426E-2</v>
      </c>
      <c r="M149" s="69">
        <v>704</v>
      </c>
      <c r="N149" s="70">
        <f t="shared" si="24"/>
        <v>3.1870489918241329E-3</v>
      </c>
      <c r="O149" s="67" t="s">
        <v>16</v>
      </c>
    </row>
    <row r="150" spans="1:15" s="1" customFormat="1" x14ac:dyDescent="0.3">
      <c r="A150" s="66" t="s">
        <v>168</v>
      </c>
      <c r="B150" s="67" t="s">
        <v>15</v>
      </c>
      <c r="C150" s="67" t="s">
        <v>16</v>
      </c>
      <c r="D150" s="68">
        <v>44981</v>
      </c>
      <c r="E150" s="69">
        <v>2139489</v>
      </c>
      <c r="F150" s="70">
        <f t="shared" si="20"/>
        <v>0.99804719725130631</v>
      </c>
      <c r="G150" s="69">
        <v>4178</v>
      </c>
      <c r="H150" s="69">
        <v>928128</v>
      </c>
      <c r="I150" s="70">
        <f t="shared" si="21"/>
        <v>0.43380825982278948</v>
      </c>
      <c r="J150" s="69">
        <v>7644</v>
      </c>
      <c r="K150" s="70">
        <f t="shared" si="22"/>
        <v>3.5728157517986772E-3</v>
      </c>
      <c r="L150" s="70">
        <f t="shared" si="23"/>
        <v>8.2359329747621023E-3</v>
      </c>
      <c r="M150" s="69">
        <v>2968</v>
      </c>
      <c r="N150" s="70">
        <f t="shared" si="24"/>
        <v>1.3872471417240284E-3</v>
      </c>
      <c r="O150" s="67" t="s">
        <v>16</v>
      </c>
    </row>
    <row r="151" spans="1:15" s="1" customFormat="1" x14ac:dyDescent="0.3">
      <c r="A151" s="66" t="s">
        <v>168</v>
      </c>
      <c r="B151" s="67" t="s">
        <v>18</v>
      </c>
      <c r="C151" s="67" t="s">
        <v>16</v>
      </c>
      <c r="D151" s="68">
        <v>44981</v>
      </c>
      <c r="E151" s="69">
        <v>2394533</v>
      </c>
      <c r="F151" s="70">
        <f t="shared" si="20"/>
        <v>0.99832952813763687</v>
      </c>
      <c r="G151" s="69">
        <v>4000</v>
      </c>
      <c r="H151" s="69">
        <v>866571</v>
      </c>
      <c r="I151" s="70">
        <f t="shared" si="21"/>
        <v>0.36189561805997245</v>
      </c>
      <c r="J151" s="69">
        <v>9483</v>
      </c>
      <c r="K151" s="70">
        <f t="shared" si="22"/>
        <v>3.9602711676974172E-3</v>
      </c>
      <c r="L151" s="70">
        <f t="shared" si="23"/>
        <v>1.0943131030232953E-2</v>
      </c>
      <c r="M151" s="69">
        <v>6910</v>
      </c>
      <c r="N151" s="70">
        <f t="shared" si="24"/>
        <v>2.8857401422323265E-3</v>
      </c>
      <c r="O151" s="67" t="s">
        <v>16</v>
      </c>
    </row>
    <row r="152" spans="1:15" s="1" customFormat="1" x14ac:dyDescent="0.3">
      <c r="A152" s="66" t="s">
        <v>29</v>
      </c>
      <c r="B152" s="67" t="s">
        <v>15</v>
      </c>
      <c r="C152" s="67" t="s">
        <v>16</v>
      </c>
      <c r="D152" s="68">
        <v>44985</v>
      </c>
      <c r="E152" s="69">
        <v>22912</v>
      </c>
      <c r="F152" s="70">
        <f t="shared" si="20"/>
        <v>0.99903980446927376</v>
      </c>
      <c r="G152" s="69">
        <v>22</v>
      </c>
      <c r="H152" s="69">
        <v>8082</v>
      </c>
      <c r="I152" s="70">
        <f t="shared" si="21"/>
        <v>0.35274092178770949</v>
      </c>
      <c r="J152" s="69">
        <v>227</v>
      </c>
      <c r="K152" s="70">
        <f t="shared" si="22"/>
        <v>9.9074720670391057E-3</v>
      </c>
      <c r="L152" s="70">
        <f t="shared" si="23"/>
        <v>2.8087107151695125E-2</v>
      </c>
      <c r="M152" s="69">
        <v>16</v>
      </c>
      <c r="N152" s="70">
        <f t="shared" si="24"/>
        <v>6.9832402234636874E-4</v>
      </c>
      <c r="O152" s="67" t="s">
        <v>16</v>
      </c>
    </row>
    <row r="153" spans="1:15" s="1" customFormat="1" x14ac:dyDescent="0.3">
      <c r="A153" s="66" t="s">
        <v>29</v>
      </c>
      <c r="B153" s="67" t="s">
        <v>18</v>
      </c>
      <c r="C153" s="67" t="s">
        <v>16</v>
      </c>
      <c r="D153" s="68">
        <v>44985</v>
      </c>
      <c r="E153" s="69">
        <v>25210</v>
      </c>
      <c r="F153" s="70">
        <f t="shared" si="20"/>
        <v>0.99960333201110674</v>
      </c>
      <c r="G153" s="69">
        <v>10</v>
      </c>
      <c r="H153" s="69">
        <v>9508</v>
      </c>
      <c r="I153" s="70">
        <f t="shared" si="21"/>
        <v>0.37715192383974611</v>
      </c>
      <c r="J153" s="69">
        <v>227</v>
      </c>
      <c r="K153" s="70">
        <f t="shared" si="22"/>
        <v>9.0043633478778268E-3</v>
      </c>
      <c r="L153" s="70">
        <f t="shared" si="23"/>
        <v>2.3874631888935634E-2</v>
      </c>
      <c r="M153" s="69">
        <v>40</v>
      </c>
      <c r="N153" s="70">
        <f t="shared" si="24"/>
        <v>1.5866719555731853E-3</v>
      </c>
      <c r="O153" s="67" t="s">
        <v>16</v>
      </c>
    </row>
    <row r="154" spans="1:15" s="1" customFormat="1" x14ac:dyDescent="0.3">
      <c r="A154" s="66" t="s">
        <v>17</v>
      </c>
      <c r="B154" s="67" t="s">
        <v>15</v>
      </c>
      <c r="C154" s="67" t="s">
        <v>16</v>
      </c>
      <c r="D154" s="68">
        <v>44985</v>
      </c>
      <c r="E154" s="69">
        <v>215653</v>
      </c>
      <c r="F154" s="70">
        <f t="shared" si="20"/>
        <v>0.99825645829179288</v>
      </c>
      <c r="G154" s="69">
        <v>376</v>
      </c>
      <c r="H154" s="69">
        <v>79666</v>
      </c>
      <c r="I154" s="70">
        <f t="shared" si="21"/>
        <v>0.36941753650540454</v>
      </c>
      <c r="J154" s="69">
        <v>2298</v>
      </c>
      <c r="K154" s="70">
        <f t="shared" si="22"/>
        <v>1.0656007567712946E-2</v>
      </c>
      <c r="L154" s="70">
        <f t="shared" si="23"/>
        <v>2.8845429668867523E-2</v>
      </c>
      <c r="M154" s="69">
        <v>113</v>
      </c>
      <c r="N154" s="70">
        <f t="shared" si="24"/>
        <v>5.2398992826438765E-4</v>
      </c>
      <c r="O154" s="67" t="s">
        <v>16</v>
      </c>
    </row>
    <row r="155" spans="1:15" s="1" customFormat="1" x14ac:dyDescent="0.3">
      <c r="A155" s="66" t="s">
        <v>17</v>
      </c>
      <c r="B155" s="67" t="s">
        <v>18</v>
      </c>
      <c r="C155" s="67" t="s">
        <v>16</v>
      </c>
      <c r="D155" s="68">
        <v>44985</v>
      </c>
      <c r="E155" s="69">
        <v>429428</v>
      </c>
      <c r="F155" s="70">
        <f t="shared" si="20"/>
        <v>0.99867731028251538</v>
      </c>
      <c r="G155" s="69">
        <v>568</v>
      </c>
      <c r="H155" s="69">
        <v>172694</v>
      </c>
      <c r="I155" s="70">
        <f t="shared" si="21"/>
        <v>0.40214890505509654</v>
      </c>
      <c r="J155" s="69">
        <v>2929</v>
      </c>
      <c r="K155" s="70">
        <f t="shared" si="22"/>
        <v>6.820701025550267E-3</v>
      </c>
      <c r="L155" s="70">
        <f t="shared" si="23"/>
        <v>1.6960635575063408E-2</v>
      </c>
      <c r="M155" s="69">
        <v>423</v>
      </c>
      <c r="N155" s="70">
        <f t="shared" si="24"/>
        <v>9.8503125087325461E-4</v>
      </c>
      <c r="O155" s="67" t="s">
        <v>16</v>
      </c>
    </row>
    <row r="156" spans="1:15" s="1" customFormat="1" x14ac:dyDescent="0.3">
      <c r="A156" s="66" t="s">
        <v>198</v>
      </c>
      <c r="B156" s="67" t="s">
        <v>18</v>
      </c>
      <c r="C156" s="67" t="s">
        <v>16</v>
      </c>
      <c r="D156" s="68">
        <v>44986</v>
      </c>
      <c r="E156" s="69">
        <v>71370</v>
      </c>
      <c r="F156" s="70">
        <f t="shared" si="20"/>
        <v>0.9990332072299285</v>
      </c>
      <c r="G156" s="69">
        <v>69</v>
      </c>
      <c r="H156" s="69">
        <v>22108</v>
      </c>
      <c r="I156" s="70">
        <f t="shared" si="21"/>
        <v>0.30976600812666388</v>
      </c>
      <c r="J156" s="69">
        <v>486</v>
      </c>
      <c r="K156" s="70">
        <f t="shared" si="22"/>
        <v>6.8095838587641866E-3</v>
      </c>
      <c r="L156" s="70">
        <f t="shared" si="23"/>
        <v>2.1982992581870815E-2</v>
      </c>
      <c r="M156" s="69">
        <v>375</v>
      </c>
      <c r="N156" s="70">
        <f t="shared" si="24"/>
        <v>5.254308532997058E-3</v>
      </c>
      <c r="O156" s="67" t="s">
        <v>16</v>
      </c>
    </row>
    <row r="157" spans="1:15" s="1" customFormat="1" x14ac:dyDescent="0.3">
      <c r="A157" s="66" t="s">
        <v>198</v>
      </c>
      <c r="B157" s="67" t="s">
        <v>15</v>
      </c>
      <c r="C157" s="67" t="s">
        <v>16</v>
      </c>
      <c r="D157" s="68">
        <v>44986</v>
      </c>
      <c r="E157" s="69">
        <v>63946</v>
      </c>
      <c r="F157" s="70">
        <f t="shared" si="20"/>
        <v>0.99923372845838676</v>
      </c>
      <c r="G157" s="69">
        <v>49</v>
      </c>
      <c r="H157" s="69">
        <v>20799</v>
      </c>
      <c r="I157" s="70">
        <f t="shared" si="21"/>
        <v>0.32525881212272856</v>
      </c>
      <c r="J157" s="69">
        <v>341</v>
      </c>
      <c r="K157" s="70">
        <f t="shared" si="22"/>
        <v>5.3326244018390518E-3</v>
      </c>
      <c r="L157" s="70">
        <f t="shared" si="23"/>
        <v>1.6395018991297659E-2</v>
      </c>
      <c r="M157" s="69">
        <v>55</v>
      </c>
      <c r="N157" s="70">
        <f t="shared" si="24"/>
        <v>8.6010070997404064E-4</v>
      </c>
      <c r="O157" s="67" t="s">
        <v>16</v>
      </c>
    </row>
    <row r="158" spans="1:15" s="1" customFormat="1" x14ac:dyDescent="0.3">
      <c r="A158" s="66" t="s">
        <v>199</v>
      </c>
      <c r="B158" s="67" t="s">
        <v>18</v>
      </c>
      <c r="C158" s="67" t="s">
        <v>16</v>
      </c>
      <c r="D158" s="68">
        <v>44986</v>
      </c>
      <c r="E158" s="69">
        <v>769671</v>
      </c>
      <c r="F158" s="70">
        <f t="shared" si="20"/>
        <v>0.9982875800179557</v>
      </c>
      <c r="G158" s="69">
        <v>1318</v>
      </c>
      <c r="H158" s="69">
        <v>303299</v>
      </c>
      <c r="I158" s="70">
        <f t="shared" si="21"/>
        <v>0.39406317764343468</v>
      </c>
      <c r="J158" s="69">
        <v>4714</v>
      </c>
      <c r="K158" s="70">
        <f t="shared" si="22"/>
        <v>6.1246948371447025E-3</v>
      </c>
      <c r="L158" s="70">
        <f t="shared" si="23"/>
        <v>1.5542418537482814E-2</v>
      </c>
      <c r="M158" s="69">
        <v>3637</v>
      </c>
      <c r="N158" s="70">
        <f t="shared" si="24"/>
        <v>4.7253956560660334E-3</v>
      </c>
      <c r="O158" s="67" t="s">
        <v>16</v>
      </c>
    </row>
    <row r="159" spans="1:15" s="1" customFormat="1" x14ac:dyDescent="0.3">
      <c r="A159" s="66" t="s">
        <v>199</v>
      </c>
      <c r="B159" s="67" t="s">
        <v>15</v>
      </c>
      <c r="C159" s="67" t="s">
        <v>16</v>
      </c>
      <c r="D159" s="68">
        <v>44986</v>
      </c>
      <c r="E159" s="69">
        <v>1202155</v>
      </c>
      <c r="F159" s="70">
        <f t="shared" si="20"/>
        <v>0.99820073118691022</v>
      </c>
      <c r="G159" s="69">
        <v>2163</v>
      </c>
      <c r="H159" s="69">
        <v>490884</v>
      </c>
      <c r="I159" s="70">
        <f t="shared" si="21"/>
        <v>0.40833669535126504</v>
      </c>
      <c r="J159" s="69">
        <v>4992</v>
      </c>
      <c r="K159" s="70">
        <f t="shared" si="22"/>
        <v>4.1525427253557151E-3</v>
      </c>
      <c r="L159" s="70">
        <f t="shared" si="23"/>
        <v>1.0169408658664777E-2</v>
      </c>
      <c r="M159" s="69">
        <v>1638</v>
      </c>
      <c r="N159" s="70">
        <f t="shared" si="24"/>
        <v>1.362553081757344E-3</v>
      </c>
      <c r="O159" s="67" t="s">
        <v>16</v>
      </c>
    </row>
    <row r="160" spans="1:15" s="1" customFormat="1" x14ac:dyDescent="0.3">
      <c r="A160" s="66" t="s">
        <v>173</v>
      </c>
      <c r="B160" s="67" t="s">
        <v>15</v>
      </c>
      <c r="C160" s="67" t="s">
        <v>16</v>
      </c>
      <c r="D160" s="68">
        <v>44986</v>
      </c>
      <c r="E160" s="69">
        <v>118523</v>
      </c>
      <c r="F160" s="70">
        <f t="shared" si="20"/>
        <v>0.99911409599824508</v>
      </c>
      <c r="G160" s="69">
        <v>105</v>
      </c>
      <c r="H160" s="69">
        <v>37715</v>
      </c>
      <c r="I160" s="70">
        <f t="shared" si="21"/>
        <v>0.31820828024940306</v>
      </c>
      <c r="J160" s="69">
        <v>472</v>
      </c>
      <c r="K160" s="70">
        <f t="shared" si="22"/>
        <v>3.9823494174126544E-3</v>
      </c>
      <c r="L160" s="70">
        <f t="shared" si="23"/>
        <v>1.2514914490255866E-2</v>
      </c>
      <c r="M160" s="69">
        <v>79</v>
      </c>
      <c r="N160" s="70">
        <f t="shared" si="24"/>
        <v>6.6653729655847388E-4</v>
      </c>
      <c r="O160" s="67" t="s">
        <v>16</v>
      </c>
    </row>
    <row r="161" spans="1:15" s="1" customFormat="1" x14ac:dyDescent="0.3">
      <c r="A161" s="66" t="s">
        <v>173</v>
      </c>
      <c r="B161" s="67" t="s">
        <v>18</v>
      </c>
      <c r="C161" s="67" t="s">
        <v>16</v>
      </c>
      <c r="D161" s="68">
        <v>44986</v>
      </c>
      <c r="E161" s="69">
        <v>219962</v>
      </c>
      <c r="F161" s="70">
        <f t="shared" si="20"/>
        <v>0.9989316336458115</v>
      </c>
      <c r="G161" s="69">
        <v>235</v>
      </c>
      <c r="H161" s="69">
        <v>70731</v>
      </c>
      <c r="I161" s="70">
        <f t="shared" si="21"/>
        <v>0.32156008765150346</v>
      </c>
      <c r="J161" s="69">
        <v>1262</v>
      </c>
      <c r="K161" s="70">
        <f t="shared" si="22"/>
        <v>5.7373546339822331E-3</v>
      </c>
      <c r="L161" s="70">
        <f t="shared" si="23"/>
        <v>1.784224738799112E-2</v>
      </c>
      <c r="M161" s="69">
        <v>902</v>
      </c>
      <c r="N161" s="70">
        <f t="shared" si="24"/>
        <v>4.100708304161628E-3</v>
      </c>
      <c r="O161" s="67" t="s">
        <v>16</v>
      </c>
    </row>
    <row r="162" spans="1:15" s="1" customFormat="1" x14ac:dyDescent="0.3">
      <c r="A162" s="66" t="s">
        <v>174</v>
      </c>
      <c r="B162" s="67" t="s">
        <v>15</v>
      </c>
      <c r="C162" s="67" t="s">
        <v>16</v>
      </c>
      <c r="D162" s="68">
        <v>44986</v>
      </c>
      <c r="E162" s="69">
        <v>2144865</v>
      </c>
      <c r="F162" s="70">
        <f t="shared" si="20"/>
        <v>0.99793600063407251</v>
      </c>
      <c r="G162" s="69">
        <v>4427</v>
      </c>
      <c r="H162" s="69">
        <v>809456</v>
      </c>
      <c r="I162" s="70">
        <f t="shared" si="21"/>
        <v>0.37739251654533035</v>
      </c>
      <c r="J162" s="69">
        <v>10070</v>
      </c>
      <c r="K162" s="70">
        <f t="shared" si="22"/>
        <v>4.6949341800066671E-3</v>
      </c>
      <c r="L162" s="70">
        <f t="shared" si="23"/>
        <v>1.244045383566247E-2</v>
      </c>
      <c r="M162" s="69">
        <v>2293</v>
      </c>
      <c r="N162" s="70">
        <f t="shared" si="24"/>
        <v>1.0690649528058876E-3</v>
      </c>
      <c r="O162" s="67" t="s">
        <v>16</v>
      </c>
    </row>
    <row r="163" spans="1:15" s="1" customFormat="1" x14ac:dyDescent="0.3">
      <c r="A163" s="66" t="s">
        <v>174</v>
      </c>
      <c r="B163" s="67" t="s">
        <v>18</v>
      </c>
      <c r="C163" s="67" t="s">
        <v>16</v>
      </c>
      <c r="D163" s="68">
        <v>44986</v>
      </c>
      <c r="E163" s="69">
        <v>2390275</v>
      </c>
      <c r="F163" s="70">
        <f t="shared" si="20"/>
        <v>0.99822823733670807</v>
      </c>
      <c r="G163" s="69">
        <v>4235</v>
      </c>
      <c r="H163" s="69">
        <v>889572</v>
      </c>
      <c r="I163" s="70">
        <f t="shared" si="21"/>
        <v>0.37216303563397518</v>
      </c>
      <c r="J163" s="69">
        <v>13094</v>
      </c>
      <c r="K163" s="70">
        <f t="shared" si="22"/>
        <v>5.4780307705180366E-3</v>
      </c>
      <c r="L163" s="70">
        <f t="shared" si="23"/>
        <v>1.4719438111811074E-2</v>
      </c>
      <c r="M163" s="69">
        <v>7507</v>
      </c>
      <c r="N163" s="70">
        <f t="shared" si="24"/>
        <v>3.1406428130654421E-3</v>
      </c>
      <c r="O163" s="67" t="s">
        <v>16</v>
      </c>
    </row>
    <row r="164" spans="1:15" s="1" customFormat="1" x14ac:dyDescent="0.3">
      <c r="A164" s="66" t="s">
        <v>178</v>
      </c>
      <c r="B164" s="67" t="s">
        <v>18</v>
      </c>
      <c r="C164" s="67" t="s">
        <v>16</v>
      </c>
      <c r="D164" s="68">
        <v>44988</v>
      </c>
      <c r="E164" s="69">
        <v>16617</v>
      </c>
      <c r="F164" s="70">
        <f t="shared" si="20"/>
        <v>0.99765300595775408</v>
      </c>
      <c r="G164" s="69">
        <v>39</v>
      </c>
      <c r="H164" s="69">
        <v>8812</v>
      </c>
      <c r="I164" s="70">
        <f t="shared" si="21"/>
        <v>0.53030029487873864</v>
      </c>
      <c r="J164" s="69">
        <v>146</v>
      </c>
      <c r="K164" s="70">
        <f t="shared" si="22"/>
        <v>8.786182824817957E-3</v>
      </c>
      <c r="L164" s="70">
        <f t="shared" si="23"/>
        <v>1.6568315932818885E-2</v>
      </c>
      <c r="M164" s="69">
        <v>30</v>
      </c>
      <c r="N164" s="70">
        <f t="shared" si="24"/>
        <v>1.8053800324968406E-3</v>
      </c>
      <c r="O164" s="67" t="s">
        <v>16</v>
      </c>
    </row>
    <row r="165" spans="1:15" s="1" customFormat="1" x14ac:dyDescent="0.3">
      <c r="A165" s="66" t="s">
        <v>178</v>
      </c>
      <c r="B165" s="67" t="s">
        <v>15</v>
      </c>
      <c r="C165" s="67" t="s">
        <v>16</v>
      </c>
      <c r="D165" s="68">
        <v>44988</v>
      </c>
      <c r="E165" s="69">
        <v>61596</v>
      </c>
      <c r="F165" s="70">
        <f t="shared" si="20"/>
        <v>0.99832781349438271</v>
      </c>
      <c r="G165" s="69">
        <v>103</v>
      </c>
      <c r="H165" s="69">
        <v>30352</v>
      </c>
      <c r="I165" s="70">
        <f t="shared" si="21"/>
        <v>0.49275927008247289</v>
      </c>
      <c r="J165" s="69">
        <v>669</v>
      </c>
      <c r="K165" s="70">
        <f t="shared" si="22"/>
        <v>1.0861094876290668E-2</v>
      </c>
      <c r="L165" s="70">
        <f t="shared" si="23"/>
        <v>2.2041381128096994E-2</v>
      </c>
      <c r="M165" s="69">
        <v>33</v>
      </c>
      <c r="N165" s="70">
        <f t="shared" si="24"/>
        <v>5.3574907461523475E-4</v>
      </c>
      <c r="O165" s="67" t="s">
        <v>16</v>
      </c>
    </row>
    <row r="166" spans="1:15" s="1" customFormat="1" x14ac:dyDescent="0.3">
      <c r="A166" s="66" t="s">
        <v>28</v>
      </c>
      <c r="B166" s="67" t="s">
        <v>15</v>
      </c>
      <c r="C166" s="67" t="s">
        <v>16</v>
      </c>
      <c r="D166" s="68">
        <v>44988</v>
      </c>
      <c r="E166" s="69">
        <v>96915</v>
      </c>
      <c r="F166" s="70">
        <f t="shared" si="20"/>
        <v>0.99923644430686687</v>
      </c>
      <c r="G166" s="69">
        <v>74</v>
      </c>
      <c r="H166" s="69">
        <v>31082</v>
      </c>
      <c r="I166" s="70">
        <f t="shared" si="21"/>
        <v>0.32071402775628127</v>
      </c>
      <c r="J166" s="69">
        <v>582</v>
      </c>
      <c r="K166" s="70">
        <f t="shared" si="22"/>
        <v>6.0052623432905123E-3</v>
      </c>
      <c r="L166" s="70">
        <f t="shared" si="23"/>
        <v>1.8724663792548741E-2</v>
      </c>
      <c r="M166" s="69">
        <v>58</v>
      </c>
      <c r="N166" s="70">
        <f t="shared" si="24"/>
        <v>5.9846257029355621E-4</v>
      </c>
      <c r="O166" s="67" t="s">
        <v>16</v>
      </c>
    </row>
    <row r="167" spans="1:15" s="1" customFormat="1" x14ac:dyDescent="0.3">
      <c r="A167" s="66" t="s">
        <v>28</v>
      </c>
      <c r="B167" s="67" t="s">
        <v>18</v>
      </c>
      <c r="C167" s="67" t="s">
        <v>16</v>
      </c>
      <c r="D167" s="68">
        <v>44988</v>
      </c>
      <c r="E167" s="69">
        <v>191523</v>
      </c>
      <c r="F167" s="70">
        <f t="shared" si="20"/>
        <v>0.99897140291244391</v>
      </c>
      <c r="G167" s="69">
        <v>197</v>
      </c>
      <c r="H167" s="69">
        <v>62297</v>
      </c>
      <c r="I167" s="70">
        <f t="shared" si="21"/>
        <v>0.32527163839330003</v>
      </c>
      <c r="J167" s="69">
        <v>1288</v>
      </c>
      <c r="K167" s="70">
        <f t="shared" si="22"/>
        <v>6.7250408567117266E-3</v>
      </c>
      <c r="L167" s="70">
        <f t="shared" si="23"/>
        <v>2.0675152896608182E-2</v>
      </c>
      <c r="M167" s="69">
        <v>580</v>
      </c>
      <c r="N167" s="70">
        <f t="shared" si="24"/>
        <v>3.0283569075254669E-3</v>
      </c>
      <c r="O167" s="67" t="s">
        <v>16</v>
      </c>
    </row>
    <row r="168" spans="1:15" s="1" customFormat="1" x14ac:dyDescent="0.3">
      <c r="A168" s="66" t="s">
        <v>22</v>
      </c>
      <c r="B168" s="67" t="s">
        <v>15</v>
      </c>
      <c r="C168" s="67" t="s">
        <v>16</v>
      </c>
      <c r="D168" s="68">
        <v>44988</v>
      </c>
      <c r="E168" s="69">
        <v>1744898</v>
      </c>
      <c r="F168" s="70">
        <f t="shared" si="20"/>
        <v>0.99788010531274607</v>
      </c>
      <c r="G168" s="69">
        <v>3699</v>
      </c>
      <c r="H168" s="69">
        <v>704864</v>
      </c>
      <c r="I168" s="70">
        <f t="shared" si="21"/>
        <v>0.40395713674954065</v>
      </c>
      <c r="J168" s="69">
        <v>9825</v>
      </c>
      <c r="K168" s="70">
        <f t="shared" si="22"/>
        <v>5.6307016226736463E-3</v>
      </c>
      <c r="L168" s="70">
        <f t="shared" si="23"/>
        <v>1.3938859127434512E-2</v>
      </c>
      <c r="M168" s="69">
        <v>1713</v>
      </c>
      <c r="N168" s="70">
        <f t="shared" si="24"/>
        <v>9.8171927528142053E-4</v>
      </c>
      <c r="O168" s="67" t="s">
        <v>16</v>
      </c>
    </row>
    <row r="169" spans="1:15" s="1" customFormat="1" x14ac:dyDescent="0.3">
      <c r="A169" s="66" t="s">
        <v>22</v>
      </c>
      <c r="B169" s="67" t="s">
        <v>18</v>
      </c>
      <c r="C169" s="67" t="s">
        <v>16</v>
      </c>
      <c r="D169" s="68">
        <v>44988</v>
      </c>
      <c r="E169" s="69">
        <v>2168282</v>
      </c>
      <c r="F169" s="70">
        <f t="shared" si="20"/>
        <v>0.9982142544189363</v>
      </c>
      <c r="G169" s="69">
        <v>3872</v>
      </c>
      <c r="H169" s="69">
        <v>784145</v>
      </c>
      <c r="I169" s="70">
        <f t="shared" si="21"/>
        <v>0.3616434578159114</v>
      </c>
      <c r="J169" s="69">
        <v>11899</v>
      </c>
      <c r="K169" s="70">
        <f t="shared" si="22"/>
        <v>5.4877548215591879E-3</v>
      </c>
      <c r="L169" s="70">
        <f t="shared" si="23"/>
        <v>1.5174489412034763E-2</v>
      </c>
      <c r="M169" s="69">
        <v>4893</v>
      </c>
      <c r="N169" s="70">
        <f t="shared" si="24"/>
        <v>2.2566252913597032E-3</v>
      </c>
      <c r="O169" s="67" t="s">
        <v>16</v>
      </c>
    </row>
    <row r="170" spans="1:15" s="1" customFormat="1" x14ac:dyDescent="0.3">
      <c r="A170" s="76" t="s">
        <v>36</v>
      </c>
      <c r="B170" s="67" t="s">
        <v>15</v>
      </c>
      <c r="C170" s="67" t="s">
        <v>16</v>
      </c>
      <c r="D170" s="68">
        <v>44989</v>
      </c>
      <c r="E170" s="69">
        <v>1530</v>
      </c>
      <c r="F170" s="70">
        <f t="shared" si="20"/>
        <v>0.99803921568627452</v>
      </c>
      <c r="G170" s="69">
        <v>3</v>
      </c>
      <c r="H170" s="69">
        <v>757</v>
      </c>
      <c r="I170" s="70">
        <f t="shared" si="21"/>
        <v>0.49477124183006538</v>
      </c>
      <c r="J170" s="69">
        <v>96</v>
      </c>
      <c r="K170" s="70">
        <f t="shared" si="22"/>
        <v>6.2745098039215685E-2</v>
      </c>
      <c r="L170" s="70">
        <f t="shared" si="23"/>
        <v>0.12681638044914134</v>
      </c>
      <c r="M170" s="69">
        <v>1</v>
      </c>
      <c r="N170" s="70">
        <f t="shared" si="24"/>
        <v>6.5359477124183002E-4</v>
      </c>
      <c r="O170" s="67" t="s">
        <v>16</v>
      </c>
    </row>
    <row r="171" spans="1:15" s="1" customFormat="1" x14ac:dyDescent="0.3">
      <c r="A171" s="76" t="s">
        <v>36</v>
      </c>
      <c r="B171" s="67" t="s">
        <v>18</v>
      </c>
      <c r="C171" s="67" t="s">
        <v>16</v>
      </c>
      <c r="D171" s="68">
        <v>44989</v>
      </c>
      <c r="E171" s="69">
        <v>1633</v>
      </c>
      <c r="F171" s="70">
        <f t="shared" si="20"/>
        <v>0.99816289038579298</v>
      </c>
      <c r="G171" s="69">
        <v>3</v>
      </c>
      <c r="H171" s="69">
        <v>696</v>
      </c>
      <c r="I171" s="70">
        <f t="shared" si="21"/>
        <v>0.42620943049601961</v>
      </c>
      <c r="J171" s="69">
        <v>54</v>
      </c>
      <c r="K171" s="70">
        <f t="shared" si="22"/>
        <v>3.3067973055725661E-2</v>
      </c>
      <c r="L171" s="70">
        <f t="shared" si="23"/>
        <v>7.7586206896551727E-2</v>
      </c>
      <c r="M171" s="69">
        <v>7</v>
      </c>
      <c r="N171" s="70">
        <f t="shared" si="24"/>
        <v>4.2865890998162893E-3</v>
      </c>
      <c r="O171" s="67" t="s">
        <v>16</v>
      </c>
    </row>
    <row r="172" spans="1:15" s="1" customFormat="1" x14ac:dyDescent="0.3">
      <c r="A172" s="76" t="s">
        <v>37</v>
      </c>
      <c r="B172" s="67" t="s">
        <v>15</v>
      </c>
      <c r="C172" s="67" t="s">
        <v>16</v>
      </c>
      <c r="D172" s="68">
        <v>44989</v>
      </c>
      <c r="E172" s="69">
        <v>14781</v>
      </c>
      <c r="F172" s="70">
        <f t="shared" si="20"/>
        <v>0.99878222041810427</v>
      </c>
      <c r="G172" s="69">
        <v>18</v>
      </c>
      <c r="H172" s="69">
        <v>6425</v>
      </c>
      <c r="I172" s="70">
        <f t="shared" si="21"/>
        <v>0.43467965631554023</v>
      </c>
      <c r="J172" s="69">
        <v>651</v>
      </c>
      <c r="K172" s="70">
        <f t="shared" si="22"/>
        <v>4.4043028211893646E-2</v>
      </c>
      <c r="L172" s="70">
        <f t="shared" si="23"/>
        <v>0.10132295719844359</v>
      </c>
      <c r="M172" s="69">
        <v>12</v>
      </c>
      <c r="N172" s="70">
        <f t="shared" si="24"/>
        <v>8.1185305459711792E-4</v>
      </c>
      <c r="O172" s="67" t="s">
        <v>16</v>
      </c>
    </row>
    <row r="173" spans="1:15" s="1" customFormat="1" x14ac:dyDescent="0.3">
      <c r="A173" s="76" t="s">
        <v>37</v>
      </c>
      <c r="B173" s="67" t="s">
        <v>18</v>
      </c>
      <c r="C173" s="67" t="s">
        <v>16</v>
      </c>
      <c r="D173" s="68">
        <v>44989</v>
      </c>
      <c r="E173" s="69">
        <v>20871</v>
      </c>
      <c r="F173" s="70">
        <f t="shared" si="20"/>
        <v>0.99789181160461882</v>
      </c>
      <c r="G173" s="69">
        <v>44</v>
      </c>
      <c r="H173" s="69">
        <v>8718</v>
      </c>
      <c r="I173" s="70">
        <f t="shared" si="21"/>
        <v>0.41770878252120169</v>
      </c>
      <c r="J173" s="69">
        <v>601</v>
      </c>
      <c r="K173" s="70">
        <f t="shared" si="22"/>
        <v>2.8795936946001629E-2</v>
      </c>
      <c r="L173" s="70">
        <f t="shared" si="23"/>
        <v>6.8937829777471898E-2</v>
      </c>
      <c r="M173" s="69">
        <v>84</v>
      </c>
      <c r="N173" s="70">
        <f t="shared" si="24"/>
        <v>4.0247233002731059E-3</v>
      </c>
      <c r="O173" s="67" t="s">
        <v>16</v>
      </c>
    </row>
    <row r="174" spans="1:15" s="1" customFormat="1" x14ac:dyDescent="0.3">
      <c r="A174" s="66" t="s">
        <v>29</v>
      </c>
      <c r="B174" s="67" t="s">
        <v>15</v>
      </c>
      <c r="C174" s="67" t="s">
        <v>16</v>
      </c>
      <c r="D174" s="68">
        <v>44992</v>
      </c>
      <c r="E174" s="69">
        <v>23018</v>
      </c>
      <c r="F174" s="70">
        <f t="shared" si="20"/>
        <v>0.99878356069163265</v>
      </c>
      <c r="G174" s="69">
        <v>28</v>
      </c>
      <c r="H174" s="69">
        <v>7984</v>
      </c>
      <c r="I174" s="70">
        <f t="shared" si="21"/>
        <v>0.34685897992875142</v>
      </c>
      <c r="J174" s="69">
        <v>203</v>
      </c>
      <c r="K174" s="70">
        <f t="shared" si="22"/>
        <v>8.8191849856633937E-3</v>
      </c>
      <c r="L174" s="70">
        <f t="shared" si="23"/>
        <v>2.5425851703406815E-2</v>
      </c>
      <c r="M174" s="69">
        <v>4</v>
      </c>
      <c r="N174" s="70">
        <f t="shared" si="24"/>
        <v>1.7377704405248067E-4</v>
      </c>
      <c r="O174" s="67" t="s">
        <v>16</v>
      </c>
    </row>
    <row r="175" spans="1:15" s="1" customFormat="1" x14ac:dyDescent="0.3">
      <c r="A175" s="66" t="s">
        <v>29</v>
      </c>
      <c r="B175" s="67" t="s">
        <v>18</v>
      </c>
      <c r="C175" s="67" t="s">
        <v>16</v>
      </c>
      <c r="D175" s="68">
        <v>44992</v>
      </c>
      <c r="E175" s="69">
        <v>25390</v>
      </c>
      <c r="F175" s="70">
        <f t="shared" si="20"/>
        <v>0.99944860181173689</v>
      </c>
      <c r="G175" s="69">
        <v>14</v>
      </c>
      <c r="H175" s="69">
        <v>9551</v>
      </c>
      <c r="I175" s="70">
        <f t="shared" si="21"/>
        <v>0.37617172115005909</v>
      </c>
      <c r="J175" s="69">
        <v>201</v>
      </c>
      <c r="K175" s="70">
        <f t="shared" si="22"/>
        <v>7.9165025600630174E-3</v>
      </c>
      <c r="L175" s="70">
        <f t="shared" si="23"/>
        <v>2.1044916762642654E-2</v>
      </c>
      <c r="M175" s="69">
        <v>51</v>
      </c>
      <c r="N175" s="70">
        <f t="shared" si="24"/>
        <v>2.0086648286727058E-3</v>
      </c>
      <c r="O175" s="67" t="s">
        <v>16</v>
      </c>
    </row>
    <row r="176" spans="1:15" s="1" customFormat="1" x14ac:dyDescent="0.3">
      <c r="A176" s="66" t="s">
        <v>17</v>
      </c>
      <c r="B176" s="67" t="s">
        <v>15</v>
      </c>
      <c r="C176" s="67" t="s">
        <v>16</v>
      </c>
      <c r="D176" s="68">
        <v>44992</v>
      </c>
      <c r="E176" s="69">
        <v>216829</v>
      </c>
      <c r="F176" s="70">
        <f t="shared" si="20"/>
        <v>0.99833048162376803</v>
      </c>
      <c r="G176" s="69">
        <v>362</v>
      </c>
      <c r="H176" s="69">
        <v>96632</v>
      </c>
      <c r="I176" s="70">
        <f t="shared" si="21"/>
        <v>0.44565994401117931</v>
      </c>
      <c r="J176" s="69">
        <v>2035</v>
      </c>
      <c r="K176" s="70">
        <f t="shared" si="22"/>
        <v>9.3852759547846457E-3</v>
      </c>
      <c r="L176" s="70">
        <f t="shared" si="23"/>
        <v>2.1059276430168059E-2</v>
      </c>
      <c r="M176" s="69">
        <v>148</v>
      </c>
      <c r="N176" s="70">
        <f t="shared" si="24"/>
        <v>6.825655239843379E-4</v>
      </c>
      <c r="O176" s="67" t="s">
        <v>16</v>
      </c>
    </row>
    <row r="177" spans="1:15" s="1" customFormat="1" x14ac:dyDescent="0.3">
      <c r="A177" s="66" t="s">
        <v>17</v>
      </c>
      <c r="B177" s="67" t="s">
        <v>18</v>
      </c>
      <c r="C177" s="67" t="s">
        <v>16</v>
      </c>
      <c r="D177" s="68">
        <v>44992</v>
      </c>
      <c r="E177" s="69">
        <v>430300</v>
      </c>
      <c r="F177" s="70">
        <f t="shared" si="20"/>
        <v>0.99863815942365797</v>
      </c>
      <c r="G177" s="69">
        <v>586</v>
      </c>
      <c r="H177" s="69">
        <v>199499</v>
      </c>
      <c r="I177" s="70">
        <f t="shared" si="21"/>
        <v>0.46362770160353239</v>
      </c>
      <c r="J177" s="69">
        <v>3207</v>
      </c>
      <c r="K177" s="70">
        <f t="shared" si="22"/>
        <v>7.4529398094352779E-3</v>
      </c>
      <c r="L177" s="70">
        <f t="shared" si="23"/>
        <v>1.6075268547712018E-2</v>
      </c>
      <c r="M177" s="69">
        <v>587</v>
      </c>
      <c r="N177" s="70">
        <f t="shared" si="24"/>
        <v>1.3641645363699744E-3</v>
      </c>
      <c r="O177" s="67" t="s">
        <v>16</v>
      </c>
    </row>
    <row r="178" spans="1:15" s="1" customFormat="1" x14ac:dyDescent="0.3">
      <c r="A178" s="76" t="s">
        <v>186</v>
      </c>
      <c r="B178" s="67" t="s">
        <v>15</v>
      </c>
      <c r="C178" s="67" t="s">
        <v>16</v>
      </c>
      <c r="D178" s="68">
        <v>44993</v>
      </c>
      <c r="E178" s="69">
        <v>17532</v>
      </c>
      <c r="F178" s="70">
        <f t="shared" si="20"/>
        <v>0.99771845767738987</v>
      </c>
      <c r="G178" s="69">
        <v>40</v>
      </c>
      <c r="H178" s="69">
        <v>6130</v>
      </c>
      <c r="I178" s="70">
        <f t="shared" si="21"/>
        <v>0.34964636093999546</v>
      </c>
      <c r="J178" s="69">
        <v>34</v>
      </c>
      <c r="K178" s="70">
        <f t="shared" si="22"/>
        <v>1.9393109742185718E-3</v>
      </c>
      <c r="L178" s="70">
        <f t="shared" si="23"/>
        <v>5.5464926590538333E-3</v>
      </c>
      <c r="M178" s="69">
        <v>10</v>
      </c>
      <c r="N178" s="70">
        <f t="shared" si="24"/>
        <v>5.7038558065252115E-4</v>
      </c>
      <c r="O178" s="67" t="s">
        <v>16</v>
      </c>
    </row>
    <row r="179" spans="1:15" s="1" customFormat="1" x14ac:dyDescent="0.3">
      <c r="A179" s="76" t="s">
        <v>186</v>
      </c>
      <c r="B179" s="67" t="s">
        <v>18</v>
      </c>
      <c r="C179" s="67" t="s">
        <v>16</v>
      </c>
      <c r="D179" s="68">
        <v>44993</v>
      </c>
      <c r="E179" s="69">
        <v>7484</v>
      </c>
      <c r="F179" s="70">
        <f t="shared" si="20"/>
        <v>0.99826296098343137</v>
      </c>
      <c r="G179" s="69">
        <v>13</v>
      </c>
      <c r="H179" s="69">
        <v>2856</v>
      </c>
      <c r="I179" s="70">
        <f t="shared" si="21"/>
        <v>0.38161411010155</v>
      </c>
      <c r="J179" s="69">
        <v>25</v>
      </c>
      <c r="K179" s="70">
        <f t="shared" si="22"/>
        <v>3.3404596472474614E-3</v>
      </c>
      <c r="L179" s="70">
        <f t="shared" si="23"/>
        <v>8.7535014005602242E-3</v>
      </c>
      <c r="M179" s="69">
        <v>17</v>
      </c>
      <c r="N179" s="70">
        <f t="shared" si="24"/>
        <v>2.2715125601282735E-3</v>
      </c>
      <c r="O179" s="67" t="s">
        <v>16</v>
      </c>
    </row>
    <row r="180" spans="1:15" s="1" customFormat="1" x14ac:dyDescent="0.3">
      <c r="A180" s="76" t="s">
        <v>187</v>
      </c>
      <c r="B180" s="67" t="s">
        <v>15</v>
      </c>
      <c r="C180" s="67" t="s">
        <v>16</v>
      </c>
      <c r="D180" s="68">
        <v>44993</v>
      </c>
      <c r="E180" s="69">
        <v>258592</v>
      </c>
      <c r="F180" s="70">
        <f t="shared" si="20"/>
        <v>0.99833328177205793</v>
      </c>
      <c r="G180" s="69">
        <v>431</v>
      </c>
      <c r="H180" s="69">
        <v>102677</v>
      </c>
      <c r="I180" s="70">
        <f t="shared" si="21"/>
        <v>0.39706178072020787</v>
      </c>
      <c r="J180" s="69">
        <v>900</v>
      </c>
      <c r="K180" s="70">
        <f t="shared" si="22"/>
        <v>3.4803860908303426E-3</v>
      </c>
      <c r="L180" s="70">
        <f t="shared" si="23"/>
        <v>8.7653515392931234E-3</v>
      </c>
      <c r="M180" s="69">
        <v>133</v>
      </c>
      <c r="N180" s="70">
        <f t="shared" si="24"/>
        <v>5.143237223115951E-4</v>
      </c>
      <c r="O180" s="67" t="s">
        <v>16</v>
      </c>
    </row>
    <row r="181" spans="1:15" s="1" customFormat="1" x14ac:dyDescent="0.3">
      <c r="A181" s="76" t="s">
        <v>187</v>
      </c>
      <c r="B181" s="67" t="s">
        <v>18</v>
      </c>
      <c r="C181" s="67" t="s">
        <v>16</v>
      </c>
      <c r="D181" s="68">
        <v>44993</v>
      </c>
      <c r="E181" s="69">
        <v>130521</v>
      </c>
      <c r="F181" s="70">
        <f t="shared" si="20"/>
        <v>0.99807693781077378</v>
      </c>
      <c r="G181" s="69">
        <v>251</v>
      </c>
      <c r="H181" s="69">
        <v>50143</v>
      </c>
      <c r="I181" s="70">
        <f t="shared" si="21"/>
        <v>0.38417572651144261</v>
      </c>
      <c r="J181" s="69">
        <v>553</v>
      </c>
      <c r="K181" s="70">
        <f t="shared" si="22"/>
        <v>4.2368660981757728E-3</v>
      </c>
      <c r="L181" s="70">
        <f t="shared" si="23"/>
        <v>1.1028458608380034E-2</v>
      </c>
      <c r="M181" s="69">
        <v>217</v>
      </c>
      <c r="N181" s="70">
        <f t="shared" si="24"/>
        <v>1.6625677094107461E-3</v>
      </c>
      <c r="O181" s="67" t="s">
        <v>16</v>
      </c>
    </row>
    <row r="182" spans="1:15" s="1" customFormat="1" x14ac:dyDescent="0.3">
      <c r="A182" s="76" t="s">
        <v>188</v>
      </c>
      <c r="B182" s="67" t="s">
        <v>18</v>
      </c>
      <c r="C182" s="67" t="s">
        <v>16</v>
      </c>
      <c r="D182" s="68">
        <v>44994</v>
      </c>
      <c r="E182" s="69">
        <v>6591</v>
      </c>
      <c r="F182" s="70">
        <f t="shared" si="20"/>
        <v>0.99878622363829461</v>
      </c>
      <c r="G182" s="69">
        <v>8</v>
      </c>
      <c r="H182" s="69">
        <v>3132</v>
      </c>
      <c r="I182" s="70">
        <f t="shared" si="21"/>
        <v>0.47519344560764681</v>
      </c>
      <c r="J182" s="69">
        <v>78</v>
      </c>
      <c r="K182" s="70">
        <f t="shared" si="22"/>
        <v>1.1834319526627219E-2</v>
      </c>
      <c r="L182" s="70">
        <f t="shared" si="23"/>
        <v>2.4904214559386972E-2</v>
      </c>
      <c r="M182" s="69">
        <v>16</v>
      </c>
      <c r="N182" s="70">
        <f t="shared" si="24"/>
        <v>2.4275527234107115E-3</v>
      </c>
      <c r="O182" s="67" t="s">
        <v>16</v>
      </c>
    </row>
    <row r="183" spans="1:15" s="1" customFormat="1" x14ac:dyDescent="0.3">
      <c r="A183" s="76" t="s">
        <v>188</v>
      </c>
      <c r="B183" s="67" t="s">
        <v>15</v>
      </c>
      <c r="C183" s="67" t="s">
        <v>16</v>
      </c>
      <c r="D183" s="68">
        <v>44994</v>
      </c>
      <c r="E183" s="69">
        <v>42354</v>
      </c>
      <c r="F183" s="70">
        <f t="shared" si="20"/>
        <v>0.99858336874911457</v>
      </c>
      <c r="G183" s="69">
        <v>60</v>
      </c>
      <c r="H183" s="69">
        <v>16283</v>
      </c>
      <c r="I183" s="70">
        <f t="shared" si="21"/>
        <v>0.38445011096944798</v>
      </c>
      <c r="J183" s="69">
        <v>226</v>
      </c>
      <c r="K183" s="70">
        <f t="shared" si="22"/>
        <v>5.3359777116683193E-3</v>
      </c>
      <c r="L183" s="70">
        <f t="shared" si="23"/>
        <v>1.3879506233495056E-2</v>
      </c>
      <c r="M183" s="69">
        <v>20</v>
      </c>
      <c r="N183" s="70">
        <f t="shared" si="24"/>
        <v>4.7221041696179818E-4</v>
      </c>
      <c r="O183" s="67" t="s">
        <v>16</v>
      </c>
    </row>
    <row r="184" spans="1:15" s="1" customFormat="1" x14ac:dyDescent="0.3">
      <c r="A184" s="76" t="s">
        <v>189</v>
      </c>
      <c r="B184" s="67" t="s">
        <v>15</v>
      </c>
      <c r="C184" s="67" t="s">
        <v>16</v>
      </c>
      <c r="D184" s="68">
        <v>44995</v>
      </c>
      <c r="E184" s="69">
        <v>118687</v>
      </c>
      <c r="F184" s="70">
        <f t="shared" si="20"/>
        <v>0.99900578833402143</v>
      </c>
      <c r="G184" s="69">
        <v>118</v>
      </c>
      <c r="H184" s="69">
        <v>37901</v>
      </c>
      <c r="I184" s="70">
        <f t="shared" si="21"/>
        <v>0.31933573179876484</v>
      </c>
      <c r="J184" s="69">
        <v>736</v>
      </c>
      <c r="K184" s="70">
        <f t="shared" si="22"/>
        <v>6.2011846284765809E-3</v>
      </c>
      <c r="L184" s="70">
        <f t="shared" si="23"/>
        <v>1.9419012690958023E-2</v>
      </c>
      <c r="M184" s="69">
        <v>54</v>
      </c>
      <c r="N184" s="70">
        <f t="shared" si="24"/>
        <v>4.5497822002409701E-4</v>
      </c>
      <c r="O184" s="67" t="s">
        <v>16</v>
      </c>
    </row>
    <row r="185" spans="1:15" s="1" customFormat="1" x14ac:dyDescent="0.3">
      <c r="A185" s="76" t="s">
        <v>189</v>
      </c>
      <c r="B185" s="67" t="s">
        <v>18</v>
      </c>
      <c r="C185" s="67" t="s">
        <v>16</v>
      </c>
      <c r="D185" s="68">
        <v>44995</v>
      </c>
      <c r="E185" s="69">
        <v>217537</v>
      </c>
      <c r="F185" s="70">
        <f t="shared" si="20"/>
        <v>0.99891512708182972</v>
      </c>
      <c r="G185" s="69">
        <v>236</v>
      </c>
      <c r="H185" s="69">
        <v>69389</v>
      </c>
      <c r="I185" s="70">
        <f t="shared" si="21"/>
        <v>0.31897562253777517</v>
      </c>
      <c r="J185" s="69">
        <v>1453</v>
      </c>
      <c r="K185" s="70">
        <f t="shared" si="22"/>
        <v>6.679323517378653E-3</v>
      </c>
      <c r="L185" s="70">
        <f t="shared" si="23"/>
        <v>2.0939918430875212E-2</v>
      </c>
      <c r="M185" s="69">
        <v>538</v>
      </c>
      <c r="N185" s="70">
        <f t="shared" si="24"/>
        <v>2.4731424998965692E-3</v>
      </c>
      <c r="O185" s="67" t="s">
        <v>16</v>
      </c>
    </row>
    <row r="186" spans="1:15" s="1" customFormat="1" x14ac:dyDescent="0.3">
      <c r="A186" s="76" t="s">
        <v>190</v>
      </c>
      <c r="B186" s="67" t="s">
        <v>18</v>
      </c>
      <c r="C186" s="67" t="s">
        <v>16</v>
      </c>
      <c r="D186" s="68">
        <v>44995</v>
      </c>
      <c r="E186" s="69">
        <v>2386367</v>
      </c>
      <c r="F186" s="70">
        <f t="shared" si="20"/>
        <v>0.99816708829781842</v>
      </c>
      <c r="G186" s="69">
        <v>4374</v>
      </c>
      <c r="H186" s="69">
        <v>831794</v>
      </c>
      <c r="I186" s="70">
        <f t="shared" si="21"/>
        <v>0.34856080393334304</v>
      </c>
      <c r="J186" s="69">
        <v>12874</v>
      </c>
      <c r="K186" s="70">
        <f t="shared" si="22"/>
        <v>5.3948114435038701E-3</v>
      </c>
      <c r="L186" s="70">
        <f t="shared" si="23"/>
        <v>1.5477389834502293E-2</v>
      </c>
      <c r="M186" s="69">
        <v>4356</v>
      </c>
      <c r="N186" s="70">
        <f t="shared" si="24"/>
        <v>1.8253688556705654E-3</v>
      </c>
      <c r="O186" s="67" t="s">
        <v>16</v>
      </c>
    </row>
    <row r="187" spans="1:15" s="1" customFormat="1" x14ac:dyDescent="0.3">
      <c r="A187" s="76" t="s">
        <v>190</v>
      </c>
      <c r="B187" s="67" t="s">
        <v>15</v>
      </c>
      <c r="C187" s="67" t="s">
        <v>16</v>
      </c>
      <c r="D187" s="68">
        <v>44995</v>
      </c>
      <c r="E187" s="69">
        <v>2155184</v>
      </c>
      <c r="F187" s="70">
        <f t="shared" si="20"/>
        <v>0.9980099146986986</v>
      </c>
      <c r="G187" s="69">
        <v>4289</v>
      </c>
      <c r="H187" s="69">
        <v>774585</v>
      </c>
      <c r="I187" s="70">
        <f t="shared" si="21"/>
        <v>0.3594055078359899</v>
      </c>
      <c r="J187" s="69">
        <v>11683</v>
      </c>
      <c r="K187" s="70">
        <f t="shared" si="22"/>
        <v>5.4208828573337588E-3</v>
      </c>
      <c r="L187" s="70">
        <f t="shared" si="23"/>
        <v>1.5082915367583933E-2</v>
      </c>
      <c r="M187" s="69">
        <v>1538</v>
      </c>
      <c r="N187" s="70">
        <f t="shared" si="24"/>
        <v>7.1362816353499284E-4</v>
      </c>
      <c r="O187" s="67" t="s">
        <v>16</v>
      </c>
    </row>
    <row r="188" spans="1:15" s="1" customFormat="1" x14ac:dyDescent="0.3">
      <c r="A188" s="66" t="s">
        <v>28</v>
      </c>
      <c r="B188" s="67" t="s">
        <v>15</v>
      </c>
      <c r="C188" s="67" t="s">
        <v>16</v>
      </c>
      <c r="D188" s="68">
        <v>44995</v>
      </c>
      <c r="E188" s="69">
        <v>96975</v>
      </c>
      <c r="F188" s="70">
        <f t="shared" si="20"/>
        <v>0.99922660479505032</v>
      </c>
      <c r="G188" s="69">
        <v>75</v>
      </c>
      <c r="H188" s="69">
        <v>29387</v>
      </c>
      <c r="I188" s="70">
        <f t="shared" si="21"/>
        <v>0.30303686517143591</v>
      </c>
      <c r="J188" s="69">
        <v>606</v>
      </c>
      <c r="K188" s="70">
        <f t="shared" si="22"/>
        <v>6.2490332559938131E-3</v>
      </c>
      <c r="L188" s="70">
        <f t="shared" si="23"/>
        <v>2.062136318780413E-2</v>
      </c>
      <c r="M188" s="69">
        <v>58</v>
      </c>
      <c r="N188" s="70">
        <f t="shared" si="24"/>
        <v>5.9809229182779071E-4</v>
      </c>
      <c r="O188" s="67" t="s">
        <v>16</v>
      </c>
    </row>
    <row r="189" spans="1:15" s="1" customFormat="1" x14ac:dyDescent="0.3">
      <c r="A189" s="66" t="s">
        <v>28</v>
      </c>
      <c r="B189" s="67" t="s">
        <v>18</v>
      </c>
      <c r="C189" s="67" t="s">
        <v>16</v>
      </c>
      <c r="D189" s="68">
        <v>44995</v>
      </c>
      <c r="E189" s="69">
        <v>190580</v>
      </c>
      <c r="F189" s="70">
        <f t="shared" si="20"/>
        <v>0.99880365200965471</v>
      </c>
      <c r="G189" s="69">
        <v>228</v>
      </c>
      <c r="H189" s="69">
        <v>58766</v>
      </c>
      <c r="I189" s="70">
        <f t="shared" si="21"/>
        <v>0.3083534473711827</v>
      </c>
      <c r="J189" s="69">
        <v>1312</v>
      </c>
      <c r="K189" s="70">
        <f t="shared" si="22"/>
        <v>6.8842480847937874E-3</v>
      </c>
      <c r="L189" s="70">
        <f t="shared" si="23"/>
        <v>2.2325834666303643E-2</v>
      </c>
      <c r="M189" s="69">
        <v>661</v>
      </c>
      <c r="N189" s="70">
        <f t="shared" si="24"/>
        <v>3.468359743939553E-3</v>
      </c>
      <c r="O189" s="67" t="s">
        <v>16</v>
      </c>
    </row>
    <row r="190" spans="1:15" s="1" customFormat="1" x14ac:dyDescent="0.3">
      <c r="A190" s="66" t="s">
        <v>22</v>
      </c>
      <c r="B190" s="67" t="s">
        <v>15</v>
      </c>
      <c r="C190" s="67" t="s">
        <v>16</v>
      </c>
      <c r="D190" s="68">
        <v>44995</v>
      </c>
      <c r="E190" s="69">
        <v>1752004</v>
      </c>
      <c r="F190" s="70">
        <f t="shared" si="20"/>
        <v>0.99789555274987962</v>
      </c>
      <c r="G190" s="69">
        <v>3687</v>
      </c>
      <c r="H190" s="69">
        <v>707834</v>
      </c>
      <c r="I190" s="70">
        <f t="shared" si="21"/>
        <v>0.40401391777644341</v>
      </c>
      <c r="J190" s="69">
        <v>12905</v>
      </c>
      <c r="K190" s="70">
        <f t="shared" si="22"/>
        <v>7.3658507628978015E-3</v>
      </c>
      <c r="L190" s="70">
        <f t="shared" si="23"/>
        <v>1.8231675788391064E-2</v>
      </c>
      <c r="M190" s="69">
        <v>1710</v>
      </c>
      <c r="N190" s="70">
        <f t="shared" si="24"/>
        <v>9.760251688923085E-4</v>
      </c>
      <c r="O190" s="67" t="s">
        <v>16</v>
      </c>
    </row>
    <row r="191" spans="1:15" s="1" customFormat="1" x14ac:dyDescent="0.3">
      <c r="A191" s="66" t="s">
        <v>22</v>
      </c>
      <c r="B191" s="67" t="s">
        <v>18</v>
      </c>
      <c r="C191" s="67" t="s">
        <v>16</v>
      </c>
      <c r="D191" s="68">
        <v>44995</v>
      </c>
      <c r="E191" s="69">
        <v>2170502</v>
      </c>
      <c r="F191" s="70">
        <f t="shared" si="20"/>
        <v>0.9980345560612246</v>
      </c>
      <c r="G191" s="69">
        <v>4266</v>
      </c>
      <c r="H191" s="69">
        <v>776199</v>
      </c>
      <c r="I191" s="70">
        <f t="shared" si="21"/>
        <v>0.35761266287706717</v>
      </c>
      <c r="J191" s="69">
        <v>14645</v>
      </c>
      <c r="K191" s="70">
        <f t="shared" si="22"/>
        <v>6.7472870331379562E-3</v>
      </c>
      <c r="L191" s="70">
        <f t="shared" si="23"/>
        <v>1.8867584214872734E-2</v>
      </c>
      <c r="M191" s="69">
        <v>5069</v>
      </c>
      <c r="N191" s="70">
        <f t="shared" si="24"/>
        <v>2.3354044363930555E-3</v>
      </c>
      <c r="O191" s="67" t="s">
        <v>16</v>
      </c>
    </row>
    <row r="192" spans="1:15" s="1" customFormat="1" x14ac:dyDescent="0.3">
      <c r="A192" s="76" t="s">
        <v>191</v>
      </c>
      <c r="B192" s="67" t="s">
        <v>18</v>
      </c>
      <c r="C192" s="67" t="s">
        <v>16</v>
      </c>
      <c r="D192" s="68">
        <v>44996</v>
      </c>
      <c r="E192" s="69">
        <v>20898</v>
      </c>
      <c r="F192" s="70">
        <f t="shared" si="20"/>
        <v>0.99899511915015793</v>
      </c>
      <c r="G192" s="69">
        <v>21</v>
      </c>
      <c r="H192" s="69">
        <v>6421</v>
      </c>
      <c r="I192" s="70">
        <f t="shared" si="21"/>
        <v>0.30725428270647909</v>
      </c>
      <c r="J192" s="69">
        <v>150</v>
      </c>
      <c r="K192" s="70">
        <f t="shared" si="22"/>
        <v>7.1777203560149296E-3</v>
      </c>
      <c r="L192" s="70">
        <f t="shared" si="23"/>
        <v>2.336084722005918E-2</v>
      </c>
      <c r="M192" s="69">
        <v>80</v>
      </c>
      <c r="N192" s="70">
        <f t="shared" si="24"/>
        <v>3.8281175232079624E-3</v>
      </c>
      <c r="O192" s="67" t="s">
        <v>16</v>
      </c>
    </row>
    <row r="193" spans="1:15" s="1" customFormat="1" x14ac:dyDescent="0.3">
      <c r="A193" s="76" t="s">
        <v>191</v>
      </c>
      <c r="B193" s="67" t="s">
        <v>15</v>
      </c>
      <c r="C193" s="67" t="s">
        <v>16</v>
      </c>
      <c r="D193" s="68">
        <v>44996</v>
      </c>
      <c r="E193" s="69">
        <v>18529</v>
      </c>
      <c r="F193" s="70">
        <f t="shared" si="20"/>
        <v>0.99946030546710563</v>
      </c>
      <c r="G193" s="69">
        <v>10</v>
      </c>
      <c r="H193" s="69">
        <v>5547</v>
      </c>
      <c r="I193" s="70">
        <f t="shared" si="21"/>
        <v>0.29936855739651358</v>
      </c>
      <c r="J193" s="69">
        <v>105</v>
      </c>
      <c r="K193" s="70">
        <f t="shared" si="22"/>
        <v>5.6667925953910086E-3</v>
      </c>
      <c r="L193" s="70">
        <f t="shared" si="23"/>
        <v>1.8929150892374257E-2</v>
      </c>
      <c r="M193" s="69">
        <v>5</v>
      </c>
      <c r="N193" s="70">
        <f t="shared" si="24"/>
        <v>2.698472664471909E-4</v>
      </c>
      <c r="O193" s="67" t="s">
        <v>16</v>
      </c>
    </row>
    <row r="194" spans="1:15" s="1" customFormat="1" x14ac:dyDescent="0.3">
      <c r="A194" s="76" t="s">
        <v>194</v>
      </c>
      <c r="B194" s="67" t="s">
        <v>18</v>
      </c>
      <c r="C194" s="67" t="s">
        <v>16</v>
      </c>
      <c r="D194" s="68">
        <v>44996</v>
      </c>
      <c r="E194" s="69">
        <v>262519</v>
      </c>
      <c r="F194" s="70">
        <f t="shared" si="20"/>
        <v>0.99827441061408884</v>
      </c>
      <c r="G194" s="69">
        <v>453</v>
      </c>
      <c r="H194" s="69">
        <v>92932</v>
      </c>
      <c r="I194" s="70">
        <f t="shared" si="21"/>
        <v>0.35400104373397734</v>
      </c>
      <c r="J194" s="69">
        <v>1582</v>
      </c>
      <c r="K194" s="70">
        <f t="shared" si="22"/>
        <v>6.0262304823650858E-3</v>
      </c>
      <c r="L194" s="70">
        <f t="shared" si="23"/>
        <v>1.7023199758963544E-2</v>
      </c>
      <c r="M194" s="69">
        <v>601</v>
      </c>
      <c r="N194" s="70">
        <f t="shared" si="24"/>
        <v>2.2893581036039297E-3</v>
      </c>
      <c r="O194" s="67" t="s">
        <v>16</v>
      </c>
    </row>
    <row r="195" spans="1:15" s="1" customFormat="1" x14ac:dyDescent="0.3">
      <c r="A195" s="76" t="s">
        <v>194</v>
      </c>
      <c r="B195" s="67" t="s">
        <v>15</v>
      </c>
      <c r="C195" s="67" t="s">
        <v>16</v>
      </c>
      <c r="D195" s="68">
        <v>44996</v>
      </c>
      <c r="E195" s="69">
        <v>302304</v>
      </c>
      <c r="F195" s="70">
        <f t="shared" si="20"/>
        <v>0.99857759076955643</v>
      </c>
      <c r="G195" s="69">
        <v>430</v>
      </c>
      <c r="H195" s="69">
        <v>104138</v>
      </c>
      <c r="I195" s="70">
        <f t="shared" si="21"/>
        <v>0.3444810521858791</v>
      </c>
      <c r="J195" s="69">
        <v>1558</v>
      </c>
      <c r="K195" s="70">
        <f t="shared" si="22"/>
        <v>5.1537525140256165E-3</v>
      </c>
      <c r="L195" s="70">
        <f t="shared" si="23"/>
        <v>1.4960917244425666E-2</v>
      </c>
      <c r="M195" s="69">
        <v>179</v>
      </c>
      <c r="N195" s="70">
        <f t="shared" si="24"/>
        <v>5.9211919127765431E-4</v>
      </c>
      <c r="O195" s="67" t="s">
        <v>16</v>
      </c>
    </row>
    <row r="196" spans="1:15" s="1" customFormat="1" x14ac:dyDescent="0.3">
      <c r="A196" s="76" t="s">
        <v>202</v>
      </c>
      <c r="B196" s="67" t="s">
        <v>15</v>
      </c>
      <c r="C196" s="67" t="s">
        <v>16</v>
      </c>
      <c r="D196" s="68">
        <v>44998</v>
      </c>
      <c r="E196" s="69">
        <v>118797</v>
      </c>
      <c r="F196" s="70">
        <f t="shared" si="20"/>
        <v>0.99914981018039173</v>
      </c>
      <c r="G196" s="69">
        <v>101</v>
      </c>
      <c r="H196" s="69">
        <v>41802</v>
      </c>
      <c r="I196" s="70">
        <f t="shared" si="21"/>
        <v>0.35187757266597641</v>
      </c>
      <c r="J196" s="69">
        <v>583</v>
      </c>
      <c r="K196" s="70">
        <f t="shared" si="22"/>
        <v>4.9075313349663712E-3</v>
      </c>
      <c r="L196" s="70">
        <f t="shared" si="23"/>
        <v>1.3946701114779197E-2</v>
      </c>
      <c r="M196" s="69">
        <v>50</v>
      </c>
      <c r="N196" s="70">
        <f t="shared" si="24"/>
        <v>4.2088604931100952E-4</v>
      </c>
      <c r="O196" s="67" t="s">
        <v>16</v>
      </c>
    </row>
    <row r="197" spans="1:15" s="1" customFormat="1" x14ac:dyDescent="0.3">
      <c r="A197" s="76" t="s">
        <v>202</v>
      </c>
      <c r="B197" s="67" t="s">
        <v>18</v>
      </c>
      <c r="C197" s="67" t="s">
        <v>16</v>
      </c>
      <c r="D197" s="68">
        <v>44998</v>
      </c>
      <c r="E197" s="69">
        <v>217318</v>
      </c>
      <c r="F197" s="70">
        <f t="shared" si="20"/>
        <v>0.99896004932863358</v>
      </c>
      <c r="G197" s="69">
        <v>226</v>
      </c>
      <c r="H197" s="69">
        <v>75110</v>
      </c>
      <c r="I197" s="70">
        <f t="shared" si="21"/>
        <v>0.34562254392181041</v>
      </c>
      <c r="J197" s="69">
        <v>1311</v>
      </c>
      <c r="K197" s="70">
        <f t="shared" si="22"/>
        <v>6.0326342042536741E-3</v>
      </c>
      <c r="L197" s="70">
        <f t="shared" si="23"/>
        <v>1.7454400213020901E-2</v>
      </c>
      <c r="M197" s="69">
        <v>323</v>
      </c>
      <c r="N197" s="70">
        <f t="shared" si="24"/>
        <v>1.4863011807581517E-3</v>
      </c>
      <c r="O197" s="67" t="s">
        <v>16</v>
      </c>
    </row>
    <row r="198" spans="1:15" s="1" customFormat="1" x14ac:dyDescent="0.3">
      <c r="A198" s="76" t="s">
        <v>203</v>
      </c>
      <c r="B198" s="67" t="s">
        <v>15</v>
      </c>
      <c r="C198" s="67" t="s">
        <v>16</v>
      </c>
      <c r="D198" s="68">
        <v>44998</v>
      </c>
      <c r="E198" s="69">
        <v>2158197</v>
      </c>
      <c r="F198" s="70">
        <f t="shared" si="20"/>
        <v>0.99799601241221259</v>
      </c>
      <c r="G198" s="69">
        <v>4325</v>
      </c>
      <c r="H198" s="69">
        <v>810696</v>
      </c>
      <c r="I198" s="70">
        <f t="shared" si="21"/>
        <v>0.37563577375003299</v>
      </c>
      <c r="J198" s="69">
        <v>8049</v>
      </c>
      <c r="K198" s="70">
        <f t="shared" si="22"/>
        <v>3.7295019870753226E-3</v>
      </c>
      <c r="L198" s="70">
        <f t="shared" si="23"/>
        <v>9.9285058764321029E-3</v>
      </c>
      <c r="M198" s="69">
        <v>1225</v>
      </c>
      <c r="N198" s="70">
        <f t="shared" si="24"/>
        <v>5.6760342081839605E-4</v>
      </c>
      <c r="O198" s="67" t="s">
        <v>16</v>
      </c>
    </row>
    <row r="199" spans="1:15" s="1" customFormat="1" x14ac:dyDescent="0.3">
      <c r="A199" s="76" t="s">
        <v>203</v>
      </c>
      <c r="B199" s="67" t="s">
        <v>18</v>
      </c>
      <c r="C199" s="67" t="s">
        <v>16</v>
      </c>
      <c r="D199" s="68">
        <v>44998</v>
      </c>
      <c r="E199" s="69">
        <v>2384217</v>
      </c>
      <c r="F199" s="70">
        <f t="shared" si="20"/>
        <v>0.99821324988455329</v>
      </c>
      <c r="G199" s="69">
        <v>4260</v>
      </c>
      <c r="H199" s="69">
        <v>891208</v>
      </c>
      <c r="I199" s="70">
        <f t="shared" si="21"/>
        <v>0.37379483495000665</v>
      </c>
      <c r="J199" s="69">
        <v>10705</v>
      </c>
      <c r="K199" s="70">
        <f t="shared" si="22"/>
        <v>4.4899436586518758E-3</v>
      </c>
      <c r="L199" s="70">
        <f t="shared" si="23"/>
        <v>1.2011786249674599E-2</v>
      </c>
      <c r="M199" s="69">
        <v>3003</v>
      </c>
      <c r="N199" s="70">
        <f t="shared" si="24"/>
        <v>1.2595330039170093E-3</v>
      </c>
      <c r="O199" s="67" t="s">
        <v>16</v>
      </c>
    </row>
    <row r="200" spans="1:15" s="1" customFormat="1" x14ac:dyDescent="0.3">
      <c r="A200" s="66" t="s">
        <v>29</v>
      </c>
      <c r="B200" s="67" t="s">
        <v>15</v>
      </c>
      <c r="C200" s="67" t="s">
        <v>16</v>
      </c>
      <c r="D200" s="68">
        <v>44999</v>
      </c>
      <c r="E200" s="69">
        <v>23049</v>
      </c>
      <c r="F200" s="70">
        <f t="shared" si="20"/>
        <v>0.99882858258492779</v>
      </c>
      <c r="G200" s="69">
        <v>27</v>
      </c>
      <c r="H200" s="69">
        <v>7939</v>
      </c>
      <c r="I200" s="70">
        <f t="shared" si="21"/>
        <v>0.34444010586142565</v>
      </c>
      <c r="J200" s="69">
        <v>199</v>
      </c>
      <c r="K200" s="70">
        <f t="shared" si="22"/>
        <v>8.6337802073842684E-3</v>
      </c>
      <c r="L200" s="70">
        <f t="shared" si="23"/>
        <v>2.5066129235420079E-2</v>
      </c>
      <c r="M200" s="69">
        <v>2</v>
      </c>
      <c r="N200" s="70">
        <f t="shared" si="24"/>
        <v>8.6771660375721283E-5</v>
      </c>
      <c r="O200" s="67" t="s">
        <v>16</v>
      </c>
    </row>
    <row r="201" spans="1:15" s="1" customFormat="1" x14ac:dyDescent="0.3">
      <c r="A201" s="66" t="s">
        <v>29</v>
      </c>
      <c r="B201" s="67" t="s">
        <v>18</v>
      </c>
      <c r="C201" s="67" t="s">
        <v>16</v>
      </c>
      <c r="D201" s="68">
        <v>44999</v>
      </c>
      <c r="E201" s="69">
        <v>25583</v>
      </c>
      <c r="F201" s="70">
        <f t="shared" si="20"/>
        <v>0.9994136731423211</v>
      </c>
      <c r="G201" s="69">
        <v>15</v>
      </c>
      <c r="H201" s="69">
        <v>9323</v>
      </c>
      <c r="I201" s="70">
        <f t="shared" si="21"/>
        <v>0.36442168627604271</v>
      </c>
      <c r="J201" s="69">
        <v>214</v>
      </c>
      <c r="K201" s="70">
        <f t="shared" si="22"/>
        <v>8.3649298362193647E-3</v>
      </c>
      <c r="L201" s="70">
        <f t="shared" si="23"/>
        <v>2.2953984768851229E-2</v>
      </c>
      <c r="M201" s="69">
        <v>14</v>
      </c>
      <c r="N201" s="70">
        <f t="shared" si="24"/>
        <v>5.4723840050033225E-4</v>
      </c>
      <c r="O201" s="67" t="s">
        <v>16</v>
      </c>
    </row>
    <row r="202" spans="1:15" s="1" customFormat="1" x14ac:dyDescent="0.3">
      <c r="A202" s="66" t="s">
        <v>17</v>
      </c>
      <c r="B202" s="67" t="s">
        <v>15</v>
      </c>
      <c r="C202" s="67" t="s">
        <v>16</v>
      </c>
      <c r="D202" s="68">
        <v>44999</v>
      </c>
      <c r="E202" s="69">
        <v>217659</v>
      </c>
      <c r="F202" s="70">
        <f t="shared" si="20"/>
        <v>0.99831387629273316</v>
      </c>
      <c r="G202" s="69">
        <v>367</v>
      </c>
      <c r="H202" s="69">
        <v>79540</v>
      </c>
      <c r="I202" s="70">
        <f t="shared" si="21"/>
        <v>0.36543400456677649</v>
      </c>
      <c r="J202" s="69">
        <v>1752</v>
      </c>
      <c r="K202" s="70">
        <f t="shared" si="22"/>
        <v>8.0492881066255018E-3</v>
      </c>
      <c r="L202" s="70">
        <f t="shared" si="23"/>
        <v>2.2026653256223282E-2</v>
      </c>
      <c r="M202" s="69">
        <v>56</v>
      </c>
      <c r="N202" s="70">
        <f t="shared" si="24"/>
        <v>2.5728318149031282E-4</v>
      </c>
      <c r="O202" s="67" t="s">
        <v>16</v>
      </c>
    </row>
    <row r="203" spans="1:15" s="1" customFormat="1" x14ac:dyDescent="0.3">
      <c r="A203" s="66" t="s">
        <v>17</v>
      </c>
      <c r="B203" s="67" t="s">
        <v>18</v>
      </c>
      <c r="C203" s="67" t="s">
        <v>16</v>
      </c>
      <c r="D203" s="68">
        <v>44999</v>
      </c>
      <c r="E203" s="69">
        <v>431945</v>
      </c>
      <c r="F203" s="70">
        <f t="shared" si="20"/>
        <v>0.99856463207121282</v>
      </c>
      <c r="G203" s="69">
        <v>620</v>
      </c>
      <c r="H203" s="69">
        <v>175694</v>
      </c>
      <c r="I203" s="70">
        <f t="shared" si="21"/>
        <v>0.40675085948442508</v>
      </c>
      <c r="J203" s="69">
        <v>2966</v>
      </c>
      <c r="K203" s="70">
        <f t="shared" si="22"/>
        <v>6.8666149625531032E-3</v>
      </c>
      <c r="L203" s="70">
        <f t="shared" si="23"/>
        <v>1.6881623732170704E-2</v>
      </c>
      <c r="M203" s="69">
        <v>269</v>
      </c>
      <c r="N203" s="70">
        <f t="shared" si="24"/>
        <v>6.227644723286529E-4</v>
      </c>
      <c r="O203" s="67" t="s">
        <v>16</v>
      </c>
    </row>
    <row r="204" spans="1:15" s="1" customFormat="1" x14ac:dyDescent="0.3">
      <c r="A204" s="76" t="s">
        <v>207</v>
      </c>
      <c r="B204" s="67" t="s">
        <v>18</v>
      </c>
      <c r="C204" s="67" t="s">
        <v>16</v>
      </c>
      <c r="D204" s="68">
        <v>44999</v>
      </c>
      <c r="E204" s="69">
        <v>5597</v>
      </c>
      <c r="F204" s="70">
        <f t="shared" ref="F204:F269" si="25">(E204-G204)/E204</f>
        <v>0.99874932999821331</v>
      </c>
      <c r="G204" s="69">
        <v>7</v>
      </c>
      <c r="H204" s="69">
        <v>2498</v>
      </c>
      <c r="I204" s="70">
        <f t="shared" ref="I204:I269" si="26">H204/E204</f>
        <v>0.44631052349472933</v>
      </c>
      <c r="J204" s="69">
        <v>74</v>
      </c>
      <c r="K204" s="70">
        <f t="shared" ref="K204:K269" si="27">J204/E204</f>
        <v>1.3221368590316241E-2</v>
      </c>
      <c r="L204" s="70">
        <f t="shared" ref="L204:L269" si="28">J204/H204</f>
        <v>2.9623698959167333E-2</v>
      </c>
      <c r="M204" s="69">
        <v>4</v>
      </c>
      <c r="N204" s="70">
        <f t="shared" ref="N204:N269" si="29">M204/E204</f>
        <v>7.1466857244952648E-4</v>
      </c>
      <c r="O204" s="67" t="s">
        <v>16</v>
      </c>
    </row>
    <row r="205" spans="1:15" s="1" customFormat="1" x14ac:dyDescent="0.3">
      <c r="A205" s="76" t="s">
        <v>207</v>
      </c>
      <c r="B205" s="67" t="s">
        <v>15</v>
      </c>
      <c r="C205" s="67" t="s">
        <v>16</v>
      </c>
      <c r="D205" s="68">
        <v>44999</v>
      </c>
      <c r="E205" s="69">
        <v>17719</v>
      </c>
      <c r="F205" s="70">
        <f t="shared" si="25"/>
        <v>0.99892770472374293</v>
      </c>
      <c r="G205" s="69">
        <v>19</v>
      </c>
      <c r="H205" s="69">
        <v>7462</v>
      </c>
      <c r="I205" s="70">
        <f t="shared" si="26"/>
        <v>0.42112986060161406</v>
      </c>
      <c r="J205" s="69">
        <v>251</v>
      </c>
      <c r="K205" s="70">
        <f t="shared" si="27"/>
        <v>1.4165584965291494E-2</v>
      </c>
      <c r="L205" s="70">
        <f t="shared" si="28"/>
        <v>3.3637094612704366E-2</v>
      </c>
      <c r="M205" s="69">
        <v>5</v>
      </c>
      <c r="N205" s="70">
        <f t="shared" si="29"/>
        <v>2.8218296743608558E-4</v>
      </c>
      <c r="O205" s="67" t="s">
        <v>16</v>
      </c>
    </row>
    <row r="206" spans="1:15" s="1" customFormat="1" x14ac:dyDescent="0.3">
      <c r="A206" s="76" t="s">
        <v>208</v>
      </c>
      <c r="B206" s="67" t="s">
        <v>18</v>
      </c>
      <c r="C206" s="67" t="s">
        <v>16</v>
      </c>
      <c r="D206" s="68">
        <v>44999</v>
      </c>
      <c r="E206" s="69">
        <v>46285</v>
      </c>
      <c r="F206" s="70">
        <f t="shared" si="25"/>
        <v>0.99812034136329264</v>
      </c>
      <c r="G206" s="69">
        <v>87</v>
      </c>
      <c r="H206" s="69">
        <v>21254</v>
      </c>
      <c r="I206" s="70">
        <f t="shared" si="26"/>
        <v>0.45919844442043861</v>
      </c>
      <c r="J206" s="69">
        <v>505</v>
      </c>
      <c r="K206" s="70">
        <f t="shared" si="27"/>
        <v>1.0910662201577185E-2</v>
      </c>
      <c r="L206" s="70">
        <f t="shared" si="28"/>
        <v>2.3760233367836642E-2</v>
      </c>
      <c r="M206" s="69">
        <v>51</v>
      </c>
      <c r="N206" s="70">
        <f t="shared" si="29"/>
        <v>1.1018688560008641E-3</v>
      </c>
      <c r="O206" s="67" t="s">
        <v>16</v>
      </c>
    </row>
    <row r="207" spans="1:15" s="1" customFormat="1" x14ac:dyDescent="0.3">
      <c r="A207" s="76" t="s">
        <v>208</v>
      </c>
      <c r="B207" s="67" t="s">
        <v>15</v>
      </c>
      <c r="C207" s="67" t="s">
        <v>16</v>
      </c>
      <c r="D207" s="68">
        <v>44999</v>
      </c>
      <c r="E207" s="69">
        <v>184356</v>
      </c>
      <c r="F207" s="70">
        <f t="shared" si="25"/>
        <v>0.99834559222374097</v>
      </c>
      <c r="G207" s="69">
        <v>305</v>
      </c>
      <c r="H207" s="69">
        <v>79307</v>
      </c>
      <c r="I207" s="70">
        <f t="shared" si="26"/>
        <v>0.43018399184187117</v>
      </c>
      <c r="J207" s="69">
        <v>1504</v>
      </c>
      <c r="K207" s="70">
        <f t="shared" si="27"/>
        <v>8.1581288376836123E-3</v>
      </c>
      <c r="L207" s="70">
        <f t="shared" si="28"/>
        <v>1.8964278058683344E-2</v>
      </c>
      <c r="M207" s="69">
        <v>64</v>
      </c>
      <c r="N207" s="70">
        <f t="shared" si="29"/>
        <v>3.4715441862483458E-4</v>
      </c>
      <c r="O207" s="67" t="s">
        <v>16</v>
      </c>
    </row>
    <row r="208" spans="1:15" s="1" customFormat="1" x14ac:dyDescent="0.3">
      <c r="A208" s="76" t="s">
        <v>213</v>
      </c>
      <c r="B208" s="67" t="s">
        <v>15</v>
      </c>
      <c r="C208" s="67" t="s">
        <v>16</v>
      </c>
      <c r="D208" s="68">
        <v>45001</v>
      </c>
      <c r="E208" s="69">
        <v>50647</v>
      </c>
      <c r="F208" s="70">
        <f t="shared" si="25"/>
        <v>0.9989732856832586</v>
      </c>
      <c r="G208" s="69">
        <v>52</v>
      </c>
      <c r="H208" s="69">
        <v>16653</v>
      </c>
      <c r="I208" s="70">
        <f t="shared" si="26"/>
        <v>0.32880525993642268</v>
      </c>
      <c r="J208" s="69">
        <v>222</v>
      </c>
      <c r="K208" s="70">
        <f t="shared" si="27"/>
        <v>4.3832803522419889E-3</v>
      </c>
      <c r="L208" s="70">
        <f t="shared" si="28"/>
        <v>1.3330931363718249E-2</v>
      </c>
      <c r="M208" s="69">
        <v>8</v>
      </c>
      <c r="N208" s="70">
        <f t="shared" si="29"/>
        <v>1.5795604872944103E-4</v>
      </c>
      <c r="O208" s="67" t="s">
        <v>16</v>
      </c>
    </row>
    <row r="209" spans="1:15" s="1" customFormat="1" x14ac:dyDescent="0.3">
      <c r="A209" s="76" t="s">
        <v>214</v>
      </c>
      <c r="B209" s="67" t="s">
        <v>15</v>
      </c>
      <c r="C209" s="67" t="s">
        <v>16</v>
      </c>
      <c r="D209" s="68">
        <v>45001</v>
      </c>
      <c r="E209" s="69">
        <v>2682</v>
      </c>
      <c r="F209" s="70">
        <f t="shared" si="25"/>
        <v>0.9992542878448919</v>
      </c>
      <c r="G209" s="69">
        <v>2</v>
      </c>
      <c r="H209" s="69">
        <v>860</v>
      </c>
      <c r="I209" s="70">
        <f t="shared" si="26"/>
        <v>0.32065622669649513</v>
      </c>
      <c r="J209" s="69">
        <v>8</v>
      </c>
      <c r="K209" s="70">
        <f t="shared" si="27"/>
        <v>2.9828486204325128E-3</v>
      </c>
      <c r="L209" s="70">
        <f t="shared" si="28"/>
        <v>9.3023255813953487E-3</v>
      </c>
      <c r="M209" s="69">
        <v>0</v>
      </c>
      <c r="N209" s="70">
        <f t="shared" si="29"/>
        <v>0</v>
      </c>
      <c r="O209" s="67" t="s">
        <v>16</v>
      </c>
    </row>
    <row r="210" spans="1:15" s="1" customFormat="1" x14ac:dyDescent="0.3">
      <c r="A210" s="66" t="s">
        <v>28</v>
      </c>
      <c r="B210" s="67" t="s">
        <v>15</v>
      </c>
      <c r="C210" s="67" t="s">
        <v>16</v>
      </c>
      <c r="D210" s="68">
        <v>45002</v>
      </c>
      <c r="E210" s="69">
        <v>96989</v>
      </c>
      <c r="F210" s="70">
        <f t="shared" si="25"/>
        <v>0.99896895524234708</v>
      </c>
      <c r="G210" s="69">
        <v>100</v>
      </c>
      <c r="H210" s="69">
        <v>29477</v>
      </c>
      <c r="I210" s="70">
        <f t="shared" si="26"/>
        <v>0.3039210632133541</v>
      </c>
      <c r="J210" s="69">
        <v>582</v>
      </c>
      <c r="K210" s="70">
        <f t="shared" si="27"/>
        <v>6.0006804895400513E-3</v>
      </c>
      <c r="L210" s="70">
        <f t="shared" si="28"/>
        <v>1.9744207348101912E-2</v>
      </c>
      <c r="M210" s="69">
        <v>31</v>
      </c>
      <c r="N210" s="70">
        <f t="shared" si="29"/>
        <v>3.1962387487240819E-4</v>
      </c>
      <c r="O210" s="67" t="s">
        <v>16</v>
      </c>
    </row>
    <row r="211" spans="1:15" s="1" customFormat="1" x14ac:dyDescent="0.3">
      <c r="A211" s="66" t="s">
        <v>28</v>
      </c>
      <c r="B211" s="67" t="s">
        <v>18</v>
      </c>
      <c r="C211" s="67" t="s">
        <v>16</v>
      </c>
      <c r="D211" s="68">
        <v>45002</v>
      </c>
      <c r="E211" s="69">
        <v>188901</v>
      </c>
      <c r="F211" s="70">
        <f t="shared" si="25"/>
        <v>0.99876125589594544</v>
      </c>
      <c r="G211" s="69">
        <v>234</v>
      </c>
      <c r="H211" s="69">
        <v>57746</v>
      </c>
      <c r="I211" s="70">
        <f t="shared" si="26"/>
        <v>0.30569451723389501</v>
      </c>
      <c r="J211" s="69">
        <v>1075</v>
      </c>
      <c r="K211" s="70">
        <f t="shared" si="27"/>
        <v>5.6908115891392847E-3</v>
      </c>
      <c r="L211" s="70">
        <f t="shared" si="28"/>
        <v>1.8616008035188585E-2</v>
      </c>
      <c r="M211" s="69">
        <v>193</v>
      </c>
      <c r="N211" s="70">
        <f t="shared" si="29"/>
        <v>1.0216991969338436E-3</v>
      </c>
      <c r="O211" s="67" t="s">
        <v>16</v>
      </c>
    </row>
    <row r="212" spans="1:15" s="1" customFormat="1" x14ac:dyDescent="0.3">
      <c r="A212" s="66" t="s">
        <v>22</v>
      </c>
      <c r="B212" s="67" t="s">
        <v>15</v>
      </c>
      <c r="C212" s="67" t="s">
        <v>16</v>
      </c>
      <c r="D212" s="68">
        <v>45002</v>
      </c>
      <c r="E212" s="69">
        <v>1764156</v>
      </c>
      <c r="F212" s="70">
        <f t="shared" si="25"/>
        <v>0.99782332174705635</v>
      </c>
      <c r="G212" s="69">
        <v>3840</v>
      </c>
      <c r="H212" s="69">
        <v>719220</v>
      </c>
      <c r="I212" s="70">
        <f t="shared" si="26"/>
        <v>0.40768503465679906</v>
      </c>
      <c r="J212" s="69">
        <v>9914</v>
      </c>
      <c r="K212" s="70">
        <f t="shared" si="27"/>
        <v>5.6196844270007869E-3</v>
      </c>
      <c r="L212" s="70">
        <f t="shared" si="28"/>
        <v>1.378437752009121E-2</v>
      </c>
      <c r="M212" s="69">
        <v>789</v>
      </c>
      <c r="N212" s="70">
        <f t="shared" si="29"/>
        <v>4.4723935978450887E-4</v>
      </c>
      <c r="O212" s="67" t="s">
        <v>16</v>
      </c>
    </row>
    <row r="213" spans="1:15" s="1" customFormat="1" x14ac:dyDescent="0.3">
      <c r="A213" s="66" t="s">
        <v>22</v>
      </c>
      <c r="B213" s="67" t="s">
        <v>18</v>
      </c>
      <c r="C213" s="67" t="s">
        <v>16</v>
      </c>
      <c r="D213" s="68">
        <v>45002</v>
      </c>
      <c r="E213" s="69">
        <v>2165495</v>
      </c>
      <c r="F213" s="70">
        <f t="shared" si="25"/>
        <v>0.99802077585032523</v>
      </c>
      <c r="G213" s="69">
        <v>4286</v>
      </c>
      <c r="H213" s="69">
        <v>747271</v>
      </c>
      <c r="I213" s="70">
        <f t="shared" si="26"/>
        <v>0.34508091683425729</v>
      </c>
      <c r="J213" s="69">
        <v>9829</v>
      </c>
      <c r="K213" s="70">
        <f t="shared" si="27"/>
        <v>4.5389160445995025E-3</v>
      </c>
      <c r="L213" s="70">
        <f t="shared" si="28"/>
        <v>1.3153193419790142E-2</v>
      </c>
      <c r="M213" s="69">
        <v>1839</v>
      </c>
      <c r="N213" s="70">
        <f t="shared" si="29"/>
        <v>8.4922846739429096E-4</v>
      </c>
      <c r="O213" s="67" t="s">
        <v>16</v>
      </c>
    </row>
    <row r="214" spans="1:15" s="1" customFormat="1" x14ac:dyDescent="0.3">
      <c r="A214" s="76" t="s">
        <v>75</v>
      </c>
      <c r="B214" s="67" t="s">
        <v>15</v>
      </c>
      <c r="C214" s="67" t="s">
        <v>16</v>
      </c>
      <c r="D214" s="68">
        <v>45003</v>
      </c>
      <c r="E214" s="69">
        <v>27585</v>
      </c>
      <c r="F214" s="70">
        <f t="shared" si="25"/>
        <v>0.99869494290375205</v>
      </c>
      <c r="G214" s="69">
        <v>36</v>
      </c>
      <c r="H214" s="69">
        <v>7974</v>
      </c>
      <c r="I214" s="70">
        <f t="shared" si="26"/>
        <v>0.28907014681892335</v>
      </c>
      <c r="J214" s="69">
        <v>250</v>
      </c>
      <c r="K214" s="70">
        <f t="shared" si="27"/>
        <v>9.0628965017219495E-3</v>
      </c>
      <c r="L214" s="70">
        <f t="shared" si="28"/>
        <v>3.1351893654376725E-2</v>
      </c>
      <c r="M214" s="69">
        <v>8</v>
      </c>
      <c r="N214" s="70">
        <f t="shared" si="29"/>
        <v>2.900126880551024E-4</v>
      </c>
      <c r="O214" s="67" t="s">
        <v>16</v>
      </c>
    </row>
    <row r="215" spans="1:15" s="1" customFormat="1" x14ac:dyDescent="0.3">
      <c r="A215" s="76" t="s">
        <v>78</v>
      </c>
      <c r="B215" s="67" t="s">
        <v>15</v>
      </c>
      <c r="C215" s="67" t="s">
        <v>16</v>
      </c>
      <c r="D215" s="68">
        <v>45003</v>
      </c>
      <c r="E215" s="69">
        <v>391572</v>
      </c>
      <c r="F215" s="70">
        <f t="shared" si="25"/>
        <v>0.99834513192976004</v>
      </c>
      <c r="G215" s="69">
        <v>648</v>
      </c>
      <c r="H215" s="69">
        <v>133428</v>
      </c>
      <c r="I215" s="70">
        <f t="shared" si="26"/>
        <v>0.34074959394440868</v>
      </c>
      <c r="J215" s="69">
        <v>3208</v>
      </c>
      <c r="K215" s="70">
        <f t="shared" si="27"/>
        <v>8.1926184711879294E-3</v>
      </c>
      <c r="L215" s="70">
        <f t="shared" si="28"/>
        <v>2.4042929520040772E-2</v>
      </c>
      <c r="M215" s="69">
        <v>112</v>
      </c>
      <c r="N215" s="70">
        <f t="shared" si="29"/>
        <v>2.8602658004147388E-4</v>
      </c>
      <c r="O215" s="67" t="s">
        <v>16</v>
      </c>
    </row>
    <row r="216" spans="1:15" s="1" customFormat="1" x14ac:dyDescent="0.3">
      <c r="A216" s="66" t="s">
        <v>29</v>
      </c>
      <c r="B216" s="67" t="s">
        <v>15</v>
      </c>
      <c r="C216" s="67" t="s">
        <v>16</v>
      </c>
      <c r="D216" s="68">
        <v>45006</v>
      </c>
      <c r="E216" s="69">
        <v>23188</v>
      </c>
      <c r="F216" s="70">
        <f t="shared" si="25"/>
        <v>0.99844747283077451</v>
      </c>
      <c r="G216" s="69">
        <v>36</v>
      </c>
      <c r="H216" s="69">
        <v>7985</v>
      </c>
      <c r="I216" s="70">
        <f t="shared" si="26"/>
        <v>0.34435915128514749</v>
      </c>
      <c r="J216" s="69">
        <v>245</v>
      </c>
      <c r="K216" s="70">
        <f t="shared" si="27"/>
        <v>1.056580990167328E-2</v>
      </c>
      <c r="L216" s="70">
        <f t="shared" si="28"/>
        <v>3.0682529743268627E-2</v>
      </c>
      <c r="M216" s="69">
        <v>12</v>
      </c>
      <c r="N216" s="70">
        <f t="shared" si="29"/>
        <v>5.1750905640848713E-4</v>
      </c>
      <c r="O216" s="67" t="s">
        <v>16</v>
      </c>
    </row>
    <row r="217" spans="1:15" s="1" customFormat="1" x14ac:dyDescent="0.3">
      <c r="A217" s="66" t="s">
        <v>29</v>
      </c>
      <c r="B217" s="67" t="s">
        <v>18</v>
      </c>
      <c r="C217" s="67" t="s">
        <v>16</v>
      </c>
      <c r="D217" s="68">
        <v>45006</v>
      </c>
      <c r="E217" s="69">
        <v>25573</v>
      </c>
      <c r="F217" s="70">
        <f t="shared" si="25"/>
        <v>0.99870957650647163</v>
      </c>
      <c r="G217" s="69">
        <v>33</v>
      </c>
      <c r="H217" s="69">
        <v>9149</v>
      </c>
      <c r="I217" s="70">
        <f t="shared" si="26"/>
        <v>0.35776013764517262</v>
      </c>
      <c r="J217" s="69">
        <v>197</v>
      </c>
      <c r="K217" s="70">
        <f t="shared" si="27"/>
        <v>7.703437218941853E-3</v>
      </c>
      <c r="L217" s="70">
        <f t="shared" si="28"/>
        <v>2.1532407913433162E-2</v>
      </c>
      <c r="M217" s="69">
        <v>49</v>
      </c>
      <c r="N217" s="70">
        <f t="shared" si="29"/>
        <v>1.9160833691784303E-3</v>
      </c>
      <c r="O217" s="67" t="s">
        <v>16</v>
      </c>
    </row>
    <row r="218" spans="1:15" s="1" customFormat="1" x14ac:dyDescent="0.3">
      <c r="A218" s="66" t="s">
        <v>17</v>
      </c>
      <c r="B218" s="67" t="s">
        <v>15</v>
      </c>
      <c r="C218" s="67" t="s">
        <v>16</v>
      </c>
      <c r="D218" s="68">
        <v>45006</v>
      </c>
      <c r="E218" s="69">
        <v>219716</v>
      </c>
      <c r="F218" s="70">
        <f t="shared" si="25"/>
        <v>0.99801106883431334</v>
      </c>
      <c r="G218" s="69">
        <v>437</v>
      </c>
      <c r="H218" s="69">
        <v>87660</v>
      </c>
      <c r="I218" s="70">
        <f t="shared" si="26"/>
        <v>0.3989695789109578</v>
      </c>
      <c r="J218" s="69">
        <v>1774</v>
      </c>
      <c r="K218" s="70">
        <f t="shared" si="27"/>
        <v>8.0740592401099594E-3</v>
      </c>
      <c r="L218" s="70">
        <f t="shared" si="28"/>
        <v>2.0237280401551448E-2</v>
      </c>
      <c r="M218" s="69">
        <v>144</v>
      </c>
      <c r="N218" s="70">
        <f t="shared" si="29"/>
        <v>6.5539150539787726E-4</v>
      </c>
      <c r="O218" s="67" t="s">
        <v>16</v>
      </c>
    </row>
    <row r="219" spans="1:15" s="1" customFormat="1" x14ac:dyDescent="0.3">
      <c r="A219" s="66" t="s">
        <v>17</v>
      </c>
      <c r="B219" s="67" t="s">
        <v>18</v>
      </c>
      <c r="C219" s="67" t="s">
        <v>16</v>
      </c>
      <c r="D219" s="68">
        <v>45006</v>
      </c>
      <c r="E219" s="69">
        <v>434922</v>
      </c>
      <c r="F219" s="70">
        <f t="shared" si="25"/>
        <v>0.99830774253774235</v>
      </c>
      <c r="G219" s="69">
        <v>736</v>
      </c>
      <c r="H219" s="69">
        <v>186460</v>
      </c>
      <c r="I219" s="70">
        <f t="shared" si="26"/>
        <v>0.42872055219096755</v>
      </c>
      <c r="J219" s="69">
        <v>2533</v>
      </c>
      <c r="K219" s="70">
        <f t="shared" si="27"/>
        <v>5.8240328150794855E-3</v>
      </c>
      <c r="L219" s="70">
        <f t="shared" si="28"/>
        <v>1.3584683041939291E-2</v>
      </c>
      <c r="M219" s="69">
        <v>542</v>
      </c>
      <c r="N219" s="70">
        <f t="shared" si="29"/>
        <v>1.2462004681299175E-3</v>
      </c>
      <c r="O219" s="67" t="s">
        <v>16</v>
      </c>
    </row>
    <row r="220" spans="1:15" s="1" customFormat="1" x14ac:dyDescent="0.3">
      <c r="A220" s="76" t="s">
        <v>222</v>
      </c>
      <c r="B220" s="67" t="s">
        <v>15</v>
      </c>
      <c r="C220" s="67" t="s">
        <v>16</v>
      </c>
      <c r="D220" s="68">
        <v>45007</v>
      </c>
      <c r="E220" s="69">
        <v>26113</v>
      </c>
      <c r="F220" s="70">
        <f>(E220-G220)/E220</f>
        <v>0.99766399877455669</v>
      </c>
      <c r="G220" s="69">
        <v>61</v>
      </c>
      <c r="H220" s="69">
        <v>11634</v>
      </c>
      <c r="I220" s="70">
        <f>H220/E220</f>
        <v>0.44552521732470418</v>
      </c>
      <c r="J220" s="69">
        <v>338</v>
      </c>
      <c r="K220" s="70">
        <f>J220/E220</f>
        <v>1.294374449507908E-2</v>
      </c>
      <c r="L220" s="70">
        <f>J220/H220</f>
        <v>2.9052776345195118E-2</v>
      </c>
      <c r="M220" s="69">
        <v>6</v>
      </c>
      <c r="N220" s="70">
        <f>M220/E220</f>
        <v>2.2977061233868189E-4</v>
      </c>
      <c r="O220" s="67" t="s">
        <v>16</v>
      </c>
    </row>
    <row r="221" spans="1:15" s="1" customFormat="1" x14ac:dyDescent="0.3">
      <c r="A221" s="76" t="s">
        <v>223</v>
      </c>
      <c r="B221" s="67" t="s">
        <v>15</v>
      </c>
      <c r="C221" s="67" t="s">
        <v>16</v>
      </c>
      <c r="D221" s="68">
        <v>45007</v>
      </c>
      <c r="E221" s="69">
        <v>26544</v>
      </c>
      <c r="F221" s="70">
        <f>(E221-G221)/E221</f>
        <v>0.99807866184448468</v>
      </c>
      <c r="G221" s="69">
        <v>51</v>
      </c>
      <c r="H221" s="69">
        <v>11592</v>
      </c>
      <c r="I221" s="70">
        <f>H221/E221</f>
        <v>0.43670886075949367</v>
      </c>
      <c r="J221" s="69">
        <v>310</v>
      </c>
      <c r="K221" s="70">
        <f>J221/E221</f>
        <v>1.1678722121760096E-2</v>
      </c>
      <c r="L221" s="70">
        <f>J221/H221</f>
        <v>2.6742581090407176E-2</v>
      </c>
      <c r="M221" s="69">
        <v>6</v>
      </c>
      <c r="N221" s="70">
        <f>M221/E221</f>
        <v>2.2603978300180831E-4</v>
      </c>
      <c r="O221" s="67" t="s">
        <v>16</v>
      </c>
    </row>
    <row r="222" spans="1:15" s="1" customFormat="1" x14ac:dyDescent="0.3">
      <c r="A222" s="76" t="s">
        <v>224</v>
      </c>
      <c r="B222" s="67" t="s">
        <v>15</v>
      </c>
      <c r="C222" s="67" t="s">
        <v>16</v>
      </c>
      <c r="D222" s="68">
        <v>45007</v>
      </c>
      <c r="E222" s="69">
        <v>50753</v>
      </c>
      <c r="F222" s="70">
        <f>(E222-G222)/E222</f>
        <v>0.99802967312277102</v>
      </c>
      <c r="G222" s="69">
        <v>100</v>
      </c>
      <c r="H222" s="69">
        <v>21904</v>
      </c>
      <c r="I222" s="70">
        <f>H222/E222</f>
        <v>0.43158039918822533</v>
      </c>
      <c r="J222" s="69">
        <v>456</v>
      </c>
      <c r="K222" s="70">
        <f>J222/E222</f>
        <v>8.9846905601639309E-3</v>
      </c>
      <c r="L222" s="70">
        <f>J222/H222</f>
        <v>2.0818115412710007E-2</v>
      </c>
      <c r="M222" s="69">
        <v>16</v>
      </c>
      <c r="N222" s="70">
        <f>M222/E222</f>
        <v>3.1525230035662919E-4</v>
      </c>
      <c r="O222" s="67" t="s">
        <v>16</v>
      </c>
    </row>
    <row r="223" spans="1:15" s="1" customFormat="1" x14ac:dyDescent="0.3">
      <c r="A223" s="66" t="s">
        <v>28</v>
      </c>
      <c r="B223" s="67" t="s">
        <v>15</v>
      </c>
      <c r="C223" s="67" t="s">
        <v>16</v>
      </c>
      <c r="D223" s="68">
        <v>45009</v>
      </c>
      <c r="E223" s="69">
        <v>106493</v>
      </c>
      <c r="F223" s="70">
        <f t="shared" si="25"/>
        <v>0.99699510765965837</v>
      </c>
      <c r="G223" s="69">
        <v>320</v>
      </c>
      <c r="H223" s="69">
        <v>32923</v>
      </c>
      <c r="I223" s="70">
        <f t="shared" si="26"/>
        <v>0.30915647037833471</v>
      </c>
      <c r="J223" s="69">
        <v>888</v>
      </c>
      <c r="K223" s="70">
        <f t="shared" si="27"/>
        <v>8.3385762444479917E-3</v>
      </c>
      <c r="L223" s="70">
        <f t="shared" si="28"/>
        <v>2.6972025635573917E-2</v>
      </c>
      <c r="M223" s="69">
        <v>47</v>
      </c>
      <c r="N223" s="70">
        <f t="shared" si="29"/>
        <v>4.4134356248767527E-4</v>
      </c>
      <c r="O223" s="67" t="s">
        <v>16</v>
      </c>
    </row>
    <row r="224" spans="1:15" s="1" customFormat="1" x14ac:dyDescent="0.3">
      <c r="A224" s="66" t="s">
        <v>28</v>
      </c>
      <c r="B224" s="67" t="s">
        <v>18</v>
      </c>
      <c r="C224" s="67" t="s">
        <v>16</v>
      </c>
      <c r="D224" s="68">
        <v>45009</v>
      </c>
      <c r="E224" s="69">
        <v>203693</v>
      </c>
      <c r="F224" s="70">
        <f t="shared" si="25"/>
        <v>0.99774660886726596</v>
      </c>
      <c r="G224" s="69">
        <v>459</v>
      </c>
      <c r="H224" s="69">
        <v>61715</v>
      </c>
      <c r="I224" s="70">
        <f t="shared" si="26"/>
        <v>0.30298046570083409</v>
      </c>
      <c r="J224" s="69">
        <v>1427</v>
      </c>
      <c r="K224" s="70">
        <f t="shared" si="27"/>
        <v>7.0056408418551451E-3</v>
      </c>
      <c r="L224" s="70">
        <f t="shared" si="28"/>
        <v>2.312241756461152E-2</v>
      </c>
      <c r="M224" s="69">
        <v>457</v>
      </c>
      <c r="N224" s="70">
        <f t="shared" si="29"/>
        <v>2.2435724349879477E-3</v>
      </c>
      <c r="O224" s="67" t="s">
        <v>16</v>
      </c>
    </row>
    <row r="225" spans="1:15" s="1" customFormat="1" x14ac:dyDescent="0.3">
      <c r="A225" s="66" t="s">
        <v>22</v>
      </c>
      <c r="B225" s="67" t="s">
        <v>15</v>
      </c>
      <c r="C225" s="67" t="s">
        <v>16</v>
      </c>
      <c r="D225" s="68">
        <v>45009</v>
      </c>
      <c r="E225" s="69">
        <v>1666806</v>
      </c>
      <c r="F225" s="70">
        <f t="shared" si="25"/>
        <v>0.99701704937467228</v>
      </c>
      <c r="G225" s="69">
        <v>4972</v>
      </c>
      <c r="H225" s="69">
        <v>607779</v>
      </c>
      <c r="I225" s="70">
        <f t="shared" si="26"/>
        <v>0.36463691635379281</v>
      </c>
      <c r="J225" s="69">
        <v>10543</v>
      </c>
      <c r="K225" s="70">
        <f t="shared" si="27"/>
        <v>6.3252712073270673E-3</v>
      </c>
      <c r="L225" s="70">
        <f t="shared" si="28"/>
        <v>1.7346765847454419E-2</v>
      </c>
      <c r="M225" s="69">
        <v>1458</v>
      </c>
      <c r="N225" s="70">
        <f t="shared" si="29"/>
        <v>8.7472687283343111E-4</v>
      </c>
      <c r="O225" s="67" t="s">
        <v>16</v>
      </c>
    </row>
    <row r="226" spans="1:15" s="1" customFormat="1" x14ac:dyDescent="0.3">
      <c r="A226" s="66" t="s">
        <v>22</v>
      </c>
      <c r="B226" s="67" t="s">
        <v>18</v>
      </c>
      <c r="C226" s="67" t="s">
        <v>16</v>
      </c>
      <c r="D226" s="68">
        <v>45009</v>
      </c>
      <c r="E226" s="69">
        <v>2221901</v>
      </c>
      <c r="F226" s="70">
        <f t="shared" si="25"/>
        <v>0.99750033867395527</v>
      </c>
      <c r="G226" s="69">
        <v>5554</v>
      </c>
      <c r="H226" s="69">
        <v>761823</v>
      </c>
      <c r="I226" s="70">
        <f t="shared" si="26"/>
        <v>0.34286991184575732</v>
      </c>
      <c r="J226" s="69">
        <v>12121</v>
      </c>
      <c r="K226" s="70">
        <f t="shared" si="27"/>
        <v>5.455238554733087E-3</v>
      </c>
      <c r="L226" s="70">
        <f t="shared" si="28"/>
        <v>1.5910519897666519E-2</v>
      </c>
      <c r="M226" s="69">
        <v>3613</v>
      </c>
      <c r="N226" s="70">
        <f t="shared" si="29"/>
        <v>1.6260850505940634E-3</v>
      </c>
      <c r="O226" s="67" t="s">
        <v>16</v>
      </c>
    </row>
    <row r="227" spans="1:15" s="1" customFormat="1" x14ac:dyDescent="0.3">
      <c r="A227" s="76" t="s">
        <v>227</v>
      </c>
      <c r="B227" s="67" t="s">
        <v>15</v>
      </c>
      <c r="C227" s="67" t="s">
        <v>16</v>
      </c>
      <c r="D227" s="68">
        <v>45012</v>
      </c>
      <c r="E227" s="69">
        <v>90553</v>
      </c>
      <c r="F227" s="70">
        <f t="shared" si="25"/>
        <v>0.997780305456473</v>
      </c>
      <c r="G227" s="69">
        <v>201</v>
      </c>
      <c r="H227" s="69">
        <v>32038</v>
      </c>
      <c r="I227" s="70">
        <f t="shared" si="26"/>
        <v>0.35380384967919343</v>
      </c>
      <c r="J227" s="69">
        <v>517</v>
      </c>
      <c r="K227" s="70">
        <f t="shared" si="27"/>
        <v>5.7093635771316249E-3</v>
      </c>
      <c r="L227" s="70">
        <f t="shared" si="28"/>
        <v>1.6137087208939385E-2</v>
      </c>
      <c r="M227" s="69">
        <v>100</v>
      </c>
      <c r="N227" s="70">
        <f t="shared" si="29"/>
        <v>1.1043256435457687E-3</v>
      </c>
      <c r="O227" s="67" t="s">
        <v>16</v>
      </c>
    </row>
    <row r="228" spans="1:15" s="1" customFormat="1" x14ac:dyDescent="0.3">
      <c r="A228" s="76" t="s">
        <v>236</v>
      </c>
      <c r="B228" s="67" t="s">
        <v>15</v>
      </c>
      <c r="C228" s="67" t="s">
        <v>16</v>
      </c>
      <c r="D228" s="68">
        <v>45013</v>
      </c>
      <c r="E228" s="69">
        <v>90667</v>
      </c>
      <c r="F228" s="70">
        <f t="shared" si="25"/>
        <v>0.9973529509082687</v>
      </c>
      <c r="G228" s="69">
        <v>240</v>
      </c>
      <c r="H228" s="69">
        <v>32002</v>
      </c>
      <c r="I228" s="70">
        <f t="shared" si="26"/>
        <v>0.35296193763993516</v>
      </c>
      <c r="J228" s="69">
        <v>434</v>
      </c>
      <c r="K228" s="70">
        <f t="shared" si="27"/>
        <v>4.786747107547399E-3</v>
      </c>
      <c r="L228" s="70">
        <f t="shared" si="28"/>
        <v>1.3561652396725205E-2</v>
      </c>
      <c r="M228" s="69">
        <v>71</v>
      </c>
      <c r="N228" s="70">
        <f t="shared" si="29"/>
        <v>7.8308535630383712E-4</v>
      </c>
      <c r="O228" s="67" t="s">
        <v>16</v>
      </c>
    </row>
    <row r="229" spans="1:15" s="1" customFormat="1" x14ac:dyDescent="0.3">
      <c r="A229" s="66" t="s">
        <v>29</v>
      </c>
      <c r="B229" s="67" t="s">
        <v>15</v>
      </c>
      <c r="C229" s="67" t="s">
        <v>16</v>
      </c>
      <c r="D229" s="68">
        <v>45013</v>
      </c>
      <c r="E229" s="69">
        <v>25783</v>
      </c>
      <c r="F229" s="70">
        <f t="shared" si="25"/>
        <v>0.99658689834387004</v>
      </c>
      <c r="G229" s="69">
        <v>88</v>
      </c>
      <c r="H229" s="69">
        <v>9075</v>
      </c>
      <c r="I229" s="70">
        <f t="shared" si="26"/>
        <v>0.35197610828840709</v>
      </c>
      <c r="J229" s="69">
        <v>341</v>
      </c>
      <c r="K229" s="70">
        <f t="shared" si="27"/>
        <v>1.3225768917503782E-2</v>
      </c>
      <c r="L229" s="70">
        <f t="shared" si="28"/>
        <v>3.7575757575757575E-2</v>
      </c>
      <c r="M229" s="69">
        <v>14</v>
      </c>
      <c r="N229" s="70">
        <f t="shared" si="29"/>
        <v>5.429934452934104E-4</v>
      </c>
      <c r="O229" s="67" t="s">
        <v>16</v>
      </c>
    </row>
    <row r="230" spans="1:15" s="1" customFormat="1" x14ac:dyDescent="0.3">
      <c r="A230" s="66" t="s">
        <v>29</v>
      </c>
      <c r="B230" s="67" t="s">
        <v>18</v>
      </c>
      <c r="C230" s="67" t="s">
        <v>16</v>
      </c>
      <c r="D230" s="68">
        <v>45013</v>
      </c>
      <c r="E230" s="69">
        <v>26525</v>
      </c>
      <c r="F230" s="70">
        <f t="shared" si="25"/>
        <v>0.99841658812441092</v>
      </c>
      <c r="G230" s="69">
        <v>42</v>
      </c>
      <c r="H230" s="69">
        <v>9541</v>
      </c>
      <c r="I230" s="70">
        <f t="shared" si="26"/>
        <v>0.35969839773798301</v>
      </c>
      <c r="J230" s="69">
        <v>255</v>
      </c>
      <c r="K230" s="70">
        <f t="shared" si="27"/>
        <v>9.6135721017907641E-3</v>
      </c>
      <c r="L230" s="70">
        <f t="shared" si="28"/>
        <v>2.6726758201446391E-2</v>
      </c>
      <c r="M230" s="69">
        <v>34</v>
      </c>
      <c r="N230" s="70">
        <f t="shared" si="29"/>
        <v>1.2818096135721018E-3</v>
      </c>
      <c r="O230" s="67" t="s">
        <v>16</v>
      </c>
    </row>
    <row r="231" spans="1:15" s="1" customFormat="1" x14ac:dyDescent="0.3">
      <c r="A231" s="66" t="s">
        <v>17</v>
      </c>
      <c r="B231" s="67" t="s">
        <v>15</v>
      </c>
      <c r="C231" s="67" t="s">
        <v>16</v>
      </c>
      <c r="D231" s="68">
        <v>45013</v>
      </c>
      <c r="E231" s="69">
        <v>225120</v>
      </c>
      <c r="F231" s="70">
        <f t="shared" si="25"/>
        <v>0.99740138592750538</v>
      </c>
      <c r="G231" s="69">
        <v>585</v>
      </c>
      <c r="H231" s="69">
        <v>82855</v>
      </c>
      <c r="I231" s="70">
        <f t="shared" si="26"/>
        <v>0.36804815209665959</v>
      </c>
      <c r="J231" s="69">
        <v>1732</v>
      </c>
      <c r="K231" s="70">
        <f t="shared" si="27"/>
        <v>7.6936744847192606E-3</v>
      </c>
      <c r="L231" s="70">
        <f t="shared" si="28"/>
        <v>2.0903988896264557E-2</v>
      </c>
      <c r="M231" s="69">
        <v>117</v>
      </c>
      <c r="N231" s="70">
        <f t="shared" si="29"/>
        <v>5.1972281449893392E-4</v>
      </c>
      <c r="O231" s="67" t="s">
        <v>16</v>
      </c>
    </row>
    <row r="232" spans="1:15" s="1" customFormat="1" x14ac:dyDescent="0.3">
      <c r="A232" s="66" t="s">
        <v>17</v>
      </c>
      <c r="B232" s="67" t="s">
        <v>18</v>
      </c>
      <c r="C232" s="67" t="s">
        <v>16</v>
      </c>
      <c r="D232" s="68">
        <v>45013</v>
      </c>
      <c r="E232" s="69">
        <v>440828</v>
      </c>
      <c r="F232" s="70">
        <f t="shared" si="25"/>
        <v>0.9980173673178655</v>
      </c>
      <c r="G232" s="69">
        <v>874</v>
      </c>
      <c r="H232" s="69">
        <v>165876</v>
      </c>
      <c r="I232" s="70">
        <f t="shared" si="26"/>
        <v>0.37628281325142687</v>
      </c>
      <c r="J232" s="69">
        <v>2331</v>
      </c>
      <c r="K232" s="70">
        <f t="shared" si="27"/>
        <v>5.287776638507536E-3</v>
      </c>
      <c r="L232" s="70">
        <f t="shared" si="28"/>
        <v>1.4052665846777111E-2</v>
      </c>
      <c r="M232" s="69">
        <v>441</v>
      </c>
      <c r="N232" s="70">
        <f t="shared" si="29"/>
        <v>1.0003901748527771E-3</v>
      </c>
      <c r="O232" s="67" t="s">
        <v>16</v>
      </c>
    </row>
    <row r="233" spans="1:15" s="1" customFormat="1" x14ac:dyDescent="0.3">
      <c r="A233" s="76" t="s">
        <v>234</v>
      </c>
      <c r="B233" s="67" t="s">
        <v>15</v>
      </c>
      <c r="C233" s="67" t="s">
        <v>16</v>
      </c>
      <c r="D233" s="68">
        <v>45015</v>
      </c>
      <c r="E233" s="69">
        <v>1023840</v>
      </c>
      <c r="F233" s="70">
        <f t="shared" si="25"/>
        <v>0.99733356774496018</v>
      </c>
      <c r="G233" s="69">
        <v>2730</v>
      </c>
      <c r="H233" s="69">
        <v>443119</v>
      </c>
      <c r="I233" s="70">
        <f t="shared" si="26"/>
        <v>0.43280102359743711</v>
      </c>
      <c r="J233" s="69">
        <v>4865</v>
      </c>
      <c r="K233" s="70">
        <f t="shared" si="27"/>
        <v>4.7517190185966561E-3</v>
      </c>
      <c r="L233" s="70">
        <f t="shared" si="28"/>
        <v>1.0978992099187802E-2</v>
      </c>
      <c r="M233" s="69">
        <v>960</v>
      </c>
      <c r="N233" s="70">
        <f t="shared" si="29"/>
        <v>9.3764650726676048E-4</v>
      </c>
      <c r="O233" s="67" t="s">
        <v>16</v>
      </c>
    </row>
    <row r="234" spans="1:15" s="1" customFormat="1" x14ac:dyDescent="0.3">
      <c r="A234" s="66" t="s">
        <v>28</v>
      </c>
      <c r="B234" s="67" t="s">
        <v>15</v>
      </c>
      <c r="C234" s="67" t="s">
        <v>16</v>
      </c>
      <c r="D234" s="68">
        <v>45016</v>
      </c>
      <c r="E234" s="69">
        <v>104288</v>
      </c>
      <c r="F234" s="70">
        <f t="shared" si="25"/>
        <v>0.99554119361767412</v>
      </c>
      <c r="G234" s="69">
        <v>465</v>
      </c>
      <c r="H234" s="69">
        <v>32278</v>
      </c>
      <c r="I234" s="70">
        <f t="shared" si="26"/>
        <v>0.30950828474992331</v>
      </c>
      <c r="J234" s="69">
        <v>708</v>
      </c>
      <c r="K234" s="70">
        <f t="shared" si="27"/>
        <v>6.7888922982509972E-3</v>
      </c>
      <c r="L234" s="70">
        <f t="shared" si="28"/>
        <v>2.1934444513290786E-2</v>
      </c>
      <c r="M234" s="69">
        <v>56</v>
      </c>
      <c r="N234" s="70">
        <f t="shared" si="29"/>
        <v>5.3697453206505061E-4</v>
      </c>
      <c r="O234" s="67" t="s">
        <v>16</v>
      </c>
    </row>
    <row r="235" spans="1:15" s="1" customFormat="1" x14ac:dyDescent="0.3">
      <c r="A235" s="66" t="s">
        <v>28</v>
      </c>
      <c r="B235" s="67" t="s">
        <v>18</v>
      </c>
      <c r="C235" s="67" t="s">
        <v>16</v>
      </c>
      <c r="D235" s="68">
        <v>45016</v>
      </c>
      <c r="E235" s="69">
        <v>203955</v>
      </c>
      <c r="F235" s="70">
        <f t="shared" si="25"/>
        <v>0.99638645779706303</v>
      </c>
      <c r="G235" s="69">
        <v>737</v>
      </c>
      <c r="H235" s="69">
        <v>63325</v>
      </c>
      <c r="I235" s="70">
        <f t="shared" si="26"/>
        <v>0.31048515603932242</v>
      </c>
      <c r="J235" s="69">
        <v>1172</v>
      </c>
      <c r="K235" s="70">
        <f t="shared" si="27"/>
        <v>5.7463656198671279E-3</v>
      </c>
      <c r="L235" s="70">
        <f t="shared" si="28"/>
        <v>1.850769838136597E-2</v>
      </c>
      <c r="M235" s="69">
        <v>397</v>
      </c>
      <c r="N235" s="70">
        <f t="shared" si="29"/>
        <v>1.9465078080949229E-3</v>
      </c>
      <c r="O235" s="67" t="s">
        <v>16</v>
      </c>
    </row>
    <row r="236" spans="1:15" s="1" customFormat="1" x14ac:dyDescent="0.3">
      <c r="A236" s="66" t="s">
        <v>22</v>
      </c>
      <c r="B236" s="67" t="s">
        <v>15</v>
      </c>
      <c r="C236" s="67" t="s">
        <v>16</v>
      </c>
      <c r="D236" s="68">
        <v>45016</v>
      </c>
      <c r="E236" s="69">
        <v>1832170</v>
      </c>
      <c r="F236" s="70">
        <f t="shared" si="25"/>
        <v>0.99662040094532711</v>
      </c>
      <c r="G236" s="69">
        <v>6192</v>
      </c>
      <c r="H236" s="69">
        <v>648690</v>
      </c>
      <c r="I236" s="70">
        <f t="shared" si="26"/>
        <v>0.35405557344569555</v>
      </c>
      <c r="J236" s="69">
        <v>9783</v>
      </c>
      <c r="K236" s="70">
        <f t="shared" si="27"/>
        <v>5.3395700180660088E-3</v>
      </c>
      <c r="L236" s="70">
        <f t="shared" si="28"/>
        <v>1.5081163575822041E-2</v>
      </c>
      <c r="M236" s="69">
        <v>1579</v>
      </c>
      <c r="N236" s="70">
        <f t="shared" si="29"/>
        <v>8.6181959097681989E-4</v>
      </c>
      <c r="O236" s="67" t="s">
        <v>16</v>
      </c>
    </row>
    <row r="237" spans="1:15" s="1" customFormat="1" x14ac:dyDescent="0.3">
      <c r="A237" s="66" t="s">
        <v>22</v>
      </c>
      <c r="B237" s="67" t="s">
        <v>18</v>
      </c>
      <c r="C237" s="67" t="s">
        <v>16</v>
      </c>
      <c r="D237" s="68">
        <v>45016</v>
      </c>
      <c r="E237" s="69">
        <v>2233662</v>
      </c>
      <c r="F237" s="70">
        <f t="shared" si="25"/>
        <v>0.996934182521796</v>
      </c>
      <c r="G237" s="69">
        <v>6848</v>
      </c>
      <c r="H237" s="69">
        <v>765579</v>
      </c>
      <c r="I237" s="70">
        <f t="shared" si="26"/>
        <v>0.34274612721172676</v>
      </c>
      <c r="J237" s="69">
        <v>11408</v>
      </c>
      <c r="K237" s="70">
        <f t="shared" si="27"/>
        <v>5.1073080886902319E-3</v>
      </c>
      <c r="L237" s="70">
        <f t="shared" si="28"/>
        <v>1.4901140182789758E-2</v>
      </c>
      <c r="M237" s="69">
        <v>3808</v>
      </c>
      <c r="N237" s="70">
        <f t="shared" si="29"/>
        <v>1.7048237378797688E-3</v>
      </c>
      <c r="O237" s="67" t="s">
        <v>16</v>
      </c>
    </row>
    <row r="238" spans="1:15" s="1" customFormat="1" x14ac:dyDescent="0.3">
      <c r="A238" s="76" t="s">
        <v>36</v>
      </c>
      <c r="B238" s="67" t="s">
        <v>15</v>
      </c>
      <c r="C238" s="67" t="s">
        <v>16</v>
      </c>
      <c r="D238" s="68">
        <v>45017</v>
      </c>
      <c r="E238" s="69">
        <v>1814</v>
      </c>
      <c r="F238" s="70">
        <f t="shared" si="25"/>
        <v>0.99448732083792724</v>
      </c>
      <c r="G238" s="69">
        <v>10</v>
      </c>
      <c r="H238" s="69">
        <v>885</v>
      </c>
      <c r="I238" s="70">
        <f t="shared" si="26"/>
        <v>0.48787210584343993</v>
      </c>
      <c r="J238" s="69">
        <v>122</v>
      </c>
      <c r="K238" s="70">
        <f t="shared" si="27"/>
        <v>6.7254685777287757E-2</v>
      </c>
      <c r="L238" s="70">
        <f t="shared" si="28"/>
        <v>0.13785310734463277</v>
      </c>
      <c r="M238" s="69">
        <v>1</v>
      </c>
      <c r="N238" s="70">
        <f t="shared" si="29"/>
        <v>5.5126791620727675E-4</v>
      </c>
      <c r="O238" s="67" t="s">
        <v>16</v>
      </c>
    </row>
    <row r="239" spans="1:15" s="1" customFormat="1" x14ac:dyDescent="0.3">
      <c r="A239" s="76" t="s">
        <v>36</v>
      </c>
      <c r="B239" s="67" t="s">
        <v>18</v>
      </c>
      <c r="C239" s="67" t="s">
        <v>16</v>
      </c>
      <c r="D239" s="68">
        <v>45017</v>
      </c>
      <c r="E239" s="69">
        <v>1882</v>
      </c>
      <c r="F239" s="70">
        <f t="shared" si="25"/>
        <v>0.99734325185972372</v>
      </c>
      <c r="G239" s="69">
        <v>5</v>
      </c>
      <c r="H239" s="69">
        <v>802</v>
      </c>
      <c r="I239" s="70">
        <f t="shared" si="26"/>
        <v>0.42614240170031881</v>
      </c>
      <c r="J239" s="69">
        <v>68</v>
      </c>
      <c r="K239" s="70">
        <f t="shared" si="27"/>
        <v>3.6131774707757705E-2</v>
      </c>
      <c r="L239" s="70">
        <f t="shared" si="28"/>
        <v>8.4788029925187039E-2</v>
      </c>
      <c r="M239" s="69">
        <v>10</v>
      </c>
      <c r="N239" s="70">
        <f t="shared" si="29"/>
        <v>5.3134962805526037E-3</v>
      </c>
      <c r="O239" s="67" t="s">
        <v>16</v>
      </c>
    </row>
    <row r="240" spans="1:15" s="1" customFormat="1" x14ac:dyDescent="0.3">
      <c r="A240" s="76" t="s">
        <v>37</v>
      </c>
      <c r="B240" s="67" t="s">
        <v>15</v>
      </c>
      <c r="C240" s="67" t="s">
        <v>16</v>
      </c>
      <c r="D240" s="68">
        <v>45017</v>
      </c>
      <c r="E240" s="69">
        <v>16166</v>
      </c>
      <c r="F240" s="70">
        <f t="shared" si="25"/>
        <v>0.99653593962637632</v>
      </c>
      <c r="G240" s="69">
        <v>56</v>
      </c>
      <c r="H240" s="69">
        <v>7099</v>
      </c>
      <c r="I240" s="70">
        <f t="shared" si="26"/>
        <v>0.43913151057775579</v>
      </c>
      <c r="J240" s="69">
        <v>748</v>
      </c>
      <c r="K240" s="70">
        <f t="shared" si="27"/>
        <v>4.6269949276258812E-2</v>
      </c>
      <c r="L240" s="70">
        <f t="shared" si="28"/>
        <v>0.10536695309198478</v>
      </c>
      <c r="M240" s="69">
        <v>10</v>
      </c>
      <c r="N240" s="70">
        <f t="shared" si="29"/>
        <v>6.1858220957565263E-4</v>
      </c>
      <c r="O240" s="67" t="s">
        <v>16</v>
      </c>
    </row>
    <row r="241" spans="1:15" s="1" customFormat="1" x14ac:dyDescent="0.3">
      <c r="A241" s="76" t="s">
        <v>37</v>
      </c>
      <c r="B241" s="67" t="s">
        <v>18</v>
      </c>
      <c r="C241" s="67" t="s">
        <v>16</v>
      </c>
      <c r="D241" s="68">
        <v>45017</v>
      </c>
      <c r="E241" s="69">
        <v>22355</v>
      </c>
      <c r="F241" s="70">
        <f t="shared" si="25"/>
        <v>0.99655558040706782</v>
      </c>
      <c r="G241" s="69">
        <v>77</v>
      </c>
      <c r="H241" s="69">
        <v>9186</v>
      </c>
      <c r="I241" s="70">
        <f t="shared" si="26"/>
        <v>0.41091478416461641</v>
      </c>
      <c r="J241" s="69">
        <v>627</v>
      </c>
      <c r="K241" s="70">
        <f t="shared" si="27"/>
        <v>2.8047416685305301E-2</v>
      </c>
      <c r="L241" s="70">
        <f t="shared" si="28"/>
        <v>6.8256041802743306E-2</v>
      </c>
      <c r="M241" s="69">
        <v>57</v>
      </c>
      <c r="N241" s="70">
        <f t="shared" si="29"/>
        <v>2.5497651532095729E-3</v>
      </c>
      <c r="O241" s="67" t="s">
        <v>16</v>
      </c>
    </row>
    <row r="242" spans="1:15" s="1" customFormat="1" x14ac:dyDescent="0.3">
      <c r="A242" s="76" t="s">
        <v>241</v>
      </c>
      <c r="B242" s="67" t="s">
        <v>15</v>
      </c>
      <c r="C242" s="67" t="s">
        <v>16</v>
      </c>
      <c r="D242" s="68">
        <v>45019</v>
      </c>
      <c r="E242" s="69">
        <v>128556</v>
      </c>
      <c r="F242" s="70">
        <f t="shared" si="25"/>
        <v>0.99466380410093658</v>
      </c>
      <c r="G242" s="69">
        <v>686</v>
      </c>
      <c r="H242" s="69">
        <v>45200</v>
      </c>
      <c r="I242" s="70">
        <f t="shared" si="26"/>
        <v>0.3515977472852298</v>
      </c>
      <c r="J242" s="69">
        <v>1555</v>
      </c>
      <c r="K242" s="70">
        <f t="shared" si="27"/>
        <v>1.2095895951958679E-2</v>
      </c>
      <c r="L242" s="70">
        <f t="shared" si="28"/>
        <v>3.4402654867256639E-2</v>
      </c>
      <c r="M242" s="69">
        <v>68</v>
      </c>
      <c r="N242" s="70">
        <f t="shared" si="29"/>
        <v>5.289523631724696E-4</v>
      </c>
      <c r="O242" s="67" t="s">
        <v>16</v>
      </c>
    </row>
    <row r="243" spans="1:15" s="1" customFormat="1" x14ac:dyDescent="0.3">
      <c r="A243" s="76" t="s">
        <v>241</v>
      </c>
      <c r="B243" s="67" t="s">
        <v>18</v>
      </c>
      <c r="C243" s="67" t="s">
        <v>16</v>
      </c>
      <c r="D243" s="68">
        <v>45019</v>
      </c>
      <c r="E243" s="69">
        <v>216603</v>
      </c>
      <c r="F243" s="70">
        <f t="shared" si="25"/>
        <v>0.99551252752731956</v>
      </c>
      <c r="G243" s="69">
        <v>972</v>
      </c>
      <c r="H243" s="69">
        <v>73144</v>
      </c>
      <c r="I243" s="70">
        <f t="shared" si="26"/>
        <v>0.33768692031042968</v>
      </c>
      <c r="J243" s="69">
        <v>1750</v>
      </c>
      <c r="K243" s="70">
        <f t="shared" si="27"/>
        <v>8.0792971473155964E-3</v>
      </c>
      <c r="L243" s="70">
        <f t="shared" si="28"/>
        <v>2.3925407415509133E-2</v>
      </c>
      <c r="M243" s="69">
        <v>567</v>
      </c>
      <c r="N243" s="70">
        <f t="shared" si="29"/>
        <v>2.6176922757302529E-3</v>
      </c>
      <c r="O243" s="67" t="s">
        <v>16</v>
      </c>
    </row>
    <row r="244" spans="1:15" s="1" customFormat="1" x14ac:dyDescent="0.3">
      <c r="A244" s="76" t="s">
        <v>242</v>
      </c>
      <c r="B244" s="67" t="s">
        <v>15</v>
      </c>
      <c r="C244" s="67" t="s">
        <v>16</v>
      </c>
      <c r="D244" s="68">
        <v>45019</v>
      </c>
      <c r="E244" s="69">
        <v>2253005</v>
      </c>
      <c r="F244" s="70">
        <f t="shared" si="25"/>
        <v>0.99629960874476531</v>
      </c>
      <c r="G244" s="69">
        <v>8337</v>
      </c>
      <c r="H244" s="69">
        <v>838316</v>
      </c>
      <c r="I244" s="70">
        <f t="shared" si="26"/>
        <v>0.37208794476709994</v>
      </c>
      <c r="J244" s="69">
        <v>12156</v>
      </c>
      <c r="K244" s="70">
        <f t="shared" si="27"/>
        <v>5.395460729115115E-3</v>
      </c>
      <c r="L244" s="70">
        <f t="shared" si="28"/>
        <v>1.4500498618659312E-2</v>
      </c>
      <c r="M244" s="69">
        <v>1997</v>
      </c>
      <c r="N244" s="70">
        <f t="shared" si="29"/>
        <v>8.8637175683143178E-4</v>
      </c>
      <c r="O244" s="67" t="s">
        <v>16</v>
      </c>
    </row>
    <row r="245" spans="1:15" s="1" customFormat="1" x14ac:dyDescent="0.3">
      <c r="A245" s="76" t="s">
        <v>242</v>
      </c>
      <c r="B245" s="67" t="s">
        <v>18</v>
      </c>
      <c r="C245" s="67" t="s">
        <v>16</v>
      </c>
      <c r="D245" s="68">
        <v>45019</v>
      </c>
      <c r="E245" s="69">
        <v>2403673</v>
      </c>
      <c r="F245" s="70">
        <f t="shared" si="25"/>
        <v>0.99669048160877127</v>
      </c>
      <c r="G245" s="69">
        <v>7955</v>
      </c>
      <c r="H245" s="69">
        <v>863594</v>
      </c>
      <c r="I245" s="70">
        <f t="shared" si="26"/>
        <v>0.35928098372781986</v>
      </c>
      <c r="J245" s="69">
        <v>10720</v>
      </c>
      <c r="K245" s="70">
        <f t="shared" si="27"/>
        <v>4.4598412512850127E-3</v>
      </c>
      <c r="L245" s="70">
        <f t="shared" si="28"/>
        <v>1.2413240481059388E-2</v>
      </c>
      <c r="M245" s="69">
        <v>4907</v>
      </c>
      <c r="N245" s="70">
        <f t="shared" si="29"/>
        <v>2.0414590503783168E-3</v>
      </c>
      <c r="O245" s="67" t="s">
        <v>16</v>
      </c>
    </row>
    <row r="246" spans="1:15" s="1" customFormat="1" x14ac:dyDescent="0.3">
      <c r="A246" s="66" t="s">
        <v>29</v>
      </c>
      <c r="B246" s="67" t="s">
        <v>15</v>
      </c>
      <c r="C246" s="67" t="s">
        <v>16</v>
      </c>
      <c r="D246" s="68">
        <v>45020</v>
      </c>
      <c r="E246" s="69">
        <v>25867</v>
      </c>
      <c r="F246" s="70">
        <f t="shared" si="25"/>
        <v>0.99501295086403529</v>
      </c>
      <c r="G246" s="69">
        <v>129</v>
      </c>
      <c r="H246" s="69">
        <v>8935</v>
      </c>
      <c r="I246" s="70">
        <f t="shared" si="26"/>
        <v>0.34542080643290679</v>
      </c>
      <c r="J246" s="69">
        <v>260</v>
      </c>
      <c r="K246" s="70">
        <f t="shared" si="27"/>
        <v>1.0051416863184753E-2</v>
      </c>
      <c r="L246" s="70">
        <f t="shared" si="28"/>
        <v>2.9099048684946838E-2</v>
      </c>
      <c r="M246" s="69">
        <v>13</v>
      </c>
      <c r="N246" s="70">
        <f t="shared" si="29"/>
        <v>5.0257084315923767E-4</v>
      </c>
      <c r="O246" s="67" t="s">
        <v>16</v>
      </c>
    </row>
    <row r="247" spans="1:15" s="1" customFormat="1" x14ac:dyDescent="0.3">
      <c r="A247" s="66" t="s">
        <v>29</v>
      </c>
      <c r="B247" s="67" t="s">
        <v>18</v>
      </c>
      <c r="C247" s="67" t="s">
        <v>16</v>
      </c>
      <c r="D247" s="68">
        <v>45020</v>
      </c>
      <c r="E247" s="69">
        <v>26633</v>
      </c>
      <c r="F247" s="70">
        <f t="shared" si="25"/>
        <v>0.99575714339353438</v>
      </c>
      <c r="G247" s="69">
        <v>113</v>
      </c>
      <c r="H247" s="69">
        <v>9755</v>
      </c>
      <c r="I247" s="70">
        <f t="shared" si="26"/>
        <v>0.36627492208913753</v>
      </c>
      <c r="J247" s="69">
        <v>202</v>
      </c>
      <c r="K247" s="70">
        <f t="shared" si="27"/>
        <v>7.5845755266023352E-3</v>
      </c>
      <c r="L247" s="70">
        <f t="shared" si="28"/>
        <v>2.0707329574577139E-2</v>
      </c>
      <c r="M247" s="69">
        <v>33</v>
      </c>
      <c r="N247" s="70">
        <f t="shared" si="29"/>
        <v>1.2390643187023618E-3</v>
      </c>
      <c r="O247" s="67" t="s">
        <v>16</v>
      </c>
    </row>
    <row r="248" spans="1:15" s="1" customFormat="1" x14ac:dyDescent="0.3">
      <c r="A248" s="66" t="s">
        <v>17</v>
      </c>
      <c r="B248" s="67" t="s">
        <v>15</v>
      </c>
      <c r="C248" s="67" t="s">
        <v>16</v>
      </c>
      <c r="D248" s="68">
        <v>45020</v>
      </c>
      <c r="E248" s="69">
        <v>227842</v>
      </c>
      <c r="F248" s="70">
        <f t="shared" si="25"/>
        <v>0.99610256230194605</v>
      </c>
      <c r="G248" s="69">
        <v>888</v>
      </c>
      <c r="H248" s="69">
        <v>81592</v>
      </c>
      <c r="I248" s="70">
        <f t="shared" si="26"/>
        <v>0.35810781155362048</v>
      </c>
      <c r="J248" s="69">
        <v>1540</v>
      </c>
      <c r="K248" s="70">
        <f t="shared" si="27"/>
        <v>6.759069881760167E-3</v>
      </c>
      <c r="L248" s="70">
        <f t="shared" si="28"/>
        <v>1.887439945092656E-2</v>
      </c>
      <c r="M248" s="69">
        <v>128</v>
      </c>
      <c r="N248" s="70">
        <f t="shared" si="29"/>
        <v>5.6179282134110481E-4</v>
      </c>
      <c r="O248" s="67" t="s">
        <v>16</v>
      </c>
    </row>
    <row r="249" spans="1:15" s="1" customFormat="1" x14ac:dyDescent="0.3">
      <c r="A249" s="66" t="s">
        <v>17</v>
      </c>
      <c r="B249" s="67" t="s">
        <v>18</v>
      </c>
      <c r="C249" s="67" t="s">
        <v>16</v>
      </c>
      <c r="D249" s="68">
        <v>45020</v>
      </c>
      <c r="E249" s="69">
        <v>443643</v>
      </c>
      <c r="F249" s="70">
        <f t="shared" si="25"/>
        <v>0.99684881763039201</v>
      </c>
      <c r="G249" s="69">
        <v>1398</v>
      </c>
      <c r="H249" s="69">
        <v>171518</v>
      </c>
      <c r="I249" s="70">
        <f t="shared" si="26"/>
        <v>0.38661265927784277</v>
      </c>
      <c r="J249" s="69">
        <v>2261</v>
      </c>
      <c r="K249" s="70">
        <f t="shared" si="27"/>
        <v>5.0964401557107852E-3</v>
      </c>
      <c r="L249" s="70">
        <f t="shared" si="28"/>
        <v>1.3182289905432666E-2</v>
      </c>
      <c r="M249" s="69">
        <v>463</v>
      </c>
      <c r="N249" s="70">
        <f t="shared" si="29"/>
        <v>1.0436319292764678E-3</v>
      </c>
      <c r="O249" s="67" t="s">
        <v>16</v>
      </c>
    </row>
    <row r="250" spans="1:15" s="1" customFormat="1" x14ac:dyDescent="0.3">
      <c r="A250" s="76" t="s">
        <v>243</v>
      </c>
      <c r="B250" s="67" t="s">
        <v>15</v>
      </c>
      <c r="C250" s="67" t="s">
        <v>16</v>
      </c>
      <c r="D250" s="68">
        <v>45021</v>
      </c>
      <c r="E250" s="69">
        <v>128660</v>
      </c>
      <c r="F250" s="70">
        <f t="shared" si="25"/>
        <v>0.99486242810508319</v>
      </c>
      <c r="G250" s="69">
        <v>661</v>
      </c>
      <c r="H250" s="69">
        <v>43859</v>
      </c>
      <c r="I250" s="70">
        <f t="shared" si="26"/>
        <v>0.34089071972641072</v>
      </c>
      <c r="J250" s="69">
        <v>886</v>
      </c>
      <c r="K250" s="70">
        <f t="shared" si="27"/>
        <v>6.8863671692833825E-3</v>
      </c>
      <c r="L250" s="70">
        <f t="shared" si="28"/>
        <v>2.0201098976264847E-2</v>
      </c>
      <c r="M250" s="69">
        <v>71</v>
      </c>
      <c r="N250" s="70">
        <f t="shared" si="29"/>
        <v>5.5184206435566607E-4</v>
      </c>
      <c r="O250" s="67" t="s">
        <v>16</v>
      </c>
    </row>
    <row r="251" spans="1:15" s="1" customFormat="1" x14ac:dyDescent="0.3">
      <c r="A251" s="76" t="s">
        <v>243</v>
      </c>
      <c r="B251" s="67" t="s">
        <v>18</v>
      </c>
      <c r="C251" s="67" t="s">
        <v>16</v>
      </c>
      <c r="D251" s="68">
        <v>45021</v>
      </c>
      <c r="E251" s="69">
        <v>216423</v>
      </c>
      <c r="F251" s="70">
        <f t="shared" si="25"/>
        <v>0.99594312988915223</v>
      </c>
      <c r="G251" s="69">
        <v>878</v>
      </c>
      <c r="H251" s="69">
        <v>71195</v>
      </c>
      <c r="I251" s="70">
        <f t="shared" si="26"/>
        <v>0.3289622637150395</v>
      </c>
      <c r="J251" s="69">
        <v>1475</v>
      </c>
      <c r="K251" s="70">
        <f t="shared" si="27"/>
        <v>6.8153569629845253E-3</v>
      </c>
      <c r="L251" s="70">
        <f t="shared" si="28"/>
        <v>2.0717747032797246E-2</v>
      </c>
      <c r="M251" s="69">
        <v>651</v>
      </c>
      <c r="N251" s="70">
        <f t="shared" si="29"/>
        <v>3.0079982256968991E-3</v>
      </c>
      <c r="O251" s="67" t="s">
        <v>16</v>
      </c>
    </row>
    <row r="252" spans="1:15" s="1" customFormat="1" x14ac:dyDescent="0.3">
      <c r="A252" s="101" t="s">
        <v>244</v>
      </c>
      <c r="B252" s="67" t="s">
        <v>15</v>
      </c>
      <c r="C252" s="67" t="s">
        <v>16</v>
      </c>
      <c r="D252" s="68">
        <v>45021</v>
      </c>
      <c r="E252" s="69">
        <v>2259347</v>
      </c>
      <c r="F252" s="70">
        <f t="shared" si="25"/>
        <v>0.99637461620547885</v>
      </c>
      <c r="G252" s="69">
        <v>8191</v>
      </c>
      <c r="H252" s="69">
        <v>823705</v>
      </c>
      <c r="I252" s="70">
        <f t="shared" si="26"/>
        <v>0.36457657898498991</v>
      </c>
      <c r="J252" s="69">
        <v>11702</v>
      </c>
      <c r="K252" s="70">
        <f t="shared" si="27"/>
        <v>5.1793726240369452E-3</v>
      </c>
      <c r="L252" s="70">
        <f t="shared" si="28"/>
        <v>1.4206542390783108E-2</v>
      </c>
      <c r="M252" s="69">
        <v>2066</v>
      </c>
      <c r="N252" s="70">
        <f t="shared" si="29"/>
        <v>9.1442350378228752E-4</v>
      </c>
      <c r="O252" s="67" t="s">
        <v>16</v>
      </c>
    </row>
    <row r="253" spans="1:15" s="1" customFormat="1" x14ac:dyDescent="0.3">
      <c r="A253" s="101" t="s">
        <v>244</v>
      </c>
      <c r="B253" s="67" t="s">
        <v>18</v>
      </c>
      <c r="C253" s="67" t="s">
        <v>16</v>
      </c>
      <c r="D253" s="68">
        <v>45021</v>
      </c>
      <c r="E253" s="69">
        <v>2406202</v>
      </c>
      <c r="F253" s="70">
        <f t="shared" si="25"/>
        <v>0.99671432406755545</v>
      </c>
      <c r="G253" s="69">
        <v>7906</v>
      </c>
      <c r="H253" s="69">
        <v>855191</v>
      </c>
      <c r="I253" s="70">
        <f t="shared" si="26"/>
        <v>0.35541114170796967</v>
      </c>
      <c r="J253" s="69">
        <v>12252</v>
      </c>
      <c r="K253" s="70">
        <f t="shared" si="27"/>
        <v>5.0918418320656375E-3</v>
      </c>
      <c r="L253" s="70">
        <f t="shared" si="28"/>
        <v>1.4326624110871138E-2</v>
      </c>
      <c r="M253" s="69">
        <v>5408</v>
      </c>
      <c r="N253" s="70">
        <f t="shared" si="29"/>
        <v>2.2475253532330203E-3</v>
      </c>
      <c r="O253" s="67" t="s">
        <v>16</v>
      </c>
    </row>
    <row r="254" spans="1:15" s="1" customFormat="1" x14ac:dyDescent="0.3">
      <c r="A254" s="76" t="s">
        <v>245</v>
      </c>
      <c r="B254" s="67" t="s">
        <v>18</v>
      </c>
      <c r="C254" s="67" t="s">
        <v>16</v>
      </c>
      <c r="D254" s="68">
        <v>45021</v>
      </c>
      <c r="E254" s="69">
        <v>5712</v>
      </c>
      <c r="F254" s="70">
        <f t="shared" si="25"/>
        <v>0.99632352941176472</v>
      </c>
      <c r="G254" s="69">
        <v>21</v>
      </c>
      <c r="H254" s="69">
        <v>2824</v>
      </c>
      <c r="I254" s="70">
        <f t="shared" si="26"/>
        <v>0.49439775910364148</v>
      </c>
      <c r="J254" s="69">
        <v>54</v>
      </c>
      <c r="K254" s="70">
        <f t="shared" si="27"/>
        <v>9.4537815126050414E-3</v>
      </c>
      <c r="L254" s="70">
        <f t="shared" si="28"/>
        <v>1.9121813031161474E-2</v>
      </c>
      <c r="M254" s="69">
        <v>12</v>
      </c>
      <c r="N254" s="70">
        <f t="shared" si="29"/>
        <v>2.1008403361344537E-3</v>
      </c>
      <c r="O254" s="67" t="s">
        <v>16</v>
      </c>
    </row>
    <row r="255" spans="1:15" s="1" customFormat="1" x14ac:dyDescent="0.3">
      <c r="A255" s="76" t="s">
        <v>245</v>
      </c>
      <c r="B255" s="67" t="s">
        <v>15</v>
      </c>
      <c r="C255" s="67" t="s">
        <v>16</v>
      </c>
      <c r="D255" s="68">
        <v>45021</v>
      </c>
      <c r="E255" s="69">
        <v>13550</v>
      </c>
      <c r="F255" s="70">
        <f t="shared" si="25"/>
        <v>0.99542435424354248</v>
      </c>
      <c r="G255" s="69">
        <v>62</v>
      </c>
      <c r="H255" s="69">
        <v>5986</v>
      </c>
      <c r="I255" s="70">
        <f t="shared" si="26"/>
        <v>0.44177121771217714</v>
      </c>
      <c r="J255" s="69">
        <v>107</v>
      </c>
      <c r="K255" s="70">
        <f t="shared" si="27"/>
        <v>7.8966789667896681E-3</v>
      </c>
      <c r="L255" s="70">
        <f t="shared" si="28"/>
        <v>1.7875041764116271E-2</v>
      </c>
      <c r="M255" s="69">
        <v>8</v>
      </c>
      <c r="N255" s="70">
        <f t="shared" si="29"/>
        <v>5.9040590405904064E-4</v>
      </c>
      <c r="O255" s="67" t="s">
        <v>16</v>
      </c>
    </row>
    <row r="256" spans="1:15" s="1" customFormat="1" x14ac:dyDescent="0.3">
      <c r="A256" s="76" t="s">
        <v>246</v>
      </c>
      <c r="B256" s="67" t="s">
        <v>15</v>
      </c>
      <c r="C256" s="67" t="s">
        <v>16</v>
      </c>
      <c r="D256" s="68">
        <v>45021</v>
      </c>
      <c r="E256" s="69">
        <v>63802</v>
      </c>
      <c r="F256" s="70">
        <f t="shared" si="25"/>
        <v>0.99667722014983862</v>
      </c>
      <c r="G256" s="69">
        <v>212</v>
      </c>
      <c r="H256" s="69">
        <v>23301</v>
      </c>
      <c r="I256" s="70">
        <f t="shared" si="26"/>
        <v>0.36520798721043229</v>
      </c>
      <c r="J256" s="69">
        <v>267</v>
      </c>
      <c r="K256" s="70">
        <f t="shared" si="27"/>
        <v>4.1848217924203004E-3</v>
      </c>
      <c r="L256" s="70">
        <f t="shared" si="28"/>
        <v>1.1458735676580404E-2</v>
      </c>
      <c r="M256" s="69">
        <v>48</v>
      </c>
      <c r="N256" s="70">
        <f t="shared" si="29"/>
        <v>7.5232751324409892E-4</v>
      </c>
      <c r="O256" s="67" t="s">
        <v>16</v>
      </c>
    </row>
    <row r="257" spans="1:15" s="1" customFormat="1" x14ac:dyDescent="0.3">
      <c r="A257" s="76" t="s">
        <v>247</v>
      </c>
      <c r="B257" s="67" t="s">
        <v>15</v>
      </c>
      <c r="C257" s="67" t="s">
        <v>16</v>
      </c>
      <c r="D257" s="68">
        <v>45022</v>
      </c>
      <c r="E257" s="69">
        <v>2098</v>
      </c>
      <c r="F257" s="70">
        <f t="shared" si="25"/>
        <v>0.99475691134413724</v>
      </c>
      <c r="G257" s="69">
        <v>11</v>
      </c>
      <c r="H257" s="69">
        <v>642</v>
      </c>
      <c r="I257" s="70">
        <f t="shared" si="26"/>
        <v>0.30600571973307911</v>
      </c>
      <c r="J257" s="69">
        <v>29</v>
      </c>
      <c r="K257" s="70">
        <f t="shared" si="27"/>
        <v>1.3822688274547188E-2</v>
      </c>
      <c r="L257" s="70">
        <f t="shared" si="28"/>
        <v>4.5171339563862926E-2</v>
      </c>
      <c r="M257" s="69">
        <v>2</v>
      </c>
      <c r="N257" s="70">
        <f t="shared" si="29"/>
        <v>9.5328884652049568E-4</v>
      </c>
      <c r="O257" s="67" t="s">
        <v>16</v>
      </c>
    </row>
    <row r="258" spans="1:15" s="1" customFormat="1" x14ac:dyDescent="0.3">
      <c r="A258" s="76" t="s">
        <v>248</v>
      </c>
      <c r="B258" s="67" t="s">
        <v>15</v>
      </c>
      <c r="C258" s="67" t="s">
        <v>16</v>
      </c>
      <c r="D258" s="68">
        <v>45022</v>
      </c>
      <c r="E258" s="69">
        <v>28979</v>
      </c>
      <c r="F258" s="70">
        <f t="shared" si="25"/>
        <v>0.99603160909624211</v>
      </c>
      <c r="G258" s="69">
        <v>115</v>
      </c>
      <c r="H258" s="69">
        <v>9600</v>
      </c>
      <c r="I258" s="70">
        <f t="shared" si="26"/>
        <v>0.33127437109631114</v>
      </c>
      <c r="J258" s="69">
        <v>142</v>
      </c>
      <c r="K258" s="70">
        <f t="shared" si="27"/>
        <v>4.9001000724662683E-3</v>
      </c>
      <c r="L258" s="70">
        <f t="shared" si="28"/>
        <v>1.4791666666666667E-2</v>
      </c>
      <c r="M258" s="69">
        <v>10</v>
      </c>
      <c r="N258" s="70">
        <f t="shared" si="29"/>
        <v>3.4507746989199077E-4</v>
      </c>
      <c r="O258" s="67" t="s">
        <v>16</v>
      </c>
    </row>
    <row r="259" spans="1:15" s="1" customFormat="1" x14ac:dyDescent="0.3">
      <c r="A259" s="76" t="s">
        <v>249</v>
      </c>
      <c r="B259" s="67" t="s">
        <v>15</v>
      </c>
      <c r="C259" s="67" t="s">
        <v>16</v>
      </c>
      <c r="D259" s="68">
        <v>45022</v>
      </c>
      <c r="E259" s="69">
        <v>39331</v>
      </c>
      <c r="F259" s="70">
        <f t="shared" si="25"/>
        <v>0.99501665353029412</v>
      </c>
      <c r="G259" s="69">
        <v>196</v>
      </c>
      <c r="H259" s="69">
        <v>12040</v>
      </c>
      <c r="I259" s="70">
        <f t="shared" si="26"/>
        <v>0.30611985456764385</v>
      </c>
      <c r="J259" s="69">
        <v>316</v>
      </c>
      <c r="K259" s="70">
        <f t="shared" si="27"/>
        <v>8.0343749205461345E-3</v>
      </c>
      <c r="L259" s="70">
        <f t="shared" si="28"/>
        <v>2.6245847176079733E-2</v>
      </c>
      <c r="M259" s="69">
        <v>8</v>
      </c>
      <c r="N259" s="70">
        <f t="shared" si="29"/>
        <v>2.0340189672268694E-4</v>
      </c>
      <c r="O259" s="67" t="s">
        <v>16</v>
      </c>
    </row>
    <row r="260" spans="1:15" s="1" customFormat="1" x14ac:dyDescent="0.3">
      <c r="A260" s="76" t="s">
        <v>250</v>
      </c>
      <c r="B260" s="67" t="s">
        <v>15</v>
      </c>
      <c r="C260" s="67" t="s">
        <v>16</v>
      </c>
      <c r="D260" s="68">
        <v>45022</v>
      </c>
      <c r="E260" s="69">
        <v>549333</v>
      </c>
      <c r="F260" s="70">
        <f t="shared" si="25"/>
        <v>0.99615897825180721</v>
      </c>
      <c r="G260" s="69">
        <v>2110</v>
      </c>
      <c r="H260" s="69">
        <v>185013</v>
      </c>
      <c r="I260" s="70">
        <f t="shared" si="26"/>
        <v>0.3367957140750692</v>
      </c>
      <c r="J260" s="69">
        <v>2826</v>
      </c>
      <c r="K260" s="70">
        <f t="shared" si="27"/>
        <v>5.1444205973425958E-3</v>
      </c>
      <c r="L260" s="70">
        <f t="shared" si="28"/>
        <v>1.527460232524201E-2</v>
      </c>
      <c r="M260" s="69">
        <v>224</v>
      </c>
      <c r="N260" s="70">
        <f t="shared" si="29"/>
        <v>4.0776723772283844E-4</v>
      </c>
      <c r="O260" s="67" t="s">
        <v>16</v>
      </c>
    </row>
    <row r="261" spans="1:15" s="1" customFormat="1" x14ac:dyDescent="0.3">
      <c r="A261" s="76" t="s">
        <v>251</v>
      </c>
      <c r="B261" s="67" t="s">
        <v>18</v>
      </c>
      <c r="C261" s="67" t="s">
        <v>16</v>
      </c>
      <c r="D261" s="68">
        <v>45023</v>
      </c>
      <c r="E261" s="69">
        <v>7997</v>
      </c>
      <c r="F261" s="70">
        <f>(E261-G261)/E261</f>
        <v>0.99687382768538202</v>
      </c>
      <c r="G261" s="69">
        <v>25</v>
      </c>
      <c r="H261" s="69">
        <v>3568</v>
      </c>
      <c r="I261" s="70">
        <f>H261/E261</f>
        <v>0.44616731274227833</v>
      </c>
      <c r="J261" s="69">
        <v>76</v>
      </c>
      <c r="K261" s="70">
        <f>J261/E261</f>
        <v>9.5035638364386645E-3</v>
      </c>
      <c r="L261" s="70">
        <f>J261/H261</f>
        <v>2.1300448430493273E-2</v>
      </c>
      <c r="M261" s="69">
        <v>29</v>
      </c>
      <c r="N261" s="70">
        <f>M261/E261</f>
        <v>3.6263598849568587E-3</v>
      </c>
      <c r="O261" s="67" t="s">
        <v>16</v>
      </c>
    </row>
    <row r="262" spans="1:15" s="1" customFormat="1" x14ac:dyDescent="0.3">
      <c r="A262" s="76" t="s">
        <v>251</v>
      </c>
      <c r="B262" s="67" t="s">
        <v>15</v>
      </c>
      <c r="C262" s="67" t="s">
        <v>16</v>
      </c>
      <c r="D262" s="68">
        <v>45023</v>
      </c>
      <c r="E262" s="69">
        <v>18070</v>
      </c>
      <c r="F262" s="70">
        <f>(E262-G262)/E262</f>
        <v>0.99501936912008859</v>
      </c>
      <c r="G262" s="69">
        <v>90</v>
      </c>
      <c r="H262" s="69">
        <v>7554</v>
      </c>
      <c r="I262" s="70">
        <f>H262/E262</f>
        <v>0.4180409518539015</v>
      </c>
      <c r="J262" s="69">
        <v>107</v>
      </c>
      <c r="K262" s="70">
        <f>J262/E262</f>
        <v>5.9214167127836191E-3</v>
      </c>
      <c r="L262" s="70">
        <f>J262/H262</f>
        <v>1.4164680963727826E-2</v>
      </c>
      <c r="M262" s="69">
        <v>14</v>
      </c>
      <c r="N262" s="70">
        <f>M262/E262</f>
        <v>7.7476480354178199E-4</v>
      </c>
      <c r="O262" s="67" t="s">
        <v>16</v>
      </c>
    </row>
    <row r="263" spans="1:15" s="1" customFormat="1" x14ac:dyDescent="0.3">
      <c r="A263" s="76" t="s">
        <v>252</v>
      </c>
      <c r="B263" s="67" t="s">
        <v>18</v>
      </c>
      <c r="C263" s="67" t="s">
        <v>16</v>
      </c>
      <c r="D263" s="68">
        <v>45023</v>
      </c>
      <c r="E263" s="69">
        <v>7495</v>
      </c>
      <c r="F263" s="70">
        <f t="shared" si="25"/>
        <v>0.9945296864576384</v>
      </c>
      <c r="G263" s="69">
        <v>41</v>
      </c>
      <c r="H263" s="69">
        <v>2358</v>
      </c>
      <c r="I263" s="70">
        <f t="shared" si="26"/>
        <v>0.31460973982655105</v>
      </c>
      <c r="J263" s="69">
        <v>30</v>
      </c>
      <c r="K263" s="70">
        <f t="shared" si="27"/>
        <v>4.0026684456304206E-3</v>
      </c>
      <c r="L263" s="70">
        <f t="shared" si="28"/>
        <v>1.2722646310432569E-2</v>
      </c>
      <c r="M263" s="69">
        <v>17</v>
      </c>
      <c r="N263" s="70">
        <f t="shared" si="29"/>
        <v>2.2681787858572383E-3</v>
      </c>
      <c r="O263" s="67" t="s">
        <v>16</v>
      </c>
    </row>
    <row r="264" spans="1:15" s="1" customFormat="1" x14ac:dyDescent="0.3">
      <c r="A264" s="76" t="s">
        <v>252</v>
      </c>
      <c r="B264" s="67" t="s">
        <v>15</v>
      </c>
      <c r="C264" s="67" t="s">
        <v>16</v>
      </c>
      <c r="D264" s="68">
        <v>45023</v>
      </c>
      <c r="E264" s="69">
        <v>14161</v>
      </c>
      <c r="F264" s="70">
        <f t="shared" si="25"/>
        <v>0.99343266718452083</v>
      </c>
      <c r="G264" s="69">
        <v>93</v>
      </c>
      <c r="H264" s="69">
        <v>4084</v>
      </c>
      <c r="I264" s="70">
        <f t="shared" si="26"/>
        <v>0.28839771202598685</v>
      </c>
      <c r="J264" s="69">
        <v>42</v>
      </c>
      <c r="K264" s="70">
        <f t="shared" si="27"/>
        <v>2.9658922392486408E-3</v>
      </c>
      <c r="L264" s="70">
        <f t="shared" si="28"/>
        <v>1.028403525954946E-2</v>
      </c>
      <c r="M264" s="69">
        <v>6</v>
      </c>
      <c r="N264" s="70">
        <f t="shared" si="29"/>
        <v>4.236988913212344E-4</v>
      </c>
      <c r="O264" s="67" t="s">
        <v>16</v>
      </c>
    </row>
    <row r="265" spans="1:15" s="1" customFormat="1" x14ac:dyDescent="0.3">
      <c r="A265" s="76" t="s">
        <v>253</v>
      </c>
      <c r="B265" s="67" t="s">
        <v>18</v>
      </c>
      <c r="C265" s="67" t="s">
        <v>16</v>
      </c>
      <c r="D265" s="68">
        <v>45023</v>
      </c>
      <c r="E265" s="69">
        <v>110189</v>
      </c>
      <c r="F265" s="70">
        <f t="shared" si="25"/>
        <v>0.99620651789198555</v>
      </c>
      <c r="G265" s="69">
        <v>418</v>
      </c>
      <c r="H265" s="69">
        <v>40968</v>
      </c>
      <c r="I265" s="70">
        <f t="shared" si="26"/>
        <v>0.37179754784960384</v>
      </c>
      <c r="J265" s="69">
        <v>548</v>
      </c>
      <c r="K265" s="70">
        <f t="shared" si="27"/>
        <v>4.9732731942389898E-3</v>
      </c>
      <c r="L265" s="70">
        <f t="shared" si="28"/>
        <v>1.3376293692638156E-2</v>
      </c>
      <c r="M265" s="69">
        <v>305</v>
      </c>
      <c r="N265" s="70">
        <f t="shared" si="29"/>
        <v>2.7679713946038172E-3</v>
      </c>
      <c r="O265" s="67" t="s">
        <v>16</v>
      </c>
    </row>
    <row r="266" spans="1:15" s="1" customFormat="1" x14ac:dyDescent="0.3">
      <c r="A266" s="76" t="s">
        <v>253</v>
      </c>
      <c r="B266" s="67" t="s">
        <v>15</v>
      </c>
      <c r="C266" s="67" t="s">
        <v>16</v>
      </c>
      <c r="D266" s="68">
        <v>45023</v>
      </c>
      <c r="E266" s="69">
        <v>210578</v>
      </c>
      <c r="F266" s="70">
        <f t="shared" si="25"/>
        <v>0.99554084472262061</v>
      </c>
      <c r="G266" s="69">
        <v>939</v>
      </c>
      <c r="H266" s="69">
        <v>74769</v>
      </c>
      <c r="I266" s="70">
        <f t="shared" si="26"/>
        <v>0.35506558139976635</v>
      </c>
      <c r="J266" s="69">
        <v>785</v>
      </c>
      <c r="K266" s="70">
        <f t="shared" si="27"/>
        <v>3.7278348165525363E-3</v>
      </c>
      <c r="L266" s="70">
        <f t="shared" si="28"/>
        <v>1.049900359774773E-2</v>
      </c>
      <c r="M266" s="69">
        <v>185</v>
      </c>
      <c r="N266" s="70">
        <f t="shared" si="29"/>
        <v>8.7853431982448313E-4</v>
      </c>
      <c r="O266" s="67" t="s">
        <v>16</v>
      </c>
    </row>
    <row r="267" spans="1:15" s="1" customFormat="1" x14ac:dyDescent="0.3">
      <c r="A267" s="66" t="s">
        <v>28</v>
      </c>
      <c r="B267" s="67" t="s">
        <v>15</v>
      </c>
      <c r="C267" s="67" t="s">
        <v>16</v>
      </c>
      <c r="D267" s="68">
        <v>45023</v>
      </c>
      <c r="E267" s="69">
        <v>104313</v>
      </c>
      <c r="F267" s="70">
        <f t="shared" si="25"/>
        <v>0.99350991726822158</v>
      </c>
      <c r="G267" s="69">
        <v>677</v>
      </c>
      <c r="H267" s="69">
        <v>32141</v>
      </c>
      <c r="I267" s="70">
        <f t="shared" si="26"/>
        <v>0.30812075196763589</v>
      </c>
      <c r="J267" s="69">
        <v>781</v>
      </c>
      <c r="K267" s="70">
        <f t="shared" si="27"/>
        <v>7.4870821469998948E-3</v>
      </c>
      <c r="L267" s="70">
        <f t="shared" si="28"/>
        <v>2.4299181730499983E-2</v>
      </c>
      <c r="M267" s="69">
        <v>32</v>
      </c>
      <c r="N267" s="70">
        <f t="shared" si="29"/>
        <v>3.0676905083738365E-4</v>
      </c>
      <c r="O267" s="67" t="s">
        <v>16</v>
      </c>
    </row>
    <row r="268" spans="1:15" s="1" customFormat="1" x14ac:dyDescent="0.3">
      <c r="A268" s="66" t="s">
        <v>28</v>
      </c>
      <c r="B268" s="67" t="s">
        <v>18</v>
      </c>
      <c r="C268" s="67" t="s">
        <v>16</v>
      </c>
      <c r="D268" s="68">
        <v>45023</v>
      </c>
      <c r="E268" s="69">
        <v>203399</v>
      </c>
      <c r="F268" s="70">
        <f t="shared" si="25"/>
        <v>0.99458207759133521</v>
      </c>
      <c r="G268" s="69">
        <v>1102</v>
      </c>
      <c r="H268" s="69">
        <v>62426</v>
      </c>
      <c r="I268" s="70">
        <f t="shared" si="26"/>
        <v>0.30691399662731872</v>
      </c>
      <c r="J268" s="69">
        <v>1360</v>
      </c>
      <c r="K268" s="70">
        <f t="shared" si="27"/>
        <v>6.686365223034528E-3</v>
      </c>
      <c r="L268" s="70">
        <f t="shared" si="28"/>
        <v>2.1785794380546567E-2</v>
      </c>
      <c r="M268" s="69">
        <v>359</v>
      </c>
      <c r="N268" s="70">
        <f t="shared" si="29"/>
        <v>1.7650037610804381E-3</v>
      </c>
      <c r="O268" s="67" t="s">
        <v>16</v>
      </c>
    </row>
    <row r="269" spans="1:15" s="1" customFormat="1" x14ac:dyDescent="0.3">
      <c r="A269" s="66" t="s">
        <v>22</v>
      </c>
      <c r="B269" s="67" t="s">
        <v>15</v>
      </c>
      <c r="C269" s="67" t="s">
        <v>16</v>
      </c>
      <c r="D269" s="68">
        <v>45023</v>
      </c>
      <c r="E269" s="69">
        <v>1847801</v>
      </c>
      <c r="F269" s="70">
        <f t="shared" si="25"/>
        <v>0.99565645867709784</v>
      </c>
      <c r="G269" s="69">
        <v>8026</v>
      </c>
      <c r="H269" s="69">
        <v>709708</v>
      </c>
      <c r="I269" s="70">
        <f t="shared" si="26"/>
        <v>0.38408248507279735</v>
      </c>
      <c r="J269" s="69">
        <v>12062</v>
      </c>
      <c r="K269" s="70">
        <f t="shared" si="27"/>
        <v>6.5277592121662448E-3</v>
      </c>
      <c r="L269" s="70">
        <f t="shared" si="28"/>
        <v>1.6995722184334965E-2</v>
      </c>
      <c r="M269" s="69">
        <v>1547</v>
      </c>
      <c r="N269" s="70">
        <f t="shared" si="29"/>
        <v>8.3721136637549172E-4</v>
      </c>
      <c r="O269" s="67" t="s">
        <v>16</v>
      </c>
    </row>
    <row r="270" spans="1:15" s="1" customFormat="1" x14ac:dyDescent="0.3">
      <c r="A270" s="66" t="s">
        <v>22</v>
      </c>
      <c r="B270" s="67" t="s">
        <v>18</v>
      </c>
      <c r="C270" s="67" t="s">
        <v>16</v>
      </c>
      <c r="D270" s="68">
        <v>45023</v>
      </c>
      <c r="E270" s="69">
        <v>2240811</v>
      </c>
      <c r="F270" s="70">
        <f t="shared" ref="F270:F331" si="30">(E270-G270)/E270</f>
        <v>0.99608043694894388</v>
      </c>
      <c r="G270" s="69">
        <v>8783</v>
      </c>
      <c r="H270" s="69">
        <v>769127</v>
      </c>
      <c r="I270" s="70">
        <f t="shared" ref="I270:I331" si="31">H270/E270</f>
        <v>0.34323599803821025</v>
      </c>
      <c r="J270" s="69">
        <v>12471</v>
      </c>
      <c r="K270" s="70">
        <f t="shared" ref="K270:K331" si="32">J270/E270</f>
        <v>5.5653957428805911E-3</v>
      </c>
      <c r="L270" s="70">
        <f t="shared" ref="L270:L331" si="33">J270/H270</f>
        <v>1.6214487334341401E-2</v>
      </c>
      <c r="M270" s="69">
        <v>3565</v>
      </c>
      <c r="N270" s="70">
        <f t="shared" ref="N270:N331" si="34">M270/E270</f>
        <v>1.5909418509637806E-3</v>
      </c>
      <c r="O270" s="67" t="s">
        <v>16</v>
      </c>
    </row>
    <row r="271" spans="1:15" s="1" customFormat="1" x14ac:dyDescent="0.3">
      <c r="A271" s="66" t="s">
        <v>29</v>
      </c>
      <c r="B271" s="67" t="s">
        <v>15</v>
      </c>
      <c r="C271" s="67" t="s">
        <v>16</v>
      </c>
      <c r="D271" s="68">
        <v>45027</v>
      </c>
      <c r="E271" s="69">
        <v>25937</v>
      </c>
      <c r="F271" s="70">
        <f t="shared" si="30"/>
        <v>0.99390831630489263</v>
      </c>
      <c r="G271" s="69">
        <v>158</v>
      </c>
      <c r="H271" s="69">
        <v>9232</v>
      </c>
      <c r="I271" s="70">
        <f t="shared" si="31"/>
        <v>0.35593939160272969</v>
      </c>
      <c r="J271" s="69">
        <v>286</v>
      </c>
      <c r="K271" s="70">
        <f t="shared" si="32"/>
        <v>1.1026718587346261E-2</v>
      </c>
      <c r="L271" s="70">
        <f t="shared" si="33"/>
        <v>3.0979202772963604E-2</v>
      </c>
      <c r="M271" s="69">
        <v>19</v>
      </c>
      <c r="N271" s="70">
        <f t="shared" si="34"/>
        <v>7.3254424181670968E-4</v>
      </c>
      <c r="O271" s="67" t="s">
        <v>16</v>
      </c>
    </row>
    <row r="272" spans="1:15" s="1" customFormat="1" x14ac:dyDescent="0.3">
      <c r="A272" s="66" t="s">
        <v>29</v>
      </c>
      <c r="B272" s="67" t="s">
        <v>18</v>
      </c>
      <c r="C272" s="67" t="s">
        <v>16</v>
      </c>
      <c r="D272" s="68">
        <v>45027</v>
      </c>
      <c r="E272" s="69">
        <v>26722</v>
      </c>
      <c r="F272" s="70">
        <f t="shared" si="30"/>
        <v>0.99550931816480803</v>
      </c>
      <c r="G272" s="69">
        <v>120</v>
      </c>
      <c r="H272" s="69">
        <v>10200</v>
      </c>
      <c r="I272" s="70">
        <f t="shared" si="31"/>
        <v>0.38170795599131802</v>
      </c>
      <c r="J272" s="69">
        <v>287</v>
      </c>
      <c r="K272" s="70">
        <f t="shared" si="32"/>
        <v>1.0740214055834144E-2</v>
      </c>
      <c r="L272" s="70">
        <f t="shared" si="33"/>
        <v>2.8137254901960784E-2</v>
      </c>
      <c r="M272" s="69">
        <v>34</v>
      </c>
      <c r="N272" s="70">
        <f t="shared" si="34"/>
        <v>1.2723598533043933E-3</v>
      </c>
      <c r="O272" s="67" t="s">
        <v>16</v>
      </c>
    </row>
    <row r="273" spans="1:15" s="1" customFormat="1" x14ac:dyDescent="0.3">
      <c r="A273" s="66" t="s">
        <v>17</v>
      </c>
      <c r="B273" s="67" t="s">
        <v>15</v>
      </c>
      <c r="C273" s="67" t="s">
        <v>16</v>
      </c>
      <c r="D273" s="68">
        <v>45027</v>
      </c>
      <c r="E273" s="69">
        <v>229129</v>
      </c>
      <c r="F273" s="70">
        <f t="shared" si="30"/>
        <v>0.99498099323961608</v>
      </c>
      <c r="G273" s="69">
        <v>1150</v>
      </c>
      <c r="H273" s="69">
        <v>82143</v>
      </c>
      <c r="I273" s="70">
        <f t="shared" si="31"/>
        <v>0.35850110636366411</v>
      </c>
      <c r="J273" s="69">
        <v>1645</v>
      </c>
      <c r="K273" s="70">
        <f t="shared" si="32"/>
        <v>7.1793618442013013E-3</v>
      </c>
      <c r="L273" s="70">
        <f t="shared" si="33"/>
        <v>2.0026052128604994E-2</v>
      </c>
      <c r="M273" s="69">
        <v>125</v>
      </c>
      <c r="N273" s="70">
        <f t="shared" si="34"/>
        <v>5.4554421308520532E-4</v>
      </c>
      <c r="O273" s="67" t="s">
        <v>16</v>
      </c>
    </row>
    <row r="274" spans="1:15" s="1" customFormat="1" x14ac:dyDescent="0.3">
      <c r="A274" s="66" t="s">
        <v>17</v>
      </c>
      <c r="B274" s="67" t="s">
        <v>18</v>
      </c>
      <c r="C274" s="67" t="s">
        <v>16</v>
      </c>
      <c r="D274" s="68">
        <v>45027</v>
      </c>
      <c r="E274" s="69">
        <v>445785</v>
      </c>
      <c r="F274" s="70">
        <f t="shared" si="30"/>
        <v>0.99608331370503722</v>
      </c>
      <c r="G274" s="69">
        <v>1746</v>
      </c>
      <c r="H274" s="69">
        <v>173279</v>
      </c>
      <c r="I274" s="70">
        <f t="shared" si="31"/>
        <v>0.38870531758583171</v>
      </c>
      <c r="J274" s="69">
        <v>2565</v>
      </c>
      <c r="K274" s="70">
        <f t="shared" si="32"/>
        <v>5.7538948147649654E-3</v>
      </c>
      <c r="L274" s="70">
        <f t="shared" si="33"/>
        <v>1.4802717005522884E-2</v>
      </c>
      <c r="M274" s="69">
        <v>457</v>
      </c>
      <c r="N274" s="70">
        <f t="shared" si="34"/>
        <v>1.0251578675819061E-3</v>
      </c>
      <c r="O274" s="67" t="s">
        <v>16</v>
      </c>
    </row>
    <row r="275" spans="1:15" s="1" customFormat="1" x14ac:dyDescent="0.3">
      <c r="A275" s="76" t="s">
        <v>257</v>
      </c>
      <c r="B275" s="67" t="s">
        <v>15</v>
      </c>
      <c r="C275" s="67" t="s">
        <v>16</v>
      </c>
      <c r="D275" s="68">
        <v>45028</v>
      </c>
      <c r="E275" s="69">
        <v>249215</v>
      </c>
      <c r="F275" s="70">
        <f t="shared" si="30"/>
        <v>0.99455088979395301</v>
      </c>
      <c r="G275" s="69">
        <v>1358</v>
      </c>
      <c r="H275" s="69">
        <v>86040</v>
      </c>
      <c r="I275" s="70">
        <f t="shared" si="31"/>
        <v>0.34524406636839677</v>
      </c>
      <c r="J275" s="69">
        <v>977</v>
      </c>
      <c r="K275" s="70">
        <f t="shared" si="32"/>
        <v>3.9203097726862347E-3</v>
      </c>
      <c r="L275" s="70">
        <f t="shared" si="33"/>
        <v>1.1355183635518363E-2</v>
      </c>
      <c r="M275" s="69">
        <v>106</v>
      </c>
      <c r="N275" s="70">
        <f t="shared" si="34"/>
        <v>4.2533555363842465E-4</v>
      </c>
      <c r="O275" s="67" t="s">
        <v>16</v>
      </c>
    </row>
    <row r="276" spans="1:15" s="1" customFormat="1" x14ac:dyDescent="0.3">
      <c r="A276" s="76" t="s">
        <v>258</v>
      </c>
      <c r="B276" s="67" t="s">
        <v>15</v>
      </c>
      <c r="C276" s="67" t="s">
        <v>16</v>
      </c>
      <c r="D276" s="68">
        <v>45029</v>
      </c>
      <c r="E276" s="69">
        <v>22178</v>
      </c>
      <c r="F276" s="70">
        <f t="shared" si="30"/>
        <v>0.99526557850121744</v>
      </c>
      <c r="G276" s="69">
        <v>105</v>
      </c>
      <c r="H276" s="69">
        <v>7786</v>
      </c>
      <c r="I276" s="70">
        <f t="shared" si="31"/>
        <v>0.35106862656686805</v>
      </c>
      <c r="J276" s="69">
        <v>53</v>
      </c>
      <c r="K276" s="70">
        <f t="shared" si="32"/>
        <v>2.3897556136712058E-3</v>
      </c>
      <c r="L276" s="70">
        <f t="shared" si="33"/>
        <v>6.8070896480863091E-3</v>
      </c>
      <c r="M276" s="69">
        <v>16</v>
      </c>
      <c r="N276" s="70">
        <f t="shared" si="34"/>
        <v>7.2143565695734517E-4</v>
      </c>
      <c r="O276" s="67" t="s">
        <v>16</v>
      </c>
    </row>
    <row r="277" spans="1:15" s="1" customFormat="1" x14ac:dyDescent="0.3">
      <c r="A277" s="76" t="s">
        <v>259</v>
      </c>
      <c r="B277" s="67" t="s">
        <v>15</v>
      </c>
      <c r="C277" s="67" t="s">
        <v>16</v>
      </c>
      <c r="D277" s="68">
        <v>45029</v>
      </c>
      <c r="E277" s="69">
        <v>2294</v>
      </c>
      <c r="F277" s="70">
        <f t="shared" si="30"/>
        <v>0.98823016564952049</v>
      </c>
      <c r="G277" s="69">
        <v>27</v>
      </c>
      <c r="H277" s="69">
        <v>676</v>
      </c>
      <c r="I277" s="70">
        <f t="shared" si="31"/>
        <v>0.2946817785527463</v>
      </c>
      <c r="J277" s="69">
        <v>6</v>
      </c>
      <c r="K277" s="70">
        <f t="shared" si="32"/>
        <v>2.6155187445510027E-3</v>
      </c>
      <c r="L277" s="70">
        <f t="shared" si="33"/>
        <v>8.8757396449704144E-3</v>
      </c>
      <c r="M277" s="69">
        <v>1</v>
      </c>
      <c r="N277" s="70">
        <f t="shared" si="34"/>
        <v>4.3591979075850045E-4</v>
      </c>
      <c r="O277" s="67" t="s">
        <v>16</v>
      </c>
    </row>
    <row r="278" spans="1:15" s="1" customFormat="1" x14ac:dyDescent="0.3">
      <c r="A278" s="76" t="s">
        <v>260</v>
      </c>
      <c r="B278" s="67" t="s">
        <v>15</v>
      </c>
      <c r="C278" s="67" t="s">
        <v>16</v>
      </c>
      <c r="D278" s="68">
        <v>45029</v>
      </c>
      <c r="E278" s="69">
        <v>418356</v>
      </c>
      <c r="F278" s="70">
        <f t="shared" si="30"/>
        <v>0.99500425474954346</v>
      </c>
      <c r="G278" s="69">
        <v>2090</v>
      </c>
      <c r="H278" s="69">
        <v>149159</v>
      </c>
      <c r="I278" s="70">
        <f t="shared" si="31"/>
        <v>0.35653606019753509</v>
      </c>
      <c r="J278" s="69">
        <v>1081</v>
      </c>
      <c r="K278" s="70">
        <f t="shared" si="32"/>
        <v>2.5839237395902056E-3</v>
      </c>
      <c r="L278" s="70">
        <f t="shared" si="33"/>
        <v>7.2472998612219171E-3</v>
      </c>
      <c r="M278" s="69">
        <v>196</v>
      </c>
      <c r="N278" s="70">
        <f t="shared" si="34"/>
        <v>4.6850051152606869E-4</v>
      </c>
      <c r="O278" s="67" t="s">
        <v>16</v>
      </c>
    </row>
    <row r="279" spans="1:15" s="1" customFormat="1" x14ac:dyDescent="0.3">
      <c r="A279" s="76" t="s">
        <v>261</v>
      </c>
      <c r="B279" s="67" t="s">
        <v>15</v>
      </c>
      <c r="C279" s="67" t="s">
        <v>16</v>
      </c>
      <c r="D279" s="68">
        <v>45029</v>
      </c>
      <c r="E279" s="69">
        <v>43324</v>
      </c>
      <c r="F279" s="70">
        <f t="shared" si="30"/>
        <v>0.99249838426738068</v>
      </c>
      <c r="G279" s="69">
        <v>325</v>
      </c>
      <c r="H279" s="69">
        <v>13991</v>
      </c>
      <c r="I279" s="70">
        <f t="shared" si="31"/>
        <v>0.32293878681562183</v>
      </c>
      <c r="J279" s="69">
        <v>154</v>
      </c>
      <c r="K279" s="70">
        <f t="shared" si="32"/>
        <v>3.5546117625334687E-3</v>
      </c>
      <c r="L279" s="70">
        <f t="shared" si="33"/>
        <v>1.1007075977414052E-2</v>
      </c>
      <c r="M279" s="69">
        <v>19</v>
      </c>
      <c r="N279" s="70">
        <f t="shared" si="34"/>
        <v>4.385559966762072E-4</v>
      </c>
      <c r="O279" s="67" t="s">
        <v>16</v>
      </c>
    </row>
    <row r="280" spans="1:15" s="1" customFormat="1" x14ac:dyDescent="0.3">
      <c r="A280" s="66" t="s">
        <v>28</v>
      </c>
      <c r="B280" s="67" t="s">
        <v>15</v>
      </c>
      <c r="C280" s="67" t="s">
        <v>16</v>
      </c>
      <c r="D280" s="68">
        <v>45030</v>
      </c>
      <c r="E280" s="69">
        <v>105155</v>
      </c>
      <c r="F280" s="70">
        <f t="shared" si="30"/>
        <v>0.99282012267604969</v>
      </c>
      <c r="G280" s="69">
        <v>755</v>
      </c>
      <c r="H280" s="69">
        <v>32793</v>
      </c>
      <c r="I280" s="70">
        <f t="shared" si="31"/>
        <v>0.31185392991298561</v>
      </c>
      <c r="J280" s="69">
        <v>553</v>
      </c>
      <c r="K280" s="70">
        <f t="shared" si="32"/>
        <v>5.2589035233702626E-3</v>
      </c>
      <c r="L280" s="70">
        <f t="shared" si="33"/>
        <v>1.686335498429543E-2</v>
      </c>
      <c r="M280" s="69">
        <v>55</v>
      </c>
      <c r="N280" s="70">
        <f t="shared" si="34"/>
        <v>5.230374209500261E-4</v>
      </c>
      <c r="O280" s="67" t="s">
        <v>16</v>
      </c>
    </row>
    <row r="281" spans="1:15" s="1" customFormat="1" x14ac:dyDescent="0.3">
      <c r="A281" s="66" t="s">
        <v>28</v>
      </c>
      <c r="B281" s="67" t="s">
        <v>18</v>
      </c>
      <c r="C281" s="67" t="s">
        <v>16</v>
      </c>
      <c r="D281" s="68">
        <v>45030</v>
      </c>
      <c r="E281" s="69">
        <v>207014</v>
      </c>
      <c r="F281" s="70">
        <f t="shared" si="30"/>
        <v>0.99446414252176185</v>
      </c>
      <c r="G281" s="69">
        <v>1146</v>
      </c>
      <c r="H281" s="69">
        <v>63483</v>
      </c>
      <c r="I281" s="70">
        <f t="shared" si="31"/>
        <v>0.30666041910208969</v>
      </c>
      <c r="J281" s="69">
        <v>1099</v>
      </c>
      <c r="K281" s="70">
        <f t="shared" si="32"/>
        <v>5.3088196933540723E-3</v>
      </c>
      <c r="L281" s="70">
        <f t="shared" si="33"/>
        <v>1.7311721248208182E-2</v>
      </c>
      <c r="M281" s="69">
        <v>498</v>
      </c>
      <c r="N281" s="70">
        <f t="shared" si="34"/>
        <v>2.4056344015380604E-3</v>
      </c>
      <c r="O281" s="67" t="s">
        <v>16</v>
      </c>
    </row>
    <row r="282" spans="1:15" s="1" customFormat="1" x14ac:dyDescent="0.3">
      <c r="A282" s="66" t="s">
        <v>22</v>
      </c>
      <c r="B282" s="67" t="s">
        <v>15</v>
      </c>
      <c r="C282" s="67" t="s">
        <v>16</v>
      </c>
      <c r="D282" s="68">
        <v>45030</v>
      </c>
      <c r="E282" s="69">
        <v>1885869</v>
      </c>
      <c r="F282" s="70">
        <f t="shared" si="30"/>
        <v>0.9949179927131736</v>
      </c>
      <c r="G282" s="69">
        <v>9584</v>
      </c>
      <c r="H282" s="69">
        <v>642469</v>
      </c>
      <c r="I282" s="70">
        <f t="shared" si="31"/>
        <v>0.34067530671536572</v>
      </c>
      <c r="J282" s="69">
        <v>7776</v>
      </c>
      <c r="K282" s="70">
        <f t="shared" si="32"/>
        <v>4.1232980657723312E-3</v>
      </c>
      <c r="L282" s="70">
        <f t="shared" si="33"/>
        <v>1.2103307708231837E-2</v>
      </c>
      <c r="M282" s="69">
        <v>1601</v>
      </c>
      <c r="N282" s="70">
        <f t="shared" si="34"/>
        <v>8.4894549939576924E-4</v>
      </c>
      <c r="O282" s="67" t="s">
        <v>16</v>
      </c>
    </row>
    <row r="283" spans="1:15" s="1" customFormat="1" x14ac:dyDescent="0.3">
      <c r="A283" s="66" t="s">
        <v>22</v>
      </c>
      <c r="B283" s="67" t="s">
        <v>18</v>
      </c>
      <c r="C283" s="67" t="s">
        <v>16</v>
      </c>
      <c r="D283" s="68">
        <v>45030</v>
      </c>
      <c r="E283" s="69">
        <v>2273969</v>
      </c>
      <c r="F283" s="70">
        <f t="shared" si="30"/>
        <v>0.99563582441097487</v>
      </c>
      <c r="G283" s="69">
        <v>9924</v>
      </c>
      <c r="H283" s="69">
        <v>761356</v>
      </c>
      <c r="I283" s="70">
        <f t="shared" si="31"/>
        <v>0.33481371118075925</v>
      </c>
      <c r="J283" s="69">
        <v>9006</v>
      </c>
      <c r="K283" s="70">
        <f t="shared" si="32"/>
        <v>3.960476154248365E-3</v>
      </c>
      <c r="L283" s="70">
        <f t="shared" si="33"/>
        <v>1.1828894761451936E-2</v>
      </c>
      <c r="M283" s="69">
        <v>3810</v>
      </c>
      <c r="N283" s="70">
        <f t="shared" si="34"/>
        <v>1.6754845822436453E-3</v>
      </c>
      <c r="O283" s="67" t="s">
        <v>16</v>
      </c>
    </row>
    <row r="284" spans="1:15" s="1" customFormat="1" x14ac:dyDescent="0.3">
      <c r="A284" s="76" t="s">
        <v>75</v>
      </c>
      <c r="B284" s="67" t="s">
        <v>15</v>
      </c>
      <c r="C284" s="67" t="s">
        <v>16</v>
      </c>
      <c r="D284" s="68">
        <v>45031</v>
      </c>
      <c r="E284" s="69">
        <v>25186</v>
      </c>
      <c r="F284" s="70">
        <f t="shared" si="30"/>
        <v>0.99166203446359091</v>
      </c>
      <c r="G284" s="69">
        <v>210</v>
      </c>
      <c r="H284" s="69">
        <v>7636</v>
      </c>
      <c r="I284" s="70">
        <f t="shared" si="31"/>
        <v>0.30318430874295244</v>
      </c>
      <c r="J284" s="69">
        <v>186</v>
      </c>
      <c r="K284" s="70">
        <f t="shared" si="32"/>
        <v>7.3850551893909315E-3</v>
      </c>
      <c r="L284" s="70">
        <f t="shared" si="33"/>
        <v>2.4358302776322682E-2</v>
      </c>
      <c r="M284" s="69">
        <v>8</v>
      </c>
      <c r="N284" s="70">
        <f t="shared" si="34"/>
        <v>3.1763678233939492E-4</v>
      </c>
      <c r="O284" s="67" t="s">
        <v>16</v>
      </c>
    </row>
    <row r="285" spans="1:15" s="1" customFormat="1" x14ac:dyDescent="0.3">
      <c r="A285" s="76" t="s">
        <v>78</v>
      </c>
      <c r="B285" s="67" t="s">
        <v>15</v>
      </c>
      <c r="C285" s="67" t="s">
        <v>16</v>
      </c>
      <c r="D285" s="68">
        <v>45031</v>
      </c>
      <c r="E285" s="69">
        <v>395764</v>
      </c>
      <c r="F285" s="70">
        <f t="shared" si="30"/>
        <v>0.99420108953820963</v>
      </c>
      <c r="G285" s="69">
        <v>2295</v>
      </c>
      <c r="H285" s="69">
        <v>134485</v>
      </c>
      <c r="I285" s="70">
        <f t="shared" si="31"/>
        <v>0.33981109954417277</v>
      </c>
      <c r="J285" s="69">
        <v>2675</v>
      </c>
      <c r="K285" s="70">
        <f t="shared" si="32"/>
        <v>6.7590786428275438E-3</v>
      </c>
      <c r="L285" s="70">
        <f t="shared" si="33"/>
        <v>1.9890694129456817E-2</v>
      </c>
      <c r="M285" s="69">
        <v>548</v>
      </c>
      <c r="N285" s="70">
        <f t="shared" si="34"/>
        <v>1.384663587390465E-3</v>
      </c>
      <c r="O285" s="67" t="s">
        <v>16</v>
      </c>
    </row>
    <row r="286" spans="1:15" s="1" customFormat="1" x14ac:dyDescent="0.3">
      <c r="A286" s="76" t="s">
        <v>262</v>
      </c>
      <c r="B286" s="67" t="s">
        <v>18</v>
      </c>
      <c r="C286" s="67" t="s">
        <v>16</v>
      </c>
      <c r="D286" s="68">
        <v>45031</v>
      </c>
      <c r="E286" s="69">
        <v>1081731</v>
      </c>
      <c r="F286" s="70">
        <f t="shared" si="30"/>
        <v>0.99594908530863957</v>
      </c>
      <c r="G286" s="69">
        <v>4382</v>
      </c>
      <c r="H286" s="69">
        <v>381238</v>
      </c>
      <c r="I286" s="70">
        <f t="shared" si="31"/>
        <v>0.35243327592534557</v>
      </c>
      <c r="J286" s="69">
        <v>7312</v>
      </c>
      <c r="K286" s="70">
        <f t="shared" si="32"/>
        <v>6.7595363357433593E-3</v>
      </c>
      <c r="L286" s="70">
        <f t="shared" si="33"/>
        <v>1.9179620079845135E-2</v>
      </c>
      <c r="M286" s="69">
        <v>2756</v>
      </c>
      <c r="N286" s="70">
        <f t="shared" si="34"/>
        <v>2.5477683453649751E-3</v>
      </c>
      <c r="O286" s="67" t="s">
        <v>16</v>
      </c>
    </row>
    <row r="287" spans="1:15" s="1" customFormat="1" x14ac:dyDescent="0.3">
      <c r="A287" s="76" t="s">
        <v>262</v>
      </c>
      <c r="B287" s="67" t="s">
        <v>15</v>
      </c>
      <c r="C287" s="67" t="s">
        <v>16</v>
      </c>
      <c r="D287" s="68">
        <v>45031</v>
      </c>
      <c r="E287" s="69">
        <v>867344</v>
      </c>
      <c r="F287" s="70">
        <f t="shared" si="30"/>
        <v>0.99517607777306349</v>
      </c>
      <c r="G287" s="69">
        <v>4184</v>
      </c>
      <c r="H287" s="69">
        <v>328333</v>
      </c>
      <c r="I287" s="70">
        <f t="shared" si="31"/>
        <v>0.37854991791031012</v>
      </c>
      <c r="J287" s="69">
        <v>7233</v>
      </c>
      <c r="K287" s="70">
        <f t="shared" si="32"/>
        <v>8.3392517847589876E-3</v>
      </c>
      <c r="L287" s="70">
        <f t="shared" si="33"/>
        <v>2.2029463989303541E-2</v>
      </c>
      <c r="M287" s="69">
        <v>896</v>
      </c>
      <c r="N287" s="70">
        <f t="shared" si="34"/>
        <v>1.0330387942961501E-3</v>
      </c>
      <c r="O287" s="67" t="s">
        <v>16</v>
      </c>
    </row>
    <row r="288" spans="1:15" s="1" customFormat="1" x14ac:dyDescent="0.3">
      <c r="A288" s="76" t="s">
        <v>266</v>
      </c>
      <c r="B288" s="67" t="s">
        <v>15</v>
      </c>
      <c r="C288" s="67" t="s">
        <v>16</v>
      </c>
      <c r="D288" s="68">
        <v>45033</v>
      </c>
      <c r="E288" s="69">
        <v>98596</v>
      </c>
      <c r="F288" s="70">
        <f>(E288-G288)/E288</f>
        <v>0.99344801006126005</v>
      </c>
      <c r="G288" s="69">
        <v>646</v>
      </c>
      <c r="H288" s="69">
        <v>33372</v>
      </c>
      <c r="I288" s="70">
        <f>H288/E288</f>
        <v>0.33847214897156069</v>
      </c>
      <c r="J288" s="69">
        <v>298</v>
      </c>
      <c r="K288" s="70">
        <f>J288/E288</f>
        <v>3.022434987220577E-3</v>
      </c>
      <c r="L288" s="70">
        <f>J288/H288</f>
        <v>8.9296416157257589E-3</v>
      </c>
      <c r="M288" s="69">
        <v>58</v>
      </c>
      <c r="N288" s="70">
        <f>M288/E288</f>
        <v>5.8825915858655529E-4</v>
      </c>
      <c r="O288" s="67" t="s">
        <v>16</v>
      </c>
    </row>
    <row r="289" spans="1:15" s="1" customFormat="1" x14ac:dyDescent="0.3">
      <c r="A289" s="76" t="s">
        <v>266</v>
      </c>
      <c r="B289" s="67" t="s">
        <v>18</v>
      </c>
      <c r="C289" s="67" t="s">
        <v>16</v>
      </c>
      <c r="D289" s="68">
        <v>45033</v>
      </c>
      <c r="E289" s="69">
        <v>168703</v>
      </c>
      <c r="F289" s="70">
        <f>(E289-G289)/E289</f>
        <v>0.99504454574014689</v>
      </c>
      <c r="G289" s="69">
        <v>836</v>
      </c>
      <c r="H289" s="69">
        <v>55341</v>
      </c>
      <c r="I289" s="70">
        <f>H289/E289</f>
        <v>0.32803803133317133</v>
      </c>
      <c r="J289" s="69">
        <v>679</v>
      </c>
      <c r="K289" s="70">
        <f>J289/E289</f>
        <v>4.0248246919141924E-3</v>
      </c>
      <c r="L289" s="70">
        <f>J289/H289</f>
        <v>1.2269384362407619E-2</v>
      </c>
      <c r="M289" s="69">
        <v>535</v>
      </c>
      <c r="N289" s="70">
        <f>M289/E289</f>
        <v>3.1712536232313591E-3</v>
      </c>
      <c r="O289" s="67" t="s">
        <v>16</v>
      </c>
    </row>
    <row r="290" spans="1:15" s="1" customFormat="1" x14ac:dyDescent="0.3">
      <c r="A290" s="76" t="s">
        <v>267</v>
      </c>
      <c r="B290" s="67" t="s">
        <v>15</v>
      </c>
      <c r="C290" s="67" t="s">
        <v>16</v>
      </c>
      <c r="D290" s="68">
        <v>45033</v>
      </c>
      <c r="E290" s="69">
        <v>1440021</v>
      </c>
      <c r="F290" s="70">
        <f>(E290-G290)/E290</f>
        <v>0.99512437665839593</v>
      </c>
      <c r="G290" s="69">
        <v>7021</v>
      </c>
      <c r="H290" s="69">
        <v>594956</v>
      </c>
      <c r="I290" s="70">
        <f>H290/E290</f>
        <v>0.4131578636700437</v>
      </c>
      <c r="J290" s="69">
        <v>4024</v>
      </c>
      <c r="K290" s="70">
        <f>J290/E290</f>
        <v>2.7944036927239255E-3</v>
      </c>
      <c r="L290" s="70">
        <f>J290/H290</f>
        <v>6.7635253699433236E-3</v>
      </c>
      <c r="M290" s="69">
        <v>1467</v>
      </c>
      <c r="N290" s="70">
        <f>M290/E290</f>
        <v>1.0187351434458247E-3</v>
      </c>
      <c r="O290" s="67" t="s">
        <v>16</v>
      </c>
    </row>
    <row r="291" spans="1:15" s="1" customFormat="1" x14ac:dyDescent="0.3">
      <c r="A291" s="76" t="s">
        <v>267</v>
      </c>
      <c r="B291" s="67" t="s">
        <v>18</v>
      </c>
      <c r="C291" s="67" t="s">
        <v>16</v>
      </c>
      <c r="D291" s="68">
        <v>45033</v>
      </c>
      <c r="E291" s="69">
        <v>1679912</v>
      </c>
      <c r="F291" s="70">
        <f>(E291-G291)/E291</f>
        <v>0.99606527008557588</v>
      </c>
      <c r="G291" s="69">
        <v>6610</v>
      </c>
      <c r="H291" s="69">
        <v>619606</v>
      </c>
      <c r="I291" s="70">
        <f>H291/E291</f>
        <v>0.36883241503126352</v>
      </c>
      <c r="J291" s="69">
        <v>5407</v>
      </c>
      <c r="K291" s="70">
        <f>J291/E291</f>
        <v>3.2186209753844249E-3</v>
      </c>
      <c r="L291" s="70">
        <f>J291/H291</f>
        <v>8.7265133003876661E-3</v>
      </c>
      <c r="M291" s="69">
        <v>3701</v>
      </c>
      <c r="N291" s="70">
        <f>M291/E291</f>
        <v>2.2030915905118841E-3</v>
      </c>
      <c r="O291" s="67" t="s">
        <v>16</v>
      </c>
    </row>
    <row r="292" spans="1:15" s="1" customFormat="1" x14ac:dyDescent="0.3">
      <c r="A292" s="66" t="s">
        <v>29</v>
      </c>
      <c r="B292" s="67" t="s">
        <v>15</v>
      </c>
      <c r="C292" s="67" t="s">
        <v>16</v>
      </c>
      <c r="D292" s="68">
        <v>45034</v>
      </c>
      <c r="E292" s="69">
        <v>26069</v>
      </c>
      <c r="F292" s="70">
        <f t="shared" si="30"/>
        <v>0.99397752119375504</v>
      </c>
      <c r="G292" s="69">
        <v>157</v>
      </c>
      <c r="H292" s="69">
        <v>9248</v>
      </c>
      <c r="I292" s="70">
        <f t="shared" si="31"/>
        <v>0.35475085350416202</v>
      </c>
      <c r="J292" s="69">
        <v>233</v>
      </c>
      <c r="K292" s="70">
        <f t="shared" si="32"/>
        <v>8.9378188653189607E-3</v>
      </c>
      <c r="L292" s="70">
        <f t="shared" si="33"/>
        <v>2.5194636678200693E-2</v>
      </c>
      <c r="M292" s="69">
        <v>13</v>
      </c>
      <c r="N292" s="70">
        <f t="shared" si="34"/>
        <v>4.9867658905213084E-4</v>
      </c>
      <c r="O292" s="67" t="s">
        <v>16</v>
      </c>
    </row>
    <row r="293" spans="1:15" s="1" customFormat="1" x14ac:dyDescent="0.3">
      <c r="A293" s="66" t="s">
        <v>29</v>
      </c>
      <c r="B293" s="67" t="s">
        <v>18</v>
      </c>
      <c r="C293" s="67" t="s">
        <v>16</v>
      </c>
      <c r="D293" s="68">
        <v>45034</v>
      </c>
      <c r="E293" s="69">
        <v>26859</v>
      </c>
      <c r="F293" s="70">
        <f t="shared" si="30"/>
        <v>0.99545776089951232</v>
      </c>
      <c r="G293" s="69">
        <v>122</v>
      </c>
      <c r="H293" s="69">
        <v>9867</v>
      </c>
      <c r="I293" s="70">
        <f t="shared" si="31"/>
        <v>0.36736289511895454</v>
      </c>
      <c r="J293" s="69">
        <v>176</v>
      </c>
      <c r="K293" s="70">
        <f t="shared" si="32"/>
        <v>6.5527383744741052E-3</v>
      </c>
      <c r="L293" s="70">
        <f t="shared" si="33"/>
        <v>1.7837235228539576E-2</v>
      </c>
      <c r="M293" s="69">
        <v>37</v>
      </c>
      <c r="N293" s="70">
        <f t="shared" si="34"/>
        <v>1.3775643173610335E-3</v>
      </c>
      <c r="O293" s="67" t="s">
        <v>16</v>
      </c>
    </row>
    <row r="294" spans="1:15" s="1" customFormat="1" x14ac:dyDescent="0.3">
      <c r="A294" s="66" t="s">
        <v>17</v>
      </c>
      <c r="B294" s="67" t="s">
        <v>15</v>
      </c>
      <c r="C294" s="67" t="s">
        <v>16</v>
      </c>
      <c r="D294" s="68">
        <v>45034</v>
      </c>
      <c r="E294" s="69">
        <v>230740</v>
      </c>
      <c r="F294" s="70">
        <f t="shared" si="30"/>
        <v>0.99862182543122124</v>
      </c>
      <c r="G294" s="69">
        <v>318</v>
      </c>
      <c r="H294" s="69">
        <v>82884</v>
      </c>
      <c r="I294" s="70">
        <f t="shared" si="31"/>
        <v>0.35920949986998352</v>
      </c>
      <c r="J294" s="69">
        <v>1364</v>
      </c>
      <c r="K294" s="70">
        <f t="shared" si="32"/>
        <v>5.9114154459564876E-3</v>
      </c>
      <c r="L294" s="70">
        <f t="shared" si="33"/>
        <v>1.6456734713575599E-2</v>
      </c>
      <c r="M294" s="69">
        <v>117</v>
      </c>
      <c r="N294" s="70">
        <f t="shared" si="34"/>
        <v>5.0706422813556382E-4</v>
      </c>
      <c r="O294" s="67" t="s">
        <v>16</v>
      </c>
    </row>
    <row r="295" spans="1:15" s="1" customFormat="1" x14ac:dyDescent="0.3">
      <c r="A295" s="66" t="s">
        <v>17</v>
      </c>
      <c r="B295" s="67" t="s">
        <v>18</v>
      </c>
      <c r="C295" s="67" t="s">
        <v>16</v>
      </c>
      <c r="D295" s="68">
        <v>45034</v>
      </c>
      <c r="E295" s="69">
        <v>448953</v>
      </c>
      <c r="F295" s="70">
        <f t="shared" si="30"/>
        <v>0.99873928896788755</v>
      </c>
      <c r="G295" s="69">
        <v>566</v>
      </c>
      <c r="H295" s="69">
        <v>174098</v>
      </c>
      <c r="I295" s="70">
        <f t="shared" si="31"/>
        <v>0.38778669482106143</v>
      </c>
      <c r="J295" s="69">
        <v>2058</v>
      </c>
      <c r="K295" s="70">
        <f t="shared" si="32"/>
        <v>4.5839987704726333E-3</v>
      </c>
      <c r="L295" s="70">
        <f t="shared" si="33"/>
        <v>1.1820928442601294E-2</v>
      </c>
      <c r="M295" s="69">
        <v>462</v>
      </c>
      <c r="N295" s="70">
        <f t="shared" si="34"/>
        <v>1.0290609484734483E-3</v>
      </c>
      <c r="O295" s="67" t="s">
        <v>16</v>
      </c>
    </row>
    <row r="296" spans="1:15" s="1" customFormat="1" x14ac:dyDescent="0.3">
      <c r="A296" s="76" t="s">
        <v>269</v>
      </c>
      <c r="B296" s="67" t="s">
        <v>18</v>
      </c>
      <c r="C296" s="67" t="s">
        <v>16</v>
      </c>
      <c r="D296" s="68">
        <v>45035</v>
      </c>
      <c r="E296" s="69">
        <v>4792</v>
      </c>
      <c r="F296" s="70">
        <f t="shared" si="30"/>
        <v>0.99436560934891483</v>
      </c>
      <c r="G296" s="69">
        <v>27</v>
      </c>
      <c r="H296" s="69">
        <v>1995</v>
      </c>
      <c r="I296" s="70">
        <f t="shared" si="31"/>
        <v>0.41631886477462438</v>
      </c>
      <c r="J296" s="69">
        <v>43</v>
      </c>
      <c r="K296" s="70">
        <f t="shared" si="32"/>
        <v>8.9732888146911525E-3</v>
      </c>
      <c r="L296" s="70">
        <f t="shared" si="33"/>
        <v>2.155388471177945E-2</v>
      </c>
      <c r="M296" s="69">
        <v>13</v>
      </c>
      <c r="N296" s="70">
        <f t="shared" si="34"/>
        <v>2.7128547579298831E-3</v>
      </c>
      <c r="O296" s="67" t="s">
        <v>16</v>
      </c>
    </row>
    <row r="297" spans="1:15" s="1" customFormat="1" x14ac:dyDescent="0.3">
      <c r="A297" s="76" t="s">
        <v>269</v>
      </c>
      <c r="B297" s="67" t="s">
        <v>15</v>
      </c>
      <c r="C297" s="67" t="s">
        <v>16</v>
      </c>
      <c r="D297" s="68">
        <v>45035</v>
      </c>
      <c r="E297" s="69">
        <v>37739</v>
      </c>
      <c r="F297" s="70">
        <f t="shared" si="30"/>
        <v>0.9951774026868756</v>
      </c>
      <c r="G297" s="69">
        <v>182</v>
      </c>
      <c r="H297" s="69">
        <v>13962</v>
      </c>
      <c r="I297" s="70">
        <f t="shared" si="31"/>
        <v>0.3699621081639683</v>
      </c>
      <c r="J297" s="69">
        <v>190</v>
      </c>
      <c r="K297" s="70">
        <f t="shared" si="32"/>
        <v>5.0345796126023473E-3</v>
      </c>
      <c r="L297" s="70">
        <f t="shared" si="33"/>
        <v>1.3608365563672826E-2</v>
      </c>
      <c r="M297" s="69">
        <v>19</v>
      </c>
      <c r="N297" s="70">
        <f t="shared" si="34"/>
        <v>5.0345796126023473E-4</v>
      </c>
      <c r="O297" s="67" t="s">
        <v>16</v>
      </c>
    </row>
    <row r="298" spans="1:15" s="1" customFormat="1" x14ac:dyDescent="0.3">
      <c r="A298" s="76" t="s">
        <v>270</v>
      </c>
      <c r="B298" s="67" t="s">
        <v>15</v>
      </c>
      <c r="C298" s="67" t="s">
        <v>16</v>
      </c>
      <c r="D298" s="68">
        <v>45035</v>
      </c>
      <c r="E298" s="69">
        <v>129791</v>
      </c>
      <c r="F298" s="70">
        <f t="shared" si="30"/>
        <v>0.99406738525783755</v>
      </c>
      <c r="G298" s="69">
        <v>770</v>
      </c>
      <c r="H298" s="69">
        <v>43752</v>
      </c>
      <c r="I298" s="70">
        <f t="shared" si="31"/>
        <v>0.33709579246634974</v>
      </c>
      <c r="J298" s="69">
        <v>569</v>
      </c>
      <c r="K298" s="70">
        <f t="shared" si="32"/>
        <v>4.3839711536239031E-3</v>
      </c>
      <c r="L298" s="70">
        <f t="shared" si="33"/>
        <v>1.3005119765953557E-2</v>
      </c>
      <c r="M298" s="69">
        <v>81</v>
      </c>
      <c r="N298" s="70">
        <f t="shared" si="34"/>
        <v>6.2408025209760305E-4</v>
      </c>
      <c r="O298" s="67" t="s">
        <v>16</v>
      </c>
    </row>
    <row r="299" spans="1:15" s="1" customFormat="1" x14ac:dyDescent="0.3">
      <c r="A299" s="76" t="s">
        <v>270</v>
      </c>
      <c r="B299" s="67" t="s">
        <v>18</v>
      </c>
      <c r="C299" s="67" t="s">
        <v>16</v>
      </c>
      <c r="D299" s="68">
        <v>45035</v>
      </c>
      <c r="E299" s="69">
        <v>220238</v>
      </c>
      <c r="F299" s="70">
        <f t="shared" si="30"/>
        <v>0.99562291702612626</v>
      </c>
      <c r="G299" s="69">
        <v>964</v>
      </c>
      <c r="H299" s="69">
        <v>72297</v>
      </c>
      <c r="I299" s="70">
        <f t="shared" si="31"/>
        <v>0.32826760141301681</v>
      </c>
      <c r="J299" s="69">
        <v>981</v>
      </c>
      <c r="K299" s="70">
        <f t="shared" si="32"/>
        <v>4.4542721964420306E-3</v>
      </c>
      <c r="L299" s="70">
        <f t="shared" si="33"/>
        <v>1.3569027760487988E-2</v>
      </c>
      <c r="M299" s="69">
        <v>612</v>
      </c>
      <c r="N299" s="70">
        <f t="shared" si="34"/>
        <v>2.7788120124592488E-3</v>
      </c>
      <c r="O299" s="67" t="s">
        <v>16</v>
      </c>
    </row>
    <row r="300" spans="1:15" s="1" customFormat="1" x14ac:dyDescent="0.3">
      <c r="A300" s="76" t="s">
        <v>271</v>
      </c>
      <c r="B300" s="67" t="s">
        <v>15</v>
      </c>
      <c r="C300" s="67" t="s">
        <v>16</v>
      </c>
      <c r="D300" s="68">
        <v>45035</v>
      </c>
      <c r="E300" s="69">
        <v>2319334</v>
      </c>
      <c r="F300" s="70">
        <f t="shared" si="30"/>
        <v>0.99541894354155114</v>
      </c>
      <c r="G300" s="69">
        <v>10625</v>
      </c>
      <c r="H300" s="69">
        <v>993500</v>
      </c>
      <c r="I300" s="70">
        <f t="shared" si="31"/>
        <v>0.42835572625589935</v>
      </c>
      <c r="J300" s="69">
        <v>9306</v>
      </c>
      <c r="K300" s="70">
        <f t="shared" si="32"/>
        <v>4.0123587202188218E-3</v>
      </c>
      <c r="L300" s="70">
        <f t="shared" si="33"/>
        <v>9.3668847508807246E-3</v>
      </c>
      <c r="M300" s="69">
        <v>2525</v>
      </c>
      <c r="N300" s="70">
        <f t="shared" si="34"/>
        <v>1.0886745936549026E-3</v>
      </c>
      <c r="O300" s="67" t="s">
        <v>16</v>
      </c>
    </row>
    <row r="301" spans="1:15" s="1" customFormat="1" x14ac:dyDescent="0.3">
      <c r="A301" s="76" t="s">
        <v>271</v>
      </c>
      <c r="B301" s="67" t="s">
        <v>18</v>
      </c>
      <c r="C301" s="67" t="s">
        <v>16</v>
      </c>
      <c r="D301" s="68">
        <v>45035</v>
      </c>
      <c r="E301" s="69">
        <v>2446269</v>
      </c>
      <c r="F301" s="70">
        <f t="shared" si="30"/>
        <v>0.99636998220555462</v>
      </c>
      <c r="G301" s="69">
        <v>8880</v>
      </c>
      <c r="H301" s="69">
        <v>920184</v>
      </c>
      <c r="I301" s="70">
        <f t="shared" si="31"/>
        <v>0.37615814123467206</v>
      </c>
      <c r="J301" s="69">
        <v>9242</v>
      </c>
      <c r="K301" s="70">
        <f t="shared" si="32"/>
        <v>3.7779982495792573E-3</v>
      </c>
      <c r="L301" s="70">
        <f t="shared" si="33"/>
        <v>1.0043643445223998E-2</v>
      </c>
      <c r="M301" s="69">
        <v>5845</v>
      </c>
      <c r="N301" s="70">
        <f t="shared" si="34"/>
        <v>2.3893529288888508E-3</v>
      </c>
      <c r="O301" s="67" t="s">
        <v>16</v>
      </c>
    </row>
    <row r="302" spans="1:15" s="1" customFormat="1" x14ac:dyDescent="0.3">
      <c r="A302" s="76" t="s">
        <v>272</v>
      </c>
      <c r="B302" s="67" t="s">
        <v>18</v>
      </c>
      <c r="C302" s="67" t="s">
        <v>16</v>
      </c>
      <c r="D302" s="68">
        <v>45035</v>
      </c>
      <c r="E302" s="69">
        <v>94696</v>
      </c>
      <c r="F302" s="70">
        <f t="shared" si="30"/>
        <v>0.9963884430176565</v>
      </c>
      <c r="G302" s="69">
        <v>342</v>
      </c>
      <c r="H302" s="69">
        <v>38081</v>
      </c>
      <c r="I302" s="70">
        <f t="shared" si="31"/>
        <v>0.40213947790825377</v>
      </c>
      <c r="J302" s="69">
        <v>537</v>
      </c>
      <c r="K302" s="70">
        <f t="shared" si="32"/>
        <v>5.6707780687674245E-3</v>
      </c>
      <c r="L302" s="70">
        <f t="shared" si="33"/>
        <v>1.410152044326567E-2</v>
      </c>
      <c r="M302" s="69">
        <v>262</v>
      </c>
      <c r="N302" s="70">
        <f t="shared" si="34"/>
        <v>2.7667483315029144E-3</v>
      </c>
      <c r="O302" s="67" t="s">
        <v>16</v>
      </c>
    </row>
    <row r="303" spans="1:15" s="1" customFormat="1" x14ac:dyDescent="0.3">
      <c r="A303" s="76" t="s">
        <v>272</v>
      </c>
      <c r="B303" s="67" t="s">
        <v>15</v>
      </c>
      <c r="C303" s="67" t="s">
        <v>16</v>
      </c>
      <c r="D303" s="68">
        <v>45035</v>
      </c>
      <c r="E303" s="69">
        <v>187009</v>
      </c>
      <c r="F303" s="70">
        <f t="shared" si="30"/>
        <v>0.99566865765818757</v>
      </c>
      <c r="G303" s="69">
        <v>810</v>
      </c>
      <c r="H303" s="69">
        <v>70717</v>
      </c>
      <c r="I303" s="70">
        <f t="shared" si="31"/>
        <v>0.37814757578512265</v>
      </c>
      <c r="J303" s="69">
        <v>829</v>
      </c>
      <c r="K303" s="70">
        <f t="shared" si="32"/>
        <v>4.4329417300771621E-3</v>
      </c>
      <c r="L303" s="70">
        <f t="shared" si="33"/>
        <v>1.172278235784889E-2</v>
      </c>
      <c r="M303" s="69">
        <v>142</v>
      </c>
      <c r="N303" s="70">
        <f t="shared" si="34"/>
        <v>7.5932174387328955E-4</v>
      </c>
      <c r="O303" s="67" t="s">
        <v>16</v>
      </c>
    </row>
    <row r="304" spans="1:15" s="1" customFormat="1" x14ac:dyDescent="0.3">
      <c r="A304" s="76" t="s">
        <v>273</v>
      </c>
      <c r="B304" s="67" t="s">
        <v>15</v>
      </c>
      <c r="C304" s="67" t="s">
        <v>16</v>
      </c>
      <c r="D304" s="68">
        <v>45037</v>
      </c>
      <c r="E304" s="69">
        <v>42910</v>
      </c>
      <c r="F304" s="70">
        <f t="shared" si="30"/>
        <v>0.99594500116522955</v>
      </c>
      <c r="G304" s="69">
        <v>174</v>
      </c>
      <c r="H304" s="69">
        <v>17265</v>
      </c>
      <c r="I304" s="70">
        <f t="shared" si="31"/>
        <v>0.40235376369144721</v>
      </c>
      <c r="J304" s="69">
        <v>397</v>
      </c>
      <c r="K304" s="70">
        <f t="shared" si="32"/>
        <v>9.2519226287578644E-3</v>
      </c>
      <c r="L304" s="70">
        <f t="shared" si="33"/>
        <v>2.2994497538372429E-2</v>
      </c>
      <c r="M304" s="69">
        <v>17</v>
      </c>
      <c r="N304" s="70">
        <f t="shared" si="34"/>
        <v>3.9617804707527381E-4</v>
      </c>
      <c r="O304" s="67" t="s">
        <v>16</v>
      </c>
    </row>
    <row r="305" spans="1:15" s="1" customFormat="1" x14ac:dyDescent="0.3">
      <c r="A305" s="76" t="s">
        <v>273</v>
      </c>
      <c r="B305" s="67" t="s">
        <v>18</v>
      </c>
      <c r="C305" s="67" t="s">
        <v>16</v>
      </c>
      <c r="D305" s="68">
        <v>45037</v>
      </c>
      <c r="E305" s="69">
        <v>13892</v>
      </c>
      <c r="F305" s="70">
        <f t="shared" si="30"/>
        <v>0.9967607255974662</v>
      </c>
      <c r="G305" s="69">
        <v>45</v>
      </c>
      <c r="H305" s="69">
        <v>5459</v>
      </c>
      <c r="I305" s="70">
        <f t="shared" si="31"/>
        <v>0.39295997696515983</v>
      </c>
      <c r="J305" s="69">
        <v>123</v>
      </c>
      <c r="K305" s="70">
        <f t="shared" si="32"/>
        <v>8.8540167002591416E-3</v>
      </c>
      <c r="L305" s="70">
        <f t="shared" si="33"/>
        <v>2.2531599193991572E-2</v>
      </c>
      <c r="M305" s="69">
        <v>9</v>
      </c>
      <c r="N305" s="70">
        <f t="shared" si="34"/>
        <v>6.4785488050676646E-4</v>
      </c>
      <c r="O305" s="67" t="s">
        <v>16</v>
      </c>
    </row>
    <row r="306" spans="1:15" s="1" customFormat="1" x14ac:dyDescent="0.3">
      <c r="A306" s="66" t="s">
        <v>28</v>
      </c>
      <c r="B306" s="67" t="s">
        <v>15</v>
      </c>
      <c r="C306" s="67" t="s">
        <v>16</v>
      </c>
      <c r="D306" s="68">
        <v>45037</v>
      </c>
      <c r="E306" s="69">
        <v>105314</v>
      </c>
      <c r="F306" s="70">
        <f t="shared" si="30"/>
        <v>0.99466357749207135</v>
      </c>
      <c r="G306" s="69">
        <v>562</v>
      </c>
      <c r="H306" s="69">
        <v>32307</v>
      </c>
      <c r="I306" s="70">
        <f t="shared" si="31"/>
        <v>0.30676833089617717</v>
      </c>
      <c r="J306" s="69">
        <v>644</v>
      </c>
      <c r="K306" s="70">
        <f t="shared" si="32"/>
        <v>6.1150464325730675E-3</v>
      </c>
      <c r="L306" s="70">
        <f t="shared" si="33"/>
        <v>1.9933760485343732E-2</v>
      </c>
      <c r="M306" s="69">
        <v>81</v>
      </c>
      <c r="N306" s="70">
        <f t="shared" si="34"/>
        <v>7.6912851092922124E-4</v>
      </c>
      <c r="O306" s="67" t="s">
        <v>16</v>
      </c>
    </row>
    <row r="307" spans="1:15" s="1" customFormat="1" x14ac:dyDescent="0.3">
      <c r="A307" s="66" t="s">
        <v>28</v>
      </c>
      <c r="B307" s="67" t="s">
        <v>18</v>
      </c>
      <c r="C307" s="67" t="s">
        <v>16</v>
      </c>
      <c r="D307" s="68">
        <v>45037</v>
      </c>
      <c r="E307" s="69">
        <v>206840</v>
      </c>
      <c r="F307" s="70">
        <f t="shared" si="30"/>
        <v>0.99593405530845103</v>
      </c>
      <c r="G307" s="69">
        <v>841</v>
      </c>
      <c r="H307" s="69">
        <v>62825</v>
      </c>
      <c r="I307" s="70">
        <f t="shared" si="31"/>
        <v>0.30373718816476503</v>
      </c>
      <c r="J307" s="69">
        <v>1163</v>
      </c>
      <c r="K307" s="70">
        <f t="shared" si="32"/>
        <v>5.6227035389673176E-3</v>
      </c>
      <c r="L307" s="70">
        <f t="shared" si="33"/>
        <v>1.8511738957421409E-2</v>
      </c>
      <c r="M307" s="69">
        <v>425</v>
      </c>
      <c r="N307" s="70">
        <f t="shared" si="34"/>
        <v>2.0547282923999224E-3</v>
      </c>
      <c r="O307" s="67" t="s">
        <v>16</v>
      </c>
    </row>
    <row r="308" spans="1:15" s="1" customFormat="1" x14ac:dyDescent="0.3">
      <c r="A308" s="66" t="s">
        <v>22</v>
      </c>
      <c r="B308" s="67" t="s">
        <v>15</v>
      </c>
      <c r="C308" s="67" t="s">
        <v>16</v>
      </c>
      <c r="D308" s="68">
        <v>45037</v>
      </c>
      <c r="E308" s="69">
        <v>1903092</v>
      </c>
      <c r="F308" s="70">
        <f t="shared" si="30"/>
        <v>0.99565496570843659</v>
      </c>
      <c r="G308" s="69">
        <v>8269</v>
      </c>
      <c r="H308" s="69">
        <v>642254</v>
      </c>
      <c r="I308" s="70">
        <f t="shared" si="31"/>
        <v>0.33747921803044728</v>
      </c>
      <c r="J308" s="69">
        <v>7210</v>
      </c>
      <c r="K308" s="70">
        <f t="shared" si="32"/>
        <v>3.7885714405819582E-3</v>
      </c>
      <c r="L308" s="70">
        <f t="shared" si="33"/>
        <v>1.1226088120899208E-2</v>
      </c>
      <c r="M308" s="69">
        <v>1729</v>
      </c>
      <c r="N308" s="70">
        <f t="shared" si="34"/>
        <v>9.0852150079975119E-4</v>
      </c>
      <c r="O308" s="67" t="s">
        <v>16</v>
      </c>
    </row>
    <row r="309" spans="1:15" s="1" customFormat="1" x14ac:dyDescent="0.3">
      <c r="A309" s="66" t="s">
        <v>22</v>
      </c>
      <c r="B309" s="67" t="s">
        <v>18</v>
      </c>
      <c r="C309" s="67" t="s">
        <v>16</v>
      </c>
      <c r="D309" s="68">
        <v>45037</v>
      </c>
      <c r="E309" s="69">
        <v>2279587</v>
      </c>
      <c r="F309" s="70">
        <f t="shared" si="30"/>
        <v>0.99632301816074575</v>
      </c>
      <c r="G309" s="69">
        <v>8382</v>
      </c>
      <c r="H309" s="69">
        <v>757186</v>
      </c>
      <c r="I309" s="70">
        <f t="shared" si="31"/>
        <v>0.33215929025740187</v>
      </c>
      <c r="J309" s="69">
        <v>8619</v>
      </c>
      <c r="K309" s="70">
        <f t="shared" si="32"/>
        <v>3.7809480401493779E-3</v>
      </c>
      <c r="L309" s="70">
        <f t="shared" si="33"/>
        <v>1.1382936293064055E-2</v>
      </c>
      <c r="M309" s="69">
        <v>3679</v>
      </c>
      <c r="N309" s="70">
        <f t="shared" si="34"/>
        <v>1.6138888316173062E-3</v>
      </c>
      <c r="O309" s="67" t="s">
        <v>16</v>
      </c>
    </row>
    <row r="310" spans="1:15" s="1" customFormat="1" x14ac:dyDescent="0.3">
      <c r="A310" s="65" t="s">
        <v>296</v>
      </c>
      <c r="B310" s="67" t="s">
        <v>18</v>
      </c>
      <c r="C310" s="67" t="s">
        <v>16</v>
      </c>
      <c r="D310" s="68">
        <v>45040</v>
      </c>
      <c r="E310" s="69">
        <v>23526</v>
      </c>
      <c r="F310" s="70">
        <f t="shared" si="30"/>
        <v>0.99634446994814252</v>
      </c>
      <c r="G310" s="69">
        <v>86</v>
      </c>
      <c r="H310" s="69">
        <v>11998</v>
      </c>
      <c r="I310" s="70">
        <f t="shared" si="31"/>
        <v>0.50998894839751763</v>
      </c>
      <c r="J310" s="69">
        <v>332</v>
      </c>
      <c r="K310" s="70">
        <f t="shared" si="32"/>
        <v>1.4112046246705772E-2</v>
      </c>
      <c r="L310" s="70">
        <f t="shared" si="33"/>
        <v>2.7671278546424403E-2</v>
      </c>
      <c r="M310" s="69">
        <v>179</v>
      </c>
      <c r="N310" s="70">
        <f t="shared" si="34"/>
        <v>7.6086032474708834E-3</v>
      </c>
      <c r="O310" s="67" t="s">
        <v>16</v>
      </c>
    </row>
    <row r="311" spans="1:15" s="1" customFormat="1" x14ac:dyDescent="0.3">
      <c r="A311" s="66" t="s">
        <v>29</v>
      </c>
      <c r="B311" s="67" t="s">
        <v>18</v>
      </c>
      <c r="C311" s="67" t="s">
        <v>16</v>
      </c>
      <c r="D311" s="68">
        <v>45041</v>
      </c>
      <c r="E311" s="69">
        <v>26947</v>
      </c>
      <c r="F311" s="70">
        <f t="shared" si="30"/>
        <v>0.99654878094036436</v>
      </c>
      <c r="G311" s="69">
        <v>93</v>
      </c>
      <c r="H311" s="69">
        <v>9894</v>
      </c>
      <c r="I311" s="70">
        <f t="shared" si="31"/>
        <v>0.36716517608639182</v>
      </c>
      <c r="J311" s="69">
        <v>179</v>
      </c>
      <c r="K311" s="70">
        <f t="shared" si="32"/>
        <v>6.6426689427394516E-3</v>
      </c>
      <c r="L311" s="70">
        <f t="shared" si="33"/>
        <v>1.8091772791590865E-2</v>
      </c>
      <c r="M311" s="69">
        <v>26</v>
      </c>
      <c r="N311" s="70">
        <f t="shared" si="34"/>
        <v>9.6485694140349579E-4</v>
      </c>
      <c r="O311" s="67" t="s">
        <v>16</v>
      </c>
    </row>
    <row r="312" spans="1:15" s="1" customFormat="1" x14ac:dyDescent="0.3">
      <c r="A312" s="66" t="s">
        <v>29</v>
      </c>
      <c r="B312" s="67" t="s">
        <v>15</v>
      </c>
      <c r="C312" s="67" t="s">
        <v>16</v>
      </c>
      <c r="D312" s="68">
        <v>45041</v>
      </c>
      <c r="E312" s="69">
        <v>26154</v>
      </c>
      <c r="F312" s="70">
        <f t="shared" si="30"/>
        <v>0.99445591496520613</v>
      </c>
      <c r="G312" s="69">
        <v>145</v>
      </c>
      <c r="H312" s="69">
        <v>9001</v>
      </c>
      <c r="I312" s="70">
        <f t="shared" si="31"/>
        <v>0.34415385791848285</v>
      </c>
      <c r="J312" s="69">
        <v>223</v>
      </c>
      <c r="K312" s="70">
        <f t="shared" si="32"/>
        <v>8.5264204328209837E-3</v>
      </c>
      <c r="L312" s="70">
        <f t="shared" si="33"/>
        <v>2.477502499722253E-2</v>
      </c>
      <c r="M312" s="69">
        <v>14</v>
      </c>
      <c r="N312" s="70">
        <f t="shared" si="34"/>
        <v>5.3529096887665372E-4</v>
      </c>
      <c r="O312" s="67" t="s">
        <v>16</v>
      </c>
    </row>
    <row r="313" spans="1:15" s="1" customFormat="1" x14ac:dyDescent="0.3">
      <c r="A313" s="66" t="s">
        <v>17</v>
      </c>
      <c r="B313" s="67" t="s">
        <v>15</v>
      </c>
      <c r="C313" s="67" t="s">
        <v>16</v>
      </c>
      <c r="D313" s="68">
        <v>45041</v>
      </c>
      <c r="E313" s="69">
        <v>232199</v>
      </c>
      <c r="F313" s="70">
        <f t="shared" si="30"/>
        <v>0.99478895257946842</v>
      </c>
      <c r="G313" s="69">
        <v>1210</v>
      </c>
      <c r="H313" s="69">
        <v>82640</v>
      </c>
      <c r="I313" s="70">
        <f t="shared" si="31"/>
        <v>0.35590161887002097</v>
      </c>
      <c r="J313" s="69">
        <v>1568</v>
      </c>
      <c r="K313" s="70">
        <f t="shared" si="32"/>
        <v>6.7528283928871358E-3</v>
      </c>
      <c r="L313" s="70">
        <f t="shared" si="33"/>
        <v>1.8973862536302032E-2</v>
      </c>
      <c r="M313" s="69">
        <v>127</v>
      </c>
      <c r="N313" s="70">
        <f t="shared" si="34"/>
        <v>5.4694464661777186E-4</v>
      </c>
      <c r="O313" s="67" t="s">
        <v>16</v>
      </c>
    </row>
    <row r="314" spans="1:15" s="1" customFormat="1" x14ac:dyDescent="0.3">
      <c r="A314" s="66" t="s">
        <v>17</v>
      </c>
      <c r="B314" s="67" t="s">
        <v>18</v>
      </c>
      <c r="C314" s="67" t="s">
        <v>16</v>
      </c>
      <c r="D314" s="68">
        <v>45041</v>
      </c>
      <c r="E314" s="69">
        <v>450922</v>
      </c>
      <c r="F314" s="70">
        <f t="shared" si="30"/>
        <v>0.99647167359321565</v>
      </c>
      <c r="G314" s="69">
        <v>1591</v>
      </c>
      <c r="H314" s="69">
        <v>173036</v>
      </c>
      <c r="I314" s="70">
        <f t="shared" si="31"/>
        <v>0.38373820749486609</v>
      </c>
      <c r="J314" s="69">
        <v>2250</v>
      </c>
      <c r="K314" s="70">
        <f t="shared" si="32"/>
        <v>4.9897765023662628E-3</v>
      </c>
      <c r="L314" s="70">
        <f t="shared" si="33"/>
        <v>1.300307450472734E-2</v>
      </c>
      <c r="M314" s="69">
        <v>405</v>
      </c>
      <c r="N314" s="70">
        <f t="shared" si="34"/>
        <v>8.9815977042592731E-4</v>
      </c>
      <c r="O314" s="67" t="s">
        <v>16</v>
      </c>
    </row>
    <row r="315" spans="1:15" s="1" customFormat="1" x14ac:dyDescent="0.3">
      <c r="A315" s="76" t="s">
        <v>277</v>
      </c>
      <c r="B315" s="67" t="s">
        <v>15</v>
      </c>
      <c r="C315" s="67" t="s">
        <v>16</v>
      </c>
      <c r="D315" s="68">
        <v>45041</v>
      </c>
      <c r="E315" s="69">
        <v>16590</v>
      </c>
      <c r="F315" s="70">
        <f t="shared" si="30"/>
        <v>0.99590114526823392</v>
      </c>
      <c r="G315" s="69">
        <v>68</v>
      </c>
      <c r="H315" s="69">
        <v>6846</v>
      </c>
      <c r="I315" s="70">
        <f t="shared" si="31"/>
        <v>0.41265822784810124</v>
      </c>
      <c r="J315" s="69">
        <v>205</v>
      </c>
      <c r="K315" s="70">
        <f t="shared" si="32"/>
        <v>1.2356841470765521E-2</v>
      </c>
      <c r="L315" s="70">
        <f t="shared" si="33"/>
        <v>2.9944493134677185E-2</v>
      </c>
      <c r="M315" s="69">
        <v>4</v>
      </c>
      <c r="N315" s="70">
        <f t="shared" si="34"/>
        <v>2.4110910186859555E-4</v>
      </c>
      <c r="O315" s="67" t="s">
        <v>16</v>
      </c>
    </row>
    <row r="316" spans="1:15" s="1" customFormat="1" x14ac:dyDescent="0.3">
      <c r="A316" s="76" t="s">
        <v>278</v>
      </c>
      <c r="B316" s="67" t="s">
        <v>15</v>
      </c>
      <c r="C316" s="67" t="s">
        <v>16</v>
      </c>
      <c r="D316" s="68">
        <v>45041</v>
      </c>
      <c r="E316" s="69">
        <v>2390</v>
      </c>
      <c r="F316" s="70">
        <f t="shared" si="30"/>
        <v>0.99497907949790798</v>
      </c>
      <c r="G316" s="69">
        <v>12</v>
      </c>
      <c r="H316" s="69">
        <v>1041</v>
      </c>
      <c r="I316" s="70">
        <f t="shared" si="31"/>
        <v>0.43556485355648533</v>
      </c>
      <c r="J316" s="69">
        <v>50</v>
      </c>
      <c r="K316" s="70">
        <f t="shared" si="32"/>
        <v>2.0920502092050208E-2</v>
      </c>
      <c r="L316" s="70">
        <f t="shared" si="33"/>
        <v>4.8030739673390971E-2</v>
      </c>
      <c r="M316" s="69">
        <v>0</v>
      </c>
      <c r="N316" s="70">
        <f t="shared" si="34"/>
        <v>0</v>
      </c>
      <c r="O316" s="67" t="s">
        <v>16</v>
      </c>
    </row>
    <row r="317" spans="1:15" s="1" customFormat="1" x14ac:dyDescent="0.3">
      <c r="A317" s="76" t="s">
        <v>279</v>
      </c>
      <c r="B317" s="67" t="s">
        <v>15</v>
      </c>
      <c r="C317" s="67" t="s">
        <v>16</v>
      </c>
      <c r="D317" s="68">
        <v>45041</v>
      </c>
      <c r="E317" s="69">
        <v>17694</v>
      </c>
      <c r="F317" s="70">
        <f t="shared" si="30"/>
        <v>0.99559172600881651</v>
      </c>
      <c r="G317" s="69">
        <v>78</v>
      </c>
      <c r="H317" s="69">
        <v>7266</v>
      </c>
      <c r="I317" s="70">
        <f t="shared" si="31"/>
        <v>0.41064767717870465</v>
      </c>
      <c r="J317" s="69">
        <v>219</v>
      </c>
      <c r="K317" s="70">
        <f t="shared" si="32"/>
        <v>1.2377076975245847E-2</v>
      </c>
      <c r="L317" s="70">
        <f t="shared" si="33"/>
        <v>3.014037985136251E-2</v>
      </c>
      <c r="M317" s="69">
        <v>6</v>
      </c>
      <c r="N317" s="70">
        <f t="shared" si="34"/>
        <v>3.3909799932180403E-4</v>
      </c>
      <c r="O317" s="67" t="s">
        <v>16</v>
      </c>
    </row>
    <row r="318" spans="1:15" s="1" customFormat="1" x14ac:dyDescent="0.3">
      <c r="A318" s="76" t="s">
        <v>280</v>
      </c>
      <c r="B318" s="67" t="s">
        <v>15</v>
      </c>
      <c r="C318" s="67" t="s">
        <v>16</v>
      </c>
      <c r="D318" s="68">
        <v>45041</v>
      </c>
      <c r="E318" s="69">
        <v>1978</v>
      </c>
      <c r="F318" s="70">
        <f t="shared" si="30"/>
        <v>0.99393326592517695</v>
      </c>
      <c r="G318" s="69">
        <v>12</v>
      </c>
      <c r="H318" s="69">
        <v>762</v>
      </c>
      <c r="I318" s="70">
        <f t="shared" si="31"/>
        <v>0.38523761375126392</v>
      </c>
      <c r="J318" s="69">
        <v>31</v>
      </c>
      <c r="K318" s="70">
        <f t="shared" si="32"/>
        <v>1.5672396359959553E-2</v>
      </c>
      <c r="L318" s="70">
        <f t="shared" si="33"/>
        <v>4.0682414698162729E-2</v>
      </c>
      <c r="M318" s="69">
        <v>0</v>
      </c>
      <c r="N318" s="70">
        <f t="shared" si="34"/>
        <v>0</v>
      </c>
      <c r="O318" s="67" t="s">
        <v>16</v>
      </c>
    </row>
    <row r="319" spans="1:15" s="1" customFormat="1" x14ac:dyDescent="0.3">
      <c r="A319" s="76" t="s">
        <v>281</v>
      </c>
      <c r="B319" s="67" t="s">
        <v>15</v>
      </c>
      <c r="C319" s="67" t="s">
        <v>16</v>
      </c>
      <c r="D319" s="68">
        <v>45041</v>
      </c>
      <c r="E319" s="69">
        <v>32027</v>
      </c>
      <c r="F319" s="70">
        <f t="shared" si="30"/>
        <v>0.995784806569457</v>
      </c>
      <c r="G319" s="69">
        <v>135</v>
      </c>
      <c r="H319" s="69">
        <v>12976</v>
      </c>
      <c r="I319" s="70">
        <f t="shared" si="31"/>
        <v>0.40515814781278298</v>
      </c>
      <c r="J319" s="69">
        <v>378</v>
      </c>
      <c r="K319" s="70">
        <f t="shared" si="32"/>
        <v>1.1802541605520342E-2</v>
      </c>
      <c r="L319" s="70">
        <f t="shared" si="33"/>
        <v>2.9130702836004933E-2</v>
      </c>
      <c r="M319" s="69">
        <v>14</v>
      </c>
      <c r="N319" s="70">
        <f t="shared" si="34"/>
        <v>4.3713117057482748E-4</v>
      </c>
      <c r="O319" s="67" t="s">
        <v>16</v>
      </c>
    </row>
    <row r="320" spans="1:15" s="1" customFormat="1" x14ac:dyDescent="0.3">
      <c r="A320" s="76" t="s">
        <v>282</v>
      </c>
      <c r="B320" s="67" t="s">
        <v>15</v>
      </c>
      <c r="C320" s="67" t="s">
        <v>16</v>
      </c>
      <c r="D320" s="68">
        <v>45041</v>
      </c>
      <c r="E320" s="69">
        <v>3489</v>
      </c>
      <c r="F320" s="70">
        <f t="shared" si="30"/>
        <v>0.9957007738607051</v>
      </c>
      <c r="G320" s="69">
        <v>15</v>
      </c>
      <c r="H320" s="69">
        <v>1449</v>
      </c>
      <c r="I320" s="70">
        <f t="shared" si="31"/>
        <v>0.41530524505588995</v>
      </c>
      <c r="J320" s="69">
        <v>67</v>
      </c>
      <c r="K320" s="70">
        <f t="shared" si="32"/>
        <v>1.9203210088850675E-2</v>
      </c>
      <c r="L320" s="70">
        <f t="shared" si="33"/>
        <v>4.6238785369220152E-2</v>
      </c>
      <c r="M320" s="69">
        <v>0</v>
      </c>
      <c r="N320" s="70">
        <f t="shared" si="34"/>
        <v>0</v>
      </c>
      <c r="O320" s="67" t="s">
        <v>16</v>
      </c>
    </row>
    <row r="321" spans="1:15" s="1" customFormat="1" x14ac:dyDescent="0.3">
      <c r="A321" s="76" t="s">
        <v>283</v>
      </c>
      <c r="B321" s="67" t="s">
        <v>15</v>
      </c>
      <c r="C321" s="67" t="s">
        <v>16</v>
      </c>
      <c r="D321" s="68">
        <v>45041</v>
      </c>
      <c r="E321" s="69">
        <v>101678</v>
      </c>
      <c r="F321" s="70">
        <f t="shared" si="30"/>
        <v>0.99633155648222826</v>
      </c>
      <c r="G321" s="69">
        <v>373</v>
      </c>
      <c r="H321" s="69">
        <v>41540</v>
      </c>
      <c r="I321" s="70">
        <f t="shared" si="31"/>
        <v>0.40854462125533547</v>
      </c>
      <c r="J321" s="69">
        <v>1508</v>
      </c>
      <c r="K321" s="70">
        <f t="shared" si="32"/>
        <v>1.4831133578551899E-2</v>
      </c>
      <c r="L321" s="70">
        <f t="shared" si="33"/>
        <v>3.6302359171882521E-2</v>
      </c>
      <c r="M321" s="69">
        <v>36</v>
      </c>
      <c r="N321" s="70">
        <f t="shared" si="34"/>
        <v>3.540588917956687E-4</v>
      </c>
      <c r="O321" s="67" t="s">
        <v>16</v>
      </c>
    </row>
    <row r="322" spans="1:15" s="1" customFormat="1" x14ac:dyDescent="0.3">
      <c r="A322" s="76" t="s">
        <v>284</v>
      </c>
      <c r="B322" s="67" t="s">
        <v>15</v>
      </c>
      <c r="C322" s="67" t="s">
        <v>16</v>
      </c>
      <c r="D322" s="68">
        <v>45041</v>
      </c>
      <c r="E322" s="69">
        <v>6202</v>
      </c>
      <c r="F322" s="70">
        <f t="shared" si="30"/>
        <v>0.99500161238310225</v>
      </c>
      <c r="G322" s="69">
        <v>31</v>
      </c>
      <c r="H322" s="69">
        <v>2674</v>
      </c>
      <c r="I322" s="70">
        <f t="shared" si="31"/>
        <v>0.43115124153498874</v>
      </c>
      <c r="J322" s="69">
        <v>173</v>
      </c>
      <c r="K322" s="70">
        <f t="shared" si="32"/>
        <v>2.7894227668494035E-2</v>
      </c>
      <c r="L322" s="70">
        <f t="shared" si="33"/>
        <v>6.4697083021690346E-2</v>
      </c>
      <c r="M322" s="69">
        <v>1</v>
      </c>
      <c r="N322" s="70">
        <f t="shared" si="34"/>
        <v>1.6123831022250886E-4</v>
      </c>
      <c r="O322" s="67" t="s">
        <v>16</v>
      </c>
    </row>
    <row r="323" spans="1:15" s="1" customFormat="1" x14ac:dyDescent="0.3">
      <c r="A323" s="76" t="s">
        <v>285</v>
      </c>
      <c r="B323" s="67" t="s">
        <v>18</v>
      </c>
      <c r="C323" s="67" t="s">
        <v>16</v>
      </c>
      <c r="D323" s="68">
        <v>45042</v>
      </c>
      <c r="E323" s="69">
        <v>168853</v>
      </c>
      <c r="F323" s="70">
        <f>(E323-G323)/E323</f>
        <v>0.9959313722587102</v>
      </c>
      <c r="G323" s="69">
        <v>687</v>
      </c>
      <c r="H323" s="69">
        <v>54051</v>
      </c>
      <c r="I323" s="70">
        <f>H323/E323</f>
        <v>0.32010683849265337</v>
      </c>
      <c r="J323" s="69">
        <v>448</v>
      </c>
      <c r="K323" s="70">
        <f>J323/E323</f>
        <v>2.6531953829662487E-3</v>
      </c>
      <c r="L323" s="70">
        <f>J323/H323</f>
        <v>8.2884682984588638E-3</v>
      </c>
      <c r="M323" s="69">
        <v>350</v>
      </c>
      <c r="N323" s="70">
        <f>M323/E323</f>
        <v>2.0728088929423817E-3</v>
      </c>
      <c r="O323" s="67" t="s">
        <v>16</v>
      </c>
    </row>
    <row r="324" spans="1:15" s="1" customFormat="1" x14ac:dyDescent="0.3">
      <c r="A324" s="76" t="s">
        <v>285</v>
      </c>
      <c r="B324" s="67" t="s">
        <v>15</v>
      </c>
      <c r="C324" s="67" t="s">
        <v>16</v>
      </c>
      <c r="D324" s="68">
        <v>45042</v>
      </c>
      <c r="E324" s="69">
        <v>98865</v>
      </c>
      <c r="F324" s="70">
        <f>(E324-G324)/E324</f>
        <v>0.99458858038739695</v>
      </c>
      <c r="G324" s="69">
        <v>535</v>
      </c>
      <c r="H324" s="69">
        <v>32708</v>
      </c>
      <c r="I324" s="70">
        <f>H324/E324</f>
        <v>0.33083497698882314</v>
      </c>
      <c r="J324" s="69">
        <v>217</v>
      </c>
      <c r="K324" s="70">
        <f>J324/E324</f>
        <v>2.1949122540838519E-3</v>
      </c>
      <c r="L324" s="70">
        <f>J324/H324</f>
        <v>6.6344625168154583E-3</v>
      </c>
      <c r="M324" s="69">
        <v>39</v>
      </c>
      <c r="N324" s="70">
        <f>M324/E324</f>
        <v>3.9447731755424062E-4</v>
      </c>
      <c r="O324" s="67" t="s">
        <v>16</v>
      </c>
    </row>
    <row r="325" spans="1:15" s="1" customFormat="1" x14ac:dyDescent="0.3">
      <c r="A325" s="76" t="s">
        <v>286</v>
      </c>
      <c r="B325" s="67" t="s">
        <v>18</v>
      </c>
      <c r="C325" s="67" t="s">
        <v>16</v>
      </c>
      <c r="D325" s="68">
        <v>45042</v>
      </c>
      <c r="E325" s="69">
        <v>1685835</v>
      </c>
      <c r="F325" s="70">
        <f>(E325-G325)/E325</f>
        <v>0.99615324156871821</v>
      </c>
      <c r="G325" s="69">
        <v>6485</v>
      </c>
      <c r="H325" s="69">
        <v>588709</v>
      </c>
      <c r="I325" s="70">
        <f>H325/E325</f>
        <v>0.34920914561626731</v>
      </c>
      <c r="J325" s="69">
        <v>4209</v>
      </c>
      <c r="K325" s="70">
        <f>J325/E325</f>
        <v>2.4966856186993389E-3</v>
      </c>
      <c r="L325" s="70">
        <f>J325/H325</f>
        <v>7.1495424734461339E-3</v>
      </c>
      <c r="M325" s="69">
        <v>2855</v>
      </c>
      <c r="N325" s="70">
        <f>M325/E325</f>
        <v>1.6935227943422695E-3</v>
      </c>
      <c r="O325" s="67" t="s">
        <v>16</v>
      </c>
    </row>
    <row r="326" spans="1:15" s="1" customFormat="1" x14ac:dyDescent="0.3">
      <c r="A326" s="76" t="s">
        <v>286</v>
      </c>
      <c r="B326" s="67" t="s">
        <v>15</v>
      </c>
      <c r="C326" s="67" t="s">
        <v>16</v>
      </c>
      <c r="D326" s="68">
        <v>45042</v>
      </c>
      <c r="E326" s="69">
        <v>1453228</v>
      </c>
      <c r="F326" s="70">
        <f>(E326-G326)/E326</f>
        <v>0.99542191590032669</v>
      </c>
      <c r="G326" s="69">
        <v>6653</v>
      </c>
      <c r="H326" s="69">
        <v>524882</v>
      </c>
      <c r="I326" s="70">
        <f>H326/E326</f>
        <v>0.361183516970496</v>
      </c>
      <c r="J326" s="69">
        <v>2828</v>
      </c>
      <c r="K326" s="70">
        <f>J326/E326</f>
        <v>1.9460126009132773E-3</v>
      </c>
      <c r="L326" s="70">
        <f>J326/H326</f>
        <v>5.3878776563113231E-3</v>
      </c>
      <c r="M326" s="69">
        <v>1146</v>
      </c>
      <c r="N326" s="70">
        <f>M326/E326</f>
        <v>7.885892647265261E-4</v>
      </c>
      <c r="O326" s="67" t="s">
        <v>16</v>
      </c>
    </row>
    <row r="327" spans="1:15" s="1" customFormat="1" x14ac:dyDescent="0.3">
      <c r="A327" s="76" t="s">
        <v>287</v>
      </c>
      <c r="B327" s="67" t="s">
        <v>15</v>
      </c>
      <c r="C327" s="67" t="s">
        <v>16</v>
      </c>
      <c r="D327" s="68">
        <v>45042</v>
      </c>
      <c r="E327" s="69">
        <v>137025</v>
      </c>
      <c r="F327" s="70">
        <f t="shared" si="30"/>
        <v>0.99436599160737094</v>
      </c>
      <c r="G327" s="69">
        <v>772</v>
      </c>
      <c r="H327" s="69">
        <v>50585</v>
      </c>
      <c r="I327" s="70">
        <f t="shared" si="31"/>
        <v>0.3691662105455209</v>
      </c>
      <c r="J327" s="69">
        <v>2943</v>
      </c>
      <c r="K327" s="70">
        <f t="shared" si="32"/>
        <v>2.1477832512315272E-2</v>
      </c>
      <c r="L327" s="70">
        <f t="shared" si="33"/>
        <v>5.8179302164673319E-2</v>
      </c>
      <c r="M327" s="69">
        <v>57</v>
      </c>
      <c r="N327" s="70">
        <f t="shared" si="34"/>
        <v>4.1598248494800218E-4</v>
      </c>
      <c r="O327" s="67" t="s">
        <v>16</v>
      </c>
    </row>
    <row r="328" spans="1:15" s="1" customFormat="1" x14ac:dyDescent="0.3">
      <c r="A328" s="76" t="s">
        <v>287</v>
      </c>
      <c r="B328" s="67" t="s">
        <v>18</v>
      </c>
      <c r="C328" s="67" t="s">
        <v>16</v>
      </c>
      <c r="D328" s="68">
        <v>45042</v>
      </c>
      <c r="E328" s="69">
        <v>232449</v>
      </c>
      <c r="F328" s="70">
        <f t="shared" si="30"/>
        <v>0.99603784055857414</v>
      </c>
      <c r="G328" s="69">
        <v>921</v>
      </c>
      <c r="H328" s="69">
        <v>80566</v>
      </c>
      <c r="I328" s="70">
        <f t="shared" si="31"/>
        <v>0.34659645771760689</v>
      </c>
      <c r="J328" s="69">
        <v>4092</v>
      </c>
      <c r="K328" s="70">
        <f t="shared" si="32"/>
        <v>1.7603861492198287E-2</v>
      </c>
      <c r="L328" s="70">
        <f t="shared" si="33"/>
        <v>5.0790656108035646E-2</v>
      </c>
      <c r="M328" s="69">
        <v>518</v>
      </c>
      <c r="N328" s="70">
        <f t="shared" si="34"/>
        <v>2.2284458096184538E-3</v>
      </c>
      <c r="O328" s="67" t="s">
        <v>16</v>
      </c>
    </row>
    <row r="329" spans="1:15" s="1" customFormat="1" x14ac:dyDescent="0.3">
      <c r="A329" s="76" t="s">
        <v>288</v>
      </c>
      <c r="B329" s="67" t="s">
        <v>15</v>
      </c>
      <c r="C329" s="67" t="s">
        <v>16</v>
      </c>
      <c r="D329" s="68">
        <v>45042</v>
      </c>
      <c r="E329" s="69">
        <v>2463351</v>
      </c>
      <c r="F329" s="70">
        <f t="shared" si="30"/>
        <v>0.99542452537214554</v>
      </c>
      <c r="G329" s="69">
        <v>11271</v>
      </c>
      <c r="H329" s="69">
        <v>909114</v>
      </c>
      <c r="I329" s="70">
        <f t="shared" si="31"/>
        <v>0.36905581056049258</v>
      </c>
      <c r="J329" s="69">
        <v>26045</v>
      </c>
      <c r="K329" s="70">
        <f t="shared" si="32"/>
        <v>1.0572995890557213E-2</v>
      </c>
      <c r="L329" s="70">
        <f t="shared" si="33"/>
        <v>2.8648772321183041E-2</v>
      </c>
      <c r="M329" s="69">
        <v>2093</v>
      </c>
      <c r="N329" s="70">
        <f t="shared" si="34"/>
        <v>8.4965561140089253E-4</v>
      </c>
      <c r="O329" s="67" t="s">
        <v>16</v>
      </c>
    </row>
    <row r="330" spans="1:15" s="1" customFormat="1" x14ac:dyDescent="0.3">
      <c r="A330" s="76" t="s">
        <v>288</v>
      </c>
      <c r="B330" s="67" t="s">
        <v>18</v>
      </c>
      <c r="C330" s="67" t="s">
        <v>16</v>
      </c>
      <c r="D330" s="68">
        <v>45042</v>
      </c>
      <c r="E330" s="69">
        <v>2581365</v>
      </c>
      <c r="F330" s="70">
        <f t="shared" si="30"/>
        <v>0.99633411005417671</v>
      </c>
      <c r="G330" s="69">
        <v>9463</v>
      </c>
      <c r="H330" s="69">
        <v>913513</v>
      </c>
      <c r="I330" s="70">
        <f t="shared" si="31"/>
        <v>0.35388757498455276</v>
      </c>
      <c r="J330" s="69">
        <v>22378</v>
      </c>
      <c r="K330" s="70">
        <f t="shared" si="32"/>
        <v>8.6690568749479436E-3</v>
      </c>
      <c r="L330" s="70">
        <f t="shared" si="33"/>
        <v>2.4496640989236058E-2</v>
      </c>
      <c r="M330" s="69">
        <v>5022</v>
      </c>
      <c r="N330" s="70">
        <f t="shared" si="34"/>
        <v>1.9454823320220116E-3</v>
      </c>
      <c r="O330" s="67" t="s">
        <v>16</v>
      </c>
    </row>
    <row r="331" spans="1:15" s="1" customFormat="1" x14ac:dyDescent="0.3">
      <c r="A331" s="76" t="s">
        <v>291</v>
      </c>
      <c r="B331" s="67" t="s">
        <v>18</v>
      </c>
      <c r="C331" s="67" t="s">
        <v>16</v>
      </c>
      <c r="D331" s="68">
        <v>45043</v>
      </c>
      <c r="E331" s="69">
        <v>296</v>
      </c>
      <c r="F331" s="70">
        <f t="shared" si="30"/>
        <v>0.9932432432432432</v>
      </c>
      <c r="G331" s="69">
        <v>2</v>
      </c>
      <c r="H331" s="69">
        <v>214</v>
      </c>
      <c r="I331" s="70">
        <f t="shared" si="31"/>
        <v>0.72297297297297303</v>
      </c>
      <c r="J331" s="69">
        <v>4</v>
      </c>
      <c r="K331" s="70">
        <f t="shared" si="32"/>
        <v>1.3513513513513514E-2</v>
      </c>
      <c r="L331" s="70">
        <f t="shared" si="33"/>
        <v>1.8691588785046728E-2</v>
      </c>
      <c r="M331" s="69">
        <v>1</v>
      </c>
      <c r="N331" s="70">
        <f t="shared" si="34"/>
        <v>3.3783783783783786E-3</v>
      </c>
      <c r="O331" s="67" t="s">
        <v>16</v>
      </c>
    </row>
    <row r="332" spans="1:15" s="1" customFormat="1" x14ac:dyDescent="0.3">
      <c r="A332" s="76" t="s">
        <v>291</v>
      </c>
      <c r="B332" s="67" t="s">
        <v>15</v>
      </c>
      <c r="C332" s="67" t="s">
        <v>16</v>
      </c>
      <c r="D332" s="68">
        <v>45043</v>
      </c>
      <c r="E332" s="69">
        <v>579</v>
      </c>
      <c r="F332" s="70">
        <f t="shared" ref="F332:F393" si="35">(E332-G332)/E332</f>
        <v>0.99654576856649391</v>
      </c>
      <c r="G332" s="69">
        <v>2</v>
      </c>
      <c r="H332" s="69">
        <v>415</v>
      </c>
      <c r="I332" s="70">
        <f t="shared" ref="I332:I393" si="36">H332/E332</f>
        <v>0.71675302245250427</v>
      </c>
      <c r="J332" s="69">
        <v>11</v>
      </c>
      <c r="K332" s="70">
        <f t="shared" ref="K332:K393" si="37">J332/E332</f>
        <v>1.8998272884283247E-2</v>
      </c>
      <c r="L332" s="70">
        <f t="shared" ref="L332:L393" si="38">J332/H332</f>
        <v>2.6506024096385541E-2</v>
      </c>
      <c r="M332" s="69">
        <v>0</v>
      </c>
      <c r="N332" s="70">
        <f t="shared" ref="N332:N393" si="39">M332/E332</f>
        <v>0</v>
      </c>
      <c r="O332" s="67" t="s">
        <v>16</v>
      </c>
    </row>
    <row r="333" spans="1:15" s="1" customFormat="1" x14ac:dyDescent="0.3">
      <c r="A333" s="76" t="s">
        <v>292</v>
      </c>
      <c r="B333" s="67" t="s">
        <v>15</v>
      </c>
      <c r="C333" s="67" t="s">
        <v>16</v>
      </c>
      <c r="D333" s="68">
        <v>45043</v>
      </c>
      <c r="E333" s="69">
        <v>200</v>
      </c>
      <c r="F333" s="70">
        <f t="shared" si="35"/>
        <v>1</v>
      </c>
      <c r="G333" s="69">
        <v>0</v>
      </c>
      <c r="H333" s="69">
        <v>130</v>
      </c>
      <c r="I333" s="70">
        <f t="shared" si="36"/>
        <v>0.65</v>
      </c>
      <c r="J333" s="69">
        <v>3</v>
      </c>
      <c r="K333" s="70">
        <f t="shared" si="37"/>
        <v>1.4999999999999999E-2</v>
      </c>
      <c r="L333" s="70">
        <f t="shared" si="38"/>
        <v>2.3076923076923078E-2</v>
      </c>
      <c r="M333" s="69">
        <v>0</v>
      </c>
      <c r="N333" s="70">
        <f t="shared" si="39"/>
        <v>0</v>
      </c>
      <c r="O333" s="67" t="s">
        <v>16</v>
      </c>
    </row>
    <row r="334" spans="1:15" s="1" customFormat="1" x14ac:dyDescent="0.3">
      <c r="A334" s="76" t="s">
        <v>292</v>
      </c>
      <c r="B334" s="67" t="s">
        <v>18</v>
      </c>
      <c r="C334" s="67" t="s">
        <v>16</v>
      </c>
      <c r="D334" s="68">
        <v>45043</v>
      </c>
      <c r="E334" s="69">
        <v>93</v>
      </c>
      <c r="F334" s="70">
        <f t="shared" si="35"/>
        <v>1</v>
      </c>
      <c r="G334" s="69">
        <v>0</v>
      </c>
      <c r="H334" s="69">
        <v>61</v>
      </c>
      <c r="I334" s="70">
        <f t="shared" si="36"/>
        <v>0.65591397849462363</v>
      </c>
      <c r="J334" s="69">
        <v>3</v>
      </c>
      <c r="K334" s="70">
        <f t="shared" si="37"/>
        <v>3.2258064516129031E-2</v>
      </c>
      <c r="L334" s="70">
        <f t="shared" si="38"/>
        <v>4.9180327868852458E-2</v>
      </c>
      <c r="M334" s="69">
        <v>0</v>
      </c>
      <c r="N334" s="70">
        <f t="shared" si="39"/>
        <v>0</v>
      </c>
      <c r="O334" s="67" t="s">
        <v>16</v>
      </c>
    </row>
    <row r="335" spans="1:15" s="1" customFormat="1" x14ac:dyDescent="0.3">
      <c r="A335" s="76" t="s">
        <v>293</v>
      </c>
      <c r="B335" s="67" t="s">
        <v>18</v>
      </c>
      <c r="C335" s="67" t="s">
        <v>16</v>
      </c>
      <c r="D335" s="68">
        <v>45044</v>
      </c>
      <c r="E335" s="69">
        <v>36959</v>
      </c>
      <c r="F335" s="70">
        <f t="shared" si="35"/>
        <v>0.9953461944316675</v>
      </c>
      <c r="G335" s="69">
        <v>172</v>
      </c>
      <c r="H335" s="69">
        <v>14761</v>
      </c>
      <c r="I335" s="70">
        <f t="shared" si="36"/>
        <v>0.39938851159392841</v>
      </c>
      <c r="J335" s="69">
        <v>200</v>
      </c>
      <c r="K335" s="70">
        <f t="shared" si="37"/>
        <v>5.4114018236424144E-3</v>
      </c>
      <c r="L335" s="70">
        <f t="shared" si="38"/>
        <v>1.3549217532687487E-2</v>
      </c>
      <c r="M335" s="69">
        <v>78</v>
      </c>
      <c r="N335" s="70">
        <f t="shared" si="39"/>
        <v>2.1104467112205419E-3</v>
      </c>
      <c r="O335" s="67" t="s">
        <v>16</v>
      </c>
    </row>
    <row r="336" spans="1:15" s="1" customFormat="1" x14ac:dyDescent="0.3">
      <c r="A336" s="76" t="s">
        <v>293</v>
      </c>
      <c r="B336" s="67" t="s">
        <v>15</v>
      </c>
      <c r="C336" s="67" t="s">
        <v>16</v>
      </c>
      <c r="D336" s="68">
        <v>45044</v>
      </c>
      <c r="E336" s="69">
        <v>100800</v>
      </c>
      <c r="F336" s="70">
        <f t="shared" si="35"/>
        <v>0.99488095238095242</v>
      </c>
      <c r="G336" s="69">
        <v>516</v>
      </c>
      <c r="H336" s="69">
        <v>36145</v>
      </c>
      <c r="I336" s="70">
        <f t="shared" si="36"/>
        <v>0.35858134920634921</v>
      </c>
      <c r="J336" s="69">
        <v>406</v>
      </c>
      <c r="K336" s="70">
        <f t="shared" si="37"/>
        <v>4.0277777777777777E-3</v>
      </c>
      <c r="L336" s="70">
        <f t="shared" si="38"/>
        <v>1.1232535620417762E-2</v>
      </c>
      <c r="M336" s="69">
        <v>62</v>
      </c>
      <c r="N336" s="70">
        <f t="shared" si="39"/>
        <v>6.1507936507936511E-4</v>
      </c>
      <c r="O336" s="67" t="s">
        <v>16</v>
      </c>
    </row>
    <row r="337" spans="1:15" s="1" customFormat="1" x14ac:dyDescent="0.3">
      <c r="A337" s="76" t="s">
        <v>294</v>
      </c>
      <c r="B337" s="67" t="s">
        <v>18</v>
      </c>
      <c r="C337" s="67" t="s">
        <v>16</v>
      </c>
      <c r="D337" s="68">
        <v>45044</v>
      </c>
      <c r="E337" s="69">
        <v>2801</v>
      </c>
      <c r="F337" s="70">
        <f t="shared" si="35"/>
        <v>0.99607283113173861</v>
      </c>
      <c r="G337" s="69">
        <v>11</v>
      </c>
      <c r="H337" s="69">
        <v>977</v>
      </c>
      <c r="I337" s="70">
        <f t="shared" si="36"/>
        <v>0.34880399857193861</v>
      </c>
      <c r="J337" s="69">
        <v>9</v>
      </c>
      <c r="K337" s="70">
        <f t="shared" si="37"/>
        <v>3.2131381649410924E-3</v>
      </c>
      <c r="L337" s="70">
        <f t="shared" si="38"/>
        <v>9.2118730808597744E-3</v>
      </c>
      <c r="M337" s="69">
        <v>2</v>
      </c>
      <c r="N337" s="70">
        <f t="shared" si="39"/>
        <v>7.140307033202428E-4</v>
      </c>
      <c r="O337" s="67" t="s">
        <v>16</v>
      </c>
    </row>
    <row r="338" spans="1:15" s="1" customFormat="1" x14ac:dyDescent="0.3">
      <c r="A338" s="76" t="s">
        <v>294</v>
      </c>
      <c r="B338" s="67" t="s">
        <v>15</v>
      </c>
      <c r="C338" s="67" t="s">
        <v>16</v>
      </c>
      <c r="D338" s="68">
        <v>45044</v>
      </c>
      <c r="E338" s="69">
        <v>9694</v>
      </c>
      <c r="F338" s="70">
        <f t="shared" si="35"/>
        <v>0.99453270063957089</v>
      </c>
      <c r="G338" s="69">
        <v>53</v>
      </c>
      <c r="H338" s="69">
        <v>3036</v>
      </c>
      <c r="I338" s="70">
        <f t="shared" si="36"/>
        <v>0.31318341242005365</v>
      </c>
      <c r="J338" s="69">
        <v>34</v>
      </c>
      <c r="K338" s="70">
        <f t="shared" si="37"/>
        <v>3.5073241180111408E-3</v>
      </c>
      <c r="L338" s="70">
        <f t="shared" si="38"/>
        <v>1.1198945981554678E-2</v>
      </c>
      <c r="M338" s="69">
        <v>5</v>
      </c>
      <c r="N338" s="70">
        <f t="shared" si="39"/>
        <v>5.1578295853105011E-4</v>
      </c>
      <c r="O338" s="67" t="s">
        <v>16</v>
      </c>
    </row>
    <row r="339" spans="1:15" s="1" customFormat="1" x14ac:dyDescent="0.3">
      <c r="A339" s="76" t="s">
        <v>295</v>
      </c>
      <c r="B339" s="67" t="s">
        <v>18</v>
      </c>
      <c r="C339" s="67" t="s">
        <v>16</v>
      </c>
      <c r="D339" s="68">
        <v>45044</v>
      </c>
      <c r="E339" s="69">
        <v>114888</v>
      </c>
      <c r="F339" s="70">
        <f t="shared" si="35"/>
        <v>0.99691003412018664</v>
      </c>
      <c r="G339" s="69">
        <v>355</v>
      </c>
      <c r="H339" s="69">
        <v>40585</v>
      </c>
      <c r="I339" s="70">
        <f t="shared" si="36"/>
        <v>0.35325708516120047</v>
      </c>
      <c r="J339" s="69">
        <v>607</v>
      </c>
      <c r="K339" s="70">
        <f t="shared" si="37"/>
        <v>5.2834064480189406E-3</v>
      </c>
      <c r="L339" s="70">
        <f t="shared" si="38"/>
        <v>1.495626462978933E-2</v>
      </c>
      <c r="M339" s="69">
        <v>222</v>
      </c>
      <c r="N339" s="70">
        <f t="shared" si="39"/>
        <v>1.9323166910382285E-3</v>
      </c>
      <c r="O339" s="67" t="s">
        <v>16</v>
      </c>
    </row>
    <row r="340" spans="1:15" s="1" customFormat="1" x14ac:dyDescent="0.3">
      <c r="A340" s="76" t="s">
        <v>295</v>
      </c>
      <c r="B340" s="67" t="s">
        <v>15</v>
      </c>
      <c r="C340" s="67" t="s">
        <v>16</v>
      </c>
      <c r="D340" s="68">
        <v>45044</v>
      </c>
      <c r="E340" s="69">
        <v>199283</v>
      </c>
      <c r="F340" s="70">
        <f t="shared" si="35"/>
        <v>0.99559420522573427</v>
      </c>
      <c r="G340" s="69">
        <v>878</v>
      </c>
      <c r="H340" s="69">
        <v>83997</v>
      </c>
      <c r="I340" s="70">
        <f t="shared" si="36"/>
        <v>0.42149606338724327</v>
      </c>
      <c r="J340" s="69">
        <v>1082</v>
      </c>
      <c r="K340" s="70">
        <f t="shared" si="37"/>
        <v>5.4294646307010636E-3</v>
      </c>
      <c r="L340" s="70">
        <f t="shared" si="38"/>
        <v>1.288141243139636E-2</v>
      </c>
      <c r="M340" s="69">
        <v>158</v>
      </c>
      <c r="N340" s="70">
        <f t="shared" si="39"/>
        <v>7.9284233978814053E-4</v>
      </c>
      <c r="O340" s="67" t="s">
        <v>16</v>
      </c>
    </row>
    <row r="341" spans="1:15" s="1" customFormat="1" x14ac:dyDescent="0.3">
      <c r="A341" s="66" t="s">
        <v>28</v>
      </c>
      <c r="B341" s="67" t="s">
        <v>15</v>
      </c>
      <c r="C341" s="67" t="s">
        <v>16</v>
      </c>
      <c r="D341" s="68">
        <v>45044</v>
      </c>
      <c r="E341" s="69">
        <v>105579</v>
      </c>
      <c r="F341" s="70">
        <f t="shared" si="35"/>
        <v>0.99390977372394129</v>
      </c>
      <c r="G341" s="69">
        <v>643</v>
      </c>
      <c r="H341" s="69">
        <v>32098</v>
      </c>
      <c r="I341" s="70">
        <f t="shared" si="36"/>
        <v>0.3040187916157569</v>
      </c>
      <c r="J341" s="69">
        <v>796</v>
      </c>
      <c r="K341" s="70">
        <f t="shared" si="37"/>
        <v>7.5393780960228834E-3</v>
      </c>
      <c r="L341" s="70">
        <f t="shared" si="38"/>
        <v>2.4799052900492242E-2</v>
      </c>
      <c r="M341" s="69">
        <v>59</v>
      </c>
      <c r="N341" s="70">
        <f t="shared" si="39"/>
        <v>5.5882325083586701E-4</v>
      </c>
      <c r="O341" s="67" t="s">
        <v>16</v>
      </c>
    </row>
    <row r="342" spans="1:15" s="1" customFormat="1" x14ac:dyDescent="0.3">
      <c r="A342" s="66" t="s">
        <v>28</v>
      </c>
      <c r="B342" s="67" t="s">
        <v>18</v>
      </c>
      <c r="C342" s="67" t="s">
        <v>16</v>
      </c>
      <c r="D342" s="68">
        <v>45044</v>
      </c>
      <c r="E342" s="69">
        <v>206556</v>
      </c>
      <c r="F342" s="70">
        <f t="shared" si="35"/>
        <v>0.99555568465694533</v>
      </c>
      <c r="G342" s="69">
        <v>918</v>
      </c>
      <c r="H342" s="69">
        <v>62029</v>
      </c>
      <c r="I342" s="70">
        <f t="shared" si="36"/>
        <v>0.30030112899165362</v>
      </c>
      <c r="J342" s="69">
        <v>1292</v>
      </c>
      <c r="K342" s="70">
        <f t="shared" si="37"/>
        <v>6.2549623346695327E-3</v>
      </c>
      <c r="L342" s="70">
        <f t="shared" si="38"/>
        <v>2.0828967096035725E-2</v>
      </c>
      <c r="M342" s="69">
        <v>481</v>
      </c>
      <c r="N342" s="70">
        <f t="shared" si="39"/>
        <v>2.3286663180929141E-3</v>
      </c>
      <c r="O342" s="67" t="s">
        <v>16</v>
      </c>
    </row>
    <row r="343" spans="1:15" s="1" customFormat="1" x14ac:dyDescent="0.3">
      <c r="A343" s="66" t="s">
        <v>22</v>
      </c>
      <c r="B343" s="67" t="s">
        <v>15</v>
      </c>
      <c r="C343" s="67" t="s">
        <v>16</v>
      </c>
      <c r="D343" s="68">
        <v>45044</v>
      </c>
      <c r="E343" s="69">
        <v>1923125</v>
      </c>
      <c r="F343" s="70">
        <f t="shared" si="35"/>
        <v>0.99572674683132922</v>
      </c>
      <c r="G343" s="69">
        <v>8218</v>
      </c>
      <c r="H343" s="69">
        <v>637758</v>
      </c>
      <c r="I343" s="70">
        <f t="shared" si="36"/>
        <v>0.33162586935326616</v>
      </c>
      <c r="J343" s="69">
        <v>8871</v>
      </c>
      <c r="K343" s="70">
        <f t="shared" si="37"/>
        <v>4.6128046798830031E-3</v>
      </c>
      <c r="L343" s="70">
        <f t="shared" si="38"/>
        <v>1.3909664794483174E-2</v>
      </c>
      <c r="M343" s="69">
        <v>1698</v>
      </c>
      <c r="N343" s="70">
        <f t="shared" si="39"/>
        <v>8.8293792655183621E-4</v>
      </c>
      <c r="O343" s="67" t="s">
        <v>16</v>
      </c>
    </row>
    <row r="344" spans="1:15" s="1" customFormat="1" x14ac:dyDescent="0.3">
      <c r="A344" s="66" t="s">
        <v>22</v>
      </c>
      <c r="B344" s="67" t="s">
        <v>18</v>
      </c>
      <c r="C344" s="67" t="s">
        <v>16</v>
      </c>
      <c r="D344" s="68">
        <v>45044</v>
      </c>
      <c r="E344" s="69">
        <v>2276123</v>
      </c>
      <c r="F344" s="70">
        <f t="shared" si="35"/>
        <v>0.99639518602465682</v>
      </c>
      <c r="G344" s="69">
        <v>8205</v>
      </c>
      <c r="H344" s="69">
        <v>739935</v>
      </c>
      <c r="I344" s="70">
        <f t="shared" si="36"/>
        <v>0.32508568297934692</v>
      </c>
      <c r="J344" s="69">
        <v>10283</v>
      </c>
      <c r="K344" s="70">
        <f t="shared" si="37"/>
        <v>4.5177699096226346E-3</v>
      </c>
      <c r="L344" s="70">
        <f t="shared" si="38"/>
        <v>1.389716664301594E-2</v>
      </c>
      <c r="M344" s="69">
        <v>4468</v>
      </c>
      <c r="N344" s="70">
        <f t="shared" si="39"/>
        <v>1.9629870617712663E-3</v>
      </c>
      <c r="O344" s="67" t="s">
        <v>16</v>
      </c>
    </row>
    <row r="345" spans="1:15" s="1" customFormat="1" x14ac:dyDescent="0.3">
      <c r="A345" s="66" t="s">
        <v>29</v>
      </c>
      <c r="B345" s="67" t="s">
        <v>15</v>
      </c>
      <c r="C345" s="67" t="s">
        <v>16</v>
      </c>
      <c r="D345" s="68">
        <v>45048</v>
      </c>
      <c r="E345" s="69">
        <v>26231</v>
      </c>
      <c r="F345" s="70">
        <f t="shared" si="35"/>
        <v>0.99332850444130993</v>
      </c>
      <c r="G345" s="69">
        <v>175</v>
      </c>
      <c r="H345" s="69">
        <v>9283</v>
      </c>
      <c r="I345" s="70">
        <f t="shared" si="36"/>
        <v>0.35389424726468682</v>
      </c>
      <c r="J345" s="69">
        <v>316</v>
      </c>
      <c r="K345" s="70">
        <f t="shared" si="37"/>
        <v>1.2046814837406123E-2</v>
      </c>
      <c r="L345" s="70">
        <f t="shared" si="38"/>
        <v>3.4040719594958524E-2</v>
      </c>
      <c r="M345" s="69">
        <v>10</v>
      </c>
      <c r="N345" s="70">
        <f t="shared" si="39"/>
        <v>3.8122831763943424E-4</v>
      </c>
      <c r="O345" s="67" t="s">
        <v>16</v>
      </c>
    </row>
    <row r="346" spans="1:15" s="1" customFormat="1" x14ac:dyDescent="0.3">
      <c r="A346" s="66" t="s">
        <v>29</v>
      </c>
      <c r="B346" s="67" t="s">
        <v>18</v>
      </c>
      <c r="C346" s="67" t="s">
        <v>16</v>
      </c>
      <c r="D346" s="68">
        <v>45048</v>
      </c>
      <c r="E346" s="69">
        <v>27102</v>
      </c>
      <c r="F346" s="70">
        <f t="shared" si="35"/>
        <v>0.99535089661279608</v>
      </c>
      <c r="G346" s="69">
        <v>126</v>
      </c>
      <c r="H346" s="69">
        <v>10104</v>
      </c>
      <c r="I346" s="70">
        <f t="shared" si="36"/>
        <v>0.37281381447863626</v>
      </c>
      <c r="J346" s="69">
        <v>271</v>
      </c>
      <c r="K346" s="70">
        <f t="shared" si="37"/>
        <v>9.9992620470813962E-3</v>
      </c>
      <c r="L346" s="70">
        <f t="shared" si="38"/>
        <v>2.6821060965954078E-2</v>
      </c>
      <c r="M346" s="69">
        <v>25</v>
      </c>
      <c r="N346" s="70">
        <f t="shared" si="39"/>
        <v>9.2244114825474136E-4</v>
      </c>
      <c r="O346" s="67" t="s">
        <v>16</v>
      </c>
    </row>
    <row r="347" spans="1:15" s="1" customFormat="1" x14ac:dyDescent="0.3">
      <c r="A347" s="66" t="s">
        <v>17</v>
      </c>
      <c r="B347" s="67" t="s">
        <v>15</v>
      </c>
      <c r="C347" s="67" t="s">
        <v>16</v>
      </c>
      <c r="D347" s="68">
        <v>45048</v>
      </c>
      <c r="E347" s="69">
        <v>233675</v>
      </c>
      <c r="F347" s="70">
        <f t="shared" si="35"/>
        <v>0.99459933668556755</v>
      </c>
      <c r="G347" s="69">
        <v>1262</v>
      </c>
      <c r="H347" s="69">
        <v>82903</v>
      </c>
      <c r="I347" s="70">
        <f t="shared" si="36"/>
        <v>0.35477907349951854</v>
      </c>
      <c r="J347" s="69">
        <v>2098</v>
      </c>
      <c r="K347" s="70">
        <f t="shared" si="37"/>
        <v>8.978281801647588E-3</v>
      </c>
      <c r="L347" s="70">
        <f t="shared" si="38"/>
        <v>2.5306683714702724E-2</v>
      </c>
      <c r="M347" s="69">
        <v>123</v>
      </c>
      <c r="N347" s="70">
        <f t="shared" si="39"/>
        <v>5.2637209799935808E-4</v>
      </c>
      <c r="O347" s="67" t="s">
        <v>16</v>
      </c>
    </row>
    <row r="348" spans="1:15" s="1" customFormat="1" x14ac:dyDescent="0.3">
      <c r="A348" s="66" t="s">
        <v>17</v>
      </c>
      <c r="B348" s="67" t="s">
        <v>18</v>
      </c>
      <c r="C348" s="67" t="s">
        <v>16</v>
      </c>
      <c r="D348" s="68">
        <v>45048</v>
      </c>
      <c r="E348" s="69">
        <v>453737</v>
      </c>
      <c r="F348" s="70">
        <f t="shared" si="35"/>
        <v>0.99624011266438484</v>
      </c>
      <c r="G348" s="69">
        <v>1706</v>
      </c>
      <c r="H348" s="69">
        <v>173750</v>
      </c>
      <c r="I348" s="70">
        <f t="shared" si="36"/>
        <v>0.38293108122105979</v>
      </c>
      <c r="J348" s="69">
        <v>2701</v>
      </c>
      <c r="K348" s="70">
        <f t="shared" si="37"/>
        <v>5.9527876280752951E-3</v>
      </c>
      <c r="L348" s="70">
        <f t="shared" si="38"/>
        <v>1.5545323741007195E-2</v>
      </c>
      <c r="M348" s="69">
        <v>405</v>
      </c>
      <c r="N348" s="70">
        <f t="shared" si="39"/>
        <v>8.9258755622750624E-4</v>
      </c>
      <c r="O348" s="67" t="s">
        <v>16</v>
      </c>
    </row>
    <row r="349" spans="1:15" s="1" customFormat="1" x14ac:dyDescent="0.3">
      <c r="A349" s="76" t="s">
        <v>302</v>
      </c>
      <c r="B349" s="67" t="s">
        <v>15</v>
      </c>
      <c r="C349" s="67" t="s">
        <v>16</v>
      </c>
      <c r="D349" s="68">
        <v>45049</v>
      </c>
      <c r="E349" s="69">
        <v>12366</v>
      </c>
      <c r="F349" s="70">
        <f t="shared" si="35"/>
        <v>0.9929645803008248</v>
      </c>
      <c r="G349" s="69">
        <v>87</v>
      </c>
      <c r="H349" s="69">
        <v>4740</v>
      </c>
      <c r="I349" s="70">
        <f t="shared" si="36"/>
        <v>0.38330907326540514</v>
      </c>
      <c r="J349" s="69">
        <v>82</v>
      </c>
      <c r="K349" s="70">
        <f t="shared" si="37"/>
        <v>6.6310852337053208E-3</v>
      </c>
      <c r="L349" s="70">
        <f t="shared" si="38"/>
        <v>1.729957805907173E-2</v>
      </c>
      <c r="M349" s="69">
        <v>4</v>
      </c>
      <c r="N349" s="70">
        <f t="shared" si="39"/>
        <v>3.2346757237586933E-4</v>
      </c>
      <c r="O349" s="67" t="s">
        <v>16</v>
      </c>
    </row>
    <row r="350" spans="1:15" s="1" customFormat="1" x14ac:dyDescent="0.3">
      <c r="A350" s="76" t="s">
        <v>302</v>
      </c>
      <c r="B350" s="67" t="s">
        <v>18</v>
      </c>
      <c r="C350" s="67" t="s">
        <v>16</v>
      </c>
      <c r="D350" s="68">
        <v>45049</v>
      </c>
      <c r="E350" s="69">
        <v>3939</v>
      </c>
      <c r="F350" s="70">
        <f t="shared" si="35"/>
        <v>0.9951764407209952</v>
      </c>
      <c r="G350" s="69">
        <v>19</v>
      </c>
      <c r="H350" s="69">
        <v>1614</v>
      </c>
      <c r="I350" s="70">
        <f t="shared" si="36"/>
        <v>0.40974866717440978</v>
      </c>
      <c r="J350" s="69">
        <v>20</v>
      </c>
      <c r="K350" s="70">
        <f t="shared" si="37"/>
        <v>5.0774308200050777E-3</v>
      </c>
      <c r="L350" s="70">
        <f t="shared" si="38"/>
        <v>1.2391573729863693E-2</v>
      </c>
      <c r="M350" s="69">
        <v>10</v>
      </c>
      <c r="N350" s="70">
        <f t="shared" si="39"/>
        <v>2.5387154100025388E-3</v>
      </c>
      <c r="O350" s="67" t="s">
        <v>16</v>
      </c>
    </row>
    <row r="351" spans="1:15" s="1" customFormat="1" x14ac:dyDescent="0.3">
      <c r="A351" s="76" t="s">
        <v>303</v>
      </c>
      <c r="B351" s="67" t="s">
        <v>15</v>
      </c>
      <c r="C351" s="67" t="s">
        <v>16</v>
      </c>
      <c r="D351" s="68">
        <v>45049</v>
      </c>
      <c r="E351" s="69">
        <v>228233</v>
      </c>
      <c r="F351" s="70">
        <f t="shared" si="35"/>
        <v>0.9948648968378806</v>
      </c>
      <c r="G351" s="69">
        <v>1172</v>
      </c>
      <c r="H351" s="69">
        <v>100400</v>
      </c>
      <c r="I351" s="70">
        <f t="shared" si="36"/>
        <v>0.43990132890511013</v>
      </c>
      <c r="J351" s="69">
        <v>2500</v>
      </c>
      <c r="K351" s="70">
        <f t="shared" si="37"/>
        <v>1.0953718349230829E-2</v>
      </c>
      <c r="L351" s="70">
        <f t="shared" si="38"/>
        <v>2.4900398406374501E-2</v>
      </c>
      <c r="M351" s="69">
        <v>150</v>
      </c>
      <c r="N351" s="70">
        <f t="shared" si="39"/>
        <v>6.5722310095384985E-4</v>
      </c>
      <c r="O351" s="67" t="s">
        <v>16</v>
      </c>
    </row>
    <row r="352" spans="1:15" s="1" customFormat="1" x14ac:dyDescent="0.3">
      <c r="A352" s="76" t="s">
        <v>303</v>
      </c>
      <c r="B352" s="67" t="s">
        <v>18</v>
      </c>
      <c r="C352" s="67" t="s">
        <v>16</v>
      </c>
      <c r="D352" s="68">
        <v>45049</v>
      </c>
      <c r="E352" s="69">
        <v>293839</v>
      </c>
      <c r="F352" s="70">
        <f t="shared" si="35"/>
        <v>0.99577659874965541</v>
      </c>
      <c r="G352" s="69">
        <v>1241</v>
      </c>
      <c r="H352" s="69">
        <v>125796</v>
      </c>
      <c r="I352" s="70">
        <f t="shared" si="36"/>
        <v>0.42811199330245475</v>
      </c>
      <c r="J352" s="69">
        <v>2451</v>
      </c>
      <c r="K352" s="70">
        <f t="shared" si="37"/>
        <v>8.3413025500359041E-3</v>
      </c>
      <c r="L352" s="70">
        <f t="shared" si="38"/>
        <v>1.9483926356958885E-2</v>
      </c>
      <c r="M352" s="69">
        <v>545</v>
      </c>
      <c r="N352" s="70">
        <f t="shared" si="39"/>
        <v>1.8547571969684078E-3</v>
      </c>
      <c r="O352" s="67" t="s">
        <v>16</v>
      </c>
    </row>
    <row r="353" spans="1:15" s="1" customFormat="1" x14ac:dyDescent="0.3">
      <c r="A353" s="76" t="s">
        <v>305</v>
      </c>
      <c r="B353" s="67" t="s">
        <v>15</v>
      </c>
      <c r="C353" s="67" t="s">
        <v>16</v>
      </c>
      <c r="D353" s="68">
        <v>45050</v>
      </c>
      <c r="E353" s="69">
        <v>130464</v>
      </c>
      <c r="F353" s="70">
        <f t="shared" si="35"/>
        <v>0.99317052980132448</v>
      </c>
      <c r="G353" s="69">
        <v>891</v>
      </c>
      <c r="H353" s="69">
        <v>43901</v>
      </c>
      <c r="I353" s="70">
        <f t="shared" si="36"/>
        <v>0.33649895756683834</v>
      </c>
      <c r="J353" s="69">
        <v>640</v>
      </c>
      <c r="K353" s="70">
        <f t="shared" si="37"/>
        <v>4.9055678194751045E-3</v>
      </c>
      <c r="L353" s="70">
        <f t="shared" si="38"/>
        <v>1.4578255620600897E-2</v>
      </c>
      <c r="M353" s="69">
        <v>64</v>
      </c>
      <c r="N353" s="70">
        <f t="shared" si="39"/>
        <v>4.9055678194751039E-4</v>
      </c>
      <c r="O353" s="67" t="s">
        <v>16</v>
      </c>
    </row>
    <row r="354" spans="1:15" s="1" customFormat="1" x14ac:dyDescent="0.3">
      <c r="A354" s="76" t="s">
        <v>305</v>
      </c>
      <c r="B354" s="67" t="s">
        <v>18</v>
      </c>
      <c r="C354" s="67" t="s">
        <v>16</v>
      </c>
      <c r="D354" s="68">
        <v>45050</v>
      </c>
      <c r="E354" s="69">
        <v>221169</v>
      </c>
      <c r="F354" s="70">
        <f t="shared" si="35"/>
        <v>0.99514850634582608</v>
      </c>
      <c r="G354" s="69">
        <v>1073</v>
      </c>
      <c r="H354" s="69">
        <v>71390</v>
      </c>
      <c r="I354" s="70">
        <f t="shared" si="36"/>
        <v>0.3227848387432235</v>
      </c>
      <c r="J354" s="69">
        <v>1107</v>
      </c>
      <c r="K354" s="70">
        <f t="shared" si="37"/>
        <v>5.0052222508579413E-3</v>
      </c>
      <c r="L354" s="70">
        <f t="shared" si="38"/>
        <v>1.5506373441658495E-2</v>
      </c>
      <c r="M354" s="69">
        <v>451</v>
      </c>
      <c r="N354" s="70">
        <f t="shared" si="39"/>
        <v>2.0391646207199021E-3</v>
      </c>
      <c r="O354" s="67" t="s">
        <v>16</v>
      </c>
    </row>
    <row r="355" spans="1:15" s="1" customFormat="1" x14ac:dyDescent="0.3">
      <c r="A355" s="76" t="s">
        <v>306</v>
      </c>
      <c r="B355" s="67" t="s">
        <v>15</v>
      </c>
      <c r="C355" s="67" t="s">
        <v>16</v>
      </c>
      <c r="D355" s="68">
        <v>45050</v>
      </c>
      <c r="E355" s="69">
        <v>2357839</v>
      </c>
      <c r="F355" s="70">
        <f t="shared" si="35"/>
        <v>0.9949313757215823</v>
      </c>
      <c r="G355" s="69">
        <v>11951</v>
      </c>
      <c r="H355" s="69">
        <v>823345</v>
      </c>
      <c r="I355" s="70">
        <f t="shared" si="36"/>
        <v>0.349194749938397</v>
      </c>
      <c r="J355" s="69">
        <v>9861</v>
      </c>
      <c r="K355" s="70">
        <f t="shared" si="37"/>
        <v>4.1822193966593989E-3</v>
      </c>
      <c r="L355" s="70">
        <f t="shared" si="38"/>
        <v>1.1976753365842994E-2</v>
      </c>
      <c r="M355" s="69">
        <v>2101</v>
      </c>
      <c r="N355" s="70">
        <f t="shared" si="39"/>
        <v>8.9107017060961334E-4</v>
      </c>
      <c r="O355" s="67" t="s">
        <v>16</v>
      </c>
    </row>
    <row r="356" spans="1:15" s="1" customFormat="1" x14ac:dyDescent="0.3">
      <c r="A356" s="76" t="s">
        <v>306</v>
      </c>
      <c r="B356" s="67" t="s">
        <v>18</v>
      </c>
      <c r="C356" s="67" t="s">
        <v>16</v>
      </c>
      <c r="D356" s="68">
        <v>45050</v>
      </c>
      <c r="E356" s="69">
        <v>2456614</v>
      </c>
      <c r="F356" s="70">
        <f t="shared" si="35"/>
        <v>0.99600547745799706</v>
      </c>
      <c r="G356" s="69">
        <v>9813</v>
      </c>
      <c r="H356" s="69">
        <v>858291</v>
      </c>
      <c r="I356" s="70">
        <f t="shared" si="36"/>
        <v>0.3493796746253176</v>
      </c>
      <c r="J356" s="69">
        <v>11555</v>
      </c>
      <c r="K356" s="70">
        <f t="shared" si="37"/>
        <v>4.703628653097312E-3</v>
      </c>
      <c r="L356" s="70">
        <f t="shared" si="38"/>
        <v>1.3462799912850071E-2</v>
      </c>
      <c r="M356" s="69">
        <v>4569</v>
      </c>
      <c r="N356" s="70">
        <f t="shared" si="39"/>
        <v>1.8598770502814036E-3</v>
      </c>
      <c r="O356" s="67" t="s">
        <v>16</v>
      </c>
    </row>
    <row r="357" spans="1:15" s="1" customFormat="1" x14ac:dyDescent="0.3">
      <c r="A357" s="76" t="s">
        <v>307</v>
      </c>
      <c r="B357" s="67" t="s">
        <v>15</v>
      </c>
      <c r="C357" s="67" t="s">
        <v>16</v>
      </c>
      <c r="D357" s="68">
        <v>45050</v>
      </c>
      <c r="E357" s="69">
        <v>39627</v>
      </c>
      <c r="F357" s="70">
        <f t="shared" si="35"/>
        <v>0.99593711358417236</v>
      </c>
      <c r="G357" s="69">
        <v>161</v>
      </c>
      <c r="H357" s="69">
        <v>14780</v>
      </c>
      <c r="I357" s="70">
        <f t="shared" si="36"/>
        <v>0.37297802003684355</v>
      </c>
      <c r="J357" s="69">
        <v>103</v>
      </c>
      <c r="K357" s="70">
        <f t="shared" si="37"/>
        <v>2.5992378933555405E-3</v>
      </c>
      <c r="L357" s="70">
        <f t="shared" si="38"/>
        <v>6.9688768606224628E-3</v>
      </c>
      <c r="M357" s="69">
        <v>18</v>
      </c>
      <c r="N357" s="70">
        <f t="shared" si="39"/>
        <v>4.5423574835339541E-4</v>
      </c>
      <c r="O357" s="67" t="s">
        <v>16</v>
      </c>
    </row>
    <row r="358" spans="1:15" s="1" customFormat="1" x14ac:dyDescent="0.3">
      <c r="A358" s="76" t="s">
        <v>308</v>
      </c>
      <c r="B358" s="67" t="s">
        <v>15</v>
      </c>
      <c r="C358" s="67" t="s">
        <v>16</v>
      </c>
      <c r="D358" s="68">
        <v>45050</v>
      </c>
      <c r="E358" s="69">
        <v>388622</v>
      </c>
      <c r="F358" s="70">
        <f t="shared" si="35"/>
        <v>0.99453196164910895</v>
      </c>
      <c r="G358" s="69">
        <v>2125</v>
      </c>
      <c r="H358" s="69">
        <v>136973</v>
      </c>
      <c r="I358" s="70">
        <f t="shared" si="36"/>
        <v>0.35245817272310881</v>
      </c>
      <c r="J358" s="69">
        <v>1340</v>
      </c>
      <c r="K358" s="70">
        <f t="shared" si="37"/>
        <v>3.4480806542089744E-3</v>
      </c>
      <c r="L358" s="70">
        <f t="shared" si="38"/>
        <v>9.7829499244376627E-3</v>
      </c>
      <c r="M358" s="69">
        <v>202</v>
      </c>
      <c r="N358" s="70">
        <f t="shared" si="39"/>
        <v>5.1978529264941255E-4</v>
      </c>
      <c r="O358" s="67" t="s">
        <v>16</v>
      </c>
    </row>
    <row r="359" spans="1:15" s="1" customFormat="1" x14ac:dyDescent="0.3">
      <c r="A359" s="66" t="s">
        <v>311</v>
      </c>
      <c r="B359" s="67" t="s">
        <v>18</v>
      </c>
      <c r="C359" s="67" t="s">
        <v>16</v>
      </c>
      <c r="D359" s="68">
        <v>45051</v>
      </c>
      <c r="E359" s="69">
        <v>208040</v>
      </c>
      <c r="F359" s="70">
        <f t="shared" si="35"/>
        <v>0.99474139588540667</v>
      </c>
      <c r="G359" s="69">
        <v>1094</v>
      </c>
      <c r="H359" s="69">
        <v>61907</v>
      </c>
      <c r="I359" s="70">
        <f t="shared" si="36"/>
        <v>0.29757258219573157</v>
      </c>
      <c r="J359" s="69">
        <v>1132</v>
      </c>
      <c r="K359" s="70">
        <f t="shared" si="37"/>
        <v>5.4412612959046334E-3</v>
      </c>
      <c r="L359" s="70">
        <f t="shared" si="38"/>
        <v>1.8285492755261926E-2</v>
      </c>
      <c r="M359" s="69">
        <v>407</v>
      </c>
      <c r="N359" s="70">
        <f t="shared" si="39"/>
        <v>1.9563545472024609E-3</v>
      </c>
      <c r="O359" s="67" t="s">
        <v>16</v>
      </c>
    </row>
    <row r="360" spans="1:15" s="1" customFormat="1" x14ac:dyDescent="0.3">
      <c r="A360" s="66" t="s">
        <v>314</v>
      </c>
      <c r="B360" s="67" t="s">
        <v>15</v>
      </c>
      <c r="C360" s="67" t="s">
        <v>16</v>
      </c>
      <c r="D360" s="68">
        <v>45051</v>
      </c>
      <c r="E360" s="69">
        <v>105718</v>
      </c>
      <c r="F360" s="70">
        <f t="shared" si="35"/>
        <v>0.99290565466618741</v>
      </c>
      <c r="G360" s="69">
        <v>750</v>
      </c>
      <c r="H360" s="69">
        <v>31664</v>
      </c>
      <c r="I360" s="70">
        <f t="shared" si="36"/>
        <v>0.29951380086645607</v>
      </c>
      <c r="J360" s="69">
        <v>620</v>
      </c>
      <c r="K360" s="70">
        <f t="shared" si="37"/>
        <v>5.8646588092850791E-3</v>
      </c>
      <c r="L360" s="70">
        <f t="shared" si="38"/>
        <v>1.9580596260737746E-2</v>
      </c>
      <c r="M360" s="69">
        <v>42</v>
      </c>
      <c r="N360" s="70">
        <f t="shared" si="39"/>
        <v>3.9728333869350538E-4</v>
      </c>
      <c r="O360" s="67" t="s">
        <v>16</v>
      </c>
    </row>
    <row r="361" spans="1:15" s="1" customFormat="1" x14ac:dyDescent="0.3">
      <c r="A361" s="66" t="s">
        <v>22</v>
      </c>
      <c r="B361" s="67" t="s">
        <v>15</v>
      </c>
      <c r="C361" s="67" t="s">
        <v>16</v>
      </c>
      <c r="D361" s="68">
        <v>45051</v>
      </c>
      <c r="E361" s="69">
        <v>1937286</v>
      </c>
      <c r="F361" s="70">
        <f t="shared" si="35"/>
        <v>0.99512100949472615</v>
      </c>
      <c r="G361" s="69">
        <v>9452</v>
      </c>
      <c r="H361" s="69">
        <v>660433</v>
      </c>
      <c r="I361" s="70">
        <f t="shared" si="36"/>
        <v>0.34090629881184298</v>
      </c>
      <c r="J361" s="69">
        <v>10979</v>
      </c>
      <c r="K361" s="70">
        <f t="shared" si="37"/>
        <v>5.6672065972706151E-3</v>
      </c>
      <c r="L361" s="70">
        <f t="shared" si="38"/>
        <v>1.6623942171272485E-2</v>
      </c>
      <c r="M361" s="69">
        <v>1432</v>
      </c>
      <c r="N361" s="70">
        <f t="shared" si="39"/>
        <v>7.3917841764200025E-4</v>
      </c>
      <c r="O361" s="67" t="s">
        <v>16</v>
      </c>
    </row>
    <row r="362" spans="1:15" s="1" customFormat="1" x14ac:dyDescent="0.3">
      <c r="A362" s="66" t="s">
        <v>312</v>
      </c>
      <c r="B362" s="67" t="s">
        <v>18</v>
      </c>
      <c r="C362" s="67" t="s">
        <v>16</v>
      </c>
      <c r="D362" s="68">
        <v>45051</v>
      </c>
      <c r="E362" s="69">
        <v>2294957</v>
      </c>
      <c r="F362" s="70">
        <f t="shared" si="35"/>
        <v>0.99584436658290332</v>
      </c>
      <c r="G362" s="69">
        <v>9537</v>
      </c>
      <c r="H362" s="69">
        <v>756783</v>
      </c>
      <c r="I362" s="70">
        <f t="shared" si="36"/>
        <v>0.32975911966978033</v>
      </c>
      <c r="J362" s="69">
        <v>11975</v>
      </c>
      <c r="K362" s="70">
        <f t="shared" si="37"/>
        <v>5.2179626894970146E-3</v>
      </c>
      <c r="L362" s="70">
        <f t="shared" si="38"/>
        <v>1.5823558404456761E-2</v>
      </c>
      <c r="M362" s="69">
        <v>3699</v>
      </c>
      <c r="N362" s="70">
        <f t="shared" si="39"/>
        <v>1.6117949050897249E-3</v>
      </c>
      <c r="O362" s="67" t="s">
        <v>16</v>
      </c>
    </row>
    <row r="363" spans="1:15" s="1" customFormat="1" x14ac:dyDescent="0.3">
      <c r="A363" s="76" t="s">
        <v>36</v>
      </c>
      <c r="B363" s="67" t="s">
        <v>15</v>
      </c>
      <c r="C363" s="67" t="s">
        <v>16</v>
      </c>
      <c r="D363" s="68">
        <v>45052</v>
      </c>
      <c r="E363" s="69">
        <v>1921</v>
      </c>
      <c r="F363" s="70">
        <f t="shared" si="35"/>
        <v>0.99427381572097862</v>
      </c>
      <c r="G363" s="69">
        <v>11</v>
      </c>
      <c r="H363" s="69">
        <v>896</v>
      </c>
      <c r="I363" s="70">
        <f t="shared" si="36"/>
        <v>0.46642373763664757</v>
      </c>
      <c r="J363" s="69">
        <v>62</v>
      </c>
      <c r="K363" s="70">
        <f t="shared" si="37"/>
        <v>3.2274856845393024E-2</v>
      </c>
      <c r="L363" s="70">
        <f t="shared" si="38"/>
        <v>6.9196428571428575E-2</v>
      </c>
      <c r="M363" s="69">
        <v>0</v>
      </c>
      <c r="N363" s="70">
        <f t="shared" si="39"/>
        <v>0</v>
      </c>
      <c r="O363" s="67" t="s">
        <v>16</v>
      </c>
    </row>
    <row r="364" spans="1:15" s="1" customFormat="1" x14ac:dyDescent="0.3">
      <c r="A364" s="76" t="s">
        <v>36</v>
      </c>
      <c r="B364" s="67" t="s">
        <v>18</v>
      </c>
      <c r="C364" s="67" t="s">
        <v>16</v>
      </c>
      <c r="D364" s="68">
        <v>45052</v>
      </c>
      <c r="E364" s="69">
        <v>1919</v>
      </c>
      <c r="F364" s="70">
        <f t="shared" si="35"/>
        <v>0.99687337154768108</v>
      </c>
      <c r="G364" s="69">
        <v>6</v>
      </c>
      <c r="H364" s="69">
        <v>780</v>
      </c>
      <c r="I364" s="70">
        <f t="shared" si="36"/>
        <v>0.4064616988014591</v>
      </c>
      <c r="J364" s="69">
        <v>43</v>
      </c>
      <c r="K364" s="70">
        <f t="shared" si="37"/>
        <v>2.2407503908285567E-2</v>
      </c>
      <c r="L364" s="70">
        <f t="shared" si="38"/>
        <v>5.5128205128205127E-2</v>
      </c>
      <c r="M364" s="69">
        <v>5</v>
      </c>
      <c r="N364" s="70">
        <f t="shared" si="39"/>
        <v>2.6055237102657635E-3</v>
      </c>
      <c r="O364" s="67" t="s">
        <v>16</v>
      </c>
    </row>
    <row r="365" spans="1:15" s="1" customFormat="1" x14ac:dyDescent="0.3">
      <c r="A365" s="76" t="s">
        <v>37</v>
      </c>
      <c r="B365" s="67" t="s">
        <v>15</v>
      </c>
      <c r="C365" s="67" t="s">
        <v>16</v>
      </c>
      <c r="D365" s="68">
        <v>45052</v>
      </c>
      <c r="E365" s="69">
        <v>19221</v>
      </c>
      <c r="F365" s="70">
        <f t="shared" si="35"/>
        <v>0.99531762135164659</v>
      </c>
      <c r="G365" s="69">
        <v>90</v>
      </c>
      <c r="H365" s="69">
        <v>7921</v>
      </c>
      <c r="I365" s="70">
        <f t="shared" si="36"/>
        <v>0.41210134748452215</v>
      </c>
      <c r="J365" s="69">
        <v>441</v>
      </c>
      <c r="K365" s="70">
        <f t="shared" si="37"/>
        <v>2.2943655376931483E-2</v>
      </c>
      <c r="L365" s="70">
        <f t="shared" si="38"/>
        <v>5.5674788536800912E-2</v>
      </c>
      <c r="M365" s="69">
        <v>11</v>
      </c>
      <c r="N365" s="70">
        <f t="shared" si="39"/>
        <v>5.722907236876333E-4</v>
      </c>
      <c r="O365" s="67" t="s">
        <v>16</v>
      </c>
    </row>
    <row r="366" spans="1:15" s="1" customFormat="1" x14ac:dyDescent="0.3">
      <c r="A366" s="76" t="s">
        <v>37</v>
      </c>
      <c r="B366" s="67" t="s">
        <v>18</v>
      </c>
      <c r="C366" s="67" t="s">
        <v>16</v>
      </c>
      <c r="D366" s="68">
        <v>45052</v>
      </c>
      <c r="E366" s="69">
        <v>20062</v>
      </c>
      <c r="F366" s="70">
        <f t="shared" si="35"/>
        <v>0.99636128003190105</v>
      </c>
      <c r="G366" s="69">
        <v>73</v>
      </c>
      <c r="H366" s="69">
        <v>7657</v>
      </c>
      <c r="I366" s="70">
        <f t="shared" si="36"/>
        <v>0.38166683281826336</v>
      </c>
      <c r="J366" s="69">
        <v>265</v>
      </c>
      <c r="K366" s="70">
        <f t="shared" si="37"/>
        <v>1.3209051938989134E-2</v>
      </c>
      <c r="L366" s="70">
        <f t="shared" si="38"/>
        <v>3.4608854642810501E-2</v>
      </c>
      <c r="M366" s="69">
        <v>34</v>
      </c>
      <c r="N366" s="70">
        <f t="shared" si="39"/>
        <v>1.6947462865118134E-3</v>
      </c>
      <c r="O366" s="67" t="s">
        <v>16</v>
      </c>
    </row>
    <row r="367" spans="1:15" s="1" customFormat="1" x14ac:dyDescent="0.3">
      <c r="A367" s="76" t="s">
        <v>315</v>
      </c>
      <c r="B367" s="67" t="s">
        <v>15</v>
      </c>
      <c r="C367" s="67" t="s">
        <v>16</v>
      </c>
      <c r="D367" s="68">
        <v>45054</v>
      </c>
      <c r="E367" s="69">
        <v>7040</v>
      </c>
      <c r="F367" s="70">
        <f t="shared" si="35"/>
        <v>0.9951704545454545</v>
      </c>
      <c r="G367" s="69">
        <v>34</v>
      </c>
      <c r="H367" s="69">
        <v>3298</v>
      </c>
      <c r="I367" s="70">
        <f t="shared" si="36"/>
        <v>0.46846590909090907</v>
      </c>
      <c r="J367" s="69">
        <v>821</v>
      </c>
      <c r="K367" s="70">
        <f t="shared" si="37"/>
        <v>0.11661931818181819</v>
      </c>
      <c r="L367" s="70">
        <f t="shared" si="38"/>
        <v>0.24893875075803518</v>
      </c>
      <c r="M367" s="69">
        <v>2</v>
      </c>
      <c r="N367" s="70">
        <f t="shared" si="39"/>
        <v>2.8409090909090908E-4</v>
      </c>
      <c r="O367" s="67" t="s">
        <v>16</v>
      </c>
    </row>
    <row r="368" spans="1:15" s="1" customFormat="1" x14ac:dyDescent="0.3">
      <c r="A368" s="66" t="s">
        <v>29</v>
      </c>
      <c r="B368" s="67" t="s">
        <v>18</v>
      </c>
      <c r="C368" s="67" t="s">
        <v>16</v>
      </c>
      <c r="D368" s="68">
        <v>45055</v>
      </c>
      <c r="E368" s="69">
        <v>27234</v>
      </c>
      <c r="F368" s="70">
        <f t="shared" si="35"/>
        <v>0.99449217889402952</v>
      </c>
      <c r="G368" s="69">
        <v>150</v>
      </c>
      <c r="H368" s="69">
        <v>9741</v>
      </c>
      <c r="I368" s="70">
        <f t="shared" si="36"/>
        <v>0.35767790262172283</v>
      </c>
      <c r="J368" s="69">
        <v>164</v>
      </c>
      <c r="K368" s="70">
        <f t="shared" si="37"/>
        <v>6.0218844091943892E-3</v>
      </c>
      <c r="L368" s="70">
        <f t="shared" si="38"/>
        <v>1.6836053793245046E-2</v>
      </c>
      <c r="M368" s="69">
        <v>28</v>
      </c>
      <c r="N368" s="70">
        <f t="shared" si="39"/>
        <v>1.0281266064478226E-3</v>
      </c>
      <c r="O368" s="67" t="s">
        <v>16</v>
      </c>
    </row>
    <row r="369" spans="1:15" s="1" customFormat="1" x14ac:dyDescent="0.3">
      <c r="A369" s="66" t="s">
        <v>29</v>
      </c>
      <c r="B369" s="67" t="s">
        <v>15</v>
      </c>
      <c r="C369" s="67" t="s">
        <v>16</v>
      </c>
      <c r="D369" s="68">
        <v>45055</v>
      </c>
      <c r="E369" s="69">
        <v>26291</v>
      </c>
      <c r="F369" s="70">
        <f t="shared" si="35"/>
        <v>0.99231676239017153</v>
      </c>
      <c r="G369" s="69">
        <v>202</v>
      </c>
      <c r="H369" s="69">
        <v>8968</v>
      </c>
      <c r="I369" s="70">
        <f t="shared" si="36"/>
        <v>0.34110532121258225</v>
      </c>
      <c r="J369" s="69">
        <v>227</v>
      </c>
      <c r="K369" s="70">
        <f t="shared" si="37"/>
        <v>8.6341333536191084E-3</v>
      </c>
      <c r="L369" s="70">
        <f t="shared" si="38"/>
        <v>2.5312221231043711E-2</v>
      </c>
      <c r="M369" s="69">
        <v>9</v>
      </c>
      <c r="N369" s="70">
        <f t="shared" si="39"/>
        <v>3.4232246776463431E-4</v>
      </c>
      <c r="O369" s="67" t="s">
        <v>16</v>
      </c>
    </row>
    <row r="370" spans="1:15" s="1" customFormat="1" x14ac:dyDescent="0.3">
      <c r="A370" s="66" t="s">
        <v>17</v>
      </c>
      <c r="B370" s="67" t="s">
        <v>18</v>
      </c>
      <c r="C370" s="67" t="s">
        <v>16</v>
      </c>
      <c r="D370" s="68">
        <v>45055</v>
      </c>
      <c r="E370" s="69">
        <v>456838</v>
      </c>
      <c r="F370" s="70">
        <f t="shared" si="35"/>
        <v>0.99563740319325456</v>
      </c>
      <c r="G370" s="69">
        <v>1993</v>
      </c>
      <c r="H370" s="69">
        <v>170245</v>
      </c>
      <c r="I370" s="70">
        <f t="shared" si="36"/>
        <v>0.37265945477390233</v>
      </c>
      <c r="J370" s="69">
        <v>1981</v>
      </c>
      <c r="K370" s="70">
        <f t="shared" si="37"/>
        <v>4.3363292895949989E-3</v>
      </c>
      <c r="L370" s="70">
        <f t="shared" si="38"/>
        <v>1.1636171400041117E-2</v>
      </c>
      <c r="M370" s="69">
        <v>377</v>
      </c>
      <c r="N370" s="70">
        <f t="shared" si="39"/>
        <v>8.2523783047820014E-4</v>
      </c>
      <c r="O370" s="67" t="s">
        <v>16</v>
      </c>
    </row>
    <row r="371" spans="1:15" s="1" customFormat="1" x14ac:dyDescent="0.3">
      <c r="A371" s="66" t="s">
        <v>17</v>
      </c>
      <c r="B371" s="67" t="s">
        <v>15</v>
      </c>
      <c r="C371" s="67" t="s">
        <v>16</v>
      </c>
      <c r="D371" s="68">
        <v>45055</v>
      </c>
      <c r="E371" s="69">
        <v>234727</v>
      </c>
      <c r="F371" s="70">
        <f t="shared" si="35"/>
        <v>0.9941762132179085</v>
      </c>
      <c r="G371" s="69">
        <v>1367</v>
      </c>
      <c r="H371" s="69">
        <v>80262</v>
      </c>
      <c r="I371" s="70">
        <f t="shared" si="36"/>
        <v>0.34193765523352659</v>
      </c>
      <c r="J371" s="69">
        <v>1635</v>
      </c>
      <c r="K371" s="70">
        <f t="shared" si="37"/>
        <v>6.9655386896266729E-3</v>
      </c>
      <c r="L371" s="70">
        <f t="shared" si="38"/>
        <v>2.0370785676908126E-2</v>
      </c>
      <c r="M371" s="69">
        <v>89</v>
      </c>
      <c r="N371" s="70">
        <f t="shared" si="39"/>
        <v>3.791638797411461E-4</v>
      </c>
      <c r="O371" s="67" t="s">
        <v>16</v>
      </c>
    </row>
    <row r="372" spans="1:15" s="1" customFormat="1" x14ac:dyDescent="0.3">
      <c r="A372" s="76" t="s">
        <v>316</v>
      </c>
      <c r="B372" s="67" t="s">
        <v>15</v>
      </c>
      <c r="C372" s="67" t="s">
        <v>16</v>
      </c>
      <c r="D372" s="68">
        <v>45056</v>
      </c>
      <c r="E372" s="69">
        <v>130588</v>
      </c>
      <c r="F372" s="70">
        <f t="shared" si="35"/>
        <v>0.9930468343186204</v>
      </c>
      <c r="G372" s="69">
        <v>908</v>
      </c>
      <c r="H372" s="69">
        <v>42121</v>
      </c>
      <c r="I372" s="70">
        <f t="shared" si="36"/>
        <v>0.32254877936717002</v>
      </c>
      <c r="J372" s="69">
        <v>426</v>
      </c>
      <c r="K372" s="70">
        <f t="shared" si="37"/>
        <v>3.2621680399424141E-3</v>
      </c>
      <c r="L372" s="70">
        <f t="shared" si="38"/>
        <v>1.0113719997151065E-2</v>
      </c>
      <c r="M372" s="69">
        <v>63</v>
      </c>
      <c r="N372" s="70">
        <f t="shared" si="39"/>
        <v>4.8243330168162466E-4</v>
      </c>
      <c r="O372" s="67" t="s">
        <v>16</v>
      </c>
    </row>
    <row r="373" spans="1:15" s="1" customFormat="1" x14ac:dyDescent="0.3">
      <c r="A373" s="76" t="s">
        <v>316</v>
      </c>
      <c r="B373" s="67" t="s">
        <v>18</v>
      </c>
      <c r="C373" s="67" t="s">
        <v>16</v>
      </c>
      <c r="D373" s="68">
        <v>45056</v>
      </c>
      <c r="E373" s="69">
        <v>221157</v>
      </c>
      <c r="F373" s="70">
        <f t="shared" si="35"/>
        <v>0.9950939830075467</v>
      </c>
      <c r="G373" s="69">
        <v>1085</v>
      </c>
      <c r="H373" s="69">
        <v>68677</v>
      </c>
      <c r="I373" s="70">
        <f t="shared" si="36"/>
        <v>0.31053504976102947</v>
      </c>
      <c r="J373" s="69">
        <v>771</v>
      </c>
      <c r="K373" s="70">
        <f t="shared" si="37"/>
        <v>3.4862111531626851E-3</v>
      </c>
      <c r="L373" s="70">
        <f t="shared" si="38"/>
        <v>1.1226465920177061E-2</v>
      </c>
      <c r="M373" s="69">
        <v>484</v>
      </c>
      <c r="N373" s="70">
        <f t="shared" si="39"/>
        <v>2.1884905293524512E-3</v>
      </c>
      <c r="O373" s="67" t="s">
        <v>16</v>
      </c>
    </row>
    <row r="374" spans="1:15" s="1" customFormat="1" x14ac:dyDescent="0.3">
      <c r="A374" s="76" t="s">
        <v>317</v>
      </c>
      <c r="B374" s="67" t="s">
        <v>15</v>
      </c>
      <c r="C374" s="67" t="s">
        <v>16</v>
      </c>
      <c r="D374" s="68">
        <v>45056</v>
      </c>
      <c r="E374" s="69">
        <v>2369822</v>
      </c>
      <c r="F374" s="70">
        <f t="shared" si="35"/>
        <v>0.99496249085374344</v>
      </c>
      <c r="G374" s="69">
        <v>11938</v>
      </c>
      <c r="H374" s="69">
        <v>839360</v>
      </c>
      <c r="I374" s="70">
        <f t="shared" si="36"/>
        <v>0.35418693893465414</v>
      </c>
      <c r="J374" s="69">
        <v>8081</v>
      </c>
      <c r="K374" s="70">
        <f t="shared" si="37"/>
        <v>3.4099607481068196E-3</v>
      </c>
      <c r="L374" s="70">
        <f t="shared" si="38"/>
        <v>9.6275733892489512E-3</v>
      </c>
      <c r="M374" s="69">
        <v>2041</v>
      </c>
      <c r="N374" s="70">
        <f t="shared" si="39"/>
        <v>8.6124611890682089E-4</v>
      </c>
      <c r="O374" s="67" t="s">
        <v>16</v>
      </c>
    </row>
    <row r="375" spans="1:15" s="1" customFormat="1" x14ac:dyDescent="0.3">
      <c r="A375" s="76" t="s">
        <v>317</v>
      </c>
      <c r="B375" s="67" t="s">
        <v>18</v>
      </c>
      <c r="C375" s="67" t="s">
        <v>16</v>
      </c>
      <c r="D375" s="68">
        <v>45056</v>
      </c>
      <c r="E375" s="69">
        <v>2460240</v>
      </c>
      <c r="F375" s="70">
        <f t="shared" si="35"/>
        <v>0.99606379865378991</v>
      </c>
      <c r="G375" s="69">
        <v>9684</v>
      </c>
      <c r="H375" s="69">
        <v>834397</v>
      </c>
      <c r="I375" s="70">
        <f t="shared" si="36"/>
        <v>0.33915268429096346</v>
      </c>
      <c r="J375" s="69">
        <v>8376</v>
      </c>
      <c r="K375" s="70">
        <f t="shared" si="37"/>
        <v>3.4045458979611743E-3</v>
      </c>
      <c r="L375" s="70">
        <f t="shared" si="38"/>
        <v>1.0038387002829588E-2</v>
      </c>
      <c r="M375" s="69">
        <v>4371</v>
      </c>
      <c r="N375" s="70">
        <f t="shared" si="39"/>
        <v>1.7766559360062432E-3</v>
      </c>
      <c r="O375" s="67" t="s">
        <v>16</v>
      </c>
    </row>
    <row r="376" spans="1:15" s="1" customFormat="1" x14ac:dyDescent="0.3">
      <c r="A376" s="76" t="s">
        <v>318</v>
      </c>
      <c r="B376" s="67" t="s">
        <v>15</v>
      </c>
      <c r="C376" s="67" t="s">
        <v>16</v>
      </c>
      <c r="D376" s="68">
        <v>45057</v>
      </c>
      <c r="E376" s="69">
        <v>130580</v>
      </c>
      <c r="F376" s="70">
        <f t="shared" si="35"/>
        <v>0.99362076887731654</v>
      </c>
      <c r="G376" s="69">
        <v>833</v>
      </c>
      <c r="H376" s="69">
        <v>41081</v>
      </c>
      <c r="I376" s="70">
        <f t="shared" si="36"/>
        <v>0.31460407413080105</v>
      </c>
      <c r="J376" s="69">
        <v>377</v>
      </c>
      <c r="K376" s="70">
        <f t="shared" si="37"/>
        <v>2.8871190075049776E-3</v>
      </c>
      <c r="L376" s="70">
        <f t="shared" si="38"/>
        <v>9.1769917966943362E-3</v>
      </c>
      <c r="M376" s="69">
        <v>62</v>
      </c>
      <c r="N376" s="70">
        <f t="shared" si="39"/>
        <v>4.7480471741461172E-4</v>
      </c>
      <c r="O376" s="67" t="s">
        <v>16</v>
      </c>
    </row>
    <row r="377" spans="1:15" s="1" customFormat="1" x14ac:dyDescent="0.3">
      <c r="A377" s="76" t="s">
        <v>318</v>
      </c>
      <c r="B377" s="67" t="s">
        <v>18</v>
      </c>
      <c r="C377" s="67" t="s">
        <v>16</v>
      </c>
      <c r="D377" s="68">
        <v>45057</v>
      </c>
      <c r="E377" s="69">
        <v>220984</v>
      </c>
      <c r="F377" s="70">
        <f t="shared" si="35"/>
        <v>0.99538428121492961</v>
      </c>
      <c r="G377" s="69">
        <v>1020</v>
      </c>
      <c r="H377" s="69">
        <v>66437</v>
      </c>
      <c r="I377" s="70">
        <f t="shared" si="36"/>
        <v>0.3006416754154147</v>
      </c>
      <c r="J377" s="69">
        <v>765</v>
      </c>
      <c r="K377" s="70">
        <f t="shared" si="37"/>
        <v>3.4617890888028091E-3</v>
      </c>
      <c r="L377" s="70">
        <f t="shared" si="38"/>
        <v>1.1514668031368063E-2</v>
      </c>
      <c r="M377" s="69">
        <v>484</v>
      </c>
      <c r="N377" s="70">
        <f t="shared" si="39"/>
        <v>2.1902038156608621E-3</v>
      </c>
      <c r="O377" s="67" t="s">
        <v>16</v>
      </c>
    </row>
    <row r="378" spans="1:15" s="1" customFormat="1" x14ac:dyDescent="0.3">
      <c r="A378" s="76" t="s">
        <v>319</v>
      </c>
      <c r="B378" s="67" t="s">
        <v>15</v>
      </c>
      <c r="C378" s="67" t="s">
        <v>16</v>
      </c>
      <c r="D378" s="68">
        <v>45057</v>
      </c>
      <c r="E378" s="69">
        <v>2373312</v>
      </c>
      <c r="F378" s="70">
        <f t="shared" si="35"/>
        <v>0.99518436682576927</v>
      </c>
      <c r="G378" s="69">
        <v>11429</v>
      </c>
      <c r="H378" s="69">
        <v>908815</v>
      </c>
      <c r="I378" s="70">
        <f t="shared" si="36"/>
        <v>0.38293111061672463</v>
      </c>
      <c r="J378" s="69">
        <v>9785</v>
      </c>
      <c r="K378" s="70">
        <f t="shared" si="37"/>
        <v>4.1229303184747729E-3</v>
      </c>
      <c r="L378" s="70">
        <f t="shared" si="38"/>
        <v>1.07667677140012E-2</v>
      </c>
      <c r="M378" s="69">
        <v>2018</v>
      </c>
      <c r="N378" s="70">
        <f t="shared" si="39"/>
        <v>8.5028854191947798E-4</v>
      </c>
      <c r="O378" s="67" t="s">
        <v>16</v>
      </c>
    </row>
    <row r="379" spans="1:15" s="1" customFormat="1" x14ac:dyDescent="0.3">
      <c r="A379" s="76" t="s">
        <v>319</v>
      </c>
      <c r="B379" s="67" t="s">
        <v>18</v>
      </c>
      <c r="C379" s="67" t="s">
        <v>16</v>
      </c>
      <c r="D379" s="68">
        <v>45057</v>
      </c>
      <c r="E379" s="69">
        <v>2461320</v>
      </c>
      <c r="F379" s="70">
        <f t="shared" si="35"/>
        <v>0.99626013683714432</v>
      </c>
      <c r="G379" s="69">
        <v>9205</v>
      </c>
      <c r="H379" s="69">
        <v>826621</v>
      </c>
      <c r="I379" s="70">
        <f t="shared" si="36"/>
        <v>0.3358445874571368</v>
      </c>
      <c r="J379" s="69">
        <v>9128</v>
      </c>
      <c r="K379" s="70">
        <f t="shared" si="37"/>
        <v>3.7085791363983553E-3</v>
      </c>
      <c r="L379" s="70">
        <f t="shared" si="38"/>
        <v>1.1042545495456805E-2</v>
      </c>
      <c r="M379" s="69">
        <v>4400</v>
      </c>
      <c r="N379" s="70">
        <f t="shared" si="39"/>
        <v>1.7876586547056052E-3</v>
      </c>
      <c r="O379" s="67" t="s">
        <v>16</v>
      </c>
    </row>
    <row r="380" spans="1:15" s="1" customFormat="1" x14ac:dyDescent="0.3">
      <c r="A380" s="76" t="s">
        <v>322</v>
      </c>
      <c r="B380" s="67" t="s">
        <v>18</v>
      </c>
      <c r="C380" s="67" t="s">
        <v>16</v>
      </c>
      <c r="D380" s="68">
        <v>45058</v>
      </c>
      <c r="E380" s="69">
        <v>6075</v>
      </c>
      <c r="F380" s="70">
        <f t="shared" si="35"/>
        <v>0.99654320987654321</v>
      </c>
      <c r="G380" s="69">
        <v>21</v>
      </c>
      <c r="H380" s="69">
        <v>2373</v>
      </c>
      <c r="I380" s="70">
        <f t="shared" si="36"/>
        <v>0.39061728395061729</v>
      </c>
      <c r="J380" s="69">
        <v>30</v>
      </c>
      <c r="K380" s="70">
        <f t="shared" si="37"/>
        <v>4.9382716049382715E-3</v>
      </c>
      <c r="L380" s="70">
        <f t="shared" si="38"/>
        <v>1.2642225031605562E-2</v>
      </c>
      <c r="M380" s="69">
        <v>21</v>
      </c>
      <c r="N380" s="70">
        <f t="shared" si="39"/>
        <v>3.4567901234567903E-3</v>
      </c>
      <c r="O380" s="67" t="s">
        <v>16</v>
      </c>
    </row>
    <row r="381" spans="1:15" s="1" customFormat="1" x14ac:dyDescent="0.3">
      <c r="A381" s="76" t="s">
        <v>322</v>
      </c>
      <c r="B381" s="67" t="s">
        <v>15</v>
      </c>
      <c r="C381" s="67" t="s">
        <v>16</v>
      </c>
      <c r="D381" s="68">
        <v>45058</v>
      </c>
      <c r="E381" s="69">
        <v>20181</v>
      </c>
      <c r="F381" s="70">
        <f t="shared" si="35"/>
        <v>0.9940042614340221</v>
      </c>
      <c r="G381" s="69">
        <v>121</v>
      </c>
      <c r="H381" s="69">
        <v>7234</v>
      </c>
      <c r="I381" s="70">
        <f t="shared" si="36"/>
        <v>0.35845597344036467</v>
      </c>
      <c r="J381" s="69">
        <v>76</v>
      </c>
      <c r="K381" s="70">
        <f t="shared" si="37"/>
        <v>3.7659184381348795E-3</v>
      </c>
      <c r="L381" s="70">
        <f t="shared" si="38"/>
        <v>1.0505944152612662E-2</v>
      </c>
      <c r="M381" s="69">
        <v>14</v>
      </c>
      <c r="N381" s="70">
        <f t="shared" si="39"/>
        <v>6.9372181755116198E-4</v>
      </c>
      <c r="O381" s="67" t="s">
        <v>16</v>
      </c>
    </row>
    <row r="382" spans="1:15" s="1" customFormat="1" x14ac:dyDescent="0.3">
      <c r="A382" s="76" t="s">
        <v>323</v>
      </c>
      <c r="B382" s="67" t="s">
        <v>18</v>
      </c>
      <c r="C382" s="67" t="s">
        <v>16</v>
      </c>
      <c r="D382" s="68">
        <v>45058</v>
      </c>
      <c r="E382" s="69">
        <v>106309</v>
      </c>
      <c r="F382" s="70">
        <f t="shared" si="35"/>
        <v>0.99571061716317533</v>
      </c>
      <c r="G382" s="69">
        <v>456</v>
      </c>
      <c r="H382" s="69">
        <v>50001</v>
      </c>
      <c r="I382" s="70">
        <f t="shared" si="36"/>
        <v>0.47033647198261669</v>
      </c>
      <c r="J382" s="69">
        <v>684</v>
      </c>
      <c r="K382" s="70">
        <f t="shared" si="37"/>
        <v>6.4340742552370916E-3</v>
      </c>
      <c r="L382" s="70">
        <f t="shared" si="38"/>
        <v>1.367972640547189E-2</v>
      </c>
      <c r="M382" s="69">
        <v>282</v>
      </c>
      <c r="N382" s="70">
        <f t="shared" si="39"/>
        <v>2.6526446490889766E-3</v>
      </c>
      <c r="O382" s="67" t="s">
        <v>16</v>
      </c>
    </row>
    <row r="383" spans="1:15" s="1" customFormat="1" x14ac:dyDescent="0.3">
      <c r="A383" s="76" t="s">
        <v>323</v>
      </c>
      <c r="B383" s="67" t="s">
        <v>15</v>
      </c>
      <c r="C383" s="67" t="s">
        <v>16</v>
      </c>
      <c r="D383" s="68">
        <v>45058</v>
      </c>
      <c r="E383" s="69">
        <v>225593</v>
      </c>
      <c r="F383" s="70">
        <f t="shared" si="35"/>
        <v>0.99542982273386138</v>
      </c>
      <c r="G383" s="69">
        <v>1031</v>
      </c>
      <c r="H383" s="69">
        <v>92249</v>
      </c>
      <c r="I383" s="70">
        <f t="shared" si="36"/>
        <v>0.40891782989720427</v>
      </c>
      <c r="J383" s="69">
        <v>927</v>
      </c>
      <c r="K383" s="70">
        <f t="shared" si="37"/>
        <v>4.1091700540353644E-3</v>
      </c>
      <c r="L383" s="70">
        <f t="shared" si="38"/>
        <v>1.0048889418855489E-2</v>
      </c>
      <c r="M383" s="69">
        <v>132</v>
      </c>
      <c r="N383" s="70">
        <f t="shared" si="39"/>
        <v>5.8512453843869274E-4</v>
      </c>
      <c r="O383" s="67" t="s">
        <v>16</v>
      </c>
    </row>
    <row r="384" spans="1:15" s="1" customFormat="1" x14ac:dyDescent="0.3">
      <c r="A384" s="66" t="s">
        <v>28</v>
      </c>
      <c r="B384" s="67" t="s">
        <v>18</v>
      </c>
      <c r="C384" s="67" t="s">
        <v>16</v>
      </c>
      <c r="D384" s="68">
        <v>45058</v>
      </c>
      <c r="E384" s="69">
        <v>207586</v>
      </c>
      <c r="F384" s="70">
        <f t="shared" si="35"/>
        <v>0.99540431435645949</v>
      </c>
      <c r="G384" s="69">
        <v>954</v>
      </c>
      <c r="H384" s="69">
        <v>61169</v>
      </c>
      <c r="I384" s="70">
        <f t="shared" si="36"/>
        <v>0.29466823388860519</v>
      </c>
      <c r="J384" s="69">
        <v>953</v>
      </c>
      <c r="K384" s="70">
        <f t="shared" si="37"/>
        <v>4.590868362991724E-3</v>
      </c>
      <c r="L384" s="70">
        <f t="shared" si="38"/>
        <v>1.5579787147084308E-2</v>
      </c>
      <c r="M384" s="69">
        <v>465</v>
      </c>
      <c r="N384" s="70">
        <f t="shared" si="39"/>
        <v>2.2400354551848391E-3</v>
      </c>
      <c r="O384" s="67" t="s">
        <v>16</v>
      </c>
    </row>
    <row r="385" spans="1:15" s="1" customFormat="1" x14ac:dyDescent="0.3">
      <c r="A385" s="66" t="s">
        <v>28</v>
      </c>
      <c r="B385" s="67" t="s">
        <v>15</v>
      </c>
      <c r="C385" s="67" t="s">
        <v>16</v>
      </c>
      <c r="D385" s="68">
        <v>45058</v>
      </c>
      <c r="E385" s="69">
        <v>105535</v>
      </c>
      <c r="F385" s="70">
        <f t="shared" si="35"/>
        <v>0.99416307386175207</v>
      </c>
      <c r="G385" s="69">
        <v>616</v>
      </c>
      <c r="H385" s="69">
        <v>31712</v>
      </c>
      <c r="I385" s="70">
        <f t="shared" si="36"/>
        <v>0.30048798976642821</v>
      </c>
      <c r="J385" s="69">
        <v>462</v>
      </c>
      <c r="K385" s="70">
        <f t="shared" si="37"/>
        <v>4.3776946036859811E-3</v>
      </c>
      <c r="L385" s="70">
        <f t="shared" si="38"/>
        <v>1.45686175580222E-2</v>
      </c>
      <c r="M385" s="69">
        <v>47</v>
      </c>
      <c r="N385" s="70">
        <f t="shared" si="39"/>
        <v>4.4534988392476427E-4</v>
      </c>
      <c r="O385" s="67" t="s">
        <v>16</v>
      </c>
    </row>
    <row r="386" spans="1:15" s="1" customFormat="1" x14ac:dyDescent="0.3">
      <c r="A386" s="66" t="s">
        <v>22</v>
      </c>
      <c r="B386" s="67" t="s">
        <v>18</v>
      </c>
      <c r="C386" s="67" t="s">
        <v>16</v>
      </c>
      <c r="D386" s="68">
        <v>45058</v>
      </c>
      <c r="E386" s="69">
        <v>2297937</v>
      </c>
      <c r="F386" s="70">
        <f t="shared" si="35"/>
        <v>0.99615133051950511</v>
      </c>
      <c r="G386" s="69">
        <v>8844</v>
      </c>
      <c r="H386" s="69">
        <v>760330</v>
      </c>
      <c r="I386" s="70">
        <f t="shared" si="36"/>
        <v>0.33087504139582591</v>
      </c>
      <c r="J386" s="69">
        <v>9322</v>
      </c>
      <c r="K386" s="70">
        <f t="shared" si="37"/>
        <v>4.0566821457681387E-3</v>
      </c>
      <c r="L386" s="70">
        <f t="shared" si="38"/>
        <v>1.2260465850354452E-2</v>
      </c>
      <c r="M386" s="69">
        <v>3747</v>
      </c>
      <c r="N386" s="70">
        <f t="shared" si="39"/>
        <v>1.6305930058134754E-3</v>
      </c>
      <c r="O386" s="67" t="s">
        <v>16</v>
      </c>
    </row>
    <row r="387" spans="1:15" s="1" customFormat="1" x14ac:dyDescent="0.3">
      <c r="A387" s="66" t="s">
        <v>22</v>
      </c>
      <c r="B387" s="67" t="s">
        <v>15</v>
      </c>
      <c r="C387" s="67" t="s">
        <v>16</v>
      </c>
      <c r="D387" s="68">
        <v>45058</v>
      </c>
      <c r="E387" s="69">
        <v>1931207</v>
      </c>
      <c r="F387" s="70">
        <f t="shared" si="35"/>
        <v>0.99541789150515714</v>
      </c>
      <c r="G387" s="69">
        <v>8849</v>
      </c>
      <c r="H387" s="69">
        <v>658589</v>
      </c>
      <c r="I387" s="70">
        <f t="shared" si="36"/>
        <v>0.34102455096734841</v>
      </c>
      <c r="J387" s="69">
        <v>8211</v>
      </c>
      <c r="K387" s="70">
        <f t="shared" si="37"/>
        <v>4.2517451521250698E-3</v>
      </c>
      <c r="L387" s="70">
        <f t="shared" si="38"/>
        <v>1.2467563229874778E-2</v>
      </c>
      <c r="M387" s="69">
        <v>1511</v>
      </c>
      <c r="N387" s="70">
        <f t="shared" si="39"/>
        <v>7.8241224270624542E-4</v>
      </c>
      <c r="O387" s="67" t="s">
        <v>16</v>
      </c>
    </row>
    <row r="388" spans="1:15" s="1" customFormat="1" x14ac:dyDescent="0.3">
      <c r="A388" s="76" t="s">
        <v>329</v>
      </c>
      <c r="B388" s="67" t="s">
        <v>15</v>
      </c>
      <c r="C388" s="67" t="s">
        <v>16</v>
      </c>
      <c r="D388" s="68">
        <v>45061</v>
      </c>
      <c r="E388" s="69">
        <v>21300</v>
      </c>
      <c r="F388" s="70">
        <f t="shared" si="35"/>
        <v>0.99497652582159624</v>
      </c>
      <c r="G388" s="69">
        <v>107</v>
      </c>
      <c r="H388" s="69">
        <v>10352</v>
      </c>
      <c r="I388" s="70">
        <f t="shared" si="36"/>
        <v>0.48600938967136148</v>
      </c>
      <c r="J388" s="69">
        <v>593</v>
      </c>
      <c r="K388" s="70">
        <f t="shared" si="37"/>
        <v>2.7840375586854461E-2</v>
      </c>
      <c r="L388" s="70">
        <f t="shared" si="38"/>
        <v>5.7283616692426584E-2</v>
      </c>
      <c r="M388" s="69">
        <v>21</v>
      </c>
      <c r="N388" s="70">
        <f t="shared" si="39"/>
        <v>9.8591549295774642E-4</v>
      </c>
      <c r="O388" s="67" t="s">
        <v>16</v>
      </c>
    </row>
    <row r="389" spans="1:15" s="1" customFormat="1" x14ac:dyDescent="0.3">
      <c r="A389" s="76" t="s">
        <v>329</v>
      </c>
      <c r="B389" s="67" t="s">
        <v>18</v>
      </c>
      <c r="C389" s="67" t="s">
        <v>16</v>
      </c>
      <c r="D389" s="68">
        <v>45061</v>
      </c>
      <c r="E389" s="69">
        <v>14376</v>
      </c>
      <c r="F389" s="70">
        <f t="shared" si="35"/>
        <v>0.99186143572621033</v>
      </c>
      <c r="G389" s="69">
        <v>117</v>
      </c>
      <c r="H389" s="69">
        <v>5935</v>
      </c>
      <c r="I389" s="70">
        <f t="shared" si="36"/>
        <v>0.41284084585420144</v>
      </c>
      <c r="J389" s="69">
        <v>314</v>
      </c>
      <c r="K389" s="70">
        <f t="shared" si="37"/>
        <v>2.1841958820255983E-2</v>
      </c>
      <c r="L389" s="70">
        <f t="shared" si="38"/>
        <v>5.2906486941870258E-2</v>
      </c>
      <c r="M389" s="69">
        <v>29</v>
      </c>
      <c r="N389" s="70">
        <f t="shared" si="39"/>
        <v>2.0172509738452978E-3</v>
      </c>
      <c r="O389" s="67" t="s">
        <v>16</v>
      </c>
    </row>
    <row r="390" spans="1:15" s="1" customFormat="1" x14ac:dyDescent="0.3">
      <c r="A390" s="66" t="s">
        <v>29</v>
      </c>
      <c r="B390" s="67" t="s">
        <v>18</v>
      </c>
      <c r="C390" s="67" t="s">
        <v>16</v>
      </c>
      <c r="D390" s="68">
        <v>45062</v>
      </c>
      <c r="E390" s="69">
        <v>27366</v>
      </c>
      <c r="F390" s="70">
        <f t="shared" si="35"/>
        <v>0.99601695534604984</v>
      </c>
      <c r="G390" s="69">
        <v>109</v>
      </c>
      <c r="H390" s="69">
        <v>9978</v>
      </c>
      <c r="I390" s="70">
        <f t="shared" si="36"/>
        <v>0.36461302345976759</v>
      </c>
      <c r="J390" s="69">
        <v>292</v>
      </c>
      <c r="K390" s="70">
        <f t="shared" si="37"/>
        <v>1.0670174669297669E-2</v>
      </c>
      <c r="L390" s="70">
        <f t="shared" si="38"/>
        <v>2.9264381639607137E-2</v>
      </c>
      <c r="M390" s="69">
        <v>26</v>
      </c>
      <c r="N390" s="70">
        <f t="shared" si="39"/>
        <v>9.5008404589636778E-4</v>
      </c>
      <c r="O390" s="67" t="s">
        <v>16</v>
      </c>
    </row>
    <row r="391" spans="1:15" s="1" customFormat="1" x14ac:dyDescent="0.3">
      <c r="A391" s="66" t="s">
        <v>29</v>
      </c>
      <c r="B391" s="67" t="s">
        <v>15</v>
      </c>
      <c r="C391" s="67" t="s">
        <v>16</v>
      </c>
      <c r="D391" s="68">
        <v>45062</v>
      </c>
      <c r="E391" s="69">
        <v>26370</v>
      </c>
      <c r="F391" s="70">
        <f t="shared" si="35"/>
        <v>0.99378081152825182</v>
      </c>
      <c r="G391" s="69">
        <v>164</v>
      </c>
      <c r="H391" s="69">
        <v>9486</v>
      </c>
      <c r="I391" s="70">
        <f t="shared" si="36"/>
        <v>0.35972696245733787</v>
      </c>
      <c r="J391" s="69">
        <v>361</v>
      </c>
      <c r="K391" s="70">
        <f t="shared" si="37"/>
        <v>1.3689799014031096E-2</v>
      </c>
      <c r="L391" s="70">
        <f t="shared" si="38"/>
        <v>3.8056082648113006E-2</v>
      </c>
      <c r="M391" s="69">
        <v>12</v>
      </c>
      <c r="N391" s="70">
        <f t="shared" si="39"/>
        <v>4.5506257110352672E-4</v>
      </c>
      <c r="O391" s="67" t="s">
        <v>16</v>
      </c>
    </row>
    <row r="392" spans="1:15" s="1" customFormat="1" x14ac:dyDescent="0.3">
      <c r="A392" s="66" t="s">
        <v>17</v>
      </c>
      <c r="B392" s="67" t="s">
        <v>18</v>
      </c>
      <c r="C392" s="67" t="s">
        <v>16</v>
      </c>
      <c r="D392" s="68">
        <v>45062</v>
      </c>
      <c r="E392" s="69">
        <v>461672</v>
      </c>
      <c r="F392" s="70">
        <f t="shared" si="35"/>
        <v>0.99591268259716859</v>
      </c>
      <c r="G392" s="69">
        <v>1887</v>
      </c>
      <c r="H392" s="69">
        <v>175151</v>
      </c>
      <c r="I392" s="70">
        <f t="shared" si="36"/>
        <v>0.37938406487722887</v>
      </c>
      <c r="J392" s="69">
        <v>2805</v>
      </c>
      <c r="K392" s="70">
        <f t="shared" si="37"/>
        <v>6.0757420852899898E-3</v>
      </c>
      <c r="L392" s="70">
        <f t="shared" si="38"/>
        <v>1.6014752984567601E-2</v>
      </c>
      <c r="M392" s="69">
        <v>411</v>
      </c>
      <c r="N392" s="70">
        <f t="shared" si="39"/>
        <v>8.9024242319222309E-4</v>
      </c>
      <c r="O392" s="67" t="s">
        <v>16</v>
      </c>
    </row>
    <row r="393" spans="1:15" s="1" customFormat="1" x14ac:dyDescent="0.3">
      <c r="A393" s="66" t="s">
        <v>17</v>
      </c>
      <c r="B393" s="67" t="s">
        <v>15</v>
      </c>
      <c r="C393" s="67" t="s">
        <v>16</v>
      </c>
      <c r="D393" s="68">
        <v>45062</v>
      </c>
      <c r="E393" s="69">
        <v>237056</v>
      </c>
      <c r="F393" s="70">
        <f t="shared" si="35"/>
        <v>0.99441060340172782</v>
      </c>
      <c r="G393" s="69">
        <v>1325</v>
      </c>
      <c r="H393" s="69">
        <v>84680</v>
      </c>
      <c r="I393" s="70">
        <f t="shared" si="36"/>
        <v>0.35721517278617709</v>
      </c>
      <c r="J393" s="69">
        <v>2295</v>
      </c>
      <c r="K393" s="70">
        <f t="shared" si="37"/>
        <v>9.6812567494600436E-3</v>
      </c>
      <c r="L393" s="70">
        <f t="shared" si="38"/>
        <v>2.7102031176192726E-2</v>
      </c>
      <c r="M393" s="69">
        <v>124</v>
      </c>
      <c r="N393" s="70">
        <f t="shared" si="39"/>
        <v>5.2308315334773222E-4</v>
      </c>
      <c r="O393" s="67" t="s">
        <v>16</v>
      </c>
    </row>
    <row r="394" spans="1:15" s="1" customFormat="1" x14ac:dyDescent="0.3">
      <c r="A394" s="76" t="s">
        <v>332</v>
      </c>
      <c r="B394" s="67" t="s">
        <v>18</v>
      </c>
      <c r="C394" s="67" t="s">
        <v>16</v>
      </c>
      <c r="D394" s="68">
        <v>45063</v>
      </c>
      <c r="E394" s="69">
        <v>35967</v>
      </c>
      <c r="F394" s="70">
        <f t="shared" ref="F394:F455" si="40">(E394-G394)/E394</f>
        <v>0.9953012483665582</v>
      </c>
      <c r="G394" s="69">
        <v>169</v>
      </c>
      <c r="H394" s="69">
        <v>14234</v>
      </c>
      <c r="I394" s="70">
        <f t="shared" ref="I394:I455" si="41">H394/E394</f>
        <v>0.39575166124503014</v>
      </c>
      <c r="J394" s="69">
        <v>336</v>
      </c>
      <c r="K394" s="70">
        <f t="shared" ref="K394:K455" si="42">J394/E394</f>
        <v>9.34189673867712E-3</v>
      </c>
      <c r="L394" s="70">
        <f t="shared" ref="L394:L455" si="43">J394/H394</f>
        <v>2.360545173528172E-2</v>
      </c>
      <c r="M394" s="69">
        <v>47</v>
      </c>
      <c r="N394" s="70">
        <f t="shared" ref="N394:N455" si="44">M394/E394</f>
        <v>1.3067534128506687E-3</v>
      </c>
      <c r="O394" s="67" t="s">
        <v>16</v>
      </c>
    </row>
    <row r="395" spans="1:15" s="1" customFormat="1" x14ac:dyDescent="0.3">
      <c r="A395" s="76" t="s">
        <v>332</v>
      </c>
      <c r="B395" s="67" t="s">
        <v>15</v>
      </c>
      <c r="C395" s="67" t="s">
        <v>16</v>
      </c>
      <c r="D395" s="68">
        <v>45063</v>
      </c>
      <c r="E395" s="69">
        <v>118710</v>
      </c>
      <c r="F395" s="70">
        <f t="shared" si="40"/>
        <v>0.99595653272681328</v>
      </c>
      <c r="G395" s="69">
        <v>480</v>
      </c>
      <c r="H395" s="69">
        <v>46689</v>
      </c>
      <c r="I395" s="70">
        <f t="shared" si="41"/>
        <v>0.39330300732878443</v>
      </c>
      <c r="J395" s="69">
        <v>923</v>
      </c>
      <c r="K395" s="70">
        <f t="shared" si="42"/>
        <v>7.7752506107320362E-3</v>
      </c>
      <c r="L395" s="70">
        <f t="shared" si="43"/>
        <v>1.9769110497119234E-2</v>
      </c>
      <c r="M395" s="69">
        <v>53</v>
      </c>
      <c r="N395" s="70">
        <f t="shared" si="44"/>
        <v>4.4646617808103784E-4</v>
      </c>
      <c r="O395" s="67" t="s">
        <v>16</v>
      </c>
    </row>
    <row r="396" spans="1:15" s="1" customFormat="1" x14ac:dyDescent="0.3">
      <c r="A396" s="76" t="s">
        <v>333</v>
      </c>
      <c r="B396" s="67" t="s">
        <v>15</v>
      </c>
      <c r="C396" s="67" t="s">
        <v>16</v>
      </c>
      <c r="D396" s="68">
        <v>45064</v>
      </c>
      <c r="E396" s="69">
        <v>717</v>
      </c>
      <c r="F396" s="70">
        <f t="shared" si="40"/>
        <v>0.99581589958159</v>
      </c>
      <c r="G396" s="69">
        <v>3</v>
      </c>
      <c r="H396" s="69">
        <v>246</v>
      </c>
      <c r="I396" s="70">
        <f t="shared" si="41"/>
        <v>0.34309623430962344</v>
      </c>
      <c r="J396" s="69">
        <v>4</v>
      </c>
      <c r="K396" s="70">
        <f t="shared" si="42"/>
        <v>5.5788005578800556E-3</v>
      </c>
      <c r="L396" s="70">
        <f t="shared" si="43"/>
        <v>1.6260162601626018E-2</v>
      </c>
      <c r="M396" s="69">
        <v>0</v>
      </c>
      <c r="N396" s="70">
        <f t="shared" si="44"/>
        <v>0</v>
      </c>
      <c r="O396" s="67" t="s">
        <v>16</v>
      </c>
    </row>
    <row r="397" spans="1:15" s="1" customFormat="1" x14ac:dyDescent="0.3">
      <c r="A397" s="76" t="s">
        <v>334</v>
      </c>
      <c r="B397" s="67" t="s">
        <v>15</v>
      </c>
      <c r="C397" s="67" t="s">
        <v>16</v>
      </c>
      <c r="D397" s="68">
        <v>45064</v>
      </c>
      <c r="E397" s="69">
        <v>13286</v>
      </c>
      <c r="F397" s="70">
        <f t="shared" si="40"/>
        <v>0.99480656329971395</v>
      </c>
      <c r="G397" s="69">
        <v>69</v>
      </c>
      <c r="H397" s="69">
        <v>4642</v>
      </c>
      <c r="I397" s="70">
        <f t="shared" si="41"/>
        <v>0.34939033569170558</v>
      </c>
      <c r="J397" s="69">
        <v>116</v>
      </c>
      <c r="K397" s="70">
        <f t="shared" si="42"/>
        <v>8.7309950323648956E-3</v>
      </c>
      <c r="L397" s="70">
        <f t="shared" si="43"/>
        <v>2.4989228780697974E-2</v>
      </c>
      <c r="M397" s="69">
        <v>8</v>
      </c>
      <c r="N397" s="70">
        <f t="shared" si="44"/>
        <v>6.0213758843895835E-4</v>
      </c>
      <c r="O397" s="67" t="s">
        <v>16</v>
      </c>
    </row>
    <row r="398" spans="1:15" s="1" customFormat="1" x14ac:dyDescent="0.3">
      <c r="A398" s="76" t="s">
        <v>335</v>
      </c>
      <c r="B398" s="67" t="s">
        <v>15</v>
      </c>
      <c r="C398" s="67" t="s">
        <v>16</v>
      </c>
      <c r="D398" s="68">
        <v>45064</v>
      </c>
      <c r="E398" s="69">
        <v>13364</v>
      </c>
      <c r="F398" s="70">
        <f t="shared" si="40"/>
        <v>0.99648308889554027</v>
      </c>
      <c r="G398" s="69">
        <v>47</v>
      </c>
      <c r="H398" s="69">
        <v>4940</v>
      </c>
      <c r="I398" s="70">
        <f t="shared" si="41"/>
        <v>0.36964980544747084</v>
      </c>
      <c r="J398" s="69">
        <v>79</v>
      </c>
      <c r="K398" s="70">
        <f t="shared" si="42"/>
        <v>5.9114037713259501E-3</v>
      </c>
      <c r="L398" s="70">
        <f t="shared" si="43"/>
        <v>1.5991902834008098E-2</v>
      </c>
      <c r="M398" s="69">
        <v>7</v>
      </c>
      <c r="N398" s="70">
        <f t="shared" si="44"/>
        <v>5.2379527087698292E-4</v>
      </c>
      <c r="O398" s="67" t="s">
        <v>16</v>
      </c>
    </row>
    <row r="399" spans="1:15" s="1" customFormat="1" x14ac:dyDescent="0.3">
      <c r="A399" s="76" t="s">
        <v>336</v>
      </c>
      <c r="B399" s="67" t="s">
        <v>15</v>
      </c>
      <c r="C399" s="67" t="s">
        <v>16</v>
      </c>
      <c r="D399" s="68">
        <v>45064</v>
      </c>
      <c r="E399" s="69">
        <v>253984</v>
      </c>
      <c r="F399" s="70">
        <f t="shared" si="40"/>
        <v>0.99608243038931588</v>
      </c>
      <c r="G399" s="69">
        <v>995</v>
      </c>
      <c r="H399" s="69">
        <v>94016</v>
      </c>
      <c r="I399" s="70">
        <f t="shared" si="41"/>
        <v>0.37016504976691444</v>
      </c>
      <c r="J399" s="69">
        <v>1518</v>
      </c>
      <c r="K399" s="70">
        <f t="shared" si="42"/>
        <v>5.9767544412246444E-3</v>
      </c>
      <c r="L399" s="70">
        <f t="shared" si="43"/>
        <v>1.6146187882913547E-2</v>
      </c>
      <c r="M399" s="69">
        <v>125</v>
      </c>
      <c r="N399" s="70">
        <f t="shared" si="44"/>
        <v>4.921569862668515E-4</v>
      </c>
      <c r="O399" s="67" t="s">
        <v>16</v>
      </c>
    </row>
    <row r="400" spans="1:15" s="1" customFormat="1" x14ac:dyDescent="0.3">
      <c r="A400" s="76" t="s">
        <v>338</v>
      </c>
      <c r="B400" s="67" t="s">
        <v>18</v>
      </c>
      <c r="C400" s="67" t="s">
        <v>16</v>
      </c>
      <c r="D400" s="68">
        <v>45065</v>
      </c>
      <c r="E400" s="69">
        <v>23087</v>
      </c>
      <c r="F400" s="70">
        <f t="shared" si="40"/>
        <v>0.99631827435353226</v>
      </c>
      <c r="G400" s="69">
        <v>85</v>
      </c>
      <c r="H400" s="69">
        <v>9486</v>
      </c>
      <c r="I400" s="70">
        <f t="shared" si="41"/>
        <v>0.41088058214579631</v>
      </c>
      <c r="J400" s="69">
        <v>86</v>
      </c>
      <c r="K400" s="70">
        <f t="shared" si="42"/>
        <v>3.7250400658379174E-3</v>
      </c>
      <c r="L400" s="70">
        <f t="shared" si="43"/>
        <v>9.065991988193127E-3</v>
      </c>
      <c r="M400" s="69">
        <v>31</v>
      </c>
      <c r="N400" s="70">
        <f t="shared" si="44"/>
        <v>1.3427470004764585E-3</v>
      </c>
      <c r="O400" s="67" t="s">
        <v>16</v>
      </c>
    </row>
    <row r="401" spans="1:15" s="1" customFormat="1" x14ac:dyDescent="0.3">
      <c r="A401" s="76" t="s">
        <v>338</v>
      </c>
      <c r="B401" s="67" t="s">
        <v>15</v>
      </c>
      <c r="C401" s="67" t="s">
        <v>16</v>
      </c>
      <c r="D401" s="68">
        <v>45065</v>
      </c>
      <c r="E401" s="69">
        <v>56205</v>
      </c>
      <c r="F401" s="70">
        <f t="shared" si="40"/>
        <v>0.99564095721021262</v>
      </c>
      <c r="G401" s="69">
        <v>245</v>
      </c>
      <c r="H401" s="69">
        <v>20987</v>
      </c>
      <c r="I401" s="70">
        <f t="shared" si="41"/>
        <v>0.37340094297660348</v>
      </c>
      <c r="J401" s="69">
        <v>202</v>
      </c>
      <c r="K401" s="70">
        <f t="shared" si="42"/>
        <v>3.593986300151232E-3</v>
      </c>
      <c r="L401" s="70">
        <f t="shared" si="43"/>
        <v>9.6250059560680414E-3</v>
      </c>
      <c r="M401" s="69">
        <v>32</v>
      </c>
      <c r="N401" s="70">
        <f t="shared" si="44"/>
        <v>5.6934436438039321E-4</v>
      </c>
      <c r="O401" s="67" t="s">
        <v>16</v>
      </c>
    </row>
    <row r="402" spans="1:15" s="1" customFormat="1" x14ac:dyDescent="0.3">
      <c r="A402" s="76" t="s">
        <v>339</v>
      </c>
      <c r="B402" s="67" t="s">
        <v>18</v>
      </c>
      <c r="C402" s="67" t="s">
        <v>16</v>
      </c>
      <c r="D402" s="68">
        <v>45065</v>
      </c>
      <c r="E402" s="69">
        <v>574</v>
      </c>
      <c r="F402" s="70">
        <f t="shared" si="40"/>
        <v>0.99303135888501737</v>
      </c>
      <c r="G402" s="69">
        <v>4</v>
      </c>
      <c r="H402" s="69">
        <v>204</v>
      </c>
      <c r="I402" s="70">
        <f t="shared" si="41"/>
        <v>0.35540069686411152</v>
      </c>
      <c r="J402" s="69">
        <v>4</v>
      </c>
      <c r="K402" s="70">
        <f t="shared" si="42"/>
        <v>6.9686411149825784E-3</v>
      </c>
      <c r="L402" s="70">
        <f t="shared" si="43"/>
        <v>1.9607843137254902E-2</v>
      </c>
      <c r="M402" s="69">
        <v>1</v>
      </c>
      <c r="N402" s="70">
        <f t="shared" si="44"/>
        <v>1.7421602787456446E-3</v>
      </c>
      <c r="O402" s="67" t="s">
        <v>16</v>
      </c>
    </row>
    <row r="403" spans="1:15" s="1" customFormat="1" x14ac:dyDescent="0.3">
      <c r="A403" s="76" t="s">
        <v>339</v>
      </c>
      <c r="B403" s="67" t="s">
        <v>15</v>
      </c>
      <c r="C403" s="67" t="s">
        <v>16</v>
      </c>
      <c r="D403" s="68">
        <v>45065</v>
      </c>
      <c r="E403" s="69">
        <v>1935</v>
      </c>
      <c r="F403" s="70">
        <f t="shared" si="40"/>
        <v>0.99379844961240305</v>
      </c>
      <c r="G403" s="69">
        <v>12</v>
      </c>
      <c r="H403" s="69">
        <v>658</v>
      </c>
      <c r="I403" s="70">
        <f t="shared" si="41"/>
        <v>0.34005167958656329</v>
      </c>
      <c r="J403" s="69">
        <v>7</v>
      </c>
      <c r="K403" s="70">
        <f t="shared" si="42"/>
        <v>3.6175710594315244E-3</v>
      </c>
      <c r="L403" s="70">
        <f t="shared" si="43"/>
        <v>1.0638297872340425E-2</v>
      </c>
      <c r="M403" s="69">
        <v>0</v>
      </c>
      <c r="N403" s="70">
        <f t="shared" si="44"/>
        <v>0</v>
      </c>
      <c r="O403" s="67" t="s">
        <v>16</v>
      </c>
    </row>
    <row r="404" spans="1:15" s="1" customFormat="1" x14ac:dyDescent="0.3">
      <c r="A404" s="66" t="s">
        <v>28</v>
      </c>
      <c r="B404" s="67" t="s">
        <v>18</v>
      </c>
      <c r="C404" s="67" t="s">
        <v>16</v>
      </c>
      <c r="D404" s="68">
        <v>45065</v>
      </c>
      <c r="E404" s="69">
        <v>207227</v>
      </c>
      <c r="F404" s="70">
        <f t="shared" si="40"/>
        <v>0.99592717165234257</v>
      </c>
      <c r="G404" s="69">
        <v>844</v>
      </c>
      <c r="H404" s="69">
        <v>58476</v>
      </c>
      <c r="I404" s="70">
        <f t="shared" si="41"/>
        <v>0.28218330622940063</v>
      </c>
      <c r="J404" s="69">
        <v>1096</v>
      </c>
      <c r="K404" s="70">
        <f t="shared" si="42"/>
        <v>5.2888861007494197E-3</v>
      </c>
      <c r="L404" s="70">
        <f t="shared" si="43"/>
        <v>1.8742732061016485E-2</v>
      </c>
      <c r="M404" s="69">
        <v>314</v>
      </c>
      <c r="N404" s="70">
        <f t="shared" si="44"/>
        <v>1.5152465653606915E-3</v>
      </c>
      <c r="O404" s="67" t="s">
        <v>16</v>
      </c>
    </row>
    <row r="405" spans="1:15" s="1" customFormat="1" x14ac:dyDescent="0.3">
      <c r="A405" s="66" t="s">
        <v>340</v>
      </c>
      <c r="B405" s="67" t="s">
        <v>15</v>
      </c>
      <c r="C405" s="67" t="s">
        <v>16</v>
      </c>
      <c r="D405" s="68">
        <v>45065</v>
      </c>
      <c r="E405" s="69">
        <v>105851</v>
      </c>
      <c r="F405" s="70">
        <f t="shared" si="40"/>
        <v>0.99482291145100188</v>
      </c>
      <c r="G405" s="69">
        <v>548</v>
      </c>
      <c r="H405" s="69">
        <v>31394</v>
      </c>
      <c r="I405" s="70">
        <f t="shared" si="41"/>
        <v>0.29658671150957477</v>
      </c>
      <c r="J405" s="69">
        <v>679</v>
      </c>
      <c r="K405" s="70">
        <f t="shared" si="42"/>
        <v>6.4146772349812468E-3</v>
      </c>
      <c r="L405" s="70">
        <f t="shared" si="43"/>
        <v>2.162833662483277E-2</v>
      </c>
      <c r="M405" s="69">
        <v>41</v>
      </c>
      <c r="N405" s="70">
        <f t="shared" si="44"/>
        <v>3.8733691698708561E-4</v>
      </c>
      <c r="O405" s="67" t="s">
        <v>16</v>
      </c>
    </row>
    <row r="406" spans="1:15" s="1" customFormat="1" x14ac:dyDescent="0.3">
      <c r="A406" s="66" t="s">
        <v>22</v>
      </c>
      <c r="B406" s="67" t="s">
        <v>18</v>
      </c>
      <c r="C406" s="67" t="s">
        <v>16</v>
      </c>
      <c r="D406" s="68">
        <v>45065</v>
      </c>
      <c r="E406" s="69">
        <v>2307120</v>
      </c>
      <c r="F406" s="70">
        <f t="shared" si="40"/>
        <v>0.99607952772287522</v>
      </c>
      <c r="G406" s="69">
        <v>9045</v>
      </c>
      <c r="H406" s="69">
        <v>731790</v>
      </c>
      <c r="I406" s="70">
        <f t="shared" si="41"/>
        <v>0.31718766254031</v>
      </c>
      <c r="J406" s="69">
        <v>10032</v>
      </c>
      <c r="K406" s="70">
        <f t="shared" si="42"/>
        <v>4.3482783730365128E-3</v>
      </c>
      <c r="L406" s="70">
        <f t="shared" si="43"/>
        <v>1.3708850899848317E-2</v>
      </c>
      <c r="M406" s="69">
        <v>3033</v>
      </c>
      <c r="N406" s="70">
        <f t="shared" si="44"/>
        <v>1.3146260272547592E-3</v>
      </c>
      <c r="O406" s="67" t="s">
        <v>16</v>
      </c>
    </row>
    <row r="407" spans="1:15" s="1" customFormat="1" x14ac:dyDescent="0.3">
      <c r="A407" s="66" t="s">
        <v>22</v>
      </c>
      <c r="B407" s="67" t="s">
        <v>15</v>
      </c>
      <c r="C407" s="67" t="s">
        <v>16</v>
      </c>
      <c r="D407" s="68">
        <v>45065</v>
      </c>
      <c r="E407" s="69">
        <v>1973420</v>
      </c>
      <c r="F407" s="70">
        <f t="shared" si="40"/>
        <v>0.99528787587031653</v>
      </c>
      <c r="G407" s="69">
        <v>9299</v>
      </c>
      <c r="H407" s="69">
        <v>658700</v>
      </c>
      <c r="I407" s="70">
        <f t="shared" si="41"/>
        <v>0.33378601615469589</v>
      </c>
      <c r="J407" s="69">
        <v>10141</v>
      </c>
      <c r="K407" s="70">
        <f t="shared" si="42"/>
        <v>5.1387945799677721E-3</v>
      </c>
      <c r="L407" s="70">
        <f t="shared" si="43"/>
        <v>1.5395475937452559E-2</v>
      </c>
      <c r="M407" s="69">
        <v>1539</v>
      </c>
      <c r="N407" s="70">
        <f t="shared" si="44"/>
        <v>7.7986439784739187E-4</v>
      </c>
      <c r="O407" s="67" t="s">
        <v>16</v>
      </c>
    </row>
    <row r="408" spans="1:15" s="1" customFormat="1" x14ac:dyDescent="0.3">
      <c r="A408" s="76" t="s">
        <v>75</v>
      </c>
      <c r="B408" s="67" t="s">
        <v>15</v>
      </c>
      <c r="C408" s="67" t="s">
        <v>16</v>
      </c>
      <c r="D408" s="68">
        <v>45066</v>
      </c>
      <c r="E408" s="69">
        <v>28779</v>
      </c>
      <c r="F408" s="70">
        <f t="shared" si="40"/>
        <v>0.99530907953716252</v>
      </c>
      <c r="G408" s="69">
        <v>135</v>
      </c>
      <c r="H408" s="69">
        <v>8554</v>
      </c>
      <c r="I408" s="70">
        <f t="shared" si="41"/>
        <v>0.29723061954897667</v>
      </c>
      <c r="J408" s="69">
        <v>273</v>
      </c>
      <c r="K408" s="70">
        <f t="shared" si="42"/>
        <v>9.4860836026269147E-3</v>
      </c>
      <c r="L408" s="70">
        <f t="shared" si="43"/>
        <v>3.1914893617021274E-2</v>
      </c>
      <c r="M408" s="69">
        <v>11</v>
      </c>
      <c r="N408" s="70">
        <f t="shared" si="44"/>
        <v>3.8222314882379514E-4</v>
      </c>
      <c r="O408" s="67" t="s">
        <v>16</v>
      </c>
    </row>
    <row r="409" spans="1:15" s="1" customFormat="1" x14ac:dyDescent="0.3">
      <c r="A409" s="76" t="s">
        <v>78</v>
      </c>
      <c r="B409" s="67" t="s">
        <v>15</v>
      </c>
      <c r="C409" s="67" t="s">
        <v>16</v>
      </c>
      <c r="D409" s="68">
        <v>45066</v>
      </c>
      <c r="E409" s="69">
        <v>449224</v>
      </c>
      <c r="F409" s="70">
        <f t="shared" si="40"/>
        <v>0.99554119993588941</v>
      </c>
      <c r="G409" s="69">
        <v>2003</v>
      </c>
      <c r="H409" s="69">
        <v>156660</v>
      </c>
      <c r="I409" s="70">
        <f t="shared" si="41"/>
        <v>0.34873470696133779</v>
      </c>
      <c r="J409" s="69">
        <v>4322</v>
      </c>
      <c r="K409" s="70">
        <f t="shared" si="42"/>
        <v>9.6210353854647122E-3</v>
      </c>
      <c r="L409" s="70">
        <f t="shared" si="43"/>
        <v>2.758840801736244E-2</v>
      </c>
      <c r="M409" s="69">
        <v>261</v>
      </c>
      <c r="N409" s="70">
        <f t="shared" si="44"/>
        <v>5.8100190550816524E-4</v>
      </c>
      <c r="O409" s="67" t="s">
        <v>16</v>
      </c>
    </row>
    <row r="410" spans="1:15" s="1" customFormat="1" x14ac:dyDescent="0.3">
      <c r="A410" s="66" t="s">
        <v>17</v>
      </c>
      <c r="B410" s="67" t="s">
        <v>18</v>
      </c>
      <c r="C410" s="67" t="s">
        <v>16</v>
      </c>
      <c r="D410" s="68">
        <v>45069</v>
      </c>
      <c r="E410" s="69">
        <v>464080</v>
      </c>
      <c r="F410" s="70">
        <f t="shared" si="40"/>
        <v>0.99620755042234099</v>
      </c>
      <c r="G410" s="69">
        <v>1760</v>
      </c>
      <c r="H410" s="69">
        <v>174393</v>
      </c>
      <c r="I410" s="70">
        <f t="shared" si="41"/>
        <v>0.37578219272539215</v>
      </c>
      <c r="J410" s="69">
        <v>2518</v>
      </c>
      <c r="K410" s="70">
        <f t="shared" si="42"/>
        <v>5.4257886571280811E-3</v>
      </c>
      <c r="L410" s="70">
        <f t="shared" si="43"/>
        <v>1.4438652927583102E-2</v>
      </c>
      <c r="M410" s="69">
        <v>361</v>
      </c>
      <c r="N410" s="70">
        <f t="shared" si="44"/>
        <v>7.7788312359937937E-4</v>
      </c>
      <c r="O410" s="67" t="s">
        <v>16</v>
      </c>
    </row>
    <row r="411" spans="1:15" s="1" customFormat="1" x14ac:dyDescent="0.3">
      <c r="A411" s="66" t="s">
        <v>17</v>
      </c>
      <c r="B411" s="67" t="s">
        <v>15</v>
      </c>
      <c r="C411" s="67" t="s">
        <v>16</v>
      </c>
      <c r="D411" s="68">
        <v>45069</v>
      </c>
      <c r="E411" s="69">
        <v>238668</v>
      </c>
      <c r="F411" s="70">
        <f t="shared" si="40"/>
        <v>0.995114552432668</v>
      </c>
      <c r="G411" s="69">
        <v>1166</v>
      </c>
      <c r="H411" s="69">
        <v>83877</v>
      </c>
      <c r="I411" s="70">
        <f t="shared" si="41"/>
        <v>0.35143798079340338</v>
      </c>
      <c r="J411" s="69">
        <v>1825</v>
      </c>
      <c r="K411" s="70">
        <f t="shared" si="42"/>
        <v>7.6466053262272274E-3</v>
      </c>
      <c r="L411" s="70">
        <f t="shared" si="43"/>
        <v>2.1758050478677109E-2</v>
      </c>
      <c r="M411" s="69">
        <v>98</v>
      </c>
      <c r="N411" s="70">
        <f t="shared" si="44"/>
        <v>4.1061223121658541E-4</v>
      </c>
      <c r="O411" s="67" t="s">
        <v>16</v>
      </c>
    </row>
    <row r="412" spans="1:15" s="1" customFormat="1" x14ac:dyDescent="0.3">
      <c r="A412" s="66" t="s">
        <v>29</v>
      </c>
      <c r="B412" s="67" t="s">
        <v>18</v>
      </c>
      <c r="C412" s="67" t="s">
        <v>16</v>
      </c>
      <c r="D412" s="68">
        <v>45069</v>
      </c>
      <c r="E412" s="69">
        <v>27442</v>
      </c>
      <c r="F412" s="70">
        <f t="shared" si="40"/>
        <v>0.99606442679105023</v>
      </c>
      <c r="G412" s="69">
        <v>108</v>
      </c>
      <c r="H412" s="69">
        <v>9456</v>
      </c>
      <c r="I412" s="70">
        <f t="shared" si="41"/>
        <v>0.34458129873915894</v>
      </c>
      <c r="J412" s="69">
        <v>169</v>
      </c>
      <c r="K412" s="70">
        <f t="shared" si="42"/>
        <v>6.158443262152904E-3</v>
      </c>
      <c r="L412" s="70">
        <f t="shared" si="43"/>
        <v>1.7872250423011844E-2</v>
      </c>
      <c r="M412" s="69">
        <v>23</v>
      </c>
      <c r="N412" s="70">
        <f t="shared" si="44"/>
        <v>8.3813133153560235E-4</v>
      </c>
      <c r="O412" s="67" t="s">
        <v>16</v>
      </c>
    </row>
    <row r="413" spans="1:15" s="1" customFormat="1" x14ac:dyDescent="0.3">
      <c r="A413" s="66" t="s">
        <v>29</v>
      </c>
      <c r="B413" s="67" t="s">
        <v>15</v>
      </c>
      <c r="C413" s="67" t="s">
        <v>16</v>
      </c>
      <c r="D413" s="68">
        <v>45069</v>
      </c>
      <c r="E413" s="69">
        <v>26439</v>
      </c>
      <c r="F413" s="70">
        <f t="shared" si="40"/>
        <v>0.99406180264003929</v>
      </c>
      <c r="G413" s="69">
        <v>157</v>
      </c>
      <c r="H413" s="69">
        <v>8868</v>
      </c>
      <c r="I413" s="70">
        <f t="shared" si="41"/>
        <v>0.33541359355497563</v>
      </c>
      <c r="J413" s="69">
        <v>237</v>
      </c>
      <c r="K413" s="70">
        <f t="shared" si="42"/>
        <v>8.9640304096221483E-3</v>
      </c>
      <c r="L413" s="70">
        <f t="shared" si="43"/>
        <v>2.6725304465493909E-2</v>
      </c>
      <c r="M413" s="69">
        <v>11</v>
      </c>
      <c r="N413" s="70">
        <f t="shared" si="44"/>
        <v>4.1605204432845419E-4</v>
      </c>
      <c r="O413" s="67" t="s">
        <v>16</v>
      </c>
    </row>
    <row r="414" spans="1:15" s="1" customFormat="1" x14ac:dyDescent="0.3">
      <c r="A414" s="76" t="s">
        <v>345</v>
      </c>
      <c r="B414" s="67" t="s">
        <v>18</v>
      </c>
      <c r="C414" s="67" t="s">
        <v>16</v>
      </c>
      <c r="D414" s="68">
        <v>45071</v>
      </c>
      <c r="E414" s="69">
        <v>2481476</v>
      </c>
      <c r="F414" s="70">
        <f t="shared" si="40"/>
        <v>0.99655608194477807</v>
      </c>
      <c r="G414" s="69">
        <v>8546</v>
      </c>
      <c r="H414" s="69">
        <v>815710</v>
      </c>
      <c r="I414" s="70">
        <f t="shared" si="41"/>
        <v>0.32871968135093793</v>
      </c>
      <c r="J414" s="69">
        <v>8133</v>
      </c>
      <c r="K414" s="70">
        <f t="shared" si="42"/>
        <v>3.2774848517575831E-3</v>
      </c>
      <c r="L414" s="70">
        <f t="shared" si="43"/>
        <v>9.9704551862794377E-3</v>
      </c>
      <c r="M414" s="69">
        <v>4095</v>
      </c>
      <c r="N414" s="70">
        <f t="shared" si="44"/>
        <v>1.6502275258757288E-3</v>
      </c>
      <c r="O414" s="67" t="s">
        <v>16</v>
      </c>
    </row>
    <row r="415" spans="1:15" s="1" customFormat="1" x14ac:dyDescent="0.3">
      <c r="A415" s="76" t="s">
        <v>345</v>
      </c>
      <c r="B415" s="67" t="s">
        <v>15</v>
      </c>
      <c r="C415" s="67" t="s">
        <v>16</v>
      </c>
      <c r="D415" s="68">
        <v>45071</v>
      </c>
      <c r="E415" s="69">
        <v>2419383</v>
      </c>
      <c r="F415" s="70">
        <f t="shared" si="40"/>
        <v>0.99569229014174276</v>
      </c>
      <c r="G415" s="69">
        <v>10422</v>
      </c>
      <c r="H415" s="69">
        <v>849741</v>
      </c>
      <c r="I415" s="70">
        <f t="shared" si="41"/>
        <v>0.35122219177368774</v>
      </c>
      <c r="J415" s="69">
        <v>8029</v>
      </c>
      <c r="K415" s="70">
        <f t="shared" si="42"/>
        <v>3.3186147046581709E-3</v>
      </c>
      <c r="L415" s="70">
        <f t="shared" si="43"/>
        <v>9.4487614461347628E-3</v>
      </c>
      <c r="M415" s="69">
        <v>1964</v>
      </c>
      <c r="N415" s="70">
        <f t="shared" si="44"/>
        <v>8.1177721757985405E-4</v>
      </c>
      <c r="O415" s="67" t="s">
        <v>16</v>
      </c>
    </row>
    <row r="416" spans="1:15" s="1" customFormat="1" x14ac:dyDescent="0.3">
      <c r="A416" s="76" t="s">
        <v>346</v>
      </c>
      <c r="B416" s="67" t="s">
        <v>18</v>
      </c>
      <c r="C416" s="67" t="s">
        <v>16</v>
      </c>
      <c r="D416" s="68">
        <v>45071</v>
      </c>
      <c r="E416" s="69">
        <v>221290</v>
      </c>
      <c r="F416" s="70">
        <f t="shared" si="40"/>
        <v>0.99633964480997783</v>
      </c>
      <c r="G416" s="69">
        <v>810</v>
      </c>
      <c r="H416" s="69">
        <v>64694</v>
      </c>
      <c r="I416" s="70">
        <f t="shared" si="41"/>
        <v>0.29234940575715124</v>
      </c>
      <c r="J416" s="69">
        <v>746</v>
      </c>
      <c r="K416" s="70">
        <f t="shared" si="42"/>
        <v>3.3711419404401466E-3</v>
      </c>
      <c r="L416" s="70">
        <f t="shared" si="43"/>
        <v>1.1531208458280521E-2</v>
      </c>
      <c r="M416" s="69">
        <v>524</v>
      </c>
      <c r="N416" s="70">
        <f t="shared" si="44"/>
        <v>2.3679334809525963E-3</v>
      </c>
      <c r="O416" s="67" t="s">
        <v>16</v>
      </c>
    </row>
    <row r="417" spans="1:15" s="1" customFormat="1" x14ac:dyDescent="0.3">
      <c r="A417" s="76" t="s">
        <v>346</v>
      </c>
      <c r="B417" s="67" t="s">
        <v>15</v>
      </c>
      <c r="C417" s="67" t="s">
        <v>16</v>
      </c>
      <c r="D417" s="68">
        <v>45071</v>
      </c>
      <c r="E417" s="69">
        <v>130988</v>
      </c>
      <c r="F417" s="70">
        <f t="shared" si="40"/>
        <v>0.99519803340764035</v>
      </c>
      <c r="G417" s="69">
        <v>629</v>
      </c>
      <c r="H417" s="69">
        <v>41583</v>
      </c>
      <c r="I417" s="70">
        <f t="shared" si="41"/>
        <v>0.31745656090634256</v>
      </c>
      <c r="J417" s="69">
        <v>413</v>
      </c>
      <c r="K417" s="70">
        <f t="shared" si="42"/>
        <v>3.1529605765413626E-3</v>
      </c>
      <c r="L417" s="70">
        <f t="shared" si="43"/>
        <v>9.9319433422312003E-3</v>
      </c>
      <c r="M417" s="69">
        <v>68</v>
      </c>
      <c r="N417" s="70">
        <f t="shared" si="44"/>
        <v>5.1913152349833576E-4</v>
      </c>
      <c r="O417" s="67" t="s">
        <v>16</v>
      </c>
    </row>
    <row r="418" spans="1:15" s="1" customFormat="1" x14ac:dyDescent="0.3">
      <c r="A418" s="76" t="s">
        <v>347</v>
      </c>
      <c r="B418" s="67" t="s">
        <v>18</v>
      </c>
      <c r="C418" s="67" t="s">
        <v>16</v>
      </c>
      <c r="D418" s="68">
        <v>45071</v>
      </c>
      <c r="E418" s="69">
        <v>329288</v>
      </c>
      <c r="F418" s="70">
        <f t="shared" si="40"/>
        <v>0.99648332159082631</v>
      </c>
      <c r="G418" s="69">
        <v>1158</v>
      </c>
      <c r="H418" s="69">
        <v>118987</v>
      </c>
      <c r="I418" s="70">
        <f t="shared" si="41"/>
        <v>0.36134629868079005</v>
      </c>
      <c r="J418" s="69">
        <v>1173</v>
      </c>
      <c r="K418" s="70">
        <f t="shared" si="42"/>
        <v>3.5622312383081071E-3</v>
      </c>
      <c r="L418" s="70">
        <f t="shared" si="43"/>
        <v>9.8582198055249728E-3</v>
      </c>
      <c r="M418" s="69">
        <v>582</v>
      </c>
      <c r="N418" s="70">
        <f t="shared" si="44"/>
        <v>1.7674497704137412E-3</v>
      </c>
      <c r="O418" s="67" t="s">
        <v>16</v>
      </c>
    </row>
    <row r="419" spans="1:15" s="1" customFormat="1" x14ac:dyDescent="0.3">
      <c r="A419" s="76" t="s">
        <v>347</v>
      </c>
      <c r="B419" s="67" t="s">
        <v>15</v>
      </c>
      <c r="C419" s="67" t="s">
        <v>16</v>
      </c>
      <c r="D419" s="68">
        <v>45071</v>
      </c>
      <c r="E419" s="69">
        <v>438841</v>
      </c>
      <c r="F419" s="70">
        <f t="shared" si="40"/>
        <v>0.99581853108529061</v>
      </c>
      <c r="G419" s="69">
        <v>1835</v>
      </c>
      <c r="H419" s="69">
        <v>156849</v>
      </c>
      <c r="I419" s="70">
        <f t="shared" si="41"/>
        <v>0.3574164674677161</v>
      </c>
      <c r="J419" s="69">
        <v>1225</v>
      </c>
      <c r="K419" s="70">
        <f t="shared" si="42"/>
        <v>2.7914438258959395E-3</v>
      </c>
      <c r="L419" s="70">
        <f t="shared" si="43"/>
        <v>7.8100593564511094E-3</v>
      </c>
      <c r="M419" s="69">
        <v>272</v>
      </c>
      <c r="N419" s="70">
        <f t="shared" si="44"/>
        <v>6.1981446583158825E-4</v>
      </c>
      <c r="O419" s="67" t="s">
        <v>16</v>
      </c>
    </row>
    <row r="420" spans="1:15" s="1" customFormat="1" x14ac:dyDescent="0.3">
      <c r="A420" s="66" t="s">
        <v>22</v>
      </c>
      <c r="B420" s="67" t="s">
        <v>18</v>
      </c>
      <c r="C420" s="67" t="s">
        <v>16</v>
      </c>
      <c r="D420" s="68">
        <v>45072</v>
      </c>
      <c r="E420" s="69">
        <v>2318694</v>
      </c>
      <c r="F420" s="70">
        <f t="shared" si="40"/>
        <v>0.99658083386596075</v>
      </c>
      <c r="G420" s="69">
        <v>7928</v>
      </c>
      <c r="H420" s="69">
        <v>753668</v>
      </c>
      <c r="I420" s="70">
        <f t="shared" si="41"/>
        <v>0.32503987158288244</v>
      </c>
      <c r="J420" s="69">
        <v>9182</v>
      </c>
      <c r="K420" s="70">
        <f t="shared" si="42"/>
        <v>3.9599878207301183E-3</v>
      </c>
      <c r="L420" s="70">
        <f t="shared" si="43"/>
        <v>1.2183083267433406E-2</v>
      </c>
      <c r="M420" s="69">
        <v>3868</v>
      </c>
      <c r="N420" s="70">
        <f t="shared" si="44"/>
        <v>1.6681804498566866E-3</v>
      </c>
      <c r="O420" s="67" t="s">
        <v>16</v>
      </c>
    </row>
    <row r="421" spans="1:15" s="1" customFormat="1" x14ac:dyDescent="0.3">
      <c r="A421" s="66" t="s">
        <v>22</v>
      </c>
      <c r="B421" s="67" t="s">
        <v>15</v>
      </c>
      <c r="C421" s="67" t="s">
        <v>16</v>
      </c>
      <c r="D421" s="68">
        <v>45072</v>
      </c>
      <c r="E421" s="69">
        <v>1967463</v>
      </c>
      <c r="F421" s="70">
        <f t="shared" si="40"/>
        <v>0.99604668550310727</v>
      </c>
      <c r="G421" s="69">
        <v>7778</v>
      </c>
      <c r="H421" s="69">
        <v>670046</v>
      </c>
      <c r="I421" s="70">
        <f t="shared" si="41"/>
        <v>0.34056345659359288</v>
      </c>
      <c r="J421" s="69">
        <v>7770</v>
      </c>
      <c r="K421" s="70">
        <f t="shared" si="42"/>
        <v>3.9492483467287566E-3</v>
      </c>
      <c r="L421" s="70">
        <f t="shared" si="43"/>
        <v>1.1596218767069724E-2</v>
      </c>
      <c r="M421" s="69">
        <v>1522</v>
      </c>
      <c r="N421" s="70">
        <f t="shared" si="44"/>
        <v>7.7358506868998298E-4</v>
      </c>
      <c r="O421" s="67" t="s">
        <v>16</v>
      </c>
    </row>
    <row r="422" spans="1:15" s="1" customFormat="1" x14ac:dyDescent="0.3">
      <c r="A422" s="66" t="s">
        <v>28</v>
      </c>
      <c r="B422" s="67" t="s">
        <v>18</v>
      </c>
      <c r="C422" s="67" t="s">
        <v>16</v>
      </c>
      <c r="D422" s="68">
        <v>45072</v>
      </c>
      <c r="E422" s="69">
        <v>207896</v>
      </c>
      <c r="F422" s="70">
        <f t="shared" si="40"/>
        <v>0.99636356639858392</v>
      </c>
      <c r="G422" s="69">
        <v>756</v>
      </c>
      <c r="H422" s="69">
        <v>62785</v>
      </c>
      <c r="I422" s="70">
        <f t="shared" si="41"/>
        <v>0.30200196251972139</v>
      </c>
      <c r="J422" s="69">
        <v>1151</v>
      </c>
      <c r="K422" s="70">
        <f t="shared" si="42"/>
        <v>5.5364220571824376E-3</v>
      </c>
      <c r="L422" s="70">
        <f t="shared" si="43"/>
        <v>1.8332404236680738E-2</v>
      </c>
      <c r="M422" s="69">
        <v>437</v>
      </c>
      <c r="N422" s="70">
        <f t="shared" si="44"/>
        <v>2.1020125447339054E-3</v>
      </c>
      <c r="O422" s="67" t="s">
        <v>16</v>
      </c>
    </row>
    <row r="423" spans="1:15" s="1" customFormat="1" x14ac:dyDescent="0.3">
      <c r="A423" s="66" t="s">
        <v>28</v>
      </c>
      <c r="B423" s="67" t="s">
        <v>15</v>
      </c>
      <c r="C423" s="67" t="s">
        <v>16</v>
      </c>
      <c r="D423" s="68">
        <v>45072</v>
      </c>
      <c r="E423" s="69">
        <v>105649</v>
      </c>
      <c r="F423" s="70">
        <f t="shared" si="40"/>
        <v>0.9956459597345928</v>
      </c>
      <c r="G423" s="69">
        <v>460</v>
      </c>
      <c r="H423" s="69">
        <v>33115</v>
      </c>
      <c r="I423" s="70">
        <f t="shared" si="41"/>
        <v>0.3134435725846908</v>
      </c>
      <c r="J423" s="69">
        <v>601</v>
      </c>
      <c r="K423" s="70">
        <f t="shared" si="42"/>
        <v>5.68864825980369E-3</v>
      </c>
      <c r="L423" s="70">
        <f t="shared" si="43"/>
        <v>1.8148875132115355E-2</v>
      </c>
      <c r="M423" s="69">
        <v>46</v>
      </c>
      <c r="N423" s="70">
        <f t="shared" si="44"/>
        <v>4.3540402654071501E-4</v>
      </c>
      <c r="O423" s="67" t="s">
        <v>16</v>
      </c>
    </row>
    <row r="424" spans="1:15" s="1" customFormat="1" x14ac:dyDescent="0.3">
      <c r="A424" s="76" t="s">
        <v>17</v>
      </c>
      <c r="B424" s="67" t="s">
        <v>18</v>
      </c>
      <c r="C424" s="67" t="s">
        <v>16</v>
      </c>
      <c r="D424" s="68">
        <v>45076</v>
      </c>
      <c r="E424" s="88">
        <v>466072</v>
      </c>
      <c r="F424" s="70">
        <f t="shared" si="40"/>
        <v>0.9965970922947528</v>
      </c>
      <c r="G424" s="88">
        <v>1586</v>
      </c>
      <c r="H424" s="88">
        <v>179341</v>
      </c>
      <c r="I424" s="70">
        <f t="shared" si="41"/>
        <v>0.38479247841535213</v>
      </c>
      <c r="J424" s="69">
        <v>2007</v>
      </c>
      <c r="K424" s="70">
        <f t="shared" si="42"/>
        <v>4.3062016169175578E-3</v>
      </c>
      <c r="L424" s="70">
        <f t="shared" si="43"/>
        <v>1.1190971389698953E-2</v>
      </c>
      <c r="M424" s="69">
        <v>464</v>
      </c>
      <c r="N424" s="70">
        <f t="shared" si="44"/>
        <v>9.955543349525395E-4</v>
      </c>
      <c r="O424" s="67" t="s">
        <v>16</v>
      </c>
    </row>
    <row r="425" spans="1:15" s="1" customFormat="1" x14ac:dyDescent="0.3">
      <c r="A425" s="76" t="s">
        <v>17</v>
      </c>
      <c r="B425" s="67" t="s">
        <v>15</v>
      </c>
      <c r="C425" s="67" t="s">
        <v>16</v>
      </c>
      <c r="D425" s="68">
        <v>45076</v>
      </c>
      <c r="E425" s="88">
        <v>240159</v>
      </c>
      <c r="F425" s="70">
        <f t="shared" si="40"/>
        <v>0.99586107537090007</v>
      </c>
      <c r="G425" s="88">
        <v>994</v>
      </c>
      <c r="H425" s="88">
        <v>83019</v>
      </c>
      <c r="I425" s="70">
        <f t="shared" si="41"/>
        <v>0.34568348469139193</v>
      </c>
      <c r="J425" s="69">
        <v>1214</v>
      </c>
      <c r="K425" s="70">
        <f t="shared" si="42"/>
        <v>5.0549844061642491E-3</v>
      </c>
      <c r="L425" s="70">
        <f t="shared" si="43"/>
        <v>1.4623158554065936E-2</v>
      </c>
      <c r="M425" s="69">
        <v>114</v>
      </c>
      <c r="N425" s="70">
        <f t="shared" si="44"/>
        <v>4.746855208424419E-4</v>
      </c>
      <c r="O425" s="67" t="s">
        <v>16</v>
      </c>
    </row>
    <row r="426" spans="1:15" s="1" customFormat="1" x14ac:dyDescent="0.3">
      <c r="A426" s="76" t="s">
        <v>29</v>
      </c>
      <c r="B426" s="67" t="s">
        <v>18</v>
      </c>
      <c r="C426" s="67" t="s">
        <v>16</v>
      </c>
      <c r="D426" s="68">
        <v>45076</v>
      </c>
      <c r="E426" s="88">
        <v>27485</v>
      </c>
      <c r="F426" s="70">
        <f t="shared" si="40"/>
        <v>0.99687102055666732</v>
      </c>
      <c r="G426" s="88">
        <v>86</v>
      </c>
      <c r="H426" s="88">
        <v>9660</v>
      </c>
      <c r="I426" s="70">
        <f t="shared" si="41"/>
        <v>0.35146443514644349</v>
      </c>
      <c r="J426" s="69">
        <v>131</v>
      </c>
      <c r="K426" s="70">
        <f t="shared" si="42"/>
        <v>4.7662361287975257E-3</v>
      </c>
      <c r="L426" s="70">
        <f t="shared" si="43"/>
        <v>1.3561076604554866E-2</v>
      </c>
      <c r="M426" s="69">
        <v>21</v>
      </c>
      <c r="N426" s="70">
        <f t="shared" si="44"/>
        <v>7.640531198835729E-4</v>
      </c>
      <c r="O426" s="67" t="s">
        <v>16</v>
      </c>
    </row>
    <row r="427" spans="1:15" s="1" customFormat="1" x14ac:dyDescent="0.3">
      <c r="A427" s="76" t="s">
        <v>29</v>
      </c>
      <c r="B427" s="67" t="s">
        <v>15</v>
      </c>
      <c r="C427" s="67" t="s">
        <v>16</v>
      </c>
      <c r="D427" s="68">
        <v>45076</v>
      </c>
      <c r="E427" s="88">
        <v>26485</v>
      </c>
      <c r="F427" s="70">
        <f t="shared" si="40"/>
        <v>0.99463847460826882</v>
      </c>
      <c r="G427" s="88">
        <v>142</v>
      </c>
      <c r="H427" s="88">
        <v>8841</v>
      </c>
      <c r="I427" s="70">
        <f t="shared" si="41"/>
        <v>0.33381159146686806</v>
      </c>
      <c r="J427" s="69">
        <v>187</v>
      </c>
      <c r="K427" s="70">
        <f t="shared" si="42"/>
        <v>7.0606003398149897E-3</v>
      </c>
      <c r="L427" s="70">
        <f t="shared" si="43"/>
        <v>2.1151453455491461E-2</v>
      </c>
      <c r="M427" s="69">
        <v>9</v>
      </c>
      <c r="N427" s="70">
        <f t="shared" si="44"/>
        <v>3.3981498961676421E-4</v>
      </c>
      <c r="O427" s="67" t="s">
        <v>16</v>
      </c>
    </row>
    <row r="428" spans="1:15" s="1" customFormat="1" x14ac:dyDescent="0.3">
      <c r="A428" s="76" t="s">
        <v>353</v>
      </c>
      <c r="B428" s="67" t="s">
        <v>15</v>
      </c>
      <c r="C428" s="67" t="s">
        <v>16</v>
      </c>
      <c r="D428" s="68">
        <v>45077</v>
      </c>
      <c r="E428" s="88">
        <v>258019</v>
      </c>
      <c r="F428" s="70">
        <f t="shared" si="40"/>
        <v>0.9964343711122049</v>
      </c>
      <c r="G428" s="88">
        <v>920</v>
      </c>
      <c r="H428" s="88">
        <v>100166</v>
      </c>
      <c r="I428" s="70">
        <f t="shared" si="41"/>
        <v>0.38821172084226357</v>
      </c>
      <c r="J428" s="69">
        <v>1345</v>
      </c>
      <c r="K428" s="70">
        <f t="shared" si="42"/>
        <v>5.2127944066134666E-3</v>
      </c>
      <c r="L428" s="70">
        <f t="shared" si="43"/>
        <v>1.342771000139768E-2</v>
      </c>
      <c r="M428" s="69">
        <v>294</v>
      </c>
      <c r="N428" s="70">
        <f t="shared" si="44"/>
        <v>1.1394509706649509E-3</v>
      </c>
      <c r="O428" s="67" t="s">
        <v>16</v>
      </c>
    </row>
    <row r="429" spans="1:15" s="1" customFormat="1" x14ac:dyDescent="0.3">
      <c r="A429" s="76" t="s">
        <v>354</v>
      </c>
      <c r="B429" s="67" t="s">
        <v>15</v>
      </c>
      <c r="C429" s="67" t="s">
        <v>16</v>
      </c>
      <c r="D429" s="68">
        <v>45077</v>
      </c>
      <c r="E429" s="88">
        <v>8297</v>
      </c>
      <c r="F429" s="70">
        <f t="shared" si="40"/>
        <v>0.99529950584548632</v>
      </c>
      <c r="G429" s="88">
        <v>39</v>
      </c>
      <c r="H429" s="88">
        <v>3122</v>
      </c>
      <c r="I429" s="70">
        <f t="shared" si="41"/>
        <v>0.37628058334337711</v>
      </c>
      <c r="J429" s="69">
        <v>56</v>
      </c>
      <c r="K429" s="70">
        <f t="shared" si="42"/>
        <v>6.7494275039170788E-3</v>
      </c>
      <c r="L429" s="70">
        <f t="shared" si="43"/>
        <v>1.7937219730941704E-2</v>
      </c>
      <c r="M429" s="69">
        <v>1</v>
      </c>
      <c r="N429" s="70">
        <f t="shared" si="44"/>
        <v>1.205254911413764E-4</v>
      </c>
      <c r="O429" s="67" t="s">
        <v>16</v>
      </c>
    </row>
    <row r="430" spans="1:15" s="1" customFormat="1" x14ac:dyDescent="0.3">
      <c r="A430" s="76" t="s">
        <v>362</v>
      </c>
      <c r="B430" s="67" t="s">
        <v>15</v>
      </c>
      <c r="C430" s="67" t="s">
        <v>16</v>
      </c>
      <c r="D430" s="68">
        <v>45077</v>
      </c>
      <c r="E430" s="88">
        <v>257961</v>
      </c>
      <c r="F430" s="70">
        <f t="shared" si="40"/>
        <v>0.99632502587600447</v>
      </c>
      <c r="G430" s="88">
        <v>948</v>
      </c>
      <c r="H430" s="88">
        <v>97125</v>
      </c>
      <c r="I430" s="70">
        <f t="shared" si="41"/>
        <v>0.37651040273529718</v>
      </c>
      <c r="J430" s="69">
        <v>1066</v>
      </c>
      <c r="K430" s="70">
        <f t="shared" si="42"/>
        <v>4.1324076120033649E-3</v>
      </c>
      <c r="L430" s="70">
        <f t="shared" si="43"/>
        <v>1.0975546975546976E-2</v>
      </c>
      <c r="M430" s="69">
        <v>274</v>
      </c>
      <c r="N430" s="70">
        <f t="shared" si="44"/>
        <v>1.0621760653742231E-3</v>
      </c>
      <c r="O430" s="67" t="s">
        <v>16</v>
      </c>
    </row>
    <row r="431" spans="1:15" s="1" customFormat="1" x14ac:dyDescent="0.3">
      <c r="A431" s="76" t="s">
        <v>363</v>
      </c>
      <c r="B431" s="67" t="s">
        <v>15</v>
      </c>
      <c r="C431" s="67" t="s">
        <v>16</v>
      </c>
      <c r="D431" s="68">
        <v>45077</v>
      </c>
      <c r="E431" s="88">
        <v>8311</v>
      </c>
      <c r="F431" s="70">
        <f t="shared" si="40"/>
        <v>0.99614968114546987</v>
      </c>
      <c r="G431" s="88">
        <v>32</v>
      </c>
      <c r="H431" s="88">
        <v>3266</v>
      </c>
      <c r="I431" s="70">
        <f t="shared" si="41"/>
        <v>0.39297316809048249</v>
      </c>
      <c r="J431" s="69">
        <v>45</v>
      </c>
      <c r="K431" s="70">
        <f t="shared" si="42"/>
        <v>5.4145108891830102E-3</v>
      </c>
      <c r="L431" s="70">
        <f t="shared" si="43"/>
        <v>1.3778322106552358E-2</v>
      </c>
      <c r="M431" s="69">
        <v>1</v>
      </c>
      <c r="N431" s="70">
        <f t="shared" si="44"/>
        <v>1.203224642040669E-4</v>
      </c>
      <c r="O431" s="67" t="s">
        <v>16</v>
      </c>
    </row>
    <row r="432" spans="1:15" s="1" customFormat="1" x14ac:dyDescent="0.3">
      <c r="A432" s="76" t="s">
        <v>365</v>
      </c>
      <c r="B432" s="67" t="s">
        <v>15</v>
      </c>
      <c r="C432" s="67" t="s">
        <v>16</v>
      </c>
      <c r="D432" s="68">
        <v>45077</v>
      </c>
      <c r="E432" s="88">
        <v>195664</v>
      </c>
      <c r="F432" s="70">
        <f t="shared" si="40"/>
        <v>0.99633555482868597</v>
      </c>
      <c r="G432" s="88">
        <v>717</v>
      </c>
      <c r="H432" s="88">
        <v>86760</v>
      </c>
      <c r="I432" s="70">
        <f t="shared" si="41"/>
        <v>0.44341319813557933</v>
      </c>
      <c r="J432" s="69">
        <v>1136</v>
      </c>
      <c r="K432" s="70">
        <f t="shared" si="42"/>
        <v>5.8058712895576086E-3</v>
      </c>
      <c r="L432" s="70">
        <f t="shared" si="43"/>
        <v>1.3093591516828032E-2</v>
      </c>
      <c r="M432" s="69">
        <v>151</v>
      </c>
      <c r="N432" s="70">
        <f t="shared" si="44"/>
        <v>7.7173113091830896E-4</v>
      </c>
      <c r="O432" s="67" t="s">
        <v>16</v>
      </c>
    </row>
    <row r="433" spans="1:15" s="1" customFormat="1" x14ac:dyDescent="0.3">
      <c r="A433" s="76" t="s">
        <v>364</v>
      </c>
      <c r="B433" s="67" t="s">
        <v>15</v>
      </c>
      <c r="C433" s="67" t="s">
        <v>16</v>
      </c>
      <c r="D433" s="68">
        <v>45077</v>
      </c>
      <c r="E433" s="88">
        <v>8820</v>
      </c>
      <c r="F433" s="70">
        <f t="shared" si="40"/>
        <v>0.99591836734693873</v>
      </c>
      <c r="G433" s="88">
        <v>36</v>
      </c>
      <c r="H433" s="88">
        <v>2854</v>
      </c>
      <c r="I433" s="70">
        <f t="shared" si="41"/>
        <v>0.3235827664399093</v>
      </c>
      <c r="J433" s="69">
        <v>48</v>
      </c>
      <c r="K433" s="70">
        <f t="shared" si="42"/>
        <v>5.4421768707482989E-3</v>
      </c>
      <c r="L433" s="70">
        <f t="shared" si="43"/>
        <v>1.6818500350385426E-2</v>
      </c>
      <c r="M433" s="69">
        <v>1</v>
      </c>
      <c r="N433" s="70">
        <f t="shared" si="44"/>
        <v>1.1337868480725624E-4</v>
      </c>
      <c r="O433" s="67" t="s">
        <v>16</v>
      </c>
    </row>
    <row r="434" spans="1:15" s="1" customFormat="1" x14ac:dyDescent="0.3">
      <c r="A434" s="76" t="s">
        <v>366</v>
      </c>
      <c r="B434" s="67" t="s">
        <v>15</v>
      </c>
      <c r="C434" s="67" t="s">
        <v>16</v>
      </c>
      <c r="D434" s="68">
        <v>45077</v>
      </c>
      <c r="E434" s="88">
        <v>195645</v>
      </c>
      <c r="F434" s="70">
        <f t="shared" si="40"/>
        <v>0.99621763909121108</v>
      </c>
      <c r="G434" s="88">
        <v>740</v>
      </c>
      <c r="H434" s="88">
        <v>72047</v>
      </c>
      <c r="I434" s="70">
        <f t="shared" si="41"/>
        <v>0.36825372485880037</v>
      </c>
      <c r="J434" s="69">
        <v>642</v>
      </c>
      <c r="K434" s="70">
        <f t="shared" si="42"/>
        <v>3.2814536533006212E-3</v>
      </c>
      <c r="L434" s="70">
        <f t="shared" si="43"/>
        <v>8.9108498618957078E-3</v>
      </c>
      <c r="M434" s="69">
        <v>129</v>
      </c>
      <c r="N434" s="70">
        <f t="shared" si="44"/>
        <v>6.5935750977535838E-4</v>
      </c>
      <c r="O434" s="67" t="s">
        <v>16</v>
      </c>
    </row>
    <row r="435" spans="1:15" s="1" customFormat="1" x14ac:dyDescent="0.3">
      <c r="A435" s="76" t="s">
        <v>367</v>
      </c>
      <c r="B435" s="67" t="s">
        <v>15</v>
      </c>
      <c r="C435" s="67" t="s">
        <v>16</v>
      </c>
      <c r="D435" s="68">
        <v>45077</v>
      </c>
      <c r="E435" s="88">
        <v>8822</v>
      </c>
      <c r="F435" s="70">
        <f t="shared" si="40"/>
        <v>0.99625935162094759</v>
      </c>
      <c r="G435" s="88">
        <v>33</v>
      </c>
      <c r="H435" s="88">
        <v>2924</v>
      </c>
      <c r="I435" s="70">
        <f t="shared" si="41"/>
        <v>0.33144411698027659</v>
      </c>
      <c r="J435" s="69">
        <v>40</v>
      </c>
      <c r="K435" s="70">
        <f t="shared" si="42"/>
        <v>4.534119247336205E-3</v>
      </c>
      <c r="L435" s="70">
        <f t="shared" si="43"/>
        <v>1.3679890560875513E-2</v>
      </c>
      <c r="M435" s="69">
        <v>2</v>
      </c>
      <c r="N435" s="70">
        <f t="shared" si="44"/>
        <v>2.2670596236681024E-4</v>
      </c>
      <c r="O435" s="67" t="s">
        <v>16</v>
      </c>
    </row>
    <row r="436" spans="1:15" s="1" customFormat="1" x14ac:dyDescent="0.3">
      <c r="A436" s="76" t="s">
        <v>355</v>
      </c>
      <c r="B436" s="67" t="s">
        <v>18</v>
      </c>
      <c r="C436" s="67" t="s">
        <v>16</v>
      </c>
      <c r="D436" s="68">
        <v>45078</v>
      </c>
      <c r="E436" s="88">
        <v>777819</v>
      </c>
      <c r="F436" s="70">
        <f t="shared" si="40"/>
        <v>0.99682445401822273</v>
      </c>
      <c r="G436" s="88">
        <v>2470</v>
      </c>
      <c r="H436" s="88">
        <v>278042</v>
      </c>
      <c r="I436" s="70">
        <f t="shared" si="41"/>
        <v>0.35746362585640101</v>
      </c>
      <c r="J436" s="69">
        <v>3021</v>
      </c>
      <c r="K436" s="70">
        <f t="shared" si="42"/>
        <v>3.8839370084814075E-3</v>
      </c>
      <c r="L436" s="70">
        <f t="shared" si="43"/>
        <v>1.0865264959970077E-2</v>
      </c>
      <c r="M436" s="69">
        <v>1201</v>
      </c>
      <c r="N436" s="70">
        <f t="shared" si="44"/>
        <v>1.544061021908696E-3</v>
      </c>
      <c r="O436" s="67" t="s">
        <v>16</v>
      </c>
    </row>
    <row r="437" spans="1:15" s="1" customFormat="1" x14ac:dyDescent="0.3">
      <c r="A437" s="76" t="s">
        <v>355</v>
      </c>
      <c r="B437" s="67" t="s">
        <v>15</v>
      </c>
      <c r="C437" s="67" t="s">
        <v>16</v>
      </c>
      <c r="D437" s="68">
        <v>45078</v>
      </c>
      <c r="E437" s="88">
        <v>952046</v>
      </c>
      <c r="F437" s="70">
        <f t="shared" si="40"/>
        <v>0.99643504620575052</v>
      </c>
      <c r="G437" s="88">
        <v>3394</v>
      </c>
      <c r="H437" s="88">
        <v>390491</v>
      </c>
      <c r="I437" s="70">
        <f t="shared" si="41"/>
        <v>0.41015980320278644</v>
      </c>
      <c r="J437" s="69">
        <v>3987</v>
      </c>
      <c r="K437" s="70">
        <f t="shared" si="42"/>
        <v>4.1878228572989123E-3</v>
      </c>
      <c r="L437" s="70">
        <f t="shared" si="43"/>
        <v>1.0210222514731453E-2</v>
      </c>
      <c r="M437" s="69">
        <v>748</v>
      </c>
      <c r="N437" s="70">
        <f t="shared" si="44"/>
        <v>7.8567632236257491E-4</v>
      </c>
      <c r="O437" s="67" t="s">
        <v>16</v>
      </c>
    </row>
    <row r="438" spans="1:15" s="1" customFormat="1" x14ac:dyDescent="0.3">
      <c r="A438" s="76" t="s">
        <v>356</v>
      </c>
      <c r="B438" s="67" t="s">
        <v>18</v>
      </c>
      <c r="C438" s="67" t="s">
        <v>16</v>
      </c>
      <c r="D438" s="68">
        <v>45078</v>
      </c>
      <c r="E438" s="88">
        <v>56372</v>
      </c>
      <c r="F438" s="70">
        <f t="shared" si="40"/>
        <v>0.99652309657276661</v>
      </c>
      <c r="G438" s="88">
        <v>196</v>
      </c>
      <c r="H438" s="88">
        <v>15882</v>
      </c>
      <c r="I438" s="70">
        <f t="shared" si="41"/>
        <v>0.28173561342510467</v>
      </c>
      <c r="J438" s="69">
        <v>179</v>
      </c>
      <c r="K438" s="70">
        <f t="shared" si="42"/>
        <v>3.1753352728304831E-3</v>
      </c>
      <c r="L438" s="70">
        <f t="shared" si="43"/>
        <v>1.1270620828611006E-2</v>
      </c>
      <c r="M438" s="69">
        <v>77</v>
      </c>
      <c r="N438" s="70">
        <f t="shared" si="44"/>
        <v>1.365926346413113E-3</v>
      </c>
      <c r="O438" s="67" t="s">
        <v>16</v>
      </c>
    </row>
    <row r="439" spans="1:15" s="1" customFormat="1" x14ac:dyDescent="0.3">
      <c r="A439" s="76" t="s">
        <v>356</v>
      </c>
      <c r="B439" s="67" t="s">
        <v>15</v>
      </c>
      <c r="C439" s="67" t="s">
        <v>16</v>
      </c>
      <c r="D439" s="68">
        <v>45078</v>
      </c>
      <c r="E439" s="88">
        <v>49791</v>
      </c>
      <c r="F439" s="70">
        <f t="shared" si="40"/>
        <v>0.99568195055331288</v>
      </c>
      <c r="G439" s="88">
        <v>215</v>
      </c>
      <c r="H439" s="88">
        <v>15141</v>
      </c>
      <c r="I439" s="70">
        <f t="shared" si="41"/>
        <v>0.30409110080134966</v>
      </c>
      <c r="J439" s="69">
        <v>115</v>
      </c>
      <c r="K439" s="70">
        <f t="shared" si="42"/>
        <v>2.3096543552047558E-3</v>
      </c>
      <c r="L439" s="70">
        <f t="shared" si="43"/>
        <v>7.5952711181560004E-3</v>
      </c>
      <c r="M439" s="69">
        <v>18</v>
      </c>
      <c r="N439" s="70">
        <f t="shared" si="44"/>
        <v>3.6151111646683137E-4</v>
      </c>
      <c r="O439" s="67" t="s">
        <v>16</v>
      </c>
    </row>
    <row r="440" spans="1:15" s="1" customFormat="1" x14ac:dyDescent="0.3">
      <c r="A440" s="76" t="s">
        <v>357</v>
      </c>
      <c r="B440" s="67" t="s">
        <v>18</v>
      </c>
      <c r="C440" s="67" t="s">
        <v>16</v>
      </c>
      <c r="D440" s="68">
        <v>45078</v>
      </c>
      <c r="E440" s="88">
        <v>270741</v>
      </c>
      <c r="F440" s="70">
        <f t="shared" si="40"/>
        <v>0.99653174066727979</v>
      </c>
      <c r="G440" s="88">
        <v>939</v>
      </c>
      <c r="H440" s="88">
        <v>105814</v>
      </c>
      <c r="I440" s="70">
        <f t="shared" si="41"/>
        <v>0.39083108949143275</v>
      </c>
      <c r="J440" s="69">
        <v>2135</v>
      </c>
      <c r="K440" s="70">
        <f t="shared" si="42"/>
        <v>7.8857653624681886E-3</v>
      </c>
      <c r="L440" s="70">
        <f t="shared" si="43"/>
        <v>2.01769142079498E-2</v>
      </c>
      <c r="M440" s="69">
        <v>544</v>
      </c>
      <c r="N440" s="70">
        <f t="shared" si="44"/>
        <v>2.0093004014907238E-3</v>
      </c>
      <c r="O440" s="67" t="s">
        <v>16</v>
      </c>
    </row>
    <row r="441" spans="1:15" s="1" customFormat="1" x14ac:dyDescent="0.3">
      <c r="A441" s="76" t="s">
        <v>357</v>
      </c>
      <c r="B441" s="67" t="s">
        <v>15</v>
      </c>
      <c r="C441" s="67" t="s">
        <v>16</v>
      </c>
      <c r="D441" s="68">
        <v>45078</v>
      </c>
      <c r="E441" s="88">
        <v>340747</v>
      </c>
      <c r="F441" s="70">
        <f t="shared" si="40"/>
        <v>0.99639028370022331</v>
      </c>
      <c r="G441" s="88">
        <v>1230</v>
      </c>
      <c r="H441" s="88">
        <v>130245</v>
      </c>
      <c r="I441" s="70">
        <f t="shared" si="41"/>
        <v>0.38223373940196098</v>
      </c>
      <c r="J441" s="69">
        <v>2677</v>
      </c>
      <c r="K441" s="70">
        <f t="shared" si="42"/>
        <v>7.8562687272375111E-3</v>
      </c>
      <c r="L441" s="70">
        <f t="shared" si="43"/>
        <v>2.0553572114092672E-2</v>
      </c>
      <c r="M441" s="69">
        <v>204</v>
      </c>
      <c r="N441" s="70">
        <f t="shared" si="44"/>
        <v>5.9868465459710573E-4</v>
      </c>
      <c r="O441" s="67" t="s">
        <v>16</v>
      </c>
    </row>
    <row r="442" spans="1:15" s="1" customFormat="1" x14ac:dyDescent="0.3">
      <c r="A442" s="76" t="s">
        <v>358</v>
      </c>
      <c r="B442" s="67" t="s">
        <v>18</v>
      </c>
      <c r="C442" s="67" t="s">
        <v>16</v>
      </c>
      <c r="D442" s="68">
        <v>45078</v>
      </c>
      <c r="E442" s="88">
        <v>15144</v>
      </c>
      <c r="F442" s="70">
        <f t="shared" si="40"/>
        <v>0.9972266244057052</v>
      </c>
      <c r="G442" s="88">
        <v>42</v>
      </c>
      <c r="H442" s="88">
        <v>4968</v>
      </c>
      <c r="I442" s="70">
        <f t="shared" si="41"/>
        <v>0.32805071315372425</v>
      </c>
      <c r="J442" s="69">
        <v>105</v>
      </c>
      <c r="K442" s="70">
        <f t="shared" si="42"/>
        <v>6.9334389857369253E-3</v>
      </c>
      <c r="L442" s="70">
        <f t="shared" si="43"/>
        <v>2.1135265700483092E-2</v>
      </c>
      <c r="M442" s="69">
        <v>27</v>
      </c>
      <c r="N442" s="70">
        <f t="shared" si="44"/>
        <v>1.7828843106180666E-3</v>
      </c>
      <c r="O442" s="67" t="s">
        <v>16</v>
      </c>
    </row>
    <row r="443" spans="1:15" s="1" customFormat="1" x14ac:dyDescent="0.3">
      <c r="A443" s="76" t="s">
        <v>358</v>
      </c>
      <c r="B443" s="67" t="s">
        <v>15</v>
      </c>
      <c r="C443" s="67" t="s">
        <v>16</v>
      </c>
      <c r="D443" s="68">
        <v>45078</v>
      </c>
      <c r="E443" s="88">
        <v>9957</v>
      </c>
      <c r="F443" s="70">
        <f t="shared" si="40"/>
        <v>0.99608315757758359</v>
      </c>
      <c r="G443" s="88">
        <v>39</v>
      </c>
      <c r="H443" s="88">
        <v>3378</v>
      </c>
      <c r="I443" s="70">
        <f t="shared" si="41"/>
        <v>0.33925881289545046</v>
      </c>
      <c r="J443" s="69">
        <v>58</v>
      </c>
      <c r="K443" s="70">
        <f t="shared" si="42"/>
        <v>5.8250477051320681E-3</v>
      </c>
      <c r="L443" s="70">
        <f t="shared" si="43"/>
        <v>1.7169923031379514E-2</v>
      </c>
      <c r="M443" s="69">
        <v>7</v>
      </c>
      <c r="N443" s="70">
        <f t="shared" si="44"/>
        <v>7.0302299889524959E-4</v>
      </c>
      <c r="O443" s="67" t="s">
        <v>16</v>
      </c>
    </row>
    <row r="444" spans="1:15" s="1" customFormat="1" x14ac:dyDescent="0.3">
      <c r="A444" s="76" t="s">
        <v>22</v>
      </c>
      <c r="B444" s="67" t="s">
        <v>18</v>
      </c>
      <c r="C444" s="67" t="s">
        <v>16</v>
      </c>
      <c r="D444" s="68">
        <v>45079</v>
      </c>
      <c r="E444" s="88">
        <v>2320888</v>
      </c>
      <c r="F444" s="70">
        <f t="shared" si="40"/>
        <v>0.99674995088086971</v>
      </c>
      <c r="G444" s="88">
        <v>7543</v>
      </c>
      <c r="H444" s="88">
        <v>797702</v>
      </c>
      <c r="I444" s="70">
        <f t="shared" si="41"/>
        <v>0.34370551271754607</v>
      </c>
      <c r="J444" s="69">
        <v>9359</v>
      </c>
      <c r="K444" s="70">
        <f t="shared" si="42"/>
        <v>4.0325082468434499E-3</v>
      </c>
      <c r="L444" s="70">
        <f t="shared" si="43"/>
        <v>1.1732451466838493E-2</v>
      </c>
      <c r="M444" s="69">
        <v>3181</v>
      </c>
      <c r="N444" s="70">
        <f t="shared" si="44"/>
        <v>1.3705960821892311E-3</v>
      </c>
      <c r="O444" s="67" t="s">
        <v>16</v>
      </c>
    </row>
    <row r="445" spans="1:15" s="1" customFormat="1" x14ac:dyDescent="0.3">
      <c r="A445" s="76" t="s">
        <v>22</v>
      </c>
      <c r="B445" s="67" t="s">
        <v>15</v>
      </c>
      <c r="C445" s="67" t="s">
        <v>16</v>
      </c>
      <c r="D445" s="68">
        <v>45079</v>
      </c>
      <c r="E445" s="88">
        <v>2004464</v>
      </c>
      <c r="F445" s="70">
        <f t="shared" si="40"/>
        <v>0.9961815228410188</v>
      </c>
      <c r="G445" s="88">
        <v>7654</v>
      </c>
      <c r="H445" s="88">
        <v>697790</v>
      </c>
      <c r="I445" s="70">
        <f t="shared" si="41"/>
        <v>0.34811800062261034</v>
      </c>
      <c r="J445" s="69">
        <v>7713</v>
      </c>
      <c r="K445" s="70">
        <f t="shared" si="42"/>
        <v>3.8479114616176693E-3</v>
      </c>
      <c r="L445" s="70">
        <f t="shared" si="43"/>
        <v>1.1053468808667364E-2</v>
      </c>
      <c r="M445" s="69">
        <v>1556</v>
      </c>
      <c r="N445" s="70">
        <f t="shared" si="44"/>
        <v>7.7626737122742041E-4</v>
      </c>
      <c r="O445" s="67" t="s">
        <v>16</v>
      </c>
    </row>
    <row r="446" spans="1:15" s="1" customFormat="1" x14ac:dyDescent="0.3">
      <c r="A446" s="76" t="s">
        <v>28</v>
      </c>
      <c r="B446" s="67" t="s">
        <v>18</v>
      </c>
      <c r="C446" s="67" t="s">
        <v>16</v>
      </c>
      <c r="D446" s="68">
        <v>45079</v>
      </c>
      <c r="E446" s="88">
        <v>207349</v>
      </c>
      <c r="F446" s="70">
        <f t="shared" si="40"/>
        <v>0.99667709996190001</v>
      </c>
      <c r="G446" s="88">
        <v>689</v>
      </c>
      <c r="H446" s="88">
        <v>61389</v>
      </c>
      <c r="I446" s="70">
        <f t="shared" si="41"/>
        <v>0.29606605288667898</v>
      </c>
      <c r="J446" s="69">
        <v>887</v>
      </c>
      <c r="K446" s="70">
        <f t="shared" si="42"/>
        <v>4.2778118052172907E-3</v>
      </c>
      <c r="L446" s="70">
        <f t="shared" si="43"/>
        <v>1.4448842626529183E-2</v>
      </c>
      <c r="M446" s="69">
        <v>300</v>
      </c>
      <c r="N446" s="70">
        <f t="shared" si="44"/>
        <v>1.446836010783751E-3</v>
      </c>
      <c r="O446" s="67" t="s">
        <v>16</v>
      </c>
    </row>
    <row r="447" spans="1:15" s="1" customFormat="1" x14ac:dyDescent="0.3">
      <c r="A447" s="76" t="s">
        <v>28</v>
      </c>
      <c r="B447" s="67" t="s">
        <v>15</v>
      </c>
      <c r="C447" s="67" t="s">
        <v>16</v>
      </c>
      <c r="D447" s="68">
        <v>45079</v>
      </c>
      <c r="E447" s="88">
        <v>106058</v>
      </c>
      <c r="F447" s="70">
        <f t="shared" si="40"/>
        <v>0.99576646740462771</v>
      </c>
      <c r="G447" s="88">
        <v>449</v>
      </c>
      <c r="H447" s="88">
        <v>31956</v>
      </c>
      <c r="I447" s="70">
        <f t="shared" si="41"/>
        <v>0.30130683211073184</v>
      </c>
      <c r="J447" s="69">
        <v>427</v>
      </c>
      <c r="K447" s="70">
        <f t="shared" si="42"/>
        <v>4.0260989270022064E-3</v>
      </c>
      <c r="L447" s="70">
        <f t="shared" si="43"/>
        <v>1.3362122919013644E-2</v>
      </c>
      <c r="M447" s="69">
        <v>45</v>
      </c>
      <c r="N447" s="70">
        <f t="shared" si="44"/>
        <v>4.2429613984800769E-4</v>
      </c>
      <c r="O447" s="67" t="s">
        <v>16</v>
      </c>
    </row>
    <row r="448" spans="1:15" s="1" customFormat="1" x14ac:dyDescent="0.3">
      <c r="A448" s="76" t="s">
        <v>37</v>
      </c>
      <c r="B448" s="67" t="s">
        <v>18</v>
      </c>
      <c r="C448" s="67" t="s">
        <v>16</v>
      </c>
      <c r="D448" s="68">
        <v>45080</v>
      </c>
      <c r="E448" s="88">
        <v>21555</v>
      </c>
      <c r="F448" s="70">
        <f t="shared" si="40"/>
        <v>0.99642774298306658</v>
      </c>
      <c r="G448" s="88">
        <v>77</v>
      </c>
      <c r="H448" s="88">
        <v>8360</v>
      </c>
      <c r="I448" s="70">
        <f t="shared" si="41"/>
        <v>0.38784504755277199</v>
      </c>
      <c r="J448" s="69">
        <v>475</v>
      </c>
      <c r="K448" s="70">
        <f t="shared" si="42"/>
        <v>2.2036650429134771E-2</v>
      </c>
      <c r="L448" s="70">
        <f t="shared" si="43"/>
        <v>5.6818181818181816E-2</v>
      </c>
      <c r="M448" s="69">
        <v>28</v>
      </c>
      <c r="N448" s="70">
        <f t="shared" si="44"/>
        <v>1.2990025516121549E-3</v>
      </c>
      <c r="O448" s="67" t="s">
        <v>16</v>
      </c>
    </row>
    <row r="449" spans="1:15" s="1" customFormat="1" x14ac:dyDescent="0.3">
      <c r="A449" s="76" t="s">
        <v>37</v>
      </c>
      <c r="B449" s="67" t="s">
        <v>15</v>
      </c>
      <c r="C449" s="67" t="s">
        <v>16</v>
      </c>
      <c r="D449" s="68">
        <v>45080</v>
      </c>
      <c r="E449" s="88">
        <v>19657</v>
      </c>
      <c r="F449" s="70">
        <f t="shared" si="40"/>
        <v>0.99679503484763698</v>
      </c>
      <c r="G449" s="88">
        <v>63</v>
      </c>
      <c r="H449" s="88">
        <v>8518</v>
      </c>
      <c r="I449" s="70">
        <f t="shared" si="41"/>
        <v>0.43333163758457549</v>
      </c>
      <c r="J449" s="69">
        <v>756</v>
      </c>
      <c r="K449" s="70">
        <f t="shared" si="42"/>
        <v>3.8459581828356314E-2</v>
      </c>
      <c r="L449" s="70">
        <f t="shared" si="43"/>
        <v>8.8753228457384356E-2</v>
      </c>
      <c r="M449" s="69">
        <v>15</v>
      </c>
      <c r="N449" s="70">
        <f t="shared" si="44"/>
        <v>7.6308694103881572E-4</v>
      </c>
      <c r="O449" s="67" t="s">
        <v>16</v>
      </c>
    </row>
    <row r="450" spans="1:15" s="1" customFormat="1" x14ac:dyDescent="0.3">
      <c r="A450" s="76" t="s">
        <v>36</v>
      </c>
      <c r="B450" s="67" t="s">
        <v>18</v>
      </c>
      <c r="C450" s="67" t="s">
        <v>16</v>
      </c>
      <c r="D450" s="68">
        <v>45080</v>
      </c>
      <c r="E450" s="88">
        <v>2019</v>
      </c>
      <c r="F450" s="70">
        <f t="shared" si="40"/>
        <v>0.99455175829618625</v>
      </c>
      <c r="G450" s="88">
        <v>11</v>
      </c>
      <c r="H450" s="88">
        <v>838</v>
      </c>
      <c r="I450" s="70">
        <f t="shared" si="41"/>
        <v>0.4150569588905399</v>
      </c>
      <c r="J450" s="69">
        <v>56</v>
      </c>
      <c r="K450" s="70">
        <f t="shared" si="42"/>
        <v>2.7736503219415551E-2</v>
      </c>
      <c r="L450" s="70">
        <f t="shared" si="43"/>
        <v>6.6825775656324582E-2</v>
      </c>
      <c r="M450" s="69">
        <v>7</v>
      </c>
      <c r="N450" s="70">
        <f t="shared" si="44"/>
        <v>3.4670629024269439E-3</v>
      </c>
      <c r="O450" s="67" t="s">
        <v>16</v>
      </c>
    </row>
    <row r="451" spans="1:15" s="1" customFormat="1" x14ac:dyDescent="0.3">
      <c r="A451" s="76" t="s">
        <v>36</v>
      </c>
      <c r="B451" s="67" t="s">
        <v>15</v>
      </c>
      <c r="C451" s="67" t="s">
        <v>16</v>
      </c>
      <c r="D451" s="68">
        <v>45080</v>
      </c>
      <c r="E451" s="88">
        <v>1906</v>
      </c>
      <c r="F451" s="70">
        <f t="shared" si="40"/>
        <v>0.99632738719832115</v>
      </c>
      <c r="G451" s="88">
        <v>7</v>
      </c>
      <c r="H451" s="88">
        <v>958</v>
      </c>
      <c r="I451" s="70">
        <f t="shared" si="41"/>
        <v>0.50262329485834212</v>
      </c>
      <c r="J451" s="69">
        <v>102</v>
      </c>
      <c r="K451" s="70">
        <f t="shared" si="42"/>
        <v>5.3515215110178385E-2</v>
      </c>
      <c r="L451" s="70">
        <f t="shared" si="43"/>
        <v>0.10647181628392484</v>
      </c>
      <c r="M451" s="69">
        <v>0</v>
      </c>
      <c r="N451" s="70">
        <f t="shared" si="44"/>
        <v>0</v>
      </c>
      <c r="O451" s="67" t="s">
        <v>16</v>
      </c>
    </row>
    <row r="452" spans="1:15" s="1" customFormat="1" x14ac:dyDescent="0.3">
      <c r="A452" s="76" t="s">
        <v>29</v>
      </c>
      <c r="B452" s="67" t="s">
        <v>18</v>
      </c>
      <c r="C452" s="67" t="s">
        <v>16</v>
      </c>
      <c r="D452" s="68">
        <v>45083</v>
      </c>
      <c r="E452" s="69">
        <v>27567</v>
      </c>
      <c r="F452" s="70">
        <f t="shared" si="40"/>
        <v>0.99684405267167264</v>
      </c>
      <c r="G452" s="67">
        <v>87</v>
      </c>
      <c r="H452" s="69">
        <v>9529</v>
      </c>
      <c r="I452" s="70">
        <f t="shared" si="41"/>
        <v>0.34566692059346321</v>
      </c>
      <c r="J452" s="69">
        <v>190</v>
      </c>
      <c r="K452" s="70">
        <f t="shared" si="42"/>
        <v>6.8922987630137484E-3</v>
      </c>
      <c r="L452" s="70">
        <f t="shared" si="43"/>
        <v>1.993913317242103E-2</v>
      </c>
      <c r="M452" s="69">
        <v>25</v>
      </c>
      <c r="N452" s="70">
        <f t="shared" si="44"/>
        <v>9.0688141618601946E-4</v>
      </c>
      <c r="O452" s="67" t="s">
        <v>16</v>
      </c>
    </row>
    <row r="453" spans="1:15" s="1" customFormat="1" x14ac:dyDescent="0.3">
      <c r="A453" s="76" t="s">
        <v>29</v>
      </c>
      <c r="B453" s="67" t="s">
        <v>15</v>
      </c>
      <c r="C453" s="67" t="s">
        <v>16</v>
      </c>
      <c r="D453" s="68">
        <v>45083</v>
      </c>
      <c r="E453" s="69">
        <v>26511</v>
      </c>
      <c r="F453" s="70">
        <f t="shared" si="40"/>
        <v>0.99505865489796685</v>
      </c>
      <c r="G453" s="67">
        <v>131</v>
      </c>
      <c r="H453" s="69">
        <v>8974</v>
      </c>
      <c r="I453" s="70">
        <f t="shared" si="41"/>
        <v>0.3385009995850779</v>
      </c>
      <c r="J453" s="69">
        <v>231</v>
      </c>
      <c r="K453" s="70">
        <f t="shared" si="42"/>
        <v>8.7133642638904611E-3</v>
      </c>
      <c r="L453" s="70">
        <f t="shared" si="43"/>
        <v>2.5741029641185648E-2</v>
      </c>
      <c r="M453" s="69">
        <v>11</v>
      </c>
      <c r="N453" s="70">
        <f t="shared" si="44"/>
        <v>4.1492210780430766E-4</v>
      </c>
      <c r="O453" s="67" t="s">
        <v>16</v>
      </c>
    </row>
    <row r="454" spans="1:15" s="1" customFormat="1" x14ac:dyDescent="0.3">
      <c r="A454" s="76" t="s">
        <v>17</v>
      </c>
      <c r="B454" s="67" t="s">
        <v>15</v>
      </c>
      <c r="C454" s="67" t="s">
        <v>16</v>
      </c>
      <c r="D454" s="68">
        <v>45083</v>
      </c>
      <c r="E454" s="69">
        <v>241761</v>
      </c>
      <c r="F454" s="70">
        <f t="shared" si="40"/>
        <v>0.99558655035344823</v>
      </c>
      <c r="G454" s="67">
        <v>1067</v>
      </c>
      <c r="H454" s="69">
        <v>84542</v>
      </c>
      <c r="I454" s="70">
        <f t="shared" si="41"/>
        <v>0.34969246487233258</v>
      </c>
      <c r="J454" s="69">
        <v>1607</v>
      </c>
      <c r="K454" s="70">
        <f t="shared" si="42"/>
        <v>6.6470605267185357E-3</v>
      </c>
      <c r="L454" s="70">
        <f t="shared" si="43"/>
        <v>1.9008303565091908E-2</v>
      </c>
      <c r="M454" s="69">
        <v>100</v>
      </c>
      <c r="N454" s="70">
        <f t="shared" si="44"/>
        <v>4.1363164447532892E-4</v>
      </c>
      <c r="O454" s="67" t="s">
        <v>16</v>
      </c>
    </row>
    <row r="455" spans="1:15" s="1" customFormat="1" x14ac:dyDescent="0.3">
      <c r="A455" s="76" t="s">
        <v>17</v>
      </c>
      <c r="B455" s="67" t="s">
        <v>18</v>
      </c>
      <c r="C455" s="67" t="s">
        <v>16</v>
      </c>
      <c r="D455" s="68">
        <v>45083</v>
      </c>
      <c r="E455" s="69">
        <v>469199</v>
      </c>
      <c r="F455" s="70">
        <f t="shared" si="40"/>
        <v>0.99670502281547912</v>
      </c>
      <c r="G455" s="67">
        <v>1546</v>
      </c>
      <c r="H455" s="69">
        <v>176408</v>
      </c>
      <c r="I455" s="70">
        <f t="shared" si="41"/>
        <v>0.37597693089712469</v>
      </c>
      <c r="J455" s="69">
        <v>2434</v>
      </c>
      <c r="K455" s="70">
        <f t="shared" si="42"/>
        <v>5.1875643383724173E-3</v>
      </c>
      <c r="L455" s="70">
        <f t="shared" si="43"/>
        <v>1.3797560201351413E-2</v>
      </c>
      <c r="M455" s="69">
        <v>368</v>
      </c>
      <c r="N455" s="70">
        <f t="shared" si="44"/>
        <v>7.8431539709163914E-4</v>
      </c>
      <c r="O455" s="67" t="s">
        <v>16</v>
      </c>
    </row>
    <row r="456" spans="1:15" s="1" customFormat="1" x14ac:dyDescent="0.3">
      <c r="A456" s="76" t="s">
        <v>368</v>
      </c>
      <c r="B456" s="67" t="s">
        <v>18</v>
      </c>
      <c r="C456" s="67" t="s">
        <v>16</v>
      </c>
      <c r="D456" s="68">
        <v>45086</v>
      </c>
      <c r="E456" s="69">
        <v>199685</v>
      </c>
      <c r="F456" s="70">
        <f t="shared" ref="F456:F509" si="45">(E456-G456)/E456</f>
        <v>0.99670981796329217</v>
      </c>
      <c r="G456" s="67">
        <v>657</v>
      </c>
      <c r="H456" s="69">
        <v>71319</v>
      </c>
      <c r="I456" s="70">
        <f t="shared" ref="I456:I509" si="46">H456/E456</f>
        <v>0.35715752309888071</v>
      </c>
      <c r="J456" s="69">
        <v>767</v>
      </c>
      <c r="K456" s="70">
        <f t="shared" ref="K456:K509" si="47">J456/E456</f>
        <v>3.8410496532037958E-3</v>
      </c>
      <c r="L456" s="70">
        <f t="shared" ref="L456:L509" si="48">J456/H456</f>
        <v>1.0754497399010082E-2</v>
      </c>
      <c r="M456" s="69">
        <v>133</v>
      </c>
      <c r="N456" s="70">
        <f t="shared" ref="N456:N509" si="49">M456/E456</f>
        <v>6.6604902721786809E-4</v>
      </c>
      <c r="O456" s="67" t="s">
        <v>16</v>
      </c>
    </row>
    <row r="457" spans="1:15" s="1" customFormat="1" x14ac:dyDescent="0.3">
      <c r="A457" s="76" t="s">
        <v>368</v>
      </c>
      <c r="B457" s="67" t="s">
        <v>15</v>
      </c>
      <c r="C457" s="67" t="s">
        <v>16</v>
      </c>
      <c r="D457" s="68">
        <v>45086</v>
      </c>
      <c r="E457" s="69">
        <v>344891</v>
      </c>
      <c r="F457" s="70">
        <f t="shared" si="45"/>
        <v>0.99699325294078422</v>
      </c>
      <c r="G457" s="67">
        <v>1037</v>
      </c>
      <c r="H457" s="69">
        <v>129030</v>
      </c>
      <c r="I457" s="70">
        <f t="shared" si="46"/>
        <v>0.37411819966308196</v>
      </c>
      <c r="J457" s="69">
        <v>1359</v>
      </c>
      <c r="K457" s="70">
        <f t="shared" si="47"/>
        <v>3.9403753649703823E-3</v>
      </c>
      <c r="L457" s="70">
        <f t="shared" si="48"/>
        <v>1.0532434317600557E-2</v>
      </c>
      <c r="M457" s="69">
        <v>97</v>
      </c>
      <c r="N457" s="70">
        <f t="shared" si="49"/>
        <v>2.812482784415946E-4</v>
      </c>
      <c r="O457" s="67" t="s">
        <v>16</v>
      </c>
    </row>
    <row r="458" spans="1:15" s="1" customFormat="1" x14ac:dyDescent="0.3">
      <c r="A458" s="76" t="s">
        <v>369</v>
      </c>
      <c r="B458" s="67" t="s">
        <v>15</v>
      </c>
      <c r="C458" s="67" t="s">
        <v>16</v>
      </c>
      <c r="D458" s="68">
        <v>45086</v>
      </c>
      <c r="E458" s="69">
        <v>90282</v>
      </c>
      <c r="F458" s="70">
        <f t="shared" si="45"/>
        <v>0.99627832790589488</v>
      </c>
      <c r="G458" s="67">
        <v>336</v>
      </c>
      <c r="H458" s="69">
        <v>26772</v>
      </c>
      <c r="I458" s="70">
        <f t="shared" si="46"/>
        <v>0.29653751578387716</v>
      </c>
      <c r="J458" s="69">
        <v>410</v>
      </c>
      <c r="K458" s="70">
        <f t="shared" si="47"/>
        <v>4.5413260672116261E-3</v>
      </c>
      <c r="L458" s="70">
        <f t="shared" si="48"/>
        <v>1.5314507694606305E-2</v>
      </c>
      <c r="M458" s="69">
        <v>39</v>
      </c>
      <c r="N458" s="70">
        <f t="shared" si="49"/>
        <v>4.3197979663720345E-4</v>
      </c>
      <c r="O458" s="67" t="s">
        <v>16</v>
      </c>
    </row>
    <row r="459" spans="1:15" s="1" customFormat="1" x14ac:dyDescent="0.3">
      <c r="A459" s="76" t="s">
        <v>369</v>
      </c>
      <c r="B459" s="67" t="s">
        <v>18</v>
      </c>
      <c r="C459" s="67" t="s">
        <v>16</v>
      </c>
      <c r="D459" s="68">
        <v>45086</v>
      </c>
      <c r="E459" s="69">
        <v>185304</v>
      </c>
      <c r="F459" s="70">
        <f t="shared" si="45"/>
        <v>0.99699952510469281</v>
      </c>
      <c r="G459" s="67">
        <v>556</v>
      </c>
      <c r="H459" s="69">
        <v>53144</v>
      </c>
      <c r="I459" s="70">
        <f t="shared" si="46"/>
        <v>0.28679359323058323</v>
      </c>
      <c r="J459" s="69">
        <v>712</v>
      </c>
      <c r="K459" s="70">
        <f t="shared" si="47"/>
        <v>3.8423347580192548E-3</v>
      </c>
      <c r="L459" s="70">
        <f t="shared" si="48"/>
        <v>1.3397561342766822E-2</v>
      </c>
      <c r="M459" s="69">
        <v>425</v>
      </c>
      <c r="N459" s="70">
        <f t="shared" si="49"/>
        <v>2.2935284721322799E-3</v>
      </c>
      <c r="O459" s="67" t="s">
        <v>16</v>
      </c>
    </row>
    <row r="460" spans="1:15" s="1" customFormat="1" x14ac:dyDescent="0.3">
      <c r="A460" s="76" t="s">
        <v>370</v>
      </c>
      <c r="B460" s="67" t="s">
        <v>15</v>
      </c>
      <c r="C460" s="67" t="s">
        <v>16</v>
      </c>
      <c r="D460" s="68">
        <v>45086</v>
      </c>
      <c r="E460" s="69">
        <v>1519807</v>
      </c>
      <c r="F460" s="70">
        <f t="shared" si="45"/>
        <v>0.99625873548417665</v>
      </c>
      <c r="G460" s="67">
        <v>5686</v>
      </c>
      <c r="H460" s="69">
        <v>534128</v>
      </c>
      <c r="I460" s="70">
        <f t="shared" si="46"/>
        <v>0.35144462421873301</v>
      </c>
      <c r="J460" s="69">
        <v>6437</v>
      </c>
      <c r="K460" s="70">
        <f t="shared" si="47"/>
        <v>4.235406206182759E-3</v>
      </c>
      <c r="L460" s="70">
        <f t="shared" si="48"/>
        <v>1.205141838660396E-2</v>
      </c>
      <c r="M460" s="69">
        <v>1306</v>
      </c>
      <c r="N460" s="70">
        <f t="shared" si="49"/>
        <v>8.5931963729605142E-4</v>
      </c>
      <c r="O460" s="67" t="s">
        <v>16</v>
      </c>
    </row>
    <row r="461" spans="1:15" s="1" customFormat="1" x14ac:dyDescent="0.3">
      <c r="A461" s="76" t="s">
        <v>370</v>
      </c>
      <c r="B461" s="67" t="s">
        <v>18</v>
      </c>
      <c r="C461" s="67" t="s">
        <v>16</v>
      </c>
      <c r="D461" s="68">
        <v>45086</v>
      </c>
      <c r="E461" s="69">
        <v>2000203</v>
      </c>
      <c r="F461" s="70">
        <f t="shared" si="45"/>
        <v>0.99692481213156869</v>
      </c>
      <c r="G461" s="67">
        <v>6151</v>
      </c>
      <c r="H461" s="69">
        <v>657234</v>
      </c>
      <c r="I461" s="70">
        <f t="shared" si="46"/>
        <v>0.3285836487596509</v>
      </c>
      <c r="J461" s="69">
        <v>7867</v>
      </c>
      <c r="K461" s="70">
        <f t="shared" si="47"/>
        <v>3.9331007902697872E-3</v>
      </c>
      <c r="L461" s="70">
        <f t="shared" si="48"/>
        <v>1.1969861571373362E-2</v>
      </c>
      <c r="M461" s="69">
        <v>3565</v>
      </c>
      <c r="N461" s="70">
        <f t="shared" si="49"/>
        <v>1.782319094611897E-3</v>
      </c>
      <c r="O461" s="67" t="s">
        <v>16</v>
      </c>
    </row>
    <row r="462" spans="1:15" s="1" customFormat="1" x14ac:dyDescent="0.3">
      <c r="A462" s="76" t="s">
        <v>28</v>
      </c>
      <c r="B462" s="67" t="s">
        <v>15</v>
      </c>
      <c r="C462" s="67" t="s">
        <v>16</v>
      </c>
      <c r="D462" s="68">
        <v>45086</v>
      </c>
      <c r="E462" s="69">
        <v>106034</v>
      </c>
      <c r="F462" s="70">
        <f t="shared" si="45"/>
        <v>0.99648226040703924</v>
      </c>
      <c r="G462" s="67">
        <v>373</v>
      </c>
      <c r="H462" s="69">
        <v>31170</v>
      </c>
      <c r="I462" s="70">
        <f t="shared" si="46"/>
        <v>0.2939623139747628</v>
      </c>
      <c r="J462" s="69">
        <v>509</v>
      </c>
      <c r="K462" s="70">
        <f t="shared" si="47"/>
        <v>4.8003470584906732E-3</v>
      </c>
      <c r="L462" s="70">
        <f t="shared" si="48"/>
        <v>1.6329804299005456E-2</v>
      </c>
      <c r="M462" s="69">
        <v>44</v>
      </c>
      <c r="N462" s="70">
        <f t="shared" si="49"/>
        <v>4.1496123884791669E-4</v>
      </c>
      <c r="O462" s="67" t="s">
        <v>16</v>
      </c>
    </row>
    <row r="463" spans="1:15" s="1" customFormat="1" x14ac:dyDescent="0.3">
      <c r="A463" s="76" t="s">
        <v>28</v>
      </c>
      <c r="B463" s="67" t="s">
        <v>18</v>
      </c>
      <c r="C463" s="67" t="s">
        <v>16</v>
      </c>
      <c r="D463" s="68">
        <v>45086</v>
      </c>
      <c r="E463" s="69">
        <v>207094</v>
      </c>
      <c r="F463" s="70">
        <f t="shared" si="45"/>
        <v>0.99731040010816341</v>
      </c>
      <c r="G463" s="67">
        <v>557</v>
      </c>
      <c r="H463" s="69">
        <v>59750</v>
      </c>
      <c r="I463" s="70">
        <f t="shared" si="46"/>
        <v>0.28851632591963072</v>
      </c>
      <c r="J463" s="69">
        <v>965</v>
      </c>
      <c r="K463" s="70">
        <f t="shared" si="47"/>
        <v>4.6597197407940352E-3</v>
      </c>
      <c r="L463" s="70">
        <f t="shared" si="48"/>
        <v>1.6150627615062762E-2</v>
      </c>
      <c r="M463" s="69">
        <v>369</v>
      </c>
      <c r="N463" s="70">
        <f t="shared" si="49"/>
        <v>1.7817995692777193E-3</v>
      </c>
      <c r="O463" s="67" t="s">
        <v>16</v>
      </c>
    </row>
    <row r="464" spans="1:15" s="1" customFormat="1" x14ac:dyDescent="0.3">
      <c r="A464" s="76" t="s">
        <v>22</v>
      </c>
      <c r="B464" s="67" t="s">
        <v>15</v>
      </c>
      <c r="C464" s="67" t="s">
        <v>16</v>
      </c>
      <c r="D464" s="68">
        <v>45086</v>
      </c>
      <c r="E464" s="69">
        <v>2145816</v>
      </c>
      <c r="F464" s="70">
        <f t="shared" si="45"/>
        <v>0.99601969600375806</v>
      </c>
      <c r="G464" s="67">
        <v>8541</v>
      </c>
      <c r="H464" s="69">
        <v>746541</v>
      </c>
      <c r="I464" s="70">
        <f t="shared" si="46"/>
        <v>0.3479054122068248</v>
      </c>
      <c r="J464" s="69">
        <v>10386</v>
      </c>
      <c r="K464" s="70">
        <f t="shared" si="47"/>
        <v>4.8401167667684458E-3</v>
      </c>
      <c r="L464" s="70">
        <f t="shared" si="48"/>
        <v>1.3912162895272999E-2</v>
      </c>
      <c r="M464" s="69">
        <v>2620</v>
      </c>
      <c r="N464" s="70">
        <f t="shared" si="49"/>
        <v>1.2209807364657547E-3</v>
      </c>
      <c r="O464" s="67" t="s">
        <v>16</v>
      </c>
    </row>
    <row r="465" spans="1:15" s="1" customFormat="1" x14ac:dyDescent="0.3">
      <c r="A465" s="76" t="s">
        <v>22</v>
      </c>
      <c r="B465" s="67" t="s">
        <v>18</v>
      </c>
      <c r="C465" s="67" t="s">
        <v>16</v>
      </c>
      <c r="D465" s="68">
        <v>45086</v>
      </c>
      <c r="E465" s="69">
        <v>2339774</v>
      </c>
      <c r="F465" s="70">
        <f t="shared" si="45"/>
        <v>0.99648983192393792</v>
      </c>
      <c r="G465" s="67">
        <v>8213</v>
      </c>
      <c r="H465" s="69">
        <v>729358</v>
      </c>
      <c r="I465" s="70">
        <f t="shared" si="46"/>
        <v>0.31172155943266316</v>
      </c>
      <c r="J465" s="69">
        <v>8938</v>
      </c>
      <c r="K465" s="70">
        <f t="shared" si="47"/>
        <v>3.8200270624427829E-3</v>
      </c>
      <c r="L465" s="70">
        <f t="shared" si="48"/>
        <v>1.2254612960987609E-2</v>
      </c>
      <c r="M465" s="69">
        <v>3283</v>
      </c>
      <c r="N465" s="70">
        <f t="shared" si="49"/>
        <v>1.4031269686730428E-3</v>
      </c>
      <c r="O465" s="67" t="s">
        <v>16</v>
      </c>
    </row>
    <row r="466" spans="1:15" s="1" customFormat="1" x14ac:dyDescent="0.3">
      <c r="A466" s="76" t="s">
        <v>29</v>
      </c>
      <c r="B466" s="67" t="s">
        <v>15</v>
      </c>
      <c r="C466" s="67" t="s">
        <v>16</v>
      </c>
      <c r="D466" s="68">
        <v>45090</v>
      </c>
      <c r="E466" s="69">
        <v>26538</v>
      </c>
      <c r="F466" s="70">
        <f t="shared" si="45"/>
        <v>0.99649559122767351</v>
      </c>
      <c r="G466" s="67">
        <v>93</v>
      </c>
      <c r="H466" s="69">
        <v>9069</v>
      </c>
      <c r="I466" s="70">
        <f t="shared" si="46"/>
        <v>0.34173637802396561</v>
      </c>
      <c r="J466" s="69">
        <v>200</v>
      </c>
      <c r="K466" s="70">
        <f t="shared" si="47"/>
        <v>7.5363629512397315E-3</v>
      </c>
      <c r="L466" s="70">
        <f t="shared" si="48"/>
        <v>2.2053148086889404E-2</v>
      </c>
      <c r="M466" s="69">
        <v>9</v>
      </c>
      <c r="N466" s="70">
        <f t="shared" si="49"/>
        <v>3.3913633280578795E-4</v>
      </c>
      <c r="O466" s="67" t="s">
        <v>16</v>
      </c>
    </row>
    <row r="467" spans="1:15" s="1" customFormat="1" x14ac:dyDescent="0.3">
      <c r="A467" s="76" t="s">
        <v>29</v>
      </c>
      <c r="B467" s="67" t="s">
        <v>18</v>
      </c>
      <c r="C467" s="67" t="s">
        <v>16</v>
      </c>
      <c r="D467" s="68">
        <v>45090</v>
      </c>
      <c r="E467" s="69">
        <v>27681</v>
      </c>
      <c r="F467" s="70">
        <f t="shared" si="45"/>
        <v>0.99765181893717714</v>
      </c>
      <c r="G467" s="67">
        <v>65</v>
      </c>
      <c r="H467" s="69">
        <v>9708</v>
      </c>
      <c r="I467" s="70">
        <f t="shared" si="46"/>
        <v>0.35070987319822261</v>
      </c>
      <c r="J467" s="69">
        <v>154</v>
      </c>
      <c r="K467" s="70">
        <f t="shared" si="47"/>
        <v>5.5633828257649655E-3</v>
      </c>
      <c r="L467" s="70">
        <f t="shared" si="48"/>
        <v>1.5863205603625877E-2</v>
      </c>
      <c r="M467" s="69">
        <v>26</v>
      </c>
      <c r="N467" s="70">
        <f t="shared" si="49"/>
        <v>9.3927242512914998E-4</v>
      </c>
      <c r="O467" s="67" t="s">
        <v>16</v>
      </c>
    </row>
    <row r="468" spans="1:15" s="1" customFormat="1" x14ac:dyDescent="0.3">
      <c r="A468" s="76" t="s">
        <v>17</v>
      </c>
      <c r="B468" s="67" t="s">
        <v>15</v>
      </c>
      <c r="C468" s="67" t="s">
        <v>16</v>
      </c>
      <c r="D468" s="68">
        <v>45090</v>
      </c>
      <c r="E468" s="69">
        <v>243577</v>
      </c>
      <c r="F468" s="70">
        <f t="shared" si="45"/>
        <v>0.99639949584730902</v>
      </c>
      <c r="G468" s="67">
        <v>877</v>
      </c>
      <c r="H468" s="69">
        <v>86167</v>
      </c>
      <c r="I468" s="70">
        <f t="shared" si="46"/>
        <v>0.35375671758827804</v>
      </c>
      <c r="J468" s="69">
        <v>1483</v>
      </c>
      <c r="K468" s="70">
        <f t="shared" si="47"/>
        <v>6.0884237838547978E-3</v>
      </c>
      <c r="L468" s="70">
        <f t="shared" si="48"/>
        <v>1.7210765142107766E-2</v>
      </c>
      <c r="M468" s="69">
        <v>105</v>
      </c>
      <c r="N468" s="70">
        <f t="shared" si="49"/>
        <v>4.3107518361750082E-4</v>
      </c>
      <c r="O468" s="67" t="s">
        <v>16</v>
      </c>
    </row>
    <row r="469" spans="1:15" s="1" customFormat="1" x14ac:dyDescent="0.3">
      <c r="A469" s="76" t="s">
        <v>17</v>
      </c>
      <c r="B469" s="67" t="s">
        <v>18</v>
      </c>
      <c r="C469" s="67" t="s">
        <v>16</v>
      </c>
      <c r="D469" s="68">
        <v>45090</v>
      </c>
      <c r="E469" s="69">
        <v>473963</v>
      </c>
      <c r="F469" s="70">
        <f t="shared" si="45"/>
        <v>0.99730991659686519</v>
      </c>
      <c r="G469" s="67">
        <v>1275</v>
      </c>
      <c r="H469" s="69">
        <v>180894</v>
      </c>
      <c r="I469" s="70">
        <f t="shared" si="46"/>
        <v>0.38166270362876425</v>
      </c>
      <c r="J469" s="69">
        <v>2183</v>
      </c>
      <c r="K469" s="70">
        <f t="shared" si="47"/>
        <v>4.605844760034011E-3</v>
      </c>
      <c r="L469" s="70">
        <f t="shared" si="48"/>
        <v>1.2067840834964122E-2</v>
      </c>
      <c r="M469" s="69">
        <v>348</v>
      </c>
      <c r="N469" s="70">
        <f t="shared" si="49"/>
        <v>7.3423452885562797E-4</v>
      </c>
      <c r="O469" s="67" t="s">
        <v>16</v>
      </c>
    </row>
    <row r="470" spans="1:15" s="1" customFormat="1" x14ac:dyDescent="0.3">
      <c r="A470" s="76" t="s">
        <v>639</v>
      </c>
      <c r="B470" s="67" t="s">
        <v>15</v>
      </c>
      <c r="C470" s="67" t="s">
        <v>16</v>
      </c>
      <c r="D470" s="68">
        <v>45091</v>
      </c>
      <c r="E470" s="69">
        <v>8778</v>
      </c>
      <c r="F470" s="70">
        <f t="shared" si="45"/>
        <v>0.99851902483481436</v>
      </c>
      <c r="G470" s="67">
        <v>13</v>
      </c>
      <c r="H470" s="69">
        <v>2802</v>
      </c>
      <c r="I470" s="70">
        <f t="shared" si="46"/>
        <v>0.31920710868079288</v>
      </c>
      <c r="J470" s="69">
        <v>37</v>
      </c>
      <c r="K470" s="70">
        <f t="shared" si="47"/>
        <v>4.2150831624515831E-3</v>
      </c>
      <c r="L470" s="70">
        <f t="shared" si="48"/>
        <v>1.3204853675945753E-2</v>
      </c>
      <c r="M470" s="69">
        <v>3</v>
      </c>
      <c r="N470" s="70">
        <f t="shared" si="49"/>
        <v>3.4176349965823653E-4</v>
      </c>
      <c r="O470" s="67" t="s">
        <v>16</v>
      </c>
    </row>
    <row r="471" spans="1:15" s="1" customFormat="1" x14ac:dyDescent="0.3">
      <c r="A471" s="76" t="s">
        <v>640</v>
      </c>
      <c r="B471" s="67" t="s">
        <v>15</v>
      </c>
      <c r="C471" s="67" t="s">
        <v>16</v>
      </c>
      <c r="D471" s="68">
        <v>45091</v>
      </c>
      <c r="E471" s="69">
        <v>8784</v>
      </c>
      <c r="F471" s="70">
        <f t="shared" si="45"/>
        <v>0.99749544626593811</v>
      </c>
      <c r="G471" s="67">
        <v>22</v>
      </c>
      <c r="H471" s="69">
        <v>2864</v>
      </c>
      <c r="I471" s="70">
        <f t="shared" si="46"/>
        <v>0.32604735883424407</v>
      </c>
      <c r="J471" s="69">
        <v>57</v>
      </c>
      <c r="K471" s="70">
        <f t="shared" si="47"/>
        <v>6.4890710382513664E-3</v>
      </c>
      <c r="L471" s="70">
        <f t="shared" si="48"/>
        <v>1.9902234636871508E-2</v>
      </c>
      <c r="M471" s="69">
        <v>4</v>
      </c>
      <c r="N471" s="70">
        <f t="shared" si="49"/>
        <v>4.5537340619307832E-4</v>
      </c>
      <c r="O471" s="67" t="s">
        <v>16</v>
      </c>
    </row>
    <row r="472" spans="1:15" s="1" customFormat="1" x14ac:dyDescent="0.3">
      <c r="A472" s="76" t="s">
        <v>641</v>
      </c>
      <c r="B472" s="67" t="s">
        <v>15</v>
      </c>
      <c r="C472" s="67" t="s">
        <v>16</v>
      </c>
      <c r="D472" s="68">
        <v>45091</v>
      </c>
      <c r="E472" s="69">
        <v>8285</v>
      </c>
      <c r="F472" s="70">
        <f t="shared" si="45"/>
        <v>0.99710319855159923</v>
      </c>
      <c r="G472" s="67">
        <v>24</v>
      </c>
      <c r="H472" s="69">
        <v>3208</v>
      </c>
      <c r="I472" s="70">
        <f t="shared" si="46"/>
        <v>0.38720579360289681</v>
      </c>
      <c r="J472" s="69">
        <v>46</v>
      </c>
      <c r="K472" s="70">
        <f t="shared" si="47"/>
        <v>5.552202776101388E-3</v>
      </c>
      <c r="L472" s="70">
        <f t="shared" si="48"/>
        <v>1.4339152119700748E-2</v>
      </c>
      <c r="M472" s="69">
        <v>5</v>
      </c>
      <c r="N472" s="70">
        <f t="shared" si="49"/>
        <v>6.0350030175015089E-4</v>
      </c>
      <c r="O472" s="67" t="s">
        <v>16</v>
      </c>
    </row>
    <row r="473" spans="1:15" s="1" customFormat="1" x14ac:dyDescent="0.3">
      <c r="A473" s="76" t="s">
        <v>642</v>
      </c>
      <c r="B473" s="67" t="s">
        <v>15</v>
      </c>
      <c r="C473" s="67" t="s">
        <v>16</v>
      </c>
      <c r="D473" s="68">
        <v>45091</v>
      </c>
      <c r="E473" s="69">
        <v>8267</v>
      </c>
      <c r="F473" s="70">
        <f t="shared" si="45"/>
        <v>0.9972178541187855</v>
      </c>
      <c r="G473" s="67">
        <v>23</v>
      </c>
      <c r="H473" s="69">
        <v>3188</v>
      </c>
      <c r="I473" s="70">
        <f t="shared" si="46"/>
        <v>0.38562961170920529</v>
      </c>
      <c r="J473" s="69">
        <v>48</v>
      </c>
      <c r="K473" s="70">
        <f t="shared" si="47"/>
        <v>5.8062174912301926E-3</v>
      </c>
      <c r="L473" s="70">
        <f t="shared" si="48"/>
        <v>1.5056461731493099E-2</v>
      </c>
      <c r="M473" s="69">
        <v>2</v>
      </c>
      <c r="N473" s="70">
        <f t="shared" si="49"/>
        <v>2.4192572880125802E-4</v>
      </c>
      <c r="O473" s="67" t="s">
        <v>16</v>
      </c>
    </row>
    <row r="474" spans="1:15" s="1" customFormat="1" x14ac:dyDescent="0.3">
      <c r="A474" s="76" t="s">
        <v>643</v>
      </c>
      <c r="B474" s="67" t="s">
        <v>15</v>
      </c>
      <c r="C474" s="67" t="s">
        <v>16</v>
      </c>
      <c r="D474" s="68">
        <v>45091</v>
      </c>
      <c r="E474" s="69">
        <v>194624</v>
      </c>
      <c r="F474" s="70">
        <f t="shared" si="45"/>
        <v>0.99729221473199603</v>
      </c>
      <c r="G474" s="67">
        <v>527</v>
      </c>
      <c r="H474" s="69">
        <v>71968</v>
      </c>
      <c r="I474" s="70">
        <f t="shared" si="46"/>
        <v>0.3697796777375863</v>
      </c>
      <c r="J474" s="69">
        <v>577</v>
      </c>
      <c r="K474" s="70">
        <f t="shared" si="47"/>
        <v>2.9646908911542258E-3</v>
      </c>
      <c r="L474" s="70">
        <f t="shared" si="48"/>
        <v>8.0174522009782128E-3</v>
      </c>
      <c r="M474" s="69">
        <v>131</v>
      </c>
      <c r="N474" s="70">
        <f t="shared" si="49"/>
        <v>6.7309273265373231E-4</v>
      </c>
      <c r="O474" s="67" t="s">
        <v>16</v>
      </c>
    </row>
    <row r="475" spans="1:15" s="1" customFormat="1" x14ac:dyDescent="0.3">
      <c r="A475" s="76" t="s">
        <v>644</v>
      </c>
      <c r="B475" s="67" t="s">
        <v>15</v>
      </c>
      <c r="C475" s="67" t="s">
        <v>16</v>
      </c>
      <c r="D475" s="68">
        <v>45091</v>
      </c>
      <c r="E475" s="69">
        <v>194610</v>
      </c>
      <c r="F475" s="70">
        <f t="shared" si="45"/>
        <v>0.99717897333127792</v>
      </c>
      <c r="G475" s="67">
        <v>549</v>
      </c>
      <c r="H475" s="69">
        <v>84181</v>
      </c>
      <c r="I475" s="70">
        <f t="shared" si="46"/>
        <v>0.43256256101947482</v>
      </c>
      <c r="J475" s="69">
        <v>915</v>
      </c>
      <c r="K475" s="70">
        <f t="shared" si="47"/>
        <v>4.7017111145367663E-3</v>
      </c>
      <c r="L475" s="70">
        <f t="shared" si="48"/>
        <v>1.0869436096031171E-2</v>
      </c>
      <c r="M475" s="69">
        <v>165</v>
      </c>
      <c r="N475" s="70">
        <f t="shared" si="49"/>
        <v>8.4784954524433484E-4</v>
      </c>
      <c r="O475" s="67" t="s">
        <v>16</v>
      </c>
    </row>
    <row r="476" spans="1:15" s="1" customFormat="1" x14ac:dyDescent="0.3">
      <c r="A476" s="76" t="s">
        <v>645</v>
      </c>
      <c r="B476" s="67" t="s">
        <v>15</v>
      </c>
      <c r="C476" s="67" t="s">
        <v>16</v>
      </c>
      <c r="D476" s="68">
        <v>45091</v>
      </c>
      <c r="E476" s="69">
        <v>256121</v>
      </c>
      <c r="F476" s="70">
        <f t="shared" si="45"/>
        <v>0.99704046134444269</v>
      </c>
      <c r="G476" s="67">
        <v>758</v>
      </c>
      <c r="H476" s="69">
        <v>96521</v>
      </c>
      <c r="I476" s="70">
        <f t="shared" si="46"/>
        <v>0.37685703241827107</v>
      </c>
      <c r="J476" s="69">
        <v>857</v>
      </c>
      <c r="K476" s="70">
        <f t="shared" si="47"/>
        <v>3.3460747068768276E-3</v>
      </c>
      <c r="L476" s="70">
        <f t="shared" si="48"/>
        <v>8.8788968203810572E-3</v>
      </c>
      <c r="M476" s="69">
        <v>252</v>
      </c>
      <c r="N476" s="70">
        <f t="shared" si="49"/>
        <v>9.839099488132563E-4</v>
      </c>
      <c r="O476" s="67" t="s">
        <v>16</v>
      </c>
    </row>
    <row r="477" spans="1:15" s="1" customFormat="1" x14ac:dyDescent="0.3">
      <c r="A477" s="76" t="s">
        <v>646</v>
      </c>
      <c r="B477" s="67" t="s">
        <v>15</v>
      </c>
      <c r="C477" s="67" t="s">
        <v>16</v>
      </c>
      <c r="D477" s="68">
        <v>45091</v>
      </c>
      <c r="E477" s="69">
        <v>256196</v>
      </c>
      <c r="F477" s="70">
        <f t="shared" si="45"/>
        <v>0.99724039407328768</v>
      </c>
      <c r="G477" s="67">
        <v>707</v>
      </c>
      <c r="H477" s="69">
        <v>98914</v>
      </c>
      <c r="I477" s="70">
        <f t="shared" si="46"/>
        <v>0.38608721447641647</v>
      </c>
      <c r="J477" s="69">
        <v>1005</v>
      </c>
      <c r="K477" s="70">
        <f t="shared" si="47"/>
        <v>3.9227778731908379E-3</v>
      </c>
      <c r="L477" s="70">
        <f t="shared" si="48"/>
        <v>1.0160341306589563E-2</v>
      </c>
      <c r="M477" s="69">
        <v>286</v>
      </c>
      <c r="N477" s="70">
        <f t="shared" si="49"/>
        <v>1.1163328076941091E-3</v>
      </c>
      <c r="O477" s="67" t="s">
        <v>16</v>
      </c>
    </row>
    <row r="478" spans="1:15" s="1" customFormat="1" x14ac:dyDescent="0.3">
      <c r="A478" s="76" t="s">
        <v>647</v>
      </c>
      <c r="B478" s="67" t="s">
        <v>15</v>
      </c>
      <c r="C478" s="67" t="s">
        <v>16</v>
      </c>
      <c r="D478" s="68">
        <v>45091</v>
      </c>
      <c r="E478" s="69">
        <v>130942</v>
      </c>
      <c r="F478" s="70">
        <f t="shared" si="45"/>
        <v>0.99699103419834734</v>
      </c>
      <c r="G478" s="67">
        <v>394</v>
      </c>
      <c r="H478" s="69">
        <v>40065</v>
      </c>
      <c r="I478" s="70">
        <f t="shared" si="46"/>
        <v>0.30597516457668278</v>
      </c>
      <c r="J478" s="69">
        <v>621</v>
      </c>
      <c r="K478" s="70">
        <f t="shared" si="47"/>
        <v>4.742557773670786E-3</v>
      </c>
      <c r="L478" s="70">
        <f t="shared" si="48"/>
        <v>1.5499812804193186E-2</v>
      </c>
      <c r="M478" s="69">
        <v>86</v>
      </c>
      <c r="N478" s="70">
        <f t="shared" si="49"/>
        <v>6.5677933741656606E-4</v>
      </c>
      <c r="O478" s="67" t="s">
        <v>16</v>
      </c>
    </row>
    <row r="479" spans="1:15" s="1" customFormat="1" x14ac:dyDescent="0.3">
      <c r="A479" s="76" t="s">
        <v>647</v>
      </c>
      <c r="B479" s="67" t="s">
        <v>18</v>
      </c>
      <c r="C479" s="67" t="s">
        <v>16</v>
      </c>
      <c r="D479" s="68">
        <v>45091</v>
      </c>
      <c r="E479" s="69">
        <v>220276</v>
      </c>
      <c r="F479" s="70">
        <f t="shared" si="45"/>
        <v>0.99768472280230258</v>
      </c>
      <c r="G479" s="67">
        <v>510</v>
      </c>
      <c r="H479" s="69">
        <v>64731</v>
      </c>
      <c r="I479" s="70">
        <f t="shared" si="46"/>
        <v>0.29386315349833847</v>
      </c>
      <c r="J479" s="69">
        <v>931</v>
      </c>
      <c r="K479" s="70">
        <f t="shared" si="47"/>
        <v>4.2265158256006097E-3</v>
      </c>
      <c r="L479" s="70">
        <f t="shared" si="48"/>
        <v>1.4382598754846982E-2</v>
      </c>
      <c r="M479" s="69">
        <v>491</v>
      </c>
      <c r="N479" s="70">
        <f t="shared" si="49"/>
        <v>2.229021772685177E-3</v>
      </c>
      <c r="O479" s="67" t="s">
        <v>16</v>
      </c>
    </row>
    <row r="480" spans="1:15" s="1" customFormat="1" x14ac:dyDescent="0.3">
      <c r="A480" s="76" t="s">
        <v>648</v>
      </c>
      <c r="B480" s="67" t="s">
        <v>18</v>
      </c>
      <c r="C480" s="67" t="s">
        <v>16</v>
      </c>
      <c r="D480" s="68">
        <v>45091</v>
      </c>
      <c r="E480" s="69">
        <v>2507932</v>
      </c>
      <c r="F480" s="70">
        <f t="shared" si="45"/>
        <v>0.99748079294015946</v>
      </c>
      <c r="G480" s="67">
        <v>6318</v>
      </c>
      <c r="H480" s="69">
        <v>838369</v>
      </c>
      <c r="I480" s="70">
        <f t="shared" si="46"/>
        <v>0.3342869742879791</v>
      </c>
      <c r="J480" s="69">
        <v>9671</v>
      </c>
      <c r="K480" s="70">
        <f t="shared" si="47"/>
        <v>3.8561651591829445E-3</v>
      </c>
      <c r="L480" s="70">
        <f t="shared" si="48"/>
        <v>1.1535493320960103E-2</v>
      </c>
      <c r="M480" s="69">
        <v>4761</v>
      </c>
      <c r="N480" s="70">
        <f t="shared" si="49"/>
        <v>1.8983768299937957E-3</v>
      </c>
      <c r="O480" s="67" t="s">
        <v>16</v>
      </c>
    </row>
    <row r="481" spans="1:15" s="1" customFormat="1" x14ac:dyDescent="0.3">
      <c r="A481" s="76" t="s">
        <v>648</v>
      </c>
      <c r="B481" s="67" t="s">
        <v>15</v>
      </c>
      <c r="C481" s="67" t="s">
        <v>16</v>
      </c>
      <c r="D481" s="68">
        <v>45091</v>
      </c>
      <c r="E481" s="69">
        <v>2462411</v>
      </c>
      <c r="F481" s="70">
        <f t="shared" si="45"/>
        <v>0.99682790565831614</v>
      </c>
      <c r="G481" s="67">
        <v>7811</v>
      </c>
      <c r="H481" s="69">
        <v>924108</v>
      </c>
      <c r="I481" s="70">
        <f t="shared" si="46"/>
        <v>0.37528584789460412</v>
      </c>
      <c r="J481" s="69">
        <v>10712</v>
      </c>
      <c r="K481" s="70">
        <f t="shared" si="47"/>
        <v>4.3502079872125331E-3</v>
      </c>
      <c r="L481" s="70">
        <f t="shared" si="48"/>
        <v>1.1591718716859933E-2</v>
      </c>
      <c r="M481" s="69">
        <v>2463</v>
      </c>
      <c r="N481" s="70">
        <f t="shared" si="49"/>
        <v>1.000239196462329E-3</v>
      </c>
      <c r="O481" s="67" t="s">
        <v>16</v>
      </c>
    </row>
    <row r="482" spans="1:15" s="1" customFormat="1" x14ac:dyDescent="0.3">
      <c r="A482" s="76" t="s">
        <v>649</v>
      </c>
      <c r="B482" s="67" t="s">
        <v>15</v>
      </c>
      <c r="C482" s="67" t="s">
        <v>16</v>
      </c>
      <c r="D482" s="68">
        <v>45092</v>
      </c>
      <c r="E482" s="69">
        <v>21427</v>
      </c>
      <c r="F482" s="70">
        <f t="shared" si="45"/>
        <v>0.99710645447332802</v>
      </c>
      <c r="G482" s="67">
        <v>62</v>
      </c>
      <c r="H482" s="69">
        <v>6281</v>
      </c>
      <c r="I482" s="70">
        <f t="shared" si="46"/>
        <v>0.29313482988752509</v>
      </c>
      <c r="J482" s="69">
        <v>54</v>
      </c>
      <c r="K482" s="70">
        <f t="shared" si="47"/>
        <v>2.520184813552994E-3</v>
      </c>
      <c r="L482" s="70">
        <f t="shared" si="48"/>
        <v>8.5973571087406466E-3</v>
      </c>
      <c r="M482" s="69">
        <v>7</v>
      </c>
      <c r="N482" s="70">
        <f t="shared" si="49"/>
        <v>3.2669062397909179E-4</v>
      </c>
      <c r="O482" s="67" t="s">
        <v>16</v>
      </c>
    </row>
    <row r="483" spans="1:15" s="1" customFormat="1" x14ac:dyDescent="0.3">
      <c r="A483" s="76" t="s">
        <v>650</v>
      </c>
      <c r="B483" s="67" t="s">
        <v>15</v>
      </c>
      <c r="C483" s="67" t="s">
        <v>16</v>
      </c>
      <c r="D483" s="68">
        <v>45092</v>
      </c>
      <c r="E483" s="69">
        <v>370302</v>
      </c>
      <c r="F483" s="70">
        <f t="shared" si="45"/>
        <v>0.99729680098946261</v>
      </c>
      <c r="G483" s="67">
        <v>1001</v>
      </c>
      <c r="H483" s="69">
        <v>125205</v>
      </c>
      <c r="I483" s="70">
        <f t="shared" si="46"/>
        <v>0.3381159161981302</v>
      </c>
      <c r="J483" s="69">
        <v>830</v>
      </c>
      <c r="K483" s="70">
        <f t="shared" si="47"/>
        <v>2.2414137649810154E-3</v>
      </c>
      <c r="L483" s="70">
        <f t="shared" si="48"/>
        <v>6.6291282297032865E-3</v>
      </c>
      <c r="M483" s="69">
        <v>210</v>
      </c>
      <c r="N483" s="70">
        <f t="shared" si="49"/>
        <v>5.6710468752531719E-4</v>
      </c>
      <c r="O483" s="67" t="s">
        <v>16</v>
      </c>
    </row>
    <row r="484" spans="1:15" s="1" customFormat="1" x14ac:dyDescent="0.3">
      <c r="A484" s="76" t="s">
        <v>651</v>
      </c>
      <c r="B484" s="67" t="s">
        <v>15</v>
      </c>
      <c r="C484" s="67" t="s">
        <v>16</v>
      </c>
      <c r="D484" s="68">
        <v>45092</v>
      </c>
      <c r="E484" s="69">
        <v>1143</v>
      </c>
      <c r="F484" s="70">
        <f t="shared" si="45"/>
        <v>0.99475065616797897</v>
      </c>
      <c r="G484" s="67">
        <v>6</v>
      </c>
      <c r="H484" s="69">
        <v>339</v>
      </c>
      <c r="I484" s="70">
        <f t="shared" si="46"/>
        <v>0.29658792650918636</v>
      </c>
      <c r="J484" s="69">
        <v>4</v>
      </c>
      <c r="K484" s="70">
        <f t="shared" si="47"/>
        <v>3.499562554680665E-3</v>
      </c>
      <c r="L484" s="70">
        <f t="shared" si="48"/>
        <v>1.1799410029498525E-2</v>
      </c>
      <c r="M484" s="69">
        <v>0</v>
      </c>
      <c r="N484" s="70">
        <f t="shared" si="49"/>
        <v>0</v>
      </c>
      <c r="O484" s="67" t="s">
        <v>16</v>
      </c>
    </row>
    <row r="485" spans="1:15" s="1" customFormat="1" x14ac:dyDescent="0.3">
      <c r="A485" s="76" t="s">
        <v>652</v>
      </c>
      <c r="B485" s="67" t="s">
        <v>15</v>
      </c>
      <c r="C485" s="67" t="s">
        <v>16</v>
      </c>
      <c r="D485" s="68">
        <v>45092</v>
      </c>
      <c r="E485" s="69">
        <v>19550</v>
      </c>
      <c r="F485" s="70">
        <f t="shared" si="45"/>
        <v>0.99713554987212272</v>
      </c>
      <c r="G485" s="67">
        <v>56</v>
      </c>
      <c r="H485" s="69">
        <v>6574</v>
      </c>
      <c r="I485" s="70">
        <f t="shared" si="46"/>
        <v>0.33626598465473145</v>
      </c>
      <c r="J485" s="69">
        <v>37</v>
      </c>
      <c r="K485" s="70">
        <f t="shared" si="47"/>
        <v>1.8925831202046036E-3</v>
      </c>
      <c r="L485" s="70">
        <f t="shared" si="48"/>
        <v>5.6282324307879526E-3</v>
      </c>
      <c r="M485" s="69">
        <v>9</v>
      </c>
      <c r="N485" s="70">
        <f t="shared" si="49"/>
        <v>4.6035805626598467E-4</v>
      </c>
      <c r="O485" s="67" t="s">
        <v>16</v>
      </c>
    </row>
    <row r="486" spans="1:15" s="1" customFormat="1" x14ac:dyDescent="0.3">
      <c r="A486" s="76" t="s">
        <v>655</v>
      </c>
      <c r="B486" s="67" t="s">
        <v>18</v>
      </c>
      <c r="C486" s="67" t="s">
        <v>16</v>
      </c>
      <c r="D486" s="68">
        <v>45093</v>
      </c>
      <c r="E486" s="69">
        <v>105614</v>
      </c>
      <c r="F486" s="70">
        <f t="shared" si="45"/>
        <v>0.99721627814494296</v>
      </c>
      <c r="G486" s="67">
        <v>294</v>
      </c>
      <c r="H486" s="69">
        <v>35336</v>
      </c>
      <c r="I486" s="70">
        <f t="shared" si="46"/>
        <v>0.33457685534114795</v>
      </c>
      <c r="J486" s="69">
        <v>282</v>
      </c>
      <c r="K486" s="70">
        <f t="shared" si="47"/>
        <v>2.6701005548506827E-3</v>
      </c>
      <c r="L486" s="70">
        <f t="shared" si="48"/>
        <v>7.9805297713380127E-3</v>
      </c>
      <c r="M486" s="69">
        <v>30</v>
      </c>
      <c r="N486" s="70">
        <f t="shared" si="49"/>
        <v>2.8405325051603005E-4</v>
      </c>
      <c r="O486" s="67" t="s">
        <v>16</v>
      </c>
    </row>
    <row r="487" spans="1:15" s="1" customFormat="1" x14ac:dyDescent="0.3">
      <c r="A487" s="76" t="s">
        <v>655</v>
      </c>
      <c r="B487" s="67" t="s">
        <v>15</v>
      </c>
      <c r="C487" s="67" t="s">
        <v>16</v>
      </c>
      <c r="D487" s="68">
        <v>45093</v>
      </c>
      <c r="E487" s="69">
        <v>187116</v>
      </c>
      <c r="F487" s="70">
        <f t="shared" si="45"/>
        <v>0.99722097522392528</v>
      </c>
      <c r="G487" s="67">
        <v>520</v>
      </c>
      <c r="H487" s="69">
        <v>72724</v>
      </c>
      <c r="I487" s="70">
        <f t="shared" si="46"/>
        <v>0.38865730349088268</v>
      </c>
      <c r="J487" s="69">
        <v>553</v>
      </c>
      <c r="K487" s="70">
        <f t="shared" si="47"/>
        <v>2.9553859637871695E-3</v>
      </c>
      <c r="L487" s="70">
        <f t="shared" si="48"/>
        <v>7.6040921841482867E-3</v>
      </c>
      <c r="M487" s="69">
        <v>21</v>
      </c>
      <c r="N487" s="70">
        <f t="shared" si="49"/>
        <v>1.1222984672609504E-4</v>
      </c>
      <c r="O487" s="67" t="s">
        <v>16</v>
      </c>
    </row>
    <row r="488" spans="1:15" s="1" customFormat="1" x14ac:dyDescent="0.3">
      <c r="A488" s="76" t="s">
        <v>28</v>
      </c>
      <c r="B488" s="67" t="s">
        <v>18</v>
      </c>
      <c r="C488" s="67" t="s">
        <v>16</v>
      </c>
      <c r="D488" s="68">
        <v>45093</v>
      </c>
      <c r="E488" s="69">
        <v>206333</v>
      </c>
      <c r="F488" s="70">
        <f t="shared" si="45"/>
        <v>0.99789175749880044</v>
      </c>
      <c r="G488" s="67">
        <v>435</v>
      </c>
      <c r="H488" s="69">
        <v>59044</v>
      </c>
      <c r="I488" s="70">
        <f t="shared" si="46"/>
        <v>0.28615878216281448</v>
      </c>
      <c r="J488" s="69">
        <v>1033</v>
      </c>
      <c r="K488" s="70">
        <f t="shared" si="47"/>
        <v>5.0064701235381639E-3</v>
      </c>
      <c r="L488" s="70">
        <f t="shared" si="48"/>
        <v>1.7495427139082718E-2</v>
      </c>
      <c r="M488" s="69">
        <v>54</v>
      </c>
      <c r="N488" s="70">
        <f t="shared" si="49"/>
        <v>2.6171286221787109E-4</v>
      </c>
      <c r="O488" s="67" t="s">
        <v>16</v>
      </c>
    </row>
    <row r="489" spans="1:15" s="1" customFormat="1" x14ac:dyDescent="0.3">
      <c r="A489" s="76" t="s">
        <v>28</v>
      </c>
      <c r="B489" s="67" t="s">
        <v>15</v>
      </c>
      <c r="C489" s="67" t="s">
        <v>16</v>
      </c>
      <c r="D489" s="68">
        <v>45093</v>
      </c>
      <c r="E489" s="69">
        <v>105902</v>
      </c>
      <c r="F489" s="70">
        <f t="shared" si="45"/>
        <v>0.99721440577137355</v>
      </c>
      <c r="G489" s="67">
        <v>295</v>
      </c>
      <c r="H489" s="69">
        <v>32236</v>
      </c>
      <c r="I489" s="70">
        <f t="shared" si="46"/>
        <v>0.30439462899661951</v>
      </c>
      <c r="J489" s="69">
        <v>622</v>
      </c>
      <c r="K489" s="70">
        <f t="shared" si="47"/>
        <v>5.8733546108666506E-3</v>
      </c>
      <c r="L489" s="70">
        <f t="shared" si="48"/>
        <v>1.9295197915374117E-2</v>
      </c>
      <c r="M489" s="69">
        <v>13</v>
      </c>
      <c r="N489" s="70">
        <f t="shared" si="49"/>
        <v>1.2275499990557306E-4</v>
      </c>
      <c r="O489" s="67" t="s">
        <v>16</v>
      </c>
    </row>
    <row r="490" spans="1:15" s="1" customFormat="1" x14ac:dyDescent="0.3">
      <c r="A490" s="76" t="s">
        <v>22</v>
      </c>
      <c r="B490" s="67" t="s">
        <v>18</v>
      </c>
      <c r="C490" s="67" t="s">
        <v>16</v>
      </c>
      <c r="D490" s="68">
        <v>45093</v>
      </c>
      <c r="E490" s="69">
        <v>2346541</v>
      </c>
      <c r="F490" s="70">
        <f t="shared" si="45"/>
        <v>0.99746435284957735</v>
      </c>
      <c r="G490" s="67">
        <v>5950</v>
      </c>
      <c r="H490" s="69">
        <v>759705</v>
      </c>
      <c r="I490" s="70">
        <f t="shared" si="46"/>
        <v>0.32375526359863305</v>
      </c>
      <c r="J490" s="69">
        <v>9756</v>
      </c>
      <c r="K490" s="70">
        <f t="shared" si="47"/>
        <v>4.1576090083233147E-3</v>
      </c>
      <c r="L490" s="70">
        <f t="shared" si="48"/>
        <v>1.2841826761703557E-2</v>
      </c>
      <c r="M490" s="69">
        <v>819</v>
      </c>
      <c r="N490" s="70">
        <f t="shared" si="49"/>
        <v>3.4902437246994619E-4</v>
      </c>
      <c r="O490" s="67" t="s">
        <v>16</v>
      </c>
    </row>
    <row r="491" spans="1:15" s="1" customFormat="1" x14ac:dyDescent="0.3">
      <c r="A491" s="76" t="s">
        <v>22</v>
      </c>
      <c r="B491" s="67" t="s">
        <v>15</v>
      </c>
      <c r="C491" s="67" t="s">
        <v>16</v>
      </c>
      <c r="D491" s="68">
        <v>45093</v>
      </c>
      <c r="E491" s="69">
        <v>2037103</v>
      </c>
      <c r="F491" s="70">
        <f t="shared" si="45"/>
        <v>0.99706200422855396</v>
      </c>
      <c r="G491" s="67">
        <v>5985</v>
      </c>
      <c r="H491" s="69">
        <v>696383</v>
      </c>
      <c r="I491" s="70">
        <f t="shared" si="46"/>
        <v>0.34184967574050013</v>
      </c>
      <c r="J491" s="69">
        <v>9043</v>
      </c>
      <c r="K491" s="70">
        <f t="shared" si="47"/>
        <v>4.4391471614346452E-3</v>
      </c>
      <c r="L491" s="70">
        <f t="shared" si="48"/>
        <v>1.2985670241806592E-2</v>
      </c>
      <c r="M491" s="69">
        <v>400</v>
      </c>
      <c r="N491" s="70">
        <f t="shared" si="49"/>
        <v>1.9635727795796286E-4</v>
      </c>
      <c r="O491" s="67" t="s">
        <v>16</v>
      </c>
    </row>
    <row r="492" spans="1:15" s="1" customFormat="1" x14ac:dyDescent="0.3">
      <c r="A492" s="76" t="s">
        <v>75</v>
      </c>
      <c r="B492" s="67" t="s">
        <v>15</v>
      </c>
      <c r="C492" s="67" t="s">
        <v>16</v>
      </c>
      <c r="D492" s="68">
        <v>45094</v>
      </c>
      <c r="E492" s="69">
        <v>29593</v>
      </c>
      <c r="F492" s="70">
        <f t="shared" si="45"/>
        <v>0.99797249349508332</v>
      </c>
      <c r="G492" s="67">
        <v>60</v>
      </c>
      <c r="H492" s="69">
        <v>8584</v>
      </c>
      <c r="I492" s="70">
        <f t="shared" si="46"/>
        <v>0.29006859730341633</v>
      </c>
      <c r="J492" s="69">
        <v>261</v>
      </c>
      <c r="K492" s="70">
        <f t="shared" si="47"/>
        <v>8.8196532963876594E-3</v>
      </c>
      <c r="L492" s="70">
        <f t="shared" si="48"/>
        <v>3.0405405405405407E-2</v>
      </c>
      <c r="M492" s="69">
        <v>2</v>
      </c>
      <c r="N492" s="70">
        <f t="shared" si="49"/>
        <v>6.7583550163890106E-5</v>
      </c>
      <c r="O492" s="67" t="s">
        <v>16</v>
      </c>
    </row>
    <row r="493" spans="1:15" s="1" customFormat="1" x14ac:dyDescent="0.3">
      <c r="A493" s="76" t="s">
        <v>78</v>
      </c>
      <c r="B493" s="67" t="s">
        <v>15</v>
      </c>
      <c r="C493" s="67" t="s">
        <v>16</v>
      </c>
      <c r="D493" s="68">
        <v>45094</v>
      </c>
      <c r="E493" s="69">
        <v>476813</v>
      </c>
      <c r="F493" s="70">
        <f t="shared" si="45"/>
        <v>0.99746231751231618</v>
      </c>
      <c r="G493" s="67">
        <v>1210</v>
      </c>
      <c r="H493" s="69">
        <v>153105</v>
      </c>
      <c r="I493" s="70">
        <f t="shared" si="46"/>
        <v>0.32110072502217851</v>
      </c>
      <c r="J493" s="69">
        <v>2584</v>
      </c>
      <c r="K493" s="70">
        <f t="shared" si="47"/>
        <v>5.4193153290703067E-3</v>
      </c>
      <c r="L493" s="70">
        <f t="shared" si="48"/>
        <v>1.6877306423696156E-2</v>
      </c>
      <c r="M493" s="69">
        <v>52</v>
      </c>
      <c r="N493" s="70">
        <f t="shared" si="49"/>
        <v>1.0905742922277707E-4</v>
      </c>
      <c r="O493" s="67" t="s">
        <v>16</v>
      </c>
    </row>
    <row r="494" spans="1:15" s="1" customFormat="1" x14ac:dyDescent="0.3">
      <c r="A494" s="95" t="s">
        <v>668</v>
      </c>
      <c r="B494" s="58" t="s">
        <v>15</v>
      </c>
      <c r="C494" s="58" t="s">
        <v>16</v>
      </c>
      <c r="D494" s="83">
        <v>45096</v>
      </c>
      <c r="E494" s="59">
        <v>32908</v>
      </c>
      <c r="F494" s="60">
        <f t="shared" si="45"/>
        <v>0.99796402090677039</v>
      </c>
      <c r="G494" s="58">
        <v>67</v>
      </c>
      <c r="H494" s="59">
        <v>10420</v>
      </c>
      <c r="I494" s="60">
        <f t="shared" si="46"/>
        <v>0.31664033061869457</v>
      </c>
      <c r="J494" s="59">
        <v>162</v>
      </c>
      <c r="K494" s="60">
        <f t="shared" si="47"/>
        <v>4.922815120943236E-3</v>
      </c>
      <c r="L494" s="60">
        <f t="shared" si="48"/>
        <v>1.5547024952015355E-2</v>
      </c>
      <c r="M494" s="59">
        <v>10</v>
      </c>
      <c r="N494" s="60">
        <f t="shared" si="49"/>
        <v>3.0387747660143429E-4</v>
      </c>
      <c r="O494" s="58" t="s">
        <v>16</v>
      </c>
    </row>
    <row r="495" spans="1:15" s="1" customFormat="1" x14ac:dyDescent="0.3">
      <c r="A495" s="95" t="s">
        <v>668</v>
      </c>
      <c r="B495" s="58" t="s">
        <v>18</v>
      </c>
      <c r="C495" s="58" t="s">
        <v>16</v>
      </c>
      <c r="D495" s="83">
        <v>45096</v>
      </c>
      <c r="E495" s="59">
        <v>72284</v>
      </c>
      <c r="F495" s="60">
        <f t="shared" si="45"/>
        <v>0.99807702949477062</v>
      </c>
      <c r="G495" s="58">
        <v>139</v>
      </c>
      <c r="H495" s="59">
        <v>20984</v>
      </c>
      <c r="I495" s="60">
        <f t="shared" si="46"/>
        <v>0.2902993746887278</v>
      </c>
      <c r="J495" s="59">
        <v>260</v>
      </c>
      <c r="K495" s="60">
        <f t="shared" si="47"/>
        <v>3.5969232471916332E-3</v>
      </c>
      <c r="L495" s="60">
        <f t="shared" si="48"/>
        <v>1.2390392680137247E-2</v>
      </c>
      <c r="M495" s="59">
        <v>103</v>
      </c>
      <c r="N495" s="60">
        <f t="shared" si="49"/>
        <v>1.4249349786951469E-3</v>
      </c>
      <c r="O495" s="58" t="s">
        <v>16</v>
      </c>
    </row>
    <row r="496" spans="1:15" s="1" customFormat="1" x14ac:dyDescent="0.3">
      <c r="A496" s="95" t="s">
        <v>669</v>
      </c>
      <c r="B496" s="58" t="s">
        <v>15</v>
      </c>
      <c r="C496" s="58" t="s">
        <v>16</v>
      </c>
      <c r="D496" s="83">
        <v>45096</v>
      </c>
      <c r="E496" s="59">
        <v>533727</v>
      </c>
      <c r="F496" s="60">
        <f t="shared" si="45"/>
        <v>0.99751371019266399</v>
      </c>
      <c r="G496" s="58">
        <v>1327</v>
      </c>
      <c r="H496" s="59">
        <v>216067</v>
      </c>
      <c r="I496" s="60">
        <f t="shared" si="46"/>
        <v>0.40482681220923805</v>
      </c>
      <c r="J496" s="59">
        <v>2517</v>
      </c>
      <c r="K496" s="60">
        <f t="shared" si="47"/>
        <v>4.7158940806816966E-3</v>
      </c>
      <c r="L496" s="60">
        <f t="shared" si="48"/>
        <v>1.1649164379567449E-2</v>
      </c>
      <c r="M496" s="59">
        <v>374</v>
      </c>
      <c r="N496" s="60">
        <f t="shared" si="49"/>
        <v>7.0073277162294579E-4</v>
      </c>
      <c r="O496" s="58" t="s">
        <v>16</v>
      </c>
    </row>
    <row r="497" spans="1:15" s="1" customFormat="1" x14ac:dyDescent="0.3">
      <c r="A497" s="95" t="s">
        <v>669</v>
      </c>
      <c r="B497" s="58" t="s">
        <v>18</v>
      </c>
      <c r="C497" s="58" t="s">
        <v>16</v>
      </c>
      <c r="D497" s="83">
        <v>45096</v>
      </c>
      <c r="E497" s="59">
        <v>660849</v>
      </c>
      <c r="F497" s="60">
        <f t="shared" si="45"/>
        <v>0.99770446804035418</v>
      </c>
      <c r="G497" s="58">
        <v>1517</v>
      </c>
      <c r="H497" s="59">
        <v>234778</v>
      </c>
      <c r="I497" s="60">
        <f t="shared" si="46"/>
        <v>0.35526723956607331</v>
      </c>
      <c r="J497" s="59">
        <v>2263</v>
      </c>
      <c r="K497" s="60">
        <f t="shared" si="47"/>
        <v>3.4243828771776913E-3</v>
      </c>
      <c r="L497" s="60">
        <f t="shared" si="48"/>
        <v>9.6388929116015976E-3</v>
      </c>
      <c r="M497" s="59">
        <v>989</v>
      </c>
      <c r="N497" s="60">
        <f t="shared" si="49"/>
        <v>1.4965597284704979E-3</v>
      </c>
      <c r="O497" s="58" t="s">
        <v>16</v>
      </c>
    </row>
    <row r="498" spans="1:15" s="1" customFormat="1" x14ac:dyDescent="0.3">
      <c r="A498" s="95" t="s">
        <v>29</v>
      </c>
      <c r="B498" s="58" t="s">
        <v>15</v>
      </c>
      <c r="C498" s="58" t="s">
        <v>16</v>
      </c>
      <c r="D498" s="83">
        <v>45097</v>
      </c>
      <c r="E498" s="59">
        <v>26581</v>
      </c>
      <c r="F498" s="60">
        <f t="shared" si="45"/>
        <v>0.99702795229675334</v>
      </c>
      <c r="G498" s="58">
        <v>79</v>
      </c>
      <c r="H498" s="59">
        <v>8881</v>
      </c>
      <c r="I498" s="60">
        <f t="shared" si="46"/>
        <v>0.33411083104473122</v>
      </c>
      <c r="J498" s="59">
        <v>191</v>
      </c>
      <c r="K498" s="60">
        <f t="shared" si="47"/>
        <v>7.1855836875964032E-3</v>
      </c>
      <c r="L498" s="60">
        <f t="shared" si="48"/>
        <v>2.1506587096047743E-2</v>
      </c>
      <c r="M498" s="59">
        <v>8</v>
      </c>
      <c r="N498" s="60">
        <f t="shared" si="49"/>
        <v>3.0096685602498023E-4</v>
      </c>
      <c r="O498" s="58" t="s">
        <v>16</v>
      </c>
    </row>
    <row r="499" spans="1:15" s="1" customFormat="1" x14ac:dyDescent="0.3">
      <c r="A499" s="95" t="s">
        <v>29</v>
      </c>
      <c r="B499" s="58" t="s">
        <v>18</v>
      </c>
      <c r="C499" s="58" t="s">
        <v>16</v>
      </c>
      <c r="D499" s="83">
        <v>45097</v>
      </c>
      <c r="E499" s="59">
        <v>27747</v>
      </c>
      <c r="F499" s="60">
        <f t="shared" si="45"/>
        <v>0.99834216311673329</v>
      </c>
      <c r="G499" s="58">
        <v>46</v>
      </c>
      <c r="H499" s="59">
        <v>9448</v>
      </c>
      <c r="I499" s="60">
        <f t="shared" si="46"/>
        <v>0.34050527985007389</v>
      </c>
      <c r="J499" s="59">
        <v>165</v>
      </c>
      <c r="K499" s="60">
        <f t="shared" si="47"/>
        <v>5.946588820413018E-3</v>
      </c>
      <c r="L499" s="60">
        <f t="shared" si="48"/>
        <v>1.7464013547840811E-2</v>
      </c>
      <c r="M499" s="59">
        <v>20</v>
      </c>
      <c r="N499" s="60">
        <f t="shared" si="49"/>
        <v>7.2079864489854757E-4</v>
      </c>
      <c r="O499" s="58" t="s">
        <v>16</v>
      </c>
    </row>
    <row r="500" spans="1:15" s="1" customFormat="1" x14ac:dyDescent="0.3">
      <c r="A500" s="95" t="s">
        <v>17</v>
      </c>
      <c r="B500" s="58" t="s">
        <v>15</v>
      </c>
      <c r="C500" s="58" t="s">
        <v>16</v>
      </c>
      <c r="D500" s="83">
        <v>45097</v>
      </c>
      <c r="E500" s="59">
        <v>245145</v>
      </c>
      <c r="F500" s="60">
        <f t="shared" si="45"/>
        <v>0.99704256664423097</v>
      </c>
      <c r="G500" s="58">
        <v>725</v>
      </c>
      <c r="H500" s="59">
        <v>85179</v>
      </c>
      <c r="I500" s="60">
        <f t="shared" si="46"/>
        <v>0.34746374594627671</v>
      </c>
      <c r="J500" s="59">
        <v>1355</v>
      </c>
      <c r="K500" s="60">
        <f t="shared" si="47"/>
        <v>5.5273409614717819E-3</v>
      </c>
      <c r="L500" s="60">
        <f t="shared" si="48"/>
        <v>1.590767677479191E-2</v>
      </c>
      <c r="M500" s="59">
        <v>117</v>
      </c>
      <c r="N500" s="60">
        <f t="shared" si="49"/>
        <v>4.7726855534479596E-4</v>
      </c>
      <c r="O500" s="58" t="s">
        <v>16</v>
      </c>
    </row>
    <row r="501" spans="1:15" s="1" customFormat="1" x14ac:dyDescent="0.3">
      <c r="A501" s="95" t="s">
        <v>17</v>
      </c>
      <c r="B501" s="58" t="s">
        <v>18</v>
      </c>
      <c r="C501" s="58" t="s">
        <v>16</v>
      </c>
      <c r="D501" s="83">
        <v>45097</v>
      </c>
      <c r="E501" s="59">
        <v>477617</v>
      </c>
      <c r="F501" s="60">
        <f t="shared" si="45"/>
        <v>0.99774296141050256</v>
      </c>
      <c r="G501" s="58">
        <v>1078</v>
      </c>
      <c r="H501" s="59">
        <v>177179</v>
      </c>
      <c r="I501" s="60">
        <f t="shared" si="46"/>
        <v>0.37096460134375453</v>
      </c>
      <c r="J501" s="59">
        <v>2060</v>
      </c>
      <c r="K501" s="60">
        <f t="shared" si="47"/>
        <v>4.3130793083160776E-3</v>
      </c>
      <c r="L501" s="60">
        <f t="shared" si="48"/>
        <v>1.1626660044361916E-2</v>
      </c>
      <c r="M501" s="59">
        <v>406</v>
      </c>
      <c r="N501" s="60">
        <f t="shared" si="49"/>
        <v>8.5005349474579005E-4</v>
      </c>
      <c r="O501" s="58" t="s">
        <v>16</v>
      </c>
    </row>
    <row r="502" spans="1:15" s="1" customFormat="1" x14ac:dyDescent="0.3">
      <c r="A502" s="95" t="s">
        <v>672</v>
      </c>
      <c r="B502" s="58" t="s">
        <v>15</v>
      </c>
      <c r="C502" s="58" t="s">
        <v>16</v>
      </c>
      <c r="D502" s="83">
        <v>45098</v>
      </c>
      <c r="E502" s="59">
        <v>130899</v>
      </c>
      <c r="F502" s="60">
        <f t="shared" si="45"/>
        <v>0.99750189077074691</v>
      </c>
      <c r="G502" s="58">
        <v>327</v>
      </c>
      <c r="H502" s="59">
        <v>40398</v>
      </c>
      <c r="I502" s="60">
        <f t="shared" si="46"/>
        <v>0.30861962276258798</v>
      </c>
      <c r="J502" s="59">
        <v>480</v>
      </c>
      <c r="K502" s="60">
        <f t="shared" si="47"/>
        <v>3.6669493273439827E-3</v>
      </c>
      <c r="L502" s="60">
        <f t="shared" si="48"/>
        <v>1.1881776325560671E-2</v>
      </c>
      <c r="M502" s="59">
        <v>77</v>
      </c>
      <c r="N502" s="60">
        <f t="shared" si="49"/>
        <v>5.8823978792809728E-4</v>
      </c>
      <c r="O502" s="58" t="s">
        <v>16</v>
      </c>
    </row>
    <row r="503" spans="1:15" s="1" customFormat="1" x14ac:dyDescent="0.3">
      <c r="A503" s="95" t="s">
        <v>672</v>
      </c>
      <c r="B503" s="58" t="s">
        <v>18</v>
      </c>
      <c r="C503" s="58" t="s">
        <v>16</v>
      </c>
      <c r="D503" s="83">
        <v>45098</v>
      </c>
      <c r="E503" s="59">
        <v>219906</v>
      </c>
      <c r="F503" s="60">
        <f t="shared" si="45"/>
        <v>0.99808099824470453</v>
      </c>
      <c r="G503" s="58">
        <v>422</v>
      </c>
      <c r="H503" s="59">
        <v>63059</v>
      </c>
      <c r="I503" s="60">
        <f t="shared" si="46"/>
        <v>0.28675434049093701</v>
      </c>
      <c r="J503" s="59">
        <v>753</v>
      </c>
      <c r="K503" s="60">
        <f t="shared" si="47"/>
        <v>3.424190335870781E-3</v>
      </c>
      <c r="L503" s="60">
        <f t="shared" si="48"/>
        <v>1.1941197925752073E-2</v>
      </c>
      <c r="M503" s="59">
        <v>367</v>
      </c>
      <c r="N503" s="60">
        <f t="shared" si="49"/>
        <v>1.6688948914536212E-3</v>
      </c>
      <c r="O503" s="58" t="s">
        <v>16</v>
      </c>
    </row>
    <row r="504" spans="1:15" s="1" customFormat="1" x14ac:dyDescent="0.3">
      <c r="A504" s="95" t="s">
        <v>673</v>
      </c>
      <c r="B504" s="58" t="s">
        <v>15</v>
      </c>
      <c r="C504" s="58" t="s">
        <v>16</v>
      </c>
      <c r="D504" s="83">
        <v>45098</v>
      </c>
      <c r="E504" s="59">
        <v>2476464</v>
      </c>
      <c r="F504" s="60">
        <f t="shared" si="45"/>
        <v>0.99721215410359287</v>
      </c>
      <c r="G504" s="58">
        <v>6904</v>
      </c>
      <c r="H504" s="59">
        <v>879794</v>
      </c>
      <c r="I504" s="60">
        <f t="shared" si="46"/>
        <v>0.35526218026993328</v>
      </c>
      <c r="J504" s="59">
        <v>9961</v>
      </c>
      <c r="K504" s="60">
        <f t="shared" si="47"/>
        <v>4.0222672326349178E-3</v>
      </c>
      <c r="L504" s="60">
        <f t="shared" si="48"/>
        <v>1.1321968551729155E-2</v>
      </c>
      <c r="M504" s="59">
        <v>2058</v>
      </c>
      <c r="N504" s="60">
        <f t="shared" si="49"/>
        <v>8.310235884713042E-4</v>
      </c>
      <c r="O504" s="58" t="s">
        <v>16</v>
      </c>
    </row>
    <row r="505" spans="1:15" s="1" customFormat="1" x14ac:dyDescent="0.3">
      <c r="A505" s="95" t="s">
        <v>673</v>
      </c>
      <c r="B505" s="58" t="s">
        <v>18</v>
      </c>
      <c r="C505" s="58" t="s">
        <v>16</v>
      </c>
      <c r="D505" s="83">
        <v>45098</v>
      </c>
      <c r="E505" s="59">
        <v>2511962</v>
      </c>
      <c r="F505" s="60">
        <f t="shared" si="45"/>
        <v>0.99773961548781387</v>
      </c>
      <c r="G505" s="58">
        <v>5678</v>
      </c>
      <c r="H505" s="59">
        <v>847258</v>
      </c>
      <c r="I505" s="60">
        <f t="shared" si="46"/>
        <v>0.33728933797565408</v>
      </c>
      <c r="J505" s="59">
        <v>10431</v>
      </c>
      <c r="K505" s="60">
        <f t="shared" si="47"/>
        <v>4.152530969815626E-3</v>
      </c>
      <c r="L505" s="60">
        <f t="shared" si="48"/>
        <v>1.231148009225053E-2</v>
      </c>
      <c r="M505" s="59">
        <v>4497</v>
      </c>
      <c r="N505" s="60">
        <f t="shared" si="49"/>
        <v>1.7902340879360436E-3</v>
      </c>
      <c r="O505" s="58" t="s">
        <v>16</v>
      </c>
    </row>
    <row r="506" spans="1:15" s="1" customFormat="1" x14ac:dyDescent="0.3">
      <c r="A506" s="95" t="s">
        <v>28</v>
      </c>
      <c r="B506" s="58" t="s">
        <v>15</v>
      </c>
      <c r="C506" s="58" t="s">
        <v>16</v>
      </c>
      <c r="D506" s="83">
        <v>45100</v>
      </c>
      <c r="E506" s="59">
        <v>105766</v>
      </c>
      <c r="F506" s="60">
        <f t="shared" si="45"/>
        <v>0.99779702361817602</v>
      </c>
      <c r="G506" s="58">
        <v>233</v>
      </c>
      <c r="H506" s="59">
        <v>30486</v>
      </c>
      <c r="I506" s="60">
        <f t="shared" si="46"/>
        <v>0.28824007715144756</v>
      </c>
      <c r="J506" s="59">
        <v>562</v>
      </c>
      <c r="K506" s="60">
        <f t="shared" si="47"/>
        <v>5.313616852296579E-3</v>
      </c>
      <c r="L506" s="60">
        <f t="shared" si="48"/>
        <v>1.8434691333726955E-2</v>
      </c>
      <c r="M506" s="59">
        <v>41</v>
      </c>
      <c r="N506" s="60">
        <f t="shared" si="49"/>
        <v>3.8764820452697466E-4</v>
      </c>
      <c r="O506" s="58" t="s">
        <v>16</v>
      </c>
    </row>
    <row r="507" spans="1:15" s="1" customFormat="1" x14ac:dyDescent="0.3">
      <c r="A507" s="95" t="s">
        <v>28</v>
      </c>
      <c r="B507" s="58" t="s">
        <v>18</v>
      </c>
      <c r="C507" s="58" t="s">
        <v>16</v>
      </c>
      <c r="D507" s="83">
        <v>45100</v>
      </c>
      <c r="E507" s="59">
        <v>205889</v>
      </c>
      <c r="F507" s="60">
        <f t="shared" si="45"/>
        <v>0.99813491735838245</v>
      </c>
      <c r="G507" s="58">
        <v>384</v>
      </c>
      <c r="H507" s="59">
        <v>55466</v>
      </c>
      <c r="I507" s="60">
        <f t="shared" si="46"/>
        <v>0.26939758802072961</v>
      </c>
      <c r="J507" s="59">
        <v>915</v>
      </c>
      <c r="K507" s="60">
        <f t="shared" si="47"/>
        <v>4.4441422319793679E-3</v>
      </c>
      <c r="L507" s="60">
        <f t="shared" si="48"/>
        <v>1.6496592507121481E-2</v>
      </c>
      <c r="M507" s="59">
        <v>288</v>
      </c>
      <c r="N507" s="60">
        <f t="shared" si="49"/>
        <v>1.398811981213178E-3</v>
      </c>
      <c r="O507" s="58" t="s">
        <v>16</v>
      </c>
    </row>
    <row r="508" spans="1:15" s="1" customFormat="1" x14ac:dyDescent="0.3">
      <c r="A508" s="95" t="s">
        <v>22</v>
      </c>
      <c r="B508" s="58" t="s">
        <v>15</v>
      </c>
      <c r="C508" s="58" t="s">
        <v>16</v>
      </c>
      <c r="D508" s="83">
        <v>45100</v>
      </c>
      <c r="E508" s="59">
        <v>2049144</v>
      </c>
      <c r="F508" s="60">
        <f t="shared" si="45"/>
        <v>0.99746577107318957</v>
      </c>
      <c r="G508" s="58">
        <v>5193</v>
      </c>
      <c r="H508" s="59">
        <v>693803</v>
      </c>
      <c r="I508" s="60">
        <f t="shared" si="46"/>
        <v>0.33858186637932719</v>
      </c>
      <c r="J508" s="59">
        <v>8856</v>
      </c>
      <c r="K508" s="60">
        <f t="shared" si="47"/>
        <v>4.3218046169522491E-3</v>
      </c>
      <c r="L508" s="60">
        <f t="shared" si="48"/>
        <v>1.2764430248932333E-2</v>
      </c>
      <c r="M508" s="59">
        <v>1566</v>
      </c>
      <c r="N508" s="60">
        <f t="shared" si="49"/>
        <v>7.6422154811960508E-4</v>
      </c>
      <c r="O508" s="58" t="s">
        <v>16</v>
      </c>
    </row>
    <row r="509" spans="1:15" s="1" customFormat="1" x14ac:dyDescent="0.3">
      <c r="A509" s="95" t="s">
        <v>22</v>
      </c>
      <c r="B509" s="58" t="s">
        <v>18</v>
      </c>
      <c r="C509" s="58" t="s">
        <v>16</v>
      </c>
      <c r="D509" s="83">
        <v>45100</v>
      </c>
      <c r="E509" s="59">
        <v>2348491</v>
      </c>
      <c r="F509" s="60">
        <f t="shared" si="45"/>
        <v>0.9977300317523039</v>
      </c>
      <c r="G509" s="58">
        <v>5331</v>
      </c>
      <c r="H509" s="59">
        <v>752290</v>
      </c>
      <c r="I509" s="60">
        <f t="shared" si="46"/>
        <v>0.32032909642830226</v>
      </c>
      <c r="J509" s="59">
        <v>9193</v>
      </c>
      <c r="K509" s="60">
        <f t="shared" si="47"/>
        <v>3.9144284564003014E-3</v>
      </c>
      <c r="L509" s="60">
        <f t="shared" si="48"/>
        <v>1.2220021534248761E-2</v>
      </c>
      <c r="M509" s="59">
        <v>3179</v>
      </c>
      <c r="N509" s="60">
        <f t="shared" si="49"/>
        <v>1.3536351640266026E-3</v>
      </c>
      <c r="O509" s="58" t="s">
        <v>16</v>
      </c>
    </row>
    <row r="511" spans="1:15" x14ac:dyDescent="0.3">
      <c r="A511" s="33" t="s">
        <v>51</v>
      </c>
      <c r="B511" s="35"/>
      <c r="C511" s="35"/>
      <c r="D511" s="30"/>
      <c r="E511" s="31">
        <f>SUM(E2:E509)</f>
        <v>265760687</v>
      </c>
      <c r="F511" s="32">
        <f>(E511-G511)/E511</f>
        <v>0.9968898334462839</v>
      </c>
      <c r="G511" s="31">
        <f>SUM(G2:G509)</f>
        <v>826560</v>
      </c>
      <c r="H511" s="31">
        <f>SUM(H2:H509)</f>
        <v>96522187</v>
      </c>
      <c r="I511" s="32">
        <f>H511/E511</f>
        <v>0.3631921187801565</v>
      </c>
      <c r="J511" s="31">
        <f>SUM(J2:J509)</f>
        <v>1458556</v>
      </c>
      <c r="K511" s="32">
        <f>J511/E511</f>
        <v>5.4882308458210748E-3</v>
      </c>
      <c r="L511" s="32">
        <f>J511/H511</f>
        <v>1.5111095648920594E-2</v>
      </c>
      <c r="M511" s="31">
        <f>SUM(M2:M509)</f>
        <v>438923</v>
      </c>
      <c r="N511" s="32">
        <f>M511/E511</f>
        <v>1.6515723410964842E-3</v>
      </c>
    </row>
    <row r="512" spans="1:15" x14ac:dyDescent="0.3">
      <c r="M512" s="16">
        <f>M511/J511</f>
        <v>0.30092982374348326</v>
      </c>
    </row>
    <row r="514" spans="1:14" x14ac:dyDescent="0.3">
      <c r="A514" s="36" t="s">
        <v>41</v>
      </c>
      <c r="B514" s="37"/>
      <c r="C514" s="38"/>
      <c r="D514" s="39"/>
      <c r="E514" s="40"/>
      <c r="F514" s="41"/>
      <c r="G514" s="42"/>
      <c r="H514" s="41"/>
      <c r="I514" s="43">
        <v>0.23899999999999999</v>
      </c>
      <c r="J514" s="41"/>
      <c r="K514" s="43">
        <v>2.9000000000000001E-2</v>
      </c>
      <c r="L514" s="43">
        <v>0.124</v>
      </c>
      <c r="M514" s="41"/>
      <c r="N514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0A898BB-C9D1-0341-ADFE-D94C02A24316}">
          <x14:formula1>
            <xm:f>'List Sheet'!$B$2:$B$3</xm:f>
          </x14:formula1>
          <xm:sqref>B16:B41 B47:B51 B53 B55:B59 B61 B63 B65 B70 B72 B74 B76 B78 B80:B113 B43:B45 B67:B68 B115:B509</xm:sqref>
        </x14:dataValidation>
        <x14:dataValidation type="list" allowBlank="1" showInputMessage="1" showErrorMessage="1" xr:uid="{25259D3D-C63B-704C-9930-25A692A5230E}">
          <x14:formula1>
            <xm:f>'List Sheet'!$A$2:$A$4</xm:f>
          </x14:formula1>
          <xm:sqref>O119 C227:C228 C275 C115:C169 O152:O285 O292:O344 O452:O509 C452:C509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7F54-260B-F94B-9AB1-E803A8467C52}">
  <dimension ref="A1:O120"/>
  <sheetViews>
    <sheetView workbookViewId="0">
      <pane ySplit="1" topLeftCell="A97" activePane="bottomLeft" state="frozen"/>
      <selection pane="bottomLeft" activeCell="F124" sqref="F124"/>
    </sheetView>
  </sheetViews>
  <sheetFormatPr defaultColWidth="10.6640625" defaultRowHeight="14.4" x14ac:dyDescent="0.3"/>
  <cols>
    <col min="1" max="1" width="34.33203125" customWidth="1"/>
    <col min="2" max="2" width="9.44140625" bestFit="1" customWidth="1"/>
    <col min="3" max="3" width="14.109375" bestFit="1" customWidth="1"/>
    <col min="4" max="4" width="10.44140625" bestFit="1" customWidth="1"/>
    <col min="5" max="5" width="10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10937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33</v>
      </c>
      <c r="B2" s="67" t="s">
        <v>18</v>
      </c>
      <c r="C2" s="67" t="s">
        <v>21</v>
      </c>
      <c r="D2" s="68">
        <v>44932</v>
      </c>
      <c r="E2" s="69">
        <v>229503</v>
      </c>
      <c r="F2" s="70">
        <f t="shared" ref="F2:F22" si="0">(E2-G2)/E2</f>
        <v>0.99866232685411516</v>
      </c>
      <c r="G2" s="69">
        <v>307</v>
      </c>
      <c r="H2" s="69">
        <v>105460</v>
      </c>
      <c r="I2" s="70">
        <f t="shared" ref="I2:I22" si="1">H2/E2</f>
        <v>0.45951469043977639</v>
      </c>
      <c r="J2" s="69">
        <v>2616</v>
      </c>
      <c r="K2" s="70">
        <f t="shared" ref="K2:K22" si="2">J2/E2</f>
        <v>1.1398543809884839E-2</v>
      </c>
      <c r="L2" s="70">
        <f t="shared" ref="L2:L22" si="3">J2/H2</f>
        <v>2.4805613502749856E-2</v>
      </c>
      <c r="M2" s="69">
        <v>317</v>
      </c>
      <c r="N2" s="70">
        <f t="shared" ref="N2:N22" si="4">M2/E2</f>
        <v>1.3812455610602041E-3</v>
      </c>
      <c r="O2" s="67" t="s">
        <v>21</v>
      </c>
    </row>
    <row r="3" spans="1:15" x14ac:dyDescent="0.3">
      <c r="A3" s="66" t="s">
        <v>19</v>
      </c>
      <c r="B3" s="67" t="s">
        <v>18</v>
      </c>
      <c r="C3" s="67" t="s">
        <v>21</v>
      </c>
      <c r="D3" s="68">
        <v>44932</v>
      </c>
      <c r="E3" s="69">
        <v>327320</v>
      </c>
      <c r="F3" s="70">
        <f t="shared" si="0"/>
        <v>0.99716179885127709</v>
      </c>
      <c r="G3" s="69">
        <v>929</v>
      </c>
      <c r="H3" s="69">
        <v>123722</v>
      </c>
      <c r="I3" s="70">
        <f t="shared" si="1"/>
        <v>0.37798484663326409</v>
      </c>
      <c r="J3" s="69">
        <v>3484</v>
      </c>
      <c r="K3" s="70">
        <f t="shared" si="2"/>
        <v>1.0644018086276427E-2</v>
      </c>
      <c r="L3" s="70">
        <f t="shared" si="3"/>
        <v>2.815990688802315E-2</v>
      </c>
      <c r="M3" s="69">
        <v>473</v>
      </c>
      <c r="N3" s="70">
        <f t="shared" si="4"/>
        <v>1.4450690455823049E-3</v>
      </c>
      <c r="O3" s="67" t="s">
        <v>21</v>
      </c>
    </row>
    <row r="4" spans="1:15" s="1" customFormat="1" x14ac:dyDescent="0.3">
      <c r="A4" s="66" t="s">
        <v>61</v>
      </c>
      <c r="B4" s="67" t="s">
        <v>18</v>
      </c>
      <c r="C4" s="67" t="s">
        <v>21</v>
      </c>
      <c r="D4" s="68">
        <v>44936</v>
      </c>
      <c r="E4" s="69">
        <v>8498</v>
      </c>
      <c r="F4" s="70">
        <f t="shared" si="0"/>
        <v>0.99917627677100496</v>
      </c>
      <c r="G4" s="69">
        <v>7</v>
      </c>
      <c r="H4" s="69">
        <v>3081</v>
      </c>
      <c r="I4" s="70">
        <f t="shared" si="1"/>
        <v>0.36255589550482464</v>
      </c>
      <c r="J4" s="69">
        <v>77</v>
      </c>
      <c r="K4" s="70">
        <f t="shared" si="2"/>
        <v>9.0609555189456337E-3</v>
      </c>
      <c r="L4" s="70">
        <f t="shared" si="3"/>
        <v>2.4991885751379422E-2</v>
      </c>
      <c r="M4" s="69">
        <v>24</v>
      </c>
      <c r="N4" s="70">
        <f t="shared" si="4"/>
        <v>2.824193927983055E-3</v>
      </c>
      <c r="O4" s="67" t="s">
        <v>21</v>
      </c>
    </row>
    <row r="5" spans="1:15" s="1" customFormat="1" x14ac:dyDescent="0.3">
      <c r="A5" s="66" t="s">
        <v>61</v>
      </c>
      <c r="B5" s="67" t="s">
        <v>15</v>
      </c>
      <c r="C5" s="67" t="s">
        <v>21</v>
      </c>
      <c r="D5" s="68">
        <v>44936</v>
      </c>
      <c r="E5" s="69">
        <v>8577</v>
      </c>
      <c r="F5" s="70">
        <f t="shared" si="0"/>
        <v>0.99918386382184909</v>
      </c>
      <c r="G5" s="69">
        <v>7</v>
      </c>
      <c r="H5" s="69">
        <v>2955</v>
      </c>
      <c r="I5" s="70">
        <f t="shared" si="1"/>
        <v>0.34452605806225955</v>
      </c>
      <c r="J5" s="69">
        <v>68</v>
      </c>
      <c r="K5" s="70">
        <f t="shared" si="2"/>
        <v>7.9281800163227244E-3</v>
      </c>
      <c r="L5" s="70">
        <f t="shared" si="3"/>
        <v>2.3011844331641287E-2</v>
      </c>
      <c r="M5" s="69">
        <v>14</v>
      </c>
      <c r="N5" s="70">
        <f t="shared" si="4"/>
        <v>1.6322723563017372E-3</v>
      </c>
      <c r="O5" s="67" t="s">
        <v>21</v>
      </c>
    </row>
    <row r="6" spans="1:15" s="1" customFormat="1" x14ac:dyDescent="0.3">
      <c r="A6" s="66" t="s">
        <v>62</v>
      </c>
      <c r="B6" s="67" t="s">
        <v>18</v>
      </c>
      <c r="C6" s="67" t="s">
        <v>21</v>
      </c>
      <c r="D6" s="68">
        <v>44936</v>
      </c>
      <c r="E6" s="69">
        <v>153349</v>
      </c>
      <c r="F6" s="70">
        <f t="shared" si="0"/>
        <v>0.99861101148360931</v>
      </c>
      <c r="G6" s="69">
        <v>213</v>
      </c>
      <c r="H6" s="69">
        <v>73892</v>
      </c>
      <c r="I6" s="70">
        <f t="shared" si="1"/>
        <v>0.48185511480348747</v>
      </c>
      <c r="J6" s="69">
        <v>1128</v>
      </c>
      <c r="K6" s="70">
        <f t="shared" si="2"/>
        <v>7.3557701713085838E-3</v>
      </c>
      <c r="L6" s="70">
        <f t="shared" si="3"/>
        <v>1.5265522654685216E-2</v>
      </c>
      <c r="M6" s="69">
        <v>359</v>
      </c>
      <c r="N6" s="70">
        <f t="shared" si="4"/>
        <v>2.3410651520388132E-3</v>
      </c>
      <c r="O6" s="67" t="s">
        <v>21</v>
      </c>
    </row>
    <row r="7" spans="1:15" s="1" customFormat="1" x14ac:dyDescent="0.3">
      <c r="A7" s="66" t="s">
        <v>62</v>
      </c>
      <c r="B7" s="67" t="s">
        <v>15</v>
      </c>
      <c r="C7" s="67" t="s">
        <v>21</v>
      </c>
      <c r="D7" s="72">
        <v>44936</v>
      </c>
      <c r="E7" s="69">
        <v>169230</v>
      </c>
      <c r="F7" s="70">
        <f t="shared" si="0"/>
        <v>0.99881817644625659</v>
      </c>
      <c r="G7" s="69">
        <v>200</v>
      </c>
      <c r="H7" s="69">
        <v>74958</v>
      </c>
      <c r="I7" s="70">
        <f t="shared" si="1"/>
        <v>0.44293564970749866</v>
      </c>
      <c r="J7" s="69">
        <v>970</v>
      </c>
      <c r="K7" s="70">
        <f t="shared" si="2"/>
        <v>5.7318442356556164E-3</v>
      </c>
      <c r="L7" s="70">
        <f t="shared" si="3"/>
        <v>1.2940580058165906E-2</v>
      </c>
      <c r="M7" s="69">
        <v>184</v>
      </c>
      <c r="N7" s="70">
        <f t="shared" si="4"/>
        <v>1.0872776694439521E-3</v>
      </c>
      <c r="O7" s="67" t="s">
        <v>21</v>
      </c>
    </row>
    <row r="8" spans="1:15" s="1" customFormat="1" x14ac:dyDescent="0.3">
      <c r="A8" s="66" t="s">
        <v>33</v>
      </c>
      <c r="B8" s="67" t="s">
        <v>18</v>
      </c>
      <c r="C8" s="67" t="s">
        <v>21</v>
      </c>
      <c r="D8" s="72">
        <v>44939</v>
      </c>
      <c r="E8" s="69">
        <v>252620</v>
      </c>
      <c r="F8" s="70">
        <f t="shared" si="0"/>
        <v>0.99887974032143145</v>
      </c>
      <c r="G8" s="69">
        <v>283</v>
      </c>
      <c r="H8" s="69">
        <v>95330</v>
      </c>
      <c r="I8" s="70">
        <f t="shared" si="1"/>
        <v>0.37736521257224287</v>
      </c>
      <c r="J8" s="69">
        <v>2226</v>
      </c>
      <c r="K8" s="70">
        <f t="shared" si="2"/>
        <v>8.8116538674689257E-3</v>
      </c>
      <c r="L8" s="70">
        <f t="shared" si="3"/>
        <v>2.3350466799538446E-2</v>
      </c>
      <c r="M8" s="69">
        <v>330</v>
      </c>
      <c r="N8" s="70">
        <f t="shared" si="4"/>
        <v>1.3063098725358245E-3</v>
      </c>
      <c r="O8" s="67" t="s">
        <v>21</v>
      </c>
    </row>
    <row r="9" spans="1:15" s="1" customFormat="1" x14ac:dyDescent="0.3">
      <c r="A9" s="66" t="s">
        <v>19</v>
      </c>
      <c r="B9" s="67" t="s">
        <v>18</v>
      </c>
      <c r="C9" s="67" t="s">
        <v>21</v>
      </c>
      <c r="D9" s="72">
        <v>44939</v>
      </c>
      <c r="E9" s="69">
        <v>334315</v>
      </c>
      <c r="F9" s="70">
        <f t="shared" si="0"/>
        <v>0.99789121038541495</v>
      </c>
      <c r="G9" s="69">
        <v>705</v>
      </c>
      <c r="H9" s="69">
        <v>101194</v>
      </c>
      <c r="I9" s="70">
        <f t="shared" si="1"/>
        <v>0.30269057625293511</v>
      </c>
      <c r="J9" s="69">
        <v>2570</v>
      </c>
      <c r="K9" s="70">
        <f t="shared" si="2"/>
        <v>7.6873607226717313E-3</v>
      </c>
      <c r="L9" s="70">
        <f t="shared" si="3"/>
        <v>2.5396762653912289E-2</v>
      </c>
      <c r="M9" s="69">
        <v>321</v>
      </c>
      <c r="N9" s="70">
        <f t="shared" si="4"/>
        <v>9.6017229259829804E-4</v>
      </c>
      <c r="O9" s="67" t="s">
        <v>21</v>
      </c>
    </row>
    <row r="10" spans="1:15" s="1" customFormat="1" x14ac:dyDescent="0.3">
      <c r="A10" s="66" t="s">
        <v>76</v>
      </c>
      <c r="B10" s="67" t="s">
        <v>15</v>
      </c>
      <c r="C10" s="67" t="s">
        <v>21</v>
      </c>
      <c r="D10" s="68">
        <v>44944</v>
      </c>
      <c r="E10" s="69">
        <v>13312</v>
      </c>
      <c r="F10" s="70">
        <f t="shared" si="0"/>
        <v>0.99939903846153844</v>
      </c>
      <c r="G10" s="69">
        <v>8</v>
      </c>
      <c r="H10" s="69">
        <v>4857</v>
      </c>
      <c r="I10" s="70">
        <f t="shared" si="1"/>
        <v>0.36485877403846156</v>
      </c>
      <c r="J10" s="69">
        <v>100</v>
      </c>
      <c r="K10" s="70">
        <f t="shared" si="2"/>
        <v>7.512019230769231E-3</v>
      </c>
      <c r="L10" s="70">
        <f t="shared" si="3"/>
        <v>2.0588840848260244E-2</v>
      </c>
      <c r="M10" s="69">
        <v>21</v>
      </c>
      <c r="N10" s="70">
        <f t="shared" si="4"/>
        <v>1.5775240384615385E-3</v>
      </c>
      <c r="O10" s="67" t="s">
        <v>21</v>
      </c>
    </row>
    <row r="11" spans="1:15" s="74" customFormat="1" x14ac:dyDescent="0.3">
      <c r="A11" s="66" t="s">
        <v>76</v>
      </c>
      <c r="B11" s="67" t="s">
        <v>79</v>
      </c>
      <c r="C11" s="67" t="s">
        <v>21</v>
      </c>
      <c r="D11" s="68">
        <v>44944</v>
      </c>
      <c r="E11" s="69">
        <v>12562</v>
      </c>
      <c r="F11" s="70">
        <f t="shared" si="0"/>
        <v>0.99872631746537177</v>
      </c>
      <c r="G11" s="69">
        <v>16</v>
      </c>
      <c r="H11" s="69">
        <v>4407</v>
      </c>
      <c r="I11" s="70">
        <f t="shared" si="1"/>
        <v>0.35081993313166693</v>
      </c>
      <c r="J11" s="69">
        <v>124</v>
      </c>
      <c r="K11" s="70">
        <f t="shared" si="2"/>
        <v>9.871039643368891E-3</v>
      </c>
      <c r="L11" s="70">
        <f t="shared" si="3"/>
        <v>2.8137054685727251E-2</v>
      </c>
      <c r="M11" s="69">
        <v>42</v>
      </c>
      <c r="N11" s="70">
        <f t="shared" si="4"/>
        <v>3.3434166533991404E-3</v>
      </c>
      <c r="O11" s="67" t="s">
        <v>21</v>
      </c>
    </row>
    <row r="12" spans="1:15" s="74" customFormat="1" x14ac:dyDescent="0.3">
      <c r="A12" s="66" t="s">
        <v>77</v>
      </c>
      <c r="B12" s="67" t="s">
        <v>15</v>
      </c>
      <c r="C12" s="67" t="s">
        <v>21</v>
      </c>
      <c r="D12" s="68">
        <v>44944</v>
      </c>
      <c r="E12" s="69">
        <v>267738</v>
      </c>
      <c r="F12" s="70">
        <f t="shared" si="0"/>
        <v>0.998763716767885</v>
      </c>
      <c r="G12" s="69">
        <v>331</v>
      </c>
      <c r="H12" s="69">
        <v>128054</v>
      </c>
      <c r="I12" s="70">
        <f t="shared" si="1"/>
        <v>0.47828100605816132</v>
      </c>
      <c r="J12" s="69">
        <v>2534</v>
      </c>
      <c r="K12" s="70">
        <f t="shared" si="2"/>
        <v>9.4644764657986543E-3</v>
      </c>
      <c r="L12" s="70">
        <f t="shared" si="3"/>
        <v>1.9788526715291986E-2</v>
      </c>
      <c r="M12" s="69">
        <v>182</v>
      </c>
      <c r="N12" s="70">
        <f t="shared" si="4"/>
        <v>6.7976902793029001E-4</v>
      </c>
      <c r="O12" s="67" t="s">
        <v>21</v>
      </c>
    </row>
    <row r="13" spans="1:15" s="74" customFormat="1" x14ac:dyDescent="0.3">
      <c r="A13" s="66" t="s">
        <v>77</v>
      </c>
      <c r="B13" s="67" t="s">
        <v>79</v>
      </c>
      <c r="C13" s="67" t="s">
        <v>21</v>
      </c>
      <c r="D13" s="68">
        <v>44944</v>
      </c>
      <c r="E13" s="69">
        <v>216958</v>
      </c>
      <c r="F13" s="70">
        <f t="shared" si="0"/>
        <v>0.99808257819485802</v>
      </c>
      <c r="G13" s="69">
        <v>416</v>
      </c>
      <c r="H13" s="69">
        <v>109518</v>
      </c>
      <c r="I13" s="70">
        <f t="shared" si="1"/>
        <v>0.50478894532582341</v>
      </c>
      <c r="J13" s="69">
        <v>2556</v>
      </c>
      <c r="K13" s="70">
        <f t="shared" si="2"/>
        <v>1.1781082052747537E-2</v>
      </c>
      <c r="L13" s="70">
        <f t="shared" si="3"/>
        <v>2.3338629266421957E-2</v>
      </c>
      <c r="M13" s="69">
        <v>504</v>
      </c>
      <c r="N13" s="70">
        <f t="shared" si="4"/>
        <v>2.3230302639220494E-3</v>
      </c>
      <c r="O13" s="67" t="s">
        <v>21</v>
      </c>
    </row>
    <row r="14" spans="1:15" s="1" customFormat="1" x14ac:dyDescent="0.3">
      <c r="A14" s="66" t="s">
        <v>33</v>
      </c>
      <c r="B14" s="67" t="s">
        <v>18</v>
      </c>
      <c r="C14" s="67" t="s">
        <v>21</v>
      </c>
      <c r="D14" s="72">
        <v>44946</v>
      </c>
      <c r="E14" s="69">
        <v>251190</v>
      </c>
      <c r="F14" s="70">
        <f t="shared" si="0"/>
        <v>0.99849914407420681</v>
      </c>
      <c r="G14" s="69">
        <v>377</v>
      </c>
      <c r="H14" s="69">
        <v>116570</v>
      </c>
      <c r="I14" s="70">
        <f t="shared" si="1"/>
        <v>0.46407102193558658</v>
      </c>
      <c r="J14" s="69">
        <v>2464</v>
      </c>
      <c r="K14" s="70">
        <f t="shared" si="2"/>
        <v>9.8093076953700391E-3</v>
      </c>
      <c r="L14" s="70">
        <f t="shared" si="3"/>
        <v>2.1137513940121814E-2</v>
      </c>
      <c r="M14" s="69">
        <v>385</v>
      </c>
      <c r="N14" s="70">
        <f t="shared" si="4"/>
        <v>1.5327043274015685E-3</v>
      </c>
      <c r="O14" s="67" t="s">
        <v>21</v>
      </c>
    </row>
    <row r="15" spans="1:15" s="1" customFormat="1" x14ac:dyDescent="0.3">
      <c r="A15" s="66" t="s">
        <v>19</v>
      </c>
      <c r="B15" s="67" t="s">
        <v>18</v>
      </c>
      <c r="C15" s="67" t="s">
        <v>21</v>
      </c>
      <c r="D15" s="72">
        <v>44946</v>
      </c>
      <c r="E15" s="69">
        <v>334231</v>
      </c>
      <c r="F15" s="70">
        <f t="shared" si="0"/>
        <v>0.99706789615565283</v>
      </c>
      <c r="G15" s="69">
        <v>980</v>
      </c>
      <c r="H15" s="69">
        <v>127214</v>
      </c>
      <c r="I15" s="70">
        <f t="shared" si="1"/>
        <v>0.3806169984232462</v>
      </c>
      <c r="J15" s="69">
        <v>3076</v>
      </c>
      <c r="K15" s="70">
        <f t="shared" si="2"/>
        <v>9.2032157400121477E-3</v>
      </c>
      <c r="L15" s="70">
        <f t="shared" si="3"/>
        <v>2.4179728646218184E-2</v>
      </c>
      <c r="M15" s="69">
        <v>473</v>
      </c>
      <c r="N15" s="70">
        <f t="shared" si="4"/>
        <v>1.4151888963022581E-3</v>
      </c>
      <c r="O15" s="67" t="s">
        <v>21</v>
      </c>
    </row>
    <row r="16" spans="1:15" s="1" customFormat="1" x14ac:dyDescent="0.3">
      <c r="A16" s="66" t="s">
        <v>24</v>
      </c>
      <c r="B16" s="67" t="s">
        <v>18</v>
      </c>
      <c r="C16" s="67" t="s">
        <v>21</v>
      </c>
      <c r="D16" s="72">
        <v>44947</v>
      </c>
      <c r="E16" s="69">
        <v>15444</v>
      </c>
      <c r="F16" s="70">
        <f t="shared" si="0"/>
        <v>0.99909349909349909</v>
      </c>
      <c r="G16" s="69">
        <v>14</v>
      </c>
      <c r="H16" s="69">
        <v>5022</v>
      </c>
      <c r="I16" s="70">
        <f t="shared" si="1"/>
        <v>0.32517482517482516</v>
      </c>
      <c r="J16" s="69">
        <v>173</v>
      </c>
      <c r="K16" s="70">
        <f t="shared" si="2"/>
        <v>1.1201761201761203E-2</v>
      </c>
      <c r="L16" s="70">
        <f t="shared" si="3"/>
        <v>3.4448426921545199E-2</v>
      </c>
      <c r="M16" s="69">
        <v>17</v>
      </c>
      <c r="N16" s="70">
        <f t="shared" si="4"/>
        <v>1.1007511007511007E-3</v>
      </c>
      <c r="O16" s="67" t="s">
        <v>21</v>
      </c>
    </row>
    <row r="17" spans="1:15" s="1" customFormat="1" x14ac:dyDescent="0.3">
      <c r="A17" s="66" t="s">
        <v>19</v>
      </c>
      <c r="B17" s="67" t="s">
        <v>18</v>
      </c>
      <c r="C17" s="67" t="s">
        <v>21</v>
      </c>
      <c r="D17" s="72">
        <v>44953</v>
      </c>
      <c r="E17" s="69">
        <v>334048</v>
      </c>
      <c r="F17" s="70">
        <f t="shared" si="0"/>
        <v>0.99770092920777853</v>
      </c>
      <c r="G17" s="69">
        <v>768</v>
      </c>
      <c r="H17" s="69">
        <v>122888</v>
      </c>
      <c r="I17" s="70">
        <f t="shared" si="1"/>
        <v>0.36787527540952197</v>
      </c>
      <c r="J17" s="69">
        <v>3571</v>
      </c>
      <c r="K17" s="70">
        <f t="shared" si="2"/>
        <v>1.0690080467477728E-2</v>
      </c>
      <c r="L17" s="70">
        <f t="shared" si="3"/>
        <v>2.9058980535121411E-2</v>
      </c>
      <c r="M17" s="69">
        <v>581</v>
      </c>
      <c r="N17" s="70">
        <f t="shared" si="4"/>
        <v>1.7392710029696331E-3</v>
      </c>
      <c r="O17" s="67" t="s">
        <v>21</v>
      </c>
    </row>
    <row r="18" spans="1:15" s="1" customFormat="1" x14ac:dyDescent="0.3">
      <c r="A18" s="66" t="s">
        <v>33</v>
      </c>
      <c r="B18" s="67" t="s">
        <v>18</v>
      </c>
      <c r="C18" s="67" t="s">
        <v>21</v>
      </c>
      <c r="D18" s="72">
        <v>44953</v>
      </c>
      <c r="E18" s="69">
        <v>250619</v>
      </c>
      <c r="F18" s="70">
        <f t="shared" si="0"/>
        <v>0.99901444024595099</v>
      </c>
      <c r="G18" s="69">
        <v>247</v>
      </c>
      <c r="H18" s="69">
        <v>114442</v>
      </c>
      <c r="I18" s="70">
        <f t="shared" si="1"/>
        <v>0.45663736588207599</v>
      </c>
      <c r="J18" s="69">
        <v>3246</v>
      </c>
      <c r="K18" s="70">
        <f t="shared" si="2"/>
        <v>1.2951931018797458E-2</v>
      </c>
      <c r="L18" s="70">
        <f t="shared" si="3"/>
        <v>2.8363712622988063E-2</v>
      </c>
      <c r="M18" s="69">
        <v>438</v>
      </c>
      <c r="N18" s="70">
        <f t="shared" si="4"/>
        <v>1.747672762240692E-3</v>
      </c>
      <c r="O18" s="67" t="s">
        <v>21</v>
      </c>
    </row>
    <row r="19" spans="1:15" s="1" customFormat="1" x14ac:dyDescent="0.3">
      <c r="A19" s="78" t="s">
        <v>111</v>
      </c>
      <c r="B19" s="79" t="s">
        <v>15</v>
      </c>
      <c r="C19" s="67" t="s">
        <v>21</v>
      </c>
      <c r="D19" s="80">
        <v>44959</v>
      </c>
      <c r="E19" s="81">
        <v>7688</v>
      </c>
      <c r="F19" s="82">
        <f t="shared" si="0"/>
        <v>0.99947970863683666</v>
      </c>
      <c r="G19" s="81">
        <v>4</v>
      </c>
      <c r="H19" s="81">
        <v>2600</v>
      </c>
      <c r="I19" s="82">
        <f t="shared" si="1"/>
        <v>0.33818938605619148</v>
      </c>
      <c r="J19" s="81">
        <v>36</v>
      </c>
      <c r="K19" s="82">
        <f t="shared" si="2"/>
        <v>4.6826222684703432E-3</v>
      </c>
      <c r="L19" s="82">
        <f t="shared" si="3"/>
        <v>1.3846153846153847E-2</v>
      </c>
      <c r="M19" s="81">
        <v>8</v>
      </c>
      <c r="N19" s="82">
        <f t="shared" si="4"/>
        <v>1.0405827263267431E-3</v>
      </c>
      <c r="O19" s="79" t="s">
        <v>21</v>
      </c>
    </row>
    <row r="20" spans="1:15" s="1" customFormat="1" x14ac:dyDescent="0.3">
      <c r="A20" s="78" t="s">
        <v>111</v>
      </c>
      <c r="B20" s="79" t="s">
        <v>18</v>
      </c>
      <c r="C20" s="67" t="s">
        <v>21</v>
      </c>
      <c r="D20" s="80">
        <v>44959</v>
      </c>
      <c r="E20" s="81">
        <v>10194</v>
      </c>
      <c r="F20" s="82">
        <f t="shared" si="0"/>
        <v>0.99950951540121635</v>
      </c>
      <c r="G20" s="81">
        <v>5</v>
      </c>
      <c r="H20" s="81">
        <v>3402</v>
      </c>
      <c r="I20" s="82">
        <f t="shared" si="1"/>
        <v>0.3337257210123602</v>
      </c>
      <c r="J20" s="81">
        <v>54</v>
      </c>
      <c r="K20" s="82">
        <f t="shared" si="2"/>
        <v>5.2972336668628602E-3</v>
      </c>
      <c r="L20" s="82">
        <f t="shared" si="3"/>
        <v>1.5873015873015872E-2</v>
      </c>
      <c r="M20" s="81">
        <v>24</v>
      </c>
      <c r="N20" s="82">
        <f t="shared" si="4"/>
        <v>2.3543260741612712E-3</v>
      </c>
      <c r="O20" s="79" t="s">
        <v>21</v>
      </c>
    </row>
    <row r="21" spans="1:15" s="1" customFormat="1" x14ac:dyDescent="0.3">
      <c r="A21" s="78" t="s">
        <v>112</v>
      </c>
      <c r="B21" s="79" t="s">
        <v>15</v>
      </c>
      <c r="C21" s="67" t="s">
        <v>21</v>
      </c>
      <c r="D21" s="80">
        <v>44959</v>
      </c>
      <c r="E21" s="81">
        <v>156474</v>
      </c>
      <c r="F21" s="82">
        <f t="shared" si="0"/>
        <v>0.99884325830489407</v>
      </c>
      <c r="G21" s="81">
        <v>181</v>
      </c>
      <c r="H21" s="81">
        <v>66727</v>
      </c>
      <c r="I21" s="82">
        <f t="shared" si="1"/>
        <v>0.42644145353221624</v>
      </c>
      <c r="J21" s="81">
        <v>687</v>
      </c>
      <c r="K21" s="82">
        <f t="shared" si="2"/>
        <v>4.3905057709267992E-3</v>
      </c>
      <c r="L21" s="82">
        <f t="shared" si="3"/>
        <v>1.0295682407421283E-2</v>
      </c>
      <c r="M21" s="81">
        <v>117</v>
      </c>
      <c r="N21" s="82">
        <f t="shared" si="4"/>
        <v>7.4772805705740255E-4</v>
      </c>
      <c r="O21" s="79" t="s">
        <v>21</v>
      </c>
    </row>
    <row r="22" spans="1:15" s="1" customFormat="1" x14ac:dyDescent="0.3">
      <c r="A22" s="78" t="s">
        <v>112</v>
      </c>
      <c r="B22" s="79" t="s">
        <v>18</v>
      </c>
      <c r="C22" s="67" t="s">
        <v>21</v>
      </c>
      <c r="D22" s="80">
        <v>44959</v>
      </c>
      <c r="E22" s="81">
        <v>170431</v>
      </c>
      <c r="F22" s="82">
        <f t="shared" si="0"/>
        <v>0.99862701034436219</v>
      </c>
      <c r="G22" s="81">
        <v>234</v>
      </c>
      <c r="H22" s="81">
        <v>80800</v>
      </c>
      <c r="I22" s="82">
        <f t="shared" si="1"/>
        <v>0.47409215459628823</v>
      </c>
      <c r="J22" s="81">
        <v>1027</v>
      </c>
      <c r="K22" s="82">
        <f t="shared" si="2"/>
        <v>6.0258990441879705E-3</v>
      </c>
      <c r="L22" s="82">
        <f t="shared" si="3"/>
        <v>1.271039603960396E-2</v>
      </c>
      <c r="M22" s="81">
        <v>332</v>
      </c>
      <c r="N22" s="82">
        <f t="shared" si="4"/>
        <v>1.9480024174005903E-3</v>
      </c>
      <c r="O22" s="79" t="s">
        <v>21</v>
      </c>
    </row>
    <row r="23" spans="1:15" s="1" customFormat="1" x14ac:dyDescent="0.3">
      <c r="A23" s="78" t="s">
        <v>33</v>
      </c>
      <c r="B23" s="79" t="s">
        <v>18</v>
      </c>
      <c r="C23" s="67" t="s">
        <v>21</v>
      </c>
      <c r="D23" s="80">
        <v>44960</v>
      </c>
      <c r="E23" s="81">
        <v>249719</v>
      </c>
      <c r="F23" s="82">
        <f t="shared" ref="F23:F40" si="5">(E23-G23)/E23</f>
        <v>0.99873457766529583</v>
      </c>
      <c r="G23" s="81">
        <v>316</v>
      </c>
      <c r="H23" s="81">
        <v>113555</v>
      </c>
      <c r="I23" s="82">
        <f t="shared" ref="I23:I40" si="6">H23/E23</f>
        <v>0.45473111777638064</v>
      </c>
      <c r="J23" s="81">
        <v>1651</v>
      </c>
      <c r="K23" s="82">
        <f t="shared" ref="K23:K40" si="7">J23/E23</f>
        <v>6.6114312487235653E-3</v>
      </c>
      <c r="L23" s="82">
        <f t="shared" ref="L23:L40" si="8">J23/H23</f>
        <v>1.453921007441328E-2</v>
      </c>
      <c r="M23" s="81">
        <v>348</v>
      </c>
      <c r="N23" s="82">
        <f t="shared" ref="N23:N40" si="9">M23/E23</f>
        <v>1.3935663685983046E-3</v>
      </c>
      <c r="O23" s="79" t="s">
        <v>21</v>
      </c>
    </row>
    <row r="24" spans="1:15" s="1" customFormat="1" x14ac:dyDescent="0.3">
      <c r="A24" s="78" t="s">
        <v>19</v>
      </c>
      <c r="B24" s="79" t="s">
        <v>18</v>
      </c>
      <c r="C24" s="67" t="s">
        <v>21</v>
      </c>
      <c r="D24" s="80">
        <v>44960</v>
      </c>
      <c r="E24" s="81">
        <v>333398</v>
      </c>
      <c r="F24" s="82">
        <f t="shared" si="5"/>
        <v>0.99789140906664109</v>
      </c>
      <c r="G24" s="81">
        <v>703</v>
      </c>
      <c r="H24" s="81">
        <v>124313</v>
      </c>
      <c r="I24" s="82">
        <f t="shared" si="6"/>
        <v>0.37286666386720974</v>
      </c>
      <c r="J24" s="81">
        <v>2170</v>
      </c>
      <c r="K24" s="82">
        <f t="shared" si="7"/>
        <v>6.5087373049628368E-3</v>
      </c>
      <c r="L24" s="82">
        <f t="shared" si="8"/>
        <v>1.745593783433752E-2</v>
      </c>
      <c r="M24" s="81">
        <v>394</v>
      </c>
      <c r="N24" s="82">
        <f t="shared" si="9"/>
        <v>1.1817707364771234E-3</v>
      </c>
      <c r="O24" s="79" t="s">
        <v>21</v>
      </c>
    </row>
    <row r="25" spans="1:15" s="1" customFormat="1" x14ac:dyDescent="0.3">
      <c r="A25" s="78" t="s">
        <v>24</v>
      </c>
      <c r="B25" s="79" t="s">
        <v>18</v>
      </c>
      <c r="C25" s="67" t="s">
        <v>21</v>
      </c>
      <c r="D25" s="80">
        <v>44961</v>
      </c>
      <c r="E25" s="81">
        <v>15415</v>
      </c>
      <c r="F25" s="82">
        <f t="shared" si="5"/>
        <v>0.99948102497567304</v>
      </c>
      <c r="G25" s="81">
        <v>8</v>
      </c>
      <c r="H25" s="81">
        <v>5477</v>
      </c>
      <c r="I25" s="82">
        <f t="shared" si="6"/>
        <v>0.35530327602984108</v>
      </c>
      <c r="J25" s="81">
        <v>195</v>
      </c>
      <c r="K25" s="82">
        <f t="shared" si="7"/>
        <v>1.2650016217969511E-2</v>
      </c>
      <c r="L25" s="82">
        <f t="shared" si="8"/>
        <v>3.5603432536059888E-2</v>
      </c>
      <c r="M25" s="81">
        <v>31</v>
      </c>
      <c r="N25" s="82">
        <f t="shared" si="9"/>
        <v>2.0110282192669477E-3</v>
      </c>
      <c r="O25" s="79" t="s">
        <v>21</v>
      </c>
    </row>
    <row r="26" spans="1:15" s="1" customFormat="1" x14ac:dyDescent="0.3">
      <c r="A26" s="66" t="s">
        <v>124</v>
      </c>
      <c r="B26" s="67" t="s">
        <v>18</v>
      </c>
      <c r="C26" s="67" t="s">
        <v>21</v>
      </c>
      <c r="D26" s="68">
        <v>44964</v>
      </c>
      <c r="E26" s="69">
        <v>352852</v>
      </c>
      <c r="F26" s="70">
        <f t="shared" si="5"/>
        <v>0.99834491514856083</v>
      </c>
      <c r="G26" s="69">
        <v>584</v>
      </c>
      <c r="H26" s="69">
        <v>175969</v>
      </c>
      <c r="I26" s="70">
        <f t="shared" si="6"/>
        <v>0.49870483942276084</v>
      </c>
      <c r="J26" s="69">
        <v>2407</v>
      </c>
      <c r="K26" s="70">
        <f t="shared" si="7"/>
        <v>6.8215569133801141E-3</v>
      </c>
      <c r="L26" s="70">
        <f t="shared" si="8"/>
        <v>1.3678545652927504E-2</v>
      </c>
      <c r="M26" s="67">
        <v>972</v>
      </c>
      <c r="N26" s="70">
        <f t="shared" si="9"/>
        <v>2.7546960198610183E-3</v>
      </c>
      <c r="O26" s="67" t="s">
        <v>21</v>
      </c>
    </row>
    <row r="27" spans="1:15" s="1" customFormat="1" x14ac:dyDescent="0.3">
      <c r="A27" s="66" t="s">
        <v>124</v>
      </c>
      <c r="B27" s="67" t="s">
        <v>15</v>
      </c>
      <c r="C27" s="67" t="s">
        <v>21</v>
      </c>
      <c r="D27" s="68">
        <v>44964</v>
      </c>
      <c r="E27" s="69">
        <v>278630</v>
      </c>
      <c r="F27" s="70">
        <f t="shared" si="5"/>
        <v>0.99820191652011625</v>
      </c>
      <c r="G27" s="69">
        <v>501</v>
      </c>
      <c r="H27" s="69">
        <v>133398</v>
      </c>
      <c r="I27" s="70">
        <f t="shared" si="6"/>
        <v>0.47876395219466678</v>
      </c>
      <c r="J27" s="69">
        <v>2024</v>
      </c>
      <c r="K27" s="70">
        <f t="shared" si="7"/>
        <v>7.2641136991709434E-3</v>
      </c>
      <c r="L27" s="70">
        <f t="shared" si="8"/>
        <v>1.5172641268984542E-2</v>
      </c>
      <c r="M27" s="67">
        <v>298</v>
      </c>
      <c r="N27" s="70">
        <f t="shared" si="9"/>
        <v>1.0695187165775401E-3</v>
      </c>
      <c r="O27" s="67" t="s">
        <v>21</v>
      </c>
    </row>
    <row r="28" spans="1:15" s="1" customFormat="1" x14ac:dyDescent="0.3">
      <c r="A28" s="66" t="s">
        <v>125</v>
      </c>
      <c r="B28" s="67" t="s">
        <v>18</v>
      </c>
      <c r="C28" s="67" t="s">
        <v>21</v>
      </c>
      <c r="D28" s="68">
        <v>44964</v>
      </c>
      <c r="E28" s="69">
        <v>19548</v>
      </c>
      <c r="F28" s="70">
        <f t="shared" si="5"/>
        <v>0.99866994065889092</v>
      </c>
      <c r="G28" s="69">
        <v>26</v>
      </c>
      <c r="H28" s="69">
        <v>7601</v>
      </c>
      <c r="I28" s="70">
        <f t="shared" si="6"/>
        <v>0.38883773276038469</v>
      </c>
      <c r="J28" s="69">
        <v>147</v>
      </c>
      <c r="K28" s="70">
        <f t="shared" si="7"/>
        <v>7.5199508901166359E-3</v>
      </c>
      <c r="L28" s="70">
        <f t="shared" si="8"/>
        <v>1.9339560584133667E-2</v>
      </c>
      <c r="M28" s="67">
        <v>56</v>
      </c>
      <c r="N28" s="70">
        <f t="shared" si="9"/>
        <v>2.8647431962349089E-3</v>
      </c>
      <c r="O28" s="67" t="s">
        <v>21</v>
      </c>
    </row>
    <row r="29" spans="1:15" s="1" customFormat="1" x14ac:dyDescent="0.3">
      <c r="A29" s="66" t="s">
        <v>125</v>
      </c>
      <c r="B29" s="67" t="s">
        <v>15</v>
      </c>
      <c r="C29" s="67" t="s">
        <v>21</v>
      </c>
      <c r="D29" s="68">
        <v>44964</v>
      </c>
      <c r="E29" s="69">
        <v>21578</v>
      </c>
      <c r="F29" s="70">
        <f t="shared" si="5"/>
        <v>0.99888775604782654</v>
      </c>
      <c r="G29" s="69">
        <v>24</v>
      </c>
      <c r="H29" s="69">
        <v>8888</v>
      </c>
      <c r="I29" s="70">
        <f t="shared" si="6"/>
        <v>0.41190101028825654</v>
      </c>
      <c r="J29" s="69">
        <v>140</v>
      </c>
      <c r="K29" s="70">
        <f t="shared" si="7"/>
        <v>6.4880897210121422E-3</v>
      </c>
      <c r="L29" s="70">
        <f t="shared" si="8"/>
        <v>1.5751575157515751E-2</v>
      </c>
      <c r="M29" s="67">
        <v>34</v>
      </c>
      <c r="N29" s="70">
        <f t="shared" si="9"/>
        <v>1.575678932245806E-3</v>
      </c>
      <c r="O29" s="67" t="s">
        <v>21</v>
      </c>
    </row>
    <row r="30" spans="1:15" s="1" customFormat="1" x14ac:dyDescent="0.3">
      <c r="A30" s="66" t="s">
        <v>19</v>
      </c>
      <c r="B30" s="67" t="s">
        <v>18</v>
      </c>
      <c r="C30" s="67" t="s">
        <v>21</v>
      </c>
      <c r="D30" s="68">
        <v>44967</v>
      </c>
      <c r="E30" s="69">
        <v>333199</v>
      </c>
      <c r="F30" s="70">
        <f t="shared" si="5"/>
        <v>0.99785113400700487</v>
      </c>
      <c r="G30" s="69">
        <v>716</v>
      </c>
      <c r="H30" s="69">
        <v>123850</v>
      </c>
      <c r="I30" s="70">
        <f t="shared" si="6"/>
        <v>0.37169979501739203</v>
      </c>
      <c r="J30" s="69">
        <v>2709</v>
      </c>
      <c r="K30" s="70">
        <f t="shared" si="7"/>
        <v>8.1302765014300768E-3</v>
      </c>
      <c r="L30" s="70">
        <f t="shared" si="8"/>
        <v>2.1873233750504643E-2</v>
      </c>
      <c r="M30" s="67">
        <v>417</v>
      </c>
      <c r="N30" s="70">
        <f t="shared" si="9"/>
        <v>1.2515043562555709E-3</v>
      </c>
      <c r="O30" s="67" t="s">
        <v>21</v>
      </c>
    </row>
    <row r="31" spans="1:15" s="1" customFormat="1" x14ac:dyDescent="0.3">
      <c r="A31" s="66" t="s">
        <v>33</v>
      </c>
      <c r="B31" s="67" t="s">
        <v>18</v>
      </c>
      <c r="C31" s="67" t="s">
        <v>21</v>
      </c>
      <c r="D31" s="68">
        <v>44967</v>
      </c>
      <c r="E31" s="69">
        <v>248900</v>
      </c>
      <c r="F31" s="70">
        <f t="shared" si="5"/>
        <v>0.99873844917637611</v>
      </c>
      <c r="G31" s="69">
        <v>314</v>
      </c>
      <c r="H31" s="69">
        <v>111507</v>
      </c>
      <c r="I31" s="70">
        <f t="shared" si="6"/>
        <v>0.44799919646444353</v>
      </c>
      <c r="J31" s="69">
        <v>1758</v>
      </c>
      <c r="K31" s="70">
        <f t="shared" si="7"/>
        <v>7.0630775411811971E-3</v>
      </c>
      <c r="L31" s="70">
        <f t="shared" si="8"/>
        <v>1.5765826360676909E-2</v>
      </c>
      <c r="M31" s="67">
        <v>400</v>
      </c>
      <c r="N31" s="70">
        <f t="shared" si="9"/>
        <v>1.6070711128967456E-3</v>
      </c>
      <c r="O31" s="67" t="s">
        <v>21</v>
      </c>
    </row>
    <row r="32" spans="1:15" s="1" customFormat="1" x14ac:dyDescent="0.3">
      <c r="A32" s="76" t="s">
        <v>145</v>
      </c>
      <c r="B32" s="67" t="s">
        <v>15</v>
      </c>
      <c r="C32" s="67" t="s">
        <v>21</v>
      </c>
      <c r="D32" s="68">
        <v>44971</v>
      </c>
      <c r="E32" s="69">
        <v>7979</v>
      </c>
      <c r="F32" s="70">
        <f t="shared" si="5"/>
        <v>0.9994986840456197</v>
      </c>
      <c r="G32" s="69">
        <v>4</v>
      </c>
      <c r="H32" s="69">
        <v>2511</v>
      </c>
      <c r="I32" s="70">
        <f t="shared" si="6"/>
        <v>0.31470109036220079</v>
      </c>
      <c r="J32" s="69">
        <v>35</v>
      </c>
      <c r="K32" s="70">
        <f t="shared" si="7"/>
        <v>4.3865146008271712E-3</v>
      </c>
      <c r="L32" s="70">
        <f t="shared" si="8"/>
        <v>1.3938669852648347E-2</v>
      </c>
      <c r="M32" s="69">
        <v>6</v>
      </c>
      <c r="N32" s="70">
        <f t="shared" si="9"/>
        <v>7.5197393157037224E-4</v>
      </c>
      <c r="O32" s="67" t="s">
        <v>21</v>
      </c>
    </row>
    <row r="33" spans="1:15" s="1" customFormat="1" x14ac:dyDescent="0.3">
      <c r="A33" s="76" t="s">
        <v>145</v>
      </c>
      <c r="B33" s="67" t="s">
        <v>18</v>
      </c>
      <c r="C33" s="67" t="s">
        <v>21</v>
      </c>
      <c r="D33" s="68">
        <v>44971</v>
      </c>
      <c r="E33" s="69">
        <v>10759</v>
      </c>
      <c r="F33" s="70">
        <f t="shared" si="5"/>
        <v>0.99934938191281719</v>
      </c>
      <c r="G33" s="69">
        <v>7</v>
      </c>
      <c r="H33" s="69">
        <v>3667</v>
      </c>
      <c r="I33" s="70">
        <f t="shared" si="6"/>
        <v>0.3408309322427735</v>
      </c>
      <c r="J33" s="69">
        <v>58</v>
      </c>
      <c r="K33" s="70">
        <f t="shared" si="7"/>
        <v>5.3908355795148251E-3</v>
      </c>
      <c r="L33" s="70">
        <f t="shared" si="8"/>
        <v>1.5816743932369783E-2</v>
      </c>
      <c r="M33" s="69">
        <v>20</v>
      </c>
      <c r="N33" s="70">
        <f t="shared" si="9"/>
        <v>1.8589088205223534E-3</v>
      </c>
      <c r="O33" s="67" t="s">
        <v>21</v>
      </c>
    </row>
    <row r="34" spans="1:15" s="1" customFormat="1" x14ac:dyDescent="0.3">
      <c r="A34" s="76" t="s">
        <v>146</v>
      </c>
      <c r="B34" s="67" t="s">
        <v>15</v>
      </c>
      <c r="C34" s="67" t="s">
        <v>21</v>
      </c>
      <c r="D34" s="68">
        <v>44971</v>
      </c>
      <c r="E34" s="69">
        <v>163172</v>
      </c>
      <c r="F34" s="70">
        <f t="shared" si="5"/>
        <v>0.99882945603412354</v>
      </c>
      <c r="G34" s="69">
        <v>191</v>
      </c>
      <c r="H34" s="69">
        <v>70410</v>
      </c>
      <c r="I34" s="70">
        <f t="shared" si="6"/>
        <v>0.43150785674012698</v>
      </c>
      <c r="J34" s="69">
        <v>805</v>
      </c>
      <c r="K34" s="70">
        <f t="shared" si="7"/>
        <v>4.9334444635108967E-3</v>
      </c>
      <c r="L34" s="70">
        <f t="shared" si="8"/>
        <v>1.1433035080244283E-2</v>
      </c>
      <c r="M34" s="69">
        <v>141</v>
      </c>
      <c r="N34" s="70">
        <f t="shared" si="9"/>
        <v>8.6411884391929988E-4</v>
      </c>
      <c r="O34" s="67" t="s">
        <v>21</v>
      </c>
    </row>
    <row r="35" spans="1:15" s="1" customFormat="1" x14ac:dyDescent="0.3">
      <c r="A35" s="76" t="s">
        <v>146</v>
      </c>
      <c r="B35" s="67" t="s">
        <v>18</v>
      </c>
      <c r="C35" s="67" t="s">
        <v>21</v>
      </c>
      <c r="D35" s="68">
        <v>44971</v>
      </c>
      <c r="E35" s="69">
        <v>180341</v>
      </c>
      <c r="F35" s="70">
        <f t="shared" si="5"/>
        <v>0.99866364276564956</v>
      </c>
      <c r="G35" s="69">
        <v>241</v>
      </c>
      <c r="H35" s="69">
        <v>86070</v>
      </c>
      <c r="I35" s="70">
        <f t="shared" si="6"/>
        <v>0.47726251933836455</v>
      </c>
      <c r="J35" s="69">
        <v>1020</v>
      </c>
      <c r="K35" s="70">
        <f t="shared" si="7"/>
        <v>5.6559517802385485E-3</v>
      </c>
      <c r="L35" s="70">
        <f t="shared" si="8"/>
        <v>1.1850819100731963E-2</v>
      </c>
      <c r="M35" s="69">
        <v>327</v>
      </c>
      <c r="N35" s="70">
        <f t="shared" si="9"/>
        <v>1.8132316001352993E-3</v>
      </c>
      <c r="O35" s="67" t="s">
        <v>21</v>
      </c>
    </row>
    <row r="36" spans="1:15" s="1" customFormat="1" x14ac:dyDescent="0.3">
      <c r="A36" s="66" t="s">
        <v>33</v>
      </c>
      <c r="B36" s="67" t="s">
        <v>18</v>
      </c>
      <c r="C36" s="67" t="s">
        <v>21</v>
      </c>
      <c r="D36" s="68">
        <v>44974</v>
      </c>
      <c r="E36" s="69">
        <v>246868</v>
      </c>
      <c r="F36" s="70">
        <f t="shared" si="5"/>
        <v>0.99882528314726904</v>
      </c>
      <c r="G36" s="69">
        <v>290</v>
      </c>
      <c r="H36" s="69">
        <v>118975</v>
      </c>
      <c r="I36" s="70">
        <f t="shared" si="6"/>
        <v>0.48193771570231864</v>
      </c>
      <c r="J36" s="69">
        <v>3351</v>
      </c>
      <c r="K36" s="70">
        <f t="shared" si="7"/>
        <v>1.357405577069527E-2</v>
      </c>
      <c r="L36" s="70">
        <f t="shared" si="8"/>
        <v>2.8165581004412691E-2</v>
      </c>
      <c r="M36" s="69">
        <v>283</v>
      </c>
      <c r="N36" s="70">
        <f t="shared" si="9"/>
        <v>1.1463616183547483E-3</v>
      </c>
      <c r="O36" s="67" t="s">
        <v>21</v>
      </c>
    </row>
    <row r="37" spans="1:15" s="1" customFormat="1" x14ac:dyDescent="0.3">
      <c r="A37" s="66" t="s">
        <v>19</v>
      </c>
      <c r="B37" s="67" t="s">
        <v>18</v>
      </c>
      <c r="C37" s="67" t="s">
        <v>21</v>
      </c>
      <c r="D37" s="68">
        <v>44974</v>
      </c>
      <c r="E37" s="69">
        <v>332952</v>
      </c>
      <c r="F37" s="70">
        <f t="shared" si="5"/>
        <v>0.99791261202816017</v>
      </c>
      <c r="G37" s="69">
        <v>695</v>
      </c>
      <c r="H37" s="69">
        <v>129902</v>
      </c>
      <c r="I37" s="70">
        <f t="shared" si="6"/>
        <v>0.39015233427040535</v>
      </c>
      <c r="J37" s="69">
        <v>3972</v>
      </c>
      <c r="K37" s="70">
        <f t="shared" si="7"/>
        <v>1.1929647516759172E-2</v>
      </c>
      <c r="L37" s="70">
        <f t="shared" si="8"/>
        <v>3.0576896429616172E-2</v>
      </c>
      <c r="M37" s="69">
        <v>392</v>
      </c>
      <c r="N37" s="70">
        <f t="shared" si="9"/>
        <v>1.1773468848362526E-3</v>
      </c>
      <c r="O37" s="67" t="s">
        <v>21</v>
      </c>
    </row>
    <row r="38" spans="1:15" s="1" customFormat="1" x14ac:dyDescent="0.3">
      <c r="A38" s="66" t="s">
        <v>24</v>
      </c>
      <c r="B38" s="67" t="s">
        <v>18</v>
      </c>
      <c r="C38" s="67" t="s">
        <v>21</v>
      </c>
      <c r="D38" s="68">
        <v>44975</v>
      </c>
      <c r="E38" s="69">
        <v>15271</v>
      </c>
      <c r="F38" s="70">
        <f t="shared" si="5"/>
        <v>0.99947613122912715</v>
      </c>
      <c r="G38" s="69">
        <v>8</v>
      </c>
      <c r="H38" s="69">
        <v>5708</v>
      </c>
      <c r="I38" s="70">
        <f t="shared" si="6"/>
        <v>0.37378036801781156</v>
      </c>
      <c r="J38" s="69">
        <v>289</v>
      </c>
      <c r="K38" s="70">
        <f t="shared" si="7"/>
        <v>1.8924759347783381E-2</v>
      </c>
      <c r="L38" s="70">
        <f t="shared" si="8"/>
        <v>5.0630693763139452E-2</v>
      </c>
      <c r="M38" s="69">
        <v>27</v>
      </c>
      <c r="N38" s="70">
        <f t="shared" si="9"/>
        <v>1.768057101696025E-3</v>
      </c>
      <c r="O38" s="67" t="s">
        <v>21</v>
      </c>
    </row>
    <row r="39" spans="1:15" s="1" customFormat="1" x14ac:dyDescent="0.3">
      <c r="A39" s="91" t="s">
        <v>33</v>
      </c>
      <c r="B39" s="92" t="s">
        <v>18</v>
      </c>
      <c r="C39" s="92" t="s">
        <v>21</v>
      </c>
      <c r="D39" s="68">
        <v>44981</v>
      </c>
      <c r="E39" s="69">
        <v>246917</v>
      </c>
      <c r="F39" s="70">
        <f t="shared" si="5"/>
        <v>0.99919001121834461</v>
      </c>
      <c r="G39" s="69">
        <v>200</v>
      </c>
      <c r="H39" s="69">
        <v>92327</v>
      </c>
      <c r="I39" s="70">
        <f t="shared" si="6"/>
        <v>0.3739191712194786</v>
      </c>
      <c r="J39" s="69">
        <v>2269</v>
      </c>
      <c r="K39" s="70">
        <f t="shared" si="7"/>
        <v>9.1893227278802194E-3</v>
      </c>
      <c r="L39" s="70">
        <f t="shared" si="8"/>
        <v>2.4575692917564743E-2</v>
      </c>
      <c r="M39" s="69">
        <v>290</v>
      </c>
      <c r="N39" s="70">
        <f t="shared" si="9"/>
        <v>1.1744837334002924E-3</v>
      </c>
      <c r="O39" s="67" t="s">
        <v>21</v>
      </c>
    </row>
    <row r="40" spans="1:15" s="1" customFormat="1" x14ac:dyDescent="0.3">
      <c r="A40" s="93" t="s">
        <v>19</v>
      </c>
      <c r="B40" s="94" t="s">
        <v>18</v>
      </c>
      <c r="C40" s="94" t="s">
        <v>21</v>
      </c>
      <c r="D40" s="68">
        <v>44981</v>
      </c>
      <c r="E40" s="69">
        <v>333167</v>
      </c>
      <c r="F40" s="70">
        <f t="shared" si="5"/>
        <v>0.99855327808576477</v>
      </c>
      <c r="G40" s="69">
        <v>482</v>
      </c>
      <c r="H40" s="69">
        <v>100082</v>
      </c>
      <c r="I40" s="70">
        <f t="shared" si="6"/>
        <v>0.30039589755287888</v>
      </c>
      <c r="J40" s="69">
        <v>2565</v>
      </c>
      <c r="K40" s="70">
        <f t="shared" si="7"/>
        <v>7.6988417220192878E-3</v>
      </c>
      <c r="L40" s="70">
        <f t="shared" si="8"/>
        <v>2.5628984232928999E-2</v>
      </c>
      <c r="M40" s="69">
        <v>301</v>
      </c>
      <c r="N40" s="70">
        <f t="shared" si="9"/>
        <v>9.0345082196015812E-4</v>
      </c>
      <c r="O40" s="67" t="s">
        <v>21</v>
      </c>
    </row>
    <row r="41" spans="1:15" s="1" customFormat="1" x14ac:dyDescent="0.3">
      <c r="A41" s="66" t="s">
        <v>33</v>
      </c>
      <c r="B41" s="67" t="s">
        <v>18</v>
      </c>
      <c r="C41" s="67" t="s">
        <v>21</v>
      </c>
      <c r="D41" s="68">
        <v>44988</v>
      </c>
      <c r="E41" s="69">
        <v>245320</v>
      </c>
      <c r="F41" s="70">
        <f>(E41-G41)/E41</f>
        <v>0.99869558128159142</v>
      </c>
      <c r="G41" s="69">
        <v>320</v>
      </c>
      <c r="H41" s="69">
        <v>109864</v>
      </c>
      <c r="I41" s="70">
        <f>H41/E41</f>
        <v>0.44783955649763574</v>
      </c>
      <c r="J41" s="69">
        <v>2151</v>
      </c>
      <c r="K41" s="70">
        <f>J41/E41</f>
        <v>8.7681395728028706E-3</v>
      </c>
      <c r="L41" s="70">
        <f>J41/H41</f>
        <v>1.9578751911454161E-2</v>
      </c>
      <c r="M41" s="69">
        <v>295</v>
      </c>
      <c r="N41" s="70">
        <f>M41/E41</f>
        <v>1.2025110060329366E-3</v>
      </c>
      <c r="O41" s="67" t="s">
        <v>21</v>
      </c>
    </row>
    <row r="42" spans="1:15" s="1" customFormat="1" x14ac:dyDescent="0.3">
      <c r="A42" s="66" t="s">
        <v>19</v>
      </c>
      <c r="B42" s="67" t="s">
        <v>18</v>
      </c>
      <c r="C42" s="67" t="s">
        <v>21</v>
      </c>
      <c r="D42" s="68">
        <v>44988</v>
      </c>
      <c r="E42" s="69">
        <v>333132</v>
      </c>
      <c r="F42" s="70">
        <f t="shared" ref="F42:F89" si="10">(E42-G42)/E42</f>
        <v>0.99796477072151579</v>
      </c>
      <c r="G42" s="69">
        <v>678</v>
      </c>
      <c r="H42" s="69">
        <v>122788</v>
      </c>
      <c r="I42" s="70">
        <f t="shared" ref="I42:I89" si="11">H42/E42</f>
        <v>0.36858662632229866</v>
      </c>
      <c r="J42" s="69">
        <v>2826</v>
      </c>
      <c r="K42" s="70">
        <f t="shared" ref="K42:K89" si="12">J42/E42</f>
        <v>8.4831238067792948E-3</v>
      </c>
      <c r="L42" s="70">
        <f t="shared" ref="L42:L89" si="13">J42/H42</f>
        <v>2.3015278365964099E-2</v>
      </c>
      <c r="M42" s="69">
        <v>377</v>
      </c>
      <c r="N42" s="70">
        <f t="shared" ref="N42:N89" si="14">M42/E42</f>
        <v>1.1316835368562611E-3</v>
      </c>
      <c r="O42" s="67" t="s">
        <v>21</v>
      </c>
    </row>
    <row r="43" spans="1:15" s="1" customFormat="1" x14ac:dyDescent="0.3">
      <c r="A43" s="66" t="s">
        <v>24</v>
      </c>
      <c r="B43" s="67" t="s">
        <v>18</v>
      </c>
      <c r="C43" s="67" t="s">
        <v>21</v>
      </c>
      <c r="D43" s="68">
        <v>44989</v>
      </c>
      <c r="E43" s="69">
        <v>15041</v>
      </c>
      <c r="F43" s="70">
        <f t="shared" si="10"/>
        <v>0.99946812047071343</v>
      </c>
      <c r="G43" s="69">
        <v>8</v>
      </c>
      <c r="H43" s="69">
        <v>4998</v>
      </c>
      <c r="I43" s="70">
        <f t="shared" si="11"/>
        <v>0.33229173592181371</v>
      </c>
      <c r="J43" s="69">
        <v>279</v>
      </c>
      <c r="K43" s="70">
        <f t="shared" si="12"/>
        <v>1.8549298583870753E-2</v>
      </c>
      <c r="L43" s="70">
        <f t="shared" si="13"/>
        <v>5.5822328931572629E-2</v>
      </c>
      <c r="M43" s="69">
        <v>29</v>
      </c>
      <c r="N43" s="70">
        <f t="shared" si="14"/>
        <v>1.9280632936639851E-3</v>
      </c>
      <c r="O43" s="67" t="s">
        <v>21</v>
      </c>
    </row>
    <row r="44" spans="1:15" s="1" customFormat="1" x14ac:dyDescent="0.3">
      <c r="A44" s="66" t="s">
        <v>33</v>
      </c>
      <c r="B44" s="67" t="s">
        <v>18</v>
      </c>
      <c r="C44" s="67" t="s">
        <v>21</v>
      </c>
      <c r="D44" s="68">
        <v>44995</v>
      </c>
      <c r="E44" s="69">
        <v>244272</v>
      </c>
      <c r="F44" s="70">
        <f t="shared" si="10"/>
        <v>0.99864495316696145</v>
      </c>
      <c r="G44" s="69">
        <v>331</v>
      </c>
      <c r="H44" s="69">
        <v>113808</v>
      </c>
      <c r="I44" s="70">
        <f t="shared" si="11"/>
        <v>0.46590685792886616</v>
      </c>
      <c r="J44" s="69">
        <v>2357</v>
      </c>
      <c r="K44" s="70">
        <f t="shared" si="12"/>
        <v>9.6490797144167164E-3</v>
      </c>
      <c r="L44" s="70">
        <f t="shared" si="13"/>
        <v>2.0710319133980037E-2</v>
      </c>
      <c r="M44" s="69">
        <v>246</v>
      </c>
      <c r="N44" s="70">
        <f t="shared" si="14"/>
        <v>1.0070740813519356E-3</v>
      </c>
      <c r="O44" s="67" t="s">
        <v>21</v>
      </c>
    </row>
    <row r="45" spans="1:15" s="1" customFormat="1" x14ac:dyDescent="0.3">
      <c r="A45" s="66" t="s">
        <v>19</v>
      </c>
      <c r="B45" s="67" t="s">
        <v>18</v>
      </c>
      <c r="C45" s="67" t="s">
        <v>21</v>
      </c>
      <c r="D45" s="68">
        <v>44995</v>
      </c>
      <c r="E45" s="69">
        <v>332944</v>
      </c>
      <c r="F45" s="70">
        <f t="shared" si="10"/>
        <v>0.99804771973665241</v>
      </c>
      <c r="G45" s="69">
        <v>650</v>
      </c>
      <c r="H45" s="69">
        <v>125388</v>
      </c>
      <c r="I45" s="70">
        <f t="shared" si="11"/>
        <v>0.37660387332404249</v>
      </c>
      <c r="J45" s="69">
        <v>2893</v>
      </c>
      <c r="K45" s="70">
        <f t="shared" si="12"/>
        <v>8.689148925945505E-3</v>
      </c>
      <c r="L45" s="70">
        <f t="shared" si="13"/>
        <v>2.3072383322167992E-2</v>
      </c>
      <c r="M45" s="69">
        <v>376</v>
      </c>
      <c r="N45" s="70">
        <f t="shared" si="14"/>
        <v>1.1293190446441444E-3</v>
      </c>
      <c r="O45" s="67" t="s">
        <v>21</v>
      </c>
    </row>
    <row r="46" spans="1:15" s="1" customFormat="1" x14ac:dyDescent="0.3">
      <c r="A46" s="76" t="s">
        <v>204</v>
      </c>
      <c r="B46" s="67" t="s">
        <v>15</v>
      </c>
      <c r="C46" s="67" t="s">
        <v>21</v>
      </c>
      <c r="D46" s="68">
        <v>44998</v>
      </c>
      <c r="E46" s="69">
        <v>118798</v>
      </c>
      <c r="F46" s="70">
        <f t="shared" si="10"/>
        <v>0.99915823498712097</v>
      </c>
      <c r="G46" s="69">
        <v>100</v>
      </c>
      <c r="H46" s="69">
        <v>33631</v>
      </c>
      <c r="I46" s="70">
        <f t="shared" si="11"/>
        <v>0.28309399148133807</v>
      </c>
      <c r="J46" s="69">
        <v>764</v>
      </c>
      <c r="K46" s="70">
        <f t="shared" si="12"/>
        <v>6.4310846983955958E-3</v>
      </c>
      <c r="L46" s="70">
        <f t="shared" si="13"/>
        <v>2.2717135975736671E-2</v>
      </c>
      <c r="M46" s="69">
        <v>58</v>
      </c>
      <c r="N46" s="70">
        <f t="shared" si="14"/>
        <v>4.8822370746982272E-4</v>
      </c>
      <c r="O46" s="67" t="s">
        <v>21</v>
      </c>
    </row>
    <row r="47" spans="1:15" s="1" customFormat="1" x14ac:dyDescent="0.3">
      <c r="A47" s="76" t="s">
        <v>204</v>
      </c>
      <c r="B47" s="67" t="s">
        <v>18</v>
      </c>
      <c r="C47" s="67" t="s">
        <v>21</v>
      </c>
      <c r="D47" s="68">
        <v>44998</v>
      </c>
      <c r="E47" s="69">
        <v>217280</v>
      </c>
      <c r="F47" s="70">
        <f t="shared" si="10"/>
        <v>0.99899668630338734</v>
      </c>
      <c r="G47" s="69">
        <v>218</v>
      </c>
      <c r="H47" s="69">
        <v>67707</v>
      </c>
      <c r="I47" s="70">
        <f t="shared" si="11"/>
        <v>0.31161174521354934</v>
      </c>
      <c r="J47" s="69">
        <v>1712</v>
      </c>
      <c r="K47" s="70">
        <f t="shared" si="12"/>
        <v>7.8792341678939615E-3</v>
      </c>
      <c r="L47" s="70">
        <f t="shared" si="13"/>
        <v>2.5285421005213641E-2</v>
      </c>
      <c r="M47" s="69">
        <v>376</v>
      </c>
      <c r="N47" s="70">
        <f t="shared" si="14"/>
        <v>1.7304860088365242E-3</v>
      </c>
      <c r="O47" s="67" t="s">
        <v>21</v>
      </c>
    </row>
    <row r="48" spans="1:15" s="1" customFormat="1" x14ac:dyDescent="0.3">
      <c r="A48" s="76" t="s">
        <v>205</v>
      </c>
      <c r="B48" s="67" t="s">
        <v>15</v>
      </c>
      <c r="C48" s="67" t="s">
        <v>21</v>
      </c>
      <c r="D48" s="68">
        <v>44998</v>
      </c>
      <c r="E48" s="69">
        <v>2161357</v>
      </c>
      <c r="F48" s="70">
        <f t="shared" si="10"/>
        <v>0.99817383245803448</v>
      </c>
      <c r="G48" s="69">
        <v>3947</v>
      </c>
      <c r="H48" s="69">
        <v>1020528</v>
      </c>
      <c r="I48" s="70">
        <f t="shared" si="11"/>
        <v>0.4721700302171275</v>
      </c>
      <c r="J48" s="69">
        <v>14172</v>
      </c>
      <c r="K48" s="70">
        <f t="shared" si="12"/>
        <v>6.5569917417622357E-3</v>
      </c>
      <c r="L48" s="70">
        <f t="shared" si="13"/>
        <v>1.388692911904426E-2</v>
      </c>
      <c r="M48" s="69">
        <v>1710</v>
      </c>
      <c r="N48" s="70">
        <f t="shared" si="14"/>
        <v>7.9116962167749246E-4</v>
      </c>
      <c r="O48" s="67" t="s">
        <v>21</v>
      </c>
    </row>
    <row r="49" spans="1:15" s="1" customFormat="1" x14ac:dyDescent="0.3">
      <c r="A49" s="76" t="s">
        <v>205</v>
      </c>
      <c r="B49" s="67" t="s">
        <v>18</v>
      </c>
      <c r="C49" s="67" t="s">
        <v>21</v>
      </c>
      <c r="D49" s="68">
        <v>44998</v>
      </c>
      <c r="E49" s="69">
        <v>2385796</v>
      </c>
      <c r="F49" s="70">
        <f t="shared" si="10"/>
        <v>0.99837873816537537</v>
      </c>
      <c r="G49" s="69">
        <v>3868</v>
      </c>
      <c r="H49" s="69">
        <v>1196883</v>
      </c>
      <c r="I49" s="70">
        <f t="shared" si="11"/>
        <v>0.50167030207109076</v>
      </c>
      <c r="J49" s="69">
        <v>19035</v>
      </c>
      <c r="K49" s="70">
        <f t="shared" si="12"/>
        <v>7.9784692404547587E-3</v>
      </c>
      <c r="L49" s="70">
        <f t="shared" si="13"/>
        <v>1.5903810146856458E-2</v>
      </c>
      <c r="M49" s="69">
        <v>5208</v>
      </c>
      <c r="N49" s="70">
        <f t="shared" si="14"/>
        <v>2.182919243724107E-3</v>
      </c>
      <c r="O49" s="67" t="s">
        <v>21</v>
      </c>
    </row>
    <row r="50" spans="1:15" s="1" customFormat="1" x14ac:dyDescent="0.3">
      <c r="A50" s="66" t="s">
        <v>33</v>
      </c>
      <c r="B50" s="67" t="s">
        <v>18</v>
      </c>
      <c r="C50" s="67" t="s">
        <v>21</v>
      </c>
      <c r="D50" s="68">
        <v>45002</v>
      </c>
      <c r="E50" s="69">
        <v>242816</v>
      </c>
      <c r="F50" s="70">
        <f t="shared" si="10"/>
        <v>0.99848856747496051</v>
      </c>
      <c r="G50" s="69">
        <v>367</v>
      </c>
      <c r="H50" s="69">
        <v>108423</v>
      </c>
      <c r="I50" s="70">
        <f t="shared" si="11"/>
        <v>0.44652329335793356</v>
      </c>
      <c r="J50" s="69">
        <v>2193</v>
      </c>
      <c r="K50" s="70">
        <f t="shared" si="12"/>
        <v>9.0315300474433317E-3</v>
      </c>
      <c r="L50" s="70">
        <f t="shared" si="13"/>
        <v>2.0226335740571651E-2</v>
      </c>
      <c r="M50" s="69">
        <v>109</v>
      </c>
      <c r="N50" s="70">
        <f t="shared" si="14"/>
        <v>4.4889957828149712E-4</v>
      </c>
      <c r="O50" s="67" t="s">
        <v>21</v>
      </c>
    </row>
    <row r="51" spans="1:15" s="1" customFormat="1" x14ac:dyDescent="0.3">
      <c r="A51" s="66" t="s">
        <v>19</v>
      </c>
      <c r="B51" s="67" t="s">
        <v>18</v>
      </c>
      <c r="C51" s="67" t="s">
        <v>21</v>
      </c>
      <c r="D51" s="68">
        <v>45002</v>
      </c>
      <c r="E51" s="69">
        <v>332925</v>
      </c>
      <c r="F51" s="70">
        <f t="shared" si="10"/>
        <v>0.9977922955620635</v>
      </c>
      <c r="G51" s="69">
        <v>735</v>
      </c>
      <c r="H51" s="69">
        <v>121920</v>
      </c>
      <c r="I51" s="70">
        <f t="shared" si="11"/>
        <v>0.36620860554178869</v>
      </c>
      <c r="J51" s="69">
        <v>2847</v>
      </c>
      <c r="K51" s="70">
        <f t="shared" si="12"/>
        <v>8.5514755575580078E-3</v>
      </c>
      <c r="L51" s="70">
        <f t="shared" si="13"/>
        <v>2.3351377952755905E-2</v>
      </c>
      <c r="M51" s="69">
        <v>222</v>
      </c>
      <c r="N51" s="70">
        <f t="shared" si="14"/>
        <v>6.668168506420365E-4</v>
      </c>
      <c r="O51" s="67" t="s">
        <v>21</v>
      </c>
    </row>
    <row r="52" spans="1:15" s="1" customFormat="1" x14ac:dyDescent="0.3">
      <c r="A52" s="66" t="s">
        <v>24</v>
      </c>
      <c r="B52" s="67" t="s">
        <v>18</v>
      </c>
      <c r="C52" s="67" t="s">
        <v>21</v>
      </c>
      <c r="D52" s="68">
        <v>45003</v>
      </c>
      <c r="E52" s="69">
        <v>14849</v>
      </c>
      <c r="F52" s="70">
        <f t="shared" si="10"/>
        <v>0.99905717556737828</v>
      </c>
      <c r="G52" s="69">
        <v>14</v>
      </c>
      <c r="H52" s="69">
        <v>4800</v>
      </c>
      <c r="I52" s="70">
        <f t="shared" si="11"/>
        <v>0.32325409118459153</v>
      </c>
      <c r="J52" s="69">
        <v>229</v>
      </c>
      <c r="K52" s="70">
        <f t="shared" si="12"/>
        <v>1.5421913933598222E-2</v>
      </c>
      <c r="L52" s="70">
        <f t="shared" si="13"/>
        <v>4.7708333333333332E-2</v>
      </c>
      <c r="M52" s="69">
        <v>12</v>
      </c>
      <c r="N52" s="70">
        <f t="shared" si="14"/>
        <v>8.0813522796147888E-4</v>
      </c>
      <c r="O52" s="67" t="s">
        <v>21</v>
      </c>
    </row>
    <row r="53" spans="1:15" s="1" customFormat="1" x14ac:dyDescent="0.3">
      <c r="A53" s="66" t="s">
        <v>33</v>
      </c>
      <c r="B53" s="67" t="s">
        <v>18</v>
      </c>
      <c r="C53" s="67" t="s">
        <v>21</v>
      </c>
      <c r="D53" s="68">
        <v>45009</v>
      </c>
      <c r="E53" s="69">
        <v>242534</v>
      </c>
      <c r="F53" s="70">
        <f t="shared" si="10"/>
        <v>0.9979136945747813</v>
      </c>
      <c r="G53" s="69">
        <v>506</v>
      </c>
      <c r="H53" s="69">
        <v>109145</v>
      </c>
      <c r="I53" s="70">
        <f t="shared" si="11"/>
        <v>0.45001937872628167</v>
      </c>
      <c r="J53" s="69">
        <v>1804</v>
      </c>
      <c r="K53" s="70">
        <f t="shared" si="12"/>
        <v>7.4381323855624362E-3</v>
      </c>
      <c r="L53" s="70">
        <f t="shared" si="13"/>
        <v>1.6528471299647258E-2</v>
      </c>
      <c r="M53" s="69">
        <v>253</v>
      </c>
      <c r="N53" s="70">
        <f t="shared" si="14"/>
        <v>1.0431527126093661E-3</v>
      </c>
      <c r="O53" s="67" t="s">
        <v>21</v>
      </c>
    </row>
    <row r="54" spans="1:15" s="1" customFormat="1" x14ac:dyDescent="0.3">
      <c r="A54" s="66" t="s">
        <v>19</v>
      </c>
      <c r="B54" s="67" t="s">
        <v>18</v>
      </c>
      <c r="C54" s="67" t="s">
        <v>21</v>
      </c>
      <c r="D54" s="68">
        <v>45009</v>
      </c>
      <c r="E54" s="69">
        <v>332843</v>
      </c>
      <c r="F54" s="70">
        <f t="shared" si="10"/>
        <v>0.99724494731750402</v>
      </c>
      <c r="G54" s="69">
        <v>917</v>
      </c>
      <c r="H54" s="69">
        <v>121892</v>
      </c>
      <c r="I54" s="70">
        <f t="shared" si="11"/>
        <v>0.3662147018263866</v>
      </c>
      <c r="J54" s="69">
        <v>2295</v>
      </c>
      <c r="K54" s="70">
        <f t="shared" si="12"/>
        <v>6.8951427549925944E-3</v>
      </c>
      <c r="L54" s="70">
        <f t="shared" si="13"/>
        <v>1.8828142946214682E-2</v>
      </c>
      <c r="M54" s="69">
        <v>358</v>
      </c>
      <c r="N54" s="70">
        <f t="shared" si="14"/>
        <v>1.0755821813888229E-3</v>
      </c>
      <c r="O54" s="67" t="s">
        <v>21</v>
      </c>
    </row>
    <row r="55" spans="1:15" s="1" customFormat="1" x14ac:dyDescent="0.3">
      <c r="A55" s="66" t="s">
        <v>33</v>
      </c>
      <c r="B55" s="67" t="s">
        <v>18</v>
      </c>
      <c r="C55" s="67" t="s">
        <v>21</v>
      </c>
      <c r="D55" s="68">
        <v>45016</v>
      </c>
      <c r="E55" s="69">
        <v>241444</v>
      </c>
      <c r="F55" s="70">
        <f t="shared" si="10"/>
        <v>0.99723745464786862</v>
      </c>
      <c r="G55" s="69">
        <v>667</v>
      </c>
      <c r="H55" s="69">
        <v>108228</v>
      </c>
      <c r="I55" s="70">
        <f t="shared" si="11"/>
        <v>0.44825301105018139</v>
      </c>
      <c r="J55" s="69">
        <v>1997</v>
      </c>
      <c r="K55" s="70">
        <f t="shared" si="12"/>
        <v>8.2710690677755497E-3</v>
      </c>
      <c r="L55" s="70">
        <f t="shared" si="13"/>
        <v>1.8451786968252209E-2</v>
      </c>
      <c r="M55" s="69">
        <v>263</v>
      </c>
      <c r="N55" s="70">
        <f t="shared" si="14"/>
        <v>1.0892795016649824E-3</v>
      </c>
      <c r="O55" s="67" t="s">
        <v>21</v>
      </c>
    </row>
    <row r="56" spans="1:15" s="1" customFormat="1" x14ac:dyDescent="0.3">
      <c r="A56" s="66" t="s">
        <v>19</v>
      </c>
      <c r="B56" s="67" t="s">
        <v>18</v>
      </c>
      <c r="C56" s="67" t="s">
        <v>21</v>
      </c>
      <c r="D56" s="68">
        <v>45016</v>
      </c>
      <c r="E56" s="69">
        <v>332771</v>
      </c>
      <c r="F56" s="70">
        <f t="shared" si="10"/>
        <v>0.99625267826823849</v>
      </c>
      <c r="G56" s="69">
        <v>1247</v>
      </c>
      <c r="H56" s="69">
        <v>120812</v>
      </c>
      <c r="I56" s="70">
        <f t="shared" si="11"/>
        <v>0.36304846275667052</v>
      </c>
      <c r="J56" s="69">
        <v>2503</v>
      </c>
      <c r="K56" s="70">
        <f t="shared" si="12"/>
        <v>7.5216890894939763E-3</v>
      </c>
      <c r="L56" s="70">
        <f t="shared" si="13"/>
        <v>2.0718140582061385E-2</v>
      </c>
      <c r="M56" s="69">
        <v>335</v>
      </c>
      <c r="N56" s="70">
        <f t="shared" si="14"/>
        <v>1.0066983000321542E-3</v>
      </c>
      <c r="O56" s="67" t="s">
        <v>21</v>
      </c>
    </row>
    <row r="57" spans="1:15" s="1" customFormat="1" x14ac:dyDescent="0.3">
      <c r="A57" s="66" t="s">
        <v>24</v>
      </c>
      <c r="B57" s="67" t="s">
        <v>18</v>
      </c>
      <c r="C57" s="67" t="s">
        <v>21</v>
      </c>
      <c r="D57" s="68">
        <v>45017</v>
      </c>
      <c r="E57" s="69">
        <v>14810</v>
      </c>
      <c r="F57" s="70">
        <f t="shared" si="10"/>
        <v>0.99540850776502365</v>
      </c>
      <c r="G57" s="69">
        <v>68</v>
      </c>
      <c r="H57" s="69">
        <v>5047</v>
      </c>
      <c r="I57" s="70">
        <f t="shared" si="11"/>
        <v>0.34078325455773129</v>
      </c>
      <c r="J57" s="69">
        <v>211</v>
      </c>
      <c r="K57" s="70">
        <f t="shared" si="12"/>
        <v>1.4247130317353141E-2</v>
      </c>
      <c r="L57" s="70">
        <f t="shared" si="13"/>
        <v>4.1807014067763028E-2</v>
      </c>
      <c r="M57" s="69">
        <v>18</v>
      </c>
      <c r="N57" s="70">
        <f t="shared" si="14"/>
        <v>1.2153950033760973E-3</v>
      </c>
      <c r="O57" s="67" t="s">
        <v>21</v>
      </c>
    </row>
    <row r="58" spans="1:15" s="1" customFormat="1" x14ac:dyDescent="0.3">
      <c r="A58" s="66" t="s">
        <v>33</v>
      </c>
      <c r="B58" s="67" t="s">
        <v>18</v>
      </c>
      <c r="C58" s="67" t="s">
        <v>21</v>
      </c>
      <c r="D58" s="68">
        <v>45023</v>
      </c>
      <c r="E58" s="69">
        <v>238042</v>
      </c>
      <c r="F58" s="70">
        <f t="shared" si="10"/>
        <v>0.99618974802765903</v>
      </c>
      <c r="G58" s="69">
        <v>907</v>
      </c>
      <c r="H58" s="69">
        <v>105398</v>
      </c>
      <c r="I58" s="70">
        <f t="shared" si="11"/>
        <v>0.44277060350694414</v>
      </c>
      <c r="J58" s="69">
        <v>3143</v>
      </c>
      <c r="K58" s="70">
        <f t="shared" si="12"/>
        <v>1.3203552314297477E-2</v>
      </c>
      <c r="L58" s="70">
        <f t="shared" si="13"/>
        <v>2.982030019544963E-2</v>
      </c>
      <c r="M58" s="69">
        <v>197</v>
      </c>
      <c r="N58" s="70">
        <f t="shared" si="14"/>
        <v>8.2758504801673657E-4</v>
      </c>
      <c r="O58" s="67" t="s">
        <v>21</v>
      </c>
    </row>
    <row r="59" spans="1:15" s="1" customFormat="1" x14ac:dyDescent="0.3">
      <c r="A59" s="66" t="s">
        <v>19</v>
      </c>
      <c r="B59" s="67" t="s">
        <v>18</v>
      </c>
      <c r="C59" s="67" t="s">
        <v>21</v>
      </c>
      <c r="D59" s="68">
        <v>45023</v>
      </c>
      <c r="E59" s="69">
        <v>332850</v>
      </c>
      <c r="F59" s="70">
        <f t="shared" si="10"/>
        <v>0.99486555505482954</v>
      </c>
      <c r="G59" s="69">
        <v>1709</v>
      </c>
      <c r="H59" s="69">
        <v>119937</v>
      </c>
      <c r="I59" s="70">
        <f t="shared" si="11"/>
        <v>0.36033348355114919</v>
      </c>
      <c r="J59" s="69">
        <v>3704</v>
      </c>
      <c r="K59" s="70">
        <f t="shared" si="12"/>
        <v>1.1128135796905513E-2</v>
      </c>
      <c r="L59" s="70">
        <f t="shared" si="13"/>
        <v>3.0882880178760515E-2</v>
      </c>
      <c r="M59" s="69">
        <v>290</v>
      </c>
      <c r="N59" s="70">
        <f t="shared" si="14"/>
        <v>8.7126333183115516E-4</v>
      </c>
      <c r="O59" s="67" t="s">
        <v>21</v>
      </c>
    </row>
    <row r="60" spans="1:15" s="1" customFormat="1" x14ac:dyDescent="0.3">
      <c r="A60" s="66" t="s">
        <v>33</v>
      </c>
      <c r="B60" s="67" t="s">
        <v>18</v>
      </c>
      <c r="C60" s="67" t="s">
        <v>21</v>
      </c>
      <c r="D60" s="68">
        <v>45030</v>
      </c>
      <c r="E60" s="69">
        <v>238448</v>
      </c>
      <c r="F60" s="70">
        <f t="shared" si="10"/>
        <v>0.99592363953566398</v>
      </c>
      <c r="G60" s="69">
        <v>972</v>
      </c>
      <c r="H60" s="69">
        <v>106462</v>
      </c>
      <c r="I60" s="70">
        <f t="shared" si="11"/>
        <v>0.44647889686640274</v>
      </c>
      <c r="J60" s="69">
        <v>2225</v>
      </c>
      <c r="K60" s="70">
        <f t="shared" si="12"/>
        <v>9.331174931221901E-3</v>
      </c>
      <c r="L60" s="70">
        <f t="shared" si="13"/>
        <v>2.0899475869324266E-2</v>
      </c>
      <c r="M60" s="69">
        <v>223</v>
      </c>
      <c r="N60" s="70">
        <f t="shared" si="14"/>
        <v>9.352143863651614E-4</v>
      </c>
      <c r="O60" s="67" t="s">
        <v>21</v>
      </c>
    </row>
    <row r="61" spans="1:15" s="1" customFormat="1" x14ac:dyDescent="0.3">
      <c r="A61" s="66" t="s">
        <v>19</v>
      </c>
      <c r="B61" s="67" t="s">
        <v>18</v>
      </c>
      <c r="C61" s="67" t="s">
        <v>21</v>
      </c>
      <c r="D61" s="68">
        <v>45030</v>
      </c>
      <c r="E61" s="69">
        <v>332969</v>
      </c>
      <c r="F61" s="70">
        <f t="shared" si="10"/>
        <v>0.99439287140844945</v>
      </c>
      <c r="G61" s="69">
        <v>1867</v>
      </c>
      <c r="H61" s="69">
        <v>120031</v>
      </c>
      <c r="I61" s="70">
        <f t="shared" si="11"/>
        <v>0.36048701230444874</v>
      </c>
      <c r="J61" s="69">
        <v>2852</v>
      </c>
      <c r="K61" s="70">
        <f t="shared" si="12"/>
        <v>8.5653619406010767E-3</v>
      </c>
      <c r="L61" s="70">
        <f t="shared" si="13"/>
        <v>2.3760528530129717E-2</v>
      </c>
      <c r="M61" s="69">
        <v>329</v>
      </c>
      <c r="N61" s="70">
        <f t="shared" si="14"/>
        <v>9.8807997140874966E-4</v>
      </c>
      <c r="O61" s="67" t="s">
        <v>21</v>
      </c>
    </row>
    <row r="62" spans="1:15" s="1" customFormat="1" x14ac:dyDescent="0.3">
      <c r="A62" s="66" t="s">
        <v>24</v>
      </c>
      <c r="B62" s="67" t="s">
        <v>18</v>
      </c>
      <c r="C62" s="67" t="s">
        <v>21</v>
      </c>
      <c r="D62" s="68">
        <v>45031</v>
      </c>
      <c r="E62" s="69">
        <v>14896</v>
      </c>
      <c r="F62" s="70">
        <f t="shared" si="10"/>
        <v>0.9938238453276047</v>
      </c>
      <c r="G62" s="69">
        <v>92</v>
      </c>
      <c r="H62" s="69">
        <v>4369</v>
      </c>
      <c r="I62" s="70">
        <f t="shared" si="11"/>
        <v>0.29330021482277119</v>
      </c>
      <c r="J62" s="69">
        <v>141</v>
      </c>
      <c r="K62" s="70">
        <f t="shared" si="12"/>
        <v>9.4656283566058007E-3</v>
      </c>
      <c r="L62" s="70">
        <f t="shared" si="13"/>
        <v>3.2272831311512935E-2</v>
      </c>
      <c r="M62" s="69">
        <v>13</v>
      </c>
      <c r="N62" s="70">
        <f t="shared" si="14"/>
        <v>8.7271750805585397E-4</v>
      </c>
      <c r="O62" s="67" t="s">
        <v>21</v>
      </c>
    </row>
    <row r="63" spans="1:15" s="1" customFormat="1" x14ac:dyDescent="0.3">
      <c r="A63" s="66" t="s">
        <v>19</v>
      </c>
      <c r="B63" s="67" t="s">
        <v>18</v>
      </c>
      <c r="C63" s="67" t="s">
        <v>21</v>
      </c>
      <c r="D63" s="68">
        <v>45037</v>
      </c>
      <c r="E63" s="69">
        <v>332852</v>
      </c>
      <c r="F63" s="70">
        <f t="shared" si="10"/>
        <v>0.99491365531827958</v>
      </c>
      <c r="G63" s="69">
        <v>1693</v>
      </c>
      <c r="H63" s="69">
        <v>123871</v>
      </c>
      <c r="I63" s="70">
        <f t="shared" si="11"/>
        <v>0.3721503851561655</v>
      </c>
      <c r="J63" s="69">
        <v>2630</v>
      </c>
      <c r="K63" s="70">
        <f t="shared" si="12"/>
        <v>7.9014096355136815E-3</v>
      </c>
      <c r="L63" s="70">
        <f t="shared" si="13"/>
        <v>2.1231765304227785E-2</v>
      </c>
      <c r="M63" s="69">
        <v>304</v>
      </c>
      <c r="N63" s="70">
        <f t="shared" si="14"/>
        <v>9.1331883239397687E-4</v>
      </c>
      <c r="O63" s="67" t="s">
        <v>21</v>
      </c>
    </row>
    <row r="64" spans="1:15" s="1" customFormat="1" x14ac:dyDescent="0.3">
      <c r="A64" s="66" t="s">
        <v>33</v>
      </c>
      <c r="B64" s="67" t="s">
        <v>18</v>
      </c>
      <c r="C64" s="67" t="s">
        <v>21</v>
      </c>
      <c r="D64" s="68">
        <v>45037</v>
      </c>
      <c r="E64" s="69">
        <v>237372</v>
      </c>
      <c r="F64" s="70">
        <f t="shared" si="10"/>
        <v>0.99668031612827124</v>
      </c>
      <c r="G64" s="69">
        <v>788</v>
      </c>
      <c r="H64" s="69">
        <v>109976</v>
      </c>
      <c r="I64" s="70">
        <f t="shared" si="11"/>
        <v>0.46330653994573917</v>
      </c>
      <c r="J64" s="69">
        <v>2393</v>
      </c>
      <c r="K64" s="70">
        <f t="shared" si="12"/>
        <v>1.0081222722140775E-2</v>
      </c>
      <c r="L64" s="70">
        <f t="shared" si="13"/>
        <v>2.1759292936640723E-2</v>
      </c>
      <c r="M64" s="69">
        <v>217</v>
      </c>
      <c r="N64" s="70">
        <f t="shared" si="14"/>
        <v>9.1417690376287015E-4</v>
      </c>
      <c r="O64" s="67" t="s">
        <v>21</v>
      </c>
    </row>
    <row r="65" spans="1:15" s="1" customFormat="1" x14ac:dyDescent="0.3">
      <c r="A65" s="76" t="s">
        <v>289</v>
      </c>
      <c r="B65" s="67" t="s">
        <v>18</v>
      </c>
      <c r="C65" s="67" t="s">
        <v>21</v>
      </c>
      <c r="D65" s="68">
        <v>45043</v>
      </c>
      <c r="E65" s="69">
        <v>1074</v>
      </c>
      <c r="F65" s="70">
        <f t="shared" si="10"/>
        <v>0.9981378026070763</v>
      </c>
      <c r="G65" s="69">
        <v>2</v>
      </c>
      <c r="H65" s="69">
        <v>596</v>
      </c>
      <c r="I65" s="70">
        <f t="shared" si="11"/>
        <v>0.55493482309124764</v>
      </c>
      <c r="J65" s="69">
        <v>37</v>
      </c>
      <c r="K65" s="70">
        <f t="shared" si="12"/>
        <v>3.4450651769087522E-2</v>
      </c>
      <c r="L65" s="70">
        <f t="shared" si="13"/>
        <v>6.2080536912751678E-2</v>
      </c>
      <c r="M65" s="69">
        <v>2</v>
      </c>
      <c r="N65" s="70">
        <f t="shared" si="14"/>
        <v>1.8621973929236499E-3</v>
      </c>
      <c r="O65" s="67" t="s">
        <v>21</v>
      </c>
    </row>
    <row r="66" spans="1:15" s="1" customFormat="1" x14ac:dyDescent="0.3">
      <c r="A66" s="76" t="s">
        <v>289</v>
      </c>
      <c r="B66" s="67" t="s">
        <v>15</v>
      </c>
      <c r="C66" s="67" t="s">
        <v>21</v>
      </c>
      <c r="D66" s="68">
        <v>45043</v>
      </c>
      <c r="E66" s="69">
        <v>2062</v>
      </c>
      <c r="F66" s="70">
        <f t="shared" si="10"/>
        <v>0.99563530552861301</v>
      </c>
      <c r="G66" s="69">
        <v>9</v>
      </c>
      <c r="H66" s="69">
        <v>1140</v>
      </c>
      <c r="I66" s="70">
        <f t="shared" si="11"/>
        <v>0.55286129970902032</v>
      </c>
      <c r="J66" s="69">
        <v>50</v>
      </c>
      <c r="K66" s="70">
        <f t="shared" si="12"/>
        <v>2.4248302618816681E-2</v>
      </c>
      <c r="L66" s="70">
        <f t="shared" si="13"/>
        <v>4.3859649122807015E-2</v>
      </c>
      <c r="M66" s="69">
        <v>0</v>
      </c>
      <c r="N66" s="70">
        <f t="shared" si="14"/>
        <v>0</v>
      </c>
      <c r="O66" s="67" t="s">
        <v>21</v>
      </c>
    </row>
    <row r="67" spans="1:15" s="1" customFormat="1" x14ac:dyDescent="0.3">
      <c r="A67" s="76" t="s">
        <v>290</v>
      </c>
      <c r="B67" s="67" t="s">
        <v>18</v>
      </c>
      <c r="C67" s="67" t="s">
        <v>21</v>
      </c>
      <c r="D67" s="68">
        <v>45043</v>
      </c>
      <c r="E67" s="69">
        <v>678768</v>
      </c>
      <c r="F67" s="70">
        <f t="shared" si="10"/>
        <v>0.99574523253895297</v>
      </c>
      <c r="G67" s="69">
        <v>2888</v>
      </c>
      <c r="H67" s="69">
        <v>258730</v>
      </c>
      <c r="I67" s="70">
        <f t="shared" si="11"/>
        <v>0.38117589515121514</v>
      </c>
      <c r="J67" s="69">
        <v>2941</v>
      </c>
      <c r="K67" s="70">
        <f t="shared" si="12"/>
        <v>4.3328501048959288E-3</v>
      </c>
      <c r="L67" s="70">
        <f t="shared" si="13"/>
        <v>1.136706218838171E-2</v>
      </c>
      <c r="M67" s="69">
        <v>1372</v>
      </c>
      <c r="N67" s="70">
        <f t="shared" si="14"/>
        <v>2.0213091954835822E-3</v>
      </c>
      <c r="O67" s="67" t="s">
        <v>21</v>
      </c>
    </row>
    <row r="68" spans="1:15" s="1" customFormat="1" x14ac:dyDescent="0.3">
      <c r="A68" s="76" t="s">
        <v>290</v>
      </c>
      <c r="B68" s="67" t="s">
        <v>15</v>
      </c>
      <c r="C68" s="67" t="s">
        <v>21</v>
      </c>
      <c r="D68" s="68">
        <v>45043</v>
      </c>
      <c r="E68" s="69">
        <v>1710636</v>
      </c>
      <c r="F68" s="70">
        <f t="shared" si="10"/>
        <v>0.98448764085404494</v>
      </c>
      <c r="G68" s="69">
        <v>26536</v>
      </c>
      <c r="H68" s="69">
        <v>678239</v>
      </c>
      <c r="I68" s="70">
        <f t="shared" si="11"/>
        <v>0.39648353010225434</v>
      </c>
      <c r="J68" s="69">
        <v>7716</v>
      </c>
      <c r="K68" s="70">
        <f t="shared" si="12"/>
        <v>4.510603073944428E-3</v>
      </c>
      <c r="L68" s="70">
        <f t="shared" si="13"/>
        <v>1.1376520666018911E-2</v>
      </c>
      <c r="M68" s="69">
        <v>1287</v>
      </c>
      <c r="N68" s="70">
        <f t="shared" si="14"/>
        <v>7.5235175689041965E-4</v>
      </c>
      <c r="O68" s="67" t="s">
        <v>21</v>
      </c>
    </row>
    <row r="69" spans="1:15" s="1" customFormat="1" x14ac:dyDescent="0.3">
      <c r="A69" s="66" t="s">
        <v>33</v>
      </c>
      <c r="B69" s="67" t="s">
        <v>18</v>
      </c>
      <c r="C69" s="67" t="s">
        <v>21</v>
      </c>
      <c r="D69" s="68">
        <v>45044</v>
      </c>
      <c r="E69" s="69">
        <v>235331</v>
      </c>
      <c r="F69" s="70">
        <f t="shared" si="10"/>
        <v>0.99658778486472244</v>
      </c>
      <c r="G69" s="69">
        <v>803</v>
      </c>
      <c r="H69" s="69">
        <v>104943</v>
      </c>
      <c r="I69" s="70">
        <f t="shared" si="11"/>
        <v>0.44593784924213131</v>
      </c>
      <c r="J69" s="69">
        <v>1611</v>
      </c>
      <c r="K69" s="70">
        <f t="shared" si="12"/>
        <v>6.845676940139633E-3</v>
      </c>
      <c r="L69" s="70">
        <f t="shared" si="13"/>
        <v>1.5351190646350876E-2</v>
      </c>
      <c r="M69" s="69">
        <v>230</v>
      </c>
      <c r="N69" s="70">
        <f t="shared" si="14"/>
        <v>9.7734680088896065E-4</v>
      </c>
      <c r="O69" s="67" t="s">
        <v>21</v>
      </c>
    </row>
    <row r="70" spans="1:15" s="1" customFormat="1" x14ac:dyDescent="0.3">
      <c r="A70" s="66" t="s">
        <v>19</v>
      </c>
      <c r="B70" s="67" t="s">
        <v>18</v>
      </c>
      <c r="C70" s="67" t="s">
        <v>21</v>
      </c>
      <c r="D70" s="68">
        <v>45044</v>
      </c>
      <c r="E70" s="69">
        <v>332784</v>
      </c>
      <c r="F70" s="70">
        <f t="shared" si="10"/>
        <v>0.99478340304822344</v>
      </c>
      <c r="G70" s="69">
        <v>1736</v>
      </c>
      <c r="H70" s="69">
        <v>119981</v>
      </c>
      <c r="I70" s="70">
        <f t="shared" si="11"/>
        <v>0.36053716524832924</v>
      </c>
      <c r="J70" s="69">
        <v>1983</v>
      </c>
      <c r="K70" s="70">
        <f t="shared" si="12"/>
        <v>5.9588201355834413E-3</v>
      </c>
      <c r="L70" s="70">
        <f t="shared" si="13"/>
        <v>1.6527616872671506E-2</v>
      </c>
      <c r="M70" s="69">
        <v>297</v>
      </c>
      <c r="N70" s="70">
        <f t="shared" si="14"/>
        <v>8.9247079186499352E-4</v>
      </c>
      <c r="O70" s="67" t="s">
        <v>21</v>
      </c>
    </row>
    <row r="71" spans="1:15" s="1" customFormat="1" x14ac:dyDescent="0.3">
      <c r="A71" s="66" t="s">
        <v>24</v>
      </c>
      <c r="B71" s="67" t="s">
        <v>18</v>
      </c>
      <c r="C71" s="67" t="s">
        <v>21</v>
      </c>
      <c r="D71" s="68">
        <v>45045</v>
      </c>
      <c r="E71" s="69">
        <v>14780</v>
      </c>
      <c r="F71" s="70">
        <f t="shared" si="10"/>
        <v>0.99499323410013529</v>
      </c>
      <c r="G71" s="69">
        <v>74</v>
      </c>
      <c r="H71" s="69">
        <v>4768</v>
      </c>
      <c r="I71" s="70">
        <f t="shared" si="11"/>
        <v>0.32259810554803792</v>
      </c>
      <c r="J71" s="69">
        <v>171</v>
      </c>
      <c r="K71" s="70">
        <f t="shared" si="12"/>
        <v>1.1569688768606225E-2</v>
      </c>
      <c r="L71" s="70">
        <f t="shared" si="13"/>
        <v>3.5864093959731544E-2</v>
      </c>
      <c r="M71" s="69">
        <v>17</v>
      </c>
      <c r="N71" s="70">
        <f t="shared" si="14"/>
        <v>1.1502029769959404E-3</v>
      </c>
      <c r="O71" s="67" t="s">
        <v>21</v>
      </c>
    </row>
    <row r="72" spans="1:15" s="1" customFormat="1" x14ac:dyDescent="0.3">
      <c r="A72" s="76" t="s">
        <v>309</v>
      </c>
      <c r="B72" s="67" t="s">
        <v>18</v>
      </c>
      <c r="C72" s="67" t="s">
        <v>21</v>
      </c>
      <c r="D72" s="68">
        <v>45051</v>
      </c>
      <c r="E72" s="69">
        <v>220</v>
      </c>
      <c r="F72" s="70">
        <f t="shared" si="10"/>
        <v>1</v>
      </c>
      <c r="G72" s="69">
        <v>0</v>
      </c>
      <c r="H72" s="69">
        <v>96</v>
      </c>
      <c r="I72" s="70">
        <f t="shared" si="11"/>
        <v>0.43636363636363634</v>
      </c>
      <c r="J72" s="69">
        <v>7</v>
      </c>
      <c r="K72" s="70">
        <f t="shared" si="12"/>
        <v>3.1818181818181815E-2</v>
      </c>
      <c r="L72" s="70">
        <f t="shared" si="13"/>
        <v>7.2916666666666671E-2</v>
      </c>
      <c r="M72" s="69">
        <v>0</v>
      </c>
      <c r="N72" s="70">
        <f t="shared" si="14"/>
        <v>0</v>
      </c>
      <c r="O72" s="67" t="s">
        <v>21</v>
      </c>
    </row>
    <row r="73" spans="1:15" s="1" customFormat="1" x14ac:dyDescent="0.3">
      <c r="A73" s="76" t="s">
        <v>309</v>
      </c>
      <c r="B73" s="67" t="s">
        <v>15</v>
      </c>
      <c r="C73" s="67" t="s">
        <v>21</v>
      </c>
      <c r="D73" s="68">
        <v>45051</v>
      </c>
      <c r="E73" s="69">
        <v>188</v>
      </c>
      <c r="F73" s="70">
        <f t="shared" si="10"/>
        <v>0.99468085106382975</v>
      </c>
      <c r="G73" s="69">
        <v>1</v>
      </c>
      <c r="H73" s="69">
        <v>79</v>
      </c>
      <c r="I73" s="70">
        <f t="shared" si="11"/>
        <v>0.42021276595744683</v>
      </c>
      <c r="J73" s="69">
        <v>5</v>
      </c>
      <c r="K73" s="70">
        <f t="shared" si="12"/>
        <v>2.6595744680851064E-2</v>
      </c>
      <c r="L73" s="70">
        <f t="shared" si="13"/>
        <v>6.3291139240506333E-2</v>
      </c>
      <c r="M73" s="69">
        <v>0</v>
      </c>
      <c r="N73" s="70">
        <f t="shared" si="14"/>
        <v>0</v>
      </c>
      <c r="O73" s="67" t="s">
        <v>21</v>
      </c>
    </row>
    <row r="74" spans="1:15" s="1" customFormat="1" x14ac:dyDescent="0.3">
      <c r="A74" s="76" t="s">
        <v>310</v>
      </c>
      <c r="B74" s="67" t="s">
        <v>15</v>
      </c>
      <c r="C74" s="67" t="s">
        <v>21</v>
      </c>
      <c r="D74" s="68">
        <v>45051</v>
      </c>
      <c r="E74" s="69">
        <v>5270</v>
      </c>
      <c r="F74" s="70">
        <f t="shared" si="10"/>
        <v>0.99696394686907019</v>
      </c>
      <c r="G74" s="69">
        <v>16</v>
      </c>
      <c r="H74" s="69">
        <v>3116</v>
      </c>
      <c r="I74" s="70">
        <f t="shared" si="11"/>
        <v>0.59127134724857688</v>
      </c>
      <c r="J74" s="69">
        <v>304</v>
      </c>
      <c r="K74" s="70">
        <f t="shared" si="12"/>
        <v>5.7685009487666035E-2</v>
      </c>
      <c r="L74" s="70">
        <f t="shared" si="13"/>
        <v>9.7560975609756101E-2</v>
      </c>
      <c r="M74" s="69">
        <v>3</v>
      </c>
      <c r="N74" s="70">
        <f t="shared" si="14"/>
        <v>5.6925996204933583E-4</v>
      </c>
      <c r="O74" s="67" t="s">
        <v>21</v>
      </c>
    </row>
    <row r="75" spans="1:15" s="1" customFormat="1" x14ac:dyDescent="0.3">
      <c r="A75" s="76" t="s">
        <v>310</v>
      </c>
      <c r="B75" s="67" t="s">
        <v>18</v>
      </c>
      <c r="C75" s="67" t="s">
        <v>21</v>
      </c>
      <c r="D75" s="68">
        <v>45051</v>
      </c>
      <c r="E75" s="69">
        <v>2868</v>
      </c>
      <c r="F75" s="70">
        <f t="shared" si="10"/>
        <v>0.997907949790795</v>
      </c>
      <c r="G75" s="69">
        <v>6</v>
      </c>
      <c r="H75" s="69">
        <v>1708</v>
      </c>
      <c r="I75" s="70">
        <f t="shared" si="11"/>
        <v>0.59553695955369601</v>
      </c>
      <c r="J75" s="69">
        <v>168</v>
      </c>
      <c r="K75" s="70">
        <f t="shared" si="12"/>
        <v>5.8577405857740586E-2</v>
      </c>
      <c r="L75" s="70">
        <f t="shared" si="13"/>
        <v>9.8360655737704916E-2</v>
      </c>
      <c r="M75" s="69">
        <v>1</v>
      </c>
      <c r="N75" s="70">
        <f t="shared" si="14"/>
        <v>3.4867503486750347E-4</v>
      </c>
      <c r="O75" s="67" t="s">
        <v>21</v>
      </c>
    </row>
    <row r="76" spans="1:15" s="1" customFormat="1" x14ac:dyDescent="0.3">
      <c r="A76" s="66" t="s">
        <v>33</v>
      </c>
      <c r="B76" s="67" t="s">
        <v>18</v>
      </c>
      <c r="C76" s="67" t="s">
        <v>21</v>
      </c>
      <c r="D76" s="68">
        <v>45051</v>
      </c>
      <c r="E76" s="69">
        <v>234667</v>
      </c>
      <c r="F76" s="70">
        <f t="shared" si="10"/>
        <v>0.9958238695683671</v>
      </c>
      <c r="G76" s="69">
        <v>980</v>
      </c>
      <c r="H76" s="69">
        <v>103613</v>
      </c>
      <c r="I76" s="70">
        <f t="shared" si="11"/>
        <v>0.44153204327834761</v>
      </c>
      <c r="J76" s="69">
        <v>2426</v>
      </c>
      <c r="K76" s="70">
        <f t="shared" si="12"/>
        <v>1.03380534970831E-2</v>
      </c>
      <c r="L76" s="70">
        <f t="shared" si="13"/>
        <v>2.3414050360476002E-2</v>
      </c>
      <c r="M76" s="69">
        <v>200</v>
      </c>
      <c r="N76" s="70">
        <f t="shared" si="14"/>
        <v>8.522715166597775E-4</v>
      </c>
      <c r="O76" s="67" t="s">
        <v>21</v>
      </c>
    </row>
    <row r="77" spans="1:15" s="1" customFormat="1" x14ac:dyDescent="0.3">
      <c r="A77" s="66" t="s">
        <v>19</v>
      </c>
      <c r="B77" s="67" t="s">
        <v>18</v>
      </c>
      <c r="C77" s="67" t="s">
        <v>21</v>
      </c>
      <c r="D77" s="68">
        <v>45051</v>
      </c>
      <c r="E77" s="69">
        <v>332694</v>
      </c>
      <c r="F77" s="70">
        <f t="shared" si="10"/>
        <v>0.99370893373490354</v>
      </c>
      <c r="G77" s="69">
        <v>2093</v>
      </c>
      <c r="H77" s="69">
        <v>118691</v>
      </c>
      <c r="I77" s="70">
        <f t="shared" si="11"/>
        <v>0.3567572604254961</v>
      </c>
      <c r="J77" s="69">
        <v>2503</v>
      </c>
      <c r="K77" s="70">
        <f t="shared" si="12"/>
        <v>7.5234299386222779E-3</v>
      </c>
      <c r="L77" s="70">
        <f t="shared" si="13"/>
        <v>2.1088372328146195E-2</v>
      </c>
      <c r="M77" s="69">
        <v>295</v>
      </c>
      <c r="N77" s="70">
        <f t="shared" si="14"/>
        <v>8.8670069192711622E-4</v>
      </c>
      <c r="O77" s="67" t="s">
        <v>21</v>
      </c>
    </row>
    <row r="78" spans="1:15" s="1" customFormat="1" x14ac:dyDescent="0.3">
      <c r="A78" s="66" t="s">
        <v>33</v>
      </c>
      <c r="B78" s="67" t="s">
        <v>18</v>
      </c>
      <c r="C78" s="67" t="s">
        <v>21</v>
      </c>
      <c r="D78" s="68">
        <v>45058</v>
      </c>
      <c r="E78" s="69">
        <v>234031</v>
      </c>
      <c r="F78" s="70">
        <f t="shared" si="10"/>
        <v>0.99615008268135419</v>
      </c>
      <c r="G78" s="69">
        <v>901</v>
      </c>
      <c r="H78" s="69">
        <v>104160</v>
      </c>
      <c r="I78" s="70">
        <f t="shared" si="11"/>
        <v>0.445069242963539</v>
      </c>
      <c r="J78" s="69">
        <v>1430</v>
      </c>
      <c r="K78" s="70">
        <f t="shared" si="12"/>
        <v>6.1103016267075733E-3</v>
      </c>
      <c r="L78" s="70">
        <f t="shared" si="13"/>
        <v>1.3728878648233488E-2</v>
      </c>
      <c r="M78" s="69">
        <v>214</v>
      </c>
      <c r="N78" s="70">
        <f t="shared" si="14"/>
        <v>9.144087749058885E-4</v>
      </c>
      <c r="O78" s="67" t="s">
        <v>21</v>
      </c>
    </row>
    <row r="79" spans="1:15" s="1" customFormat="1" x14ac:dyDescent="0.3">
      <c r="A79" s="66" t="s">
        <v>19</v>
      </c>
      <c r="B79" s="67" t="s">
        <v>18</v>
      </c>
      <c r="C79" s="67" t="s">
        <v>21</v>
      </c>
      <c r="D79" s="68">
        <v>45058</v>
      </c>
      <c r="E79" s="69">
        <v>332479</v>
      </c>
      <c r="F79" s="70">
        <f t="shared" si="10"/>
        <v>0.99393044372727302</v>
      </c>
      <c r="G79" s="69">
        <v>2018</v>
      </c>
      <c r="H79" s="69">
        <v>119256</v>
      </c>
      <c r="I79" s="70">
        <f t="shared" si="11"/>
        <v>0.35868731558985678</v>
      </c>
      <c r="J79" s="69">
        <v>1813</v>
      </c>
      <c r="K79" s="70">
        <f t="shared" si="12"/>
        <v>5.4529759774301538E-3</v>
      </c>
      <c r="L79" s="70">
        <f t="shared" si="13"/>
        <v>1.5202589387536056E-2</v>
      </c>
      <c r="M79" s="69">
        <v>282</v>
      </c>
      <c r="N79" s="70">
        <f t="shared" si="14"/>
        <v>8.4817386962785619E-4</v>
      </c>
      <c r="O79" s="67" t="s">
        <v>21</v>
      </c>
    </row>
    <row r="80" spans="1:15" s="1" customFormat="1" x14ac:dyDescent="0.3">
      <c r="A80" s="66" t="s">
        <v>24</v>
      </c>
      <c r="B80" s="67" t="s">
        <v>18</v>
      </c>
      <c r="C80" s="67" t="s">
        <v>21</v>
      </c>
      <c r="D80" s="68">
        <v>45059</v>
      </c>
      <c r="E80" s="69">
        <v>14811</v>
      </c>
      <c r="F80" s="70">
        <f t="shared" si="10"/>
        <v>0.99520626561339542</v>
      </c>
      <c r="G80" s="69">
        <v>71</v>
      </c>
      <c r="H80" s="69">
        <v>3710</v>
      </c>
      <c r="I80" s="70">
        <f t="shared" si="11"/>
        <v>0.25048950104651946</v>
      </c>
      <c r="J80" s="69">
        <v>105</v>
      </c>
      <c r="K80" s="70">
        <f t="shared" si="12"/>
        <v>7.0893255013165894E-3</v>
      </c>
      <c r="L80" s="70">
        <f t="shared" si="13"/>
        <v>2.8301886792452831E-2</v>
      </c>
      <c r="M80" s="69">
        <v>12</v>
      </c>
      <c r="N80" s="70">
        <f t="shared" si="14"/>
        <v>8.1020862872189592E-4</v>
      </c>
      <c r="O80" s="67" t="s">
        <v>21</v>
      </c>
    </row>
    <row r="81" spans="1:15" s="1" customFormat="1" x14ac:dyDescent="0.3">
      <c r="A81" s="76" t="s">
        <v>330</v>
      </c>
      <c r="B81" s="67" t="s">
        <v>15</v>
      </c>
      <c r="C81" s="67" t="s">
        <v>21</v>
      </c>
      <c r="D81" s="68">
        <v>45062</v>
      </c>
      <c r="E81" s="69">
        <v>46794</v>
      </c>
      <c r="F81" s="70">
        <f t="shared" si="10"/>
        <v>0.99444373210240633</v>
      </c>
      <c r="G81" s="69">
        <v>260</v>
      </c>
      <c r="H81" s="69">
        <v>15307</v>
      </c>
      <c r="I81" s="70">
        <f t="shared" si="11"/>
        <v>0.32711458734025728</v>
      </c>
      <c r="J81" s="69">
        <v>389</v>
      </c>
      <c r="K81" s="70">
        <f t="shared" si="12"/>
        <v>8.3130315852459717E-3</v>
      </c>
      <c r="L81" s="70">
        <f t="shared" si="13"/>
        <v>2.5413209642647153E-2</v>
      </c>
      <c r="M81" s="69">
        <v>34</v>
      </c>
      <c r="N81" s="70">
        <f t="shared" si="14"/>
        <v>7.265888789161004E-4</v>
      </c>
      <c r="O81" s="67" t="s">
        <v>21</v>
      </c>
    </row>
    <row r="82" spans="1:15" s="1" customFormat="1" x14ac:dyDescent="0.3">
      <c r="A82" s="76" t="s">
        <v>330</v>
      </c>
      <c r="B82" s="67" t="s">
        <v>18</v>
      </c>
      <c r="C82" s="67" t="s">
        <v>21</v>
      </c>
      <c r="D82" s="68">
        <v>45062</v>
      </c>
      <c r="E82" s="69">
        <v>64902</v>
      </c>
      <c r="F82" s="70">
        <f t="shared" si="10"/>
        <v>0.99619426211827067</v>
      </c>
      <c r="G82" s="69">
        <v>247</v>
      </c>
      <c r="H82" s="69">
        <v>19668</v>
      </c>
      <c r="I82" s="70">
        <f t="shared" si="11"/>
        <v>0.30304150873624852</v>
      </c>
      <c r="J82" s="69">
        <v>536</v>
      </c>
      <c r="K82" s="70">
        <f t="shared" si="12"/>
        <v>8.2586052818094981E-3</v>
      </c>
      <c r="L82" s="70">
        <f t="shared" si="13"/>
        <v>2.7252389668497051E-2</v>
      </c>
      <c r="M82" s="69">
        <v>121</v>
      </c>
      <c r="N82" s="70">
        <f t="shared" si="14"/>
        <v>1.8643493266771441E-3</v>
      </c>
      <c r="O82" s="67" t="s">
        <v>21</v>
      </c>
    </row>
    <row r="83" spans="1:15" s="1" customFormat="1" x14ac:dyDescent="0.3">
      <c r="A83" s="76" t="s">
        <v>331</v>
      </c>
      <c r="B83" s="67" t="s">
        <v>15</v>
      </c>
      <c r="C83" s="67" t="s">
        <v>21</v>
      </c>
      <c r="D83" s="68">
        <v>45062</v>
      </c>
      <c r="E83" s="69">
        <v>757753</v>
      </c>
      <c r="F83" s="70">
        <f t="shared" si="10"/>
        <v>0.99529794009393557</v>
      </c>
      <c r="G83" s="69">
        <v>3563</v>
      </c>
      <c r="H83" s="69">
        <v>342575</v>
      </c>
      <c r="I83" s="70">
        <f t="shared" si="11"/>
        <v>0.45209322826831433</v>
      </c>
      <c r="J83" s="69">
        <v>5908</v>
      </c>
      <c r="K83" s="70">
        <f t="shared" si="12"/>
        <v>7.7967358756745268E-3</v>
      </c>
      <c r="L83" s="70">
        <f t="shared" si="13"/>
        <v>1.7245858571115814E-2</v>
      </c>
      <c r="M83" s="69">
        <v>643</v>
      </c>
      <c r="N83" s="70">
        <f t="shared" si="14"/>
        <v>8.4856147055834821E-4</v>
      </c>
      <c r="O83" s="67" t="s">
        <v>21</v>
      </c>
    </row>
    <row r="84" spans="1:15" s="1" customFormat="1" x14ac:dyDescent="0.3">
      <c r="A84" s="76" t="s">
        <v>331</v>
      </c>
      <c r="B84" s="67" t="s">
        <v>18</v>
      </c>
      <c r="C84" s="67" t="s">
        <v>21</v>
      </c>
      <c r="D84" s="68">
        <v>45062</v>
      </c>
      <c r="E84" s="69">
        <v>666595</v>
      </c>
      <c r="F84" s="70">
        <f t="shared" si="10"/>
        <v>0.99612958393027251</v>
      </c>
      <c r="G84" s="69">
        <v>2580</v>
      </c>
      <c r="H84" s="69">
        <v>315111</v>
      </c>
      <c r="I84" s="70">
        <f t="shared" si="11"/>
        <v>0.47271731711158949</v>
      </c>
      <c r="J84" s="69">
        <v>5650</v>
      </c>
      <c r="K84" s="70">
        <f t="shared" si="12"/>
        <v>8.4759111604497481E-3</v>
      </c>
      <c r="L84" s="70">
        <f t="shared" si="13"/>
        <v>1.7930189679192413E-2</v>
      </c>
      <c r="M84" s="69">
        <v>1488</v>
      </c>
      <c r="N84" s="70">
        <f t="shared" si="14"/>
        <v>2.2322399657963231E-3</v>
      </c>
      <c r="O84" s="67" t="s">
        <v>21</v>
      </c>
    </row>
    <row r="85" spans="1:15" s="1" customFormat="1" x14ac:dyDescent="0.3">
      <c r="A85" s="66" t="s">
        <v>33</v>
      </c>
      <c r="B85" s="67" t="s">
        <v>18</v>
      </c>
      <c r="C85" s="67" t="s">
        <v>21</v>
      </c>
      <c r="D85" s="68">
        <v>45065</v>
      </c>
      <c r="E85" s="69">
        <v>233791</v>
      </c>
      <c r="F85" s="70">
        <f t="shared" si="10"/>
        <v>0.99679200653575206</v>
      </c>
      <c r="G85" s="69">
        <v>750</v>
      </c>
      <c r="H85" s="69">
        <v>102602</v>
      </c>
      <c r="I85" s="70">
        <f t="shared" si="11"/>
        <v>0.43886206055836197</v>
      </c>
      <c r="J85" s="69">
        <v>2824</v>
      </c>
      <c r="K85" s="70">
        <f t="shared" si="12"/>
        <v>1.2079164724048403E-2</v>
      </c>
      <c r="L85" s="70">
        <f t="shared" si="13"/>
        <v>2.7523829944835383E-2</v>
      </c>
      <c r="M85" s="69">
        <v>187</v>
      </c>
      <c r="N85" s="70">
        <f t="shared" si="14"/>
        <v>7.9985970375249691E-4</v>
      </c>
      <c r="O85" s="67" t="s">
        <v>21</v>
      </c>
    </row>
    <row r="86" spans="1:15" s="1" customFormat="1" x14ac:dyDescent="0.3">
      <c r="A86" s="66" t="s">
        <v>19</v>
      </c>
      <c r="B86" s="67" t="s">
        <v>18</v>
      </c>
      <c r="C86" s="67" t="s">
        <v>21</v>
      </c>
      <c r="D86" s="68">
        <v>45065</v>
      </c>
      <c r="E86" s="69">
        <v>332248</v>
      </c>
      <c r="F86" s="70">
        <f t="shared" si="10"/>
        <v>0.99467867376176833</v>
      </c>
      <c r="G86" s="69">
        <v>1768</v>
      </c>
      <c r="H86" s="69">
        <v>117822</v>
      </c>
      <c r="I86" s="70">
        <f t="shared" si="11"/>
        <v>0.35462064481953237</v>
      </c>
      <c r="J86" s="69">
        <v>2942</v>
      </c>
      <c r="K86" s="70">
        <f t="shared" si="12"/>
        <v>8.8548313308131274E-3</v>
      </c>
      <c r="L86" s="70">
        <f t="shared" si="13"/>
        <v>2.4969869803602045E-2</v>
      </c>
      <c r="M86" s="69">
        <v>257</v>
      </c>
      <c r="N86" s="70">
        <f t="shared" si="14"/>
        <v>7.7351857648503522E-4</v>
      </c>
      <c r="O86" s="67" t="s">
        <v>21</v>
      </c>
    </row>
    <row r="87" spans="1:15" s="1" customFormat="1" x14ac:dyDescent="0.3">
      <c r="A87" s="76" t="s">
        <v>253</v>
      </c>
      <c r="B87" s="67" t="s">
        <v>18</v>
      </c>
      <c r="C87" s="67" t="s">
        <v>21</v>
      </c>
      <c r="D87" s="68">
        <v>45069</v>
      </c>
      <c r="E87" s="69">
        <v>502625</v>
      </c>
      <c r="F87" s="70">
        <f t="shared" si="10"/>
        <v>0.99686048246704795</v>
      </c>
      <c r="G87" s="69">
        <v>1578</v>
      </c>
      <c r="H87" s="69">
        <v>259787</v>
      </c>
      <c r="I87" s="70">
        <f t="shared" si="11"/>
        <v>0.51686048246704797</v>
      </c>
      <c r="J87" s="69">
        <v>4026</v>
      </c>
      <c r="K87" s="70">
        <f t="shared" si="12"/>
        <v>8.0099477741855264E-3</v>
      </c>
      <c r="L87" s="70">
        <f t="shared" si="13"/>
        <v>1.5497311258838973E-2</v>
      </c>
      <c r="M87" s="69">
        <v>1157</v>
      </c>
      <c r="N87" s="70">
        <f t="shared" si="14"/>
        <v>2.3019149465307136E-3</v>
      </c>
      <c r="O87" s="67" t="s">
        <v>21</v>
      </c>
    </row>
    <row r="88" spans="1:15" s="1" customFormat="1" x14ac:dyDescent="0.3">
      <c r="A88" s="76" t="s">
        <v>253</v>
      </c>
      <c r="B88" s="67" t="s">
        <v>15</v>
      </c>
      <c r="C88" s="67" t="s">
        <v>21</v>
      </c>
      <c r="D88" s="68">
        <v>45069</v>
      </c>
      <c r="E88" s="69">
        <v>732891</v>
      </c>
      <c r="F88" s="70">
        <f t="shared" si="10"/>
        <v>0.99644421885382684</v>
      </c>
      <c r="G88" s="69">
        <v>2606</v>
      </c>
      <c r="H88" s="69">
        <v>364040</v>
      </c>
      <c r="I88" s="70">
        <f t="shared" si="11"/>
        <v>0.49671779295966251</v>
      </c>
      <c r="J88" s="69">
        <v>5131</v>
      </c>
      <c r="K88" s="70">
        <f t="shared" si="12"/>
        <v>7.0010410825074943E-3</v>
      </c>
      <c r="L88" s="70">
        <f t="shared" si="13"/>
        <v>1.4094604988462807E-2</v>
      </c>
      <c r="M88" s="69">
        <v>539</v>
      </c>
      <c r="N88" s="70">
        <f t="shared" si="14"/>
        <v>7.354436062115649E-4</v>
      </c>
      <c r="O88" s="67" t="s">
        <v>21</v>
      </c>
    </row>
    <row r="89" spans="1:15" s="1" customFormat="1" x14ac:dyDescent="0.3">
      <c r="A89" s="66" t="s">
        <v>33</v>
      </c>
      <c r="B89" s="67" t="s">
        <v>18</v>
      </c>
      <c r="C89" s="67" t="s">
        <v>21</v>
      </c>
      <c r="D89" s="68">
        <v>45072</v>
      </c>
      <c r="E89" s="69">
        <v>234084</v>
      </c>
      <c r="F89" s="70">
        <f t="shared" si="10"/>
        <v>0.99713350762973973</v>
      </c>
      <c r="G89" s="69">
        <v>671</v>
      </c>
      <c r="H89" s="69">
        <v>104116</v>
      </c>
      <c r="I89" s="70">
        <f t="shared" si="11"/>
        <v>0.44478050614309395</v>
      </c>
      <c r="J89" s="69">
        <v>1860</v>
      </c>
      <c r="K89" s="70">
        <f t="shared" si="12"/>
        <v>7.9458655867124615E-3</v>
      </c>
      <c r="L89" s="70">
        <f t="shared" si="13"/>
        <v>1.7864689384916824E-2</v>
      </c>
      <c r="M89" s="69">
        <v>209</v>
      </c>
      <c r="N89" s="70">
        <f t="shared" si="14"/>
        <v>8.928418858187659E-4</v>
      </c>
      <c r="O89" s="67" t="s">
        <v>21</v>
      </c>
    </row>
    <row r="90" spans="1:15" s="1" customFormat="1" x14ac:dyDescent="0.3">
      <c r="A90" s="66" t="s">
        <v>19</v>
      </c>
      <c r="B90" s="67" t="s">
        <v>18</v>
      </c>
      <c r="C90" s="67" t="s">
        <v>21</v>
      </c>
      <c r="D90" s="68">
        <v>45072</v>
      </c>
      <c r="E90" s="69">
        <v>332318</v>
      </c>
      <c r="F90" s="70">
        <f t="shared" ref="F90:F115" si="15">(E90-G90)/E90</f>
        <v>0.99514621537202319</v>
      </c>
      <c r="G90" s="69">
        <v>1613</v>
      </c>
      <c r="H90" s="69">
        <v>119992</v>
      </c>
      <c r="I90" s="70">
        <f t="shared" ref="I90:I115" si="16">H90/E90</f>
        <v>0.36107583699950047</v>
      </c>
      <c r="J90" s="69">
        <v>2391</v>
      </c>
      <c r="K90" s="70">
        <f t="shared" ref="K90:K115" si="17">J90/E90</f>
        <v>7.1949157132625979E-3</v>
      </c>
      <c r="L90" s="70">
        <f t="shared" ref="L90:L115" si="18">J90/H90</f>
        <v>1.9926328421894794E-2</v>
      </c>
      <c r="M90" s="69">
        <v>279</v>
      </c>
      <c r="N90" s="70">
        <f t="shared" ref="N90:N115" si="19">M90/E90</f>
        <v>8.3955729150993923E-4</v>
      </c>
      <c r="O90" s="67" t="s">
        <v>21</v>
      </c>
    </row>
    <row r="91" spans="1:15" s="1" customFormat="1" x14ac:dyDescent="0.3">
      <c r="A91" s="66" t="s">
        <v>24</v>
      </c>
      <c r="B91" s="67" t="s">
        <v>18</v>
      </c>
      <c r="C91" s="67" t="s">
        <v>21</v>
      </c>
      <c r="D91" s="68">
        <v>45073</v>
      </c>
      <c r="E91" s="69">
        <v>14918</v>
      </c>
      <c r="F91" s="70">
        <f t="shared" si="15"/>
        <v>0.99597801313849044</v>
      </c>
      <c r="G91" s="69">
        <v>60</v>
      </c>
      <c r="H91" s="69">
        <v>4659</v>
      </c>
      <c r="I91" s="70">
        <f t="shared" si="16"/>
        <v>0.31230727979621931</v>
      </c>
      <c r="J91" s="69">
        <v>206</v>
      </c>
      <c r="K91" s="70">
        <f t="shared" si="17"/>
        <v>1.3808821557849578E-2</v>
      </c>
      <c r="L91" s="70">
        <f t="shared" si="18"/>
        <v>4.4215496887744149E-2</v>
      </c>
      <c r="M91" s="69">
        <v>11</v>
      </c>
      <c r="N91" s="70">
        <f t="shared" si="19"/>
        <v>7.3736425794342401E-4</v>
      </c>
      <c r="O91" s="67" t="s">
        <v>21</v>
      </c>
    </row>
    <row r="92" spans="1:15" s="1" customFormat="1" x14ac:dyDescent="0.3">
      <c r="A92" s="76" t="s">
        <v>352</v>
      </c>
      <c r="B92" s="67" t="s">
        <v>18</v>
      </c>
      <c r="C92" s="67" t="s">
        <v>21</v>
      </c>
      <c r="D92" s="68">
        <v>45075</v>
      </c>
      <c r="E92" s="88">
        <v>2481752</v>
      </c>
      <c r="F92" s="70">
        <f t="shared" si="15"/>
        <v>0.99678050022725884</v>
      </c>
      <c r="G92" s="88">
        <v>7990</v>
      </c>
      <c r="H92" s="88">
        <v>1153095</v>
      </c>
      <c r="I92" s="70">
        <f t="shared" si="16"/>
        <v>0.4646294230849819</v>
      </c>
      <c r="J92" s="69">
        <v>11575</v>
      </c>
      <c r="K92" s="70">
        <f t="shared" si="17"/>
        <v>4.6640437884204388E-3</v>
      </c>
      <c r="L92" s="70">
        <f t="shared" si="18"/>
        <v>1.0038201535866516E-2</v>
      </c>
      <c r="M92" s="69">
        <v>8098</v>
      </c>
      <c r="N92" s="70">
        <f t="shared" si="19"/>
        <v>3.2630174167281823E-3</v>
      </c>
      <c r="O92" s="67" t="s">
        <v>21</v>
      </c>
    </row>
    <row r="93" spans="1:15" s="1" customFormat="1" x14ac:dyDescent="0.3">
      <c r="A93" s="76" t="s">
        <v>352</v>
      </c>
      <c r="B93" s="67" t="s">
        <v>15</v>
      </c>
      <c r="C93" s="67" t="s">
        <v>21</v>
      </c>
      <c r="D93" s="68">
        <v>45075</v>
      </c>
      <c r="E93" s="88">
        <v>2425899</v>
      </c>
      <c r="F93" s="70">
        <f t="shared" si="15"/>
        <v>0.99596108494211832</v>
      </c>
      <c r="G93" s="88">
        <v>9798</v>
      </c>
      <c r="H93" s="88">
        <v>1122112</v>
      </c>
      <c r="I93" s="70">
        <f t="shared" si="16"/>
        <v>0.46255511874154692</v>
      </c>
      <c r="J93" s="69">
        <v>9114</v>
      </c>
      <c r="K93" s="70">
        <f t="shared" si="17"/>
        <v>3.7569577298972464E-3</v>
      </c>
      <c r="L93" s="70">
        <f t="shared" si="18"/>
        <v>8.1221838818228489E-3</v>
      </c>
      <c r="M93" s="69">
        <v>3095</v>
      </c>
      <c r="N93" s="70">
        <f t="shared" si="19"/>
        <v>1.2758156872977812E-3</v>
      </c>
      <c r="O93" s="67" t="s">
        <v>21</v>
      </c>
    </row>
    <row r="94" spans="1:15" s="1" customFormat="1" x14ac:dyDescent="0.3">
      <c r="A94" s="76" t="s">
        <v>33</v>
      </c>
      <c r="B94" s="67" t="s">
        <v>18</v>
      </c>
      <c r="C94" s="67" t="s">
        <v>21</v>
      </c>
      <c r="D94" s="68">
        <v>45079</v>
      </c>
      <c r="E94" s="88">
        <v>233832</v>
      </c>
      <c r="F94" s="70">
        <f t="shared" si="15"/>
        <v>0.99743833179376651</v>
      </c>
      <c r="G94" s="88">
        <v>599</v>
      </c>
      <c r="H94" s="88">
        <v>111353</v>
      </c>
      <c r="I94" s="70">
        <f t="shared" si="16"/>
        <v>0.47620941530671596</v>
      </c>
      <c r="J94" s="69">
        <v>1661</v>
      </c>
      <c r="K94" s="70">
        <f t="shared" si="17"/>
        <v>7.1033904683704538E-3</v>
      </c>
      <c r="L94" s="70">
        <f t="shared" si="18"/>
        <v>1.4916526721327669E-2</v>
      </c>
      <c r="M94" s="69">
        <v>194</v>
      </c>
      <c r="N94" s="70">
        <f t="shared" si="19"/>
        <v>8.2965547914742204E-4</v>
      </c>
      <c r="O94" s="67" t="s">
        <v>21</v>
      </c>
    </row>
    <row r="95" spans="1:15" s="1" customFormat="1" x14ac:dyDescent="0.3">
      <c r="A95" s="76" t="s">
        <v>19</v>
      </c>
      <c r="B95" s="67" t="s">
        <v>18</v>
      </c>
      <c r="C95" s="67" t="s">
        <v>21</v>
      </c>
      <c r="D95" s="68">
        <v>45079</v>
      </c>
      <c r="E95" s="88">
        <v>332161</v>
      </c>
      <c r="F95" s="70">
        <f t="shared" si="15"/>
        <v>0.99540584234753626</v>
      </c>
      <c r="G95" s="88">
        <v>1526</v>
      </c>
      <c r="H95" s="88">
        <v>127397</v>
      </c>
      <c r="I95" s="70">
        <f t="shared" si="16"/>
        <v>0.38353990986298814</v>
      </c>
      <c r="J95" s="69">
        <v>2215</v>
      </c>
      <c r="K95" s="70">
        <f t="shared" si="17"/>
        <v>6.6684529490217094E-3</v>
      </c>
      <c r="L95" s="70">
        <f t="shared" si="18"/>
        <v>1.738659466078479E-2</v>
      </c>
      <c r="M95" s="69">
        <v>262</v>
      </c>
      <c r="N95" s="70">
        <f t="shared" si="19"/>
        <v>7.8877411857502838E-4</v>
      </c>
      <c r="O95" s="67" t="s">
        <v>21</v>
      </c>
    </row>
    <row r="96" spans="1:15" s="1" customFormat="1" x14ac:dyDescent="0.3">
      <c r="A96" s="76" t="s">
        <v>294</v>
      </c>
      <c r="B96" s="67" t="s">
        <v>15</v>
      </c>
      <c r="C96" s="67" t="s">
        <v>21</v>
      </c>
      <c r="D96" s="68">
        <v>45083</v>
      </c>
      <c r="E96" s="69">
        <v>19952</v>
      </c>
      <c r="F96" s="70">
        <f t="shared" si="15"/>
        <v>0.99624097834803527</v>
      </c>
      <c r="G96" s="67">
        <v>75</v>
      </c>
      <c r="H96" s="69">
        <v>7063</v>
      </c>
      <c r="I96" s="70">
        <f t="shared" si="16"/>
        <v>0.35399959903769046</v>
      </c>
      <c r="J96" s="69">
        <v>80</v>
      </c>
      <c r="K96" s="70">
        <f t="shared" si="17"/>
        <v>4.0096230954290296E-3</v>
      </c>
      <c r="L96" s="70">
        <f t="shared" si="18"/>
        <v>1.132663174288546E-2</v>
      </c>
      <c r="M96" s="69">
        <v>18</v>
      </c>
      <c r="N96" s="70">
        <f t="shared" si="19"/>
        <v>9.0216519647153166E-4</v>
      </c>
      <c r="O96" s="67" t="s">
        <v>21</v>
      </c>
    </row>
    <row r="97" spans="1:15" s="1" customFormat="1" x14ac:dyDescent="0.3">
      <c r="A97" s="76" t="s">
        <v>294</v>
      </c>
      <c r="B97" s="67" t="s">
        <v>18</v>
      </c>
      <c r="C97" s="67" t="s">
        <v>21</v>
      </c>
      <c r="D97" s="68">
        <v>45083</v>
      </c>
      <c r="E97" s="69">
        <v>19377</v>
      </c>
      <c r="F97" s="70">
        <f t="shared" si="15"/>
        <v>0.99710997574443927</v>
      </c>
      <c r="G97" s="67">
        <v>56</v>
      </c>
      <c r="H97" s="69">
        <v>6271</v>
      </c>
      <c r="I97" s="70">
        <f t="shared" si="16"/>
        <v>0.32363110904680809</v>
      </c>
      <c r="J97" s="69">
        <v>74</v>
      </c>
      <c r="K97" s="70">
        <f t="shared" si="17"/>
        <v>3.818960623419518E-3</v>
      </c>
      <c r="L97" s="70">
        <f t="shared" si="18"/>
        <v>1.1800350821240632E-2</v>
      </c>
      <c r="M97" s="69">
        <v>27</v>
      </c>
      <c r="N97" s="70">
        <f t="shared" si="19"/>
        <v>1.3934045517882026E-3</v>
      </c>
      <c r="O97" s="67" t="s">
        <v>21</v>
      </c>
    </row>
    <row r="98" spans="1:15" s="1" customFormat="1" x14ac:dyDescent="0.3">
      <c r="A98" s="76" t="s">
        <v>293</v>
      </c>
      <c r="B98" s="67" t="s">
        <v>15</v>
      </c>
      <c r="C98" s="67" t="s">
        <v>21</v>
      </c>
      <c r="D98" s="68">
        <v>45083</v>
      </c>
      <c r="E98" s="69">
        <v>328632</v>
      </c>
      <c r="F98" s="70">
        <f t="shared" si="15"/>
        <v>0.99668626305411523</v>
      </c>
      <c r="G98" s="67">
        <v>1089</v>
      </c>
      <c r="H98" s="69">
        <v>142276</v>
      </c>
      <c r="I98" s="70">
        <f t="shared" si="16"/>
        <v>0.43293410258282822</v>
      </c>
      <c r="J98" s="69">
        <v>1477</v>
      </c>
      <c r="K98" s="70">
        <f t="shared" si="17"/>
        <v>4.4943888604883275E-3</v>
      </c>
      <c r="L98" s="70">
        <f t="shared" si="18"/>
        <v>1.0381230847085945E-2</v>
      </c>
      <c r="M98" s="69">
        <v>236</v>
      </c>
      <c r="N98" s="70">
        <f t="shared" si="19"/>
        <v>7.1812848414031503E-4</v>
      </c>
      <c r="O98" s="67" t="s">
        <v>21</v>
      </c>
    </row>
    <row r="99" spans="1:15" s="1" customFormat="1" x14ac:dyDescent="0.3">
      <c r="A99" s="76" t="s">
        <v>293</v>
      </c>
      <c r="B99" s="67" t="s">
        <v>18</v>
      </c>
      <c r="C99" s="67" t="s">
        <v>21</v>
      </c>
      <c r="D99" s="68">
        <v>45083</v>
      </c>
      <c r="E99" s="69">
        <v>230568</v>
      </c>
      <c r="F99" s="70">
        <f t="shared" si="15"/>
        <v>0.99710714409631862</v>
      </c>
      <c r="G99" s="67">
        <v>667</v>
      </c>
      <c r="H99" s="69">
        <v>87841</v>
      </c>
      <c r="I99" s="70">
        <f t="shared" si="16"/>
        <v>0.38097654488046911</v>
      </c>
      <c r="J99" s="69">
        <v>989</v>
      </c>
      <c r="K99" s="70">
        <f t="shared" si="17"/>
        <v>4.2894070295964749E-3</v>
      </c>
      <c r="L99" s="70">
        <f t="shared" si="18"/>
        <v>1.1258979292130098E-2</v>
      </c>
      <c r="M99" s="69">
        <v>361</v>
      </c>
      <c r="N99" s="70">
        <f t="shared" si="19"/>
        <v>1.5656986225321813E-3</v>
      </c>
      <c r="O99" s="67" t="s">
        <v>21</v>
      </c>
    </row>
    <row r="100" spans="1:15" s="1" customFormat="1" x14ac:dyDescent="0.3">
      <c r="A100" s="76" t="s">
        <v>33</v>
      </c>
      <c r="B100" s="67" t="s">
        <v>18</v>
      </c>
      <c r="C100" s="67" t="s">
        <v>21</v>
      </c>
      <c r="D100" s="68">
        <v>45086</v>
      </c>
      <c r="E100" s="69">
        <v>233139</v>
      </c>
      <c r="F100" s="70">
        <f t="shared" si="15"/>
        <v>0.99747789945054233</v>
      </c>
      <c r="G100" s="67">
        <v>588</v>
      </c>
      <c r="H100" s="69">
        <v>101650</v>
      </c>
      <c r="I100" s="70">
        <f t="shared" si="16"/>
        <v>0.43600598784416161</v>
      </c>
      <c r="J100" s="69">
        <v>2115</v>
      </c>
      <c r="K100" s="70">
        <f t="shared" si="17"/>
        <v>9.0718412620797041E-3</v>
      </c>
      <c r="L100" s="70">
        <f t="shared" si="18"/>
        <v>2.0806689621249385E-2</v>
      </c>
      <c r="M100" s="69">
        <v>198</v>
      </c>
      <c r="N100" s="70">
        <f t="shared" si="19"/>
        <v>8.4927875645001479E-4</v>
      </c>
      <c r="O100" s="67" t="s">
        <v>21</v>
      </c>
    </row>
    <row r="101" spans="1:15" s="1" customFormat="1" x14ac:dyDescent="0.3">
      <c r="A101" s="76" t="s">
        <v>19</v>
      </c>
      <c r="B101" s="67" t="s">
        <v>18</v>
      </c>
      <c r="C101" s="67" t="s">
        <v>21</v>
      </c>
      <c r="D101" s="68">
        <v>45086</v>
      </c>
      <c r="E101" s="69">
        <v>332040</v>
      </c>
      <c r="F101" s="70">
        <f t="shared" si="15"/>
        <v>0.99566317311167329</v>
      </c>
      <c r="G101" s="67">
        <v>1440</v>
      </c>
      <c r="H101" s="69">
        <v>117637</v>
      </c>
      <c r="I101" s="70">
        <f t="shared" si="16"/>
        <v>0.35428562823756177</v>
      </c>
      <c r="J101" s="69">
        <v>2574</v>
      </c>
      <c r="K101" s="70">
        <f t="shared" si="17"/>
        <v>7.7520780628839896E-3</v>
      </c>
      <c r="L101" s="70">
        <f t="shared" si="18"/>
        <v>2.1880870814454636E-2</v>
      </c>
      <c r="M101" s="69">
        <v>276</v>
      </c>
      <c r="N101" s="70">
        <f t="shared" si="19"/>
        <v>8.3122515359595225E-4</v>
      </c>
      <c r="O101" s="67" t="s">
        <v>21</v>
      </c>
    </row>
    <row r="102" spans="1:15" s="1" customFormat="1" x14ac:dyDescent="0.3">
      <c r="A102" s="76" t="s">
        <v>24</v>
      </c>
      <c r="B102" s="67" t="s">
        <v>18</v>
      </c>
      <c r="C102" s="67" t="s">
        <v>21</v>
      </c>
      <c r="D102" s="68">
        <v>45087</v>
      </c>
      <c r="E102" s="69">
        <v>14891</v>
      </c>
      <c r="F102" s="70">
        <f t="shared" si="15"/>
        <v>0.99697804042710358</v>
      </c>
      <c r="G102" s="67">
        <v>45</v>
      </c>
      <c r="H102" s="69">
        <v>4585</v>
      </c>
      <c r="I102" s="70">
        <f t="shared" si="16"/>
        <v>0.30790410314955341</v>
      </c>
      <c r="J102" s="69">
        <v>194</v>
      </c>
      <c r="K102" s="70">
        <f t="shared" si="17"/>
        <v>1.3028003492042172E-2</v>
      </c>
      <c r="L102" s="70">
        <f t="shared" si="18"/>
        <v>4.2311886586695747E-2</v>
      </c>
      <c r="M102" s="69">
        <v>14</v>
      </c>
      <c r="N102" s="70">
        <f t="shared" si="19"/>
        <v>9.4016520045665168E-4</v>
      </c>
      <c r="O102" s="67" t="s">
        <v>21</v>
      </c>
    </row>
    <row r="103" spans="1:15" s="1" customFormat="1" x14ac:dyDescent="0.3">
      <c r="A103" s="76" t="s">
        <v>637</v>
      </c>
      <c r="B103" s="67" t="s">
        <v>18</v>
      </c>
      <c r="C103" s="67" t="s">
        <v>21</v>
      </c>
      <c r="D103" s="68">
        <v>45090</v>
      </c>
      <c r="E103" s="69">
        <v>51342</v>
      </c>
      <c r="F103" s="70">
        <f t="shared" si="15"/>
        <v>0.99785750457714928</v>
      </c>
      <c r="G103" s="67">
        <v>110</v>
      </c>
      <c r="H103" s="69">
        <v>16467</v>
      </c>
      <c r="I103" s="70">
        <f t="shared" si="16"/>
        <v>0.32073156480074794</v>
      </c>
      <c r="J103" s="69">
        <v>209</v>
      </c>
      <c r="K103" s="70">
        <f t="shared" si="17"/>
        <v>4.0707413034163061E-3</v>
      </c>
      <c r="L103" s="70">
        <f t="shared" si="18"/>
        <v>1.2692050768203072E-2</v>
      </c>
      <c r="M103" s="69">
        <v>76</v>
      </c>
      <c r="N103" s="70">
        <f t="shared" si="19"/>
        <v>1.4802695648786569E-3</v>
      </c>
      <c r="O103" s="67" t="s">
        <v>21</v>
      </c>
    </row>
    <row r="104" spans="1:15" s="1" customFormat="1" x14ac:dyDescent="0.3">
      <c r="A104" s="76" t="s">
        <v>637</v>
      </c>
      <c r="B104" s="67" t="s">
        <v>15</v>
      </c>
      <c r="C104" s="67" t="s">
        <v>21</v>
      </c>
      <c r="D104" s="68">
        <v>45090</v>
      </c>
      <c r="E104" s="69">
        <v>46205</v>
      </c>
      <c r="F104" s="70">
        <f t="shared" si="15"/>
        <v>0.99722973704144569</v>
      </c>
      <c r="G104" s="67">
        <v>128</v>
      </c>
      <c r="H104" s="69">
        <v>15250</v>
      </c>
      <c r="I104" s="70">
        <f t="shared" si="16"/>
        <v>0.33005086029650471</v>
      </c>
      <c r="J104" s="69">
        <v>175</v>
      </c>
      <c r="K104" s="70">
        <f t="shared" si="17"/>
        <v>3.7874688886484148E-3</v>
      </c>
      <c r="L104" s="70">
        <f t="shared" si="18"/>
        <v>1.1475409836065573E-2</v>
      </c>
      <c r="M104" s="69">
        <v>20</v>
      </c>
      <c r="N104" s="70">
        <f t="shared" si="19"/>
        <v>4.3285358727410453E-4</v>
      </c>
      <c r="O104" s="67" t="s">
        <v>21</v>
      </c>
    </row>
    <row r="105" spans="1:15" s="1" customFormat="1" x14ac:dyDescent="0.3">
      <c r="A105" s="76" t="s">
        <v>638</v>
      </c>
      <c r="B105" s="67" t="s">
        <v>15</v>
      </c>
      <c r="C105" s="67" t="s">
        <v>21</v>
      </c>
      <c r="D105" s="68">
        <v>45090</v>
      </c>
      <c r="E105" s="69">
        <v>791462</v>
      </c>
      <c r="F105" s="70">
        <f t="shared" si="15"/>
        <v>0.99723928628285374</v>
      </c>
      <c r="G105" s="67">
        <v>2185</v>
      </c>
      <c r="H105" s="69">
        <v>365535</v>
      </c>
      <c r="I105" s="70">
        <f t="shared" si="16"/>
        <v>0.46184782086821602</v>
      </c>
      <c r="J105" s="69">
        <v>3029</v>
      </c>
      <c r="K105" s="70">
        <f t="shared" si="17"/>
        <v>3.8270946678425496E-3</v>
      </c>
      <c r="L105" s="70">
        <f t="shared" si="18"/>
        <v>8.2864841943999894E-3</v>
      </c>
      <c r="M105" s="69">
        <v>679</v>
      </c>
      <c r="N105" s="70">
        <f t="shared" si="19"/>
        <v>8.5790600180425593E-4</v>
      </c>
      <c r="O105" s="67" t="s">
        <v>21</v>
      </c>
    </row>
    <row r="106" spans="1:15" s="1" customFormat="1" x14ac:dyDescent="0.3">
      <c r="A106" s="76" t="s">
        <v>638</v>
      </c>
      <c r="B106" s="67" t="s">
        <v>18</v>
      </c>
      <c r="C106" s="67" t="s">
        <v>21</v>
      </c>
      <c r="D106" s="68">
        <v>45090</v>
      </c>
      <c r="E106" s="69">
        <v>575537</v>
      </c>
      <c r="F106" s="70">
        <f t="shared" si="15"/>
        <v>0.99763525194731184</v>
      </c>
      <c r="G106" s="67">
        <v>1361</v>
      </c>
      <c r="H106" s="69">
        <v>259170</v>
      </c>
      <c r="I106" s="70">
        <f t="shared" si="16"/>
        <v>0.45030988450785964</v>
      </c>
      <c r="J106" s="69">
        <v>2376</v>
      </c>
      <c r="K106" s="70">
        <f t="shared" si="17"/>
        <v>4.1283184226209605E-3</v>
      </c>
      <c r="L106" s="70">
        <f t="shared" si="18"/>
        <v>9.167727746266929E-3</v>
      </c>
      <c r="M106" s="69">
        <v>1093</v>
      </c>
      <c r="N106" s="70">
        <f t="shared" si="19"/>
        <v>1.8990959747157872E-3</v>
      </c>
      <c r="O106" s="67" t="s">
        <v>21</v>
      </c>
    </row>
    <row r="107" spans="1:15" s="1" customFormat="1" x14ac:dyDescent="0.3">
      <c r="A107" s="76" t="s">
        <v>658</v>
      </c>
      <c r="B107" s="67" t="s">
        <v>18</v>
      </c>
      <c r="C107" s="67" t="s">
        <v>21</v>
      </c>
      <c r="D107" s="68">
        <v>45093</v>
      </c>
      <c r="E107" s="69">
        <v>352</v>
      </c>
      <c r="F107" s="70">
        <f t="shared" si="15"/>
        <v>1</v>
      </c>
      <c r="G107" s="67">
        <v>0</v>
      </c>
      <c r="H107" s="69">
        <v>132</v>
      </c>
      <c r="I107" s="70">
        <f t="shared" si="16"/>
        <v>0.375</v>
      </c>
      <c r="J107" s="69">
        <v>1</v>
      </c>
      <c r="K107" s="70">
        <f t="shared" si="17"/>
        <v>2.840909090909091E-3</v>
      </c>
      <c r="L107" s="70">
        <f t="shared" si="18"/>
        <v>7.575757575757576E-3</v>
      </c>
      <c r="M107" s="69">
        <v>0</v>
      </c>
      <c r="N107" s="70">
        <f t="shared" si="19"/>
        <v>0</v>
      </c>
      <c r="O107" s="67" t="s">
        <v>21</v>
      </c>
    </row>
    <row r="108" spans="1:15" s="1" customFormat="1" x14ac:dyDescent="0.3">
      <c r="A108" s="76" t="s">
        <v>658</v>
      </c>
      <c r="B108" s="67" t="s">
        <v>15</v>
      </c>
      <c r="C108" s="67" t="s">
        <v>21</v>
      </c>
      <c r="D108" s="68">
        <v>45093</v>
      </c>
      <c r="E108" s="69">
        <v>282</v>
      </c>
      <c r="F108" s="70">
        <f t="shared" si="15"/>
        <v>1</v>
      </c>
      <c r="G108" s="67">
        <v>0</v>
      </c>
      <c r="H108" s="69">
        <v>127</v>
      </c>
      <c r="I108" s="70">
        <f t="shared" si="16"/>
        <v>0.450354609929078</v>
      </c>
      <c r="J108" s="69">
        <v>6</v>
      </c>
      <c r="K108" s="70">
        <f t="shared" si="17"/>
        <v>2.1276595744680851E-2</v>
      </c>
      <c r="L108" s="70">
        <f t="shared" si="18"/>
        <v>4.7244094488188976E-2</v>
      </c>
      <c r="M108" s="69">
        <v>0</v>
      </c>
      <c r="N108" s="70">
        <f t="shared" si="19"/>
        <v>0</v>
      </c>
      <c r="O108" s="67" t="s">
        <v>21</v>
      </c>
    </row>
    <row r="109" spans="1:15" s="1" customFormat="1" x14ac:dyDescent="0.3">
      <c r="A109" s="76" t="s">
        <v>659</v>
      </c>
      <c r="B109" s="67" t="s">
        <v>18</v>
      </c>
      <c r="C109" s="67" t="s">
        <v>21</v>
      </c>
      <c r="D109" s="68">
        <v>45093</v>
      </c>
      <c r="E109" s="69">
        <v>5999</v>
      </c>
      <c r="F109" s="70">
        <f t="shared" si="15"/>
        <v>0.99799966661110184</v>
      </c>
      <c r="G109" s="67">
        <v>12</v>
      </c>
      <c r="H109" s="69">
        <v>3120</v>
      </c>
      <c r="I109" s="70">
        <f t="shared" si="16"/>
        <v>0.52008668111351897</v>
      </c>
      <c r="J109" s="69">
        <v>57</v>
      </c>
      <c r="K109" s="70">
        <f t="shared" si="17"/>
        <v>9.5015835972662114E-3</v>
      </c>
      <c r="L109" s="70">
        <f t="shared" si="18"/>
        <v>1.826923076923077E-2</v>
      </c>
      <c r="M109" s="69">
        <v>3</v>
      </c>
      <c r="N109" s="70">
        <f t="shared" si="19"/>
        <v>5.0008334722453744E-4</v>
      </c>
      <c r="O109" s="67" t="s">
        <v>21</v>
      </c>
    </row>
    <row r="110" spans="1:15" s="1" customFormat="1" x14ac:dyDescent="0.3">
      <c r="A110" s="76" t="s">
        <v>659</v>
      </c>
      <c r="B110" s="67" t="s">
        <v>15</v>
      </c>
      <c r="C110" s="67" t="s">
        <v>21</v>
      </c>
      <c r="D110" s="68">
        <v>45093</v>
      </c>
      <c r="E110" s="69">
        <v>10322</v>
      </c>
      <c r="F110" s="70">
        <f t="shared" si="15"/>
        <v>0.99786863011044369</v>
      </c>
      <c r="G110" s="67">
        <v>22</v>
      </c>
      <c r="H110" s="69">
        <v>5500</v>
      </c>
      <c r="I110" s="70">
        <f t="shared" si="16"/>
        <v>0.5328424723890719</v>
      </c>
      <c r="J110" s="69">
        <v>118</v>
      </c>
      <c r="K110" s="70">
        <f t="shared" si="17"/>
        <v>1.1431893043983725E-2</v>
      </c>
      <c r="L110" s="70">
        <f t="shared" si="18"/>
        <v>2.1454545454545455E-2</v>
      </c>
      <c r="M110" s="69">
        <v>1</v>
      </c>
      <c r="N110" s="70">
        <f t="shared" si="19"/>
        <v>9.6880449525285791E-5</v>
      </c>
      <c r="O110" s="67" t="s">
        <v>21</v>
      </c>
    </row>
    <row r="111" spans="1:15" s="1" customFormat="1" x14ac:dyDescent="0.3">
      <c r="A111" s="76" t="s">
        <v>33</v>
      </c>
      <c r="B111" s="67" t="s">
        <v>18</v>
      </c>
      <c r="C111" s="67" t="s">
        <v>21</v>
      </c>
      <c r="D111" s="68">
        <v>45093</v>
      </c>
      <c r="E111" s="69">
        <v>232748</v>
      </c>
      <c r="F111" s="70">
        <f t="shared" si="15"/>
        <v>0.99796775912145319</v>
      </c>
      <c r="G111" s="67">
        <v>473</v>
      </c>
      <c r="H111" s="69">
        <v>102640</v>
      </c>
      <c r="I111" s="70">
        <f t="shared" si="16"/>
        <v>0.44099197415230207</v>
      </c>
      <c r="J111" s="69">
        <v>1887</v>
      </c>
      <c r="K111" s="70">
        <f t="shared" si="17"/>
        <v>8.1074810524687652E-3</v>
      </c>
      <c r="L111" s="70">
        <f t="shared" si="18"/>
        <v>1.8384645362431801E-2</v>
      </c>
      <c r="M111" s="69">
        <v>41</v>
      </c>
      <c r="N111" s="70">
        <f t="shared" si="19"/>
        <v>1.761561860896764E-4</v>
      </c>
      <c r="O111" s="67" t="s">
        <v>21</v>
      </c>
    </row>
    <row r="112" spans="1:15" s="1" customFormat="1" x14ac:dyDescent="0.3">
      <c r="A112" s="76" t="s">
        <v>19</v>
      </c>
      <c r="B112" s="67" t="s">
        <v>18</v>
      </c>
      <c r="C112" s="67" t="s">
        <v>21</v>
      </c>
      <c r="D112" s="68">
        <v>45093</v>
      </c>
      <c r="E112" s="69">
        <v>331907</v>
      </c>
      <c r="F112" s="70">
        <f t="shared" si="15"/>
        <v>0.99636645204831475</v>
      </c>
      <c r="G112" s="67">
        <v>1206</v>
      </c>
      <c r="H112" s="69">
        <v>119489</v>
      </c>
      <c r="I112" s="70">
        <f t="shared" si="16"/>
        <v>0.3600074719725706</v>
      </c>
      <c r="J112" s="69">
        <v>2322</v>
      </c>
      <c r="K112" s="70">
        <f t="shared" si="17"/>
        <v>6.9959356084686375E-3</v>
      </c>
      <c r="L112" s="70">
        <f t="shared" si="18"/>
        <v>1.9432751131903354E-2</v>
      </c>
      <c r="M112" s="69">
        <v>69</v>
      </c>
      <c r="N112" s="70">
        <f t="shared" si="19"/>
        <v>2.0788955942477864E-4</v>
      </c>
      <c r="O112" s="67" t="s">
        <v>21</v>
      </c>
    </row>
    <row r="113" spans="1:15" s="1" customFormat="1" x14ac:dyDescent="0.3">
      <c r="A113" s="95" t="s">
        <v>33</v>
      </c>
      <c r="B113" s="58" t="s">
        <v>18</v>
      </c>
      <c r="C113" s="58" t="s">
        <v>21</v>
      </c>
      <c r="D113" s="83">
        <v>45100</v>
      </c>
      <c r="E113" s="59">
        <v>232835</v>
      </c>
      <c r="F113" s="60">
        <f t="shared" si="15"/>
        <v>0.99823909635578845</v>
      </c>
      <c r="G113" s="58">
        <v>410</v>
      </c>
      <c r="H113" s="59">
        <v>105363</v>
      </c>
      <c r="I113" s="60">
        <f t="shared" si="16"/>
        <v>0.45252217235381281</v>
      </c>
      <c r="J113" s="59">
        <v>2008</v>
      </c>
      <c r="K113" s="60">
        <f t="shared" si="17"/>
        <v>8.624132969699572E-3</v>
      </c>
      <c r="L113" s="60">
        <f t="shared" si="18"/>
        <v>1.9057923559503812E-2</v>
      </c>
      <c r="M113" s="59">
        <v>231</v>
      </c>
      <c r="N113" s="60">
        <f t="shared" si="19"/>
        <v>9.9211888247041895E-4</v>
      </c>
      <c r="O113" s="58" t="s">
        <v>21</v>
      </c>
    </row>
    <row r="114" spans="1:15" s="1" customFormat="1" x14ac:dyDescent="0.3">
      <c r="A114" s="95" t="s">
        <v>19</v>
      </c>
      <c r="B114" s="58" t="s">
        <v>18</v>
      </c>
      <c r="C114" s="58" t="s">
        <v>21</v>
      </c>
      <c r="D114" s="83">
        <v>45100</v>
      </c>
      <c r="E114" s="59">
        <v>331811</v>
      </c>
      <c r="F114" s="60">
        <f t="shared" si="15"/>
        <v>0.99681445160045934</v>
      </c>
      <c r="G114" s="58">
        <v>1057</v>
      </c>
      <c r="H114" s="59">
        <v>121188</v>
      </c>
      <c r="I114" s="60">
        <f t="shared" si="16"/>
        <v>0.36523201461072718</v>
      </c>
      <c r="J114" s="59">
        <v>2461</v>
      </c>
      <c r="K114" s="60">
        <f t="shared" si="17"/>
        <v>7.416872858344057E-3</v>
      </c>
      <c r="L114" s="60">
        <f t="shared" si="18"/>
        <v>2.0307291150939037E-2</v>
      </c>
      <c r="M114" s="59">
        <v>278</v>
      </c>
      <c r="N114" s="60">
        <f t="shared" si="19"/>
        <v>8.3782635295394066E-4</v>
      </c>
      <c r="O114" s="58" t="s">
        <v>21</v>
      </c>
    </row>
    <row r="115" spans="1:15" s="1" customFormat="1" x14ac:dyDescent="0.3">
      <c r="A115" s="95" t="s">
        <v>24</v>
      </c>
      <c r="B115" s="58" t="s">
        <v>18</v>
      </c>
      <c r="C115" s="58" t="s">
        <v>21</v>
      </c>
      <c r="D115" s="83">
        <v>45101</v>
      </c>
      <c r="E115" s="59">
        <v>14954</v>
      </c>
      <c r="F115" s="60">
        <f t="shared" si="15"/>
        <v>0.99819446301992776</v>
      </c>
      <c r="G115" s="58">
        <v>27</v>
      </c>
      <c r="H115" s="59">
        <v>4698</v>
      </c>
      <c r="I115" s="60">
        <f t="shared" si="16"/>
        <v>0.31416343453256651</v>
      </c>
      <c r="J115" s="59">
        <v>191</v>
      </c>
      <c r="K115" s="60">
        <f t="shared" si="17"/>
        <v>1.2772502340510901E-2</v>
      </c>
      <c r="L115" s="60">
        <f t="shared" si="18"/>
        <v>4.0655598126862494E-2</v>
      </c>
      <c r="M115" s="59">
        <v>16</v>
      </c>
      <c r="N115" s="60">
        <f t="shared" si="19"/>
        <v>1.0699478400427978E-3</v>
      </c>
      <c r="O115" s="58" t="s">
        <v>21</v>
      </c>
    </row>
    <row r="117" spans="1:15" x14ac:dyDescent="0.3">
      <c r="A117" s="33" t="s">
        <v>53</v>
      </c>
      <c r="B117" s="35"/>
      <c r="C117" s="35"/>
      <c r="D117" s="30"/>
      <c r="E117" s="31">
        <f>SUM(E2:E115)</f>
        <v>33780908</v>
      </c>
      <c r="F117" s="32">
        <f>(E117-G117)/E117</f>
        <v>0.99648011237590184</v>
      </c>
      <c r="G117" s="31">
        <f>SUM(G2:G115)</f>
        <v>118905</v>
      </c>
      <c r="H117" s="31">
        <f>SUM(H2:H115)</f>
        <v>14555673</v>
      </c>
      <c r="I117" s="32">
        <f>H117/E117</f>
        <v>0.43088459907590404</v>
      </c>
      <c r="J117" s="31">
        <f>SUM(J2:J115)</f>
        <v>239749</v>
      </c>
      <c r="K117" s="32">
        <f>J117/E117</f>
        <v>7.0971745342073098E-3</v>
      </c>
      <c r="L117" s="32">
        <f>J117/H117</f>
        <v>1.6471172442524645E-2</v>
      </c>
      <c r="M117" s="31">
        <f>SUM(M2:M115)</f>
        <v>46124</v>
      </c>
      <c r="N117" s="32">
        <f>M117/E117</f>
        <v>1.365386626078849E-3</v>
      </c>
    </row>
    <row r="118" spans="1:15" x14ac:dyDescent="0.3">
      <c r="M118" s="16">
        <f>M117/J117</f>
        <v>0.19238453549337015</v>
      </c>
    </row>
    <row r="120" spans="1:15" x14ac:dyDescent="0.3">
      <c r="A120" s="36" t="s">
        <v>41</v>
      </c>
      <c r="B120" s="37"/>
      <c r="C120" s="38"/>
      <c r="D120" s="39"/>
      <c r="E120" s="40"/>
      <c r="F120" s="41"/>
      <c r="G120" s="42"/>
      <c r="H120" s="41"/>
      <c r="I120" s="43">
        <v>0.23899999999999999</v>
      </c>
      <c r="J120" s="41"/>
      <c r="K120" s="43">
        <v>2.9000000000000001E-2</v>
      </c>
      <c r="L120" s="43">
        <v>0.124</v>
      </c>
      <c r="M120" s="41"/>
      <c r="N120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87CDC1E-C6EB-E541-ACD3-042E3335D66B}">
          <x14:formula1>
            <xm:f>'List Sheet'!$B$2:$B$3</xm:f>
          </x14:formula1>
          <xm:sqref>B4:B7 B10 B12 B17 B19:B38 B41:B115</xm:sqref>
        </x14:dataValidation>
        <x14:dataValidation type="list" allowBlank="1" showInputMessage="1" showErrorMessage="1" xr:uid="{1EECC8AC-0035-FB4E-A07C-9D1796B8997D}">
          <x14:formula1>
            <xm:f>'List Sheet'!$A$2:$A$4</xm:f>
          </x14:formula1>
          <xm:sqref>C36 C41:C43 O96:O115 C96:C115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CFF3-505F-8B45-BBAF-8DC979B3CCA5}">
  <dimension ref="A1:O32"/>
  <sheetViews>
    <sheetView zoomScale="80" zoomScaleNormal="80" workbookViewId="0">
      <pane ySplit="1" topLeftCell="A2" activePane="bottomLeft" state="frozen"/>
      <selection pane="bottomLeft" activeCell="D39" sqref="D39"/>
    </sheetView>
  </sheetViews>
  <sheetFormatPr defaultColWidth="10.6640625" defaultRowHeight="14.4" x14ac:dyDescent="0.3"/>
  <cols>
    <col min="1" max="1" width="74.44140625" bestFit="1" customWidth="1"/>
    <col min="2" max="2" width="9.44140625" bestFit="1" customWidth="1"/>
    <col min="3" max="3" width="17.33203125" bestFit="1" customWidth="1"/>
    <col min="4" max="4" width="11.109375" bestFit="1" customWidth="1"/>
    <col min="5" max="5" width="10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44140625" bestFit="1" customWidth="1"/>
    <col min="12" max="12" width="7.44140625" bestFit="1" customWidth="1"/>
    <col min="13" max="13" width="12.77734375" bestFit="1" customWidth="1"/>
    <col min="14" max="14" width="16.44140625" bestFit="1" customWidth="1"/>
    <col min="15" max="15" width="17.3320312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s="1" customFormat="1" x14ac:dyDescent="0.3">
      <c r="A2" s="66" t="s">
        <v>73</v>
      </c>
      <c r="B2" s="67" t="s">
        <v>15</v>
      </c>
      <c r="C2" s="67" t="s">
        <v>101</v>
      </c>
      <c r="D2" s="72">
        <v>44945</v>
      </c>
      <c r="E2" s="69">
        <v>58305</v>
      </c>
      <c r="F2" s="70">
        <f t="shared" ref="F2:F29" si="0">(E2-G2)/E2</f>
        <v>0.99938255724208902</v>
      </c>
      <c r="G2" s="69">
        <v>36</v>
      </c>
      <c r="H2" s="69">
        <v>20830</v>
      </c>
      <c r="I2" s="70">
        <f t="shared" ref="I2:I27" si="1">H2/E2</f>
        <v>0.35725924020238403</v>
      </c>
      <c r="J2" s="69">
        <v>405</v>
      </c>
      <c r="K2" s="70">
        <f t="shared" ref="K2:K27" si="2">J2/E2</f>
        <v>6.9462310264985852E-3</v>
      </c>
      <c r="L2" s="70">
        <f t="shared" ref="L2:L27" si="3">J2/H2</f>
        <v>1.9443110897743639E-2</v>
      </c>
      <c r="M2" s="69">
        <v>23</v>
      </c>
      <c r="N2" s="70">
        <f t="shared" ref="N2:N27" si="4">M2/E2</f>
        <v>3.9447731755424062E-4</v>
      </c>
      <c r="O2" s="67" t="s">
        <v>101</v>
      </c>
    </row>
    <row r="3" spans="1:15" s="1" customFormat="1" x14ac:dyDescent="0.3">
      <c r="A3" s="66" t="s">
        <v>74</v>
      </c>
      <c r="B3" s="67" t="s">
        <v>15</v>
      </c>
      <c r="C3" s="67" t="s">
        <v>101</v>
      </c>
      <c r="D3" s="72">
        <v>44945</v>
      </c>
      <c r="E3" s="69">
        <v>1048165</v>
      </c>
      <c r="F3" s="70">
        <f t="shared" si="0"/>
        <v>0.99827985097766092</v>
      </c>
      <c r="G3" s="69">
        <v>1803</v>
      </c>
      <c r="H3" s="69">
        <v>420124</v>
      </c>
      <c r="I3" s="70">
        <f t="shared" si="1"/>
        <v>0.40081857341162891</v>
      </c>
      <c r="J3" s="69">
        <v>5939</v>
      </c>
      <c r="K3" s="70">
        <f t="shared" si="2"/>
        <v>5.6660926476270433E-3</v>
      </c>
      <c r="L3" s="70">
        <f t="shared" si="3"/>
        <v>1.4136302615418305E-2</v>
      </c>
      <c r="M3" s="69">
        <v>513</v>
      </c>
      <c r="N3" s="70">
        <f t="shared" si="4"/>
        <v>4.8942676009979349E-4</v>
      </c>
      <c r="O3" s="67" t="s">
        <v>101</v>
      </c>
    </row>
    <row r="4" spans="1:15" s="1" customFormat="1" x14ac:dyDescent="0.3">
      <c r="A4" s="76" t="s">
        <v>104</v>
      </c>
      <c r="B4" s="67" t="s">
        <v>15</v>
      </c>
      <c r="C4" s="67" t="s">
        <v>101</v>
      </c>
      <c r="D4" s="68">
        <v>44958</v>
      </c>
      <c r="E4" s="69">
        <v>118612</v>
      </c>
      <c r="F4" s="70">
        <f t="shared" si="0"/>
        <v>0.99920750008430848</v>
      </c>
      <c r="G4" s="69">
        <v>94</v>
      </c>
      <c r="H4" s="69">
        <v>41444</v>
      </c>
      <c r="I4" s="70">
        <f t="shared" si="1"/>
        <v>0.34940815431828148</v>
      </c>
      <c r="J4" s="69">
        <v>3187</v>
      </c>
      <c r="K4" s="70">
        <f t="shared" si="2"/>
        <v>2.6869119482008565E-2</v>
      </c>
      <c r="L4" s="70">
        <f t="shared" si="3"/>
        <v>7.6898947977994403E-2</v>
      </c>
      <c r="M4" s="69">
        <v>67</v>
      </c>
      <c r="N4" s="70">
        <f t="shared" si="4"/>
        <v>5.6486696118436585E-4</v>
      </c>
      <c r="O4" s="67" t="s">
        <v>101</v>
      </c>
    </row>
    <row r="5" spans="1:15" s="1" customFormat="1" x14ac:dyDescent="0.3">
      <c r="A5" s="76" t="s">
        <v>104</v>
      </c>
      <c r="B5" s="67" t="s">
        <v>18</v>
      </c>
      <c r="C5" s="67" t="s">
        <v>101</v>
      </c>
      <c r="D5" s="68">
        <v>44958</v>
      </c>
      <c r="E5" s="69">
        <v>225370</v>
      </c>
      <c r="F5" s="70">
        <f t="shared" si="0"/>
        <v>0.99866441851178067</v>
      </c>
      <c r="G5" s="69">
        <v>301</v>
      </c>
      <c r="H5" s="69">
        <v>78840</v>
      </c>
      <c r="I5" s="70">
        <f t="shared" si="1"/>
        <v>0.34982473266184494</v>
      </c>
      <c r="J5" s="69">
        <v>2842</v>
      </c>
      <c r="K5" s="70">
        <f t="shared" si="2"/>
        <v>1.2610374051559658E-2</v>
      </c>
      <c r="L5" s="70">
        <f t="shared" si="3"/>
        <v>3.6047691527143579E-2</v>
      </c>
      <c r="M5" s="69">
        <v>1119</v>
      </c>
      <c r="N5" s="70">
        <f t="shared" si="4"/>
        <v>4.9651683897590625E-3</v>
      </c>
      <c r="O5" s="67" t="s">
        <v>101</v>
      </c>
    </row>
    <row r="6" spans="1:15" s="1" customFormat="1" x14ac:dyDescent="0.3">
      <c r="A6" s="76" t="s">
        <v>105</v>
      </c>
      <c r="B6" s="67" t="s">
        <v>15</v>
      </c>
      <c r="C6" s="67" t="s">
        <v>101</v>
      </c>
      <c r="D6" s="68">
        <v>44958</v>
      </c>
      <c r="E6" s="69">
        <v>2084287</v>
      </c>
      <c r="F6" s="70">
        <f t="shared" si="0"/>
        <v>0.99772823992089377</v>
      </c>
      <c r="G6" s="69">
        <v>4735</v>
      </c>
      <c r="H6" s="69">
        <v>801636</v>
      </c>
      <c r="I6" s="70">
        <f t="shared" si="1"/>
        <v>0.38460922128286557</v>
      </c>
      <c r="J6" s="69">
        <v>47678</v>
      </c>
      <c r="K6" s="70">
        <f t="shared" si="2"/>
        <v>2.2874968754303029E-2</v>
      </c>
      <c r="L6" s="70">
        <f t="shared" si="3"/>
        <v>5.9475871842082938E-2</v>
      </c>
      <c r="M6" s="69">
        <v>1805</v>
      </c>
      <c r="N6" s="70">
        <f t="shared" si="4"/>
        <v>8.6600357820204219E-4</v>
      </c>
      <c r="O6" s="67" t="s">
        <v>101</v>
      </c>
    </row>
    <row r="7" spans="1:15" s="1" customFormat="1" x14ac:dyDescent="0.3">
      <c r="A7" s="76" t="s">
        <v>105</v>
      </c>
      <c r="B7" s="67" t="s">
        <v>18</v>
      </c>
      <c r="C7" s="67" t="s">
        <v>101</v>
      </c>
      <c r="D7" s="68">
        <v>44958</v>
      </c>
      <c r="E7" s="69">
        <v>2403003</v>
      </c>
      <c r="F7" s="70">
        <f t="shared" si="0"/>
        <v>0.99798626968006288</v>
      </c>
      <c r="G7" s="69">
        <v>4839</v>
      </c>
      <c r="H7" s="69">
        <v>889875</v>
      </c>
      <c r="I7" s="70">
        <f t="shared" si="1"/>
        <v>0.37031788974046226</v>
      </c>
      <c r="J7" s="69">
        <v>21323</v>
      </c>
      <c r="K7" s="70">
        <f t="shared" si="2"/>
        <v>8.8734803909941012E-3</v>
      </c>
      <c r="L7" s="70">
        <f t="shared" si="3"/>
        <v>2.3961792386571149E-2</v>
      </c>
      <c r="M7" s="69">
        <v>8219</v>
      </c>
      <c r="N7" s="70">
        <f t="shared" si="4"/>
        <v>3.4203036783557908E-3</v>
      </c>
      <c r="O7" s="67" t="s">
        <v>101</v>
      </c>
    </row>
    <row r="8" spans="1:15" s="1" customFormat="1" x14ac:dyDescent="0.3">
      <c r="A8" s="78" t="s">
        <v>106</v>
      </c>
      <c r="B8" s="79" t="s">
        <v>18</v>
      </c>
      <c r="C8" s="67" t="s">
        <v>101</v>
      </c>
      <c r="D8" s="80">
        <v>44959</v>
      </c>
      <c r="E8" s="81">
        <v>5558</v>
      </c>
      <c r="F8" s="82">
        <f t="shared" si="0"/>
        <v>0.9992803166606693</v>
      </c>
      <c r="G8" s="81">
        <v>4</v>
      </c>
      <c r="H8" s="81">
        <v>1870</v>
      </c>
      <c r="I8" s="82">
        <f t="shared" si="1"/>
        <v>0.33645196113709969</v>
      </c>
      <c r="J8" s="81">
        <v>48</v>
      </c>
      <c r="K8" s="82">
        <f t="shared" si="2"/>
        <v>8.6362000719683342E-3</v>
      </c>
      <c r="L8" s="82">
        <f t="shared" si="3"/>
        <v>2.5668449197860963E-2</v>
      </c>
      <c r="M8" s="81">
        <v>47</v>
      </c>
      <c r="N8" s="82">
        <f t="shared" si="4"/>
        <v>8.4562792371356606E-3</v>
      </c>
      <c r="O8" s="67" t="s">
        <v>101</v>
      </c>
    </row>
    <row r="9" spans="1:15" s="1" customFormat="1" x14ac:dyDescent="0.3">
      <c r="A9" s="78" t="s">
        <v>107</v>
      </c>
      <c r="B9" s="79" t="s">
        <v>18</v>
      </c>
      <c r="C9" s="67" t="s">
        <v>101</v>
      </c>
      <c r="D9" s="80">
        <v>44959</v>
      </c>
      <c r="E9" s="81">
        <v>49754</v>
      </c>
      <c r="F9" s="82">
        <f t="shared" si="0"/>
        <v>0.99784941914217951</v>
      </c>
      <c r="G9" s="81">
        <v>107</v>
      </c>
      <c r="H9" s="81">
        <v>17854</v>
      </c>
      <c r="I9" s="82">
        <f t="shared" si="1"/>
        <v>0.3588455199581943</v>
      </c>
      <c r="J9" s="81">
        <v>414</v>
      </c>
      <c r="K9" s="82">
        <f t="shared" si="2"/>
        <v>8.3209390199782927E-3</v>
      </c>
      <c r="L9" s="82">
        <f t="shared" si="3"/>
        <v>2.3188081102274001E-2</v>
      </c>
      <c r="M9" s="81">
        <v>258</v>
      </c>
      <c r="N9" s="82">
        <f t="shared" si="4"/>
        <v>5.1855127225951684E-3</v>
      </c>
      <c r="O9" s="67" t="s">
        <v>101</v>
      </c>
    </row>
    <row r="10" spans="1:15" s="1" customFormat="1" x14ac:dyDescent="0.3">
      <c r="A10" s="78" t="s">
        <v>108</v>
      </c>
      <c r="B10" s="79" t="s">
        <v>18</v>
      </c>
      <c r="C10" s="67" t="s">
        <v>101</v>
      </c>
      <c r="D10" s="80">
        <v>44959</v>
      </c>
      <c r="E10" s="81">
        <v>5547</v>
      </c>
      <c r="F10" s="82">
        <f t="shared" si="0"/>
        <v>0.99801694609698932</v>
      </c>
      <c r="G10" s="81">
        <v>11</v>
      </c>
      <c r="H10" s="81">
        <v>1904</v>
      </c>
      <c r="I10" s="82">
        <f t="shared" si="1"/>
        <v>0.34324860284838654</v>
      </c>
      <c r="J10" s="81">
        <v>45</v>
      </c>
      <c r="K10" s="82">
        <f t="shared" si="2"/>
        <v>8.1124932395889669E-3</v>
      </c>
      <c r="L10" s="82">
        <f t="shared" si="3"/>
        <v>2.3634453781512604E-2</v>
      </c>
      <c r="M10" s="81">
        <v>43</v>
      </c>
      <c r="N10" s="82">
        <f t="shared" si="4"/>
        <v>7.7519379844961239E-3</v>
      </c>
      <c r="O10" s="67" t="s">
        <v>101</v>
      </c>
    </row>
    <row r="11" spans="1:15" s="1" customFormat="1" x14ac:dyDescent="0.3">
      <c r="A11" s="78" t="s">
        <v>109</v>
      </c>
      <c r="B11" s="79" t="s">
        <v>18</v>
      </c>
      <c r="C11" s="67" t="s">
        <v>101</v>
      </c>
      <c r="D11" s="80">
        <v>44959</v>
      </c>
      <c r="E11" s="81">
        <v>49774</v>
      </c>
      <c r="F11" s="82">
        <f t="shared" si="0"/>
        <v>0.99762928436533127</v>
      </c>
      <c r="G11" s="81">
        <v>118</v>
      </c>
      <c r="H11" s="81">
        <v>17936</v>
      </c>
      <c r="I11" s="82">
        <f t="shared" si="1"/>
        <v>0.36034877646964281</v>
      </c>
      <c r="J11" s="81">
        <v>350</v>
      </c>
      <c r="K11" s="82">
        <f t="shared" si="2"/>
        <v>7.0317836621529312E-3</v>
      </c>
      <c r="L11" s="82">
        <f t="shared" si="3"/>
        <v>1.9513826940231935E-2</v>
      </c>
      <c r="M11" s="81">
        <v>261</v>
      </c>
      <c r="N11" s="82">
        <f t="shared" si="4"/>
        <v>5.2437015309197577E-3</v>
      </c>
      <c r="O11" s="67" t="s">
        <v>101</v>
      </c>
    </row>
    <row r="12" spans="1:15" s="1" customFormat="1" x14ac:dyDescent="0.3">
      <c r="A12" s="66" t="s">
        <v>152</v>
      </c>
      <c r="B12" s="67" t="s">
        <v>15</v>
      </c>
      <c r="C12" s="67" t="s">
        <v>101</v>
      </c>
      <c r="D12" s="68">
        <v>44977</v>
      </c>
      <c r="E12" s="69">
        <v>118209</v>
      </c>
      <c r="F12" s="70">
        <f t="shared" si="0"/>
        <v>0.99922171746652111</v>
      </c>
      <c r="G12" s="69">
        <v>92</v>
      </c>
      <c r="H12" s="69">
        <v>41308</v>
      </c>
      <c r="I12" s="70">
        <f t="shared" si="1"/>
        <v>0.34944885753199839</v>
      </c>
      <c r="J12" s="69">
        <v>2918</v>
      </c>
      <c r="K12" s="70">
        <f t="shared" si="2"/>
        <v>2.4685091659687502E-2</v>
      </c>
      <c r="L12" s="70">
        <f t="shared" si="3"/>
        <v>7.0640069720151064E-2</v>
      </c>
      <c r="M12" s="69">
        <v>68</v>
      </c>
      <c r="N12" s="70">
        <f t="shared" si="4"/>
        <v>5.7525230735392394E-4</v>
      </c>
      <c r="O12" s="67" t="s">
        <v>101</v>
      </c>
    </row>
    <row r="13" spans="1:15" s="1" customFormat="1" x14ac:dyDescent="0.3">
      <c r="A13" s="66" t="s">
        <v>152</v>
      </c>
      <c r="B13" s="67" t="s">
        <v>18</v>
      </c>
      <c r="C13" s="67" t="s">
        <v>101</v>
      </c>
      <c r="D13" s="68">
        <v>44977</v>
      </c>
      <c r="E13" s="69">
        <v>221667</v>
      </c>
      <c r="F13" s="70">
        <f t="shared" si="0"/>
        <v>0.99886767087568284</v>
      </c>
      <c r="G13" s="69">
        <v>251</v>
      </c>
      <c r="H13" s="69">
        <v>76660</v>
      </c>
      <c r="I13" s="70">
        <f t="shared" si="1"/>
        <v>0.34583406641493775</v>
      </c>
      <c r="J13" s="69">
        <v>2848</v>
      </c>
      <c r="K13" s="70">
        <f t="shared" si="2"/>
        <v>1.2848100980299277E-2</v>
      </c>
      <c r="L13" s="70">
        <f t="shared" si="3"/>
        <v>3.7151056613618574E-2</v>
      </c>
      <c r="M13" s="69">
        <v>1182</v>
      </c>
      <c r="N13" s="70">
        <f t="shared" si="4"/>
        <v>5.3323228085371301E-3</v>
      </c>
      <c r="O13" s="67" t="s">
        <v>101</v>
      </c>
    </row>
    <row r="14" spans="1:15" s="1" customFormat="1" x14ac:dyDescent="0.3">
      <c r="A14" s="66" t="s">
        <v>153</v>
      </c>
      <c r="B14" s="67" t="s">
        <v>18</v>
      </c>
      <c r="C14" s="67" t="s">
        <v>101</v>
      </c>
      <c r="D14" s="68">
        <v>44977</v>
      </c>
      <c r="E14" s="69">
        <v>2387062</v>
      </c>
      <c r="F14" s="70">
        <f t="shared" si="0"/>
        <v>0.99832723238860155</v>
      </c>
      <c r="G14" s="69">
        <v>3993</v>
      </c>
      <c r="H14" s="69">
        <v>900603</v>
      </c>
      <c r="I14" s="70">
        <f t="shared" si="1"/>
        <v>0.37728513126177704</v>
      </c>
      <c r="J14" s="69">
        <v>22785</v>
      </c>
      <c r="K14" s="70">
        <f t="shared" si="2"/>
        <v>9.5452066180099215E-3</v>
      </c>
      <c r="L14" s="70">
        <f t="shared" si="3"/>
        <v>2.5299715857042448E-2</v>
      </c>
      <c r="M14" s="69">
        <v>8869</v>
      </c>
      <c r="N14" s="70">
        <f t="shared" si="4"/>
        <v>3.7154460169027867E-3</v>
      </c>
      <c r="O14" s="67" t="s">
        <v>101</v>
      </c>
    </row>
    <row r="15" spans="1:15" s="1" customFormat="1" x14ac:dyDescent="0.3">
      <c r="A15" s="66" t="s">
        <v>153</v>
      </c>
      <c r="B15" s="67" t="s">
        <v>15</v>
      </c>
      <c r="C15" s="67" t="s">
        <v>101</v>
      </c>
      <c r="D15" s="68">
        <v>44977</v>
      </c>
      <c r="E15" s="69">
        <v>2106290</v>
      </c>
      <c r="F15" s="70">
        <f t="shared" si="0"/>
        <v>0.99813321052656567</v>
      </c>
      <c r="G15" s="69">
        <v>3932</v>
      </c>
      <c r="H15" s="69">
        <v>819402</v>
      </c>
      <c r="I15" s="70">
        <f t="shared" si="1"/>
        <v>0.3890262024697454</v>
      </c>
      <c r="J15" s="69">
        <v>49486</v>
      </c>
      <c r="K15" s="70">
        <f t="shared" si="2"/>
        <v>2.3494390610979493E-2</v>
      </c>
      <c r="L15" s="70">
        <f t="shared" si="3"/>
        <v>6.0392823058767246E-2</v>
      </c>
      <c r="M15" s="69">
        <v>2148</v>
      </c>
      <c r="N15" s="70">
        <f t="shared" si="4"/>
        <v>1.0198025912861002E-3</v>
      </c>
      <c r="O15" s="67" t="s">
        <v>101</v>
      </c>
    </row>
    <row r="16" spans="1:15" s="1" customFormat="1" x14ac:dyDescent="0.3">
      <c r="A16" s="90" t="s">
        <v>159</v>
      </c>
      <c r="B16" s="67" t="s">
        <v>15</v>
      </c>
      <c r="C16" s="67" t="s">
        <v>101</v>
      </c>
      <c r="D16" s="68">
        <v>44979</v>
      </c>
      <c r="E16" s="69">
        <v>118499</v>
      </c>
      <c r="F16" s="70">
        <f t="shared" si="0"/>
        <v>0.99913923324247467</v>
      </c>
      <c r="G16" s="69">
        <v>102</v>
      </c>
      <c r="H16" s="69">
        <v>39042</v>
      </c>
      <c r="I16" s="70">
        <f t="shared" si="1"/>
        <v>0.32947113477750867</v>
      </c>
      <c r="J16" s="69">
        <v>671</v>
      </c>
      <c r="K16" s="70">
        <f t="shared" si="2"/>
        <v>5.6624950421522548E-3</v>
      </c>
      <c r="L16" s="70">
        <f t="shared" si="3"/>
        <v>1.7186619537933507E-2</v>
      </c>
      <c r="M16" s="69">
        <v>74</v>
      </c>
      <c r="N16" s="70">
        <f t="shared" si="4"/>
        <v>6.2447784369488351E-4</v>
      </c>
      <c r="O16" s="67" t="s">
        <v>101</v>
      </c>
    </row>
    <row r="17" spans="1:15" s="1" customFormat="1" x14ac:dyDescent="0.3">
      <c r="A17" s="90" t="s">
        <v>160</v>
      </c>
      <c r="B17" s="67" t="s">
        <v>15</v>
      </c>
      <c r="C17" s="67" t="s">
        <v>101</v>
      </c>
      <c r="D17" s="68">
        <v>44979</v>
      </c>
      <c r="E17" s="69">
        <v>2133818</v>
      </c>
      <c r="F17" s="70">
        <f t="shared" si="0"/>
        <v>0.99802607345143779</v>
      </c>
      <c r="G17" s="69">
        <v>4212</v>
      </c>
      <c r="H17" s="69">
        <v>990779</v>
      </c>
      <c r="I17" s="70">
        <f t="shared" si="1"/>
        <v>0.46432216805744447</v>
      </c>
      <c r="J17" s="69">
        <v>15658</v>
      </c>
      <c r="K17" s="70">
        <f t="shared" si="2"/>
        <v>7.3380203934918535E-3</v>
      </c>
      <c r="L17" s="70">
        <f t="shared" si="3"/>
        <v>1.5803726158911322E-2</v>
      </c>
      <c r="M17" s="69">
        <v>1900</v>
      </c>
      <c r="N17" s="70">
        <f t="shared" si="4"/>
        <v>8.9042270709123266E-4</v>
      </c>
      <c r="O17" s="67" t="s">
        <v>101</v>
      </c>
    </row>
    <row r="18" spans="1:15" s="1" customFormat="1" x14ac:dyDescent="0.3">
      <c r="A18" s="90" t="s">
        <v>162</v>
      </c>
      <c r="B18" s="67" t="s">
        <v>18</v>
      </c>
      <c r="C18" s="67" t="s">
        <v>101</v>
      </c>
      <c r="D18" s="68">
        <v>44980</v>
      </c>
      <c r="E18" s="69">
        <v>5267</v>
      </c>
      <c r="F18" s="70">
        <f t="shared" si="0"/>
        <v>0.99924055439529147</v>
      </c>
      <c r="G18" s="69">
        <v>4</v>
      </c>
      <c r="H18" s="69">
        <v>1700</v>
      </c>
      <c r="I18" s="70">
        <f t="shared" si="1"/>
        <v>0.32276438200113916</v>
      </c>
      <c r="J18" s="69">
        <v>47</v>
      </c>
      <c r="K18" s="70">
        <f t="shared" si="2"/>
        <v>8.9234858553256125E-3</v>
      </c>
      <c r="L18" s="70">
        <f t="shared" si="3"/>
        <v>2.7647058823529413E-2</v>
      </c>
      <c r="M18" s="69">
        <v>28</v>
      </c>
      <c r="N18" s="70">
        <f t="shared" si="4"/>
        <v>5.3161192329599389E-3</v>
      </c>
      <c r="O18" s="67" t="s">
        <v>101</v>
      </c>
    </row>
    <row r="19" spans="1:15" s="1" customFormat="1" x14ac:dyDescent="0.3">
      <c r="A19" s="90" t="s">
        <v>163</v>
      </c>
      <c r="B19" s="67" t="s">
        <v>18</v>
      </c>
      <c r="C19" s="67" t="s">
        <v>101</v>
      </c>
      <c r="D19" s="68">
        <v>44980</v>
      </c>
      <c r="E19" s="69">
        <v>47914</v>
      </c>
      <c r="F19" s="70">
        <f t="shared" si="0"/>
        <v>0.99797553950828566</v>
      </c>
      <c r="G19" s="69">
        <v>97</v>
      </c>
      <c r="H19" s="69">
        <v>16925</v>
      </c>
      <c r="I19" s="70">
        <f t="shared" si="1"/>
        <v>0.35323704971407105</v>
      </c>
      <c r="J19" s="69">
        <v>229</v>
      </c>
      <c r="K19" s="70">
        <f t="shared" si="2"/>
        <v>4.7793964185832948E-3</v>
      </c>
      <c r="L19" s="70">
        <f t="shared" si="3"/>
        <v>1.3530280649926145E-2</v>
      </c>
      <c r="M19" s="69">
        <v>154</v>
      </c>
      <c r="N19" s="70">
        <f t="shared" si="4"/>
        <v>3.214091914680469E-3</v>
      </c>
      <c r="O19" s="67" t="s">
        <v>101</v>
      </c>
    </row>
    <row r="20" spans="1:15" s="1" customFormat="1" x14ac:dyDescent="0.3">
      <c r="A20" s="90" t="s">
        <v>164</v>
      </c>
      <c r="B20" s="67" t="s">
        <v>18</v>
      </c>
      <c r="C20" s="67" t="s">
        <v>101</v>
      </c>
      <c r="D20" s="68">
        <v>44980</v>
      </c>
      <c r="E20" s="69">
        <v>5284</v>
      </c>
      <c r="F20" s="70">
        <f t="shared" si="0"/>
        <v>0.99905374716124151</v>
      </c>
      <c r="G20" s="69">
        <v>5</v>
      </c>
      <c r="H20" s="69">
        <v>1635</v>
      </c>
      <c r="I20" s="70">
        <f t="shared" si="1"/>
        <v>0.3094246782740348</v>
      </c>
      <c r="J20" s="69">
        <v>32</v>
      </c>
      <c r="K20" s="70">
        <f t="shared" si="2"/>
        <v>6.0560181680545042E-3</v>
      </c>
      <c r="L20" s="70">
        <f t="shared" si="3"/>
        <v>1.9571865443425075E-2</v>
      </c>
      <c r="M20" s="69">
        <v>21</v>
      </c>
      <c r="N20" s="70">
        <f t="shared" si="4"/>
        <v>3.9742619227857686E-3</v>
      </c>
      <c r="O20" s="67" t="s">
        <v>101</v>
      </c>
    </row>
    <row r="21" spans="1:15" s="1" customFormat="1" x14ac:dyDescent="0.3">
      <c r="A21" s="90" t="s">
        <v>165</v>
      </c>
      <c r="B21" s="67" t="s">
        <v>18</v>
      </c>
      <c r="C21" s="67" t="s">
        <v>101</v>
      </c>
      <c r="D21" s="68">
        <v>44980</v>
      </c>
      <c r="E21" s="69">
        <v>47880</v>
      </c>
      <c r="F21" s="70">
        <f t="shared" si="0"/>
        <v>0.99845446950710104</v>
      </c>
      <c r="G21" s="69">
        <v>74</v>
      </c>
      <c r="H21" s="69">
        <v>17071</v>
      </c>
      <c r="I21" s="70">
        <f t="shared" si="1"/>
        <v>0.35653717627401837</v>
      </c>
      <c r="J21" s="69">
        <v>320</v>
      </c>
      <c r="K21" s="70">
        <f t="shared" si="2"/>
        <v>6.6833751044277356E-3</v>
      </c>
      <c r="L21" s="70">
        <f t="shared" si="3"/>
        <v>1.8745240466287855E-2</v>
      </c>
      <c r="M21" s="69">
        <v>131</v>
      </c>
      <c r="N21" s="70">
        <f t="shared" si="4"/>
        <v>2.7360066833751044E-3</v>
      </c>
      <c r="O21" s="67" t="s">
        <v>101</v>
      </c>
    </row>
    <row r="22" spans="1:15" s="1" customFormat="1" x14ac:dyDescent="0.3">
      <c r="A22" s="76" t="s">
        <v>183</v>
      </c>
      <c r="B22" s="67" t="s">
        <v>15</v>
      </c>
      <c r="C22" s="67" t="s">
        <v>101</v>
      </c>
      <c r="D22" s="68">
        <v>44991</v>
      </c>
      <c r="E22" s="69">
        <v>422841</v>
      </c>
      <c r="F22" s="70">
        <f t="shared" si="0"/>
        <v>0.99748132276671375</v>
      </c>
      <c r="G22" s="69">
        <v>1065</v>
      </c>
      <c r="H22" s="69">
        <v>166865</v>
      </c>
      <c r="I22" s="70">
        <f t="shared" si="1"/>
        <v>0.39462824087541182</v>
      </c>
      <c r="J22" s="69">
        <v>674</v>
      </c>
      <c r="K22" s="70">
        <f t="shared" si="2"/>
        <v>1.5939797701736587E-3</v>
      </c>
      <c r="L22" s="70">
        <f t="shared" si="3"/>
        <v>4.0391933599017169E-3</v>
      </c>
      <c r="M22" s="69">
        <v>304</v>
      </c>
      <c r="N22" s="70">
        <f t="shared" si="4"/>
        <v>7.1894636518218433E-4</v>
      </c>
      <c r="O22" s="67" t="s">
        <v>101</v>
      </c>
    </row>
    <row r="23" spans="1:15" s="1" customFormat="1" x14ac:dyDescent="0.3">
      <c r="A23" s="76" t="s">
        <v>184</v>
      </c>
      <c r="B23" s="67" t="s">
        <v>15</v>
      </c>
      <c r="C23" s="67" t="s">
        <v>101</v>
      </c>
      <c r="D23" s="68">
        <v>44991</v>
      </c>
      <c r="E23" s="69">
        <v>266495</v>
      </c>
      <c r="F23" s="70">
        <f t="shared" si="0"/>
        <v>0.99831891780333593</v>
      </c>
      <c r="G23" s="69">
        <v>448</v>
      </c>
      <c r="H23" s="69">
        <v>109716</v>
      </c>
      <c r="I23" s="70">
        <f t="shared" si="1"/>
        <v>0.41170003189553273</v>
      </c>
      <c r="J23" s="69">
        <v>476</v>
      </c>
      <c r="K23" s="70">
        <f t="shared" si="2"/>
        <v>1.7861498339556089E-3</v>
      </c>
      <c r="L23" s="70">
        <f t="shared" si="3"/>
        <v>4.3384738780123224E-3</v>
      </c>
      <c r="M23" s="69">
        <v>235</v>
      </c>
      <c r="N23" s="70">
        <f t="shared" si="4"/>
        <v>8.8181767012514311E-4</v>
      </c>
      <c r="O23" s="67" t="s">
        <v>101</v>
      </c>
    </row>
    <row r="24" spans="1:15" s="1" customFormat="1" x14ac:dyDescent="0.3">
      <c r="A24" s="76" t="s">
        <v>185</v>
      </c>
      <c r="B24" s="67" t="s">
        <v>15</v>
      </c>
      <c r="C24" s="67" t="s">
        <v>101</v>
      </c>
      <c r="D24" s="68">
        <v>44991</v>
      </c>
      <c r="E24" s="69">
        <v>1177401</v>
      </c>
      <c r="F24" s="70">
        <f t="shared" si="0"/>
        <v>0.99828775412964654</v>
      </c>
      <c r="G24" s="69">
        <v>2016</v>
      </c>
      <c r="H24" s="69">
        <v>433183</v>
      </c>
      <c r="I24" s="70">
        <f t="shared" si="1"/>
        <v>0.36791458475064998</v>
      </c>
      <c r="J24" s="69">
        <v>4484</v>
      </c>
      <c r="K24" s="70">
        <f t="shared" si="2"/>
        <v>3.8083881362424524E-3</v>
      </c>
      <c r="L24" s="70">
        <f t="shared" si="3"/>
        <v>1.035128340678189E-2</v>
      </c>
      <c r="M24" s="69">
        <v>753</v>
      </c>
      <c r="N24" s="70">
        <f t="shared" si="4"/>
        <v>6.3954421645641543E-4</v>
      </c>
      <c r="O24" s="67" t="s">
        <v>101</v>
      </c>
    </row>
    <row r="25" spans="1:15" s="1" customFormat="1" x14ac:dyDescent="0.3">
      <c r="A25" s="76" t="s">
        <v>359</v>
      </c>
      <c r="B25" s="67" t="s">
        <v>15</v>
      </c>
      <c r="C25" s="67" t="s">
        <v>101</v>
      </c>
      <c r="D25" s="68">
        <v>45076</v>
      </c>
      <c r="E25" s="88">
        <v>1310769</v>
      </c>
      <c r="F25" s="70">
        <f t="shared" si="0"/>
        <v>0.99621672468604305</v>
      </c>
      <c r="G25" s="88">
        <v>4959</v>
      </c>
      <c r="H25" s="88">
        <v>456523</v>
      </c>
      <c r="I25" s="70">
        <f t="shared" si="1"/>
        <v>0.3482863876091058</v>
      </c>
      <c r="J25" s="69">
        <v>5249</v>
      </c>
      <c r="K25" s="70">
        <f t="shared" si="2"/>
        <v>4.004519484363759E-3</v>
      </c>
      <c r="L25" s="70">
        <f t="shared" si="3"/>
        <v>1.1497777768042354E-2</v>
      </c>
      <c r="M25" s="69">
        <v>658</v>
      </c>
      <c r="N25" s="70">
        <f t="shared" si="4"/>
        <v>5.0199539354378998E-4</v>
      </c>
      <c r="O25" s="67" t="s">
        <v>101</v>
      </c>
    </row>
    <row r="26" spans="1:15" s="1" customFormat="1" x14ac:dyDescent="0.3">
      <c r="A26" s="76" t="s">
        <v>360</v>
      </c>
      <c r="B26" s="67" t="s">
        <v>15</v>
      </c>
      <c r="C26" s="67" t="s">
        <v>101</v>
      </c>
      <c r="D26" s="68">
        <v>45076</v>
      </c>
      <c r="E26" s="88">
        <v>287647</v>
      </c>
      <c r="F26" s="70">
        <f t="shared" si="0"/>
        <v>0.99646789293821947</v>
      </c>
      <c r="G26" s="88">
        <v>1016</v>
      </c>
      <c r="H26" s="88">
        <v>100465</v>
      </c>
      <c r="I26" s="70">
        <f t="shared" si="1"/>
        <v>0.34926489760018353</v>
      </c>
      <c r="J26" s="69">
        <v>424</v>
      </c>
      <c r="K26" s="70">
        <f t="shared" si="2"/>
        <v>1.4740289312942601E-3</v>
      </c>
      <c r="L26" s="70">
        <f t="shared" si="3"/>
        <v>4.2203752550639528E-3</v>
      </c>
      <c r="M26" s="69">
        <v>194</v>
      </c>
      <c r="N26" s="70">
        <f t="shared" si="4"/>
        <v>6.744377657336944E-4</v>
      </c>
      <c r="O26" s="67" t="s">
        <v>101</v>
      </c>
    </row>
    <row r="27" spans="1:15" s="1" customFormat="1" x14ac:dyDescent="0.3">
      <c r="A27" s="76" t="s">
        <v>361</v>
      </c>
      <c r="B27" s="67" t="s">
        <v>15</v>
      </c>
      <c r="C27" s="67" t="s">
        <v>101</v>
      </c>
      <c r="D27" s="68">
        <v>45076</v>
      </c>
      <c r="E27" s="88">
        <v>450862</v>
      </c>
      <c r="F27" s="70">
        <f t="shared" si="0"/>
        <v>0.99622279100922229</v>
      </c>
      <c r="G27" s="88">
        <v>1703</v>
      </c>
      <c r="H27" s="88">
        <v>156226</v>
      </c>
      <c r="I27" s="70">
        <f t="shared" si="1"/>
        <v>0.34650513904476316</v>
      </c>
      <c r="J27" s="69">
        <v>569</v>
      </c>
      <c r="K27" s="70">
        <f t="shared" si="2"/>
        <v>1.2620269616867245E-3</v>
      </c>
      <c r="L27" s="70">
        <f t="shared" si="3"/>
        <v>3.6421594356893217E-3</v>
      </c>
      <c r="M27" s="69">
        <v>267</v>
      </c>
      <c r="N27" s="70">
        <f t="shared" si="4"/>
        <v>5.9219894335739095E-4</v>
      </c>
      <c r="O27" s="67" t="s">
        <v>101</v>
      </c>
    </row>
    <row r="28" spans="1:15" s="1" customFormat="1" x14ac:dyDescent="0.3">
      <c r="A28" s="20"/>
      <c r="B28" s="25"/>
      <c r="C28" s="22"/>
      <c r="D28" s="27"/>
      <c r="E28" s="23"/>
      <c r="F28" s="22"/>
      <c r="G28" s="23"/>
      <c r="H28" s="23"/>
      <c r="I28" s="22"/>
      <c r="J28" s="23"/>
      <c r="K28" s="22"/>
      <c r="L28" s="22"/>
      <c r="M28" s="23"/>
      <c r="N28" s="22"/>
      <c r="O28" s="26"/>
    </row>
    <row r="29" spans="1:15" x14ac:dyDescent="0.3">
      <c r="A29" s="33" t="s">
        <v>52</v>
      </c>
      <c r="B29" s="35"/>
      <c r="C29" s="35"/>
      <c r="D29" s="30"/>
      <c r="E29" s="31">
        <f>SUM(E2:E27)</f>
        <v>17156280</v>
      </c>
      <c r="F29" s="32">
        <f t="shared" si="0"/>
        <v>0.99790065212272128</v>
      </c>
      <c r="G29" s="31">
        <f>SUM(G2:G27)</f>
        <v>36017</v>
      </c>
      <c r="H29" s="31">
        <f>SUM(H2:H27)</f>
        <v>6620416</v>
      </c>
      <c r="I29" s="32">
        <f>H29/E29</f>
        <v>0.38588878241670105</v>
      </c>
      <c r="J29" s="31">
        <f>SUM(J2:J27)</f>
        <v>189101</v>
      </c>
      <c r="K29" s="32">
        <f>J29/E29</f>
        <v>1.1022261236118786E-2</v>
      </c>
      <c r="L29" s="32">
        <f>J29/H29</f>
        <v>2.8563310825180772E-2</v>
      </c>
      <c r="M29" s="31">
        <f>SUM(M2:M27)</f>
        <v>29341</v>
      </c>
      <c r="N29" s="32">
        <f>M29/E29</f>
        <v>1.7102192316749319E-3</v>
      </c>
    </row>
    <row r="30" spans="1:15" x14ac:dyDescent="0.3">
      <c r="M30" s="16">
        <f>M29/J29</f>
        <v>0.15516046980185191</v>
      </c>
    </row>
    <row r="32" spans="1:15" x14ac:dyDescent="0.3">
      <c r="A32" s="36" t="s">
        <v>41</v>
      </c>
      <c r="B32" s="37"/>
      <c r="C32" s="38"/>
      <c r="D32" s="39"/>
      <c r="E32" s="40"/>
      <c r="F32" s="41"/>
      <c r="G32" s="42"/>
      <c r="H32" s="41"/>
      <c r="I32" s="43">
        <v>0.23899999999999999</v>
      </c>
      <c r="J32" s="41"/>
      <c r="K32" s="43">
        <v>2.9000000000000001E-2</v>
      </c>
      <c r="L32" s="43">
        <v>0.124</v>
      </c>
      <c r="M32" s="41"/>
      <c r="N32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78EBD2-2452-9E41-9E6D-CDC90C2624F5}">
          <x14:formula1>
            <xm:f>'List Sheet'!$A$2:$A$4</xm:f>
          </x14:formula1>
          <xm:sqref>C28</xm:sqref>
        </x14:dataValidation>
        <x14:dataValidation type="list" allowBlank="1" showInputMessage="1" showErrorMessage="1" xr:uid="{D0A898BB-C9D1-0341-ADFE-D94C02A24316}">
          <x14:formula1>
            <xm:f>'List Sheet'!$B$2:$B$3</xm:f>
          </x14:formula1>
          <xm:sqref>B2:B8 B10 B12:B27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29F7-79FD-5548-8D11-79DBF58FBA23}">
  <dimension ref="A1:O17"/>
  <sheetViews>
    <sheetView zoomScaleNormal="100" workbookViewId="0">
      <selection activeCell="M14" sqref="M14"/>
    </sheetView>
  </sheetViews>
  <sheetFormatPr defaultColWidth="10.6640625" defaultRowHeight="14.4" x14ac:dyDescent="0.3"/>
  <cols>
    <col min="1" max="1" width="37" bestFit="1" customWidth="1"/>
    <col min="2" max="2" width="9.44140625" bestFit="1" customWidth="1"/>
    <col min="3" max="3" width="13.109375" bestFit="1" customWidth="1"/>
    <col min="4" max="4" width="10.44140625" bestFit="1" customWidth="1"/>
    <col min="5" max="5" width="6.664062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4414062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7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s="1" customFormat="1" x14ac:dyDescent="0.3">
      <c r="A2" s="66" t="s">
        <v>86</v>
      </c>
      <c r="B2" s="67"/>
      <c r="C2" s="67" t="s">
        <v>98</v>
      </c>
      <c r="D2" s="72">
        <v>44950</v>
      </c>
      <c r="E2" s="69">
        <v>100</v>
      </c>
      <c r="F2" s="70">
        <f t="shared" ref="F2:F12" si="0">(E2-G2)/E2</f>
        <v>0.95</v>
      </c>
      <c r="G2" s="69">
        <v>5</v>
      </c>
      <c r="H2" s="69">
        <v>29</v>
      </c>
      <c r="I2" s="70">
        <f t="shared" ref="I2:I12" si="1">H2/E2</f>
        <v>0.28999999999999998</v>
      </c>
      <c r="J2" s="69">
        <v>2</v>
      </c>
      <c r="K2" s="70">
        <f t="shared" ref="K2:K12" si="2">J2/E2</f>
        <v>0.02</v>
      </c>
      <c r="L2" s="70">
        <f t="shared" ref="L2:L12" si="3">J2/H2</f>
        <v>6.8965517241379309E-2</v>
      </c>
      <c r="M2" s="69">
        <v>0</v>
      </c>
      <c r="N2" s="70">
        <f t="shared" ref="N2:N12" si="4">M2/E2</f>
        <v>0</v>
      </c>
      <c r="O2" s="67" t="s">
        <v>98</v>
      </c>
    </row>
    <row r="3" spans="1:15" s="1" customFormat="1" x14ac:dyDescent="0.3">
      <c r="A3" s="76" t="s">
        <v>147</v>
      </c>
      <c r="B3" s="67"/>
      <c r="C3" s="67" t="s">
        <v>98</v>
      </c>
      <c r="D3" s="68">
        <v>44972</v>
      </c>
      <c r="E3" s="69">
        <v>7312</v>
      </c>
      <c r="F3" s="70">
        <f t="shared" si="0"/>
        <v>0.96074945295404812</v>
      </c>
      <c r="G3" s="69">
        <v>287</v>
      </c>
      <c r="H3" s="69">
        <v>3893</v>
      </c>
      <c r="I3" s="70">
        <f t="shared" si="1"/>
        <v>0.53241247264770242</v>
      </c>
      <c r="J3" s="69">
        <v>324</v>
      </c>
      <c r="K3" s="70">
        <f t="shared" si="2"/>
        <v>4.4310722100656452E-2</v>
      </c>
      <c r="L3" s="70">
        <f t="shared" si="3"/>
        <v>8.3226303621885434E-2</v>
      </c>
      <c r="M3" s="69">
        <v>95</v>
      </c>
      <c r="N3" s="70">
        <f t="shared" si="4"/>
        <v>1.299234135667396E-2</v>
      </c>
      <c r="O3" s="67" t="s">
        <v>98</v>
      </c>
    </row>
    <row r="4" spans="1:15" s="1" customFormat="1" x14ac:dyDescent="0.3">
      <c r="A4" s="76" t="s">
        <v>148</v>
      </c>
      <c r="B4" s="67"/>
      <c r="C4" s="67" t="s">
        <v>98</v>
      </c>
      <c r="D4" s="68">
        <v>44972</v>
      </c>
      <c r="E4" s="69">
        <v>740</v>
      </c>
      <c r="F4" s="70">
        <f t="shared" si="0"/>
        <v>0.96486486486486489</v>
      </c>
      <c r="G4" s="69">
        <v>26</v>
      </c>
      <c r="H4" s="69">
        <v>416</v>
      </c>
      <c r="I4" s="70">
        <f t="shared" si="1"/>
        <v>0.56216216216216219</v>
      </c>
      <c r="J4" s="69">
        <v>26</v>
      </c>
      <c r="K4" s="70">
        <f t="shared" si="2"/>
        <v>3.5135135135135137E-2</v>
      </c>
      <c r="L4" s="70">
        <f t="shared" si="3"/>
        <v>6.25E-2</v>
      </c>
      <c r="M4" s="69">
        <v>4</v>
      </c>
      <c r="N4" s="70">
        <f t="shared" si="4"/>
        <v>5.4054054054054057E-3</v>
      </c>
      <c r="O4" s="67" t="s">
        <v>98</v>
      </c>
    </row>
    <row r="5" spans="1:15" s="1" customFormat="1" x14ac:dyDescent="0.3">
      <c r="A5" s="66" t="s">
        <v>171</v>
      </c>
      <c r="B5" s="67"/>
      <c r="C5" s="67" t="s">
        <v>98</v>
      </c>
      <c r="D5" s="68">
        <v>44984</v>
      </c>
      <c r="E5" s="69">
        <v>517</v>
      </c>
      <c r="F5" s="70">
        <f t="shared" si="0"/>
        <v>0.96905222437137328</v>
      </c>
      <c r="G5" s="69">
        <v>16</v>
      </c>
      <c r="H5" s="69">
        <v>114</v>
      </c>
      <c r="I5" s="70">
        <f t="shared" si="1"/>
        <v>0.22050290135396519</v>
      </c>
      <c r="J5" s="69">
        <v>6</v>
      </c>
      <c r="K5" s="70">
        <f t="shared" si="2"/>
        <v>1.160541586073501E-2</v>
      </c>
      <c r="L5" s="70">
        <f t="shared" si="3"/>
        <v>5.2631578947368418E-2</v>
      </c>
      <c r="M5" s="69">
        <v>2</v>
      </c>
      <c r="N5" s="70">
        <f t="shared" si="4"/>
        <v>3.8684719535783366E-3</v>
      </c>
      <c r="O5" s="67" t="s">
        <v>98</v>
      </c>
    </row>
    <row r="6" spans="1:15" s="1" customFormat="1" x14ac:dyDescent="0.3">
      <c r="A6" s="66" t="s">
        <v>172</v>
      </c>
      <c r="B6" s="67"/>
      <c r="C6" s="67" t="s">
        <v>98</v>
      </c>
      <c r="D6" s="68">
        <v>44984</v>
      </c>
      <c r="E6" s="69">
        <v>3920</v>
      </c>
      <c r="F6" s="70">
        <f t="shared" si="0"/>
        <v>0.95765306122448979</v>
      </c>
      <c r="G6" s="69">
        <v>166</v>
      </c>
      <c r="H6" s="69">
        <v>1360</v>
      </c>
      <c r="I6" s="70">
        <f t="shared" si="1"/>
        <v>0.34693877551020408</v>
      </c>
      <c r="J6" s="69">
        <v>112</v>
      </c>
      <c r="K6" s="70">
        <f t="shared" si="2"/>
        <v>2.8571428571428571E-2</v>
      </c>
      <c r="L6" s="70">
        <f t="shared" si="3"/>
        <v>8.2352941176470587E-2</v>
      </c>
      <c r="M6" s="69">
        <v>29</v>
      </c>
      <c r="N6" s="70">
        <f t="shared" si="4"/>
        <v>7.3979591836734696E-3</v>
      </c>
      <c r="O6" s="67" t="s">
        <v>98</v>
      </c>
    </row>
    <row r="7" spans="1:15" s="1" customFormat="1" x14ac:dyDescent="0.3">
      <c r="A7" s="76" t="s">
        <v>232</v>
      </c>
      <c r="B7" s="67"/>
      <c r="C7" s="67" t="s">
        <v>98</v>
      </c>
      <c r="D7" s="68">
        <v>45015</v>
      </c>
      <c r="E7" s="69">
        <v>3513</v>
      </c>
      <c r="F7" s="70">
        <f t="shared" si="0"/>
        <v>0.98007401081696555</v>
      </c>
      <c r="G7" s="69">
        <v>70</v>
      </c>
      <c r="H7" s="69">
        <v>447</v>
      </c>
      <c r="I7" s="70">
        <f t="shared" si="1"/>
        <v>0.12724167378309137</v>
      </c>
      <c r="J7" s="69">
        <v>107</v>
      </c>
      <c r="K7" s="70">
        <f t="shared" si="2"/>
        <v>3.0458297751209791E-2</v>
      </c>
      <c r="L7" s="70">
        <f t="shared" si="3"/>
        <v>0.23937360178970918</v>
      </c>
      <c r="M7" s="69">
        <v>64</v>
      </c>
      <c r="N7" s="70">
        <f t="shared" si="4"/>
        <v>1.8218047253060064E-2</v>
      </c>
      <c r="O7" s="67" t="s">
        <v>98</v>
      </c>
    </row>
    <row r="8" spans="1:15" s="1" customFormat="1" x14ac:dyDescent="0.3">
      <c r="A8" s="76" t="s">
        <v>233</v>
      </c>
      <c r="B8" s="67"/>
      <c r="C8" s="67" t="s">
        <v>98</v>
      </c>
      <c r="D8" s="68">
        <v>45015</v>
      </c>
      <c r="E8" s="69">
        <v>14099</v>
      </c>
      <c r="F8" s="70">
        <f t="shared" si="0"/>
        <v>0.96808284275480527</v>
      </c>
      <c r="G8" s="69">
        <v>450</v>
      </c>
      <c r="H8" s="69">
        <v>3304</v>
      </c>
      <c r="I8" s="70">
        <f t="shared" si="1"/>
        <v>0.2343428611958295</v>
      </c>
      <c r="J8" s="69">
        <v>661</v>
      </c>
      <c r="K8" s="70">
        <f t="shared" si="2"/>
        <v>4.6882757642385982E-2</v>
      </c>
      <c r="L8" s="70">
        <f t="shared" si="3"/>
        <v>0.20006053268765134</v>
      </c>
      <c r="M8" s="69">
        <v>154</v>
      </c>
      <c r="N8" s="70">
        <f t="shared" si="4"/>
        <v>1.092276047946663E-2</v>
      </c>
      <c r="O8" s="67" t="s">
        <v>98</v>
      </c>
    </row>
    <row r="9" spans="1:15" s="1" customFormat="1" x14ac:dyDescent="0.3">
      <c r="A9" s="76" t="s">
        <v>239</v>
      </c>
      <c r="B9" s="67"/>
      <c r="C9" s="67" t="s">
        <v>98</v>
      </c>
      <c r="D9" s="68">
        <v>45019</v>
      </c>
      <c r="E9" s="69">
        <v>26</v>
      </c>
      <c r="F9" s="70">
        <f t="shared" si="0"/>
        <v>0.92307692307692313</v>
      </c>
      <c r="G9" s="69">
        <v>2</v>
      </c>
      <c r="H9" s="69">
        <v>8</v>
      </c>
      <c r="I9" s="70">
        <f t="shared" si="1"/>
        <v>0.30769230769230771</v>
      </c>
      <c r="J9" s="69">
        <v>1</v>
      </c>
      <c r="K9" s="70">
        <f t="shared" si="2"/>
        <v>3.8461538461538464E-2</v>
      </c>
      <c r="L9" s="70">
        <f t="shared" si="3"/>
        <v>0.125</v>
      </c>
      <c r="M9" s="69">
        <v>0</v>
      </c>
      <c r="N9" s="70">
        <f t="shared" si="4"/>
        <v>0</v>
      </c>
      <c r="O9" s="67" t="s">
        <v>98</v>
      </c>
    </row>
    <row r="10" spans="1:15" s="1" customFormat="1" x14ac:dyDescent="0.3">
      <c r="A10" s="76" t="s">
        <v>240</v>
      </c>
      <c r="B10" s="67"/>
      <c r="C10" s="67" t="s">
        <v>98</v>
      </c>
      <c r="D10" s="68">
        <v>45019</v>
      </c>
      <c r="E10" s="69">
        <v>346</v>
      </c>
      <c r="F10" s="70">
        <f t="shared" si="0"/>
        <v>0.97687861271676302</v>
      </c>
      <c r="G10" s="69">
        <v>8</v>
      </c>
      <c r="H10" s="69">
        <v>109</v>
      </c>
      <c r="I10" s="70">
        <f t="shared" si="1"/>
        <v>0.31502890173410403</v>
      </c>
      <c r="J10" s="69">
        <v>13</v>
      </c>
      <c r="K10" s="70">
        <f t="shared" si="2"/>
        <v>3.7572254335260118E-2</v>
      </c>
      <c r="L10" s="70">
        <f t="shared" si="3"/>
        <v>0.11926605504587157</v>
      </c>
      <c r="M10" s="69">
        <v>0</v>
      </c>
      <c r="N10" s="70">
        <f t="shared" si="4"/>
        <v>0</v>
      </c>
      <c r="O10" s="67" t="s">
        <v>98</v>
      </c>
    </row>
    <row r="11" spans="1:15" s="1" customFormat="1" x14ac:dyDescent="0.3">
      <c r="A11" s="95" t="s">
        <v>670</v>
      </c>
      <c r="B11" s="58"/>
      <c r="C11" s="58" t="s">
        <v>98</v>
      </c>
      <c r="D11" s="83">
        <v>45097</v>
      </c>
      <c r="E11" s="59">
        <v>7347</v>
      </c>
      <c r="F11" s="60">
        <f t="shared" si="0"/>
        <v>0.978494623655914</v>
      </c>
      <c r="G11" s="58">
        <v>158</v>
      </c>
      <c r="H11" s="59">
        <v>2291</v>
      </c>
      <c r="I11" s="60">
        <f t="shared" si="1"/>
        <v>0.31182795698924731</v>
      </c>
      <c r="J11" s="59">
        <v>185</v>
      </c>
      <c r="K11" s="60">
        <f t="shared" si="2"/>
        <v>2.5180345719341229E-2</v>
      </c>
      <c r="L11" s="60">
        <f t="shared" si="3"/>
        <v>8.0750763858577046E-2</v>
      </c>
      <c r="M11" s="59">
        <v>65</v>
      </c>
      <c r="N11" s="60">
        <f t="shared" si="4"/>
        <v>8.8471484959847559E-3</v>
      </c>
      <c r="O11" s="58" t="s">
        <v>98</v>
      </c>
    </row>
    <row r="12" spans="1:15" s="1" customFormat="1" x14ac:dyDescent="0.3">
      <c r="A12" s="95" t="s">
        <v>671</v>
      </c>
      <c r="B12" s="58"/>
      <c r="C12" s="58" t="s">
        <v>98</v>
      </c>
      <c r="D12" s="83">
        <v>45097</v>
      </c>
      <c r="E12" s="59">
        <v>830</v>
      </c>
      <c r="F12" s="60">
        <f t="shared" si="0"/>
        <v>0.99036144578313257</v>
      </c>
      <c r="G12" s="58">
        <v>8</v>
      </c>
      <c r="H12" s="59">
        <v>196</v>
      </c>
      <c r="I12" s="60">
        <f t="shared" si="1"/>
        <v>0.236144578313253</v>
      </c>
      <c r="J12" s="59">
        <v>9</v>
      </c>
      <c r="K12" s="60">
        <f t="shared" si="2"/>
        <v>1.0843373493975903E-2</v>
      </c>
      <c r="L12" s="60">
        <f t="shared" si="3"/>
        <v>4.5918367346938778E-2</v>
      </c>
      <c r="M12" s="59">
        <v>4</v>
      </c>
      <c r="N12" s="60">
        <f t="shared" si="4"/>
        <v>4.8192771084337354E-3</v>
      </c>
      <c r="O12" s="58" t="s">
        <v>98</v>
      </c>
    </row>
    <row r="13" spans="1:15" s="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x14ac:dyDescent="0.3">
      <c r="A14" s="33" t="s">
        <v>54</v>
      </c>
      <c r="B14" s="35"/>
      <c r="C14" s="35"/>
      <c r="D14" s="30"/>
      <c r="E14" s="31">
        <f>SUM(E2:E12)</f>
        <v>38750</v>
      </c>
      <c r="F14" s="32">
        <f>(E14-G14)/E14</f>
        <v>0.96913548387096771</v>
      </c>
      <c r="G14" s="31">
        <f>SUM(G2:G12)</f>
        <v>1196</v>
      </c>
      <c r="H14" s="31">
        <f>SUM(H2:H12)</f>
        <v>12167</v>
      </c>
      <c r="I14" s="32">
        <f>H14/E14</f>
        <v>0.31398709677419356</v>
      </c>
      <c r="J14" s="31">
        <f>SUM(J2:J12)</f>
        <v>1446</v>
      </c>
      <c r="K14" s="32">
        <f>J14/E14</f>
        <v>3.7316129032258068E-2</v>
      </c>
      <c r="L14" s="32">
        <f>J14/H14</f>
        <v>0.11884605901208187</v>
      </c>
      <c r="M14" s="31">
        <f>SUM(M2:M12)</f>
        <v>417</v>
      </c>
      <c r="N14" s="32">
        <f>M14/E14</f>
        <v>1.0761290322580646E-2</v>
      </c>
    </row>
    <row r="15" spans="1:15" x14ac:dyDescent="0.3">
      <c r="M15" s="16">
        <f>M14/J14</f>
        <v>0.28838174273858919</v>
      </c>
    </row>
    <row r="17" spans="1:14" x14ac:dyDescent="0.3">
      <c r="A17" s="36" t="s">
        <v>41</v>
      </c>
      <c r="B17" s="37"/>
      <c r="C17" s="38"/>
      <c r="D17" s="39"/>
      <c r="E17" s="40"/>
      <c r="F17" s="41"/>
      <c r="G17" s="42"/>
      <c r="H17" s="41"/>
      <c r="I17" s="43">
        <v>0.23899999999999999</v>
      </c>
      <c r="J17" s="41"/>
      <c r="K17" s="43">
        <v>2.9000000000000001E-2</v>
      </c>
      <c r="L17" s="43">
        <v>0.124</v>
      </c>
      <c r="M17" s="41"/>
      <c r="N17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2080342-91A4-584F-BBE6-0F2B5989B098}">
          <x14:formula1>
            <xm:f>'List Sheet'!$B$2:$B$3</xm:f>
          </x14:formula1>
          <xm:sqref>B2:B13</xm:sqref>
        </x14:dataValidation>
        <x14:dataValidation type="list" allowBlank="1" showInputMessage="1" showErrorMessage="1" xr:uid="{83B13EE9-D818-294F-BE0D-E4186C1A2231}">
          <x14:formula1>
            <xm:f>'List Sheet'!$A$2:$A$4</xm:f>
          </x14:formula1>
          <xm:sqref>C11:C12 O11:O12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9DE6-2AC9-A140-8D8B-BDA52F5BB5B6}">
  <dimension ref="A1:O43"/>
  <sheetViews>
    <sheetView topLeftCell="A12" workbookViewId="0">
      <selection activeCell="J47" sqref="J47"/>
    </sheetView>
  </sheetViews>
  <sheetFormatPr defaultColWidth="10.6640625" defaultRowHeight="14.4" x14ac:dyDescent="0.3"/>
  <cols>
    <col min="1" max="1" width="47.6640625" customWidth="1"/>
    <col min="2" max="2" width="9.44140625" bestFit="1" customWidth="1"/>
    <col min="3" max="3" width="13.109375" bestFit="1" customWidth="1"/>
    <col min="4" max="4" width="10.44140625" bestFit="1" customWidth="1"/>
    <col min="5" max="5" width="6.4414062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109375" bestFit="1" customWidth="1"/>
    <col min="12" max="12" width="7.10937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32</v>
      </c>
      <c r="B2" s="67"/>
      <c r="C2" s="67" t="s">
        <v>23</v>
      </c>
      <c r="D2" s="68">
        <v>44930</v>
      </c>
      <c r="E2" s="69">
        <v>321</v>
      </c>
      <c r="F2" s="70">
        <f t="shared" ref="F2:F38" si="0">(E2-G2)/E2</f>
        <v>1</v>
      </c>
      <c r="G2" s="69">
        <v>0</v>
      </c>
      <c r="H2" s="69">
        <v>108</v>
      </c>
      <c r="I2" s="70">
        <f t="shared" ref="I2:I9" si="1">H2/E2</f>
        <v>0.3364485981308411</v>
      </c>
      <c r="J2" s="69">
        <v>4</v>
      </c>
      <c r="K2" s="70">
        <f t="shared" ref="K2:K9" si="2">J2/E2</f>
        <v>1.2461059190031152E-2</v>
      </c>
      <c r="L2" s="70">
        <f t="shared" ref="L2:L9" si="3">J2/H2</f>
        <v>3.7037037037037035E-2</v>
      </c>
      <c r="M2" s="69">
        <v>0</v>
      </c>
      <c r="N2" s="70">
        <f t="shared" ref="N2:N9" si="4">M2/E2</f>
        <v>0</v>
      </c>
      <c r="O2" s="67" t="s">
        <v>23</v>
      </c>
    </row>
    <row r="3" spans="1:15" x14ac:dyDescent="0.3">
      <c r="A3" s="66" t="s">
        <v>26</v>
      </c>
      <c r="B3" s="67"/>
      <c r="C3" s="67" t="s">
        <v>23</v>
      </c>
      <c r="D3" s="68">
        <v>44931</v>
      </c>
      <c r="E3" s="69">
        <v>1678</v>
      </c>
      <c r="F3" s="70">
        <f t="shared" si="0"/>
        <v>0.99880810488676997</v>
      </c>
      <c r="G3" s="69">
        <v>2</v>
      </c>
      <c r="H3" s="69">
        <v>591</v>
      </c>
      <c r="I3" s="70">
        <f t="shared" si="1"/>
        <v>0.35220500595947557</v>
      </c>
      <c r="J3" s="69">
        <v>23</v>
      </c>
      <c r="K3" s="70">
        <f t="shared" si="2"/>
        <v>1.3706793802145411E-2</v>
      </c>
      <c r="L3" s="70">
        <f t="shared" si="3"/>
        <v>3.8917089678510999E-2</v>
      </c>
      <c r="M3" s="69">
        <v>0</v>
      </c>
      <c r="N3" s="70">
        <f t="shared" si="4"/>
        <v>0</v>
      </c>
      <c r="O3" s="67" t="s">
        <v>23</v>
      </c>
    </row>
    <row r="4" spans="1:15" s="1" customFormat="1" x14ac:dyDescent="0.3">
      <c r="A4" s="66" t="s">
        <v>26</v>
      </c>
      <c r="B4" s="67"/>
      <c r="C4" s="67" t="s">
        <v>23</v>
      </c>
      <c r="D4" s="72">
        <v>44938</v>
      </c>
      <c r="E4" s="69">
        <v>1672</v>
      </c>
      <c r="F4" s="70">
        <f t="shared" si="0"/>
        <v>1</v>
      </c>
      <c r="G4" s="69">
        <v>0</v>
      </c>
      <c r="H4" s="69">
        <v>601</v>
      </c>
      <c r="I4" s="70">
        <f t="shared" si="1"/>
        <v>0.35944976076555024</v>
      </c>
      <c r="J4" s="69">
        <v>18</v>
      </c>
      <c r="K4" s="70">
        <f t="shared" si="2"/>
        <v>1.076555023923445E-2</v>
      </c>
      <c r="L4" s="70">
        <f t="shared" si="3"/>
        <v>2.9950083194675542E-2</v>
      </c>
      <c r="M4" s="69">
        <v>0</v>
      </c>
      <c r="N4" s="70">
        <f t="shared" si="4"/>
        <v>0</v>
      </c>
      <c r="O4" s="67" t="s">
        <v>23</v>
      </c>
    </row>
    <row r="5" spans="1:15" s="1" customFormat="1" x14ac:dyDescent="0.3">
      <c r="A5" s="66" t="s">
        <v>32</v>
      </c>
      <c r="B5" s="67"/>
      <c r="C5" s="67" t="s">
        <v>23</v>
      </c>
      <c r="D5" s="72">
        <v>44944</v>
      </c>
      <c r="E5" s="69">
        <v>315</v>
      </c>
      <c r="F5" s="70">
        <f t="shared" si="0"/>
        <v>1</v>
      </c>
      <c r="G5" s="69">
        <v>0</v>
      </c>
      <c r="H5" s="69">
        <v>82</v>
      </c>
      <c r="I5" s="70">
        <f t="shared" si="1"/>
        <v>0.26031746031746034</v>
      </c>
      <c r="J5" s="69">
        <v>7</v>
      </c>
      <c r="K5" s="70">
        <f t="shared" si="2"/>
        <v>2.2222222222222223E-2</v>
      </c>
      <c r="L5" s="70">
        <f t="shared" si="3"/>
        <v>8.5365853658536592E-2</v>
      </c>
      <c r="M5" s="69">
        <v>0</v>
      </c>
      <c r="N5" s="70">
        <f t="shared" si="4"/>
        <v>0</v>
      </c>
      <c r="O5" s="67" t="s">
        <v>23</v>
      </c>
    </row>
    <row r="6" spans="1:15" s="1" customFormat="1" x14ac:dyDescent="0.3">
      <c r="A6" s="66" t="s">
        <v>26</v>
      </c>
      <c r="B6" s="67"/>
      <c r="C6" s="67" t="s">
        <v>23</v>
      </c>
      <c r="D6" s="72">
        <v>44945</v>
      </c>
      <c r="E6" s="69">
        <v>1675</v>
      </c>
      <c r="F6" s="70">
        <f t="shared" si="0"/>
        <v>0.99880597014925376</v>
      </c>
      <c r="G6" s="69">
        <v>2</v>
      </c>
      <c r="H6" s="69">
        <v>575</v>
      </c>
      <c r="I6" s="70">
        <f t="shared" si="1"/>
        <v>0.34328358208955223</v>
      </c>
      <c r="J6" s="69">
        <v>20</v>
      </c>
      <c r="K6" s="70">
        <f t="shared" si="2"/>
        <v>1.1940298507462687E-2</v>
      </c>
      <c r="L6" s="70">
        <f t="shared" si="3"/>
        <v>3.4782608695652174E-2</v>
      </c>
      <c r="M6" s="69">
        <v>0</v>
      </c>
      <c r="N6" s="70">
        <f t="shared" si="4"/>
        <v>0</v>
      </c>
      <c r="O6" s="67" t="s">
        <v>23</v>
      </c>
    </row>
    <row r="7" spans="1:15" s="1" customFormat="1" x14ac:dyDescent="0.3">
      <c r="A7" s="66" t="s">
        <v>26</v>
      </c>
      <c r="B7" s="67"/>
      <c r="C7" s="67" t="s">
        <v>23</v>
      </c>
      <c r="D7" s="72">
        <v>44952</v>
      </c>
      <c r="E7" s="69">
        <v>1672</v>
      </c>
      <c r="F7" s="70">
        <f t="shared" si="0"/>
        <v>0.99880382775119614</v>
      </c>
      <c r="G7" s="69">
        <v>2</v>
      </c>
      <c r="H7" s="69">
        <v>585</v>
      </c>
      <c r="I7" s="70">
        <f t="shared" si="1"/>
        <v>0.34988038277511962</v>
      </c>
      <c r="J7" s="69">
        <v>20</v>
      </c>
      <c r="K7" s="70">
        <f t="shared" si="2"/>
        <v>1.1961722488038277E-2</v>
      </c>
      <c r="L7" s="70">
        <f t="shared" si="3"/>
        <v>3.4188034188034191E-2</v>
      </c>
      <c r="M7" s="69">
        <v>1</v>
      </c>
      <c r="N7" s="70">
        <f t="shared" si="4"/>
        <v>5.9808612440191385E-4</v>
      </c>
      <c r="O7" s="67" t="s">
        <v>23</v>
      </c>
    </row>
    <row r="8" spans="1:15" s="1" customFormat="1" x14ac:dyDescent="0.3">
      <c r="A8" s="76" t="s">
        <v>32</v>
      </c>
      <c r="B8" s="67"/>
      <c r="C8" s="67" t="s">
        <v>23</v>
      </c>
      <c r="D8" s="68">
        <v>44958</v>
      </c>
      <c r="E8" s="69">
        <v>314</v>
      </c>
      <c r="F8" s="70">
        <f t="shared" si="0"/>
        <v>1</v>
      </c>
      <c r="G8" s="69">
        <v>0</v>
      </c>
      <c r="H8" s="69">
        <v>85</v>
      </c>
      <c r="I8" s="70">
        <f t="shared" si="1"/>
        <v>0.27070063694267515</v>
      </c>
      <c r="J8" s="69">
        <v>7</v>
      </c>
      <c r="K8" s="70">
        <f t="shared" si="2"/>
        <v>2.2292993630573247E-2</v>
      </c>
      <c r="L8" s="70">
        <f t="shared" si="3"/>
        <v>8.2352941176470587E-2</v>
      </c>
      <c r="M8" s="69">
        <v>0</v>
      </c>
      <c r="N8" s="70">
        <f t="shared" si="4"/>
        <v>0</v>
      </c>
      <c r="O8" s="67" t="s">
        <v>23</v>
      </c>
    </row>
    <row r="9" spans="1:15" s="1" customFormat="1" x14ac:dyDescent="0.3">
      <c r="A9" s="76" t="s">
        <v>26</v>
      </c>
      <c r="B9" s="67"/>
      <c r="C9" s="67" t="s">
        <v>23</v>
      </c>
      <c r="D9" s="68">
        <v>44959</v>
      </c>
      <c r="E9" s="69">
        <v>1670</v>
      </c>
      <c r="F9" s="70">
        <f t="shared" si="0"/>
        <v>0.9994011976047904</v>
      </c>
      <c r="G9" s="69">
        <v>1</v>
      </c>
      <c r="H9" s="69">
        <v>584</v>
      </c>
      <c r="I9" s="70">
        <f t="shared" si="1"/>
        <v>0.34970059880239523</v>
      </c>
      <c r="J9" s="69">
        <v>18</v>
      </c>
      <c r="K9" s="70">
        <f t="shared" si="2"/>
        <v>1.0778443113772455E-2</v>
      </c>
      <c r="L9" s="70">
        <f t="shared" si="3"/>
        <v>3.0821917808219176E-2</v>
      </c>
      <c r="M9" s="69">
        <v>0</v>
      </c>
      <c r="N9" s="70">
        <f t="shared" si="4"/>
        <v>0</v>
      </c>
      <c r="O9" s="67" t="s">
        <v>23</v>
      </c>
    </row>
    <row r="10" spans="1:15" s="1" customFormat="1" x14ac:dyDescent="0.3">
      <c r="A10" s="66" t="s">
        <v>26</v>
      </c>
      <c r="B10" s="67"/>
      <c r="C10" s="67" t="s">
        <v>23</v>
      </c>
      <c r="D10" s="68">
        <v>44966</v>
      </c>
      <c r="E10" s="69">
        <v>1671</v>
      </c>
      <c r="F10" s="70">
        <f t="shared" si="0"/>
        <v>0.99940155595451829</v>
      </c>
      <c r="G10" s="69">
        <v>1</v>
      </c>
      <c r="H10" s="69">
        <v>666</v>
      </c>
      <c r="I10" s="70">
        <f>H10/E10</f>
        <v>0.3985637342908438</v>
      </c>
      <c r="J10" s="69">
        <v>21</v>
      </c>
      <c r="K10" s="70">
        <f>J10/E10</f>
        <v>1.2567324955116697E-2</v>
      </c>
      <c r="L10" s="70">
        <f>J10/H10</f>
        <v>3.1531531531531529E-2</v>
      </c>
      <c r="M10" s="86">
        <v>0</v>
      </c>
      <c r="N10" s="70">
        <f>M10/E10</f>
        <v>0</v>
      </c>
      <c r="O10" s="67" t="s">
        <v>23</v>
      </c>
    </row>
    <row r="11" spans="1:15" s="1" customFormat="1" x14ac:dyDescent="0.3">
      <c r="A11" s="76" t="s">
        <v>32</v>
      </c>
      <c r="B11" s="67"/>
      <c r="C11" s="67" t="s">
        <v>23</v>
      </c>
      <c r="D11" s="68">
        <v>44972</v>
      </c>
      <c r="E11" s="69">
        <v>310</v>
      </c>
      <c r="F11" s="70">
        <f t="shared" si="0"/>
        <v>1</v>
      </c>
      <c r="G11" s="69">
        <v>0</v>
      </c>
      <c r="H11" s="69">
        <v>97</v>
      </c>
      <c r="I11" s="70">
        <f t="shared" ref="I11:I38" si="5">H11/E11</f>
        <v>0.31290322580645163</v>
      </c>
      <c r="J11" s="69">
        <v>4</v>
      </c>
      <c r="K11" s="70">
        <f t="shared" ref="K11:K38" si="6">J11/E11</f>
        <v>1.2903225806451613E-2</v>
      </c>
      <c r="L11" s="70">
        <f t="shared" ref="L11:L38" si="7">J11/H11</f>
        <v>4.1237113402061855E-2</v>
      </c>
      <c r="M11" s="69">
        <v>0</v>
      </c>
      <c r="N11" s="70">
        <f t="shared" ref="N11:N38" si="8">M11/E11</f>
        <v>0</v>
      </c>
      <c r="O11" s="67" t="s">
        <v>23</v>
      </c>
    </row>
    <row r="12" spans="1:15" s="1" customFormat="1" x14ac:dyDescent="0.3">
      <c r="A12" s="66" t="s">
        <v>26</v>
      </c>
      <c r="B12" s="67"/>
      <c r="C12" s="67" t="s">
        <v>23</v>
      </c>
      <c r="D12" s="68">
        <v>44973</v>
      </c>
      <c r="E12" s="69">
        <v>1648</v>
      </c>
      <c r="F12" s="70">
        <f t="shared" si="0"/>
        <v>1</v>
      </c>
      <c r="G12" s="69">
        <v>0</v>
      </c>
      <c r="H12" s="69">
        <v>591</v>
      </c>
      <c r="I12" s="70">
        <f t="shared" si="5"/>
        <v>0.35861650485436891</v>
      </c>
      <c r="J12" s="69">
        <v>17</v>
      </c>
      <c r="K12" s="70">
        <f t="shared" si="6"/>
        <v>1.0315533980582525E-2</v>
      </c>
      <c r="L12" s="70">
        <f t="shared" si="7"/>
        <v>2.8764805414551606E-2</v>
      </c>
      <c r="M12" s="69">
        <v>0</v>
      </c>
      <c r="N12" s="70">
        <f t="shared" si="8"/>
        <v>0</v>
      </c>
      <c r="O12" s="67" t="s">
        <v>23</v>
      </c>
    </row>
    <row r="13" spans="1:15" s="1" customFormat="1" x14ac:dyDescent="0.3">
      <c r="A13" s="66" t="s">
        <v>26</v>
      </c>
      <c r="B13" s="67"/>
      <c r="C13" s="67" t="s">
        <v>23</v>
      </c>
      <c r="D13" s="68">
        <v>44980</v>
      </c>
      <c r="E13" s="69">
        <v>1642</v>
      </c>
      <c r="F13" s="70">
        <f t="shared" si="0"/>
        <v>1</v>
      </c>
      <c r="G13" s="69">
        <v>0</v>
      </c>
      <c r="H13" s="69">
        <v>624</v>
      </c>
      <c r="I13" s="70">
        <f t="shared" si="5"/>
        <v>0.3800243605359318</v>
      </c>
      <c r="J13" s="69">
        <v>16</v>
      </c>
      <c r="K13" s="70">
        <f t="shared" si="6"/>
        <v>9.7442143727161992E-3</v>
      </c>
      <c r="L13" s="70">
        <f t="shared" si="7"/>
        <v>2.564102564102564E-2</v>
      </c>
      <c r="M13" s="69">
        <v>1</v>
      </c>
      <c r="N13" s="70">
        <f t="shared" si="8"/>
        <v>6.0901339829476245E-4</v>
      </c>
      <c r="O13" s="67" t="s">
        <v>23</v>
      </c>
    </row>
    <row r="14" spans="1:15" s="1" customFormat="1" x14ac:dyDescent="0.3">
      <c r="A14" s="76" t="s">
        <v>32</v>
      </c>
      <c r="B14" s="67"/>
      <c r="C14" s="67" t="s">
        <v>23</v>
      </c>
      <c r="D14" s="68">
        <v>44986</v>
      </c>
      <c r="E14" s="69">
        <v>309</v>
      </c>
      <c r="F14" s="70">
        <f t="shared" si="0"/>
        <v>1</v>
      </c>
      <c r="G14" s="69">
        <v>0</v>
      </c>
      <c r="H14" s="69">
        <v>99</v>
      </c>
      <c r="I14" s="70">
        <f t="shared" si="5"/>
        <v>0.32038834951456313</v>
      </c>
      <c r="J14" s="69">
        <v>6</v>
      </c>
      <c r="K14" s="70">
        <f t="shared" si="6"/>
        <v>1.9417475728155338E-2</v>
      </c>
      <c r="L14" s="70">
        <f t="shared" si="7"/>
        <v>6.0606060606060608E-2</v>
      </c>
      <c r="M14" s="69">
        <v>0</v>
      </c>
      <c r="N14" s="70">
        <f t="shared" si="8"/>
        <v>0</v>
      </c>
      <c r="O14" s="67" t="s">
        <v>23</v>
      </c>
    </row>
    <row r="15" spans="1:15" s="1" customFormat="1" x14ac:dyDescent="0.3">
      <c r="A15" s="66" t="s">
        <v>26</v>
      </c>
      <c r="B15" s="67"/>
      <c r="C15" s="67" t="s">
        <v>23</v>
      </c>
      <c r="D15" s="68">
        <v>44987</v>
      </c>
      <c r="E15" s="69">
        <v>1642</v>
      </c>
      <c r="F15" s="70">
        <f t="shared" si="0"/>
        <v>1</v>
      </c>
      <c r="G15" s="69">
        <v>0</v>
      </c>
      <c r="H15" s="69">
        <v>598</v>
      </c>
      <c r="I15" s="70">
        <f t="shared" si="5"/>
        <v>0.36419001218026797</v>
      </c>
      <c r="J15" s="69">
        <v>19</v>
      </c>
      <c r="K15" s="70">
        <f t="shared" si="6"/>
        <v>1.1571254567600487E-2</v>
      </c>
      <c r="L15" s="70">
        <f t="shared" si="7"/>
        <v>3.177257525083612E-2</v>
      </c>
      <c r="M15" s="69">
        <v>0</v>
      </c>
      <c r="N15" s="70">
        <f t="shared" si="8"/>
        <v>0</v>
      </c>
      <c r="O15" s="67" t="s">
        <v>23</v>
      </c>
    </row>
    <row r="16" spans="1:15" s="1" customFormat="1" x14ac:dyDescent="0.3">
      <c r="A16" s="66" t="s">
        <v>26</v>
      </c>
      <c r="B16" s="67"/>
      <c r="C16" s="67" t="s">
        <v>23</v>
      </c>
      <c r="D16" s="68">
        <v>44994</v>
      </c>
      <c r="E16" s="69">
        <v>1643</v>
      </c>
      <c r="F16" s="70">
        <f t="shared" si="0"/>
        <v>0.99939135727328055</v>
      </c>
      <c r="G16" s="69">
        <v>1</v>
      </c>
      <c r="H16" s="69">
        <v>592</v>
      </c>
      <c r="I16" s="70">
        <f t="shared" si="5"/>
        <v>0.36031649421789408</v>
      </c>
      <c r="J16" s="69">
        <v>13</v>
      </c>
      <c r="K16" s="70">
        <f t="shared" si="6"/>
        <v>7.9123554473524045E-3</v>
      </c>
      <c r="L16" s="70">
        <f t="shared" si="7"/>
        <v>2.1959459459459461E-2</v>
      </c>
      <c r="M16" s="69">
        <v>0</v>
      </c>
      <c r="N16" s="70">
        <f t="shared" si="8"/>
        <v>0</v>
      </c>
      <c r="O16" s="67" t="s">
        <v>23</v>
      </c>
    </row>
    <row r="17" spans="1:15" s="1" customFormat="1" x14ac:dyDescent="0.3">
      <c r="A17" s="76" t="s">
        <v>32</v>
      </c>
      <c r="B17" s="67"/>
      <c r="C17" s="67" t="s">
        <v>23</v>
      </c>
      <c r="D17" s="68">
        <v>45000</v>
      </c>
      <c r="E17" s="69">
        <v>295</v>
      </c>
      <c r="F17" s="70">
        <f t="shared" si="0"/>
        <v>0.99322033898305084</v>
      </c>
      <c r="G17" s="69">
        <v>2</v>
      </c>
      <c r="H17" s="69">
        <v>114</v>
      </c>
      <c r="I17" s="70">
        <f t="shared" si="5"/>
        <v>0.38644067796610171</v>
      </c>
      <c r="J17" s="69">
        <v>6</v>
      </c>
      <c r="K17" s="70">
        <f t="shared" si="6"/>
        <v>2.0338983050847456E-2</v>
      </c>
      <c r="L17" s="70">
        <f t="shared" si="7"/>
        <v>5.2631578947368418E-2</v>
      </c>
      <c r="M17" s="69">
        <v>0</v>
      </c>
      <c r="N17" s="70">
        <f t="shared" si="8"/>
        <v>0</v>
      </c>
      <c r="O17" s="67" t="s">
        <v>23</v>
      </c>
    </row>
    <row r="18" spans="1:15" s="1" customFormat="1" x14ac:dyDescent="0.3">
      <c r="A18" s="66" t="s">
        <v>26</v>
      </c>
      <c r="B18" s="67"/>
      <c r="C18" s="67" t="s">
        <v>23</v>
      </c>
      <c r="D18" s="68">
        <v>45001</v>
      </c>
      <c r="E18" s="69">
        <v>1641</v>
      </c>
      <c r="F18" s="70">
        <f t="shared" si="0"/>
        <v>0.99878123095673366</v>
      </c>
      <c r="G18" s="69">
        <v>2</v>
      </c>
      <c r="H18" s="69">
        <v>587</v>
      </c>
      <c r="I18" s="70">
        <f t="shared" si="5"/>
        <v>0.35770871419865935</v>
      </c>
      <c r="J18" s="69">
        <v>21</v>
      </c>
      <c r="K18" s="70">
        <f t="shared" si="6"/>
        <v>1.2797074954296161E-2</v>
      </c>
      <c r="L18" s="70">
        <f t="shared" si="7"/>
        <v>3.5775127768313458E-2</v>
      </c>
      <c r="M18" s="69">
        <v>0</v>
      </c>
      <c r="N18" s="70">
        <f t="shared" si="8"/>
        <v>0</v>
      </c>
      <c r="O18" s="67" t="s">
        <v>23</v>
      </c>
    </row>
    <row r="19" spans="1:15" s="1" customFormat="1" x14ac:dyDescent="0.3">
      <c r="A19" s="66" t="s">
        <v>26</v>
      </c>
      <c r="B19" s="67"/>
      <c r="C19" s="67" t="s">
        <v>23</v>
      </c>
      <c r="D19" s="68">
        <v>45008</v>
      </c>
      <c r="E19" s="69">
        <v>1640</v>
      </c>
      <c r="F19" s="70">
        <f t="shared" si="0"/>
        <v>0.99878048780487805</v>
      </c>
      <c r="G19" s="69">
        <v>2</v>
      </c>
      <c r="H19" s="69">
        <v>585</v>
      </c>
      <c r="I19" s="70">
        <f t="shared" si="5"/>
        <v>0.35670731707317072</v>
      </c>
      <c r="J19" s="69">
        <v>13</v>
      </c>
      <c r="K19" s="70">
        <f t="shared" si="6"/>
        <v>7.926829268292683E-3</v>
      </c>
      <c r="L19" s="70">
        <f t="shared" si="7"/>
        <v>2.2222222222222223E-2</v>
      </c>
      <c r="M19" s="69">
        <v>0</v>
      </c>
      <c r="N19" s="70">
        <f t="shared" si="8"/>
        <v>0</v>
      </c>
      <c r="O19" s="67" t="s">
        <v>23</v>
      </c>
    </row>
    <row r="20" spans="1:15" s="1" customFormat="1" x14ac:dyDescent="0.3">
      <c r="A20" s="76" t="s">
        <v>32</v>
      </c>
      <c r="B20" s="67"/>
      <c r="C20" s="67" t="s">
        <v>23</v>
      </c>
      <c r="D20" s="68">
        <v>45014</v>
      </c>
      <c r="E20" s="69">
        <v>287</v>
      </c>
      <c r="F20" s="70">
        <f t="shared" si="0"/>
        <v>1</v>
      </c>
      <c r="G20" s="69">
        <v>0</v>
      </c>
      <c r="H20" s="69">
        <v>95</v>
      </c>
      <c r="I20" s="70">
        <f t="shared" si="5"/>
        <v>0.33101045296167247</v>
      </c>
      <c r="J20" s="69">
        <v>6</v>
      </c>
      <c r="K20" s="70">
        <f t="shared" si="6"/>
        <v>2.0905923344947737E-2</v>
      </c>
      <c r="L20" s="70">
        <f t="shared" si="7"/>
        <v>6.3157894736842107E-2</v>
      </c>
      <c r="M20" s="69">
        <v>0</v>
      </c>
      <c r="N20" s="70">
        <f t="shared" si="8"/>
        <v>0</v>
      </c>
      <c r="O20" s="67" t="s">
        <v>23</v>
      </c>
    </row>
    <row r="21" spans="1:15" s="1" customFormat="1" x14ac:dyDescent="0.3">
      <c r="A21" s="66" t="s">
        <v>26</v>
      </c>
      <c r="B21" s="67"/>
      <c r="C21" s="67" t="s">
        <v>23</v>
      </c>
      <c r="D21" s="68">
        <v>45015</v>
      </c>
      <c r="E21" s="69">
        <v>1631</v>
      </c>
      <c r="F21" s="70">
        <f t="shared" si="0"/>
        <v>0.99816063764561613</v>
      </c>
      <c r="G21" s="69">
        <v>3</v>
      </c>
      <c r="H21" s="69">
        <v>615</v>
      </c>
      <c r="I21" s="70">
        <f t="shared" si="5"/>
        <v>0.37706928264868178</v>
      </c>
      <c r="J21" s="69">
        <v>23</v>
      </c>
      <c r="K21" s="70">
        <f t="shared" si="6"/>
        <v>1.4101778050275904E-2</v>
      </c>
      <c r="L21" s="70">
        <f t="shared" si="7"/>
        <v>3.7398373983739838E-2</v>
      </c>
      <c r="M21" s="69">
        <v>0</v>
      </c>
      <c r="N21" s="70">
        <f t="shared" si="8"/>
        <v>0</v>
      </c>
      <c r="O21" s="67" t="s">
        <v>23</v>
      </c>
    </row>
    <row r="22" spans="1:15" s="1" customFormat="1" x14ac:dyDescent="0.3">
      <c r="A22" s="66" t="s">
        <v>26</v>
      </c>
      <c r="B22" s="67"/>
      <c r="C22" s="67" t="s">
        <v>23</v>
      </c>
      <c r="D22" s="68">
        <v>45022</v>
      </c>
      <c r="E22" s="69">
        <v>1631</v>
      </c>
      <c r="F22" s="70">
        <f t="shared" si="0"/>
        <v>0.99816063764561613</v>
      </c>
      <c r="G22" s="69">
        <v>3</v>
      </c>
      <c r="H22" s="69">
        <v>535</v>
      </c>
      <c r="I22" s="70">
        <f t="shared" si="5"/>
        <v>0.32801961986511341</v>
      </c>
      <c r="J22" s="69">
        <v>12</v>
      </c>
      <c r="K22" s="70">
        <f t="shared" si="6"/>
        <v>7.357449417535254E-3</v>
      </c>
      <c r="L22" s="70">
        <f t="shared" si="7"/>
        <v>2.2429906542056073E-2</v>
      </c>
      <c r="M22" s="69">
        <v>1</v>
      </c>
      <c r="N22" s="70">
        <f t="shared" si="8"/>
        <v>6.131207847946045E-4</v>
      </c>
      <c r="O22" s="67" t="s">
        <v>23</v>
      </c>
    </row>
    <row r="23" spans="1:15" s="1" customFormat="1" x14ac:dyDescent="0.3">
      <c r="A23" s="76" t="s">
        <v>32</v>
      </c>
      <c r="B23" s="67"/>
      <c r="C23" s="67" t="s">
        <v>23</v>
      </c>
      <c r="D23" s="68">
        <v>45028</v>
      </c>
      <c r="E23" s="69">
        <v>283</v>
      </c>
      <c r="F23" s="70">
        <f t="shared" si="0"/>
        <v>1</v>
      </c>
      <c r="G23" s="69">
        <v>0</v>
      </c>
      <c r="H23" s="69">
        <v>84</v>
      </c>
      <c r="I23" s="70">
        <f t="shared" si="5"/>
        <v>0.29681978798586572</v>
      </c>
      <c r="J23" s="69">
        <v>2</v>
      </c>
      <c r="K23" s="70">
        <f t="shared" si="6"/>
        <v>7.0671378091872791E-3</v>
      </c>
      <c r="L23" s="70">
        <f t="shared" si="7"/>
        <v>2.3809523809523808E-2</v>
      </c>
      <c r="M23" s="69">
        <v>0</v>
      </c>
      <c r="N23" s="70">
        <f t="shared" si="8"/>
        <v>0</v>
      </c>
      <c r="O23" s="67" t="s">
        <v>23</v>
      </c>
    </row>
    <row r="24" spans="1:15" s="1" customFormat="1" x14ac:dyDescent="0.3">
      <c r="A24" s="66" t="s">
        <v>26</v>
      </c>
      <c r="B24" s="67"/>
      <c r="C24" s="67" t="s">
        <v>23</v>
      </c>
      <c r="D24" s="68">
        <v>45029</v>
      </c>
      <c r="E24" s="69">
        <v>1639</v>
      </c>
      <c r="F24" s="70">
        <f t="shared" si="0"/>
        <v>0.99755948749237344</v>
      </c>
      <c r="G24" s="69">
        <v>4</v>
      </c>
      <c r="H24" s="69">
        <v>559</v>
      </c>
      <c r="I24" s="70">
        <f t="shared" si="5"/>
        <v>0.3410616229408176</v>
      </c>
      <c r="J24" s="69">
        <v>13</v>
      </c>
      <c r="K24" s="70">
        <f t="shared" si="6"/>
        <v>7.9316656497864547E-3</v>
      </c>
      <c r="L24" s="70">
        <f t="shared" si="7"/>
        <v>2.3255813953488372E-2</v>
      </c>
      <c r="M24" s="69">
        <v>0</v>
      </c>
      <c r="N24" s="70">
        <f t="shared" si="8"/>
        <v>0</v>
      </c>
      <c r="O24" s="67" t="s">
        <v>23</v>
      </c>
    </row>
    <row r="25" spans="1:15" s="1" customFormat="1" x14ac:dyDescent="0.3">
      <c r="A25" s="66" t="s">
        <v>26</v>
      </c>
      <c r="B25" s="67"/>
      <c r="C25" s="67" t="s">
        <v>23</v>
      </c>
      <c r="D25" s="68">
        <v>45036</v>
      </c>
      <c r="E25" s="69">
        <v>1642</v>
      </c>
      <c r="F25" s="70">
        <f t="shared" si="0"/>
        <v>0.99695493300852622</v>
      </c>
      <c r="G25" s="69">
        <v>5</v>
      </c>
      <c r="H25" s="69">
        <v>565</v>
      </c>
      <c r="I25" s="70">
        <f t="shared" si="5"/>
        <v>0.34409257003654081</v>
      </c>
      <c r="J25" s="69">
        <v>19</v>
      </c>
      <c r="K25" s="70">
        <f t="shared" si="6"/>
        <v>1.1571254567600487E-2</v>
      </c>
      <c r="L25" s="70">
        <f t="shared" si="7"/>
        <v>3.3628318584070796E-2</v>
      </c>
      <c r="M25" s="69">
        <v>1</v>
      </c>
      <c r="N25" s="70">
        <f t="shared" si="8"/>
        <v>6.0901339829476245E-4</v>
      </c>
      <c r="O25" s="67" t="s">
        <v>23</v>
      </c>
    </row>
    <row r="26" spans="1:15" s="1" customFormat="1" x14ac:dyDescent="0.3">
      <c r="A26" s="76" t="s">
        <v>32</v>
      </c>
      <c r="B26" s="67"/>
      <c r="C26" s="67" t="s">
        <v>23</v>
      </c>
      <c r="D26" s="68">
        <v>45042</v>
      </c>
      <c r="E26" s="69">
        <v>267</v>
      </c>
      <c r="F26" s="70">
        <f t="shared" si="0"/>
        <v>1</v>
      </c>
      <c r="G26" s="69">
        <v>0</v>
      </c>
      <c r="H26" s="69">
        <v>85</v>
      </c>
      <c r="I26" s="70">
        <f t="shared" si="5"/>
        <v>0.31835205992509363</v>
      </c>
      <c r="J26" s="69">
        <v>3</v>
      </c>
      <c r="K26" s="70">
        <f t="shared" si="6"/>
        <v>1.1235955056179775E-2</v>
      </c>
      <c r="L26" s="70">
        <f t="shared" si="7"/>
        <v>3.5294117647058823E-2</v>
      </c>
      <c r="M26" s="69">
        <v>0</v>
      </c>
      <c r="N26" s="70">
        <f t="shared" si="8"/>
        <v>0</v>
      </c>
      <c r="O26" s="67" t="s">
        <v>23</v>
      </c>
    </row>
    <row r="27" spans="1:15" s="1" customFormat="1" x14ac:dyDescent="0.3">
      <c r="A27" s="66" t="s">
        <v>26</v>
      </c>
      <c r="B27" s="67"/>
      <c r="C27" s="67" t="s">
        <v>23</v>
      </c>
      <c r="D27" s="68">
        <v>45043</v>
      </c>
      <c r="E27" s="69">
        <v>1646</v>
      </c>
      <c r="F27" s="70">
        <f t="shared" si="0"/>
        <v>0.99696233292831105</v>
      </c>
      <c r="G27" s="69">
        <v>5</v>
      </c>
      <c r="H27" s="69">
        <v>567</v>
      </c>
      <c r="I27" s="70">
        <f t="shared" si="5"/>
        <v>0.34447144592952611</v>
      </c>
      <c r="J27" s="69">
        <v>16</v>
      </c>
      <c r="K27" s="70">
        <f t="shared" si="6"/>
        <v>9.7205346294046164E-3</v>
      </c>
      <c r="L27" s="70">
        <f t="shared" si="7"/>
        <v>2.821869488536155E-2</v>
      </c>
      <c r="M27" s="69">
        <v>0</v>
      </c>
      <c r="N27" s="70">
        <f t="shared" si="8"/>
        <v>0</v>
      </c>
      <c r="O27" s="67" t="s">
        <v>23</v>
      </c>
    </row>
    <row r="28" spans="1:15" s="1" customFormat="1" x14ac:dyDescent="0.3">
      <c r="A28" s="66" t="s">
        <v>26</v>
      </c>
      <c r="B28" s="67"/>
      <c r="C28" s="67" t="s">
        <v>23</v>
      </c>
      <c r="D28" s="68">
        <v>45050</v>
      </c>
      <c r="E28" s="69">
        <v>1644</v>
      </c>
      <c r="F28" s="70">
        <f t="shared" si="0"/>
        <v>0.99817518248175185</v>
      </c>
      <c r="G28" s="69">
        <v>3</v>
      </c>
      <c r="H28" s="69">
        <v>579</v>
      </c>
      <c r="I28" s="70">
        <f t="shared" si="5"/>
        <v>0.3521897810218978</v>
      </c>
      <c r="J28" s="69">
        <v>18</v>
      </c>
      <c r="K28" s="70">
        <f t="shared" si="6"/>
        <v>1.0948905109489052E-2</v>
      </c>
      <c r="L28" s="70">
        <f t="shared" si="7"/>
        <v>3.1088082901554404E-2</v>
      </c>
      <c r="M28" s="69">
        <v>0</v>
      </c>
      <c r="N28" s="70">
        <f t="shared" si="8"/>
        <v>0</v>
      </c>
      <c r="O28" s="67" t="s">
        <v>23</v>
      </c>
    </row>
    <row r="29" spans="1:15" s="1" customFormat="1" x14ac:dyDescent="0.3">
      <c r="A29" s="66" t="s">
        <v>26</v>
      </c>
      <c r="B29" s="67"/>
      <c r="C29" s="67" t="s">
        <v>23</v>
      </c>
      <c r="D29" s="68">
        <v>45057</v>
      </c>
      <c r="E29" s="69">
        <v>1647</v>
      </c>
      <c r="F29" s="70">
        <f t="shared" si="0"/>
        <v>0.99696417729204612</v>
      </c>
      <c r="G29" s="69">
        <v>5</v>
      </c>
      <c r="H29" s="69">
        <v>571</v>
      </c>
      <c r="I29" s="70">
        <f t="shared" si="5"/>
        <v>0.34669095324833032</v>
      </c>
      <c r="J29" s="69">
        <v>15</v>
      </c>
      <c r="K29" s="70">
        <f t="shared" si="6"/>
        <v>9.1074681238615673E-3</v>
      </c>
      <c r="L29" s="70">
        <f t="shared" si="7"/>
        <v>2.6269702276707531E-2</v>
      </c>
      <c r="M29" s="69">
        <v>0</v>
      </c>
      <c r="N29" s="70">
        <f t="shared" si="8"/>
        <v>0</v>
      </c>
      <c r="O29" s="67" t="s">
        <v>23</v>
      </c>
    </row>
    <row r="30" spans="1:15" s="1" customFormat="1" x14ac:dyDescent="0.3">
      <c r="A30" s="66" t="s">
        <v>26</v>
      </c>
      <c r="B30" s="67"/>
      <c r="C30" s="67" t="s">
        <v>23</v>
      </c>
      <c r="D30" s="68">
        <v>45064</v>
      </c>
      <c r="E30" s="69">
        <v>1648</v>
      </c>
      <c r="F30" s="70">
        <f t="shared" si="0"/>
        <v>0.99817961165048541</v>
      </c>
      <c r="G30" s="69">
        <v>3</v>
      </c>
      <c r="H30" s="69">
        <v>542</v>
      </c>
      <c r="I30" s="70">
        <f t="shared" si="5"/>
        <v>0.32888349514563109</v>
      </c>
      <c r="J30" s="69">
        <v>20</v>
      </c>
      <c r="K30" s="70">
        <f t="shared" si="6"/>
        <v>1.2135922330097087E-2</v>
      </c>
      <c r="L30" s="70">
        <f t="shared" si="7"/>
        <v>3.6900369003690037E-2</v>
      </c>
      <c r="M30" s="69">
        <v>0</v>
      </c>
      <c r="N30" s="70">
        <f t="shared" si="8"/>
        <v>0</v>
      </c>
      <c r="O30" s="67" t="s">
        <v>23</v>
      </c>
    </row>
    <row r="31" spans="1:15" s="1" customFormat="1" x14ac:dyDescent="0.3">
      <c r="A31" s="76" t="s">
        <v>32</v>
      </c>
      <c r="B31" s="67"/>
      <c r="C31" s="67" t="s">
        <v>23</v>
      </c>
      <c r="D31" s="68">
        <v>45070</v>
      </c>
      <c r="E31" s="69">
        <v>261</v>
      </c>
      <c r="F31" s="70">
        <f t="shared" si="0"/>
        <v>1</v>
      </c>
      <c r="G31" s="69">
        <v>0</v>
      </c>
      <c r="H31" s="69">
        <v>78</v>
      </c>
      <c r="I31" s="70">
        <f t="shared" si="5"/>
        <v>0.2988505747126437</v>
      </c>
      <c r="J31" s="69">
        <v>6</v>
      </c>
      <c r="K31" s="70">
        <f t="shared" si="6"/>
        <v>2.2988505747126436E-2</v>
      </c>
      <c r="L31" s="70">
        <f t="shared" si="7"/>
        <v>7.6923076923076927E-2</v>
      </c>
      <c r="M31" s="69">
        <v>0</v>
      </c>
      <c r="N31" s="70">
        <f t="shared" si="8"/>
        <v>0</v>
      </c>
      <c r="O31" s="67" t="s">
        <v>23</v>
      </c>
    </row>
    <row r="32" spans="1:15" s="1" customFormat="1" x14ac:dyDescent="0.3">
      <c r="A32" s="66" t="s">
        <v>26</v>
      </c>
      <c r="B32" s="67"/>
      <c r="C32" s="67" t="s">
        <v>23</v>
      </c>
      <c r="D32" s="68">
        <v>45071</v>
      </c>
      <c r="E32" s="69">
        <v>1647</v>
      </c>
      <c r="F32" s="70">
        <f t="shared" si="0"/>
        <v>0.99817850637522765</v>
      </c>
      <c r="G32" s="69">
        <v>3</v>
      </c>
      <c r="H32" s="69">
        <v>580</v>
      </c>
      <c r="I32" s="70">
        <f t="shared" si="5"/>
        <v>0.35215543412264722</v>
      </c>
      <c r="J32" s="69">
        <v>18</v>
      </c>
      <c r="K32" s="70">
        <f t="shared" si="6"/>
        <v>1.092896174863388E-2</v>
      </c>
      <c r="L32" s="70">
        <f t="shared" si="7"/>
        <v>3.1034482758620689E-2</v>
      </c>
      <c r="M32" s="69">
        <v>0</v>
      </c>
      <c r="N32" s="70">
        <f t="shared" si="8"/>
        <v>0</v>
      </c>
      <c r="O32" s="67" t="s">
        <v>23</v>
      </c>
    </row>
    <row r="33" spans="1:15" s="1" customFormat="1" x14ac:dyDescent="0.3">
      <c r="A33" s="76" t="s">
        <v>26</v>
      </c>
      <c r="B33" s="67"/>
      <c r="C33" s="67" t="s">
        <v>23</v>
      </c>
      <c r="D33" s="68">
        <v>45078</v>
      </c>
      <c r="E33" s="88">
        <v>1642</v>
      </c>
      <c r="F33" s="70">
        <f t="shared" si="0"/>
        <v>0.99878197320341044</v>
      </c>
      <c r="G33" s="88">
        <v>2</v>
      </c>
      <c r="H33" s="88">
        <v>592</v>
      </c>
      <c r="I33" s="70">
        <f t="shared" si="5"/>
        <v>0.36053593179049936</v>
      </c>
      <c r="J33" s="69">
        <v>16</v>
      </c>
      <c r="K33" s="70">
        <f t="shared" si="6"/>
        <v>9.7442143727161992E-3</v>
      </c>
      <c r="L33" s="70">
        <f t="shared" si="7"/>
        <v>2.7027027027027029E-2</v>
      </c>
      <c r="M33" s="69">
        <v>0</v>
      </c>
      <c r="N33" s="70">
        <f t="shared" si="8"/>
        <v>0</v>
      </c>
      <c r="O33" s="67" t="s">
        <v>23</v>
      </c>
    </row>
    <row r="34" spans="1:15" s="1" customFormat="1" x14ac:dyDescent="0.3">
      <c r="A34" s="76" t="s">
        <v>32</v>
      </c>
      <c r="B34" s="67"/>
      <c r="C34" s="67" t="s">
        <v>23</v>
      </c>
      <c r="D34" s="68">
        <v>45084</v>
      </c>
      <c r="E34" s="69">
        <v>259</v>
      </c>
      <c r="F34" s="70">
        <f t="shared" si="0"/>
        <v>1</v>
      </c>
      <c r="G34" s="67">
        <v>0</v>
      </c>
      <c r="H34" s="69">
        <v>94</v>
      </c>
      <c r="I34" s="70">
        <f t="shared" si="5"/>
        <v>0.36293436293436293</v>
      </c>
      <c r="J34" s="69">
        <v>6</v>
      </c>
      <c r="K34" s="70">
        <f t="shared" si="6"/>
        <v>2.3166023166023165E-2</v>
      </c>
      <c r="L34" s="70">
        <f t="shared" si="7"/>
        <v>6.3829787234042548E-2</v>
      </c>
      <c r="M34" s="69">
        <v>0</v>
      </c>
      <c r="N34" s="70">
        <f t="shared" si="8"/>
        <v>0</v>
      </c>
      <c r="O34" s="67" t="s">
        <v>23</v>
      </c>
    </row>
    <row r="35" spans="1:15" s="1" customFormat="1" x14ac:dyDescent="0.3">
      <c r="A35" s="66" t="s">
        <v>26</v>
      </c>
      <c r="B35" s="67"/>
      <c r="C35" s="67" t="s">
        <v>23</v>
      </c>
      <c r="D35" s="68">
        <v>45085</v>
      </c>
      <c r="E35" s="69">
        <v>1642</v>
      </c>
      <c r="F35" s="70">
        <f t="shared" si="0"/>
        <v>0.99817295980511567</v>
      </c>
      <c r="G35" s="67">
        <v>3</v>
      </c>
      <c r="H35" s="69">
        <v>560</v>
      </c>
      <c r="I35" s="70">
        <f t="shared" si="5"/>
        <v>0.34104750304506698</v>
      </c>
      <c r="J35" s="69">
        <v>20</v>
      </c>
      <c r="K35" s="70">
        <f t="shared" si="6"/>
        <v>1.2180267965895249E-2</v>
      </c>
      <c r="L35" s="70">
        <f t="shared" si="7"/>
        <v>3.5714285714285712E-2</v>
      </c>
      <c r="M35" s="69">
        <v>0</v>
      </c>
      <c r="N35" s="70">
        <f t="shared" si="8"/>
        <v>0</v>
      </c>
      <c r="O35" s="67" t="s">
        <v>23</v>
      </c>
    </row>
    <row r="36" spans="1:15" s="1" customFormat="1" x14ac:dyDescent="0.3">
      <c r="A36" s="66" t="s">
        <v>26</v>
      </c>
      <c r="B36" s="67"/>
      <c r="C36" s="67" t="s">
        <v>23</v>
      </c>
      <c r="D36" s="68">
        <v>45092</v>
      </c>
      <c r="E36" s="69">
        <v>1641</v>
      </c>
      <c r="F36" s="70">
        <f t="shared" si="0"/>
        <v>0.99878123095673366</v>
      </c>
      <c r="G36" s="67">
        <v>2</v>
      </c>
      <c r="H36" s="69">
        <v>580</v>
      </c>
      <c r="I36" s="70">
        <f t="shared" si="5"/>
        <v>0.35344302254722731</v>
      </c>
      <c r="J36" s="69">
        <v>15</v>
      </c>
      <c r="K36" s="70">
        <f t="shared" si="6"/>
        <v>9.140767824497258E-3</v>
      </c>
      <c r="L36" s="70">
        <f t="shared" si="7"/>
        <v>2.5862068965517241E-2</v>
      </c>
      <c r="M36" s="69">
        <v>0</v>
      </c>
      <c r="N36" s="70">
        <f t="shared" si="8"/>
        <v>0</v>
      </c>
      <c r="O36" s="67" t="s">
        <v>23</v>
      </c>
    </row>
    <row r="37" spans="1:15" s="1" customFormat="1" x14ac:dyDescent="0.3">
      <c r="A37" s="95" t="s">
        <v>32</v>
      </c>
      <c r="B37" s="58"/>
      <c r="C37" s="58" t="s">
        <v>23</v>
      </c>
      <c r="D37" s="83">
        <v>45098</v>
      </c>
      <c r="E37" s="59">
        <v>261</v>
      </c>
      <c r="F37" s="60">
        <f t="shared" si="0"/>
        <v>1</v>
      </c>
      <c r="G37" s="58">
        <v>0</v>
      </c>
      <c r="H37" s="59">
        <v>88</v>
      </c>
      <c r="I37" s="60">
        <f t="shared" si="5"/>
        <v>0.33716475095785442</v>
      </c>
      <c r="J37" s="59">
        <v>4</v>
      </c>
      <c r="K37" s="60">
        <f t="shared" si="6"/>
        <v>1.532567049808429E-2</v>
      </c>
      <c r="L37" s="60">
        <f t="shared" si="7"/>
        <v>4.5454545454545456E-2</v>
      </c>
      <c r="M37" s="59">
        <v>0</v>
      </c>
      <c r="N37" s="60">
        <f t="shared" si="8"/>
        <v>0</v>
      </c>
      <c r="O37" s="58" t="s">
        <v>23</v>
      </c>
    </row>
    <row r="38" spans="1:15" s="1" customFormat="1" x14ac:dyDescent="0.3">
      <c r="A38" s="95" t="s">
        <v>26</v>
      </c>
      <c r="B38" s="58"/>
      <c r="C38" s="58" t="s">
        <v>23</v>
      </c>
      <c r="D38" s="83">
        <v>45099</v>
      </c>
      <c r="E38" s="59">
        <v>1641</v>
      </c>
      <c r="F38" s="60">
        <f t="shared" si="0"/>
        <v>1</v>
      </c>
      <c r="G38" s="58">
        <v>0</v>
      </c>
      <c r="H38" s="59">
        <v>595</v>
      </c>
      <c r="I38" s="60">
        <f t="shared" si="5"/>
        <v>0.36258379037172456</v>
      </c>
      <c r="J38" s="59">
        <v>22</v>
      </c>
      <c r="K38" s="60">
        <f t="shared" si="6"/>
        <v>1.3406459475929311E-2</v>
      </c>
      <c r="L38" s="60">
        <f t="shared" si="7"/>
        <v>3.6974789915966387E-2</v>
      </c>
      <c r="M38" s="59">
        <v>0</v>
      </c>
      <c r="N38" s="60">
        <f t="shared" si="8"/>
        <v>0</v>
      </c>
      <c r="O38" s="58" t="s">
        <v>23</v>
      </c>
    </row>
    <row r="40" spans="1:15" x14ac:dyDescent="0.3">
      <c r="A40" s="33" t="s">
        <v>55</v>
      </c>
      <c r="B40" s="35"/>
      <c r="C40" s="35"/>
      <c r="D40" s="30"/>
      <c r="E40" s="31">
        <f>SUM(E2:E38)</f>
        <v>44717</v>
      </c>
      <c r="F40" s="32">
        <f>(E40-G40)/E40</f>
        <v>0.9987476798532996</v>
      </c>
      <c r="G40" s="31">
        <f>SUM(G2:G38)</f>
        <v>56</v>
      </c>
      <c r="H40" s="31">
        <f>SUM(H2:H38)</f>
        <v>15728</v>
      </c>
      <c r="I40" s="32">
        <f>H40/E40</f>
        <v>0.35172305834470113</v>
      </c>
      <c r="J40" s="31">
        <f>SUM(J2:J38)</f>
        <v>507</v>
      </c>
      <c r="K40" s="32">
        <f>J40/E40</f>
        <v>1.1337969899590759E-2</v>
      </c>
      <c r="L40" s="32">
        <f>J40/H40</f>
        <v>3.223550356052899E-2</v>
      </c>
      <c r="M40" s="31">
        <f>SUM(M2:M38)</f>
        <v>4</v>
      </c>
      <c r="N40" s="32">
        <f>M40/E40</f>
        <v>8.9451439050025714E-5</v>
      </c>
    </row>
    <row r="41" spans="1:15" x14ac:dyDescent="0.3">
      <c r="M41" s="16">
        <f>M40/J40</f>
        <v>7.889546351084813E-3</v>
      </c>
    </row>
    <row r="43" spans="1:15" x14ac:dyDescent="0.3">
      <c r="A43" s="36" t="s">
        <v>41</v>
      </c>
      <c r="B43" s="37"/>
      <c r="C43" s="38"/>
      <c r="D43" s="39"/>
      <c r="E43" s="40"/>
      <c r="F43" s="41"/>
      <c r="G43" s="42"/>
      <c r="H43" s="41"/>
      <c r="I43" s="43">
        <v>0.23899999999999999</v>
      </c>
      <c r="J43" s="41"/>
      <c r="K43" s="43">
        <v>2.9000000000000001E-2</v>
      </c>
      <c r="L43" s="43">
        <v>0.124</v>
      </c>
      <c r="M43" s="41"/>
      <c r="N43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3949AB-1EF8-4547-8F99-9F05C42EA463}">
          <x14:formula1>
            <xm:f>'List Sheet'!$A$2:$A$4</xm:f>
          </x14:formula1>
          <xm:sqref>O13 C4:C15 C17 C20 O15:O21 C23 C26 O26 O38 C38</xm:sqref>
        </x14:dataValidation>
        <x14:dataValidation type="list" allowBlank="1" showInputMessage="1" showErrorMessage="1" xr:uid="{50F11D02-54E5-0141-8CCB-7DB7DA7D83A5}">
          <x14:formula1>
            <xm:f>'List Sheet'!$B$2:$B$3</xm:f>
          </x14:formula1>
          <xm:sqref>B4:B38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B31-D5ED-C741-9B08-1A64937EB146}">
  <dimension ref="A1:O49"/>
  <sheetViews>
    <sheetView topLeftCell="A17" zoomScaleNormal="100" workbookViewId="0">
      <selection activeCell="G52" sqref="G52"/>
    </sheetView>
  </sheetViews>
  <sheetFormatPr defaultColWidth="10.6640625" defaultRowHeight="14.4" x14ac:dyDescent="0.3"/>
  <cols>
    <col min="1" max="1" width="46.6640625" customWidth="1"/>
    <col min="2" max="2" width="9.44140625" bestFit="1" customWidth="1"/>
    <col min="3" max="3" width="13.109375" bestFit="1" customWidth="1"/>
    <col min="4" max="4" width="11.109375" bestFit="1" customWidth="1"/>
    <col min="5" max="5" width="10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44140625" bestFit="1" customWidth="1"/>
    <col min="12" max="12" width="7.4414062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66</v>
      </c>
      <c r="B2" s="67" t="s">
        <v>15</v>
      </c>
      <c r="C2" s="67" t="s">
        <v>27</v>
      </c>
      <c r="D2" s="68">
        <v>44928</v>
      </c>
      <c r="E2" s="69">
        <v>13198</v>
      </c>
      <c r="F2" s="70">
        <f t="shared" ref="F2:F43" si="0">(E2-G2)/E2</f>
        <v>0.99712077587513259</v>
      </c>
      <c r="G2" s="69">
        <v>38</v>
      </c>
      <c r="H2" s="69">
        <v>5485</v>
      </c>
      <c r="I2" s="70">
        <f t="shared" ref="I2:I43" si="1">H2/E2</f>
        <v>0.4155932717078345</v>
      </c>
      <c r="J2" s="69">
        <v>299</v>
      </c>
      <c r="K2" s="70">
        <f t="shared" ref="K2:K43" si="2">J2/E2</f>
        <v>2.2654947719351417E-2</v>
      </c>
      <c r="L2" s="70">
        <f t="shared" ref="L2:L43" si="3">J2/H2</f>
        <v>5.4512306289881497E-2</v>
      </c>
      <c r="M2" s="69">
        <v>90</v>
      </c>
      <c r="N2" s="70">
        <f t="shared" ref="N2:N43" si="4">M2/E2</f>
        <v>6.8192150325806942E-3</v>
      </c>
      <c r="O2" s="67" t="s">
        <v>27</v>
      </c>
    </row>
    <row r="3" spans="1:15" x14ac:dyDescent="0.3">
      <c r="A3" s="66" t="s">
        <v>67</v>
      </c>
      <c r="B3" s="67" t="s">
        <v>15</v>
      </c>
      <c r="C3" s="67" t="s">
        <v>27</v>
      </c>
      <c r="D3" s="68">
        <v>44928</v>
      </c>
      <c r="E3" s="69">
        <v>12645</v>
      </c>
      <c r="F3" s="70">
        <f t="shared" si="0"/>
        <v>0.99596678529062865</v>
      </c>
      <c r="G3" s="69">
        <v>51</v>
      </c>
      <c r="H3" s="69">
        <v>5245</v>
      </c>
      <c r="I3" s="70">
        <f t="shared" si="1"/>
        <v>0.41478845393436142</v>
      </c>
      <c r="J3" s="69">
        <v>196</v>
      </c>
      <c r="K3" s="70">
        <f t="shared" si="2"/>
        <v>1.5500197706603401E-2</v>
      </c>
      <c r="L3" s="70">
        <f t="shared" si="3"/>
        <v>3.7368922783603431E-2</v>
      </c>
      <c r="M3" s="69">
        <v>64</v>
      </c>
      <c r="N3" s="70">
        <f t="shared" si="4"/>
        <v>5.0612890470541714E-3</v>
      </c>
      <c r="O3" s="67" t="s">
        <v>27</v>
      </c>
    </row>
    <row r="4" spans="1:15" x14ac:dyDescent="0.3">
      <c r="A4" s="66" t="s">
        <v>68</v>
      </c>
      <c r="B4" s="67" t="s">
        <v>15</v>
      </c>
      <c r="C4" s="67" t="s">
        <v>27</v>
      </c>
      <c r="D4" s="68">
        <v>44928</v>
      </c>
      <c r="E4" s="69">
        <v>11705</v>
      </c>
      <c r="F4" s="70">
        <f t="shared" si="0"/>
        <v>0.99589918838103375</v>
      </c>
      <c r="G4" s="69">
        <v>48</v>
      </c>
      <c r="H4" s="69">
        <v>4726</v>
      </c>
      <c r="I4" s="70">
        <f t="shared" si="1"/>
        <v>0.40375907731738575</v>
      </c>
      <c r="J4" s="69">
        <v>265</v>
      </c>
      <c r="K4" s="70">
        <f t="shared" si="2"/>
        <v>2.2639897479709525E-2</v>
      </c>
      <c r="L4" s="70">
        <f t="shared" si="3"/>
        <v>5.6072788827761323E-2</v>
      </c>
      <c r="M4" s="69">
        <v>81</v>
      </c>
      <c r="N4" s="70">
        <f t="shared" si="4"/>
        <v>6.9201196070055532E-3</v>
      </c>
      <c r="O4" s="67" t="s">
        <v>27</v>
      </c>
    </row>
    <row r="5" spans="1:15" s="1" customFormat="1" x14ac:dyDescent="0.3">
      <c r="A5" s="66" t="s">
        <v>95</v>
      </c>
      <c r="B5" s="67" t="s">
        <v>15</v>
      </c>
      <c r="C5" s="67" t="s">
        <v>27</v>
      </c>
      <c r="D5" s="72">
        <v>44952</v>
      </c>
      <c r="E5" s="69">
        <v>242854</v>
      </c>
      <c r="F5" s="70">
        <f t="shared" si="0"/>
        <v>0.99771467630757571</v>
      </c>
      <c r="G5" s="69">
        <v>555</v>
      </c>
      <c r="H5" s="69">
        <v>91924</v>
      </c>
      <c r="I5" s="70">
        <f t="shared" si="1"/>
        <v>0.37851548667100399</v>
      </c>
      <c r="J5" s="69">
        <v>0</v>
      </c>
      <c r="K5" s="70">
        <f t="shared" si="2"/>
        <v>0</v>
      </c>
      <c r="L5" s="70">
        <f t="shared" si="3"/>
        <v>0</v>
      </c>
      <c r="M5" s="69">
        <v>200</v>
      </c>
      <c r="N5" s="70">
        <f t="shared" si="4"/>
        <v>8.2354006934207385E-4</v>
      </c>
      <c r="O5" s="67" t="s">
        <v>27</v>
      </c>
    </row>
    <row r="6" spans="1:15" s="1" customFormat="1" x14ac:dyDescent="0.3">
      <c r="A6" s="76" t="s">
        <v>115</v>
      </c>
      <c r="B6" s="67" t="s">
        <v>15</v>
      </c>
      <c r="C6" s="67" t="s">
        <v>27</v>
      </c>
      <c r="D6" s="68">
        <v>44958</v>
      </c>
      <c r="E6" s="69">
        <v>12388</v>
      </c>
      <c r="F6" s="70">
        <f t="shared" si="0"/>
        <v>0.99846625766871167</v>
      </c>
      <c r="G6" s="69">
        <v>19</v>
      </c>
      <c r="H6" s="69">
        <v>5083</v>
      </c>
      <c r="I6" s="70">
        <f t="shared" si="1"/>
        <v>0.41031643525992895</v>
      </c>
      <c r="J6" s="69">
        <v>242</v>
      </c>
      <c r="K6" s="70">
        <f t="shared" si="2"/>
        <v>1.9535033903777848E-2</v>
      </c>
      <c r="L6" s="70">
        <f t="shared" si="3"/>
        <v>4.7609679323234309E-2</v>
      </c>
      <c r="M6" s="69">
        <v>40</v>
      </c>
      <c r="N6" s="70">
        <f t="shared" si="4"/>
        <v>3.2289312237649337E-3</v>
      </c>
      <c r="O6" s="67" t="s">
        <v>27</v>
      </c>
    </row>
    <row r="7" spans="1:15" s="1" customFormat="1" x14ac:dyDescent="0.3">
      <c r="A7" s="76" t="s">
        <v>116</v>
      </c>
      <c r="B7" s="67" t="s">
        <v>15</v>
      </c>
      <c r="C7" s="67" t="s">
        <v>27</v>
      </c>
      <c r="D7" s="68">
        <v>44958</v>
      </c>
      <c r="E7" s="69">
        <v>11340</v>
      </c>
      <c r="F7" s="70">
        <f t="shared" si="0"/>
        <v>0.99664902998236327</v>
      </c>
      <c r="G7" s="69">
        <v>38</v>
      </c>
      <c r="H7" s="69">
        <v>4543</v>
      </c>
      <c r="I7" s="70">
        <f t="shared" si="1"/>
        <v>0.4006172839506173</v>
      </c>
      <c r="J7" s="69">
        <v>127</v>
      </c>
      <c r="K7" s="70">
        <f t="shared" si="2"/>
        <v>1.1199294532627866E-2</v>
      </c>
      <c r="L7" s="70">
        <f t="shared" si="3"/>
        <v>2.7955095751705922E-2</v>
      </c>
      <c r="M7" s="69">
        <v>34</v>
      </c>
      <c r="N7" s="70">
        <f t="shared" si="4"/>
        <v>2.998236331569665E-3</v>
      </c>
      <c r="O7" s="67" t="s">
        <v>27</v>
      </c>
    </row>
    <row r="8" spans="1:15" s="1" customFormat="1" x14ac:dyDescent="0.3">
      <c r="A8" s="76" t="s">
        <v>117</v>
      </c>
      <c r="B8" s="67" t="s">
        <v>15</v>
      </c>
      <c r="C8" s="67" t="s">
        <v>27</v>
      </c>
      <c r="D8" s="68">
        <v>44958</v>
      </c>
      <c r="E8" s="69">
        <v>10568</v>
      </c>
      <c r="F8" s="70">
        <f t="shared" si="0"/>
        <v>0.99678274034822101</v>
      </c>
      <c r="G8" s="69">
        <v>34</v>
      </c>
      <c r="H8" s="69">
        <v>4086</v>
      </c>
      <c r="I8" s="70">
        <f t="shared" si="1"/>
        <v>0.38663890991672972</v>
      </c>
      <c r="J8" s="69">
        <v>217</v>
      </c>
      <c r="K8" s="70">
        <f t="shared" si="2"/>
        <v>2.0533686601059802E-2</v>
      </c>
      <c r="L8" s="70">
        <f t="shared" si="3"/>
        <v>5.3108174253548704E-2</v>
      </c>
      <c r="M8" s="69">
        <v>59</v>
      </c>
      <c r="N8" s="70">
        <f t="shared" si="4"/>
        <v>5.5828917486752463E-3</v>
      </c>
      <c r="O8" s="67" t="s">
        <v>27</v>
      </c>
    </row>
    <row r="9" spans="1:15" s="1" customFormat="1" x14ac:dyDescent="0.3">
      <c r="A9" s="76" t="s">
        <v>118</v>
      </c>
      <c r="B9" s="67" t="s">
        <v>15</v>
      </c>
      <c r="C9" s="67" t="s">
        <v>27</v>
      </c>
      <c r="D9" s="68">
        <v>44958</v>
      </c>
      <c r="E9" s="69">
        <v>270045</v>
      </c>
      <c r="F9" s="70">
        <f t="shared" si="0"/>
        <v>0.9974226517802588</v>
      </c>
      <c r="G9" s="69">
        <v>696</v>
      </c>
      <c r="H9" s="69">
        <v>89399</v>
      </c>
      <c r="I9" s="70">
        <f t="shared" si="1"/>
        <v>0.33105223203540152</v>
      </c>
      <c r="J9" s="69">
        <v>2571</v>
      </c>
      <c r="K9" s="70">
        <f t="shared" si="2"/>
        <v>9.5206354496472807E-3</v>
      </c>
      <c r="L9" s="70">
        <f t="shared" si="3"/>
        <v>2.875871094754975E-2</v>
      </c>
      <c r="M9" s="69">
        <v>1879</v>
      </c>
      <c r="N9" s="70">
        <f t="shared" si="4"/>
        <v>6.958099575996593E-3</v>
      </c>
      <c r="O9" s="67" t="s">
        <v>27</v>
      </c>
    </row>
    <row r="10" spans="1:15" s="1" customFormat="1" x14ac:dyDescent="0.3">
      <c r="A10" s="76" t="s">
        <v>119</v>
      </c>
      <c r="B10" s="67" t="s">
        <v>15</v>
      </c>
      <c r="C10" s="67" t="s">
        <v>27</v>
      </c>
      <c r="D10" s="68">
        <v>44961</v>
      </c>
      <c r="E10" s="69">
        <v>241865</v>
      </c>
      <c r="F10" s="70">
        <f t="shared" si="0"/>
        <v>0.99813945796208625</v>
      </c>
      <c r="G10" s="69">
        <v>450</v>
      </c>
      <c r="H10" s="69">
        <v>96768</v>
      </c>
      <c r="I10" s="70">
        <f t="shared" si="1"/>
        <v>0.40009095983296467</v>
      </c>
      <c r="J10" s="69">
        <v>2277</v>
      </c>
      <c r="K10" s="70">
        <f t="shared" si="2"/>
        <v>9.4143427118433837E-3</v>
      </c>
      <c r="L10" s="70">
        <f t="shared" si="3"/>
        <v>2.3530505952380952E-2</v>
      </c>
      <c r="M10" s="69">
        <v>1993</v>
      </c>
      <c r="N10" s="70">
        <f t="shared" si="4"/>
        <v>8.2401339590267297E-3</v>
      </c>
      <c r="O10" s="67" t="s">
        <v>27</v>
      </c>
    </row>
    <row r="11" spans="1:15" s="1" customFormat="1" x14ac:dyDescent="0.3">
      <c r="A11" s="85" t="s">
        <v>128</v>
      </c>
      <c r="B11" s="67" t="s">
        <v>15</v>
      </c>
      <c r="C11" s="67" t="s">
        <v>27</v>
      </c>
      <c r="D11" s="68">
        <v>44966</v>
      </c>
      <c r="E11" s="69">
        <v>212563</v>
      </c>
      <c r="F11" s="70">
        <f t="shared" si="0"/>
        <v>0.99807586456721065</v>
      </c>
      <c r="G11" s="69">
        <v>409</v>
      </c>
      <c r="H11" s="69">
        <v>79584</v>
      </c>
      <c r="I11" s="70">
        <f t="shared" si="1"/>
        <v>0.37440194201248572</v>
      </c>
      <c r="J11" s="69">
        <v>2121</v>
      </c>
      <c r="K11" s="70">
        <f t="shared" si="2"/>
        <v>9.9782182223623114E-3</v>
      </c>
      <c r="L11" s="70">
        <f t="shared" si="3"/>
        <v>2.665108564535585E-2</v>
      </c>
      <c r="M11" s="86">
        <v>2066</v>
      </c>
      <c r="N11" s="70">
        <f t="shared" si="4"/>
        <v>9.7194714037720578E-3</v>
      </c>
      <c r="O11" s="67" t="s">
        <v>27</v>
      </c>
    </row>
    <row r="12" spans="1:15" s="1" customFormat="1" x14ac:dyDescent="0.3">
      <c r="A12" s="76" t="s">
        <v>143</v>
      </c>
      <c r="B12" s="67" t="s">
        <v>15</v>
      </c>
      <c r="C12" s="67" t="s">
        <v>27</v>
      </c>
      <c r="D12" s="68">
        <v>44970</v>
      </c>
      <c r="E12" s="69">
        <v>11368</v>
      </c>
      <c r="F12" s="70">
        <f t="shared" si="0"/>
        <v>0.99736101337086558</v>
      </c>
      <c r="G12" s="69">
        <v>30</v>
      </c>
      <c r="H12" s="69">
        <v>4345</v>
      </c>
      <c r="I12" s="70">
        <f t="shared" si="1"/>
        <v>0.38221323011963404</v>
      </c>
      <c r="J12" s="69">
        <v>89</v>
      </c>
      <c r="K12" s="70">
        <f t="shared" si="2"/>
        <v>7.8289936664320894E-3</v>
      </c>
      <c r="L12" s="70">
        <f t="shared" si="3"/>
        <v>2.0483314154200231E-2</v>
      </c>
      <c r="M12" s="69">
        <v>7</v>
      </c>
      <c r="N12" s="70">
        <f t="shared" si="4"/>
        <v>6.1576354679802956E-4</v>
      </c>
      <c r="O12" s="67" t="s">
        <v>27</v>
      </c>
    </row>
    <row r="13" spans="1:15" s="1" customFormat="1" x14ac:dyDescent="0.3">
      <c r="A13" s="76" t="s">
        <v>137</v>
      </c>
      <c r="B13" s="67" t="s">
        <v>15</v>
      </c>
      <c r="C13" s="67" t="s">
        <v>27</v>
      </c>
      <c r="D13" s="68">
        <v>44970</v>
      </c>
      <c r="E13" s="69">
        <v>10547</v>
      </c>
      <c r="F13" s="70">
        <f t="shared" si="0"/>
        <v>0.99706077557599315</v>
      </c>
      <c r="G13" s="69">
        <v>31</v>
      </c>
      <c r="H13" s="69">
        <v>3769</v>
      </c>
      <c r="I13" s="70">
        <f t="shared" si="1"/>
        <v>0.3573528017445719</v>
      </c>
      <c r="J13" s="69">
        <v>120</v>
      </c>
      <c r="K13" s="70">
        <f t="shared" si="2"/>
        <v>1.1377642931639328E-2</v>
      </c>
      <c r="L13" s="70">
        <f t="shared" si="3"/>
        <v>3.1838684001061289E-2</v>
      </c>
      <c r="M13" s="69">
        <v>12</v>
      </c>
      <c r="N13" s="70">
        <f t="shared" si="4"/>
        <v>1.1377642931639329E-3</v>
      </c>
      <c r="O13" s="67" t="s">
        <v>27</v>
      </c>
    </row>
    <row r="14" spans="1:15" s="1" customFormat="1" x14ac:dyDescent="0.3">
      <c r="A14" s="76" t="s">
        <v>138</v>
      </c>
      <c r="B14" s="67" t="s">
        <v>15</v>
      </c>
      <c r="C14" s="67" t="s">
        <v>27</v>
      </c>
      <c r="D14" s="68">
        <v>44970</v>
      </c>
      <c r="E14" s="69">
        <v>12368</v>
      </c>
      <c r="F14" s="70">
        <f t="shared" si="0"/>
        <v>0.99854463130659765</v>
      </c>
      <c r="G14" s="69">
        <v>18</v>
      </c>
      <c r="H14" s="69">
        <v>4590</v>
      </c>
      <c r="I14" s="70">
        <f t="shared" si="1"/>
        <v>0.37111901681759379</v>
      </c>
      <c r="J14" s="69">
        <v>144</v>
      </c>
      <c r="K14" s="70">
        <f t="shared" si="2"/>
        <v>1.1642949547218629E-2</v>
      </c>
      <c r="L14" s="70">
        <f t="shared" si="3"/>
        <v>3.1372549019607843E-2</v>
      </c>
      <c r="M14" s="69">
        <v>11</v>
      </c>
      <c r="N14" s="70">
        <f t="shared" si="4"/>
        <v>8.8939197930142306E-4</v>
      </c>
      <c r="O14" s="67" t="s">
        <v>27</v>
      </c>
    </row>
    <row r="15" spans="1:15" s="1" customFormat="1" x14ac:dyDescent="0.3">
      <c r="A15" s="76" t="s">
        <v>139</v>
      </c>
      <c r="B15" s="67" t="s">
        <v>15</v>
      </c>
      <c r="C15" s="67" t="s">
        <v>27</v>
      </c>
      <c r="D15" s="68">
        <v>44970</v>
      </c>
      <c r="E15" s="69">
        <v>268700</v>
      </c>
      <c r="F15" s="70">
        <f t="shared" si="0"/>
        <v>0.99769259397097132</v>
      </c>
      <c r="G15" s="69">
        <v>620</v>
      </c>
      <c r="H15" s="69">
        <v>94164</v>
      </c>
      <c r="I15" s="70">
        <f t="shared" si="1"/>
        <v>0.35044287309266842</v>
      </c>
      <c r="J15" s="69">
        <v>2598</v>
      </c>
      <c r="K15" s="70">
        <f t="shared" si="2"/>
        <v>9.6687755861555643E-3</v>
      </c>
      <c r="L15" s="70">
        <f t="shared" si="3"/>
        <v>2.7590161845291193E-2</v>
      </c>
      <c r="M15" s="69">
        <v>448</v>
      </c>
      <c r="N15" s="70">
        <f t="shared" si="4"/>
        <v>1.6672869371045776E-3</v>
      </c>
      <c r="O15" s="67" t="s">
        <v>27</v>
      </c>
    </row>
    <row r="16" spans="1:15" s="1" customFormat="1" x14ac:dyDescent="0.3">
      <c r="A16" s="76" t="s">
        <v>141</v>
      </c>
      <c r="B16" s="67" t="s">
        <v>15</v>
      </c>
      <c r="C16" s="67" t="s">
        <v>27</v>
      </c>
      <c r="D16" s="68">
        <v>44971</v>
      </c>
      <c r="E16" s="69">
        <v>10533</v>
      </c>
      <c r="F16" s="70">
        <f t="shared" si="0"/>
        <v>0.99762650716794832</v>
      </c>
      <c r="G16" s="69">
        <v>25</v>
      </c>
      <c r="H16" s="69">
        <v>3766</v>
      </c>
      <c r="I16" s="70">
        <f t="shared" si="1"/>
        <v>0.35754296022026011</v>
      </c>
      <c r="J16" s="69">
        <v>74</v>
      </c>
      <c r="K16" s="70">
        <f t="shared" si="2"/>
        <v>7.0255387828728755E-3</v>
      </c>
      <c r="L16" s="70">
        <f t="shared" si="3"/>
        <v>1.9649495485926712E-2</v>
      </c>
      <c r="M16" s="69">
        <v>48</v>
      </c>
      <c r="N16" s="70">
        <f t="shared" si="4"/>
        <v>4.5571062375391628E-3</v>
      </c>
      <c r="O16" s="67" t="s">
        <v>27</v>
      </c>
    </row>
    <row r="17" spans="1:15" s="1" customFormat="1" x14ac:dyDescent="0.3">
      <c r="A17" s="76" t="s">
        <v>144</v>
      </c>
      <c r="B17" s="67" t="s">
        <v>15</v>
      </c>
      <c r="C17" s="67" t="s">
        <v>27</v>
      </c>
      <c r="D17" s="68">
        <v>44971</v>
      </c>
      <c r="E17" s="69">
        <v>26598</v>
      </c>
      <c r="F17" s="70">
        <f t="shared" si="0"/>
        <v>0.99582675389127007</v>
      </c>
      <c r="G17" s="69">
        <v>111</v>
      </c>
      <c r="H17" s="69">
        <v>9640</v>
      </c>
      <c r="I17" s="70">
        <f t="shared" si="1"/>
        <v>0.36243326565907213</v>
      </c>
      <c r="J17" s="69">
        <v>179</v>
      </c>
      <c r="K17" s="70">
        <f t="shared" si="2"/>
        <v>6.7298293104744722E-3</v>
      </c>
      <c r="L17" s="70">
        <f t="shared" si="3"/>
        <v>1.8568464730290456E-2</v>
      </c>
      <c r="M17" s="69">
        <v>130</v>
      </c>
      <c r="N17" s="70">
        <f t="shared" si="4"/>
        <v>4.8875855327468231E-3</v>
      </c>
      <c r="O17" s="67" t="s">
        <v>27</v>
      </c>
    </row>
    <row r="18" spans="1:15" s="1" customFormat="1" x14ac:dyDescent="0.3">
      <c r="A18" s="76" t="s">
        <v>142</v>
      </c>
      <c r="B18" s="67" t="s">
        <v>15</v>
      </c>
      <c r="C18" s="67" t="s">
        <v>27</v>
      </c>
      <c r="D18" s="68">
        <v>44971</v>
      </c>
      <c r="E18" s="69">
        <v>12340</v>
      </c>
      <c r="F18" s="70">
        <f t="shared" si="0"/>
        <v>0.99870340356564025</v>
      </c>
      <c r="G18" s="69">
        <v>16</v>
      </c>
      <c r="H18" s="69">
        <v>4585</v>
      </c>
      <c r="I18" s="70">
        <f t="shared" si="1"/>
        <v>0.37155591572123176</v>
      </c>
      <c r="J18" s="69">
        <v>89</v>
      </c>
      <c r="K18" s="70">
        <f t="shared" si="2"/>
        <v>7.2123176661264181E-3</v>
      </c>
      <c r="L18" s="70">
        <f t="shared" si="3"/>
        <v>1.9411123227917122E-2</v>
      </c>
      <c r="M18" s="69">
        <v>58</v>
      </c>
      <c r="N18" s="70">
        <f t="shared" si="4"/>
        <v>4.7001620745542949E-3</v>
      </c>
      <c r="O18" s="67" t="s">
        <v>27</v>
      </c>
    </row>
    <row r="19" spans="1:15" s="1" customFormat="1" x14ac:dyDescent="0.3">
      <c r="A19" s="76" t="s">
        <v>140</v>
      </c>
      <c r="B19" s="67" t="s">
        <v>15</v>
      </c>
      <c r="C19" s="67" t="s">
        <v>27</v>
      </c>
      <c r="D19" s="68">
        <v>44971</v>
      </c>
      <c r="E19" s="69">
        <v>268120</v>
      </c>
      <c r="F19" s="70">
        <f t="shared" si="0"/>
        <v>0.99786662688348504</v>
      </c>
      <c r="G19" s="69">
        <v>572</v>
      </c>
      <c r="H19" s="69">
        <v>114038</v>
      </c>
      <c r="I19" s="70">
        <f t="shared" si="1"/>
        <v>0.42532448157541397</v>
      </c>
      <c r="J19" s="69">
        <v>2921</v>
      </c>
      <c r="K19" s="70">
        <f t="shared" si="2"/>
        <v>1.0894375652692825E-2</v>
      </c>
      <c r="L19" s="70">
        <f t="shared" si="3"/>
        <v>2.5614268927901227E-2</v>
      </c>
      <c r="M19" s="69">
        <v>2548</v>
      </c>
      <c r="N19" s="70">
        <f t="shared" si="4"/>
        <v>9.5032075190213342E-3</v>
      </c>
      <c r="O19" s="67" t="s">
        <v>27</v>
      </c>
    </row>
    <row r="20" spans="1:15" s="1" customFormat="1" x14ac:dyDescent="0.3">
      <c r="A20" s="66" t="s">
        <v>154</v>
      </c>
      <c r="B20" s="67" t="s">
        <v>15</v>
      </c>
      <c r="C20" s="67" t="s">
        <v>27</v>
      </c>
      <c r="D20" s="68">
        <v>44978</v>
      </c>
      <c r="E20" s="69">
        <v>26550</v>
      </c>
      <c r="F20" s="70">
        <f t="shared" si="0"/>
        <v>0.99676082862523541</v>
      </c>
      <c r="G20" s="69">
        <v>86</v>
      </c>
      <c r="H20" s="69">
        <v>9726</v>
      </c>
      <c r="I20" s="70">
        <f t="shared" si="1"/>
        <v>0.36632768361581919</v>
      </c>
      <c r="J20" s="69">
        <v>270</v>
      </c>
      <c r="K20" s="70">
        <f t="shared" si="2"/>
        <v>1.0169491525423728E-2</v>
      </c>
      <c r="L20" s="70">
        <f t="shared" si="3"/>
        <v>2.7760641579272053E-2</v>
      </c>
      <c r="M20" s="69">
        <v>197</v>
      </c>
      <c r="N20" s="70">
        <f t="shared" si="4"/>
        <v>7.4199623352165728E-3</v>
      </c>
      <c r="O20" s="67" t="s">
        <v>27</v>
      </c>
    </row>
    <row r="21" spans="1:15" s="1" customFormat="1" x14ac:dyDescent="0.3">
      <c r="A21" s="66" t="s">
        <v>155</v>
      </c>
      <c r="B21" s="67" t="s">
        <v>15</v>
      </c>
      <c r="C21" s="67" t="s">
        <v>27</v>
      </c>
      <c r="D21" s="68">
        <v>44978</v>
      </c>
      <c r="E21" s="69">
        <v>10513</v>
      </c>
      <c r="F21" s="70">
        <f t="shared" si="0"/>
        <v>0.99828783411014932</v>
      </c>
      <c r="G21" s="69">
        <v>18</v>
      </c>
      <c r="H21" s="69">
        <v>3843</v>
      </c>
      <c r="I21" s="70">
        <f t="shared" si="1"/>
        <v>0.36554741748311614</v>
      </c>
      <c r="J21" s="69">
        <v>107</v>
      </c>
      <c r="K21" s="70">
        <f t="shared" si="2"/>
        <v>1.017787501189004E-2</v>
      </c>
      <c r="L21" s="70">
        <f t="shared" si="3"/>
        <v>2.7842831121519647E-2</v>
      </c>
      <c r="M21" s="69">
        <v>63</v>
      </c>
      <c r="N21" s="70">
        <f t="shared" si="4"/>
        <v>5.9925806144773136E-3</v>
      </c>
      <c r="O21" s="67" t="s">
        <v>27</v>
      </c>
    </row>
    <row r="22" spans="1:15" s="1" customFormat="1" x14ac:dyDescent="0.3">
      <c r="A22" s="66" t="s">
        <v>156</v>
      </c>
      <c r="B22" s="67" t="s">
        <v>15</v>
      </c>
      <c r="C22" s="67" t="s">
        <v>27</v>
      </c>
      <c r="D22" s="68">
        <v>44978</v>
      </c>
      <c r="E22" s="69">
        <v>12322</v>
      </c>
      <c r="F22" s="70">
        <f t="shared" si="0"/>
        <v>0.99902613212140889</v>
      </c>
      <c r="G22" s="69">
        <v>12</v>
      </c>
      <c r="H22" s="69">
        <v>4549</v>
      </c>
      <c r="I22" s="70">
        <f t="shared" si="1"/>
        <v>0.3691770816425905</v>
      </c>
      <c r="J22" s="69">
        <v>115</v>
      </c>
      <c r="K22" s="70">
        <f t="shared" si="2"/>
        <v>9.3329005031650702E-3</v>
      </c>
      <c r="L22" s="70">
        <f t="shared" si="3"/>
        <v>2.5280281380523191E-2</v>
      </c>
      <c r="M22" s="69">
        <v>62</v>
      </c>
      <c r="N22" s="70">
        <f t="shared" si="4"/>
        <v>5.031650706054212E-3</v>
      </c>
      <c r="O22" s="67" t="s">
        <v>27</v>
      </c>
    </row>
    <row r="23" spans="1:15" s="1" customFormat="1" x14ac:dyDescent="0.3">
      <c r="A23" s="66" t="s">
        <v>157</v>
      </c>
      <c r="B23" s="67" t="s">
        <v>15</v>
      </c>
      <c r="C23" s="67" t="s">
        <v>27</v>
      </c>
      <c r="D23" s="68">
        <v>44978</v>
      </c>
      <c r="E23" s="69">
        <v>267384</v>
      </c>
      <c r="F23" s="70">
        <f t="shared" si="0"/>
        <v>0.99799539239445889</v>
      </c>
      <c r="G23" s="69">
        <v>536</v>
      </c>
      <c r="H23" s="69">
        <v>91201</v>
      </c>
      <c r="I23" s="70">
        <f t="shared" si="1"/>
        <v>0.34108622804655475</v>
      </c>
      <c r="J23" s="69">
        <v>2145</v>
      </c>
      <c r="K23" s="70">
        <f t="shared" si="2"/>
        <v>8.0221703617269543E-3</v>
      </c>
      <c r="L23" s="70">
        <f t="shared" si="3"/>
        <v>2.3519478953081655E-2</v>
      </c>
      <c r="M23" s="69">
        <v>1951</v>
      </c>
      <c r="N23" s="70">
        <f t="shared" si="4"/>
        <v>7.2966220865870804E-3</v>
      </c>
      <c r="O23" s="67" t="s">
        <v>27</v>
      </c>
    </row>
    <row r="24" spans="1:15" s="1" customFormat="1" x14ac:dyDescent="0.3">
      <c r="A24" s="66" t="s">
        <v>177</v>
      </c>
      <c r="B24" s="67" t="s">
        <v>15</v>
      </c>
      <c r="C24" s="67" t="s">
        <v>27</v>
      </c>
      <c r="D24" s="68">
        <v>44986</v>
      </c>
      <c r="E24" s="69">
        <v>12408</v>
      </c>
      <c r="F24" s="70">
        <f t="shared" si="0"/>
        <v>0.99774339136041268</v>
      </c>
      <c r="G24" s="69">
        <v>28</v>
      </c>
      <c r="H24" s="69">
        <v>4543</v>
      </c>
      <c r="I24" s="70">
        <f t="shared" si="1"/>
        <v>0.36613475177304966</v>
      </c>
      <c r="J24" s="69">
        <v>73</v>
      </c>
      <c r="K24" s="70">
        <f t="shared" si="2"/>
        <v>5.8833010960670533E-3</v>
      </c>
      <c r="L24" s="70">
        <f t="shared" si="3"/>
        <v>1.6068677085626239E-2</v>
      </c>
      <c r="M24" s="69">
        <v>44</v>
      </c>
      <c r="N24" s="70">
        <f t="shared" si="4"/>
        <v>3.5460992907801418E-3</v>
      </c>
      <c r="O24" s="67" t="s">
        <v>27</v>
      </c>
    </row>
    <row r="25" spans="1:15" s="1" customFormat="1" x14ac:dyDescent="0.3">
      <c r="A25" s="66" t="s">
        <v>200</v>
      </c>
      <c r="B25" s="67" t="s">
        <v>15</v>
      </c>
      <c r="C25" s="67" t="s">
        <v>27</v>
      </c>
      <c r="D25" s="68">
        <v>44986</v>
      </c>
      <c r="E25" s="69">
        <v>28574</v>
      </c>
      <c r="F25" s="70">
        <f t="shared" si="0"/>
        <v>0.99692027717505427</v>
      </c>
      <c r="G25" s="69">
        <v>88</v>
      </c>
      <c r="H25" s="69">
        <v>10446</v>
      </c>
      <c r="I25" s="70">
        <f t="shared" si="1"/>
        <v>0.3655770980611745</v>
      </c>
      <c r="J25" s="69">
        <v>224</v>
      </c>
      <c r="K25" s="70">
        <f t="shared" si="2"/>
        <v>7.839294463498285E-3</v>
      </c>
      <c r="L25" s="70">
        <f t="shared" si="3"/>
        <v>2.1443614780777331E-2</v>
      </c>
      <c r="M25" s="69">
        <v>148</v>
      </c>
      <c r="N25" s="70">
        <f t="shared" si="4"/>
        <v>5.1795338419542243E-3</v>
      </c>
      <c r="O25" s="67" t="s">
        <v>27</v>
      </c>
    </row>
    <row r="26" spans="1:15" s="1" customFormat="1" x14ac:dyDescent="0.3">
      <c r="A26" s="66" t="s">
        <v>176</v>
      </c>
      <c r="B26" s="67" t="s">
        <v>15</v>
      </c>
      <c r="C26" s="67" t="s">
        <v>27</v>
      </c>
      <c r="D26" s="68">
        <v>44986</v>
      </c>
      <c r="E26" s="69">
        <v>15109</v>
      </c>
      <c r="F26" s="70">
        <f t="shared" si="0"/>
        <v>0.99854391422331057</v>
      </c>
      <c r="G26" s="69">
        <v>22</v>
      </c>
      <c r="H26" s="69">
        <v>5773</v>
      </c>
      <c r="I26" s="70">
        <f t="shared" si="1"/>
        <v>0.3820901449467205</v>
      </c>
      <c r="J26" s="69">
        <v>127</v>
      </c>
      <c r="K26" s="70">
        <f t="shared" si="2"/>
        <v>8.4055860745251183E-3</v>
      </c>
      <c r="L26" s="70">
        <f t="shared" si="3"/>
        <v>2.1998960679023037E-2</v>
      </c>
      <c r="M26" s="69">
        <v>69</v>
      </c>
      <c r="N26" s="70">
        <f t="shared" si="4"/>
        <v>4.5668144814349065E-3</v>
      </c>
      <c r="O26" s="67" t="s">
        <v>27</v>
      </c>
    </row>
    <row r="27" spans="1:15" s="1" customFormat="1" x14ac:dyDescent="0.3">
      <c r="A27" s="66" t="s">
        <v>175</v>
      </c>
      <c r="B27" s="67" t="s">
        <v>15</v>
      </c>
      <c r="C27" s="67" t="s">
        <v>27</v>
      </c>
      <c r="D27" s="68">
        <v>44986</v>
      </c>
      <c r="E27" s="69">
        <v>245222</v>
      </c>
      <c r="F27" s="70">
        <f t="shared" si="0"/>
        <v>0.99828726623223041</v>
      </c>
      <c r="G27" s="69">
        <v>420</v>
      </c>
      <c r="H27" s="69">
        <v>91365</v>
      </c>
      <c r="I27" s="70">
        <f t="shared" si="1"/>
        <v>0.37258076355302544</v>
      </c>
      <c r="J27" s="69">
        <v>1611</v>
      </c>
      <c r="K27" s="70">
        <f t="shared" si="2"/>
        <v>6.569557380659158E-3</v>
      </c>
      <c r="L27" s="70">
        <f t="shared" si="3"/>
        <v>1.763257264816943E-2</v>
      </c>
      <c r="M27" s="69">
        <v>1237</v>
      </c>
      <c r="N27" s="70">
        <f t="shared" si="4"/>
        <v>5.0444087398357406E-3</v>
      </c>
      <c r="O27" s="67" t="s">
        <v>27</v>
      </c>
    </row>
    <row r="28" spans="1:15" s="1" customFormat="1" x14ac:dyDescent="0.3">
      <c r="A28" s="66" t="s">
        <v>179</v>
      </c>
      <c r="B28" s="67" t="s">
        <v>15</v>
      </c>
      <c r="C28" s="67" t="s">
        <v>27</v>
      </c>
      <c r="D28" s="68">
        <v>44988</v>
      </c>
      <c r="E28" s="69">
        <v>211897</v>
      </c>
      <c r="F28" s="70">
        <f t="shared" si="0"/>
        <v>0.99854174433805098</v>
      </c>
      <c r="G28" s="69">
        <v>309</v>
      </c>
      <c r="H28" s="69">
        <v>86124</v>
      </c>
      <c r="I28" s="70">
        <f t="shared" si="1"/>
        <v>0.40644275284690201</v>
      </c>
      <c r="J28" s="69">
        <v>1614</v>
      </c>
      <c r="K28" s="70">
        <f t="shared" si="2"/>
        <v>7.6169082148402293E-3</v>
      </c>
      <c r="L28" s="70">
        <f t="shared" si="3"/>
        <v>1.8740420788630346E-2</v>
      </c>
      <c r="M28" s="69">
        <v>1402</v>
      </c>
      <c r="N28" s="70">
        <f t="shared" si="4"/>
        <v>6.6164221296195792E-3</v>
      </c>
      <c r="O28" s="67" t="s">
        <v>27</v>
      </c>
    </row>
    <row r="29" spans="1:15" s="1" customFormat="1" x14ac:dyDescent="0.3">
      <c r="A29" s="76" t="s">
        <v>201</v>
      </c>
      <c r="B29" s="67" t="s">
        <v>15</v>
      </c>
      <c r="C29" s="67" t="s">
        <v>27</v>
      </c>
      <c r="D29" s="68">
        <v>44998</v>
      </c>
      <c r="E29" s="69">
        <v>213053</v>
      </c>
      <c r="F29" s="70">
        <f t="shared" si="0"/>
        <v>0.99851210731601991</v>
      </c>
      <c r="G29" s="69">
        <v>317</v>
      </c>
      <c r="H29" s="69">
        <v>67256</v>
      </c>
      <c r="I29" s="70">
        <f t="shared" si="1"/>
        <v>0.31567731972795504</v>
      </c>
      <c r="J29" s="69">
        <v>1470</v>
      </c>
      <c r="K29" s="70">
        <f t="shared" si="2"/>
        <v>6.8996916260273267E-3</v>
      </c>
      <c r="L29" s="70">
        <f t="shared" si="3"/>
        <v>2.1856786011656953E-2</v>
      </c>
      <c r="M29" s="69">
        <v>396</v>
      </c>
      <c r="N29" s="70">
        <f t="shared" si="4"/>
        <v>1.8586924380318511E-3</v>
      </c>
      <c r="O29" s="67" t="s">
        <v>27</v>
      </c>
    </row>
    <row r="30" spans="1:15" s="1" customFormat="1" x14ac:dyDescent="0.3">
      <c r="A30" s="76" t="s">
        <v>206</v>
      </c>
      <c r="B30" s="67" t="s">
        <v>15</v>
      </c>
      <c r="C30" s="67" t="s">
        <v>27</v>
      </c>
      <c r="D30" s="68">
        <v>44999</v>
      </c>
      <c r="E30" s="69">
        <v>26398</v>
      </c>
      <c r="F30" s="70">
        <f t="shared" si="0"/>
        <v>0.99856049700734906</v>
      </c>
      <c r="G30" s="69">
        <v>38</v>
      </c>
      <c r="H30" s="69">
        <v>7109</v>
      </c>
      <c r="I30" s="70">
        <f t="shared" si="1"/>
        <v>0.26930070459883326</v>
      </c>
      <c r="J30" s="69">
        <v>168</v>
      </c>
      <c r="K30" s="70">
        <f t="shared" si="2"/>
        <v>6.3641184938252899E-3</v>
      </c>
      <c r="L30" s="70">
        <f t="shared" si="3"/>
        <v>2.3632015754677171E-2</v>
      </c>
      <c r="M30" s="69">
        <v>27</v>
      </c>
      <c r="N30" s="70">
        <f t="shared" si="4"/>
        <v>1.0228047579362073E-3</v>
      </c>
      <c r="O30" s="67" t="s">
        <v>27</v>
      </c>
    </row>
    <row r="31" spans="1:15" s="1" customFormat="1" x14ac:dyDescent="0.3">
      <c r="A31" s="76" t="s">
        <v>209</v>
      </c>
      <c r="B31" s="67" t="s">
        <v>15</v>
      </c>
      <c r="C31" s="67" t="s">
        <v>27</v>
      </c>
      <c r="D31" s="68">
        <v>45000</v>
      </c>
      <c r="E31" s="69">
        <v>15938</v>
      </c>
      <c r="F31" s="70">
        <f t="shared" si="0"/>
        <v>0.99861965114819928</v>
      </c>
      <c r="G31" s="69">
        <v>22</v>
      </c>
      <c r="H31" s="69">
        <v>5734</v>
      </c>
      <c r="I31" s="70">
        <f t="shared" si="1"/>
        <v>0.35976910528297151</v>
      </c>
      <c r="J31" s="69">
        <v>185</v>
      </c>
      <c r="K31" s="70">
        <f t="shared" si="2"/>
        <v>1.1607478981051574E-2</v>
      </c>
      <c r="L31" s="70">
        <f t="shared" si="3"/>
        <v>3.2263690268573425E-2</v>
      </c>
      <c r="M31" s="69">
        <v>26</v>
      </c>
      <c r="N31" s="70">
        <f t="shared" si="4"/>
        <v>1.6313213703099511E-3</v>
      </c>
      <c r="O31" s="67" t="s">
        <v>27</v>
      </c>
    </row>
    <row r="32" spans="1:15" s="1" customFormat="1" x14ac:dyDescent="0.3">
      <c r="A32" s="76" t="s">
        <v>210</v>
      </c>
      <c r="B32" s="67" t="s">
        <v>15</v>
      </c>
      <c r="C32" s="67" t="s">
        <v>27</v>
      </c>
      <c r="D32" s="68">
        <v>45000</v>
      </c>
      <c r="E32" s="69">
        <v>12600</v>
      </c>
      <c r="F32" s="70">
        <f t="shared" si="0"/>
        <v>0.99746031746031749</v>
      </c>
      <c r="G32" s="69">
        <v>32</v>
      </c>
      <c r="H32" s="69">
        <v>4692</v>
      </c>
      <c r="I32" s="70">
        <f t="shared" si="1"/>
        <v>0.37238095238095237</v>
      </c>
      <c r="J32" s="69">
        <v>145</v>
      </c>
      <c r="K32" s="70">
        <f t="shared" si="2"/>
        <v>1.1507936507936509E-2</v>
      </c>
      <c r="L32" s="70">
        <f t="shared" si="3"/>
        <v>3.0903665814151746E-2</v>
      </c>
      <c r="M32" s="69">
        <v>20</v>
      </c>
      <c r="N32" s="70">
        <f t="shared" si="4"/>
        <v>1.5873015873015873E-3</v>
      </c>
      <c r="O32" s="67" t="s">
        <v>27</v>
      </c>
    </row>
    <row r="33" spans="1:15" s="1" customFormat="1" x14ac:dyDescent="0.3">
      <c r="A33" s="76" t="s">
        <v>211</v>
      </c>
      <c r="B33" s="67" t="s">
        <v>15</v>
      </c>
      <c r="C33" s="67" t="s">
        <v>27</v>
      </c>
      <c r="D33" s="68">
        <v>45000</v>
      </c>
      <c r="E33" s="69">
        <v>28932</v>
      </c>
      <c r="F33" s="70">
        <f t="shared" si="0"/>
        <v>0.99688925756947322</v>
      </c>
      <c r="G33" s="69">
        <v>90</v>
      </c>
      <c r="H33" s="69">
        <v>10301</v>
      </c>
      <c r="I33" s="70">
        <f t="shared" si="1"/>
        <v>0.35604175307617864</v>
      </c>
      <c r="J33" s="69">
        <v>291</v>
      </c>
      <c r="K33" s="70">
        <f t="shared" si="2"/>
        <v>1.00580671920365E-2</v>
      </c>
      <c r="L33" s="70">
        <f t="shared" si="3"/>
        <v>2.8249684496650811E-2</v>
      </c>
      <c r="M33" s="69">
        <v>65</v>
      </c>
      <c r="N33" s="70">
        <f t="shared" si="4"/>
        <v>2.2466473109359879E-3</v>
      </c>
      <c r="O33" s="67" t="s">
        <v>27</v>
      </c>
    </row>
    <row r="34" spans="1:15" s="1" customFormat="1" x14ac:dyDescent="0.3">
      <c r="A34" s="76" t="s">
        <v>212</v>
      </c>
      <c r="B34" s="67" t="s">
        <v>15</v>
      </c>
      <c r="C34" s="67" t="s">
        <v>27</v>
      </c>
      <c r="D34" s="68">
        <v>45000</v>
      </c>
      <c r="E34" s="69">
        <v>247371</v>
      </c>
      <c r="F34" s="70">
        <f t="shared" si="0"/>
        <v>0.99847597333559712</v>
      </c>
      <c r="G34" s="69">
        <v>377</v>
      </c>
      <c r="H34" s="69">
        <v>74846</v>
      </c>
      <c r="I34" s="70">
        <f t="shared" si="1"/>
        <v>0.30256578176099869</v>
      </c>
      <c r="J34" s="69">
        <v>1609</v>
      </c>
      <c r="K34" s="70">
        <f t="shared" si="2"/>
        <v>6.504400273273747E-3</v>
      </c>
      <c r="L34" s="70">
        <f t="shared" si="3"/>
        <v>2.1497474814953371E-2</v>
      </c>
      <c r="M34" s="69">
        <v>395</v>
      </c>
      <c r="N34" s="70">
        <f t="shared" si="4"/>
        <v>1.5967918632337663E-3</v>
      </c>
      <c r="O34" s="67" t="s">
        <v>27</v>
      </c>
    </row>
    <row r="35" spans="1:15" s="1" customFormat="1" x14ac:dyDescent="0.3">
      <c r="A35" s="76" t="s">
        <v>218</v>
      </c>
      <c r="B35" s="67" t="s">
        <v>15</v>
      </c>
      <c r="C35" s="67" t="s">
        <v>27</v>
      </c>
      <c r="D35" s="68">
        <v>45006</v>
      </c>
      <c r="E35" s="69">
        <v>237149</v>
      </c>
      <c r="F35" s="70">
        <f t="shared" si="0"/>
        <v>0.99809824203348951</v>
      </c>
      <c r="G35" s="69">
        <v>451</v>
      </c>
      <c r="H35" s="69">
        <v>103978</v>
      </c>
      <c r="I35" s="70">
        <f t="shared" si="1"/>
        <v>0.43845008834108512</v>
      </c>
      <c r="J35" s="69">
        <v>4066</v>
      </c>
      <c r="K35" s="70">
        <f t="shared" si="2"/>
        <v>1.7145339006278754E-2</v>
      </c>
      <c r="L35" s="70">
        <f t="shared" si="3"/>
        <v>3.9104425936255745E-2</v>
      </c>
      <c r="M35" s="69">
        <v>1918</v>
      </c>
      <c r="N35" s="70">
        <f t="shared" si="4"/>
        <v>8.0877423054704009E-3</v>
      </c>
      <c r="O35" s="67" t="s">
        <v>27</v>
      </c>
    </row>
    <row r="36" spans="1:15" s="1" customFormat="1" x14ac:dyDescent="0.3">
      <c r="A36" s="76" t="s">
        <v>219</v>
      </c>
      <c r="B36" s="67" t="s">
        <v>15</v>
      </c>
      <c r="C36" s="67" t="s">
        <v>27</v>
      </c>
      <c r="D36" s="68">
        <v>45009</v>
      </c>
      <c r="E36" s="69">
        <v>26683</v>
      </c>
      <c r="F36" s="70">
        <f t="shared" si="0"/>
        <v>0.99835101000637105</v>
      </c>
      <c r="G36" s="69">
        <v>44</v>
      </c>
      <c r="H36" s="69">
        <v>9041</v>
      </c>
      <c r="I36" s="70">
        <f t="shared" si="1"/>
        <v>0.33882996664542969</v>
      </c>
      <c r="J36" s="69">
        <v>144</v>
      </c>
      <c r="K36" s="70">
        <f t="shared" si="2"/>
        <v>5.3966945246036804E-3</v>
      </c>
      <c r="L36" s="70">
        <f t="shared" si="3"/>
        <v>1.5927441654684217E-2</v>
      </c>
      <c r="M36" s="69">
        <v>95</v>
      </c>
      <c r="N36" s="70">
        <f t="shared" si="4"/>
        <v>3.5603193044260392E-3</v>
      </c>
      <c r="O36" s="67" t="s">
        <v>27</v>
      </c>
    </row>
    <row r="37" spans="1:15" s="1" customFormat="1" x14ac:dyDescent="0.3">
      <c r="A37" s="76" t="s">
        <v>228</v>
      </c>
      <c r="B37" s="67" t="s">
        <v>15</v>
      </c>
      <c r="C37" s="67" t="s">
        <v>27</v>
      </c>
      <c r="D37" s="68">
        <v>45014</v>
      </c>
      <c r="E37" s="69">
        <v>12558</v>
      </c>
      <c r="F37" s="70">
        <f t="shared" si="0"/>
        <v>0.99665551839464883</v>
      </c>
      <c r="G37" s="69">
        <v>42</v>
      </c>
      <c r="H37" s="69">
        <v>4008</v>
      </c>
      <c r="I37" s="70">
        <f t="shared" si="1"/>
        <v>0.31915910176779744</v>
      </c>
      <c r="J37" s="69">
        <v>72</v>
      </c>
      <c r="K37" s="70">
        <f t="shared" si="2"/>
        <v>5.733397037744864E-3</v>
      </c>
      <c r="L37" s="70">
        <f t="shared" si="3"/>
        <v>1.7964071856287425E-2</v>
      </c>
      <c r="M37" s="69">
        <v>52</v>
      </c>
      <c r="N37" s="70">
        <f t="shared" si="4"/>
        <v>4.140786749482402E-3</v>
      </c>
      <c r="O37" s="67" t="s">
        <v>27</v>
      </c>
    </row>
    <row r="38" spans="1:15" s="1" customFormat="1" x14ac:dyDescent="0.3">
      <c r="A38" s="76" t="s">
        <v>229</v>
      </c>
      <c r="B38" s="67" t="s">
        <v>15</v>
      </c>
      <c r="C38" s="67" t="s">
        <v>27</v>
      </c>
      <c r="D38" s="68">
        <v>45014</v>
      </c>
      <c r="E38" s="69">
        <v>15880</v>
      </c>
      <c r="F38" s="70">
        <f t="shared" si="0"/>
        <v>0.99798488664987406</v>
      </c>
      <c r="G38" s="69">
        <v>32</v>
      </c>
      <c r="H38" s="69">
        <v>5263</v>
      </c>
      <c r="I38" s="70">
        <f t="shared" si="1"/>
        <v>0.33142317380352643</v>
      </c>
      <c r="J38" s="69">
        <v>109</v>
      </c>
      <c r="K38" s="70">
        <f t="shared" si="2"/>
        <v>6.8639798488664989E-3</v>
      </c>
      <c r="L38" s="70">
        <f t="shared" si="3"/>
        <v>2.0710621318639558E-2</v>
      </c>
      <c r="M38" s="69">
        <v>58</v>
      </c>
      <c r="N38" s="70">
        <f t="shared" si="4"/>
        <v>3.6523929471032747E-3</v>
      </c>
      <c r="O38" s="67" t="s">
        <v>27</v>
      </c>
    </row>
    <row r="39" spans="1:15" s="1" customFormat="1" x14ac:dyDescent="0.3">
      <c r="A39" s="76" t="s">
        <v>230</v>
      </c>
      <c r="B39" s="67" t="s">
        <v>15</v>
      </c>
      <c r="C39" s="67" t="s">
        <v>27</v>
      </c>
      <c r="D39" s="68">
        <v>45014</v>
      </c>
      <c r="E39" s="69">
        <v>28849</v>
      </c>
      <c r="F39" s="70">
        <f t="shared" si="0"/>
        <v>0.99584041041283922</v>
      </c>
      <c r="G39" s="69">
        <v>120</v>
      </c>
      <c r="H39" s="69">
        <v>8828</v>
      </c>
      <c r="I39" s="70">
        <f t="shared" si="1"/>
        <v>0.30600714062879131</v>
      </c>
      <c r="J39" s="69">
        <v>176</v>
      </c>
      <c r="K39" s="70">
        <f t="shared" si="2"/>
        <v>6.1007313945024089E-3</v>
      </c>
      <c r="L39" s="70">
        <f t="shared" si="3"/>
        <v>1.9936565473493428E-2</v>
      </c>
      <c r="M39" s="69">
        <v>141</v>
      </c>
      <c r="N39" s="70">
        <f t="shared" si="4"/>
        <v>4.8875177649138615E-3</v>
      </c>
      <c r="O39" s="67" t="s">
        <v>27</v>
      </c>
    </row>
    <row r="40" spans="1:15" s="1" customFormat="1" x14ac:dyDescent="0.3">
      <c r="A40" s="76" t="s">
        <v>231</v>
      </c>
      <c r="B40" s="67" t="s">
        <v>15</v>
      </c>
      <c r="C40" s="67" t="s">
        <v>27</v>
      </c>
      <c r="D40" s="68">
        <v>45014</v>
      </c>
      <c r="E40" s="69">
        <v>246346</v>
      </c>
      <c r="F40" s="70">
        <f t="shared" si="0"/>
        <v>0.99771053721188896</v>
      </c>
      <c r="G40" s="69">
        <v>564</v>
      </c>
      <c r="H40" s="69">
        <v>90136</v>
      </c>
      <c r="I40" s="70">
        <f t="shared" si="1"/>
        <v>0.36589187565456716</v>
      </c>
      <c r="J40" s="69">
        <v>1605</v>
      </c>
      <c r="K40" s="70">
        <f t="shared" si="2"/>
        <v>6.5152265512734122E-3</v>
      </c>
      <c r="L40" s="70">
        <f t="shared" si="3"/>
        <v>1.780642584538919E-2</v>
      </c>
      <c r="M40" s="69">
        <v>1263</v>
      </c>
      <c r="N40" s="70">
        <f t="shared" si="4"/>
        <v>5.1269352861422549E-3</v>
      </c>
      <c r="O40" s="67" t="s">
        <v>27</v>
      </c>
    </row>
    <row r="41" spans="1:15" s="1" customFormat="1" x14ac:dyDescent="0.3">
      <c r="A41" s="76" t="s">
        <v>235</v>
      </c>
      <c r="B41" s="67" t="s">
        <v>15</v>
      </c>
      <c r="C41" s="67" t="s">
        <v>27</v>
      </c>
      <c r="D41" s="68">
        <v>45017</v>
      </c>
      <c r="E41" s="69">
        <v>238250</v>
      </c>
      <c r="F41" s="70">
        <f t="shared" si="0"/>
        <v>0.99703672612801675</v>
      </c>
      <c r="G41" s="69">
        <v>706</v>
      </c>
      <c r="H41" s="69">
        <v>91446</v>
      </c>
      <c r="I41" s="70">
        <f t="shared" si="1"/>
        <v>0.38382371458551939</v>
      </c>
      <c r="J41" s="69">
        <v>3274</v>
      </c>
      <c r="K41" s="70">
        <f t="shared" si="2"/>
        <v>1.374186778593914E-2</v>
      </c>
      <c r="L41" s="70">
        <f t="shared" si="3"/>
        <v>3.5802550138879778E-2</v>
      </c>
      <c r="M41" s="69">
        <v>1488</v>
      </c>
      <c r="N41" s="70">
        <f t="shared" si="4"/>
        <v>6.2455403987408181E-3</v>
      </c>
      <c r="O41" s="67" t="s">
        <v>27</v>
      </c>
    </row>
    <row r="42" spans="1:15" s="1" customFormat="1" x14ac:dyDescent="0.3">
      <c r="A42" s="76" t="s">
        <v>274</v>
      </c>
      <c r="B42" s="67" t="s">
        <v>15</v>
      </c>
      <c r="C42" s="67" t="s">
        <v>27</v>
      </c>
      <c r="D42" s="68">
        <v>45037</v>
      </c>
      <c r="E42" s="69">
        <v>162082</v>
      </c>
      <c r="F42" s="70">
        <f t="shared" si="0"/>
        <v>0.99534803371133129</v>
      </c>
      <c r="G42" s="69">
        <v>754</v>
      </c>
      <c r="H42" s="69">
        <v>66927</v>
      </c>
      <c r="I42" s="70">
        <f t="shared" si="1"/>
        <v>0.41292062042669758</v>
      </c>
      <c r="J42" s="69">
        <v>1518</v>
      </c>
      <c r="K42" s="70">
        <f t="shared" si="2"/>
        <v>9.365629742969608E-3</v>
      </c>
      <c r="L42" s="70">
        <f t="shared" si="3"/>
        <v>2.2681429019678158E-2</v>
      </c>
      <c r="M42" s="69">
        <v>891</v>
      </c>
      <c r="N42" s="70">
        <f t="shared" si="4"/>
        <v>5.497217457829987E-3</v>
      </c>
      <c r="O42" s="67" t="s">
        <v>27</v>
      </c>
    </row>
    <row r="43" spans="1:15" s="1" customFormat="1" x14ac:dyDescent="0.3">
      <c r="A43" s="76" t="s">
        <v>313</v>
      </c>
      <c r="B43" s="67" t="s">
        <v>15</v>
      </c>
      <c r="C43" s="67" t="s">
        <v>27</v>
      </c>
      <c r="D43" s="68">
        <v>45052</v>
      </c>
      <c r="E43" s="69">
        <v>161590</v>
      </c>
      <c r="F43" s="70">
        <f t="shared" si="0"/>
        <v>0.994616003465561</v>
      </c>
      <c r="G43" s="69">
        <v>870</v>
      </c>
      <c r="H43" s="69">
        <v>57413</v>
      </c>
      <c r="I43" s="70">
        <f t="shared" si="1"/>
        <v>0.35530045176062874</v>
      </c>
      <c r="J43" s="69">
        <v>1096</v>
      </c>
      <c r="K43" s="70">
        <f t="shared" si="2"/>
        <v>6.782597933040411E-3</v>
      </c>
      <c r="L43" s="70">
        <f t="shared" si="3"/>
        <v>1.9089753191785831E-2</v>
      </c>
      <c r="M43" s="69">
        <v>784</v>
      </c>
      <c r="N43" s="70">
        <f t="shared" si="4"/>
        <v>4.8517853827588341E-3</v>
      </c>
      <c r="O43" s="67" t="s">
        <v>27</v>
      </c>
    </row>
    <row r="46" spans="1:15" x14ac:dyDescent="0.3">
      <c r="A46" s="33" t="s">
        <v>56</v>
      </c>
      <c r="B46" s="34"/>
      <c r="C46" s="34"/>
      <c r="D46" s="44"/>
      <c r="E46" s="31">
        <f>SUM(E2:E43)</f>
        <v>4163403</v>
      </c>
      <c r="F46" s="32">
        <f>(E46-G46)/E46</f>
        <v>0.99766080775750032</v>
      </c>
      <c r="G46" s="31">
        <f>SUM(G2:G43)</f>
        <v>9739</v>
      </c>
      <c r="H46" s="31">
        <f>SUM(H2:H43)</f>
        <v>1540288</v>
      </c>
      <c r="I46" s="32">
        <f>H46/E46</f>
        <v>0.36995890140829507</v>
      </c>
      <c r="J46" s="31">
        <f>SUM(J2:J43)</f>
        <v>36743</v>
      </c>
      <c r="K46" s="32">
        <f>J46/E46</f>
        <v>8.8252326282130273E-3</v>
      </c>
      <c r="L46" s="32">
        <f>J46/H46</f>
        <v>2.3854629783521004E-2</v>
      </c>
      <c r="M46" s="31">
        <f>SUM(M2:M43)</f>
        <v>22560</v>
      </c>
      <c r="N46" s="32">
        <f>M46/E46</f>
        <v>5.4186443157196165E-3</v>
      </c>
    </row>
    <row r="47" spans="1:15" x14ac:dyDescent="0.3">
      <c r="M47" s="16">
        <f>M46/J46</f>
        <v>0.61399450235418995</v>
      </c>
    </row>
    <row r="49" spans="1:14" x14ac:dyDescent="0.3">
      <c r="A49" s="36" t="s">
        <v>41</v>
      </c>
      <c r="B49" s="37"/>
      <c r="C49" s="38"/>
      <c r="D49" s="39"/>
      <c r="E49" s="40"/>
      <c r="F49" s="41"/>
      <c r="G49" s="42"/>
      <c r="H49" s="41"/>
      <c r="I49" s="43">
        <v>0.23899999999999999</v>
      </c>
      <c r="J49" s="41"/>
      <c r="K49" s="43">
        <v>2.9000000000000001E-2</v>
      </c>
      <c r="L49" s="43">
        <v>0.124</v>
      </c>
      <c r="M49" s="41"/>
      <c r="N49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A1A2B7-CCB4-D34D-AAB8-39E4B5679FB2}">
          <x14:formula1>
            <xm:f>'List Sheet'!$A$2:$A$4</xm:f>
          </x14:formula1>
          <xm:sqref>O24:O43 C5:C43</xm:sqref>
        </x14:dataValidation>
        <x14:dataValidation type="list" allowBlank="1" showInputMessage="1" showErrorMessage="1" xr:uid="{8AEF824B-5387-0742-8F03-40FDC5207A06}">
          <x14:formula1>
            <xm:f>'List Sheet'!$B$2:$B$3</xm:f>
          </x14:formula1>
          <xm:sqref>B5:B43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1CED-AD11-B845-AF39-3BDF88E62394}">
  <dimension ref="A1:O28"/>
  <sheetViews>
    <sheetView topLeftCell="A9" zoomScaleNormal="100" workbookViewId="0">
      <selection activeCell="A32" sqref="A32"/>
    </sheetView>
  </sheetViews>
  <sheetFormatPr defaultColWidth="10.6640625" defaultRowHeight="14.4" x14ac:dyDescent="0.3"/>
  <cols>
    <col min="1" max="1" width="45.6640625" customWidth="1"/>
    <col min="2" max="2" width="9.33203125" bestFit="1" customWidth="1"/>
    <col min="3" max="3" width="13.109375" bestFit="1" customWidth="1"/>
    <col min="4" max="4" width="11.33203125" bestFit="1" customWidth="1"/>
    <col min="5" max="5" width="8.3320312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6.44140625" bestFit="1" customWidth="1"/>
    <col min="12" max="12" width="7.664062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14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s="1" customFormat="1" x14ac:dyDescent="0.3">
      <c r="A2" s="76" t="s">
        <v>225</v>
      </c>
      <c r="B2" s="67" t="s">
        <v>15</v>
      </c>
      <c r="C2" s="67" t="s">
        <v>102</v>
      </c>
      <c r="D2" s="68">
        <v>45009</v>
      </c>
      <c r="E2" s="69">
        <v>33786</v>
      </c>
      <c r="F2" s="70">
        <f>(E2-G2)/E2</f>
        <v>0.99813532232285562</v>
      </c>
      <c r="G2" s="69">
        <v>63</v>
      </c>
      <c r="H2" s="69">
        <v>18749</v>
      </c>
      <c r="I2" s="70">
        <f>H2/E2</f>
        <v>0.55493399632984075</v>
      </c>
      <c r="J2" s="69">
        <v>1036</v>
      </c>
      <c r="K2" s="70">
        <f>J2/E2</f>
        <v>3.0663588468596459E-2</v>
      </c>
      <c r="L2" s="70">
        <f>J2/H2</f>
        <v>5.5256280334951197E-2</v>
      </c>
      <c r="M2" s="69">
        <v>13</v>
      </c>
      <c r="N2" s="70">
        <f>M2/E2</f>
        <v>3.8477475877582429E-4</v>
      </c>
      <c r="O2" s="67" t="s">
        <v>102</v>
      </c>
    </row>
    <row r="3" spans="1:15" s="1" customFormat="1" x14ac:dyDescent="0.3">
      <c r="A3" s="76" t="s">
        <v>225</v>
      </c>
      <c r="B3" s="67" t="s">
        <v>18</v>
      </c>
      <c r="C3" s="67" t="s">
        <v>102</v>
      </c>
      <c r="D3" s="68">
        <v>45009</v>
      </c>
      <c r="E3" s="69">
        <v>7716</v>
      </c>
      <c r="F3" s="70">
        <f>(E3-G3)/E3</f>
        <v>0.99805598755832037</v>
      </c>
      <c r="G3" s="69">
        <v>15</v>
      </c>
      <c r="H3" s="69">
        <v>3986</v>
      </c>
      <c r="I3" s="70">
        <f>H3/E3</f>
        <v>0.51658890616899944</v>
      </c>
      <c r="J3" s="69">
        <v>244</v>
      </c>
      <c r="K3" s="70">
        <f>J3/E3</f>
        <v>3.1622602384655259E-2</v>
      </c>
      <c r="L3" s="70">
        <f>J3/H3</f>
        <v>6.1214249874560964E-2</v>
      </c>
      <c r="M3" s="69">
        <v>9</v>
      </c>
      <c r="N3" s="70">
        <f>M3/E3</f>
        <v>1.1664074650077762E-3</v>
      </c>
      <c r="O3" s="67" t="s">
        <v>102</v>
      </c>
    </row>
    <row r="4" spans="1:15" s="1" customFormat="1" x14ac:dyDescent="0.3">
      <c r="A4" s="76" t="s">
        <v>226</v>
      </c>
      <c r="B4" s="67" t="s">
        <v>15</v>
      </c>
      <c r="C4" s="67" t="s">
        <v>102</v>
      </c>
      <c r="D4" s="68">
        <v>45012</v>
      </c>
      <c r="E4" s="69">
        <v>20759</v>
      </c>
      <c r="F4" s="70">
        <f>(E4-G4)/E4</f>
        <v>0.99841032805048413</v>
      </c>
      <c r="G4" s="69">
        <v>33</v>
      </c>
      <c r="H4" s="69">
        <v>11538</v>
      </c>
      <c r="I4" s="70">
        <f>H4/E4</f>
        <v>0.55580711980345876</v>
      </c>
      <c r="J4" s="69">
        <v>392</v>
      </c>
      <c r="K4" s="70">
        <f>J4/E4</f>
        <v>1.8883375885158246E-2</v>
      </c>
      <c r="L4" s="70">
        <f>J4/H4</f>
        <v>3.3974692321026172E-2</v>
      </c>
      <c r="M4" s="69">
        <v>8</v>
      </c>
      <c r="N4" s="70">
        <f>M4/E4</f>
        <v>3.8537501806445399E-4</v>
      </c>
      <c r="O4" s="67" t="s">
        <v>102</v>
      </c>
    </row>
    <row r="5" spans="1:15" s="1" customFormat="1" x14ac:dyDescent="0.3">
      <c r="A5" s="76" t="s">
        <v>226</v>
      </c>
      <c r="B5" s="67" t="s">
        <v>18</v>
      </c>
      <c r="C5" s="67" t="s">
        <v>102</v>
      </c>
      <c r="D5" s="68">
        <v>45012</v>
      </c>
      <c r="E5" s="69">
        <v>4891</v>
      </c>
      <c r="F5" s="70">
        <f>(E5-G5)/E5</f>
        <v>0.99693314250664489</v>
      </c>
      <c r="G5" s="69">
        <v>15</v>
      </c>
      <c r="H5" s="69">
        <v>2550</v>
      </c>
      <c r="I5" s="70">
        <f>H5/E5</f>
        <v>0.52136577387037419</v>
      </c>
      <c r="J5" s="69">
        <v>105</v>
      </c>
      <c r="K5" s="70">
        <f>J5/E5</f>
        <v>2.1468002453485995E-2</v>
      </c>
      <c r="L5" s="70">
        <f>J5/H5</f>
        <v>4.1176470588235294E-2</v>
      </c>
      <c r="M5" s="69">
        <v>7</v>
      </c>
      <c r="N5" s="70">
        <f>M5/E5</f>
        <v>1.4312001635657329E-3</v>
      </c>
      <c r="O5" s="67" t="s">
        <v>102</v>
      </c>
    </row>
    <row r="6" spans="1:15" s="1" customFormat="1" x14ac:dyDescent="0.3">
      <c r="A6" s="76" t="s">
        <v>262</v>
      </c>
      <c r="B6" s="76" t="s">
        <v>265</v>
      </c>
      <c r="C6" s="67" t="s">
        <v>102</v>
      </c>
      <c r="D6" s="68">
        <v>45028</v>
      </c>
      <c r="E6" s="69">
        <v>31437</v>
      </c>
      <c r="F6" s="70">
        <f>(E6-G6)/E6</f>
        <v>0.99605560327003217</v>
      </c>
      <c r="G6" s="69">
        <v>124</v>
      </c>
      <c r="H6" s="69">
        <v>14920</v>
      </c>
      <c r="I6" s="70">
        <f>H6/E6</f>
        <v>0.47459999363806982</v>
      </c>
      <c r="J6" s="69">
        <v>779</v>
      </c>
      <c r="K6" s="70">
        <f>J6/E6</f>
        <v>2.4779718166491712E-2</v>
      </c>
      <c r="L6" s="70">
        <f>J6/H6</f>
        <v>5.2211796246648796E-2</v>
      </c>
      <c r="M6" s="69">
        <v>13</v>
      </c>
      <c r="N6" s="70">
        <f>M6/E6</f>
        <v>4.1352546362566405E-4</v>
      </c>
      <c r="O6" s="67" t="s">
        <v>102</v>
      </c>
    </row>
    <row r="7" spans="1:15" s="1" customFormat="1" x14ac:dyDescent="0.3">
      <c r="A7" s="76" t="s">
        <v>268</v>
      </c>
      <c r="B7" s="67" t="s">
        <v>15</v>
      </c>
      <c r="C7" s="67" t="s">
        <v>102</v>
      </c>
      <c r="D7" s="68">
        <v>45034</v>
      </c>
      <c r="E7" s="69">
        <v>17656</v>
      </c>
      <c r="F7" s="70">
        <f t="shared" ref="F7:F24" si="0">(E7-G7)/E7</f>
        <v>0.99637516991391029</v>
      </c>
      <c r="G7" s="69">
        <v>64</v>
      </c>
      <c r="H7" s="69">
        <v>9469</v>
      </c>
      <c r="I7" s="70">
        <f t="shared" ref="I7:I24" si="1">H7/E7</f>
        <v>0.53630493883099228</v>
      </c>
      <c r="J7" s="69">
        <v>683</v>
      </c>
      <c r="K7" s="70">
        <f t="shared" ref="K7:K24" si="2">J7/E7</f>
        <v>3.8683733574988673E-2</v>
      </c>
      <c r="L7" s="70">
        <f t="shared" ref="L7:L24" si="3">J7/H7</f>
        <v>7.2130108776005911E-2</v>
      </c>
      <c r="M7" s="69">
        <v>8</v>
      </c>
      <c r="N7" s="70">
        <f t="shared" ref="N7:N24" si="4">M7/E7</f>
        <v>4.5310376076121433E-4</v>
      </c>
      <c r="O7" s="67" t="s">
        <v>102</v>
      </c>
    </row>
    <row r="8" spans="1:15" s="1" customFormat="1" x14ac:dyDescent="0.3">
      <c r="A8" s="76" t="s">
        <v>268</v>
      </c>
      <c r="B8" s="67" t="s">
        <v>18</v>
      </c>
      <c r="C8" s="67" t="s">
        <v>102</v>
      </c>
      <c r="D8" s="68">
        <v>45034</v>
      </c>
      <c r="E8" s="69">
        <v>4667</v>
      </c>
      <c r="F8" s="70">
        <f t="shared" si="0"/>
        <v>0.99678594386115282</v>
      </c>
      <c r="G8" s="69">
        <v>15</v>
      </c>
      <c r="H8" s="69">
        <v>2719</v>
      </c>
      <c r="I8" s="70">
        <f t="shared" si="1"/>
        <v>0.58260124276837366</v>
      </c>
      <c r="J8" s="69">
        <v>207</v>
      </c>
      <c r="K8" s="70">
        <f t="shared" si="2"/>
        <v>4.4353974716091711E-2</v>
      </c>
      <c r="L8" s="70">
        <f t="shared" si="3"/>
        <v>7.6130930489150428E-2</v>
      </c>
      <c r="M8" s="69">
        <v>3</v>
      </c>
      <c r="N8" s="70">
        <f t="shared" si="4"/>
        <v>6.4281122776944509E-4</v>
      </c>
      <c r="O8" s="67" t="s">
        <v>102</v>
      </c>
    </row>
    <row r="9" spans="1:15" s="1" customFormat="1" x14ac:dyDescent="0.3">
      <c r="A9" s="76" t="s">
        <v>320</v>
      </c>
      <c r="B9" s="67" t="s">
        <v>18</v>
      </c>
      <c r="C9" s="67" t="s">
        <v>102</v>
      </c>
      <c r="D9" s="68">
        <v>45057</v>
      </c>
      <c r="E9" s="69">
        <v>15504</v>
      </c>
      <c r="F9" s="70">
        <f t="shared" si="0"/>
        <v>0.99696852425180593</v>
      </c>
      <c r="G9" s="69">
        <v>47</v>
      </c>
      <c r="H9" s="69">
        <v>7033</v>
      </c>
      <c r="I9" s="70">
        <f t="shared" si="1"/>
        <v>0.45362487100103199</v>
      </c>
      <c r="J9" s="69">
        <v>114</v>
      </c>
      <c r="K9" s="70">
        <f t="shared" si="2"/>
        <v>7.3529411764705881E-3</v>
      </c>
      <c r="L9" s="70">
        <f t="shared" si="3"/>
        <v>1.6209299018910849E-2</v>
      </c>
      <c r="M9" s="69">
        <v>18</v>
      </c>
      <c r="N9" s="70">
        <f t="shared" si="4"/>
        <v>1.1609907120743034E-3</v>
      </c>
      <c r="O9" s="67" t="s">
        <v>102</v>
      </c>
    </row>
    <row r="10" spans="1:15" s="1" customFormat="1" x14ac:dyDescent="0.3">
      <c r="A10" s="76" t="s">
        <v>320</v>
      </c>
      <c r="B10" s="67" t="s">
        <v>15</v>
      </c>
      <c r="C10" s="67" t="s">
        <v>102</v>
      </c>
      <c r="D10" s="68">
        <v>45057</v>
      </c>
      <c r="E10" s="69">
        <v>79468</v>
      </c>
      <c r="F10" s="70">
        <f t="shared" si="0"/>
        <v>0.99656465495545377</v>
      </c>
      <c r="G10" s="69">
        <v>273</v>
      </c>
      <c r="H10" s="69">
        <v>31746</v>
      </c>
      <c r="I10" s="70">
        <f t="shared" si="1"/>
        <v>0.39948155232294758</v>
      </c>
      <c r="J10" s="69">
        <v>456</v>
      </c>
      <c r="K10" s="70">
        <f t="shared" si="2"/>
        <v>5.7381587557255751E-3</v>
      </c>
      <c r="L10" s="70">
        <f t="shared" si="3"/>
        <v>1.4364014364014363E-2</v>
      </c>
      <c r="M10" s="69">
        <v>33</v>
      </c>
      <c r="N10" s="70">
        <f t="shared" si="4"/>
        <v>4.1526148890119291E-4</v>
      </c>
      <c r="O10" s="67" t="s">
        <v>102</v>
      </c>
    </row>
    <row r="11" spans="1:15" s="1" customFormat="1" x14ac:dyDescent="0.3">
      <c r="A11" s="76" t="s">
        <v>321</v>
      </c>
      <c r="B11" s="67" t="s">
        <v>18</v>
      </c>
      <c r="C11" s="67" t="s">
        <v>102</v>
      </c>
      <c r="D11" s="68">
        <v>45057</v>
      </c>
      <c r="E11" s="69">
        <v>1985</v>
      </c>
      <c r="F11" s="70">
        <f t="shared" si="0"/>
        <v>0.99546599496221666</v>
      </c>
      <c r="G11" s="69">
        <v>9</v>
      </c>
      <c r="H11" s="69">
        <v>716</v>
      </c>
      <c r="I11" s="70">
        <f t="shared" si="1"/>
        <v>0.36070528967254406</v>
      </c>
      <c r="J11" s="69">
        <v>18</v>
      </c>
      <c r="K11" s="70">
        <f t="shared" si="2"/>
        <v>9.0680100755667504E-3</v>
      </c>
      <c r="L11" s="70">
        <f t="shared" si="3"/>
        <v>2.5139664804469275E-2</v>
      </c>
      <c r="M11" s="69">
        <v>3</v>
      </c>
      <c r="N11" s="70">
        <f t="shared" si="4"/>
        <v>1.5113350125944584E-3</v>
      </c>
      <c r="O11" s="67" t="s">
        <v>102</v>
      </c>
    </row>
    <row r="12" spans="1:15" s="1" customFormat="1" x14ac:dyDescent="0.3">
      <c r="A12" s="76" t="s">
        <v>321</v>
      </c>
      <c r="B12" s="67" t="s">
        <v>15</v>
      </c>
      <c r="C12" s="67" t="s">
        <v>102</v>
      </c>
      <c r="D12" s="68">
        <v>45057</v>
      </c>
      <c r="E12" s="69">
        <v>2815</v>
      </c>
      <c r="F12" s="70">
        <f t="shared" si="0"/>
        <v>0.99502664298401422</v>
      </c>
      <c r="G12" s="69">
        <v>14</v>
      </c>
      <c r="H12" s="69">
        <v>1106</v>
      </c>
      <c r="I12" s="70">
        <f t="shared" si="1"/>
        <v>0.39289520426287744</v>
      </c>
      <c r="J12" s="69">
        <v>24</v>
      </c>
      <c r="K12" s="70">
        <f t="shared" si="2"/>
        <v>8.5257548845470692E-3</v>
      </c>
      <c r="L12" s="70">
        <f t="shared" si="3"/>
        <v>2.1699819168173599E-2</v>
      </c>
      <c r="M12" s="69">
        <v>0</v>
      </c>
      <c r="N12" s="70">
        <f t="shared" si="4"/>
        <v>0</v>
      </c>
      <c r="O12" s="67" t="s">
        <v>102</v>
      </c>
    </row>
    <row r="13" spans="1:15" s="1" customFormat="1" x14ac:dyDescent="0.3">
      <c r="A13" s="76" t="s">
        <v>343</v>
      </c>
      <c r="B13" s="67" t="s">
        <v>15</v>
      </c>
      <c r="C13" s="67" t="s">
        <v>102</v>
      </c>
      <c r="D13" s="68">
        <v>45062</v>
      </c>
      <c r="E13" s="69">
        <v>2430</v>
      </c>
      <c r="F13" s="70">
        <f t="shared" si="0"/>
        <v>0.99506172839506168</v>
      </c>
      <c r="G13" s="69">
        <v>12</v>
      </c>
      <c r="H13" s="69">
        <v>1480</v>
      </c>
      <c r="I13" s="70">
        <f t="shared" si="1"/>
        <v>0.60905349794238683</v>
      </c>
      <c r="J13" s="69">
        <v>14</v>
      </c>
      <c r="K13" s="70">
        <f t="shared" si="2"/>
        <v>5.7613168724279839E-3</v>
      </c>
      <c r="L13" s="70">
        <f t="shared" si="3"/>
        <v>9.45945945945946E-3</v>
      </c>
      <c r="M13" s="69">
        <v>0</v>
      </c>
      <c r="N13" s="70">
        <f t="shared" si="4"/>
        <v>0</v>
      </c>
      <c r="O13" s="67" t="s">
        <v>102</v>
      </c>
    </row>
    <row r="14" spans="1:15" s="1" customFormat="1" x14ac:dyDescent="0.3">
      <c r="A14" s="76" t="s">
        <v>344</v>
      </c>
      <c r="B14" s="67" t="s">
        <v>15</v>
      </c>
      <c r="C14" s="67" t="s">
        <v>102</v>
      </c>
      <c r="D14" s="68">
        <v>45062</v>
      </c>
      <c r="E14" s="69">
        <v>73338</v>
      </c>
      <c r="F14" s="70">
        <f t="shared" si="0"/>
        <v>0.99614115465379471</v>
      </c>
      <c r="G14" s="69">
        <v>283</v>
      </c>
      <c r="H14" s="69">
        <v>44742</v>
      </c>
      <c r="I14" s="70">
        <f t="shared" si="1"/>
        <v>0.61007935858627182</v>
      </c>
      <c r="J14" s="69">
        <v>243</v>
      </c>
      <c r="K14" s="70">
        <f t="shared" si="2"/>
        <v>3.3134255092857729E-3</v>
      </c>
      <c r="L14" s="70">
        <f t="shared" si="3"/>
        <v>5.4311385275579993E-3</v>
      </c>
      <c r="M14" s="69">
        <v>26</v>
      </c>
      <c r="N14" s="70">
        <f t="shared" si="4"/>
        <v>3.5452289399765468E-4</v>
      </c>
      <c r="O14" s="67" t="s">
        <v>102</v>
      </c>
    </row>
    <row r="15" spans="1:15" s="1" customFormat="1" x14ac:dyDescent="0.3">
      <c r="A15" s="76" t="s">
        <v>337</v>
      </c>
      <c r="B15" s="67" t="s">
        <v>18</v>
      </c>
      <c r="C15" s="67" t="s">
        <v>102</v>
      </c>
      <c r="D15" s="68">
        <v>45064</v>
      </c>
      <c r="E15" s="69">
        <v>6050</v>
      </c>
      <c r="F15" s="70">
        <f t="shared" si="0"/>
        <v>0.99752066115702476</v>
      </c>
      <c r="G15" s="69">
        <v>15</v>
      </c>
      <c r="H15" s="69">
        <v>3398</v>
      </c>
      <c r="I15" s="70">
        <f t="shared" si="1"/>
        <v>0.56165289256198347</v>
      </c>
      <c r="J15" s="69">
        <v>575</v>
      </c>
      <c r="K15" s="70">
        <f t="shared" si="2"/>
        <v>9.5041322314049589E-2</v>
      </c>
      <c r="L15" s="70">
        <f t="shared" si="3"/>
        <v>0.16921718658034138</v>
      </c>
      <c r="M15" s="69">
        <v>7</v>
      </c>
      <c r="N15" s="70">
        <f t="shared" si="4"/>
        <v>1.1570247933884298E-3</v>
      </c>
      <c r="O15" s="67" t="s">
        <v>102</v>
      </c>
    </row>
    <row r="16" spans="1:15" s="1" customFormat="1" x14ac:dyDescent="0.3">
      <c r="A16" s="76" t="s">
        <v>337</v>
      </c>
      <c r="B16" s="67" t="s">
        <v>15</v>
      </c>
      <c r="C16" s="67" t="s">
        <v>102</v>
      </c>
      <c r="D16" s="68">
        <v>45064</v>
      </c>
      <c r="E16" s="69">
        <v>24753</v>
      </c>
      <c r="F16" s="70">
        <f t="shared" si="0"/>
        <v>0.99680846766048559</v>
      </c>
      <c r="G16" s="69">
        <v>79</v>
      </c>
      <c r="H16" s="69">
        <v>11565</v>
      </c>
      <c r="I16" s="70">
        <f t="shared" si="1"/>
        <v>0.46721609501878558</v>
      </c>
      <c r="J16" s="69">
        <v>1862</v>
      </c>
      <c r="K16" s="70">
        <f t="shared" si="2"/>
        <v>7.5223205268048321E-2</v>
      </c>
      <c r="L16" s="70">
        <f t="shared" si="3"/>
        <v>0.16100302637267619</v>
      </c>
      <c r="M16" s="69">
        <v>7</v>
      </c>
      <c r="N16" s="70">
        <f t="shared" si="4"/>
        <v>2.8279400476709894E-4</v>
      </c>
      <c r="O16" s="67" t="s">
        <v>102</v>
      </c>
    </row>
    <row r="17" spans="1:15" s="1" customFormat="1" x14ac:dyDescent="0.3">
      <c r="A17" s="76" t="s">
        <v>653</v>
      </c>
      <c r="B17" s="67" t="s">
        <v>18</v>
      </c>
      <c r="C17" s="67" t="s">
        <v>102</v>
      </c>
      <c r="D17" s="68">
        <v>45092</v>
      </c>
      <c r="E17" s="69">
        <v>2073</v>
      </c>
      <c r="F17" s="70">
        <f t="shared" si="0"/>
        <v>0.99807042932947421</v>
      </c>
      <c r="G17" s="67">
        <v>4</v>
      </c>
      <c r="H17" s="69">
        <v>764</v>
      </c>
      <c r="I17" s="70">
        <f t="shared" si="1"/>
        <v>0.36854799807042932</v>
      </c>
      <c r="J17" s="69">
        <v>12</v>
      </c>
      <c r="K17" s="70">
        <f t="shared" si="2"/>
        <v>5.7887120115774236E-3</v>
      </c>
      <c r="L17" s="70">
        <f t="shared" si="3"/>
        <v>1.5706806282722512E-2</v>
      </c>
      <c r="M17" s="69">
        <v>2</v>
      </c>
      <c r="N17" s="70">
        <f t="shared" si="4"/>
        <v>9.6478533526290404E-4</v>
      </c>
      <c r="O17" s="67" t="s">
        <v>102</v>
      </c>
    </row>
    <row r="18" spans="1:15" s="1" customFormat="1" x14ac:dyDescent="0.3">
      <c r="A18" s="76" t="s">
        <v>653</v>
      </c>
      <c r="B18" s="67" t="s">
        <v>15</v>
      </c>
      <c r="C18" s="67" t="s">
        <v>102</v>
      </c>
      <c r="D18" s="68">
        <v>45092</v>
      </c>
      <c r="E18" s="69">
        <v>2899</v>
      </c>
      <c r="F18" s="70">
        <f t="shared" si="0"/>
        <v>0.99689548120041394</v>
      </c>
      <c r="G18" s="67">
        <v>9</v>
      </c>
      <c r="H18" s="69">
        <v>1177</v>
      </c>
      <c r="I18" s="70">
        <f t="shared" si="1"/>
        <v>0.40600206967919972</v>
      </c>
      <c r="J18" s="69">
        <v>29</v>
      </c>
      <c r="K18" s="70">
        <f t="shared" si="2"/>
        <v>1.0003449465332874E-2</v>
      </c>
      <c r="L18" s="70">
        <f t="shared" si="3"/>
        <v>2.4638912489379779E-2</v>
      </c>
      <c r="M18" s="69">
        <v>0</v>
      </c>
      <c r="N18" s="70">
        <f t="shared" si="4"/>
        <v>0</v>
      </c>
      <c r="O18" s="67" t="s">
        <v>102</v>
      </c>
    </row>
    <row r="19" spans="1:15" s="1" customFormat="1" x14ac:dyDescent="0.3">
      <c r="A19" s="76" t="s">
        <v>654</v>
      </c>
      <c r="B19" s="67" t="s">
        <v>18</v>
      </c>
      <c r="C19" s="67" t="s">
        <v>102</v>
      </c>
      <c r="D19" s="68">
        <v>45092</v>
      </c>
      <c r="E19" s="69">
        <v>16260</v>
      </c>
      <c r="F19" s="70">
        <f t="shared" si="0"/>
        <v>0.99772447724477242</v>
      </c>
      <c r="G19" s="67">
        <v>37</v>
      </c>
      <c r="H19" s="69">
        <v>7339</v>
      </c>
      <c r="I19" s="70">
        <f t="shared" si="1"/>
        <v>0.45135301353013529</v>
      </c>
      <c r="J19" s="69">
        <v>146</v>
      </c>
      <c r="K19" s="70">
        <f t="shared" si="2"/>
        <v>8.9790897908979088E-3</v>
      </c>
      <c r="L19" s="70">
        <f t="shared" si="3"/>
        <v>1.9893718490257527E-2</v>
      </c>
      <c r="M19" s="69">
        <v>25</v>
      </c>
      <c r="N19" s="70">
        <f t="shared" si="4"/>
        <v>1.5375153751537515E-3</v>
      </c>
      <c r="O19" s="67" t="s">
        <v>102</v>
      </c>
    </row>
    <row r="20" spans="1:15" s="1" customFormat="1" x14ac:dyDescent="0.3">
      <c r="A20" s="76" t="s">
        <v>654</v>
      </c>
      <c r="B20" s="67" t="s">
        <v>15</v>
      </c>
      <c r="C20" s="67" t="s">
        <v>102</v>
      </c>
      <c r="D20" s="68">
        <v>45092</v>
      </c>
      <c r="E20" s="69">
        <v>84433</v>
      </c>
      <c r="F20" s="70">
        <f t="shared" si="0"/>
        <v>0.99816422488837298</v>
      </c>
      <c r="G20" s="67">
        <v>155</v>
      </c>
      <c r="H20" s="69">
        <v>34218</v>
      </c>
      <c r="I20" s="70">
        <f t="shared" si="1"/>
        <v>0.40526808238484952</v>
      </c>
      <c r="J20" s="69">
        <v>561</v>
      </c>
      <c r="K20" s="70">
        <f t="shared" si="2"/>
        <v>6.6443215330498741E-3</v>
      </c>
      <c r="L20" s="70">
        <f t="shared" si="3"/>
        <v>1.6394879887778362E-2</v>
      </c>
      <c r="M20" s="69">
        <v>29</v>
      </c>
      <c r="N20" s="70">
        <f t="shared" si="4"/>
        <v>3.434676015302074E-4</v>
      </c>
      <c r="O20" s="67" t="s">
        <v>102</v>
      </c>
    </row>
    <row r="21" spans="1:15" s="1" customFormat="1" x14ac:dyDescent="0.3">
      <c r="A21" s="95" t="s">
        <v>676</v>
      </c>
      <c r="B21" s="58" t="s">
        <v>15</v>
      </c>
      <c r="C21" s="58" t="s">
        <v>102</v>
      </c>
      <c r="D21" s="83">
        <v>45099</v>
      </c>
      <c r="E21" s="59">
        <v>858</v>
      </c>
      <c r="F21" s="60">
        <f t="shared" si="0"/>
        <v>0.99650349650349646</v>
      </c>
      <c r="G21" s="58">
        <v>3</v>
      </c>
      <c r="H21" s="59">
        <v>359</v>
      </c>
      <c r="I21" s="60">
        <f t="shared" si="1"/>
        <v>0.4184149184149184</v>
      </c>
      <c r="J21" s="59">
        <v>34</v>
      </c>
      <c r="K21" s="60">
        <f t="shared" si="2"/>
        <v>3.9627039627039624E-2</v>
      </c>
      <c r="L21" s="60">
        <f t="shared" si="3"/>
        <v>9.4707520891364902E-2</v>
      </c>
      <c r="M21" s="59">
        <v>0</v>
      </c>
      <c r="N21" s="60">
        <f t="shared" si="4"/>
        <v>0</v>
      </c>
      <c r="O21" s="58" t="s">
        <v>102</v>
      </c>
    </row>
    <row r="22" spans="1:15" s="1" customFormat="1" x14ac:dyDescent="0.3">
      <c r="A22" s="95" t="s">
        <v>677</v>
      </c>
      <c r="B22" s="58" t="s">
        <v>15</v>
      </c>
      <c r="C22" s="58" t="s">
        <v>102</v>
      </c>
      <c r="D22" s="83">
        <v>45099</v>
      </c>
      <c r="E22" s="59">
        <v>23693</v>
      </c>
      <c r="F22" s="60">
        <f t="shared" si="0"/>
        <v>0.99860718355632461</v>
      </c>
      <c r="G22" s="58">
        <v>33</v>
      </c>
      <c r="H22" s="59">
        <v>10787</v>
      </c>
      <c r="I22" s="60">
        <f t="shared" si="1"/>
        <v>0.45528215084624152</v>
      </c>
      <c r="J22" s="59">
        <v>1034</v>
      </c>
      <c r="K22" s="60">
        <f t="shared" si="2"/>
        <v>4.3641581901827542E-2</v>
      </c>
      <c r="L22" s="60">
        <f t="shared" si="3"/>
        <v>9.5856123111152311E-2</v>
      </c>
      <c r="M22" s="59">
        <v>4</v>
      </c>
      <c r="N22" s="60">
        <f t="shared" si="4"/>
        <v>1.6882623559701177E-4</v>
      </c>
      <c r="O22" s="58" t="s">
        <v>102</v>
      </c>
    </row>
    <row r="23" spans="1:15" s="1" customFormat="1" x14ac:dyDescent="0.3">
      <c r="A23" s="95" t="s">
        <v>678</v>
      </c>
      <c r="B23" s="58" t="s">
        <v>15</v>
      </c>
      <c r="C23" s="58" t="s">
        <v>102</v>
      </c>
      <c r="D23" s="83">
        <v>45099</v>
      </c>
      <c r="E23" s="59">
        <v>23646</v>
      </c>
      <c r="F23" s="60">
        <f t="shared" si="0"/>
        <v>0.99906961008204342</v>
      </c>
      <c r="G23" s="58">
        <v>22</v>
      </c>
      <c r="H23" s="59">
        <v>10977</v>
      </c>
      <c r="I23" s="60">
        <f t="shared" si="1"/>
        <v>0.46422227860949</v>
      </c>
      <c r="J23" s="59">
        <v>1392</v>
      </c>
      <c r="K23" s="60">
        <f t="shared" si="2"/>
        <v>5.8868307536158335E-2</v>
      </c>
      <c r="L23" s="60">
        <f t="shared" si="3"/>
        <v>0.12681060399016125</v>
      </c>
      <c r="M23" s="59">
        <v>2</v>
      </c>
      <c r="N23" s="60">
        <f t="shared" si="4"/>
        <v>8.4580901632411398E-5</v>
      </c>
      <c r="O23" s="58" t="s">
        <v>102</v>
      </c>
    </row>
    <row r="24" spans="1:15" s="1" customFormat="1" x14ac:dyDescent="0.3">
      <c r="A24" s="95" t="s">
        <v>679</v>
      </c>
      <c r="B24" s="58" t="s">
        <v>15</v>
      </c>
      <c r="C24" s="58" t="s">
        <v>102</v>
      </c>
      <c r="D24" s="83">
        <v>45099</v>
      </c>
      <c r="E24" s="59">
        <v>856</v>
      </c>
      <c r="F24" s="60">
        <f t="shared" si="0"/>
        <v>0.99883177570093462</v>
      </c>
      <c r="G24" s="58">
        <v>1</v>
      </c>
      <c r="H24" s="59">
        <v>380</v>
      </c>
      <c r="I24" s="60">
        <f t="shared" si="1"/>
        <v>0.44392523364485981</v>
      </c>
      <c r="J24" s="59">
        <v>47</v>
      </c>
      <c r="K24" s="60">
        <f t="shared" si="2"/>
        <v>5.4906542056074766E-2</v>
      </c>
      <c r="L24" s="60">
        <f t="shared" si="3"/>
        <v>0.12368421052631579</v>
      </c>
      <c r="M24" s="59">
        <v>0</v>
      </c>
      <c r="N24" s="60">
        <f t="shared" si="4"/>
        <v>0</v>
      </c>
      <c r="O24" s="58" t="s">
        <v>102</v>
      </c>
    </row>
    <row r="25" spans="1:15" s="1" customFormat="1" x14ac:dyDescent="0.3"/>
    <row r="26" spans="1:15" x14ac:dyDescent="0.3">
      <c r="A26" s="33" t="s">
        <v>58</v>
      </c>
      <c r="B26" s="35"/>
      <c r="C26" s="35"/>
      <c r="D26" s="30"/>
      <c r="E26" s="31">
        <f>SUM(E2:E24)</f>
        <v>481973</v>
      </c>
      <c r="F26" s="32">
        <f>(E26-G26)/E26</f>
        <v>0.9972508833482373</v>
      </c>
      <c r="G26" s="31">
        <f>SUM(G2:G24)</f>
        <v>1325</v>
      </c>
      <c r="H26" s="31">
        <f>SUM(H2:H24)</f>
        <v>231718</v>
      </c>
      <c r="I26" s="32">
        <f>H26/E26</f>
        <v>0.48076966967029272</v>
      </c>
      <c r="J26" s="31">
        <f>SUM(J2:J24)</f>
        <v>10007</v>
      </c>
      <c r="K26" s="32">
        <f>J26/E26</f>
        <v>2.0762573837123658E-2</v>
      </c>
      <c r="L26" s="32">
        <f>J26/H26</f>
        <v>4.3186114155999968E-2</v>
      </c>
      <c r="M26" s="31">
        <f>SUM(M2:M24)</f>
        <v>217</v>
      </c>
      <c r="N26" s="32">
        <f>M26/E26</f>
        <v>4.5023268938301525E-4</v>
      </c>
      <c r="O26" s="45"/>
    </row>
    <row r="27" spans="1:15" x14ac:dyDescent="0.3">
      <c r="H27" s="2"/>
    </row>
    <row r="28" spans="1:15" x14ac:dyDescent="0.3">
      <c r="A28" s="36" t="s">
        <v>41</v>
      </c>
      <c r="B28" s="37"/>
      <c r="C28" s="38"/>
      <c r="D28" s="39"/>
      <c r="E28" s="40"/>
      <c r="F28" s="41"/>
      <c r="G28" s="42"/>
      <c r="H28" s="41"/>
      <c r="I28" s="43">
        <v>0.23899999999999999</v>
      </c>
      <c r="J28" s="41"/>
      <c r="K28" s="43">
        <v>2.9000000000000001E-2</v>
      </c>
      <c r="L28" s="43">
        <v>0.124</v>
      </c>
      <c r="M28" s="41"/>
      <c r="N28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16CA562-39BA-4047-A7DC-0CF711ECC997}">
          <x14:formula1>
            <xm:f>'List Sheet'!$A$2:$A$4</xm:f>
          </x14:formula1>
          <xm:sqref>O7:O24 C6:C24</xm:sqref>
        </x14:dataValidation>
        <x14:dataValidation type="list" allowBlank="1" showInputMessage="1" showErrorMessage="1" xr:uid="{D0A898BB-C9D1-0341-ADFE-D94C02A24316}">
          <x14:formula1>
            <xm:f>'List Sheet'!$B$2:$B$3</xm:f>
          </x14:formula1>
          <xm:sqref>B2:B24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7FEC-D629-8D42-B3DA-CAD59842360F}">
  <dimension ref="A1:O36"/>
  <sheetViews>
    <sheetView topLeftCell="A6" zoomScaleNormal="100" workbookViewId="0">
      <selection activeCell="G40" sqref="G40"/>
    </sheetView>
  </sheetViews>
  <sheetFormatPr defaultColWidth="10.6640625" defaultRowHeight="14.4" x14ac:dyDescent="0.3"/>
  <cols>
    <col min="1" max="1" width="28.77734375" customWidth="1"/>
    <col min="2" max="2" width="9.44140625" bestFit="1" customWidth="1"/>
    <col min="3" max="3" width="13.109375" bestFit="1" customWidth="1"/>
    <col min="4" max="4" width="11.109375" bestFit="1" customWidth="1"/>
    <col min="5" max="5" width="9.109375" bestFit="1" customWidth="1"/>
    <col min="6" max="6" width="12.77734375" bestFit="1" customWidth="1"/>
    <col min="7" max="7" width="15.44140625" bestFit="1" customWidth="1"/>
    <col min="8" max="8" width="13.77734375" bestFit="1" customWidth="1"/>
    <col min="9" max="9" width="10.33203125" bestFit="1" customWidth="1"/>
    <col min="10" max="10" width="13.109375" bestFit="1" customWidth="1"/>
    <col min="11" max="11" width="7" bestFit="1" customWidth="1"/>
    <col min="12" max="12" width="7.44140625" bestFit="1" customWidth="1"/>
    <col min="13" max="13" width="12.77734375" bestFit="1" customWidth="1"/>
    <col min="14" max="14" width="16.44140625" bestFit="1" customWidth="1"/>
    <col min="15" max="15" width="9.6640625" bestFit="1" customWidth="1"/>
  </cols>
  <sheetData>
    <row r="1" spans="1:15" x14ac:dyDescent="0.3">
      <c r="A1" s="7" t="s">
        <v>0</v>
      </c>
      <c r="B1" s="7" t="s">
        <v>1</v>
      </c>
      <c r="C1" s="7" t="s">
        <v>2</v>
      </c>
      <c r="D1" s="15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</row>
    <row r="2" spans="1:15" x14ac:dyDescent="0.3">
      <c r="A2" s="66" t="s">
        <v>34</v>
      </c>
      <c r="B2" s="67" t="s">
        <v>15</v>
      </c>
      <c r="C2" s="67" t="s">
        <v>30</v>
      </c>
      <c r="D2" s="68">
        <v>44931</v>
      </c>
      <c r="E2" s="69">
        <v>9491</v>
      </c>
      <c r="F2" s="70">
        <f t="shared" ref="F2:F31" si="0">(E2-G2)/E2</f>
        <v>0.98672426509324618</v>
      </c>
      <c r="G2" s="69">
        <v>126</v>
      </c>
      <c r="H2" s="69">
        <v>2942</v>
      </c>
      <c r="I2" s="70">
        <f t="shared" ref="I2:I31" si="1">H2/E2</f>
        <v>0.3099778737751554</v>
      </c>
      <c r="J2" s="69">
        <v>391</v>
      </c>
      <c r="K2" s="70">
        <f t="shared" ref="K2:K31" si="2">J2/E2</f>
        <v>4.1196923401116844E-2</v>
      </c>
      <c r="L2" s="70">
        <f t="shared" ref="L2:L31" si="3">J2/H2</f>
        <v>0.13290278721957852</v>
      </c>
      <c r="M2" s="69">
        <v>17</v>
      </c>
      <c r="N2" s="70">
        <f t="shared" ref="N2:N31" si="4">M2/E2</f>
        <v>1.7911705826572542E-3</v>
      </c>
      <c r="O2" s="67" t="s">
        <v>31</v>
      </c>
    </row>
    <row r="3" spans="1:15" x14ac:dyDescent="0.3">
      <c r="A3" s="66" t="s">
        <v>35</v>
      </c>
      <c r="B3" s="67" t="s">
        <v>15</v>
      </c>
      <c r="C3" s="67" t="s">
        <v>30</v>
      </c>
      <c r="D3" s="68">
        <v>44931</v>
      </c>
      <c r="E3" s="69">
        <v>85400</v>
      </c>
      <c r="F3" s="70">
        <f t="shared" si="0"/>
        <v>0.97702576112412176</v>
      </c>
      <c r="G3" s="69">
        <v>1962</v>
      </c>
      <c r="H3" s="69">
        <v>30869</v>
      </c>
      <c r="I3" s="70">
        <f t="shared" si="1"/>
        <v>0.36146370023419205</v>
      </c>
      <c r="J3" s="69">
        <v>3607</v>
      </c>
      <c r="K3" s="70">
        <f t="shared" si="2"/>
        <v>4.2236533957845435E-2</v>
      </c>
      <c r="L3" s="70">
        <f t="shared" si="3"/>
        <v>0.11684861835498396</v>
      </c>
      <c r="M3" s="69">
        <v>336</v>
      </c>
      <c r="N3" s="70">
        <f t="shared" si="4"/>
        <v>3.9344262295081967E-3</v>
      </c>
      <c r="O3" s="67" t="s">
        <v>31</v>
      </c>
    </row>
    <row r="4" spans="1:15" s="1" customFormat="1" x14ac:dyDescent="0.3">
      <c r="A4" s="76" t="s">
        <v>34</v>
      </c>
      <c r="B4" s="67" t="s">
        <v>15</v>
      </c>
      <c r="C4" s="67" t="s">
        <v>30</v>
      </c>
      <c r="D4" s="68">
        <v>44958</v>
      </c>
      <c r="E4" s="69">
        <v>9437</v>
      </c>
      <c r="F4" s="70">
        <f t="shared" si="0"/>
        <v>0.9866482992476423</v>
      </c>
      <c r="G4" s="69">
        <v>126</v>
      </c>
      <c r="H4" s="69">
        <v>2962</v>
      </c>
      <c r="I4" s="70">
        <f t="shared" si="1"/>
        <v>0.31387093355939388</v>
      </c>
      <c r="J4" s="69">
        <v>321</v>
      </c>
      <c r="K4" s="70">
        <f t="shared" si="2"/>
        <v>3.4015047154816153E-2</v>
      </c>
      <c r="L4" s="70">
        <f t="shared" si="3"/>
        <v>0.10837272113436867</v>
      </c>
      <c r="M4" s="69">
        <v>25</v>
      </c>
      <c r="N4" s="70">
        <f t="shared" si="4"/>
        <v>2.649146974674155E-3</v>
      </c>
      <c r="O4" s="67" t="s">
        <v>31</v>
      </c>
    </row>
    <row r="5" spans="1:15" s="1" customFormat="1" x14ac:dyDescent="0.3">
      <c r="A5" s="76" t="s">
        <v>35</v>
      </c>
      <c r="B5" s="67" t="s">
        <v>15</v>
      </c>
      <c r="C5" s="67" t="s">
        <v>30</v>
      </c>
      <c r="D5" s="68">
        <v>44958</v>
      </c>
      <c r="E5" s="69">
        <v>85387</v>
      </c>
      <c r="F5" s="70">
        <f t="shared" si="0"/>
        <v>0.97784206026678533</v>
      </c>
      <c r="G5" s="69">
        <v>1892</v>
      </c>
      <c r="H5" s="69">
        <v>32168</v>
      </c>
      <c r="I5" s="70">
        <f t="shared" si="1"/>
        <v>0.37673182100319719</v>
      </c>
      <c r="J5" s="69">
        <v>3462</v>
      </c>
      <c r="K5" s="70">
        <f t="shared" si="2"/>
        <v>4.0544813613313503E-2</v>
      </c>
      <c r="L5" s="70">
        <f t="shared" si="3"/>
        <v>0.10762248196965929</v>
      </c>
      <c r="M5" s="69">
        <v>337</v>
      </c>
      <c r="N5" s="70">
        <f t="shared" si="4"/>
        <v>3.9467366226708985E-3</v>
      </c>
      <c r="O5" s="67" t="s">
        <v>31</v>
      </c>
    </row>
    <row r="6" spans="1:15" s="1" customFormat="1" x14ac:dyDescent="0.3">
      <c r="A6" s="76" t="s">
        <v>113</v>
      </c>
      <c r="B6" s="67" t="s">
        <v>15</v>
      </c>
      <c r="C6" s="67" t="s">
        <v>30</v>
      </c>
      <c r="D6" s="68">
        <v>44961</v>
      </c>
      <c r="E6" s="69">
        <v>15076</v>
      </c>
      <c r="F6" s="70">
        <f t="shared" si="0"/>
        <v>0.9992040328999735</v>
      </c>
      <c r="G6" s="69">
        <v>12</v>
      </c>
      <c r="H6" s="69">
        <v>5056</v>
      </c>
      <c r="I6" s="70">
        <f t="shared" si="1"/>
        <v>0.33536747147784557</v>
      </c>
      <c r="J6" s="69">
        <v>763</v>
      </c>
      <c r="K6" s="70">
        <f t="shared" si="2"/>
        <v>5.0610241443353673E-2</v>
      </c>
      <c r="L6" s="70">
        <f t="shared" si="3"/>
        <v>0.15090981012658228</v>
      </c>
      <c r="M6" s="69">
        <v>4</v>
      </c>
      <c r="N6" s="70">
        <f t="shared" si="4"/>
        <v>2.6532236667551072E-4</v>
      </c>
      <c r="O6" s="67" t="s">
        <v>31</v>
      </c>
    </row>
    <row r="7" spans="1:15" s="1" customFormat="1" x14ac:dyDescent="0.3">
      <c r="A7" s="76" t="s">
        <v>114</v>
      </c>
      <c r="B7" s="67" t="s">
        <v>15</v>
      </c>
      <c r="C7" s="67" t="s">
        <v>30</v>
      </c>
      <c r="D7" s="68">
        <v>44961</v>
      </c>
      <c r="E7" s="69">
        <v>45726</v>
      </c>
      <c r="F7" s="70">
        <f t="shared" si="0"/>
        <v>0.99849101167825749</v>
      </c>
      <c r="G7" s="69">
        <v>69</v>
      </c>
      <c r="H7" s="69">
        <v>17175</v>
      </c>
      <c r="I7" s="70">
        <f t="shared" si="1"/>
        <v>0.37560687573809209</v>
      </c>
      <c r="J7" s="69">
        <v>2116</v>
      </c>
      <c r="K7" s="70">
        <f t="shared" si="2"/>
        <v>4.627564186677164E-2</v>
      </c>
      <c r="L7" s="70">
        <f t="shared" si="3"/>
        <v>0.12320232896652111</v>
      </c>
      <c r="M7" s="69">
        <v>19</v>
      </c>
      <c r="N7" s="70">
        <f t="shared" si="4"/>
        <v>4.1551852337838428E-4</v>
      </c>
      <c r="O7" s="67" t="s">
        <v>31</v>
      </c>
    </row>
    <row r="8" spans="1:15" s="1" customFormat="1" x14ac:dyDescent="0.3">
      <c r="A8" s="66" t="s">
        <v>197</v>
      </c>
      <c r="B8" s="67" t="s">
        <v>15</v>
      </c>
      <c r="C8" s="67" t="s">
        <v>30</v>
      </c>
      <c r="D8" s="68">
        <v>44982</v>
      </c>
      <c r="E8" s="69">
        <v>7896</v>
      </c>
      <c r="F8" s="70">
        <f t="shared" si="0"/>
        <v>0.99911347517730498</v>
      </c>
      <c r="G8" s="69">
        <v>7</v>
      </c>
      <c r="H8" s="69">
        <v>3940</v>
      </c>
      <c r="I8" s="70">
        <f t="shared" si="1"/>
        <v>0.49898682877406281</v>
      </c>
      <c r="J8" s="69">
        <v>634</v>
      </c>
      <c r="K8" s="70">
        <f t="shared" si="2"/>
        <v>8.0293819655521778E-2</v>
      </c>
      <c r="L8" s="70">
        <f t="shared" si="3"/>
        <v>0.16091370558375634</v>
      </c>
      <c r="M8" s="69">
        <v>6</v>
      </c>
      <c r="N8" s="70">
        <f t="shared" si="4"/>
        <v>7.5987841945288754E-4</v>
      </c>
      <c r="O8" s="67" t="s">
        <v>31</v>
      </c>
    </row>
    <row r="9" spans="1:15" s="1" customFormat="1" x14ac:dyDescent="0.3">
      <c r="A9" s="66" t="s">
        <v>34</v>
      </c>
      <c r="B9" s="67" t="s">
        <v>15</v>
      </c>
      <c r="C9" s="67" t="s">
        <v>30</v>
      </c>
      <c r="D9" s="68">
        <v>44986</v>
      </c>
      <c r="E9" s="69">
        <v>9414</v>
      </c>
      <c r="F9" s="70">
        <f t="shared" si="0"/>
        <v>0.98619077968982372</v>
      </c>
      <c r="G9" s="69">
        <v>130</v>
      </c>
      <c r="H9" s="69">
        <v>3118</v>
      </c>
      <c r="I9" s="70">
        <f t="shared" si="1"/>
        <v>0.33120883790099853</v>
      </c>
      <c r="J9" s="69">
        <v>369</v>
      </c>
      <c r="K9" s="70">
        <f t="shared" si="2"/>
        <v>3.9196940726577437E-2</v>
      </c>
      <c r="L9" s="70">
        <f t="shared" si="3"/>
        <v>0.11834509300833868</v>
      </c>
      <c r="M9" s="69">
        <v>43</v>
      </c>
      <c r="N9" s="70">
        <f t="shared" si="4"/>
        <v>4.5676651795198637E-3</v>
      </c>
      <c r="O9" s="67" t="s">
        <v>31</v>
      </c>
    </row>
    <row r="10" spans="1:15" s="1" customFormat="1" x14ac:dyDescent="0.3">
      <c r="A10" s="66" t="s">
        <v>35</v>
      </c>
      <c r="B10" s="67" t="s">
        <v>15</v>
      </c>
      <c r="C10" s="67" t="s">
        <v>30</v>
      </c>
      <c r="D10" s="68">
        <v>44986</v>
      </c>
      <c r="E10" s="69">
        <v>85274</v>
      </c>
      <c r="F10" s="70">
        <f t="shared" si="0"/>
        <v>0.97782442479536558</v>
      </c>
      <c r="G10" s="69">
        <v>1891</v>
      </c>
      <c r="H10" s="69">
        <v>35103</v>
      </c>
      <c r="I10" s="70">
        <f t="shared" si="1"/>
        <v>0.41164950629734737</v>
      </c>
      <c r="J10" s="69">
        <v>3536</v>
      </c>
      <c r="K10" s="70">
        <f t="shared" si="2"/>
        <v>4.1466332059009778E-2</v>
      </c>
      <c r="L10" s="70">
        <f t="shared" si="3"/>
        <v>0.10073213115688118</v>
      </c>
      <c r="M10" s="69">
        <v>325</v>
      </c>
      <c r="N10" s="70">
        <f t="shared" si="4"/>
        <v>3.811243755423693E-3</v>
      </c>
      <c r="O10" s="67" t="s">
        <v>31</v>
      </c>
    </row>
    <row r="11" spans="1:15" s="1" customFormat="1" x14ac:dyDescent="0.3">
      <c r="A11" s="66" t="s">
        <v>180</v>
      </c>
      <c r="B11" s="67" t="s">
        <v>15</v>
      </c>
      <c r="C11" s="67" t="s">
        <v>30</v>
      </c>
      <c r="D11" s="68">
        <v>44989</v>
      </c>
      <c r="E11" s="69">
        <v>5810</v>
      </c>
      <c r="F11" s="70">
        <f t="shared" si="0"/>
        <v>0.99931153184165233</v>
      </c>
      <c r="G11" s="69">
        <v>4</v>
      </c>
      <c r="H11" s="69">
        <v>3537</v>
      </c>
      <c r="I11" s="70">
        <f t="shared" si="1"/>
        <v>0.60877796901893289</v>
      </c>
      <c r="J11" s="69">
        <v>1356</v>
      </c>
      <c r="K11" s="70">
        <f t="shared" si="2"/>
        <v>0.23339070567986231</v>
      </c>
      <c r="L11" s="70">
        <f t="shared" si="3"/>
        <v>0.38337574215436809</v>
      </c>
      <c r="M11" s="69">
        <v>1</v>
      </c>
      <c r="N11" s="70">
        <f t="shared" si="4"/>
        <v>1.7211703958691912E-4</v>
      </c>
      <c r="O11" s="67" t="s">
        <v>31</v>
      </c>
    </row>
    <row r="12" spans="1:15" s="1" customFormat="1" x14ac:dyDescent="0.3">
      <c r="A12" s="76" t="s">
        <v>192</v>
      </c>
      <c r="B12" s="67" t="s">
        <v>15</v>
      </c>
      <c r="C12" s="67" t="s">
        <v>30</v>
      </c>
      <c r="D12" s="68">
        <v>44996</v>
      </c>
      <c r="E12" s="69">
        <v>160</v>
      </c>
      <c r="F12" s="70">
        <f t="shared" si="0"/>
        <v>1</v>
      </c>
      <c r="G12" s="69">
        <v>0</v>
      </c>
      <c r="H12" s="69">
        <v>63</v>
      </c>
      <c r="I12" s="70">
        <f t="shared" si="1"/>
        <v>0.39374999999999999</v>
      </c>
      <c r="J12" s="69">
        <v>16</v>
      </c>
      <c r="K12" s="70">
        <f t="shared" si="2"/>
        <v>0.1</v>
      </c>
      <c r="L12" s="70">
        <f t="shared" si="3"/>
        <v>0.25396825396825395</v>
      </c>
      <c r="M12" s="69">
        <v>0</v>
      </c>
      <c r="N12" s="70">
        <f t="shared" si="4"/>
        <v>0</v>
      </c>
      <c r="O12" s="67" t="s">
        <v>31</v>
      </c>
    </row>
    <row r="13" spans="1:15" s="1" customFormat="1" x14ac:dyDescent="0.3">
      <c r="A13" s="76" t="s">
        <v>193</v>
      </c>
      <c r="B13" s="67" t="s">
        <v>15</v>
      </c>
      <c r="C13" s="67" t="s">
        <v>30</v>
      </c>
      <c r="D13" s="68">
        <v>44996</v>
      </c>
      <c r="E13" s="69">
        <v>4319</v>
      </c>
      <c r="F13" s="70">
        <f t="shared" si="0"/>
        <v>0.99768464922435751</v>
      </c>
      <c r="G13" s="69">
        <v>10</v>
      </c>
      <c r="H13" s="69">
        <v>1969</v>
      </c>
      <c r="I13" s="70">
        <f t="shared" si="1"/>
        <v>0.45589256772401021</v>
      </c>
      <c r="J13" s="69">
        <v>538</v>
      </c>
      <c r="K13" s="70">
        <f t="shared" si="2"/>
        <v>0.12456587172956703</v>
      </c>
      <c r="L13" s="70">
        <f t="shared" si="3"/>
        <v>0.27323514474352462</v>
      </c>
      <c r="M13" s="69">
        <v>4</v>
      </c>
      <c r="N13" s="70">
        <f t="shared" si="4"/>
        <v>9.2614031025700389E-4</v>
      </c>
      <c r="O13" s="67" t="s">
        <v>31</v>
      </c>
    </row>
    <row r="14" spans="1:15" s="1" customFormat="1" x14ac:dyDescent="0.3">
      <c r="A14" s="76" t="s">
        <v>215</v>
      </c>
      <c r="B14" s="67" t="s">
        <v>15</v>
      </c>
      <c r="C14" s="67" t="s">
        <v>30</v>
      </c>
      <c r="D14" s="68">
        <v>45003</v>
      </c>
      <c r="E14" s="69">
        <v>18266</v>
      </c>
      <c r="F14" s="70">
        <f t="shared" si="0"/>
        <v>0.998905069528085</v>
      </c>
      <c r="G14" s="69">
        <v>20</v>
      </c>
      <c r="H14" s="69">
        <v>6480</v>
      </c>
      <c r="I14" s="70">
        <f t="shared" si="1"/>
        <v>0.35475747290047083</v>
      </c>
      <c r="J14" s="69">
        <v>1113</v>
      </c>
      <c r="K14" s="70">
        <f t="shared" si="2"/>
        <v>6.0932880762071609E-2</v>
      </c>
      <c r="L14" s="70">
        <f t="shared" si="3"/>
        <v>0.17175925925925925</v>
      </c>
      <c r="M14" s="69">
        <v>4</v>
      </c>
      <c r="N14" s="70">
        <f t="shared" si="4"/>
        <v>2.1898609438300668E-4</v>
      </c>
      <c r="O14" s="67" t="s">
        <v>31</v>
      </c>
    </row>
    <row r="15" spans="1:15" s="1" customFormat="1" x14ac:dyDescent="0.3">
      <c r="A15" s="76" t="s">
        <v>34</v>
      </c>
      <c r="B15" s="67" t="s">
        <v>15</v>
      </c>
      <c r="C15" s="67" t="s">
        <v>30</v>
      </c>
      <c r="D15" s="68">
        <v>45017</v>
      </c>
      <c r="E15" s="69">
        <v>9433</v>
      </c>
      <c r="F15" s="70">
        <f t="shared" si="0"/>
        <v>0.98272023746422132</v>
      </c>
      <c r="G15" s="69">
        <v>163</v>
      </c>
      <c r="H15" s="69">
        <v>3035</v>
      </c>
      <c r="I15" s="70">
        <f t="shared" si="1"/>
        <v>0.32174281776741226</v>
      </c>
      <c r="J15" s="69">
        <v>465</v>
      </c>
      <c r="K15" s="70">
        <f t="shared" si="2"/>
        <v>4.929502809286547E-2</v>
      </c>
      <c r="L15" s="70">
        <f t="shared" si="3"/>
        <v>0.15321252059308071</v>
      </c>
      <c r="M15" s="69">
        <v>25</v>
      </c>
      <c r="N15" s="70">
        <f t="shared" si="4"/>
        <v>2.6502703275734125E-3</v>
      </c>
      <c r="O15" s="67" t="s">
        <v>31</v>
      </c>
    </row>
    <row r="16" spans="1:15" s="1" customFormat="1" x14ac:dyDescent="0.3">
      <c r="A16" s="76" t="s">
        <v>35</v>
      </c>
      <c r="B16" s="67" t="s">
        <v>15</v>
      </c>
      <c r="C16" s="67" t="s">
        <v>30</v>
      </c>
      <c r="D16" s="68">
        <v>45017</v>
      </c>
      <c r="E16" s="69">
        <v>85280</v>
      </c>
      <c r="F16" s="70">
        <f t="shared" si="0"/>
        <v>0.97646575984990625</v>
      </c>
      <c r="G16" s="69">
        <v>2007</v>
      </c>
      <c r="H16" s="69">
        <v>33611</v>
      </c>
      <c r="I16" s="70">
        <f t="shared" si="1"/>
        <v>0.394125234521576</v>
      </c>
      <c r="J16" s="69">
        <v>3564</v>
      </c>
      <c r="K16" s="70">
        <f t="shared" si="2"/>
        <v>4.1791744840525329E-2</v>
      </c>
      <c r="L16" s="70">
        <f t="shared" si="3"/>
        <v>0.10603671417095593</v>
      </c>
      <c r="M16" s="69">
        <v>317</v>
      </c>
      <c r="N16" s="70">
        <f t="shared" si="4"/>
        <v>3.7171669793621014E-3</v>
      </c>
      <c r="O16" s="67" t="s">
        <v>31</v>
      </c>
    </row>
    <row r="17" spans="1:15" s="1" customFormat="1" x14ac:dyDescent="0.3">
      <c r="A17" s="76" t="s">
        <v>256</v>
      </c>
      <c r="B17" s="67" t="s">
        <v>15</v>
      </c>
      <c r="C17" s="67" t="s">
        <v>30</v>
      </c>
      <c r="D17" s="68">
        <v>45027</v>
      </c>
      <c r="E17" s="69">
        <v>73905</v>
      </c>
      <c r="F17" s="70">
        <f t="shared" si="0"/>
        <v>0.99548068466274275</v>
      </c>
      <c r="G17" s="69">
        <v>334</v>
      </c>
      <c r="H17" s="69">
        <v>32069</v>
      </c>
      <c r="I17" s="70">
        <f t="shared" si="1"/>
        <v>0.43392192679791625</v>
      </c>
      <c r="J17" s="69">
        <v>2423</v>
      </c>
      <c r="K17" s="70">
        <f t="shared" si="2"/>
        <v>3.2785332521480276E-2</v>
      </c>
      <c r="L17" s="70">
        <f t="shared" si="3"/>
        <v>7.5555832735663728E-2</v>
      </c>
      <c r="M17" s="69">
        <v>53</v>
      </c>
      <c r="N17" s="70">
        <f t="shared" si="4"/>
        <v>7.1713686489412079E-4</v>
      </c>
      <c r="O17" s="67" t="s">
        <v>31</v>
      </c>
    </row>
    <row r="18" spans="1:15" s="1" customFormat="1" x14ac:dyDescent="0.3">
      <c r="A18" s="76" t="s">
        <v>34</v>
      </c>
      <c r="B18" s="67" t="s">
        <v>15</v>
      </c>
      <c r="C18" s="67" t="s">
        <v>30</v>
      </c>
      <c r="D18" s="68">
        <v>45047</v>
      </c>
      <c r="E18" s="69">
        <v>9461</v>
      </c>
      <c r="F18" s="70">
        <f t="shared" si="0"/>
        <v>0.98182010358313077</v>
      </c>
      <c r="G18" s="69">
        <v>172</v>
      </c>
      <c r="H18" s="69">
        <v>3456</v>
      </c>
      <c r="I18" s="70">
        <f t="shared" si="1"/>
        <v>0.36528908149244266</v>
      </c>
      <c r="J18" s="69">
        <v>567</v>
      </c>
      <c r="K18" s="70">
        <f t="shared" si="2"/>
        <v>5.9930239932353871E-2</v>
      </c>
      <c r="L18" s="70">
        <f t="shared" si="3"/>
        <v>0.1640625</v>
      </c>
      <c r="M18" s="69">
        <v>29</v>
      </c>
      <c r="N18" s="70">
        <f t="shared" si="4"/>
        <v>3.0652150935419091E-3</v>
      </c>
      <c r="O18" s="67" t="s">
        <v>31</v>
      </c>
    </row>
    <row r="19" spans="1:15" s="1" customFormat="1" x14ac:dyDescent="0.3">
      <c r="A19" s="76" t="s">
        <v>35</v>
      </c>
      <c r="B19" s="67" t="s">
        <v>15</v>
      </c>
      <c r="C19" s="67" t="s">
        <v>30</v>
      </c>
      <c r="D19" s="68">
        <v>45047</v>
      </c>
      <c r="E19" s="69">
        <v>85261</v>
      </c>
      <c r="F19" s="70">
        <f t="shared" si="0"/>
        <v>0.97441972296829737</v>
      </c>
      <c r="G19" s="69">
        <v>2181</v>
      </c>
      <c r="H19" s="69">
        <v>37997</v>
      </c>
      <c r="I19" s="70">
        <f t="shared" si="1"/>
        <v>0.44565510608601822</v>
      </c>
      <c r="J19" s="69">
        <v>4302</v>
      </c>
      <c r="K19" s="70">
        <f t="shared" si="2"/>
        <v>5.0456832549465758E-2</v>
      </c>
      <c r="L19" s="70">
        <f t="shared" si="3"/>
        <v>0.11321946469458115</v>
      </c>
      <c r="M19" s="69">
        <v>357</v>
      </c>
      <c r="N19" s="70">
        <f t="shared" si="4"/>
        <v>4.1871430079403246E-3</v>
      </c>
      <c r="O19" s="67" t="s">
        <v>31</v>
      </c>
    </row>
    <row r="20" spans="1:15" s="1" customFormat="1" x14ac:dyDescent="0.3">
      <c r="A20" s="76" t="s">
        <v>301</v>
      </c>
      <c r="B20" s="67" t="s">
        <v>15</v>
      </c>
      <c r="C20" s="67" t="s">
        <v>30</v>
      </c>
      <c r="D20" s="68">
        <v>45048</v>
      </c>
      <c r="E20" s="69">
        <v>60488</v>
      </c>
      <c r="F20" s="70">
        <f t="shared" si="0"/>
        <v>0.99537098267424939</v>
      </c>
      <c r="G20" s="69">
        <v>280</v>
      </c>
      <c r="H20" s="69">
        <v>26778</v>
      </c>
      <c r="I20" s="70">
        <f t="shared" si="1"/>
        <v>0.44269937838910195</v>
      </c>
      <c r="J20" s="69">
        <v>1613</v>
      </c>
      <c r="K20" s="70">
        <f t="shared" si="2"/>
        <v>2.6666446237270203E-2</v>
      </c>
      <c r="L20" s="70">
        <f t="shared" si="3"/>
        <v>6.0236014638882666E-2</v>
      </c>
      <c r="M20" s="69">
        <v>46</v>
      </c>
      <c r="N20" s="70">
        <f t="shared" si="4"/>
        <v>7.6048141780187808E-4</v>
      </c>
      <c r="O20" s="67" t="s">
        <v>31</v>
      </c>
    </row>
    <row r="21" spans="1:15" s="1" customFormat="1" x14ac:dyDescent="0.3">
      <c r="A21" s="76" t="s">
        <v>304</v>
      </c>
      <c r="B21" s="67" t="s">
        <v>15</v>
      </c>
      <c r="C21" s="67" t="s">
        <v>30</v>
      </c>
      <c r="D21" s="68">
        <v>45049</v>
      </c>
      <c r="E21" s="69">
        <v>32024</v>
      </c>
      <c r="F21" s="70">
        <f t="shared" si="0"/>
        <v>0.99313015238571067</v>
      </c>
      <c r="G21" s="69">
        <v>220</v>
      </c>
      <c r="H21" s="69">
        <v>13089</v>
      </c>
      <c r="I21" s="70">
        <f t="shared" si="1"/>
        <v>0.40872470647014741</v>
      </c>
      <c r="J21" s="69">
        <v>2663</v>
      </c>
      <c r="K21" s="70">
        <f t="shared" si="2"/>
        <v>8.3156382712965271E-2</v>
      </c>
      <c r="L21" s="70">
        <f t="shared" si="3"/>
        <v>0.20345328138131255</v>
      </c>
      <c r="M21" s="69">
        <v>27</v>
      </c>
      <c r="N21" s="70">
        <f t="shared" si="4"/>
        <v>8.4311766175368473E-4</v>
      </c>
      <c r="O21" s="67" t="s">
        <v>31</v>
      </c>
    </row>
    <row r="22" spans="1:15" s="1" customFormat="1" x14ac:dyDescent="0.3">
      <c r="A22" s="76" t="s">
        <v>324</v>
      </c>
      <c r="B22" s="67" t="s">
        <v>15</v>
      </c>
      <c r="C22" s="67" t="s">
        <v>30</v>
      </c>
      <c r="D22" s="68">
        <v>45059</v>
      </c>
      <c r="E22" s="69">
        <v>26950</v>
      </c>
      <c r="F22" s="70">
        <f t="shared" si="0"/>
        <v>0.99491651205936915</v>
      </c>
      <c r="G22" s="69">
        <v>137</v>
      </c>
      <c r="H22" s="69">
        <v>12181</v>
      </c>
      <c r="I22" s="70">
        <f t="shared" si="1"/>
        <v>0.45198515769944342</v>
      </c>
      <c r="J22" s="69">
        <v>1462</v>
      </c>
      <c r="K22" s="70">
        <f t="shared" si="2"/>
        <v>5.4248608534322819E-2</v>
      </c>
      <c r="L22" s="70">
        <f t="shared" si="3"/>
        <v>0.12002298661850423</v>
      </c>
      <c r="M22" s="69">
        <v>11</v>
      </c>
      <c r="N22" s="70">
        <f t="shared" si="4"/>
        <v>4.0816326530612246E-4</v>
      </c>
      <c r="O22" s="67" t="s">
        <v>31</v>
      </c>
    </row>
    <row r="23" spans="1:15" s="1" customFormat="1" x14ac:dyDescent="0.3">
      <c r="A23" s="76" t="s">
        <v>341</v>
      </c>
      <c r="B23" s="67" t="s">
        <v>15</v>
      </c>
      <c r="C23" s="67" t="s">
        <v>30</v>
      </c>
      <c r="D23" s="68">
        <v>45066</v>
      </c>
      <c r="E23" s="69">
        <v>19839</v>
      </c>
      <c r="F23" s="70">
        <f t="shared" si="0"/>
        <v>0.99616916175210446</v>
      </c>
      <c r="G23" s="69">
        <v>76</v>
      </c>
      <c r="H23" s="69">
        <v>8789</v>
      </c>
      <c r="I23" s="70">
        <f t="shared" si="1"/>
        <v>0.44301628106255353</v>
      </c>
      <c r="J23" s="69">
        <v>1247</v>
      </c>
      <c r="K23" s="70">
        <f t="shared" si="2"/>
        <v>6.2855990725338984E-2</v>
      </c>
      <c r="L23" s="70">
        <f t="shared" si="3"/>
        <v>0.141881897826829</v>
      </c>
      <c r="M23" s="69">
        <v>21</v>
      </c>
      <c r="N23" s="70">
        <f t="shared" si="4"/>
        <v>1.0585210948132466E-3</v>
      </c>
      <c r="O23" s="67" t="s">
        <v>31</v>
      </c>
    </row>
    <row r="24" spans="1:15" s="1" customFormat="1" x14ac:dyDescent="0.3">
      <c r="A24" s="76" t="s">
        <v>342</v>
      </c>
      <c r="B24" s="67" t="s">
        <v>15</v>
      </c>
      <c r="C24" s="67" t="s">
        <v>30</v>
      </c>
      <c r="D24" s="68">
        <v>45066</v>
      </c>
      <c r="E24" s="69">
        <v>6687</v>
      </c>
      <c r="F24" s="70">
        <f t="shared" si="0"/>
        <v>0.99581277104830268</v>
      </c>
      <c r="G24" s="69">
        <v>28</v>
      </c>
      <c r="H24" s="69">
        <v>2412</v>
      </c>
      <c r="I24" s="70">
        <f t="shared" si="1"/>
        <v>0.36069986541049798</v>
      </c>
      <c r="J24" s="69">
        <v>502</v>
      </c>
      <c r="K24" s="70">
        <f t="shared" si="2"/>
        <v>7.5071033348287727E-2</v>
      </c>
      <c r="L24" s="70">
        <f t="shared" si="3"/>
        <v>0.20812603648424544</v>
      </c>
      <c r="M24" s="69">
        <v>4</v>
      </c>
      <c r="N24" s="70">
        <f t="shared" si="4"/>
        <v>5.98175564528189E-4</v>
      </c>
      <c r="O24" s="67" t="s">
        <v>31</v>
      </c>
    </row>
    <row r="25" spans="1:15" s="1" customFormat="1" x14ac:dyDescent="0.3">
      <c r="A25" s="76" t="s">
        <v>35</v>
      </c>
      <c r="B25" s="67" t="s">
        <v>15</v>
      </c>
      <c r="C25" s="67" t="s">
        <v>30</v>
      </c>
      <c r="D25" s="68">
        <v>45078</v>
      </c>
      <c r="E25" s="88">
        <v>85165</v>
      </c>
      <c r="F25" s="70">
        <f t="shared" si="0"/>
        <v>0.97362766394645683</v>
      </c>
      <c r="G25" s="88">
        <v>2246</v>
      </c>
      <c r="H25" s="88">
        <v>36569</v>
      </c>
      <c r="I25" s="70">
        <f t="shared" si="1"/>
        <v>0.42939000763224328</v>
      </c>
      <c r="J25" s="69">
        <v>3507</v>
      </c>
      <c r="K25" s="70">
        <f t="shared" si="2"/>
        <v>4.1178888040861859E-2</v>
      </c>
      <c r="L25" s="70">
        <f t="shared" si="3"/>
        <v>9.5900899669118647E-2</v>
      </c>
      <c r="M25" s="69">
        <v>300</v>
      </c>
      <c r="N25" s="70">
        <f t="shared" si="4"/>
        <v>3.5225738272764632E-3</v>
      </c>
      <c r="O25" s="67" t="s">
        <v>31</v>
      </c>
    </row>
    <row r="26" spans="1:15" s="1" customFormat="1" x14ac:dyDescent="0.3">
      <c r="A26" s="76" t="s">
        <v>34</v>
      </c>
      <c r="B26" s="67" t="s">
        <v>15</v>
      </c>
      <c r="C26" s="67" t="s">
        <v>30</v>
      </c>
      <c r="D26" s="68">
        <v>45078</v>
      </c>
      <c r="E26" s="88">
        <v>9428</v>
      </c>
      <c r="F26" s="70">
        <f t="shared" si="0"/>
        <v>0.98016546457361053</v>
      </c>
      <c r="G26" s="88">
        <v>187</v>
      </c>
      <c r="H26" s="88">
        <v>3260</v>
      </c>
      <c r="I26" s="70">
        <f t="shared" si="1"/>
        <v>0.3457785320322444</v>
      </c>
      <c r="J26" s="69">
        <v>431</v>
      </c>
      <c r="K26" s="70">
        <f t="shared" si="2"/>
        <v>4.5714891811624948E-2</v>
      </c>
      <c r="L26" s="70">
        <f t="shared" si="3"/>
        <v>0.1322085889570552</v>
      </c>
      <c r="M26" s="69">
        <v>23</v>
      </c>
      <c r="N26" s="70">
        <f t="shared" si="4"/>
        <v>2.43954179041154E-3</v>
      </c>
      <c r="O26" s="67" t="s">
        <v>31</v>
      </c>
    </row>
    <row r="27" spans="1:15" s="1" customFormat="1" x14ac:dyDescent="0.3">
      <c r="A27" s="76" t="s">
        <v>372</v>
      </c>
      <c r="B27" s="67" t="s">
        <v>15</v>
      </c>
      <c r="C27" s="67" t="s">
        <v>30</v>
      </c>
      <c r="D27" s="68">
        <v>45084</v>
      </c>
      <c r="E27" s="69">
        <v>5243</v>
      </c>
      <c r="F27" s="70">
        <f t="shared" si="0"/>
        <v>0.99713904253290098</v>
      </c>
      <c r="G27" s="67">
        <v>15</v>
      </c>
      <c r="H27" s="69">
        <v>3042</v>
      </c>
      <c r="I27" s="70">
        <f t="shared" si="1"/>
        <v>0.58020217432767496</v>
      </c>
      <c r="J27" s="69">
        <v>732</v>
      </c>
      <c r="K27" s="70">
        <f t="shared" si="2"/>
        <v>0.13961472439443068</v>
      </c>
      <c r="L27" s="70">
        <f t="shared" si="3"/>
        <v>0.24063116370808679</v>
      </c>
      <c r="M27" s="69">
        <v>2</v>
      </c>
      <c r="N27" s="70">
        <f t="shared" si="4"/>
        <v>3.8146099561319857E-4</v>
      </c>
      <c r="O27" s="67" t="s">
        <v>31</v>
      </c>
    </row>
    <row r="28" spans="1:15" s="1" customFormat="1" x14ac:dyDescent="0.3">
      <c r="A28" s="76" t="s">
        <v>371</v>
      </c>
      <c r="B28" s="67" t="s">
        <v>15</v>
      </c>
      <c r="C28" s="67" t="s">
        <v>30</v>
      </c>
      <c r="D28" s="68">
        <v>45087</v>
      </c>
      <c r="E28" s="69">
        <v>64687</v>
      </c>
      <c r="F28" s="70">
        <f t="shared" si="0"/>
        <v>0.99693910677570452</v>
      </c>
      <c r="G28" s="67">
        <v>198</v>
      </c>
      <c r="H28" s="69">
        <v>31224</v>
      </c>
      <c r="I28" s="70">
        <f t="shared" si="1"/>
        <v>0.48269358603738</v>
      </c>
      <c r="J28" s="69">
        <v>4097</v>
      </c>
      <c r="K28" s="70">
        <f t="shared" si="2"/>
        <v>6.3335755252214507E-2</v>
      </c>
      <c r="L28" s="70">
        <f t="shared" si="3"/>
        <v>0.13121316935690494</v>
      </c>
      <c r="M28" s="69">
        <v>41</v>
      </c>
      <c r="N28" s="70">
        <f t="shared" si="4"/>
        <v>6.3382132422279598E-4</v>
      </c>
      <c r="O28" s="67" t="s">
        <v>31</v>
      </c>
    </row>
    <row r="29" spans="1:15" s="1" customFormat="1" x14ac:dyDescent="0.3">
      <c r="A29" s="95" t="s">
        <v>674</v>
      </c>
      <c r="B29" s="58" t="s">
        <v>15</v>
      </c>
      <c r="C29" s="58" t="s">
        <v>30</v>
      </c>
      <c r="D29" s="83">
        <v>45098</v>
      </c>
      <c r="E29" s="59">
        <v>22194</v>
      </c>
      <c r="F29" s="60">
        <f t="shared" si="0"/>
        <v>0.99729656663963229</v>
      </c>
      <c r="G29" s="58">
        <v>60</v>
      </c>
      <c r="H29" s="59">
        <v>10093</v>
      </c>
      <c r="I29" s="60">
        <f t="shared" si="1"/>
        <v>0.45476254843651437</v>
      </c>
      <c r="J29" s="59">
        <v>1326</v>
      </c>
      <c r="K29" s="60">
        <f t="shared" si="2"/>
        <v>5.974587726412544E-2</v>
      </c>
      <c r="L29" s="60">
        <f t="shared" si="3"/>
        <v>0.13137818289903894</v>
      </c>
      <c r="M29" s="59">
        <v>20</v>
      </c>
      <c r="N29" s="60">
        <f t="shared" si="4"/>
        <v>9.0114445345588893E-4</v>
      </c>
      <c r="O29" s="58" t="s">
        <v>31</v>
      </c>
    </row>
    <row r="30" spans="1:15" s="1" customFormat="1" x14ac:dyDescent="0.3">
      <c r="A30" s="95" t="s">
        <v>675</v>
      </c>
      <c r="B30" s="58" t="s">
        <v>15</v>
      </c>
      <c r="C30" s="58" t="s">
        <v>30</v>
      </c>
      <c r="D30" s="83">
        <v>45098</v>
      </c>
      <c r="E30" s="59">
        <v>6472</v>
      </c>
      <c r="F30" s="60">
        <f t="shared" si="0"/>
        <v>0.9984548825710754</v>
      </c>
      <c r="G30" s="58">
        <v>10</v>
      </c>
      <c r="H30" s="59">
        <v>2389</v>
      </c>
      <c r="I30" s="60">
        <f t="shared" si="1"/>
        <v>0.36912855377008652</v>
      </c>
      <c r="J30" s="59">
        <v>432</v>
      </c>
      <c r="K30" s="60">
        <f t="shared" si="2"/>
        <v>6.6749072929542644E-2</v>
      </c>
      <c r="L30" s="60">
        <f t="shared" si="3"/>
        <v>0.18082879866052742</v>
      </c>
      <c r="M30" s="59">
        <v>5</v>
      </c>
      <c r="N30" s="60">
        <f t="shared" si="4"/>
        <v>7.7255871446229912E-4</v>
      </c>
      <c r="O30" s="58" t="s">
        <v>31</v>
      </c>
    </row>
    <row r="31" spans="1:15" s="1" customFormat="1" x14ac:dyDescent="0.3">
      <c r="A31" s="95" t="s">
        <v>680</v>
      </c>
      <c r="B31" s="58" t="s">
        <v>15</v>
      </c>
      <c r="C31" s="58" t="s">
        <v>30</v>
      </c>
      <c r="D31" s="83">
        <v>45101</v>
      </c>
      <c r="E31" s="59">
        <v>20681</v>
      </c>
      <c r="F31" s="60">
        <f t="shared" si="0"/>
        <v>0.99734055413181177</v>
      </c>
      <c r="G31" s="58">
        <v>55</v>
      </c>
      <c r="H31" s="59">
        <v>9552</v>
      </c>
      <c r="I31" s="60">
        <f t="shared" si="1"/>
        <v>0.46187321696242928</v>
      </c>
      <c r="J31" s="59">
        <v>1704</v>
      </c>
      <c r="K31" s="60">
        <f t="shared" si="2"/>
        <v>8.2394468352594175E-2</v>
      </c>
      <c r="L31" s="60">
        <f t="shared" si="3"/>
        <v>0.17839195979899497</v>
      </c>
      <c r="M31" s="59">
        <v>17</v>
      </c>
      <c r="N31" s="60">
        <f t="shared" si="4"/>
        <v>8.2201054107635025E-4</v>
      </c>
      <c r="O31" s="58" t="s">
        <v>31</v>
      </c>
    </row>
    <row r="32" spans="1:15" x14ac:dyDescent="0.3">
      <c r="I32" s="24"/>
      <c r="K32" s="24"/>
      <c r="L32" s="24"/>
      <c r="N32" s="24"/>
    </row>
    <row r="33" spans="1:14" x14ac:dyDescent="0.3">
      <c r="A33" s="33" t="s">
        <v>57</v>
      </c>
      <c r="B33" s="35"/>
      <c r="C33" s="35"/>
      <c r="D33" s="30"/>
      <c r="E33" s="31">
        <f>SUM(E2:E31)</f>
        <v>1004854</v>
      </c>
      <c r="F33" s="32">
        <f>(E33-G33)/E33</f>
        <v>0.98545261301641829</v>
      </c>
      <c r="G33" s="31">
        <f>SUM(G2:G31)</f>
        <v>14618</v>
      </c>
      <c r="H33" s="31">
        <f>SUM(H2:H31)</f>
        <v>414928</v>
      </c>
      <c r="I33" s="32">
        <f>H33/E33</f>
        <v>0.41292366851303769</v>
      </c>
      <c r="J33" s="31">
        <f>SUM(J2:J31)</f>
        <v>49259</v>
      </c>
      <c r="K33" s="32">
        <f>J33/E33</f>
        <v>4.9021051814492456E-2</v>
      </c>
      <c r="L33" s="32">
        <f>J33/H33</f>
        <v>0.11871698222342189</v>
      </c>
      <c r="M33" s="31">
        <f>SUM(M2:M31)</f>
        <v>2419</v>
      </c>
      <c r="N33" s="32">
        <f>M33/E33</f>
        <v>2.4073148935069176E-3</v>
      </c>
    </row>
    <row r="36" spans="1:14" x14ac:dyDescent="0.3">
      <c r="A36" s="36" t="s">
        <v>41</v>
      </c>
      <c r="B36" s="37"/>
      <c r="C36" s="38"/>
      <c r="D36" s="39"/>
      <c r="E36" s="40"/>
      <c r="F36" s="41"/>
      <c r="G36" s="42"/>
      <c r="H36" s="41"/>
      <c r="I36" s="43">
        <v>0.23899999999999999</v>
      </c>
      <c r="J36" s="41"/>
      <c r="K36" s="43">
        <v>2.9000000000000001E-2</v>
      </c>
      <c r="L36" s="43">
        <v>0.124</v>
      </c>
      <c r="M36" s="41"/>
      <c r="N36" s="43">
        <v>1E-3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A73E523-7763-8D40-B15D-D33D2830E6BE}">
          <x14:formula1>
            <xm:f>'List Sheet'!$A$2:$A$4</xm:f>
          </x14:formula1>
          <xm:sqref>C8:C11 C27:C31</xm:sqref>
        </x14:dataValidation>
        <x14:dataValidation type="list" allowBlank="1" showInputMessage="1" showErrorMessage="1" xr:uid="{CEA2B75C-621B-3149-8B97-86F0D9629867}">
          <x14:formula1>
            <xm:f>'List Sheet'!$B$2:$B$3</xm:f>
          </x14:formula1>
          <xm:sqref>B4:B31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0521-FAD6-9D47-A959-D8F3B42C9DA7}">
  <dimension ref="B1:AC210"/>
  <sheetViews>
    <sheetView zoomScaleNormal="100" workbookViewId="0">
      <selection activeCell="H18" sqref="H18"/>
    </sheetView>
  </sheetViews>
  <sheetFormatPr defaultColWidth="8.77734375" defaultRowHeight="18" customHeight="1" x14ac:dyDescent="0.3"/>
  <cols>
    <col min="2" max="2" width="8.33203125" bestFit="1" customWidth="1"/>
    <col min="3" max="3" width="13.109375" bestFit="1" customWidth="1"/>
    <col min="4" max="4" width="27.6640625" style="21" bestFit="1" customWidth="1"/>
    <col min="5" max="5" width="28.6640625" style="21" bestFit="1" customWidth="1"/>
    <col min="6" max="6" width="13.6640625" style="109" bestFit="1" customWidth="1"/>
    <col min="7" max="7" width="16" bestFit="1" customWidth="1"/>
    <col min="8" max="9" width="8.6640625" bestFit="1" customWidth="1"/>
    <col min="10" max="10" width="17.6640625" bestFit="1" customWidth="1"/>
    <col min="11" max="11" width="34.44140625" bestFit="1" customWidth="1"/>
    <col min="12" max="12" width="71.33203125" bestFit="1" customWidth="1"/>
    <col min="13" max="13" width="26.6640625" style="110" bestFit="1" customWidth="1"/>
    <col min="14" max="14" width="14" bestFit="1" customWidth="1"/>
    <col min="15" max="15" width="15.44140625" bestFit="1" customWidth="1"/>
    <col min="16" max="16" width="15.6640625" customWidth="1"/>
    <col min="17" max="17" width="26.33203125" customWidth="1"/>
    <col min="18" max="18" width="13.109375" bestFit="1" customWidth="1"/>
    <col min="19" max="19" width="13.109375" customWidth="1"/>
  </cols>
  <sheetData>
    <row r="1" spans="2:29" ht="14.4" x14ac:dyDescent="0.3"/>
    <row r="2" spans="2:29" ht="14.4" x14ac:dyDescent="0.3">
      <c r="B2" s="128" t="s">
        <v>375</v>
      </c>
      <c r="C2" s="128"/>
      <c r="D2" s="128"/>
      <c r="E2" s="128"/>
      <c r="F2" s="128"/>
      <c r="G2" s="128"/>
      <c r="J2" s="129" t="s">
        <v>376</v>
      </c>
      <c r="K2" s="129"/>
      <c r="L2" s="129"/>
      <c r="M2" s="129"/>
      <c r="N2" s="129"/>
      <c r="O2" s="129"/>
      <c r="P2" s="129"/>
      <c r="Q2" s="129"/>
    </row>
    <row r="3" spans="2:29" ht="14.4" x14ac:dyDescent="0.3">
      <c r="B3" s="111"/>
      <c r="C3" s="111"/>
      <c r="D3" s="130" t="s">
        <v>377</v>
      </c>
      <c r="E3" s="130"/>
      <c r="F3" s="111"/>
      <c r="G3" s="111"/>
      <c r="J3" s="112"/>
      <c r="K3" s="112"/>
      <c r="L3" s="112"/>
      <c r="M3" s="113"/>
      <c r="N3" s="112"/>
      <c r="O3" s="112"/>
      <c r="P3" s="112"/>
      <c r="Q3" s="112" t="s">
        <v>378</v>
      </c>
    </row>
    <row r="4" spans="2:29" ht="28.8" x14ac:dyDescent="0.3">
      <c r="B4" s="1" t="s">
        <v>40</v>
      </c>
      <c r="C4" s="1" t="s">
        <v>379</v>
      </c>
      <c r="D4" s="114" t="s">
        <v>380</v>
      </c>
      <c r="E4" s="115" t="s">
        <v>381</v>
      </c>
      <c r="F4" s="116" t="s">
        <v>382</v>
      </c>
      <c r="G4" s="1" t="s">
        <v>383</v>
      </c>
      <c r="J4" s="26" t="s">
        <v>2</v>
      </c>
      <c r="K4" s="26" t="s">
        <v>0</v>
      </c>
      <c r="L4" s="26" t="s">
        <v>384</v>
      </c>
      <c r="M4" s="117" t="s">
        <v>385</v>
      </c>
      <c r="N4" s="23" t="s">
        <v>386</v>
      </c>
      <c r="O4" s="23" t="s">
        <v>387</v>
      </c>
      <c r="P4" s="118" t="s">
        <v>388</v>
      </c>
      <c r="Q4" s="22" t="s">
        <v>389</v>
      </c>
      <c r="R4" t="s">
        <v>390</v>
      </c>
      <c r="T4" s="131" t="s">
        <v>391</v>
      </c>
      <c r="U4" s="131"/>
      <c r="V4" s="131"/>
      <c r="W4" s="131"/>
      <c r="X4" s="131"/>
      <c r="Y4" s="131"/>
      <c r="Z4" s="131"/>
      <c r="AA4" s="131"/>
      <c r="AB4" s="131"/>
      <c r="AC4" s="131"/>
    </row>
    <row r="5" spans="2:29" ht="17.399999999999999" x14ac:dyDescent="0.3">
      <c r="B5" s="1" t="s">
        <v>392</v>
      </c>
      <c r="C5" s="119">
        <v>44928</v>
      </c>
      <c r="D5" s="114">
        <v>29056.57</v>
      </c>
      <c r="E5" s="114">
        <v>1805.62</v>
      </c>
      <c r="F5" s="120">
        <f t="shared" ref="F5:F36" si="0">D5+E5</f>
        <v>30862.19</v>
      </c>
      <c r="G5" s="2">
        <v>5901273</v>
      </c>
      <c r="J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5" s="65" t="str">
        <f>_xlfn.TEXTAFTER(Table2[[#This Row],[SFMC Name]],"_",4)</f>
        <v>PDMPromoGamingOffer</v>
      </c>
      <c r="L5" s="65" t="s">
        <v>393</v>
      </c>
      <c r="M5" s="119">
        <v>44928</v>
      </c>
      <c r="N5" s="2">
        <v>3103</v>
      </c>
      <c r="O5" s="2">
        <v>0</v>
      </c>
      <c r="P5" s="118">
        <v>0</v>
      </c>
      <c r="Q5" s="6">
        <f>Table2[[#This Row],[Orders]]/Table2[[#This Row],[Visits]]</f>
        <v>0</v>
      </c>
      <c r="T5" s="132" t="s">
        <v>394</v>
      </c>
      <c r="U5" s="133"/>
      <c r="V5" s="133"/>
      <c r="W5" s="133"/>
      <c r="X5" s="133"/>
      <c r="Y5" s="133"/>
      <c r="Z5" s="133"/>
      <c r="AA5" s="133"/>
      <c r="AB5" s="133"/>
      <c r="AC5" s="134"/>
    </row>
    <row r="6" spans="2:29" ht="17.399999999999999" x14ac:dyDescent="0.3">
      <c r="B6" s="1" t="s">
        <v>395</v>
      </c>
      <c r="C6" s="119">
        <v>44935</v>
      </c>
      <c r="D6" s="114">
        <v>25983.8</v>
      </c>
      <c r="E6" s="114">
        <v>1506.02</v>
      </c>
      <c r="F6" s="120">
        <f t="shared" si="0"/>
        <v>27489.82</v>
      </c>
      <c r="G6" s="2">
        <v>10498117</v>
      </c>
      <c r="J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" s="65" t="str">
        <f>_xlfn.TEXTAFTER(Table2[[#This Row],[SFMC Name]],"_",4)</f>
        <v>TuesdayDeals</v>
      </c>
      <c r="L6" s="65" t="s">
        <v>396</v>
      </c>
      <c r="M6" s="119">
        <v>44929</v>
      </c>
      <c r="N6" s="2">
        <v>3825</v>
      </c>
      <c r="O6" s="2">
        <v>87</v>
      </c>
      <c r="P6" s="118">
        <v>2434.5300000000002</v>
      </c>
      <c r="Q6" s="6">
        <f>Table2[[#This Row],[Orders]]/Table2[[#This Row],[Visits]]</f>
        <v>2.2745098039215685E-2</v>
      </c>
      <c r="T6" s="135" t="s">
        <v>397</v>
      </c>
      <c r="U6" s="136"/>
      <c r="V6" s="136"/>
      <c r="W6" s="136"/>
      <c r="X6" s="136"/>
      <c r="Y6" s="136"/>
      <c r="Z6" s="136"/>
      <c r="AA6" s="136"/>
      <c r="AB6" s="136"/>
      <c r="AC6" s="137"/>
    </row>
    <row r="7" spans="2:29" ht="17.399999999999999" x14ac:dyDescent="0.3">
      <c r="B7" s="1" t="s">
        <v>398</v>
      </c>
      <c r="C7" s="119">
        <v>44942</v>
      </c>
      <c r="D7" s="114">
        <v>143839.67000000001</v>
      </c>
      <c r="E7" s="114">
        <v>1060.68</v>
      </c>
      <c r="F7" s="120">
        <f t="shared" si="0"/>
        <v>144900.35</v>
      </c>
      <c r="G7" s="2">
        <v>14749691</v>
      </c>
      <c r="J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" s="65" t="str">
        <f>_xlfn.TEXTAFTER(Table2[[#This Row],[SFMC Name]],"_",4)</f>
        <v>EdmontonClosure</v>
      </c>
      <c r="L7" s="65" t="s">
        <v>399</v>
      </c>
      <c r="M7" s="119">
        <v>44932</v>
      </c>
      <c r="N7" s="2">
        <v>41</v>
      </c>
      <c r="O7" s="2">
        <v>0</v>
      </c>
      <c r="P7" s="118">
        <v>0</v>
      </c>
      <c r="Q7" s="6">
        <f>Table2[[#This Row],[Orders]]/Table2[[#This Row],[Visits]]</f>
        <v>0</v>
      </c>
      <c r="T7" s="125" t="s">
        <v>400</v>
      </c>
      <c r="U7" s="126"/>
      <c r="V7" s="126"/>
      <c r="W7" s="126"/>
      <c r="X7" s="126"/>
      <c r="Y7" s="126"/>
      <c r="Z7" s="126"/>
      <c r="AA7" s="126"/>
      <c r="AB7" s="126"/>
      <c r="AC7" s="127"/>
    </row>
    <row r="8" spans="2:29" ht="17.399999999999999" x14ac:dyDescent="0.3">
      <c r="B8" s="1" t="s">
        <v>401</v>
      </c>
      <c r="C8" s="119">
        <v>44949</v>
      </c>
      <c r="D8" s="114">
        <v>32805.300000000003</v>
      </c>
      <c r="E8" s="114">
        <v>1618.75</v>
      </c>
      <c r="F8" s="120">
        <f t="shared" si="0"/>
        <v>34424.050000000003</v>
      </c>
      <c r="G8" s="2">
        <v>11960843</v>
      </c>
      <c r="J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8" s="65" t="str">
        <f>_xlfn.TEXTAFTER(Table2[[#This Row],[SFMC Name]],"_",4)</f>
        <v>StoreNewsletterEN</v>
      </c>
      <c r="L8" s="65" t="s">
        <v>402</v>
      </c>
      <c r="M8" s="119">
        <v>44932</v>
      </c>
      <c r="N8" s="2">
        <v>5823</v>
      </c>
      <c r="O8" s="2">
        <v>103</v>
      </c>
      <c r="P8" s="118">
        <v>1577</v>
      </c>
      <c r="Q8" s="6">
        <f>Table2[[#This Row],[Orders]]/Table2[[#This Row],[Visits]]</f>
        <v>1.7688476730207795E-2</v>
      </c>
    </row>
    <row r="9" spans="2:29" ht="17.399999999999999" x14ac:dyDescent="0.3">
      <c r="B9" s="1" t="s">
        <v>403</v>
      </c>
      <c r="C9" s="119">
        <v>44956</v>
      </c>
      <c r="D9" s="114">
        <v>23739.77</v>
      </c>
      <c r="E9" s="114">
        <v>947.84</v>
      </c>
      <c r="F9" s="120">
        <f t="shared" si="0"/>
        <v>24687.61</v>
      </c>
      <c r="G9" s="2">
        <v>11983400</v>
      </c>
      <c r="J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" s="65" t="str">
        <f>_xlfn.TEXTAFTER(Table2[[#This Row],[SFMC Name]],"_",4)</f>
        <v>CatalogueTitles</v>
      </c>
      <c r="L9" s="65" t="s">
        <v>404</v>
      </c>
      <c r="M9" s="119">
        <v>44932</v>
      </c>
      <c r="N9" s="2">
        <v>28484</v>
      </c>
      <c r="O9" s="2">
        <v>369</v>
      </c>
      <c r="P9" s="118">
        <v>13190</v>
      </c>
      <c r="Q9" s="6">
        <f>Table2[[#This Row],[Orders]]/Table2[[#This Row],[Visits]]</f>
        <v>1.295464120207836E-2</v>
      </c>
    </row>
    <row r="10" spans="2:29" ht="17.399999999999999" x14ac:dyDescent="0.3">
      <c r="B10" s="1" t="s">
        <v>405</v>
      </c>
      <c r="C10" s="119">
        <v>44963</v>
      </c>
      <c r="D10" s="114">
        <v>31597.22</v>
      </c>
      <c r="E10" s="114">
        <v>1096.95</v>
      </c>
      <c r="F10" s="120">
        <f t="shared" si="0"/>
        <v>32694.170000000002</v>
      </c>
      <c r="G10" s="2">
        <v>16809857</v>
      </c>
      <c r="J1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0" s="65" t="str">
        <f>_xlfn.TEXTAFTER(Table2[[#This Row],[SFMC Name]],"_",4)</f>
        <v>StoreNewsletterFR</v>
      </c>
      <c r="L10" s="65" t="s">
        <v>406</v>
      </c>
      <c r="M10" s="119">
        <v>44933</v>
      </c>
      <c r="N10" s="2">
        <v>197</v>
      </c>
      <c r="O10" s="2">
        <v>4</v>
      </c>
      <c r="P10" s="118">
        <v>71</v>
      </c>
      <c r="Q10" s="6">
        <f>Table2[[#This Row],[Orders]]/Table2[[#This Row],[Visits]]</f>
        <v>2.030456852791878E-2</v>
      </c>
    </row>
    <row r="11" spans="2:29" ht="17.399999999999999" x14ac:dyDescent="0.3">
      <c r="B11" s="1" t="s">
        <v>407</v>
      </c>
      <c r="C11" s="119">
        <v>44970</v>
      </c>
      <c r="D11" s="114">
        <v>29236.11</v>
      </c>
      <c r="E11" s="114">
        <v>2293.58</v>
      </c>
      <c r="F11" s="120">
        <f t="shared" si="0"/>
        <v>31529.690000000002</v>
      </c>
      <c r="G11" s="121">
        <v>11817737</v>
      </c>
      <c r="J1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1" s="65" t="str">
        <f>_xlfn.TEXTAFTER(Table2[[#This Row],[SFMC Name]],"_",4)</f>
        <v>Arts&amp;CultureNewsletter</v>
      </c>
      <c r="L11" s="65" t="s">
        <v>408</v>
      </c>
      <c r="M11" s="119">
        <v>44933</v>
      </c>
      <c r="N11" s="2">
        <v>1480</v>
      </c>
      <c r="O11" s="2">
        <v>54</v>
      </c>
      <c r="P11" s="118">
        <v>2873</v>
      </c>
      <c r="Q11" s="6">
        <f>Table2[[#This Row],[Orders]]/Table2[[#This Row],[Visits]]</f>
        <v>3.6486486486486489E-2</v>
      </c>
    </row>
    <row r="12" spans="2:29" ht="17.399999999999999" x14ac:dyDescent="0.3">
      <c r="B12" s="1" t="s">
        <v>409</v>
      </c>
      <c r="C12" s="119">
        <v>44977</v>
      </c>
      <c r="D12" s="114">
        <v>42810.57</v>
      </c>
      <c r="E12" s="114">
        <v>1228.05</v>
      </c>
      <c r="F12" s="120">
        <f t="shared" si="0"/>
        <v>44038.62</v>
      </c>
      <c r="G12" s="2">
        <v>18019341</v>
      </c>
      <c r="J1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" s="65" t="str">
        <f>_xlfn.TEXTAFTER(Table2[[#This Row],[SFMC Name]],"_",4)</f>
        <v>AdvTicketsPlane</v>
      </c>
      <c r="L12" s="65" t="s">
        <v>410</v>
      </c>
      <c r="M12" s="119">
        <v>44935</v>
      </c>
      <c r="N12" s="2">
        <v>8896</v>
      </c>
      <c r="O12" s="2">
        <v>89</v>
      </c>
      <c r="P12" s="118">
        <v>2153</v>
      </c>
      <c r="Q12" s="6">
        <f>Table2[[#This Row],[Orders]]/Table2[[#This Row],[Visits]]</f>
        <v>1.0004496402877698E-2</v>
      </c>
    </row>
    <row r="13" spans="2:29" ht="17.399999999999999" x14ac:dyDescent="0.3">
      <c r="B13" s="1" t="s">
        <v>411</v>
      </c>
      <c r="C13" s="119">
        <v>44984</v>
      </c>
      <c r="D13" s="114">
        <v>59453.7</v>
      </c>
      <c r="E13" s="114">
        <v>1415.08</v>
      </c>
      <c r="F13" s="120">
        <f t="shared" si="0"/>
        <v>60868.78</v>
      </c>
      <c r="G13" s="2">
        <v>13206205</v>
      </c>
      <c r="J1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3" s="65" t="str">
        <f>_xlfn.TEXTAFTER(Table2[[#This Row],[SFMC Name]],"_",4)</f>
        <v>PussInBoots</v>
      </c>
      <c r="L13" s="65" t="s">
        <v>412</v>
      </c>
      <c r="M13" s="119">
        <v>44936</v>
      </c>
      <c r="N13" s="2">
        <v>1399</v>
      </c>
      <c r="O13" s="2">
        <v>28</v>
      </c>
      <c r="P13" s="118">
        <v>411</v>
      </c>
      <c r="Q13" s="6">
        <f>Table2[[#This Row],[Orders]]/Table2[[#This Row],[Visits]]</f>
        <v>2.0014295925661188E-2</v>
      </c>
    </row>
    <row r="14" spans="2:29" ht="17.399999999999999" x14ac:dyDescent="0.3">
      <c r="B14" s="1" t="s">
        <v>413</v>
      </c>
      <c r="C14" s="119">
        <v>44991</v>
      </c>
      <c r="D14" s="114">
        <v>81591.490000000005</v>
      </c>
      <c r="E14" s="114">
        <v>1159.21</v>
      </c>
      <c r="F14" s="120">
        <f t="shared" si="0"/>
        <v>82750.700000000012</v>
      </c>
      <c r="G14" s="2">
        <v>13300772</v>
      </c>
      <c r="J1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" s="65" t="str">
        <f>_xlfn.TEXTAFTER(Table2[[#This Row],[SFMC Name]],"_",4)</f>
        <v>TuesdayDeals</v>
      </c>
      <c r="L14" s="65" t="s">
        <v>414</v>
      </c>
      <c r="M14" s="119">
        <v>44936</v>
      </c>
      <c r="N14" s="2">
        <v>4112</v>
      </c>
      <c r="O14" s="2">
        <v>54</v>
      </c>
      <c r="P14" s="118">
        <v>1169</v>
      </c>
      <c r="Q14" s="6">
        <f>Table2[[#This Row],[Orders]]/Table2[[#This Row],[Visits]]</f>
        <v>1.3132295719844358E-2</v>
      </c>
    </row>
    <row r="15" spans="2:29" ht="17.399999999999999" x14ac:dyDescent="0.3">
      <c r="B15" s="1" t="s">
        <v>415</v>
      </c>
      <c r="C15" s="119">
        <v>44998</v>
      </c>
      <c r="D15" s="114">
        <v>43997.32</v>
      </c>
      <c r="E15" s="114">
        <v>6951.05</v>
      </c>
      <c r="F15" s="120">
        <f t="shared" si="0"/>
        <v>50948.37</v>
      </c>
      <c r="G15" s="2">
        <v>16557064</v>
      </c>
      <c r="J1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" s="65" t="str">
        <f>_xlfn.TEXTAFTER(Table2[[#This Row],[SFMC Name]],"_",4)</f>
        <v>BTSYetToCome</v>
      </c>
      <c r="L15" s="65" t="s">
        <v>416</v>
      </c>
      <c r="M15" s="119">
        <v>44938</v>
      </c>
      <c r="N15" s="2">
        <v>4064</v>
      </c>
      <c r="O15" s="2">
        <v>159</v>
      </c>
      <c r="P15" s="118">
        <v>9358.9</v>
      </c>
      <c r="Q15" s="6">
        <f>Table2[[#This Row],[Orders]]/Table2[[#This Row],[Visits]]</f>
        <v>3.9124015748031496E-2</v>
      </c>
    </row>
    <row r="16" spans="2:29" ht="17.399999999999999" x14ac:dyDescent="0.3">
      <c r="B16" s="1" t="s">
        <v>417</v>
      </c>
      <c r="C16" s="119">
        <v>45005</v>
      </c>
      <c r="D16" s="114">
        <v>31179.79</v>
      </c>
      <c r="E16" s="114">
        <v>2052.9499999999998</v>
      </c>
      <c r="F16" s="120">
        <f t="shared" si="0"/>
        <v>33232.74</v>
      </c>
      <c r="G16" s="2">
        <v>5888053</v>
      </c>
      <c r="J1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" s="65" t="str">
        <f>_xlfn.TEXTAFTER(Table2[[#This Row],[SFMC Name]],"_",4)</f>
        <v>CatalogueTitles</v>
      </c>
      <c r="L16" s="65" t="s">
        <v>418</v>
      </c>
      <c r="M16" s="119">
        <v>44939</v>
      </c>
      <c r="N16" s="2">
        <v>25063</v>
      </c>
      <c r="O16" s="2">
        <v>430</v>
      </c>
      <c r="P16" s="118">
        <v>11865.72</v>
      </c>
      <c r="Q16" s="6">
        <f>Table2[[#This Row],[Orders]]/Table2[[#This Row],[Visits]]</f>
        <v>1.7156764952320155E-2</v>
      </c>
    </row>
    <row r="17" spans="2:17" ht="17.399999999999999" x14ac:dyDescent="0.3">
      <c r="B17" s="1" t="s">
        <v>419</v>
      </c>
      <c r="C17" s="119">
        <v>45012</v>
      </c>
      <c r="D17" s="114">
        <v>30242.7</v>
      </c>
      <c r="E17" s="114">
        <v>2128.5500000000002</v>
      </c>
      <c r="F17" s="120">
        <f t="shared" si="0"/>
        <v>32371.25</v>
      </c>
      <c r="G17" s="2">
        <v>7610409</v>
      </c>
      <c r="J1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7" s="65" t="str">
        <f>_xlfn.TEXTAFTER(Table2[[#This Row],[SFMC Name]],"_",4)</f>
        <v>StoreNewsletterEN</v>
      </c>
      <c r="L17" s="65" t="s">
        <v>420</v>
      </c>
      <c r="M17" s="119">
        <v>44939</v>
      </c>
      <c r="N17" s="2">
        <v>4227</v>
      </c>
      <c r="O17" s="2">
        <v>120</v>
      </c>
      <c r="P17" s="118">
        <v>838.13</v>
      </c>
      <c r="Q17" s="6">
        <f>Table2[[#This Row],[Orders]]/Table2[[#This Row],[Visits]]</f>
        <v>2.8388928317955996E-2</v>
      </c>
    </row>
    <row r="18" spans="2:17" ht="17.399999999999999" x14ac:dyDescent="0.3">
      <c r="B18" s="1" t="s">
        <v>421</v>
      </c>
      <c r="C18" s="119">
        <v>45019</v>
      </c>
      <c r="D18" s="114">
        <v>124490</v>
      </c>
      <c r="E18" s="114">
        <v>3368</v>
      </c>
      <c r="F18" s="120">
        <f t="shared" si="0"/>
        <v>127858</v>
      </c>
      <c r="G18" s="2">
        <v>16776968</v>
      </c>
      <c r="J1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" s="65" t="str">
        <f>_xlfn.TEXTAFTER(Table2[[#This Row],[SFMC Name]],"_",4)</f>
        <v>AdvTicketsAntManQuantumania</v>
      </c>
      <c r="L18" s="65" t="s">
        <v>422</v>
      </c>
      <c r="M18" s="119">
        <v>44942</v>
      </c>
      <c r="N18" s="2">
        <v>39231</v>
      </c>
      <c r="O18" s="2">
        <v>2273</v>
      </c>
      <c r="P18" s="118">
        <v>108016.95</v>
      </c>
      <c r="Q18" s="6">
        <f>Table2[[#This Row],[Orders]]/Table2[[#This Row],[Visits]]</f>
        <v>5.7938874869363513E-2</v>
      </c>
    </row>
    <row r="19" spans="2:17" ht="17.399999999999999" x14ac:dyDescent="0.3">
      <c r="B19" s="1" t="s">
        <v>423</v>
      </c>
      <c r="C19" s="119">
        <v>45026</v>
      </c>
      <c r="D19" s="114">
        <v>36677</v>
      </c>
      <c r="E19" s="114">
        <v>2456</v>
      </c>
      <c r="F19" s="120">
        <f t="shared" si="0"/>
        <v>39133</v>
      </c>
      <c r="G19" s="2">
        <v>8998549</v>
      </c>
      <c r="J1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" s="65" t="str">
        <f>_xlfn.TEXTAFTER(Table2[[#This Row],[SFMC Name]],"_",4)</f>
        <v>TuesdayDeals</v>
      </c>
      <c r="L19" s="65" t="s">
        <v>424</v>
      </c>
      <c r="M19" s="119">
        <v>44943</v>
      </c>
      <c r="N19" s="2">
        <v>4393</v>
      </c>
      <c r="O19" s="2">
        <v>115</v>
      </c>
      <c r="P19" s="118">
        <v>2654.29</v>
      </c>
      <c r="Q19" s="6">
        <f>Table2[[#This Row],[Orders]]/Table2[[#This Row],[Visits]]</f>
        <v>2.6178010471204188E-2</v>
      </c>
    </row>
    <row r="20" spans="2:17" ht="17.399999999999999" x14ac:dyDescent="0.3">
      <c r="B20" s="1" t="s">
        <v>425</v>
      </c>
      <c r="C20" s="119">
        <v>45033</v>
      </c>
      <c r="D20" s="114">
        <v>29659</v>
      </c>
      <c r="E20" s="114">
        <v>1499</v>
      </c>
      <c r="F20" s="120">
        <f t="shared" si="0"/>
        <v>31158</v>
      </c>
      <c r="G20" s="2">
        <v>14867627</v>
      </c>
      <c r="J2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" s="65" t="str">
        <f>_xlfn.TEXTAFTER(Table2[[#This Row],[SFMC Name]],"_",4)</f>
        <v>NationalPopcornDay</v>
      </c>
      <c r="L20" s="65" t="s">
        <v>426</v>
      </c>
      <c r="M20" s="119">
        <v>44944</v>
      </c>
      <c r="N20" s="2">
        <v>3986</v>
      </c>
      <c r="O20" s="2">
        <v>14</v>
      </c>
      <c r="P20" s="118">
        <v>407</v>
      </c>
      <c r="Q20" s="6">
        <f>Table2[[#This Row],[Orders]]/Table2[[#This Row],[Visits]]</f>
        <v>3.5122930255895636E-3</v>
      </c>
    </row>
    <row r="21" spans="2:17" ht="17.399999999999999" x14ac:dyDescent="0.3">
      <c r="B21" s="1" t="s">
        <v>427</v>
      </c>
      <c r="C21" s="119">
        <v>45040</v>
      </c>
      <c r="D21" s="114">
        <v>169000</v>
      </c>
      <c r="E21" s="114">
        <v>1790</v>
      </c>
      <c r="F21" s="120">
        <f t="shared" si="0"/>
        <v>170790</v>
      </c>
      <c r="G21" s="2">
        <v>17717091</v>
      </c>
      <c r="J2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1" s="65" t="str">
        <f>_xlfn.TEXTAFTER(Table2[[#This Row],[SFMC Name]],"_",4)</f>
        <v>NationalPopcornDay</v>
      </c>
      <c r="L21" s="65" t="s">
        <v>428</v>
      </c>
      <c r="M21" s="119">
        <v>44944</v>
      </c>
      <c r="N21" s="2">
        <v>4951</v>
      </c>
      <c r="O21" s="2">
        <v>6</v>
      </c>
      <c r="P21" s="118">
        <v>72</v>
      </c>
      <c r="Q21" s="6">
        <f>Table2[[#This Row],[Orders]]/Table2[[#This Row],[Visits]]</f>
        <v>1.211876388608362E-3</v>
      </c>
    </row>
    <row r="22" spans="2:17" ht="17.399999999999999" x14ac:dyDescent="0.3">
      <c r="B22" s="1" t="s">
        <v>429</v>
      </c>
      <c r="C22" s="119">
        <v>45047</v>
      </c>
      <c r="D22" s="114">
        <v>82917</v>
      </c>
      <c r="E22" s="114">
        <v>2764</v>
      </c>
      <c r="F22" s="120">
        <f t="shared" si="0"/>
        <v>85681</v>
      </c>
      <c r="G22" s="2">
        <v>12388956</v>
      </c>
      <c r="J2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2" s="65" t="str">
        <f>_xlfn.TEXTAFTER(Table2[[#This Row],[SFMC Name]],"_",4)</f>
        <v>Pathaan</v>
      </c>
      <c r="L22" s="65" t="s">
        <v>430</v>
      </c>
      <c r="M22" s="119">
        <v>44944</v>
      </c>
      <c r="N22" s="2">
        <v>9119</v>
      </c>
      <c r="O22" s="2">
        <v>291</v>
      </c>
      <c r="P22" s="118">
        <v>10700</v>
      </c>
      <c r="Q22" s="6">
        <f>Table2[[#This Row],[Orders]]/Table2[[#This Row],[Visits]]</f>
        <v>3.1911393793179074E-2</v>
      </c>
    </row>
    <row r="23" spans="2:17" ht="17.399999999999999" x14ac:dyDescent="0.3">
      <c r="B23" s="1" t="s">
        <v>431</v>
      </c>
      <c r="C23" s="119">
        <v>45054</v>
      </c>
      <c r="D23" s="114">
        <v>53085</v>
      </c>
      <c r="E23" s="114">
        <v>1778</v>
      </c>
      <c r="F23" s="120">
        <f t="shared" si="0"/>
        <v>54863</v>
      </c>
      <c r="G23" s="2">
        <v>16730503</v>
      </c>
      <c r="J2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3" s="65" t="str">
        <f>_xlfn.TEXTAFTER(Table2[[#This Row],[SFMC Name]],"_",4)</f>
        <v>SceneRedemptionOffer</v>
      </c>
      <c r="L23" s="65" t="s">
        <v>432</v>
      </c>
      <c r="M23" s="119">
        <v>44945</v>
      </c>
      <c r="N23" s="2">
        <v>5751</v>
      </c>
      <c r="O23" s="2">
        <v>336</v>
      </c>
      <c r="P23" s="118">
        <v>10737</v>
      </c>
      <c r="Q23" s="6">
        <f>Table2[[#This Row],[Orders]]/Table2[[#This Row],[Visits]]</f>
        <v>5.8424621804903494E-2</v>
      </c>
    </row>
    <row r="24" spans="2:17" ht="17.399999999999999" x14ac:dyDescent="0.3">
      <c r="B24" s="1" t="s">
        <v>433</v>
      </c>
      <c r="C24" s="119">
        <v>45061</v>
      </c>
      <c r="D24" s="114">
        <v>39744</v>
      </c>
      <c r="E24" s="114">
        <v>8060</v>
      </c>
      <c r="F24" s="120">
        <f t="shared" si="0"/>
        <v>47804</v>
      </c>
      <c r="G24" s="2">
        <v>8614418</v>
      </c>
      <c r="J2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4" s="65" t="str">
        <f>_xlfn.TEXTAFTER(Table2[[#This Row],[SFMC Name]],"_",4)</f>
        <v>StoreNewsletterEN</v>
      </c>
      <c r="L24" s="65" t="s">
        <v>434</v>
      </c>
      <c r="M24" s="119">
        <v>44946</v>
      </c>
      <c r="N24" s="2">
        <v>5089</v>
      </c>
      <c r="O24" s="2">
        <v>152</v>
      </c>
      <c r="P24" s="118">
        <v>946</v>
      </c>
      <c r="Q24" s="6">
        <f>Table2[[#This Row],[Orders]]/Table2[[#This Row],[Visits]]</f>
        <v>2.9868343485950088E-2</v>
      </c>
    </row>
    <row r="25" spans="2:17" ht="17.399999999999999" x14ac:dyDescent="0.3">
      <c r="B25" s="1" t="s">
        <v>435</v>
      </c>
      <c r="C25" s="119">
        <v>45068</v>
      </c>
      <c r="D25" s="114">
        <v>40646</v>
      </c>
      <c r="E25" s="114">
        <v>5646</v>
      </c>
      <c r="F25" s="120">
        <f t="shared" si="0"/>
        <v>46292</v>
      </c>
      <c r="G25" s="2">
        <v>13196341</v>
      </c>
      <c r="J2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5" s="65" t="str">
        <f>_xlfn.TEXTAFTER(Table2[[#This Row],[SFMC Name]],"_",4)</f>
        <v>CatalogueTitles</v>
      </c>
      <c r="L25" s="65" t="s">
        <v>436</v>
      </c>
      <c r="M25" s="119">
        <v>44946</v>
      </c>
      <c r="N25" s="2">
        <v>24873</v>
      </c>
      <c r="O25" s="2">
        <v>439</v>
      </c>
      <c r="P25" s="118">
        <v>14383</v>
      </c>
      <c r="Q25" s="6">
        <f>Table2[[#This Row],[Orders]]/Table2[[#This Row],[Visits]]</f>
        <v>1.7649660274192899E-2</v>
      </c>
    </row>
    <row r="26" spans="2:17" ht="17.399999999999999" x14ac:dyDescent="0.3">
      <c r="B26" s="1" t="s">
        <v>437</v>
      </c>
      <c r="C26" s="119">
        <v>45075</v>
      </c>
      <c r="D26" s="114">
        <v>52395</v>
      </c>
      <c r="E26" s="114">
        <v>3001</v>
      </c>
      <c r="F26" s="120">
        <f t="shared" si="0"/>
        <v>55396</v>
      </c>
      <c r="G26" s="2">
        <v>16477410</v>
      </c>
      <c r="J2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6" s="65" t="str">
        <f>_xlfn.TEXTAFTER(Table2[[#This Row],[SFMC Name]],"_",4)</f>
        <v>FamilyNewsletter</v>
      </c>
      <c r="L26" s="65" t="s">
        <v>438</v>
      </c>
      <c r="M26" s="119">
        <v>44947</v>
      </c>
      <c r="N26" s="2">
        <v>3742</v>
      </c>
      <c r="O26" s="2">
        <v>32</v>
      </c>
      <c r="P26" s="118">
        <v>1031</v>
      </c>
      <c r="Q26" s="6">
        <f>Table2[[#This Row],[Orders]]/Table2[[#This Row],[Visits]]</f>
        <v>8.5515766969535001E-3</v>
      </c>
    </row>
    <row r="27" spans="2:17" ht="17.399999999999999" x14ac:dyDescent="0.3">
      <c r="B27" s="1" t="s">
        <v>439</v>
      </c>
      <c r="C27" s="119">
        <v>45082</v>
      </c>
      <c r="D27" s="114">
        <v>31075</v>
      </c>
      <c r="E27" s="114">
        <v>3927</v>
      </c>
      <c r="F27" s="120">
        <f t="shared" si="0"/>
        <v>35002</v>
      </c>
      <c r="G27" s="2">
        <v>11154358</v>
      </c>
      <c r="J2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7" s="65" t="str">
        <f>_xlfn.TEXTAFTER(Table2[[#This Row],[SFMC Name]],"_",4)</f>
        <v>StoreNewsletterFR</v>
      </c>
      <c r="L27" s="65" t="s">
        <v>440</v>
      </c>
      <c r="M27" s="119">
        <v>44947</v>
      </c>
      <c r="N27" s="2">
        <v>197</v>
      </c>
      <c r="O27" s="2">
        <v>14</v>
      </c>
      <c r="P27" s="118">
        <v>48</v>
      </c>
      <c r="Q27" s="6">
        <f>Table2[[#This Row],[Orders]]/Table2[[#This Row],[Visits]]</f>
        <v>7.1065989847715741E-2</v>
      </c>
    </row>
    <row r="28" spans="2:17" ht="17.399999999999999" x14ac:dyDescent="0.3">
      <c r="B28" s="1" t="s">
        <v>441</v>
      </c>
      <c r="C28" s="119">
        <v>45089</v>
      </c>
      <c r="D28" s="114">
        <v>47847</v>
      </c>
      <c r="E28" s="114">
        <v>3506</v>
      </c>
      <c r="F28" s="120">
        <f t="shared" si="0"/>
        <v>51353</v>
      </c>
      <c r="G28" s="2">
        <v>15089884</v>
      </c>
      <c r="J2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BMP</v>
      </c>
      <c r="K28" s="65" t="str">
        <f>_xlfn.TEXTAFTER(Table2[[#This Row],[SFMC Name]],"_",4)</f>
        <v>JunxionLaunch</v>
      </c>
      <c r="L28" s="65" t="s">
        <v>442</v>
      </c>
      <c r="M28" s="119">
        <v>44950</v>
      </c>
      <c r="N28" s="2">
        <v>10</v>
      </c>
      <c r="O28" s="2">
        <v>0</v>
      </c>
      <c r="P28" s="118">
        <v>0</v>
      </c>
      <c r="Q28" s="6">
        <f>Table2[[#This Row],[Orders]]/Table2[[#This Row],[Visits]]</f>
        <v>0</v>
      </c>
    </row>
    <row r="29" spans="2:17" ht="17.399999999999999" x14ac:dyDescent="0.3">
      <c r="B29" s="1" t="s">
        <v>443</v>
      </c>
      <c r="C29" s="119">
        <v>45096</v>
      </c>
      <c r="D29" s="114">
        <v>31478</v>
      </c>
      <c r="E29" s="114">
        <v>2223</v>
      </c>
      <c r="F29" s="120">
        <f t="shared" si="0"/>
        <v>33701</v>
      </c>
      <c r="G29" s="2">
        <v>12813458</v>
      </c>
      <c r="J2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9" s="65" t="str">
        <f>_xlfn.TEXTAFTER(Table2[[#This Row],[SFMC Name]],"_",4)</f>
        <v>Pathaan2</v>
      </c>
      <c r="L29" s="65" t="s">
        <v>444</v>
      </c>
      <c r="M29" s="119">
        <v>44950</v>
      </c>
      <c r="N29" s="2">
        <v>2881</v>
      </c>
      <c r="O29" s="2">
        <v>111</v>
      </c>
      <c r="P29" s="118">
        <v>3834</v>
      </c>
      <c r="Q29" s="6">
        <f>Table2[[#This Row],[Orders]]/Table2[[#This Row],[Visits]]</f>
        <v>3.8528288788615063E-2</v>
      </c>
    </row>
    <row r="30" spans="2:17" ht="17.399999999999999" x14ac:dyDescent="0.3">
      <c r="B30" s="1" t="s">
        <v>445</v>
      </c>
      <c r="C30" s="119">
        <v>45103</v>
      </c>
      <c r="D30" s="114"/>
      <c r="E30" s="114"/>
      <c r="F30" s="120">
        <f t="shared" si="0"/>
        <v>0</v>
      </c>
      <c r="G30" s="2"/>
      <c r="J3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0" s="65" t="str">
        <f>_xlfn.TEXTAFTER(Table2[[#This Row],[SFMC Name]],"_",4)</f>
        <v>TuesdayDeals</v>
      </c>
      <c r="L30" s="65" t="s">
        <v>446</v>
      </c>
      <c r="M30" s="119">
        <v>44950</v>
      </c>
      <c r="N30" s="2">
        <v>7801</v>
      </c>
      <c r="O30" s="2">
        <v>123</v>
      </c>
      <c r="P30" s="118">
        <v>2514</v>
      </c>
      <c r="Q30" s="6">
        <f>Table2[[#This Row],[Orders]]/Table2[[#This Row],[Visits]]</f>
        <v>1.5767209332136906E-2</v>
      </c>
    </row>
    <row r="31" spans="2:17" ht="17.399999999999999" x14ac:dyDescent="0.3">
      <c r="B31" s="1" t="s">
        <v>447</v>
      </c>
      <c r="C31" s="119">
        <v>45110</v>
      </c>
      <c r="D31" s="114"/>
      <c r="E31" s="114"/>
      <c r="F31" s="120">
        <f t="shared" si="0"/>
        <v>0</v>
      </c>
      <c r="G31" s="2"/>
      <c r="J3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1" s="65" t="str">
        <f>_xlfn.TEXTAFTER(Table2[[#This Row],[SFMC Name]],"_",4)</f>
        <v>Plane</v>
      </c>
      <c r="L31" s="4" t="s">
        <v>448</v>
      </c>
      <c r="M31" s="119">
        <v>44951</v>
      </c>
      <c r="N31" s="2">
        <v>3099</v>
      </c>
      <c r="O31" s="2">
        <v>51</v>
      </c>
      <c r="P31" s="118">
        <v>1335</v>
      </c>
      <c r="Q31" s="6">
        <f>Table2[[#This Row],[Orders]]/Table2[[#This Row],[Visits]]</f>
        <v>1.6456921587608905E-2</v>
      </c>
    </row>
    <row r="32" spans="2:17" ht="17.399999999999999" x14ac:dyDescent="0.3">
      <c r="B32" s="1" t="s">
        <v>449</v>
      </c>
      <c r="C32" s="119">
        <v>45117</v>
      </c>
      <c r="D32" s="114"/>
      <c r="E32" s="114"/>
      <c r="F32" s="120">
        <f t="shared" si="0"/>
        <v>0</v>
      </c>
      <c r="G32" s="2"/>
      <c r="J3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2" s="65" t="str">
        <f>_xlfn.TEXTAFTER(Table2[[#This Row],[SFMC Name]],"_",4)</f>
        <v>TheWanderingEarthII</v>
      </c>
      <c r="L32" s="4" t="s">
        <v>450</v>
      </c>
      <c r="M32" s="119">
        <v>44951</v>
      </c>
      <c r="N32" s="2">
        <v>1640</v>
      </c>
      <c r="O32" s="2">
        <v>52</v>
      </c>
      <c r="P32" s="118">
        <v>1650</v>
      </c>
      <c r="Q32" s="6">
        <f>Table2[[#This Row],[Orders]]/Table2[[#This Row],[Visits]]</f>
        <v>3.1707317073170732E-2</v>
      </c>
    </row>
    <row r="33" spans="2:19" ht="17.399999999999999" x14ac:dyDescent="0.3">
      <c r="B33" s="1" t="s">
        <v>451</v>
      </c>
      <c r="C33" s="119">
        <v>45124</v>
      </c>
      <c r="D33" s="114"/>
      <c r="E33" s="114"/>
      <c r="F33" s="120">
        <f t="shared" si="0"/>
        <v>0</v>
      </c>
      <c r="G33" s="2"/>
      <c r="J3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3" s="65" t="str">
        <f>_xlfn.TEXTAFTER(Table2[[#This Row],[SFMC Name]],"_",4)</f>
        <v>XLCocaCola</v>
      </c>
      <c r="L33" s="122" t="s">
        <v>452</v>
      </c>
      <c r="M33" s="119">
        <v>44952</v>
      </c>
      <c r="N33" s="2">
        <v>2259</v>
      </c>
      <c r="O33" s="2">
        <v>16</v>
      </c>
      <c r="P33" s="118">
        <v>501</v>
      </c>
      <c r="Q33" s="6">
        <f>Table2[[#This Row],[Orders]]/Table2[[#This Row],[Visits]]</f>
        <v>7.0827799911465251E-3</v>
      </c>
    </row>
    <row r="34" spans="2:19" ht="17.399999999999999" x14ac:dyDescent="0.3">
      <c r="B34" s="1" t="s">
        <v>453</v>
      </c>
      <c r="C34" s="119">
        <v>45131</v>
      </c>
      <c r="D34" s="114"/>
      <c r="E34" s="114"/>
      <c r="F34" s="120">
        <f t="shared" si="0"/>
        <v>0</v>
      </c>
      <c r="G34" s="2"/>
      <c r="J3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4" s="65" t="str">
        <f>_xlfn.TEXTAFTER(Table2[[#This Row],[SFMC Name]],"_",4)</f>
        <v>D&amp;TCineClubAcq#1</v>
      </c>
      <c r="L34" s="4" t="s">
        <v>454</v>
      </c>
      <c r="M34" s="119">
        <v>44952</v>
      </c>
      <c r="N34" s="2">
        <v>521</v>
      </c>
      <c r="O34" s="2">
        <v>4</v>
      </c>
      <c r="P34" s="118">
        <v>70</v>
      </c>
      <c r="Q34" s="6">
        <f>Table2[[#This Row],[Orders]]/Table2[[#This Row],[Visits]]</f>
        <v>7.677543186180422E-3</v>
      </c>
    </row>
    <row r="35" spans="2:19" ht="17.399999999999999" x14ac:dyDescent="0.3">
      <c r="B35" s="1" t="s">
        <v>455</v>
      </c>
      <c r="C35" s="119">
        <v>45138</v>
      </c>
      <c r="D35" s="114"/>
      <c r="E35" s="114"/>
      <c r="F35" s="120">
        <f t="shared" si="0"/>
        <v>0</v>
      </c>
      <c r="G35" s="2"/>
      <c r="J3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35" s="65" t="str">
        <f>_xlfn.TEXTAFTER(Table2[[#This Row],[SFMC Name]],"_",4)</f>
        <v>StoreNewsletterEN</v>
      </c>
      <c r="L35" s="4" t="s">
        <v>456</v>
      </c>
      <c r="M35" s="119">
        <v>44953</v>
      </c>
      <c r="N35" s="2">
        <v>7257</v>
      </c>
      <c r="O35" s="2">
        <v>188</v>
      </c>
      <c r="P35" s="118">
        <v>1713</v>
      </c>
      <c r="Q35" s="6">
        <f>Table2[[#This Row],[Orders]]/Table2[[#This Row],[Visits]]</f>
        <v>2.5906021772082129E-2</v>
      </c>
    </row>
    <row r="36" spans="2:19" ht="17.399999999999999" x14ac:dyDescent="0.3">
      <c r="B36" s="1" t="s">
        <v>457</v>
      </c>
      <c r="C36" s="119">
        <v>45145</v>
      </c>
      <c r="D36" s="114"/>
      <c r="E36" s="114"/>
      <c r="F36" s="120">
        <f t="shared" si="0"/>
        <v>0</v>
      </c>
      <c r="G36" s="2"/>
      <c r="J3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6" s="65" t="str">
        <f>_xlfn.TEXTAFTER(Table2[[#This Row],[SFMC Name]],"_",4)</f>
        <v>CatalogueTitles</v>
      </c>
      <c r="L36" s="4" t="s">
        <v>458</v>
      </c>
      <c r="M36" s="119">
        <v>44953</v>
      </c>
      <c r="N36" s="2">
        <v>28222</v>
      </c>
      <c r="O36" s="2">
        <v>461</v>
      </c>
      <c r="P36" s="118">
        <v>14616</v>
      </c>
      <c r="Q36" s="6">
        <f>Table2[[#This Row],[Orders]]/Table2[[#This Row],[Visits]]</f>
        <v>1.6334774289561337E-2</v>
      </c>
    </row>
    <row r="37" spans="2:19" ht="17.399999999999999" x14ac:dyDescent="0.3">
      <c r="B37" s="1" t="s">
        <v>459</v>
      </c>
      <c r="C37" s="119">
        <v>45152</v>
      </c>
      <c r="D37" s="114"/>
      <c r="E37" s="114"/>
      <c r="F37" s="120">
        <f t="shared" ref="F37:F56" si="1">D37+E37</f>
        <v>0</v>
      </c>
      <c r="G37" s="2"/>
      <c r="J3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7" s="65" t="str">
        <f>_xlfn.TEXTAFTER(Table2[[#This Row],[SFMC Name]],"_",4)</f>
        <v>80ForBradyContest</v>
      </c>
      <c r="L37" s="4" t="s">
        <v>460</v>
      </c>
      <c r="M37" s="119">
        <v>44957</v>
      </c>
      <c r="N37" s="2">
        <v>2573</v>
      </c>
      <c r="O37" s="2">
        <v>95</v>
      </c>
      <c r="P37" s="118">
        <v>1891</v>
      </c>
      <c r="Q37" s="6">
        <f>Table2[[#This Row],[Orders]]/Table2[[#This Row],[Visits]]</f>
        <v>3.6921881072677805E-2</v>
      </c>
    </row>
    <row r="38" spans="2:19" ht="17.399999999999999" x14ac:dyDescent="0.3">
      <c r="B38" s="1" t="s">
        <v>461</v>
      </c>
      <c r="C38" s="119">
        <v>45159</v>
      </c>
      <c r="D38" s="114"/>
      <c r="E38" s="114"/>
      <c r="F38" s="120">
        <f t="shared" si="1"/>
        <v>0</v>
      </c>
      <c r="G38" s="2"/>
      <c r="J3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8" s="65" t="str">
        <f>_xlfn.TEXTAFTER(Table2[[#This Row],[SFMC Name]],"_",4)</f>
        <v>TuesdayDeals</v>
      </c>
      <c r="L38" s="4" t="s">
        <v>462</v>
      </c>
      <c r="M38" s="119">
        <v>44957</v>
      </c>
      <c r="N38" s="2">
        <v>3788</v>
      </c>
      <c r="O38" s="2">
        <v>51</v>
      </c>
      <c r="P38" s="118">
        <v>1117</v>
      </c>
      <c r="Q38" s="6">
        <f>Table2[[#This Row],[Orders]]/Table2[[#This Row],[Visits]]</f>
        <v>1.3463569165786695E-2</v>
      </c>
    </row>
    <row r="39" spans="2:19" ht="17.399999999999999" x14ac:dyDescent="0.3">
      <c r="B39" s="1" t="s">
        <v>463</v>
      </c>
      <c r="C39" s="119">
        <v>45166</v>
      </c>
      <c r="D39" s="114"/>
      <c r="E39" s="114"/>
      <c r="F39" s="120">
        <f t="shared" si="1"/>
        <v>0</v>
      </c>
      <c r="G39" s="2"/>
      <c r="J3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39" s="65" t="str">
        <f>_xlfn.TEXTAFTER(Table2[[#This Row],[SFMC Name]],"_",4)</f>
        <v>1MPointsContest</v>
      </c>
      <c r="L39" s="4" t="s">
        <v>464</v>
      </c>
      <c r="M39" s="119">
        <v>44958</v>
      </c>
      <c r="N39" s="2">
        <v>73247</v>
      </c>
      <c r="O39" s="2">
        <v>310</v>
      </c>
      <c r="P39" s="118">
        <v>9257.3700000000008</v>
      </c>
      <c r="Q39" s="6">
        <f>Table2[[#This Row],[Orders]]/Table2[[#This Row],[Visits]]</f>
        <v>4.2322552459486398E-3</v>
      </c>
    </row>
    <row r="40" spans="2:19" ht="17.399999999999999" x14ac:dyDescent="0.3">
      <c r="B40" s="1" t="s">
        <v>465</v>
      </c>
      <c r="C40" s="119">
        <v>45173</v>
      </c>
      <c r="D40" s="114"/>
      <c r="E40" s="114"/>
      <c r="F40" s="120">
        <f t="shared" si="1"/>
        <v>0</v>
      </c>
      <c r="G40" s="2"/>
      <c r="J4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40" s="65" t="str">
        <f>_xlfn.TEXTAFTER(Table2[[#This Row],[SFMC Name]],"_",4)</f>
        <v>HalfOffGameplay</v>
      </c>
      <c r="L40" s="4" t="s">
        <v>466</v>
      </c>
      <c r="M40" s="119">
        <v>44958</v>
      </c>
      <c r="N40" s="2">
        <v>1072</v>
      </c>
      <c r="O40" s="2">
        <v>0</v>
      </c>
      <c r="P40" s="118">
        <v>0</v>
      </c>
      <c r="Q40" s="6">
        <f>Table2[[#This Row],[Orders]]/Table2[[#This Row],[Visits]]</f>
        <v>0</v>
      </c>
    </row>
    <row r="41" spans="2:19" ht="17.399999999999999" x14ac:dyDescent="0.3">
      <c r="B41" s="1" t="s">
        <v>467</v>
      </c>
      <c r="C41" s="119">
        <v>45180</v>
      </c>
      <c r="D41" s="114"/>
      <c r="E41" s="114"/>
      <c r="F41" s="120">
        <f t="shared" si="1"/>
        <v>0</v>
      </c>
      <c r="G41" s="2"/>
      <c r="J4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41" s="65" t="str">
        <f>_xlfn.TEXTAFTER(Table2[[#This Row],[SFMC Name]],"_",4)</f>
        <v>Babylon</v>
      </c>
      <c r="L41" s="4" t="s">
        <v>468</v>
      </c>
      <c r="M41" s="119">
        <v>44959</v>
      </c>
      <c r="N41" s="2">
        <v>976</v>
      </c>
      <c r="O41" s="2">
        <v>17</v>
      </c>
      <c r="P41" s="118">
        <v>281.45999999999998</v>
      </c>
      <c r="Q41" s="6">
        <f>Table2[[#This Row],[Orders]]/Table2[[#This Row],[Visits]]</f>
        <v>1.7418032786885244E-2</v>
      </c>
    </row>
    <row r="42" spans="2:19" ht="17.399999999999999" x14ac:dyDescent="0.3">
      <c r="B42" s="1" t="s">
        <v>469</v>
      </c>
      <c r="C42" s="119">
        <v>45187</v>
      </c>
      <c r="D42" s="114"/>
      <c r="E42" s="114"/>
      <c r="F42" s="120">
        <f t="shared" si="1"/>
        <v>0</v>
      </c>
      <c r="G42" s="2"/>
      <c r="J4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42" s="65" t="str">
        <f>_xlfn.TEXTAFTER(Table2[[#This Row],[SFMC Name]],"_",4)</f>
        <v>SceneAcquisition</v>
      </c>
      <c r="L42" s="4" t="s">
        <v>470</v>
      </c>
      <c r="M42" s="119">
        <v>44959</v>
      </c>
      <c r="N42" s="2">
        <v>309</v>
      </c>
      <c r="O42" s="2">
        <v>2</v>
      </c>
      <c r="P42" s="118">
        <v>87.92</v>
      </c>
      <c r="Q42" s="6">
        <f>Table2[[#This Row],[Orders]]/Table2[[#This Row],[Visits]]</f>
        <v>6.4724919093851136E-3</v>
      </c>
    </row>
    <row r="43" spans="2:19" ht="17.399999999999999" x14ac:dyDescent="0.3">
      <c r="B43" s="1" t="s">
        <v>471</v>
      </c>
      <c r="C43" s="119">
        <v>45194</v>
      </c>
      <c r="D43" s="114"/>
      <c r="E43" s="114"/>
      <c r="F43" s="120">
        <f t="shared" si="1"/>
        <v>0</v>
      </c>
      <c r="G43" s="2"/>
      <c r="J4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43" s="65" t="str">
        <f>_xlfn.TEXTAFTER(Table2[[#This Row],[SFMC Name]],"_",4)</f>
        <v>D&amp;TCineClubAcq#2</v>
      </c>
      <c r="L43" s="4" t="s">
        <v>472</v>
      </c>
      <c r="M43" s="119">
        <v>44959</v>
      </c>
      <c r="N43" s="2">
        <v>453</v>
      </c>
      <c r="O43" s="2">
        <v>3</v>
      </c>
      <c r="P43" s="118">
        <v>45</v>
      </c>
      <c r="Q43" s="6">
        <f>Table2[[#This Row],[Orders]]/Table2[[#This Row],[Visits]]</f>
        <v>6.6225165562913907E-3</v>
      </c>
    </row>
    <row r="44" spans="2:19" ht="17.399999999999999" x14ac:dyDescent="0.3">
      <c r="B44" s="1" t="s">
        <v>473</v>
      </c>
      <c r="C44" s="119">
        <v>45201</v>
      </c>
      <c r="D44" s="114"/>
      <c r="E44" s="114"/>
      <c r="F44" s="120">
        <f t="shared" si="1"/>
        <v>0</v>
      </c>
      <c r="G44" s="2"/>
      <c r="J4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44" s="65" t="str">
        <f>_xlfn.TEXTAFTER(Table2[[#This Row],[SFMC Name]],"_",4)</f>
        <v>SuperbowlPartyReminder</v>
      </c>
      <c r="L44" s="4" t="s">
        <v>474</v>
      </c>
      <c r="M44" s="119">
        <v>44960</v>
      </c>
      <c r="N44" s="2">
        <v>0</v>
      </c>
      <c r="O44" s="2">
        <v>0</v>
      </c>
      <c r="P44" s="118">
        <v>0</v>
      </c>
      <c r="Q44" s="6">
        <v>0</v>
      </c>
      <c r="R44" s="24" t="s">
        <v>475</v>
      </c>
      <c r="S44" s="24"/>
    </row>
    <row r="45" spans="2:19" ht="17.399999999999999" x14ac:dyDescent="0.3">
      <c r="B45" s="1" t="s">
        <v>476</v>
      </c>
      <c r="C45" s="119">
        <v>45208</v>
      </c>
      <c r="D45" s="114"/>
      <c r="E45" s="114"/>
      <c r="F45" s="120">
        <f t="shared" si="1"/>
        <v>0</v>
      </c>
      <c r="G45" s="2"/>
      <c r="J4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45" s="65" t="str">
        <f>_xlfn.TEXTAFTER(Table2[[#This Row],[SFMC Name]],"_",4)</f>
        <v>StoreNewsletterEN</v>
      </c>
      <c r="L45" s="4" t="s">
        <v>477</v>
      </c>
      <c r="M45" s="119">
        <v>44960</v>
      </c>
      <c r="N45" s="2">
        <v>3279</v>
      </c>
      <c r="O45" s="2">
        <v>51</v>
      </c>
      <c r="P45" s="118">
        <v>440</v>
      </c>
      <c r="Q45" s="6">
        <f>Table2[[#This Row],[Orders]]/Table2[[#This Row],[Visits]]</f>
        <v>1.555352241537054E-2</v>
      </c>
    </row>
    <row r="46" spans="2:19" ht="17.399999999999999" x14ac:dyDescent="0.3">
      <c r="B46" s="1" t="s">
        <v>478</v>
      </c>
      <c r="C46" s="119">
        <v>45215</v>
      </c>
      <c r="D46" s="114"/>
      <c r="E46" s="114"/>
      <c r="F46" s="120">
        <f t="shared" si="1"/>
        <v>0</v>
      </c>
      <c r="G46" s="2"/>
      <c r="J4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46" s="65" t="str">
        <f>_xlfn.TEXTAFTER(Table2[[#This Row],[SFMC Name]],"_",4)</f>
        <v>CatalogueTitles</v>
      </c>
      <c r="L46" s="4" t="s">
        <v>479</v>
      </c>
      <c r="M46" s="119">
        <v>44960</v>
      </c>
      <c r="N46" s="2">
        <v>14190</v>
      </c>
      <c r="O46" s="2">
        <v>224</v>
      </c>
      <c r="P46" s="118">
        <v>6403.92</v>
      </c>
      <c r="Q46" s="6">
        <f>Table2[[#This Row],[Orders]]/Table2[[#This Row],[Visits]]</f>
        <v>1.5785764622973927E-2</v>
      </c>
    </row>
    <row r="47" spans="2:19" ht="17.399999999999999" x14ac:dyDescent="0.3">
      <c r="B47" s="1" t="s">
        <v>480</v>
      </c>
      <c r="C47" s="119">
        <v>45222</v>
      </c>
      <c r="D47" s="114"/>
      <c r="E47" s="114"/>
      <c r="F47" s="120">
        <f t="shared" si="1"/>
        <v>0</v>
      </c>
      <c r="G47" s="2"/>
      <c r="J4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47" s="65" t="str">
        <f>_xlfn.TEXTAFTER(Table2[[#This Row],[SFMC Name]],"_",4)</f>
        <v>StoreNewsletterFR</v>
      </c>
      <c r="L47" s="4" t="s">
        <v>481</v>
      </c>
      <c r="M47" s="119">
        <v>44961</v>
      </c>
      <c r="N47" s="2">
        <v>193</v>
      </c>
      <c r="O47" s="2">
        <v>1</v>
      </c>
      <c r="P47" s="118">
        <v>7</v>
      </c>
      <c r="Q47" s="6">
        <f>Table2[[#This Row],[Orders]]/Table2[[#This Row],[Visits]]</f>
        <v>5.1813471502590676E-3</v>
      </c>
    </row>
    <row r="48" spans="2:19" ht="17.399999999999999" x14ac:dyDescent="0.3">
      <c r="B48" s="1" t="s">
        <v>482</v>
      </c>
      <c r="C48" s="119">
        <v>45229</v>
      </c>
      <c r="D48" s="114"/>
      <c r="E48" s="114"/>
      <c r="F48" s="120">
        <f t="shared" si="1"/>
        <v>0</v>
      </c>
      <c r="G48" s="2"/>
      <c r="J4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48" s="65" t="str">
        <f>_xlfn.TEXTAFTER(Table2[[#This Row],[SFMC Name]],"_",4)</f>
        <v>Arts&amp;CultureNewsletter</v>
      </c>
      <c r="L48" s="4" t="s">
        <v>483</v>
      </c>
      <c r="M48" s="119">
        <v>44961</v>
      </c>
      <c r="N48" s="2">
        <v>1276</v>
      </c>
      <c r="O48" s="2">
        <v>21</v>
      </c>
      <c r="P48" s="118">
        <v>929</v>
      </c>
      <c r="Q48" s="6">
        <f>Table2[[#This Row],[Orders]]/Table2[[#This Row],[Visits]]</f>
        <v>1.6457680250783698E-2</v>
      </c>
    </row>
    <row r="49" spans="2:19" ht="17.399999999999999" x14ac:dyDescent="0.3">
      <c r="B49" s="1" t="s">
        <v>484</v>
      </c>
      <c r="C49" s="119">
        <v>45236</v>
      </c>
      <c r="D49" s="114"/>
      <c r="E49" s="114"/>
      <c r="F49" s="120">
        <f t="shared" si="1"/>
        <v>0</v>
      </c>
      <c r="G49" s="2"/>
      <c r="J4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49" s="65" t="str">
        <f>_xlfn.TEXTAFTER(Table2[[#This Row],[SFMC Name]],"_",4)</f>
        <v>IWannaDanceWithSomebody</v>
      </c>
      <c r="L49" s="4" t="s">
        <v>485</v>
      </c>
      <c r="M49" s="119">
        <v>44964</v>
      </c>
      <c r="N49" s="2">
        <v>2877</v>
      </c>
      <c r="O49" s="2">
        <v>24</v>
      </c>
      <c r="P49" s="118">
        <v>269</v>
      </c>
      <c r="Q49" s="6">
        <f>Table2[[#This Row],[Orders]]/Table2[[#This Row],[Visits]]</f>
        <v>8.3420229405630868E-3</v>
      </c>
    </row>
    <row r="50" spans="2:19" ht="17.399999999999999" x14ac:dyDescent="0.3">
      <c r="B50" s="1" t="s">
        <v>486</v>
      </c>
      <c r="C50" s="119">
        <v>45243</v>
      </c>
      <c r="D50" s="114"/>
      <c r="E50" s="114"/>
      <c r="F50" s="120">
        <f t="shared" si="1"/>
        <v>0</v>
      </c>
      <c r="G50" s="2"/>
      <c r="J5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0" s="65" t="str">
        <f>_xlfn.TEXTAFTER(Table2[[#This Row],[SFMC Name]],"_",4)</f>
        <v>TuesdayDeals</v>
      </c>
      <c r="L50" s="4" t="s">
        <v>487</v>
      </c>
      <c r="M50" s="119">
        <v>44964</v>
      </c>
      <c r="N50" s="2">
        <v>3355</v>
      </c>
      <c r="O50" s="2">
        <v>61</v>
      </c>
      <c r="P50" s="118">
        <v>1550</v>
      </c>
      <c r="Q50" s="6">
        <f>Table2[[#This Row],[Orders]]/Table2[[#This Row],[Visits]]</f>
        <v>1.8181818181818181E-2</v>
      </c>
    </row>
    <row r="51" spans="2:19" ht="17.399999999999999" x14ac:dyDescent="0.3">
      <c r="B51" s="1" t="s">
        <v>488</v>
      </c>
      <c r="C51" s="119">
        <v>45250</v>
      </c>
      <c r="D51" s="114"/>
      <c r="E51" s="114"/>
      <c r="F51" s="120">
        <f t="shared" si="1"/>
        <v>0</v>
      </c>
      <c r="G51" s="2"/>
      <c r="J5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1" s="65" t="str">
        <f>_xlfn.TEXTAFTER(Table2[[#This Row],[SFMC Name]],"_",4)</f>
        <v>Hot&amp;SpicyShakeIt</v>
      </c>
      <c r="L51" s="4" t="s">
        <v>489</v>
      </c>
      <c r="M51" s="119">
        <v>44965</v>
      </c>
      <c r="N51" s="2">
        <v>1431</v>
      </c>
      <c r="O51" s="2">
        <v>6</v>
      </c>
      <c r="P51" s="118">
        <v>157</v>
      </c>
      <c r="Q51" s="6">
        <f>Table2[[#This Row],[Orders]]/Table2[[#This Row],[Visits]]</f>
        <v>4.1928721174004195E-3</v>
      </c>
    </row>
    <row r="52" spans="2:19" ht="17.399999999999999" x14ac:dyDescent="0.3">
      <c r="B52" s="1" t="s">
        <v>490</v>
      </c>
      <c r="C52" s="119">
        <v>45257</v>
      </c>
      <c r="D52" s="114"/>
      <c r="E52" s="114"/>
      <c r="F52" s="120">
        <f t="shared" si="1"/>
        <v>0</v>
      </c>
      <c r="G52" s="2"/>
      <c r="J5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2" s="65" t="str">
        <f>_xlfn.TEXTAFTER(Table2[[#This Row],[SFMC Name]],"_",4)</f>
        <v>PathaanVIPExperience</v>
      </c>
      <c r="L52" s="4" t="s">
        <v>491</v>
      </c>
      <c r="M52" s="119">
        <v>44966</v>
      </c>
      <c r="N52" s="2">
        <v>251</v>
      </c>
      <c r="O52" s="2">
        <v>8</v>
      </c>
      <c r="P52" s="118">
        <v>338</v>
      </c>
      <c r="Q52" s="6">
        <f>Table2[[#This Row],[Orders]]/Table2[[#This Row],[Visits]]</f>
        <v>3.1872509960159362E-2</v>
      </c>
    </row>
    <row r="53" spans="2:19" ht="17.399999999999999" x14ac:dyDescent="0.3">
      <c r="B53" s="1" t="s">
        <v>492</v>
      </c>
      <c r="C53" s="119">
        <v>45264</v>
      </c>
      <c r="D53" s="114"/>
      <c r="E53" s="114"/>
      <c r="F53" s="120">
        <f t="shared" si="1"/>
        <v>0</v>
      </c>
      <c r="G53" s="2"/>
      <c r="J5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3" s="65" t="str">
        <f>_xlfn.TEXTAFTER(Table2[[#This Row],[SFMC Name]],"_",4)</f>
        <v>D&amp;TCineClubAcq#3</v>
      </c>
      <c r="L53" s="122" t="s">
        <v>493</v>
      </c>
      <c r="M53" s="119">
        <v>44966</v>
      </c>
      <c r="N53" s="2">
        <v>744</v>
      </c>
      <c r="O53" s="2">
        <v>5</v>
      </c>
      <c r="P53" s="118">
        <v>87</v>
      </c>
      <c r="Q53" s="6">
        <f>Table2[[#This Row],[Orders]]/Table2[[#This Row],[Visits]]</f>
        <v>6.7204301075268818E-3</v>
      </c>
    </row>
    <row r="54" spans="2:19" ht="17.399999999999999" x14ac:dyDescent="0.3">
      <c r="B54" s="1" t="s">
        <v>494</v>
      </c>
      <c r="C54" s="119">
        <v>45271</v>
      </c>
      <c r="D54" s="114"/>
      <c r="E54" s="114"/>
      <c r="F54" s="120">
        <f t="shared" si="1"/>
        <v>0</v>
      </c>
      <c r="G54" s="2"/>
      <c r="J5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54" s="65" t="str">
        <f>_xlfn.TEXTAFTER(Table2[[#This Row],[SFMC Name]],"_",4)</f>
        <v>SuperbowlPartyFinalReminder</v>
      </c>
      <c r="L54" s="4" t="s">
        <v>495</v>
      </c>
      <c r="M54" s="119">
        <v>44966</v>
      </c>
      <c r="N54" s="2">
        <v>0</v>
      </c>
      <c r="O54" s="2">
        <v>0</v>
      </c>
      <c r="P54" s="118">
        <v>0</v>
      </c>
      <c r="Q54" s="6">
        <v>0</v>
      </c>
      <c r="R54" s="24" t="s">
        <v>475</v>
      </c>
      <c r="S54" s="24"/>
    </row>
    <row r="55" spans="2:19" ht="17.399999999999999" x14ac:dyDescent="0.3">
      <c r="B55" s="1" t="s">
        <v>496</v>
      </c>
      <c r="C55" s="119">
        <v>45278</v>
      </c>
      <c r="D55" s="114"/>
      <c r="E55" s="114"/>
      <c r="F55" s="120">
        <f t="shared" si="1"/>
        <v>0</v>
      </c>
      <c r="G55" s="2"/>
      <c r="J5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55" s="65" t="str">
        <f>_xlfn.TEXTAFTER(Table2[[#This Row],[SFMC Name]],"_",4)</f>
        <v>StoreNewsletterEN</v>
      </c>
      <c r="L55" s="4" t="s">
        <v>497</v>
      </c>
      <c r="M55" s="119">
        <v>44967</v>
      </c>
      <c r="N55" s="2">
        <v>3772</v>
      </c>
      <c r="O55" s="2">
        <v>76</v>
      </c>
      <c r="P55" s="118">
        <v>726</v>
      </c>
      <c r="Q55" s="6">
        <f>Table2[[#This Row],[Orders]]/Table2[[#This Row],[Visits]]</f>
        <v>2.0148462354188761E-2</v>
      </c>
    </row>
    <row r="56" spans="2:19" ht="17.399999999999999" x14ac:dyDescent="0.3">
      <c r="B56" s="1" t="s">
        <v>498</v>
      </c>
      <c r="C56" s="119">
        <v>45285</v>
      </c>
      <c r="D56" s="114"/>
      <c r="E56" s="114"/>
      <c r="F56" s="120">
        <f t="shared" si="1"/>
        <v>0</v>
      </c>
      <c r="G56" s="2"/>
      <c r="J5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6" s="65" t="str">
        <f>_xlfn.TEXTAFTER(Table2[[#This Row],[SFMC Name]],"_",4)</f>
        <v>CatalogueTitles</v>
      </c>
      <c r="L56" s="4" t="s">
        <v>499</v>
      </c>
      <c r="M56" s="119">
        <v>44967</v>
      </c>
      <c r="N56" s="2">
        <v>17193</v>
      </c>
      <c r="O56" s="2">
        <v>275</v>
      </c>
      <c r="P56" s="118">
        <v>8908</v>
      </c>
      <c r="Q56" s="6">
        <f>Table2[[#This Row],[Orders]]/Table2[[#This Row],[Visits]]</f>
        <v>1.599488163787588E-2</v>
      </c>
    </row>
    <row r="57" spans="2:19" ht="17.399999999999999" x14ac:dyDescent="0.3">
      <c r="B57" s="1" t="s">
        <v>382</v>
      </c>
      <c r="C57" s="65"/>
      <c r="D57" s="114">
        <f>SUBTOTAL(109,Table1[Cineplex dot com Sales])</f>
        <v>1344547.01</v>
      </c>
      <c r="E57" s="114">
        <f>SUBTOTAL(109,Table1[Store Web, Mobile Web, 
SmartTV - Prod Sales])</f>
        <v>65282.33</v>
      </c>
      <c r="F57" s="120">
        <f>SUBTOTAL(109,Table1[Total])</f>
        <v>1409829.3399999999</v>
      </c>
      <c r="G57" s="2">
        <f>SUBTOTAL(109,Table1[Email Sends])</f>
        <v>323128325</v>
      </c>
      <c r="J5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7" s="65" t="str">
        <f>_xlfn.TEXTAFTER(Table2[[#This Row],[SFMC Name]],"_",4)</f>
        <v>PointsOfferAvatarWayOfTheWater</v>
      </c>
      <c r="L57" s="4" t="s">
        <v>500</v>
      </c>
      <c r="M57" s="119">
        <v>44967</v>
      </c>
      <c r="N57" s="2">
        <v>604</v>
      </c>
      <c r="O57" s="2">
        <v>26</v>
      </c>
      <c r="P57" s="118">
        <v>707</v>
      </c>
      <c r="Q57" s="6">
        <f>Table2[[#This Row],[Orders]]/Table2[[#This Row],[Visits]]</f>
        <v>4.3046357615894038E-2</v>
      </c>
    </row>
    <row r="58" spans="2:19" ht="15.6" x14ac:dyDescent="0.3">
      <c r="J5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58" s="65" t="str">
        <f>_xlfn.TEXTAFTER(Table2[[#This Row],[SFMC Name]],"_",4)</f>
        <v>AdvTicketsFastX</v>
      </c>
      <c r="L58" s="4" t="s">
        <v>501</v>
      </c>
      <c r="M58" s="119">
        <v>44967</v>
      </c>
      <c r="N58" s="2">
        <v>13190</v>
      </c>
      <c r="O58" s="2">
        <v>419</v>
      </c>
      <c r="P58" s="118">
        <v>18544</v>
      </c>
      <c r="Q58" s="6">
        <f>Table2[[#This Row],[Orders]]/Table2[[#This Row],[Visits]]</f>
        <v>3.1766489764973461E-2</v>
      </c>
    </row>
    <row r="59" spans="2:19" ht="15.6" x14ac:dyDescent="0.3">
      <c r="J5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59" s="65" t="str">
        <f>_xlfn.TEXTAFTER(Table2[[#This Row],[SFMC Name]],"_",4)</f>
        <v>HalfOffGameplayReminder</v>
      </c>
      <c r="L59" s="4" t="s">
        <v>502</v>
      </c>
      <c r="M59" s="119">
        <v>44969</v>
      </c>
      <c r="N59" s="2">
        <v>0</v>
      </c>
      <c r="O59" s="2">
        <v>0</v>
      </c>
      <c r="P59" s="118">
        <v>0</v>
      </c>
      <c r="Q59" s="6">
        <v>0</v>
      </c>
      <c r="R59" s="24" t="s">
        <v>475</v>
      </c>
      <c r="S59" s="24"/>
    </row>
    <row r="60" spans="2:19" ht="15.6" x14ac:dyDescent="0.3">
      <c r="J6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60" s="65" t="str">
        <f>_xlfn.TEXTAFTER(Table2[[#This Row],[SFMC Name]],"_",4)</f>
        <v>GameTagOffer</v>
      </c>
      <c r="L60" s="4" t="s">
        <v>503</v>
      </c>
      <c r="M60" s="119">
        <v>44970</v>
      </c>
      <c r="N60" s="2">
        <v>614</v>
      </c>
      <c r="O60" s="2">
        <v>0</v>
      </c>
      <c r="P60" s="118">
        <v>0</v>
      </c>
      <c r="Q60" s="6">
        <f>Table2[[#This Row],[Orders]]/Table2[[#This Row],[Visits]]</f>
        <v>0</v>
      </c>
    </row>
    <row r="61" spans="2:19" ht="15.6" x14ac:dyDescent="0.3">
      <c r="J6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61" s="65" t="str">
        <f>_xlfn.TEXTAFTER(Table2[[#This Row],[SFMC Name]],"_",4)</f>
        <v>SpiceItUpValentinesDay</v>
      </c>
      <c r="L61" s="4" t="s">
        <v>504</v>
      </c>
      <c r="M61" s="119">
        <v>44971</v>
      </c>
      <c r="N61" s="2">
        <v>1170</v>
      </c>
      <c r="O61" s="2">
        <v>38</v>
      </c>
      <c r="P61" s="118">
        <v>233</v>
      </c>
      <c r="Q61" s="6">
        <f>Table2[[#This Row],[Orders]]/Table2[[#This Row],[Visits]]</f>
        <v>3.2478632478632481E-2</v>
      </c>
    </row>
    <row r="62" spans="2:19" ht="15.6" x14ac:dyDescent="0.3">
      <c r="J6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2" s="65" t="str">
        <f>_xlfn.TEXTAFTER(Table2[[#This Row],[SFMC Name]],"_",4)</f>
        <v>TuesdayDeals</v>
      </c>
      <c r="L62" s="4" t="s">
        <v>505</v>
      </c>
      <c r="M62" s="119">
        <v>44971</v>
      </c>
      <c r="N62" s="2">
        <v>3329</v>
      </c>
      <c r="O62" s="2">
        <v>79</v>
      </c>
      <c r="P62" s="118">
        <v>1881</v>
      </c>
      <c r="Q62" s="6">
        <f>Table2[[#This Row],[Orders]]/Table2[[#This Row],[Visits]]</f>
        <v>2.3730850105136678E-2</v>
      </c>
    </row>
    <row r="63" spans="2:19" ht="15.6" x14ac:dyDescent="0.3">
      <c r="J6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3" s="65" t="str">
        <f>_xlfn.TEXTAFTER(Table2[[#This Row],[SFMC Name]],"_",4)</f>
        <v>XLCocaCola</v>
      </c>
      <c r="L63" s="4" t="s">
        <v>506</v>
      </c>
      <c r="M63" s="119">
        <v>44973</v>
      </c>
      <c r="N63" s="2">
        <v>14678</v>
      </c>
      <c r="O63" s="2">
        <v>147</v>
      </c>
      <c r="P63" s="118">
        <v>4739</v>
      </c>
      <c r="Q63" s="6">
        <f>Table2[[#This Row],[Orders]]/Table2[[#This Row],[Visits]]</f>
        <v>1.0014988418040605E-2</v>
      </c>
    </row>
    <row r="64" spans="2:19" ht="15.6" x14ac:dyDescent="0.3">
      <c r="J6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4" s="65" t="str">
        <f>_xlfn.TEXTAFTER(Table2[[#This Row],[SFMC Name]],"_",4)</f>
        <v>D&amp;TCineClubAcq#4</v>
      </c>
      <c r="L64" s="4" t="s">
        <v>507</v>
      </c>
      <c r="M64" s="119">
        <v>44973</v>
      </c>
      <c r="N64" s="2">
        <v>750</v>
      </c>
      <c r="O64" s="2">
        <v>5</v>
      </c>
      <c r="P64" s="118">
        <v>87</v>
      </c>
      <c r="Q64" s="6">
        <f>Table2[[#This Row],[Orders]]/Table2[[#This Row],[Visits]]</f>
        <v>6.6666666666666671E-3</v>
      </c>
    </row>
    <row r="65" spans="10:17" ht="15.6" x14ac:dyDescent="0.3">
      <c r="J6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5" s="65" t="str">
        <f>_xlfn.TEXTAFTER(Table2[[#This Row],[SFMC Name]],"_",4)</f>
        <v>AdvTicketJesusRevolution</v>
      </c>
      <c r="L65" s="4" t="s">
        <v>508</v>
      </c>
      <c r="M65" s="119">
        <v>44974</v>
      </c>
      <c r="N65" s="2">
        <v>734</v>
      </c>
      <c r="O65" s="2">
        <v>29</v>
      </c>
      <c r="P65" s="118">
        <v>768</v>
      </c>
      <c r="Q65" s="6">
        <f>Table2[[#This Row],[Orders]]/Table2[[#This Row],[Visits]]</f>
        <v>3.9509536784741145E-2</v>
      </c>
    </row>
    <row r="66" spans="10:17" ht="15.6" x14ac:dyDescent="0.3">
      <c r="J6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66" s="65" t="str">
        <f>_xlfn.TEXTAFTER(Table2[[#This Row],[SFMC Name]],"_",4)</f>
        <v>StoreNewsletterEN</v>
      </c>
      <c r="L66" s="4" t="s">
        <v>509</v>
      </c>
      <c r="M66" s="119">
        <v>44974</v>
      </c>
      <c r="N66" s="2">
        <v>7300</v>
      </c>
      <c r="O66" s="2">
        <v>243</v>
      </c>
      <c r="P66" s="118">
        <v>1924</v>
      </c>
      <c r="Q66" s="6">
        <f>Table2[[#This Row],[Orders]]/Table2[[#This Row],[Visits]]</f>
        <v>3.3287671232876716E-2</v>
      </c>
    </row>
    <row r="67" spans="10:17" ht="15.6" x14ac:dyDescent="0.3">
      <c r="J6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7" s="65" t="str">
        <f>_xlfn.TEXTAFTER(Table2[[#This Row],[SFMC Name]],"_",4)</f>
        <v>CatalogueTitles</v>
      </c>
      <c r="L67" s="4" t="s">
        <v>510</v>
      </c>
      <c r="M67" s="119">
        <v>44974</v>
      </c>
      <c r="N67" s="2">
        <v>20336</v>
      </c>
      <c r="O67" s="2">
        <v>366</v>
      </c>
      <c r="P67" s="118">
        <v>13997</v>
      </c>
      <c r="Q67" s="6">
        <f>Table2[[#This Row],[Orders]]/Table2[[#This Row],[Visits]]</f>
        <v>1.7997639653815893E-2</v>
      </c>
    </row>
    <row r="68" spans="10:17" ht="15.6" x14ac:dyDescent="0.3">
      <c r="J6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68" s="65" t="str">
        <f>_xlfn.TEXTAFTER(Table2[[#This Row],[SFMC Name]],"_",4)</f>
        <v>FamilyNewsletter</v>
      </c>
      <c r="L68" s="4" t="s">
        <v>511</v>
      </c>
      <c r="M68" s="119">
        <v>44975</v>
      </c>
      <c r="N68" s="2">
        <v>3702</v>
      </c>
      <c r="O68" s="2">
        <v>54</v>
      </c>
      <c r="P68" s="118">
        <v>1870</v>
      </c>
      <c r="Q68" s="6">
        <f>Table2[[#This Row],[Orders]]/Table2[[#This Row],[Visits]]</f>
        <v>1.4586709886547812E-2</v>
      </c>
    </row>
    <row r="69" spans="10:17" ht="15.6" x14ac:dyDescent="0.3">
      <c r="J6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69" s="65" t="str">
        <f>_xlfn.TEXTAFTER(Table2[[#This Row],[SFMC Name]],"_",4)</f>
        <v>StoreNewsletterFR</v>
      </c>
      <c r="L69" s="4" t="s">
        <v>512</v>
      </c>
      <c r="M69" s="119">
        <v>44975</v>
      </c>
      <c r="N69" s="2">
        <v>308</v>
      </c>
      <c r="O69" s="2">
        <v>15</v>
      </c>
      <c r="P69" s="118">
        <v>85</v>
      </c>
      <c r="Q69" s="6">
        <f>Table2[[#This Row],[Orders]]/Table2[[#This Row],[Visits]]</f>
        <v>4.8701298701298704E-2</v>
      </c>
    </row>
    <row r="70" spans="10:17" ht="15.6" x14ac:dyDescent="0.3">
      <c r="J7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0" s="65" t="str">
        <f>_xlfn.TEXTAFTER(Table2[[#This Row],[SFMC Name]],"_",4)</f>
        <v>1MPointContestReminder</v>
      </c>
      <c r="L70" s="4" t="s">
        <v>513</v>
      </c>
      <c r="M70" s="119">
        <v>44977</v>
      </c>
      <c r="N70" s="2">
        <v>75004</v>
      </c>
      <c r="O70" s="2">
        <v>211</v>
      </c>
      <c r="P70" s="118">
        <v>5720</v>
      </c>
      <c r="Q70" s="6">
        <f>Table2[[#This Row],[Orders]]/Table2[[#This Row],[Visits]]</f>
        <v>2.8131832968908326E-3</v>
      </c>
    </row>
    <row r="71" spans="10:17" ht="15.6" x14ac:dyDescent="0.3">
      <c r="J7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1" s="65" t="str">
        <f>_xlfn.TEXTAFTER(Table2[[#This Row],[SFMC Name]],"_",4)</f>
        <v>HalfOffGamePlayReminder</v>
      </c>
      <c r="L71" s="4" t="s">
        <v>514</v>
      </c>
      <c r="M71" s="119">
        <v>44978</v>
      </c>
      <c r="N71" s="2">
        <v>0</v>
      </c>
      <c r="O71" s="2">
        <v>0</v>
      </c>
      <c r="P71" s="118">
        <v>0</v>
      </c>
      <c r="Q71" s="6">
        <v>0</v>
      </c>
    </row>
    <row r="72" spans="10:17" ht="15.6" x14ac:dyDescent="0.3">
      <c r="J7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2" s="65" t="str">
        <f>_xlfn.TEXTAFTER(Table2[[#This Row],[SFMC Name]],"_",4)</f>
        <v>TuesdayDeals</v>
      </c>
      <c r="L72" s="4" t="s">
        <v>515</v>
      </c>
      <c r="M72" s="119">
        <v>44978</v>
      </c>
      <c r="N72" s="2">
        <v>3078</v>
      </c>
      <c r="O72" s="2">
        <v>48</v>
      </c>
      <c r="P72" s="118">
        <v>940</v>
      </c>
      <c r="Q72" s="6">
        <f>Table2[[#This Row],[Orders]]/Table2[[#This Row],[Visits]]</f>
        <v>1.5594541910331383E-2</v>
      </c>
    </row>
    <row r="73" spans="10:17" ht="15.6" x14ac:dyDescent="0.3">
      <c r="J7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3" s="65" t="str">
        <f>_xlfn.TEXTAFTER(Table2[[#This Row],[SFMC Name]],"_",4)</f>
        <v>2xScenePointsOffer</v>
      </c>
      <c r="L73" s="4" t="s">
        <v>516</v>
      </c>
      <c r="M73" s="119">
        <v>44979</v>
      </c>
      <c r="N73" s="2">
        <v>15702</v>
      </c>
      <c r="O73" s="2">
        <v>506</v>
      </c>
      <c r="P73" s="118">
        <v>17620</v>
      </c>
      <c r="Q73" s="6">
        <f>Table2[[#This Row],[Orders]]/Table2[[#This Row],[Visits]]</f>
        <v>3.2225194242771621E-2</v>
      </c>
    </row>
    <row r="74" spans="10:17" ht="15.6" x14ac:dyDescent="0.3">
      <c r="J7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4" s="65" t="str">
        <f>_xlfn.TEXTAFTER(Table2[[#This Row],[SFMC Name]],"_",4)</f>
        <v>Luther</v>
      </c>
      <c r="L74" s="4" t="s">
        <v>517</v>
      </c>
      <c r="M74" s="119">
        <v>44980</v>
      </c>
      <c r="N74" s="2">
        <v>292</v>
      </c>
      <c r="O74" s="2">
        <v>9</v>
      </c>
      <c r="P74" s="118">
        <v>246</v>
      </c>
      <c r="Q74" s="6">
        <f>Table2[[#This Row],[Orders]]/Table2[[#This Row],[Visits]]</f>
        <v>3.0821917808219176E-2</v>
      </c>
    </row>
    <row r="75" spans="10:17" ht="15.6" x14ac:dyDescent="0.3">
      <c r="J7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5" s="65" t="str">
        <f>_xlfn.TEXTAFTER(Table2[[#This Row],[SFMC Name]],"_",4)</f>
        <v>SceneAcquisitionOfferReminder</v>
      </c>
      <c r="L75" s="4" t="s">
        <v>518</v>
      </c>
      <c r="M75" s="119">
        <v>44980</v>
      </c>
      <c r="N75" s="2">
        <v>673</v>
      </c>
      <c r="O75" s="2">
        <v>14</v>
      </c>
      <c r="P75" s="118">
        <v>468</v>
      </c>
      <c r="Q75" s="6">
        <f>Table2[[#This Row],[Orders]]/Table2[[#This Row],[Visits]]</f>
        <v>2.0802377414561663E-2</v>
      </c>
    </row>
    <row r="76" spans="10:17" ht="15.6" x14ac:dyDescent="0.3">
      <c r="J7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76" s="65" t="str">
        <f>_xlfn.TEXTAFTER(Table2[[#This Row],[SFMC Name]],"_",4)</f>
        <v>StoreNewsletterEN</v>
      </c>
      <c r="L76" s="4" t="s">
        <v>519</v>
      </c>
      <c r="M76" s="119">
        <v>44981</v>
      </c>
      <c r="N76" s="2">
        <v>4949</v>
      </c>
      <c r="O76" s="2">
        <v>80</v>
      </c>
      <c r="P76" s="118">
        <v>988.4</v>
      </c>
      <c r="Q76" s="6">
        <f>Table2[[#This Row],[Orders]]/Table2[[#This Row],[Visits]]</f>
        <v>1.616488179430188E-2</v>
      </c>
    </row>
    <row r="77" spans="10:17" ht="15.6" x14ac:dyDescent="0.3">
      <c r="J7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7" s="65" t="str">
        <f>_xlfn.TEXTAFTER(Table2[[#This Row],[SFMC Name]],"_",4)</f>
        <v>CatalogueTitles</v>
      </c>
      <c r="L77" s="4" t="s">
        <v>520</v>
      </c>
      <c r="M77" s="119">
        <v>44981</v>
      </c>
      <c r="N77" s="2">
        <v>18239</v>
      </c>
      <c r="O77" s="2">
        <v>195</v>
      </c>
      <c r="P77" s="118">
        <v>6591.91</v>
      </c>
      <c r="Q77" s="6">
        <f>Table2[[#This Row],[Orders]]/Table2[[#This Row],[Visits]]</f>
        <v>1.0691375623663579E-2</v>
      </c>
    </row>
    <row r="78" spans="10:17" ht="15.6" x14ac:dyDescent="0.3">
      <c r="J7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8" s="65" t="str">
        <f>_xlfn.TEXTAFTER(Table2[[#This Row],[SFMC Name]],"_",4)</f>
        <v>CocoFerme</v>
      </c>
      <c r="L78" s="4" t="s">
        <v>521</v>
      </c>
      <c r="M78" s="119">
        <v>44981</v>
      </c>
      <c r="N78" s="2">
        <v>112</v>
      </c>
      <c r="O78" s="2">
        <v>1</v>
      </c>
      <c r="P78" s="118">
        <v>26.46</v>
      </c>
      <c r="Q78" s="6">
        <f>Table2[[#This Row],[Orders]]/Table2[[#This Row],[Visits]]</f>
        <v>8.9285714285714281E-3</v>
      </c>
    </row>
    <row r="79" spans="10:17" ht="15.6" x14ac:dyDescent="0.3">
      <c r="J7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79" s="65" t="str">
        <f>_xlfn.TEXTAFTER(Table2[[#This Row],[SFMC Name]],"_",4)</f>
        <v>AdvTicketsShazam</v>
      </c>
      <c r="L79" s="4" t="s">
        <v>522</v>
      </c>
      <c r="M79" s="119">
        <v>44981</v>
      </c>
      <c r="N79" s="2">
        <v>7626</v>
      </c>
      <c r="O79" s="2">
        <v>228</v>
      </c>
      <c r="P79" s="118">
        <v>8833.2000000000007</v>
      </c>
      <c r="Q79" s="6">
        <f>Table2[[#This Row],[Orders]]/Table2[[#This Row],[Visits]]</f>
        <v>2.9897718332022032E-2</v>
      </c>
    </row>
    <row r="80" spans="10:17" ht="15.6" x14ac:dyDescent="0.3">
      <c r="J8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BMP</v>
      </c>
      <c r="K80" s="65" t="str">
        <f>_xlfn.TEXTAFTER(Table2[[#This Row],[SFMC Name]],"_",4)</f>
        <v>HybridMeetings</v>
      </c>
      <c r="L80" s="4" t="s">
        <v>523</v>
      </c>
      <c r="M80" s="119">
        <v>44984</v>
      </c>
      <c r="N80" s="2">
        <v>59</v>
      </c>
      <c r="O80" s="2">
        <v>0</v>
      </c>
      <c r="P80" s="118">
        <v>0</v>
      </c>
      <c r="Q80" s="6">
        <f>Table2[[#This Row],[Orders]]/Table2[[#This Row],[Visits]]</f>
        <v>0</v>
      </c>
    </row>
    <row r="81" spans="10:17" ht="15.6" x14ac:dyDescent="0.3">
      <c r="J8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81" s="65" t="str">
        <f>_xlfn.TEXTAFTER(Table2[[#This Row],[SFMC Name]],"_",4)</f>
        <v>TuesdayDeals</v>
      </c>
      <c r="L81" s="4" t="s">
        <v>524</v>
      </c>
      <c r="M81" s="119">
        <v>44985</v>
      </c>
      <c r="N81" s="2">
        <v>5175</v>
      </c>
      <c r="O81" s="2">
        <v>82</v>
      </c>
      <c r="P81" s="118">
        <v>1796.78</v>
      </c>
      <c r="Q81" s="6">
        <f>Table2[[#This Row],[Orders]]/Table2[[#This Row],[Visits]]</f>
        <v>1.5845410628019325E-2</v>
      </c>
    </row>
    <row r="82" spans="10:17" ht="15.6" x14ac:dyDescent="0.3">
      <c r="J8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82" s="65" t="str">
        <f>_xlfn.TEXTAFTER(Table2[[#This Row],[SFMC Name]],"_",4)</f>
        <v>AdvTicketJohnWickChpt4</v>
      </c>
      <c r="L82" s="4" t="s">
        <v>525</v>
      </c>
      <c r="M82" s="119">
        <v>44986</v>
      </c>
      <c r="N82" s="2">
        <v>16715</v>
      </c>
      <c r="O82" s="2">
        <v>1133</v>
      </c>
      <c r="P82" s="118">
        <v>50285</v>
      </c>
      <c r="Q82" s="6">
        <f>Table2[[#This Row],[Orders]]/Table2[[#This Row],[Visits]]</f>
        <v>6.7783428058629969E-2</v>
      </c>
    </row>
    <row r="83" spans="10:17" ht="15.6" x14ac:dyDescent="0.3">
      <c r="J8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83" s="65" t="str">
        <f>_xlfn.TEXTAFTER(Table2[[#This Row],[SFMC Name]],"_",4)</f>
        <v>SpringBreakOffer</v>
      </c>
      <c r="L83" s="65" t="s">
        <v>526</v>
      </c>
      <c r="M83" s="119">
        <v>44986</v>
      </c>
      <c r="N83" s="2">
        <v>814</v>
      </c>
      <c r="O83" s="2">
        <v>0</v>
      </c>
      <c r="P83" s="118">
        <v>0</v>
      </c>
      <c r="Q83" s="6">
        <f>Table2[[#This Row],[Orders]]/Table2[[#This Row],[Visits]]</f>
        <v>0</v>
      </c>
    </row>
    <row r="84" spans="10:17" ht="15.6" x14ac:dyDescent="0.3">
      <c r="J8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84" s="65" t="str">
        <f>_xlfn.TEXTAFTER(Table2[[#This Row],[SFMC Name]],"_",4)</f>
        <v>StoreNewsletterEN</v>
      </c>
      <c r="L84" s="65" t="s">
        <v>527</v>
      </c>
      <c r="M84" s="119">
        <v>44988</v>
      </c>
      <c r="N84" s="2">
        <v>4730</v>
      </c>
      <c r="O84" s="2">
        <v>99</v>
      </c>
      <c r="P84" s="118">
        <v>1140</v>
      </c>
      <c r="Q84" s="6">
        <f>Table2[[#This Row],[Orders]]/Table2[[#This Row],[Visits]]</f>
        <v>2.0930232558139535E-2</v>
      </c>
    </row>
    <row r="85" spans="10:17" ht="15.6" x14ac:dyDescent="0.3">
      <c r="J8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85" s="65" t="str">
        <f>_xlfn.TEXTAFTER(Table2[[#This Row],[SFMC Name]],"_",4)</f>
        <v>CatalogueTitles</v>
      </c>
      <c r="L85" s="65" t="s">
        <v>528</v>
      </c>
      <c r="M85" s="119">
        <v>44988</v>
      </c>
      <c r="N85" s="2">
        <v>18073</v>
      </c>
      <c r="O85" s="2">
        <v>255</v>
      </c>
      <c r="P85" s="118">
        <v>8139</v>
      </c>
      <c r="Q85" s="6">
        <f>Table2[[#This Row],[Orders]]/Table2[[#This Row],[Visits]]</f>
        <v>1.4109445028495546E-2</v>
      </c>
    </row>
    <row r="86" spans="10:17" ht="15.6" x14ac:dyDescent="0.3">
      <c r="J8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86" s="65" t="str">
        <f>_xlfn.TEXTAFTER(Table2[[#This Row],[SFMC Name]],"_",4)</f>
        <v>StPatricksDayPartyInvite</v>
      </c>
      <c r="L86" s="65" t="s">
        <v>529</v>
      </c>
      <c r="M86" s="119">
        <v>44988</v>
      </c>
      <c r="N86" s="2">
        <v>144</v>
      </c>
      <c r="O86" s="2">
        <v>0</v>
      </c>
      <c r="P86" s="118">
        <v>0</v>
      </c>
      <c r="Q86" s="6">
        <f>Table2[[#This Row],[Orders]]/Table2[[#This Row],[Visits]]</f>
        <v>0</v>
      </c>
    </row>
    <row r="87" spans="10:17" ht="15.6" x14ac:dyDescent="0.3">
      <c r="J8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87" s="65" t="str">
        <f>_xlfn.TEXTAFTER(Table2[[#This Row],[SFMC Name]],"_",4)</f>
        <v>TheresAlwaysHope</v>
      </c>
      <c r="L87" s="65" t="s">
        <v>530</v>
      </c>
      <c r="M87" s="119">
        <v>44988</v>
      </c>
      <c r="N87" s="2">
        <v>772</v>
      </c>
      <c r="O87" s="2">
        <v>3</v>
      </c>
      <c r="P87" s="118">
        <v>78</v>
      </c>
      <c r="Q87" s="6">
        <f>Table2[[#This Row],[Orders]]/Table2[[#This Row],[Visits]]</f>
        <v>3.8860103626943004E-3</v>
      </c>
    </row>
    <row r="88" spans="10:17" ht="15.6" x14ac:dyDescent="0.3">
      <c r="J8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88" s="65" t="str">
        <f>_xlfn.TEXTAFTER(Table2[[#This Row],[SFMC Name]],"_",4)</f>
        <v>StoreNewsLetterFR</v>
      </c>
      <c r="L88" s="4" t="s">
        <v>531</v>
      </c>
      <c r="M88" s="119">
        <v>44989</v>
      </c>
      <c r="N88" s="2">
        <v>319</v>
      </c>
      <c r="O88" s="2">
        <v>8</v>
      </c>
      <c r="P88" s="118">
        <v>107</v>
      </c>
      <c r="Q88" s="6">
        <f>Table2[[#This Row],[Orders]]/Table2[[#This Row],[Visits]]</f>
        <v>2.5078369905956112E-2</v>
      </c>
    </row>
    <row r="89" spans="10:17" ht="15.6" x14ac:dyDescent="0.3">
      <c r="J8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89" s="65" t="str">
        <f>_xlfn.TEXTAFTER(Table2[[#This Row],[SFMC Name]],"_",4)</f>
        <v>Arts&amp;CultureNewsletter</v>
      </c>
      <c r="L89" s="4" t="s">
        <v>532</v>
      </c>
      <c r="M89" s="119">
        <v>44989</v>
      </c>
      <c r="N89" s="2">
        <v>1971</v>
      </c>
      <c r="O89" s="2">
        <v>62</v>
      </c>
      <c r="P89" s="118">
        <v>2509</v>
      </c>
      <c r="Q89" s="6">
        <f>Table2[[#This Row],[Orders]]/Table2[[#This Row],[Visits]]</f>
        <v>3.1456113647894468E-2</v>
      </c>
    </row>
    <row r="90" spans="10:17" ht="15.6" x14ac:dyDescent="0.3">
      <c r="J9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0" s="65" t="str">
        <f>_xlfn.TEXTAFTER(Table2[[#This Row],[SFMC Name]],"_",4)</f>
        <v>TuesdayDeals</v>
      </c>
      <c r="L90" s="4" t="s">
        <v>533</v>
      </c>
      <c r="M90" s="119">
        <v>44992</v>
      </c>
      <c r="N90" s="2">
        <v>4706</v>
      </c>
      <c r="O90" s="2">
        <v>104</v>
      </c>
      <c r="P90" s="118">
        <v>2353</v>
      </c>
      <c r="Q90" s="6">
        <f>Table2[[#This Row],[Orders]]/Table2[[#This Row],[Visits]]</f>
        <v>2.2099447513812154E-2</v>
      </c>
    </row>
    <row r="91" spans="10:17" ht="15.6" x14ac:dyDescent="0.3">
      <c r="J9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1" s="65" t="str">
        <f>_xlfn.TEXTAFTER(Table2[[#This Row],[SFMC Name]],"_",4)</f>
        <v>MultiTitleHoli</v>
      </c>
      <c r="L91" s="4" t="s">
        <v>534</v>
      </c>
      <c r="M91" s="119">
        <v>44993</v>
      </c>
      <c r="N91" s="2">
        <v>1024</v>
      </c>
      <c r="O91" s="2">
        <v>19</v>
      </c>
      <c r="P91" s="118">
        <v>453</v>
      </c>
      <c r="Q91" s="6">
        <f>Table2[[#This Row],[Orders]]/Table2[[#This Row],[Visits]]</f>
        <v>1.85546875E-2</v>
      </c>
    </row>
    <row r="92" spans="10:17" ht="15.6" x14ac:dyDescent="0.3">
      <c r="J9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OTHER</v>
      </c>
      <c r="K92" s="65" t="str">
        <f>_xlfn.TEXTAFTER(Table2[[#This Row],[SFMC Name]],"_",4)</f>
        <v>JesusRevolution2</v>
      </c>
      <c r="L92" s="4" t="s">
        <v>535</v>
      </c>
      <c r="M92" s="119">
        <v>44994</v>
      </c>
      <c r="N92" s="2">
        <v>324</v>
      </c>
      <c r="O92" s="2">
        <v>6</v>
      </c>
      <c r="P92" s="118">
        <v>127</v>
      </c>
      <c r="Q92" s="6">
        <f>Table2[[#This Row],[Orders]]/Table2[[#This Row],[Visits]]</f>
        <v>1.8518518518518517E-2</v>
      </c>
    </row>
    <row r="93" spans="10:17" ht="15.6" x14ac:dyDescent="0.3">
      <c r="J9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93" s="65" t="str">
        <f>_xlfn.TEXTAFTER(Table2[[#This Row],[SFMC Name]],"_",4)</f>
        <v>StoreNewsletterEN</v>
      </c>
      <c r="L93" s="4" t="s">
        <v>536</v>
      </c>
      <c r="M93" s="119">
        <v>44995</v>
      </c>
      <c r="N93" s="2">
        <v>5132</v>
      </c>
      <c r="O93" s="2">
        <v>106</v>
      </c>
      <c r="P93" s="118">
        <v>1099</v>
      </c>
      <c r="Q93" s="6">
        <f>Table2[[#This Row],[Orders]]/Table2[[#This Row],[Visits]]</f>
        <v>2.0654715510522212E-2</v>
      </c>
    </row>
    <row r="94" spans="10:17" ht="15.6" x14ac:dyDescent="0.3">
      <c r="J9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4" s="65" t="str">
        <f>_xlfn.TEXTAFTER(Table2[[#This Row],[SFMC Name]],"_",4)</f>
        <v>CatalogueTitles</v>
      </c>
      <c r="L94" s="4" t="s">
        <v>537</v>
      </c>
      <c r="M94" s="119">
        <v>44995</v>
      </c>
      <c r="N94" s="2">
        <v>24567</v>
      </c>
      <c r="O94" s="2">
        <v>381</v>
      </c>
      <c r="P94" s="118">
        <v>14220</v>
      </c>
      <c r="Q94" s="6">
        <f>Table2[[#This Row],[Orders]]/Table2[[#This Row],[Visits]]</f>
        <v>1.5508609109781414E-2</v>
      </c>
    </row>
    <row r="95" spans="10:17" ht="15.6" x14ac:dyDescent="0.3">
      <c r="J9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5" s="65" t="str">
        <f>_xlfn.TEXTAFTER(Table2[[#This Row],[SFMC Name]],"_",4)</f>
        <v>AdvTicketSuperMario</v>
      </c>
      <c r="L95" s="4" t="s">
        <v>538</v>
      </c>
      <c r="M95" s="119">
        <v>44995</v>
      </c>
      <c r="N95" s="2">
        <v>25661</v>
      </c>
      <c r="O95" s="2">
        <v>1368</v>
      </c>
      <c r="P95" s="118">
        <v>66965</v>
      </c>
      <c r="Q95" s="6">
        <f>Table2[[#This Row],[Orders]]/Table2[[#This Row],[Visits]]</f>
        <v>5.3310471142979619E-2</v>
      </c>
    </row>
    <row r="96" spans="10:17" ht="15.6" x14ac:dyDescent="0.3">
      <c r="J9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6" s="65" t="str">
        <f>_xlfn.TEXTAFTER(Table2[[#This Row],[SFMC Name]],"_",4)</f>
        <v>Mummies</v>
      </c>
      <c r="L96" s="4" t="s">
        <v>539</v>
      </c>
      <c r="M96" s="119">
        <v>44996</v>
      </c>
      <c r="N96" s="2">
        <v>3368</v>
      </c>
      <c r="O96" s="2">
        <v>94</v>
      </c>
      <c r="P96" s="118">
        <v>2691</v>
      </c>
      <c r="Q96" s="6">
        <f>Table2[[#This Row],[Orders]]/Table2[[#This Row],[Visits]]</f>
        <v>2.7909738717339667E-2</v>
      </c>
    </row>
    <row r="97" spans="10:17" ht="15.6" x14ac:dyDescent="0.3">
      <c r="J9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97" s="65" t="str">
        <f>_xlfn.TEXTAFTER(Table2[[#This Row],[SFMC Name]],"_",4)</f>
        <v>StPatricksDayPartyReminder</v>
      </c>
      <c r="L97" s="4" t="s">
        <v>540</v>
      </c>
      <c r="M97" s="119">
        <v>44998</v>
      </c>
      <c r="N97" s="2">
        <v>175</v>
      </c>
      <c r="O97" s="2">
        <v>0</v>
      </c>
      <c r="P97" s="118">
        <v>0</v>
      </c>
      <c r="Q97" s="6">
        <f>Table2[[#This Row],[Orders]]/Table2[[#This Row],[Visits]]</f>
        <v>0</v>
      </c>
    </row>
    <row r="98" spans="10:17" ht="15.6" x14ac:dyDescent="0.3">
      <c r="J9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98" s="65" t="str">
        <f>_xlfn.TEXTAFTER(Table2[[#This Row],[SFMC Name]],"_",4)</f>
        <v>TheLastOfUs</v>
      </c>
      <c r="L98" s="4" t="s">
        <v>541</v>
      </c>
      <c r="M98" s="119">
        <v>44998</v>
      </c>
      <c r="N98" s="2">
        <v>21054</v>
      </c>
      <c r="O98" s="2">
        <v>160</v>
      </c>
      <c r="P98" s="118">
        <v>4422</v>
      </c>
      <c r="Q98" s="6">
        <f>Table2[[#This Row],[Orders]]/Table2[[#This Row],[Visits]]</f>
        <v>7.5995060321079133E-3</v>
      </c>
    </row>
    <row r="99" spans="10:17" ht="15.6" x14ac:dyDescent="0.3">
      <c r="J9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99" s="65" t="str">
        <f>_xlfn.TEXTAFTER(Table2[[#This Row],[SFMC Name]],"_",4)</f>
        <v>AdvTicketD&amp;D</v>
      </c>
      <c r="L99" s="4" t="s">
        <v>542</v>
      </c>
      <c r="M99" s="119">
        <v>44998</v>
      </c>
      <c r="N99" s="2">
        <v>11647</v>
      </c>
      <c r="O99" s="2">
        <v>356</v>
      </c>
      <c r="P99" s="118">
        <v>12412</v>
      </c>
      <c r="Q99" s="6">
        <f>Table2[[#This Row],[Orders]]/Table2[[#This Row],[Visits]]</f>
        <v>3.0565810938439082E-2</v>
      </c>
    </row>
    <row r="100" spans="10:17" ht="15.6" x14ac:dyDescent="0.3">
      <c r="J10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0" s="65" t="str">
        <f>_xlfn.TEXTAFTER(Table2[[#This Row],[SFMC Name]],"_",4)</f>
        <v>AndreRieuInDublin</v>
      </c>
      <c r="L100" s="4" t="s">
        <v>543</v>
      </c>
      <c r="M100" s="119">
        <v>44999</v>
      </c>
      <c r="N100" s="2">
        <v>2546</v>
      </c>
      <c r="O100" s="2">
        <v>73</v>
      </c>
      <c r="P100" s="118">
        <v>3093</v>
      </c>
      <c r="Q100" s="6">
        <f>Table2[[#This Row],[Orders]]/Table2[[#This Row],[Visits]]</f>
        <v>2.8672427336999214E-2</v>
      </c>
    </row>
    <row r="101" spans="10:17" ht="15.6" x14ac:dyDescent="0.3">
      <c r="J10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1" s="65" t="str">
        <f>_xlfn.TEXTAFTER(Table2[[#This Row],[SFMC Name]],"_",4)</f>
        <v>TuesdayDeals</v>
      </c>
      <c r="L101" s="4" t="s">
        <v>544</v>
      </c>
      <c r="M101" s="119">
        <v>44999</v>
      </c>
      <c r="N101" s="2">
        <v>4314</v>
      </c>
      <c r="O101" s="2">
        <v>134</v>
      </c>
      <c r="P101" s="118">
        <v>3542.98</v>
      </c>
      <c r="Q101" s="6">
        <f>Table2[[#This Row],[Orders]]/Table2[[#This Row],[Visits]]</f>
        <v>3.1061659712563746E-2</v>
      </c>
    </row>
    <row r="102" spans="10:17" ht="15.6" x14ac:dyDescent="0.3">
      <c r="J10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102" s="65" t="str">
        <f>_xlfn.TEXTAFTER(Table2[[#This Row],[SFMC Name]],"_",4)</f>
        <v>SpringBreakOfferReminder1</v>
      </c>
      <c r="L102" s="4" t="s">
        <v>545</v>
      </c>
      <c r="M102" s="119">
        <v>45000</v>
      </c>
      <c r="N102" s="2">
        <v>649</v>
      </c>
      <c r="O102" s="2">
        <v>0</v>
      </c>
      <c r="P102" s="118">
        <v>0</v>
      </c>
      <c r="Q102" s="6">
        <f>Table2[[#This Row],[Orders]]/Table2[[#This Row],[Visits]]</f>
        <v>0</v>
      </c>
    </row>
    <row r="103" spans="10:17" ht="15.6" x14ac:dyDescent="0.3">
      <c r="J10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3" s="65" t="str">
        <f>_xlfn.TEXTAFTER(Table2[[#This Row],[SFMC Name]],"_",4)</f>
        <v>PointsOfferCrepuscle</v>
      </c>
      <c r="L103" s="4" t="s">
        <v>546</v>
      </c>
      <c r="M103" s="119">
        <v>45001</v>
      </c>
      <c r="N103" s="2">
        <v>208</v>
      </c>
      <c r="O103" s="2">
        <v>11</v>
      </c>
      <c r="P103" s="118">
        <v>191</v>
      </c>
      <c r="Q103" s="6">
        <f>Table2[[#This Row],[Orders]]/Table2[[#This Row],[Visits]]</f>
        <v>5.2884615384615384E-2</v>
      </c>
    </row>
    <row r="104" spans="10:17" ht="15.6" x14ac:dyDescent="0.3">
      <c r="J10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04" s="65" t="str">
        <f>_xlfn.TEXTAFTER(Table2[[#This Row],[SFMC Name]],"_",4)</f>
        <v>StoreNewsletterEN</v>
      </c>
      <c r="L104" s="4" t="s">
        <v>547</v>
      </c>
      <c r="M104" s="119">
        <v>45002</v>
      </c>
      <c r="N104" s="2">
        <v>4911</v>
      </c>
      <c r="O104" s="2">
        <v>171</v>
      </c>
      <c r="P104" s="118">
        <v>2785</v>
      </c>
      <c r="Q104" s="6">
        <f>Table2[[#This Row],[Orders]]/Table2[[#This Row],[Visits]]</f>
        <v>3.4819792302993278E-2</v>
      </c>
    </row>
    <row r="105" spans="10:17" ht="15.6" x14ac:dyDescent="0.3">
      <c r="J10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5" s="65" t="str">
        <f>_xlfn.TEXTAFTER(Table2[[#This Row],[SFMC Name]],"_",4)</f>
        <v>CatalogueTitles</v>
      </c>
      <c r="L105" s="4" t="s">
        <v>548</v>
      </c>
      <c r="M105" s="119">
        <v>45002</v>
      </c>
      <c r="N105" s="2">
        <v>16723</v>
      </c>
      <c r="O105" s="2">
        <v>287</v>
      </c>
      <c r="P105" s="118">
        <v>10825.34</v>
      </c>
      <c r="Q105" s="6">
        <f>Table2[[#This Row],[Orders]]/Table2[[#This Row],[Visits]]</f>
        <v>1.7161992465466722E-2</v>
      </c>
    </row>
    <row r="106" spans="10:17" ht="15.6" x14ac:dyDescent="0.3">
      <c r="J10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6" s="65" t="str">
        <f>_xlfn.TEXTAFTER(Table2[[#This Row],[SFMC Name]],"_",4)</f>
        <v>FamilyNewsletter</v>
      </c>
      <c r="L106" s="4" t="s">
        <v>549</v>
      </c>
      <c r="M106" s="119">
        <v>45003</v>
      </c>
      <c r="N106" s="2">
        <v>1405</v>
      </c>
      <c r="O106" s="2">
        <v>42</v>
      </c>
      <c r="P106" s="118">
        <v>1742.82</v>
      </c>
      <c r="Q106" s="6">
        <f>Table2[[#This Row],[Orders]]/Table2[[#This Row],[Visits]]</f>
        <v>2.9893238434163701E-2</v>
      </c>
    </row>
    <row r="107" spans="10:17" ht="15.6" x14ac:dyDescent="0.3">
      <c r="J10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07" s="65" t="str">
        <f>_xlfn.TEXTAFTER(Table2[[#This Row],[SFMC Name]],"_",4)</f>
        <v>StoreNewsletterFR</v>
      </c>
      <c r="L107" s="4" t="s">
        <v>550</v>
      </c>
      <c r="M107" s="119">
        <v>45003</v>
      </c>
      <c r="N107" s="2">
        <v>272</v>
      </c>
      <c r="O107" s="2">
        <v>6</v>
      </c>
      <c r="P107" s="118">
        <v>118.92</v>
      </c>
      <c r="Q107" s="6">
        <f>Table2[[#This Row],[Orders]]/Table2[[#This Row],[Visits]]</f>
        <v>2.2058823529411766E-2</v>
      </c>
    </row>
    <row r="108" spans="10:17" ht="15.6" x14ac:dyDescent="0.3">
      <c r="J10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8" s="65" t="str">
        <f>_xlfn.TEXTAFTER(Table2[[#This Row],[SFMC Name]],"_",4)</f>
        <v>TuesdayDeals</v>
      </c>
      <c r="L108" s="4" t="s">
        <v>551</v>
      </c>
      <c r="M108" s="119">
        <v>45006</v>
      </c>
      <c r="N108" s="2">
        <v>4137</v>
      </c>
      <c r="O108" s="2">
        <v>83</v>
      </c>
      <c r="P108" s="118">
        <v>2472.2399999999998</v>
      </c>
      <c r="Q108" s="6">
        <f>Table2[[#This Row],[Orders]]/Table2[[#This Row],[Visits]]</f>
        <v>2.0062847474014985E-2</v>
      </c>
    </row>
    <row r="109" spans="10:17" ht="15.6" x14ac:dyDescent="0.3">
      <c r="J10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09" s="65" t="str">
        <f>_xlfn.TEXTAFTER(Table2[[#This Row],[SFMC Name]],"_",4)</f>
        <v>CineClubAcq</v>
      </c>
      <c r="L109" s="4" t="s">
        <v>552</v>
      </c>
      <c r="M109" s="119">
        <v>45007</v>
      </c>
      <c r="N109" s="2">
        <v>1278</v>
      </c>
      <c r="O109" s="2">
        <v>18</v>
      </c>
      <c r="P109" s="118">
        <v>594</v>
      </c>
      <c r="Q109" s="6">
        <f>Table2[[#This Row],[Orders]]/Table2[[#This Row],[Visits]]</f>
        <v>1.4084507042253521E-2</v>
      </c>
    </row>
    <row r="110" spans="10:17" ht="15.6" x14ac:dyDescent="0.3">
      <c r="J11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10" s="65" t="str">
        <f>_xlfn.TEXTAFTER(Table2[[#This Row],[SFMC Name]],"_",4)</f>
        <v>StoreNewsletterEN</v>
      </c>
      <c r="L110" s="4" t="s">
        <v>553</v>
      </c>
      <c r="M110" s="119">
        <v>45009</v>
      </c>
      <c r="N110" s="2">
        <v>3742</v>
      </c>
      <c r="O110" s="2">
        <v>132</v>
      </c>
      <c r="P110" s="118">
        <v>1120</v>
      </c>
      <c r="Q110" s="6">
        <f>Table2[[#This Row],[Orders]]/Table2[[#This Row],[Visits]]</f>
        <v>3.5275253874933188E-2</v>
      </c>
    </row>
    <row r="111" spans="10:17" ht="15.6" x14ac:dyDescent="0.3">
      <c r="J11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11" s="65" t="str">
        <f>_xlfn.TEXTAFTER(Table2[[#This Row],[SFMC Name]],"_",4)</f>
        <v>CatalogueTitles</v>
      </c>
      <c r="L111" s="4" t="s">
        <v>554</v>
      </c>
      <c r="M111" s="119">
        <v>45009</v>
      </c>
      <c r="N111" s="2">
        <v>22004</v>
      </c>
      <c r="O111" s="2">
        <v>621</v>
      </c>
      <c r="P111" s="118">
        <v>22429</v>
      </c>
      <c r="Q111" s="6">
        <f>Table2[[#This Row],[Orders]]/Table2[[#This Row],[Visits]]</f>
        <v>2.8222141428831123E-2</v>
      </c>
    </row>
    <row r="112" spans="10:17" ht="15.6" x14ac:dyDescent="0.3">
      <c r="J11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12" s="65" t="str">
        <f>_xlfn.TEXTAFTER(Table2[[#This Row],[SFMC Name]],"_",4)</f>
        <v>CineClubEarlyAccessAir</v>
      </c>
      <c r="L112" s="4" t="s">
        <v>555</v>
      </c>
      <c r="M112" s="119">
        <v>45009</v>
      </c>
      <c r="N112" s="2">
        <v>9</v>
      </c>
      <c r="O112" s="2">
        <v>0</v>
      </c>
      <c r="P112" s="118">
        <v>0</v>
      </c>
      <c r="Q112" s="6">
        <f>Table2[[#This Row],[Orders]]/Table2[[#This Row],[Visits]]</f>
        <v>0</v>
      </c>
    </row>
    <row r="113" spans="10:17" ht="15.6" x14ac:dyDescent="0.3">
      <c r="J11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13" s="65" t="str">
        <f>_xlfn.TEXTAFTER(Table2[[#This Row],[SFMC Name]],"_",4)</f>
        <v>EarlyAccessAir2</v>
      </c>
      <c r="L113" s="4" t="s">
        <v>556</v>
      </c>
      <c r="M113" s="119">
        <v>45012</v>
      </c>
      <c r="N113" s="2">
        <v>4001</v>
      </c>
      <c r="O113" s="2">
        <v>118</v>
      </c>
      <c r="P113" s="118">
        <v>2980</v>
      </c>
      <c r="Q113" s="6">
        <f>Table2[[#This Row],[Orders]]/Table2[[#This Row],[Visits]]</f>
        <v>2.9492626843289179E-2</v>
      </c>
    </row>
    <row r="114" spans="10:17" ht="15.6" x14ac:dyDescent="0.3">
      <c r="J11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14" s="65" t="str">
        <f>_xlfn.TEXTAFTER(Table2[[#This Row],[SFMC Name]],"_",4)</f>
        <v>TuesdayDealsRFM1</v>
      </c>
      <c r="L114" s="4" t="s">
        <v>557</v>
      </c>
      <c r="M114" s="119">
        <v>45012</v>
      </c>
      <c r="N114" s="2">
        <v>425</v>
      </c>
      <c r="O114" s="2">
        <v>8</v>
      </c>
      <c r="P114" s="118">
        <v>339</v>
      </c>
      <c r="Q114" s="6">
        <f>Table2[[#This Row],[Orders]]/Table2[[#This Row],[Visits]]</f>
        <v>1.8823529411764704E-2</v>
      </c>
    </row>
    <row r="115" spans="10:17" ht="15.6" x14ac:dyDescent="0.3">
      <c r="J11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15" s="65" t="str">
        <f>_xlfn.TEXTAFTER(Table2[[#This Row],[SFMC Name]],"_",4)</f>
        <v>TuesdayDeals</v>
      </c>
      <c r="L115" s="4" t="s">
        <v>558</v>
      </c>
      <c r="M115" s="119">
        <v>45013</v>
      </c>
      <c r="N115" s="2">
        <v>3930</v>
      </c>
      <c r="O115" s="2">
        <v>98</v>
      </c>
      <c r="P115" s="118">
        <v>2581</v>
      </c>
      <c r="Q115" s="6">
        <f>Table2[[#This Row],[Orders]]/Table2[[#This Row],[Visits]]</f>
        <v>2.4936386768447838E-2</v>
      </c>
    </row>
    <row r="116" spans="10:17" ht="15.6" x14ac:dyDescent="0.3">
      <c r="J11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16" s="65" t="str">
        <f>_xlfn.TEXTAFTER(Table2[[#This Row],[SFMC Name]],"_",4)</f>
        <v>TuesdayDealsRFM2</v>
      </c>
      <c r="L116" s="4" t="s">
        <v>559</v>
      </c>
      <c r="M116" s="119">
        <v>45013</v>
      </c>
      <c r="N116" s="2">
        <v>329</v>
      </c>
      <c r="O116" s="2">
        <v>3</v>
      </c>
      <c r="P116" s="118">
        <v>188</v>
      </c>
      <c r="Q116" s="6">
        <f>Table2[[#This Row],[Orders]]/Table2[[#This Row],[Visits]]</f>
        <v>9.11854103343465E-3</v>
      </c>
    </row>
    <row r="117" spans="10:17" ht="15.6" x14ac:dyDescent="0.3">
      <c r="J11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BMP</v>
      </c>
      <c r="K117" s="65" t="str">
        <f>_xlfn.TEXTAFTER(Table2[[#This Row],[SFMC Name]],"_",4)</f>
        <v>PrePaidProducts</v>
      </c>
      <c r="L117" s="4" t="s">
        <v>560</v>
      </c>
      <c r="M117" s="119">
        <v>45013</v>
      </c>
      <c r="N117" s="2">
        <v>0</v>
      </c>
      <c r="O117" s="2">
        <v>0</v>
      </c>
      <c r="P117" s="118">
        <v>0</v>
      </c>
      <c r="Q117" s="6">
        <v>0</v>
      </c>
    </row>
    <row r="118" spans="10:17" ht="15.6" x14ac:dyDescent="0.3">
      <c r="J11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118" s="65" t="str">
        <f>_xlfn.TEXTAFTER(Table2[[#This Row],[SFMC Name]],"_",4)</f>
        <v>SpringBreakOfferFinalReminder</v>
      </c>
      <c r="L118" s="4" t="s">
        <v>561</v>
      </c>
      <c r="M118" s="119">
        <v>45014</v>
      </c>
      <c r="N118" s="2">
        <v>488</v>
      </c>
      <c r="O118" s="2">
        <v>0</v>
      </c>
      <c r="P118" s="118">
        <v>0</v>
      </c>
      <c r="Q118" s="6">
        <f>Table2[[#This Row],[Orders]]/Table2[[#This Row],[Visits]]</f>
        <v>0</v>
      </c>
    </row>
    <row r="119" spans="10:17" ht="15.6" x14ac:dyDescent="0.3">
      <c r="J11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BMP</v>
      </c>
      <c r="K119" s="65" t="str">
        <f>_xlfn.TEXTAFTER(Table2[[#This Row],[SFMC Name]],"_",4)</f>
        <v>SchoolYearEndCelebration</v>
      </c>
      <c r="L119" s="4" t="s">
        <v>562</v>
      </c>
      <c r="M119" s="119">
        <v>45015</v>
      </c>
      <c r="N119" s="2">
        <v>116</v>
      </c>
      <c r="O119" s="2">
        <v>0</v>
      </c>
      <c r="P119" s="118">
        <v>0</v>
      </c>
      <c r="Q119" s="6">
        <f>Table2[[#This Row],[Orders]]/Table2[[#This Row],[Visits]]</f>
        <v>0</v>
      </c>
    </row>
    <row r="120" spans="10:17" ht="15.6" x14ac:dyDescent="0.3">
      <c r="J12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20" s="65" t="str">
        <f>_xlfn.TEXTAFTER(Table2[[#This Row],[SFMC Name]],"_",4)</f>
        <v>StoreNewsletterEN</v>
      </c>
      <c r="L120" s="4" t="s">
        <v>563</v>
      </c>
      <c r="M120" s="119">
        <v>45016</v>
      </c>
      <c r="N120" s="2">
        <v>2971</v>
      </c>
      <c r="O120" s="2">
        <v>80</v>
      </c>
      <c r="P120" s="118">
        <v>678</v>
      </c>
      <c r="Q120" s="6">
        <f>Table2[[#This Row],[Orders]]/Table2[[#This Row],[Visits]]</f>
        <v>2.6926960619320095E-2</v>
      </c>
    </row>
    <row r="121" spans="10:17" ht="15.6" x14ac:dyDescent="0.3">
      <c r="J12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1" s="65" t="str">
        <f>_xlfn.TEXTAFTER(Table2[[#This Row],[SFMC Name]],"_",4)</f>
        <v>CatalogueTitles</v>
      </c>
      <c r="L121" s="4" t="s">
        <v>564</v>
      </c>
      <c r="M121" s="119">
        <v>45016</v>
      </c>
      <c r="N121" s="2">
        <v>18311</v>
      </c>
      <c r="O121" s="2">
        <v>414</v>
      </c>
      <c r="P121" s="118">
        <v>6046</v>
      </c>
      <c r="Q121" s="6">
        <f>Table2[[#This Row],[Orders]]/Table2[[#This Row],[Visits]]</f>
        <v>2.2609360493692315E-2</v>
      </c>
    </row>
    <row r="122" spans="10:17" ht="15.6" x14ac:dyDescent="0.3">
      <c r="J12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22" s="65" t="str">
        <f>_xlfn.TEXTAFTER(Table2[[#This Row],[SFMC Name]],"_",4)</f>
        <v>StoreNewsletterFR</v>
      </c>
      <c r="L122" s="4" t="s">
        <v>565</v>
      </c>
      <c r="M122" s="119">
        <v>45017</v>
      </c>
      <c r="N122" s="2">
        <v>250</v>
      </c>
      <c r="O122" s="2">
        <v>15</v>
      </c>
      <c r="P122" s="118">
        <v>148</v>
      </c>
      <c r="Q122" s="6">
        <f>Table2[[#This Row],[Orders]]/Table2[[#This Row],[Visits]]</f>
        <v>0.06</v>
      </c>
    </row>
    <row r="123" spans="10:17" ht="15.6" x14ac:dyDescent="0.3">
      <c r="J12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3" s="65" t="str">
        <f>_xlfn.TEXTAFTER(Table2[[#This Row],[SFMC Name]],"_",4)</f>
        <v>Arts&amp;CultureNewsletter</v>
      </c>
      <c r="L123" s="65" t="s">
        <v>566</v>
      </c>
      <c r="M123" s="119">
        <v>45017</v>
      </c>
      <c r="N123" s="2">
        <v>2423</v>
      </c>
      <c r="O123" s="2">
        <v>84</v>
      </c>
      <c r="P123" s="118">
        <v>2673</v>
      </c>
      <c r="Q123" s="6">
        <f>Table2[[#This Row],[Orders]]/Table2[[#This Row],[Visits]]</f>
        <v>3.4667767230705734E-2</v>
      </c>
    </row>
    <row r="124" spans="10:17" ht="15.6" x14ac:dyDescent="0.3">
      <c r="J12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4" s="65" t="str">
        <f>_xlfn.TEXTAFTER(Table2[[#This Row],[SFMC Name]],"_",4)</f>
        <v>SpringGiftPack#1</v>
      </c>
      <c r="L124" s="4" t="s">
        <v>567</v>
      </c>
      <c r="M124" s="119">
        <v>45019</v>
      </c>
      <c r="N124" s="2">
        <v>23769</v>
      </c>
      <c r="O124" s="2">
        <v>384</v>
      </c>
      <c r="P124" s="118">
        <v>15360</v>
      </c>
      <c r="Q124" s="6">
        <f>Table2[[#This Row],[Orders]]/Table2[[#This Row],[Visits]]</f>
        <v>1.6155496655307335E-2</v>
      </c>
    </row>
    <row r="125" spans="10:17" ht="15.6" x14ac:dyDescent="0.3">
      <c r="J12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5" s="65" t="str">
        <f>_xlfn.TEXTAFTER(Table2[[#This Row],[SFMC Name]],"_",4)</f>
        <v>TuesdayDeals</v>
      </c>
      <c r="L125" s="65" t="s">
        <v>568</v>
      </c>
      <c r="M125" s="119">
        <v>45020</v>
      </c>
      <c r="N125" s="2">
        <v>3708</v>
      </c>
      <c r="O125" s="2">
        <v>98</v>
      </c>
      <c r="P125" s="118">
        <v>3189</v>
      </c>
      <c r="Q125" s="6">
        <f>Table2[[#This Row],[Orders]]/Table2[[#This Row],[Visits]]</f>
        <v>2.6429341963322545E-2</v>
      </c>
    </row>
    <row r="126" spans="10:17" ht="15.6" x14ac:dyDescent="0.3">
      <c r="J12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6" s="65" t="str">
        <f>_xlfn.TEXTAFTER(Table2[[#This Row],[SFMC Name]],"_",4)</f>
        <v>AdvTicketGuardiansOfTheGalaxy3</v>
      </c>
      <c r="L126" s="4" t="s">
        <v>569</v>
      </c>
      <c r="M126" s="119">
        <v>45021</v>
      </c>
      <c r="N126" s="2">
        <v>21039</v>
      </c>
      <c r="O126" s="2">
        <v>1153</v>
      </c>
      <c r="P126" s="118">
        <v>58204</v>
      </c>
      <c r="Q126" s="6">
        <f>Table2[[#This Row],[Orders]]/Table2[[#This Row],[Visits]]</f>
        <v>5.4802984932743951E-2</v>
      </c>
    </row>
    <row r="127" spans="10:17" ht="15.6" x14ac:dyDescent="0.3">
      <c r="J12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7" s="65" t="str">
        <f>_xlfn.TEXTAFTER(Table2[[#This Row],[SFMC Name]],"_",4)</f>
        <v>SuperMarioBrosConcesionsD&amp;T</v>
      </c>
      <c r="L127" s="4" t="s">
        <v>570</v>
      </c>
      <c r="M127" s="119">
        <v>45021</v>
      </c>
      <c r="N127" s="2">
        <v>320</v>
      </c>
      <c r="O127" s="2">
        <v>16</v>
      </c>
      <c r="P127" s="118">
        <v>819</v>
      </c>
      <c r="Q127" s="6">
        <f>Table2[[#This Row],[Orders]]/Table2[[#This Row],[Visits]]</f>
        <v>0.05</v>
      </c>
    </row>
    <row r="128" spans="10:17" ht="15.6" x14ac:dyDescent="0.3">
      <c r="J12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8" s="65" t="str">
        <f>_xlfn.TEXTAFTER(Table2[[#This Row],[SFMC Name]],"_",4)</f>
        <v>SuperMarioBrosSceneOffer</v>
      </c>
      <c r="L128" s="4" t="s">
        <v>571</v>
      </c>
      <c r="M128" s="119">
        <v>45022</v>
      </c>
      <c r="N128" s="2">
        <v>3777</v>
      </c>
      <c r="O128" s="2">
        <v>369</v>
      </c>
      <c r="P128" s="118">
        <v>17829</v>
      </c>
      <c r="Q128" s="6">
        <f>Table2[[#This Row],[Orders]]/Table2[[#This Row],[Visits]]</f>
        <v>9.7696584590945199E-2</v>
      </c>
    </row>
    <row r="129" spans="10:17" ht="15.6" x14ac:dyDescent="0.3">
      <c r="J12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29" s="65" t="str">
        <f>_xlfn.TEXTAFTER(Table2[[#This Row],[SFMC Name]],"_",4)</f>
        <v>JohnWick4</v>
      </c>
      <c r="L129" s="4" t="s">
        <v>572</v>
      </c>
      <c r="M129" s="119">
        <v>45023</v>
      </c>
      <c r="N129" s="2">
        <v>895</v>
      </c>
      <c r="O129" s="2">
        <v>69</v>
      </c>
      <c r="P129" s="118">
        <v>2213</v>
      </c>
      <c r="Q129" s="6">
        <f>Table2[[#This Row],[Orders]]/Table2[[#This Row],[Visits]]</f>
        <v>7.7094972067039108E-2</v>
      </c>
    </row>
    <row r="130" spans="10:17" ht="15.6" x14ac:dyDescent="0.3">
      <c r="J13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30" s="65" t="str">
        <f>_xlfn.TEXTAFTER(Table2[[#This Row],[SFMC Name]],"_",4)</f>
        <v>StoreNewsletterEN</v>
      </c>
      <c r="L130" s="4" t="s">
        <v>573</v>
      </c>
      <c r="M130" s="119">
        <v>45023</v>
      </c>
      <c r="N130" s="2">
        <v>1</v>
      </c>
      <c r="O130" s="2">
        <v>0</v>
      </c>
      <c r="P130" s="118">
        <v>0</v>
      </c>
      <c r="Q130" s="6">
        <f>Table2[[#This Row],[Orders]]/Table2[[#This Row],[Visits]]</f>
        <v>0</v>
      </c>
    </row>
    <row r="131" spans="10:17" ht="15.6" x14ac:dyDescent="0.3">
      <c r="J13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1" s="65" t="str">
        <f>_xlfn.TEXTAFTER(Table2[[#This Row],[SFMC Name]],"_",4)</f>
        <v>CatalogueTitles</v>
      </c>
      <c r="L131" s="4" t="s">
        <v>574</v>
      </c>
      <c r="M131" s="119">
        <v>45023</v>
      </c>
      <c r="N131" s="2">
        <v>24570</v>
      </c>
      <c r="O131" s="2">
        <v>748</v>
      </c>
      <c r="P131" s="118">
        <v>31772</v>
      </c>
      <c r="Q131" s="6">
        <f>Table2[[#This Row],[Orders]]/Table2[[#This Row],[Visits]]</f>
        <v>3.0443630443630444E-2</v>
      </c>
    </row>
    <row r="132" spans="10:17" ht="15.6" x14ac:dyDescent="0.3">
      <c r="J13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2" s="65" t="str">
        <f>_xlfn.TEXTAFTER(Table2[[#This Row],[SFMC Name]],"_",4)</f>
        <v>TuesdayDeals</v>
      </c>
      <c r="L132" s="4" t="s">
        <v>575</v>
      </c>
      <c r="M132" s="119">
        <v>45027</v>
      </c>
      <c r="N132" s="2">
        <v>4392</v>
      </c>
      <c r="O132" s="2">
        <v>102</v>
      </c>
      <c r="P132" s="118">
        <v>2976</v>
      </c>
      <c r="Q132" s="6">
        <f>Table2[[#This Row],[Orders]]/Table2[[#This Row],[Visits]]</f>
        <v>2.3224043715846996E-2</v>
      </c>
    </row>
    <row r="133" spans="10:17" ht="15.6" x14ac:dyDescent="0.3">
      <c r="J13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3" s="65" t="str">
        <f>_xlfn.TEXTAFTER(Table2[[#This Row],[SFMC Name]],"_",4)</f>
        <v>SceneOfferMafiaMamma</v>
      </c>
      <c r="L133" s="4" t="s">
        <v>576</v>
      </c>
      <c r="M133" s="119">
        <v>45028</v>
      </c>
      <c r="N133" s="2">
        <v>854</v>
      </c>
      <c r="O133" s="2">
        <v>18</v>
      </c>
      <c r="P133" s="118">
        <v>520</v>
      </c>
      <c r="Q133" s="6">
        <f>Table2[[#This Row],[Orders]]/Table2[[#This Row],[Visits]]</f>
        <v>2.1077283372365339E-2</v>
      </c>
    </row>
    <row r="134" spans="10:17" ht="15.6" x14ac:dyDescent="0.3">
      <c r="J13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34" s="65" t="str">
        <f>_xlfn.TEXTAFTER(Table2[[#This Row],[SFMC Name]],"_",4)</f>
        <v>SneakPreviewAreYouThereGod</v>
      </c>
      <c r="L134" s="4" t="s">
        <v>577</v>
      </c>
      <c r="M134" s="119">
        <v>45029</v>
      </c>
      <c r="N134" s="2">
        <v>955</v>
      </c>
      <c r="O134" s="2">
        <v>22</v>
      </c>
      <c r="P134" s="118">
        <v>264</v>
      </c>
      <c r="Q134" s="6">
        <f>Table2[[#This Row],[Orders]]/Table2[[#This Row],[Visits]]</f>
        <v>2.3036649214659685E-2</v>
      </c>
    </row>
    <row r="135" spans="10:17" ht="15.6" x14ac:dyDescent="0.3">
      <c r="J13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5" s="65" t="str">
        <f>_xlfn.TEXTAFTER(Table2[[#This Row],[SFMC Name]],"_",4)</f>
        <v>SceneOfferD&amp;D</v>
      </c>
      <c r="L135" s="4" t="s">
        <v>578</v>
      </c>
      <c r="M135" s="119">
        <v>45029</v>
      </c>
      <c r="N135" s="2">
        <v>891</v>
      </c>
      <c r="O135" s="2">
        <v>66</v>
      </c>
      <c r="P135" s="118">
        <v>1788</v>
      </c>
      <c r="Q135" s="6">
        <f>Table2[[#This Row],[Orders]]/Table2[[#This Row],[Visits]]</f>
        <v>7.407407407407407E-2</v>
      </c>
    </row>
    <row r="136" spans="10:17" ht="15.6" x14ac:dyDescent="0.3">
      <c r="J13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36" s="65" t="str">
        <f>_xlfn.TEXTAFTER(Table2[[#This Row],[SFMC Name]],"_",4)</f>
        <v>StoreNewsletterEN</v>
      </c>
      <c r="L136" s="4" t="s">
        <v>579</v>
      </c>
      <c r="M136" s="119">
        <v>45030</v>
      </c>
      <c r="N136" s="2">
        <v>4940</v>
      </c>
      <c r="O136" s="2">
        <v>86</v>
      </c>
      <c r="P136" s="118">
        <v>1092</v>
      </c>
      <c r="Q136" s="6">
        <f>Table2[[#This Row],[Orders]]/Table2[[#This Row],[Visits]]</f>
        <v>1.7408906882591092E-2</v>
      </c>
    </row>
    <row r="137" spans="10:17" ht="15.6" x14ac:dyDescent="0.3">
      <c r="J13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7" s="65" t="str">
        <f>_xlfn.TEXTAFTER(Table2[[#This Row],[SFMC Name]],"_",4)</f>
        <v>CatalogueTitles</v>
      </c>
      <c r="L137" s="4" t="s">
        <v>580</v>
      </c>
      <c r="M137" s="119">
        <v>45030</v>
      </c>
      <c r="N137" s="2">
        <v>11482</v>
      </c>
      <c r="O137" s="2">
        <v>174</v>
      </c>
      <c r="P137" s="118">
        <v>6016</v>
      </c>
      <c r="Q137" s="6">
        <f>Table2[[#This Row],[Orders]]/Table2[[#This Row],[Visits]]</f>
        <v>1.5154154328514196E-2</v>
      </c>
    </row>
    <row r="138" spans="10:17" ht="15.6" x14ac:dyDescent="0.3">
      <c r="J13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8" s="65" t="str">
        <f>_xlfn.TEXTAFTER(Table2[[#This Row],[SFMC Name]],"_",4)</f>
        <v>SneakPreviewAreYouThereGod</v>
      </c>
      <c r="L138" s="4" t="s">
        <v>581</v>
      </c>
      <c r="M138" s="119">
        <v>45031</v>
      </c>
      <c r="N138" s="2">
        <v>14024</v>
      </c>
      <c r="O138" s="2">
        <v>187</v>
      </c>
      <c r="P138" s="118">
        <v>5234</v>
      </c>
      <c r="Q138" s="6">
        <f>Table2[[#This Row],[Orders]]/Table2[[#This Row],[Visits]]</f>
        <v>1.3334284084426697E-2</v>
      </c>
    </row>
    <row r="139" spans="10:17" ht="15.6" x14ac:dyDescent="0.3">
      <c r="J13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39" s="65" t="str">
        <f>_xlfn.TEXTAFTER(Table2[[#This Row],[SFMC Name]],"_",4)</f>
        <v>FamilyNewsletter</v>
      </c>
      <c r="L139" s="4" t="s">
        <v>582</v>
      </c>
      <c r="M139" s="119">
        <v>45031</v>
      </c>
      <c r="N139" s="2">
        <v>3052</v>
      </c>
      <c r="O139" s="2">
        <v>61</v>
      </c>
      <c r="P139" s="118">
        <v>2415</v>
      </c>
      <c r="Q139" s="6">
        <f>Table2[[#This Row],[Orders]]/Table2[[#This Row],[Visits]]</f>
        <v>1.9986893840104849E-2</v>
      </c>
    </row>
    <row r="140" spans="10:17" ht="15.6" x14ac:dyDescent="0.3">
      <c r="J14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40" s="65" t="str">
        <f>_xlfn.TEXTAFTER(Table2[[#This Row],[SFMC Name]],"_",4)</f>
        <v>StoreNewsletterFR</v>
      </c>
      <c r="L140" s="4" t="s">
        <v>583</v>
      </c>
      <c r="M140" s="119">
        <v>45031</v>
      </c>
      <c r="N140" s="2">
        <v>149</v>
      </c>
      <c r="O140" s="2">
        <v>5</v>
      </c>
      <c r="P140" s="118">
        <v>51</v>
      </c>
      <c r="Q140" s="6">
        <f>Table2[[#This Row],[Orders]]/Table2[[#This Row],[Visits]]</f>
        <v>3.3557046979865772E-2</v>
      </c>
    </row>
    <row r="141" spans="10:17" ht="15.6" x14ac:dyDescent="0.3">
      <c r="J14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41" s="65" t="str">
        <f>_xlfn.TEXTAFTER(Table2[[#This Row],[SFMC Name]],"_",4)</f>
        <v>EarlyScreenCitadel</v>
      </c>
      <c r="L141" s="4" t="s">
        <v>584</v>
      </c>
      <c r="M141" s="119">
        <v>45033</v>
      </c>
      <c r="N141" s="2">
        <v>14</v>
      </c>
      <c r="O141" s="2">
        <v>1</v>
      </c>
      <c r="P141" s="118">
        <v>16</v>
      </c>
      <c r="Q141" s="6">
        <f>Table2[[#This Row],[Orders]]/Table2[[#This Row],[Visits]]</f>
        <v>7.1428571428571425E-2</v>
      </c>
    </row>
    <row r="142" spans="10:17" ht="15.6" x14ac:dyDescent="0.3">
      <c r="J14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2" s="65" t="str">
        <f>_xlfn.TEXTAFTER(Table2[[#This Row],[SFMC Name]],"_",4)</f>
        <v>TuesdayDeals</v>
      </c>
      <c r="L142" s="4" t="s">
        <v>585</v>
      </c>
      <c r="M142" s="119">
        <v>45034</v>
      </c>
      <c r="N142" s="2">
        <v>3411</v>
      </c>
      <c r="O142" s="2">
        <v>81</v>
      </c>
      <c r="P142" s="118">
        <v>1902</v>
      </c>
      <c r="Q142" s="6">
        <f>Table2[[#This Row],[Orders]]/Table2[[#This Row],[Visits]]</f>
        <v>2.3746701846965697E-2</v>
      </c>
    </row>
    <row r="143" spans="10:17" ht="15.6" x14ac:dyDescent="0.3">
      <c r="J14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3" s="65" t="str">
        <f>_xlfn.TEXTAFTER(Table2[[#This Row],[SFMC Name]],"_",4)</f>
        <v>BeauIsAfraid</v>
      </c>
      <c r="L143" s="4" t="s">
        <v>586</v>
      </c>
      <c r="M143" s="119">
        <v>45035</v>
      </c>
      <c r="N143" s="2">
        <v>930</v>
      </c>
      <c r="O143" s="2">
        <v>24</v>
      </c>
      <c r="P143" s="118">
        <v>825</v>
      </c>
      <c r="Q143" s="6">
        <f>Table2[[#This Row],[Orders]]/Table2[[#This Row],[Visits]]</f>
        <v>2.5806451612903226E-2</v>
      </c>
    </row>
    <row r="144" spans="10:17" ht="15.6" x14ac:dyDescent="0.3">
      <c r="J14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4" s="65" t="str">
        <f>_xlfn.TEXTAFTER(Table2[[#This Row],[SFMC Name]],"_",4)</f>
        <v>SpringGiftPack#2</v>
      </c>
      <c r="L144" s="4" t="s">
        <v>587</v>
      </c>
      <c r="M144" s="119">
        <v>45035</v>
      </c>
      <c r="N144" s="2">
        <v>12606</v>
      </c>
      <c r="O144" s="2">
        <v>169</v>
      </c>
      <c r="P144" s="118">
        <v>6609</v>
      </c>
      <c r="Q144" s="6">
        <f>Table2[[#This Row],[Orders]]/Table2[[#This Row],[Visits]]</f>
        <v>1.3406314453434872E-2</v>
      </c>
    </row>
    <row r="145" spans="10:18" ht="15.6" x14ac:dyDescent="0.3">
      <c r="J14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5" s="65" t="str">
        <f>_xlfn.TEXTAFTER(Table2[[#This Row],[SFMC Name]],"_",4)</f>
        <v>Farador</v>
      </c>
      <c r="L145" s="4" t="s">
        <v>588</v>
      </c>
      <c r="M145" s="119">
        <v>45035</v>
      </c>
      <c r="N145" s="2">
        <v>193</v>
      </c>
      <c r="O145" s="2">
        <v>5</v>
      </c>
      <c r="P145" s="118">
        <v>96</v>
      </c>
      <c r="Q145" s="6">
        <f>Table2[[#This Row],[Orders]]/Table2[[#This Row],[Visits]]</f>
        <v>2.5906735751295335E-2</v>
      </c>
    </row>
    <row r="146" spans="10:18" ht="15.6" x14ac:dyDescent="0.3">
      <c r="J14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6" s="65" t="str">
        <f>_xlfn.TEXTAFTER(Table2[[#This Row],[SFMC Name]],"_",4)</f>
        <v>CatalogueTitles</v>
      </c>
      <c r="L146" s="4" t="s">
        <v>589</v>
      </c>
      <c r="M146" s="119">
        <v>45037</v>
      </c>
      <c r="N146" s="2">
        <v>11851</v>
      </c>
      <c r="O146" s="2">
        <v>272</v>
      </c>
      <c r="P146" s="118">
        <v>11119</v>
      </c>
      <c r="Q146" s="6">
        <f>Table2[[#This Row],[Orders]]/Table2[[#This Row],[Visits]]</f>
        <v>2.2951649649818582E-2</v>
      </c>
    </row>
    <row r="147" spans="10:18" ht="15.6" x14ac:dyDescent="0.3">
      <c r="J14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147" s="65" t="str">
        <f>_xlfn.TEXTAFTER(Table2[[#This Row],[SFMC Name]],"_",4)</f>
        <v>MothersDayDragBrunch</v>
      </c>
      <c r="L147" s="4" t="s">
        <v>590</v>
      </c>
      <c r="M147" s="119">
        <v>45037</v>
      </c>
      <c r="N147" s="2">
        <v>0</v>
      </c>
      <c r="O147" s="2">
        <v>0</v>
      </c>
      <c r="P147" s="118">
        <v>0</v>
      </c>
      <c r="Q147" s="6">
        <v>0</v>
      </c>
      <c r="R147" s="24" t="s">
        <v>475</v>
      </c>
    </row>
    <row r="148" spans="10:18" ht="15.6" x14ac:dyDescent="0.3">
      <c r="J14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48" s="65" t="str">
        <f>_xlfn.TEXTAFTER(Table2[[#This Row],[SFMC Name]],"_",4)</f>
        <v>StoreNewsletterEN</v>
      </c>
      <c r="L148" s="4" t="s">
        <v>591</v>
      </c>
      <c r="M148" s="119">
        <v>45037</v>
      </c>
      <c r="N148" s="2">
        <v>4891</v>
      </c>
      <c r="O148" s="2">
        <v>80</v>
      </c>
      <c r="P148" s="118">
        <v>646</v>
      </c>
      <c r="Q148" s="6">
        <f>Table2[[#This Row],[Orders]]/Table2[[#This Row],[Visits]]</f>
        <v>1.6356573297894091E-2</v>
      </c>
    </row>
    <row r="149" spans="10:18" ht="15.6" x14ac:dyDescent="0.3">
      <c r="J14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49" s="65" t="str">
        <f>_xlfn.TEXTAFTER(Table2[[#This Row],[SFMC Name]],"_",4)</f>
        <v>EidAlFitr</v>
      </c>
      <c r="L149" s="4" t="s">
        <v>592</v>
      </c>
      <c r="M149" s="119">
        <v>45037</v>
      </c>
      <c r="N149" s="2">
        <v>641</v>
      </c>
      <c r="O149" s="2">
        <v>9</v>
      </c>
      <c r="P149" s="118">
        <v>521</v>
      </c>
      <c r="Q149" s="6">
        <f>Table2[[#This Row],[Orders]]/Table2[[#This Row],[Visits]]</f>
        <v>1.4040561622464899E-2</v>
      </c>
    </row>
    <row r="150" spans="10:18" ht="15.6" x14ac:dyDescent="0.3">
      <c r="J15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0" s="65" t="str">
        <f>_xlfn.TEXTAFTER(Table2[[#This Row],[SFMC Name]],"_",4)</f>
        <v>TuesdayDeals</v>
      </c>
      <c r="L150" s="65" t="s">
        <v>593</v>
      </c>
      <c r="M150" s="119">
        <v>45040</v>
      </c>
      <c r="N150" s="2">
        <v>3600</v>
      </c>
      <c r="O150" s="2">
        <v>83</v>
      </c>
      <c r="P150" s="118">
        <v>2450</v>
      </c>
      <c r="Q150" s="6">
        <f>Table2[[#This Row],[Orders]]/Table2[[#This Row],[Visits]]</f>
        <v>2.3055555555555555E-2</v>
      </c>
    </row>
    <row r="151" spans="10:18" ht="15.6" x14ac:dyDescent="0.3">
      <c r="J15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1" s="65" t="str">
        <f>_xlfn.TEXTAFTER(Table2[[#This Row],[SFMC Name]],"_",4)</f>
        <v>CineClubAcquisition</v>
      </c>
      <c r="L151" s="65" t="s">
        <v>594</v>
      </c>
      <c r="M151" s="119">
        <v>45041</v>
      </c>
      <c r="N151" s="2">
        <v>1159</v>
      </c>
      <c r="O151" s="2">
        <v>6</v>
      </c>
      <c r="P151" s="118">
        <v>239</v>
      </c>
      <c r="Q151" s="6">
        <f>Table2[[#This Row],[Orders]]/Table2[[#This Row],[Visits]]</f>
        <v>5.1768766177739426E-3</v>
      </c>
    </row>
    <row r="152" spans="10:18" ht="15.6" x14ac:dyDescent="0.3">
      <c r="J15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2" s="65" t="str">
        <f>_xlfn.TEXTAFTER(Table2[[#This Row],[SFMC Name]],"_",4)</f>
        <v>BOGOFreeAdmission</v>
      </c>
      <c r="L152" s="4" t="s">
        <v>595</v>
      </c>
      <c r="M152" s="119">
        <v>45042</v>
      </c>
      <c r="N152" s="2">
        <v>74036</v>
      </c>
      <c r="O152" s="2">
        <v>8826</v>
      </c>
      <c r="P152" s="118">
        <v>181284</v>
      </c>
      <c r="Q152" s="6">
        <f>Table2[[#This Row],[Orders]]/Table2[[#This Row],[Visits]]</f>
        <v>0.11921227510940624</v>
      </c>
    </row>
    <row r="153" spans="10:18" ht="15.6" x14ac:dyDescent="0.3">
      <c r="J15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LBE</v>
      </c>
      <c r="K153" s="65" t="str">
        <f>_xlfn.TEXTAFTER(Table2[[#This Row],[SFMC Name]],"_",4)</f>
        <v>XscapeBonusOfferReminder</v>
      </c>
      <c r="L153" s="4" t="s">
        <v>596</v>
      </c>
      <c r="M153" s="119">
        <v>45042</v>
      </c>
      <c r="N153" s="2">
        <v>546</v>
      </c>
      <c r="O153" s="2">
        <v>10</v>
      </c>
      <c r="P153" s="118">
        <v>319</v>
      </c>
      <c r="Q153" s="6">
        <f>Table2[[#This Row],[Orders]]/Table2[[#This Row],[Visits]]</f>
        <v>1.8315018315018316E-2</v>
      </c>
    </row>
    <row r="154" spans="10:18" ht="15.6" x14ac:dyDescent="0.3">
      <c r="J15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54" s="65" t="str">
        <f>_xlfn.TEXTAFTER(Table2[[#This Row],[SFMC Name]],"_",4)</f>
        <v>FastXOffer</v>
      </c>
      <c r="L154" s="4" t="s">
        <v>597</v>
      </c>
      <c r="M154" s="119">
        <v>45043</v>
      </c>
      <c r="N154" s="2">
        <v>9334</v>
      </c>
      <c r="O154" s="2">
        <v>179</v>
      </c>
      <c r="P154" s="118">
        <v>7245</v>
      </c>
      <c r="Q154" s="6">
        <f>Table2[[#This Row],[Orders]]/Table2[[#This Row],[Visits]]</f>
        <v>1.9177201628455109E-2</v>
      </c>
    </row>
    <row r="155" spans="10:18" ht="15.6" x14ac:dyDescent="0.3">
      <c r="J15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55" s="65" t="str">
        <f>_xlfn.TEXTAFTER(Table2[[#This Row],[SFMC Name]],"_",4)</f>
        <v>StoreNewsletterEN</v>
      </c>
      <c r="L155" s="4" t="s">
        <v>598</v>
      </c>
      <c r="M155" s="119">
        <v>45044</v>
      </c>
      <c r="N155" s="2">
        <v>8411</v>
      </c>
      <c r="O155" s="2">
        <v>200</v>
      </c>
      <c r="P155" s="118">
        <v>1544</v>
      </c>
      <c r="Q155" s="6">
        <f>Table2[[#This Row],[Orders]]/Table2[[#This Row],[Visits]]</f>
        <v>2.3778385447628107E-2</v>
      </c>
    </row>
    <row r="156" spans="10:18" ht="15.6" x14ac:dyDescent="0.3">
      <c r="J15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6" s="65" t="str">
        <f>_xlfn.TEXTAFTER(Table2[[#This Row],[SFMC Name]],"_",4)</f>
        <v>CatalogueTitles</v>
      </c>
      <c r="L156" s="4" t="s">
        <v>599</v>
      </c>
      <c r="M156" s="119">
        <v>45044</v>
      </c>
      <c r="N156" s="2">
        <v>17447</v>
      </c>
      <c r="O156" s="2">
        <v>288</v>
      </c>
      <c r="P156" s="118">
        <v>9706</v>
      </c>
      <c r="Q156" s="6">
        <f>Table2[[#This Row],[Orders]]/Table2[[#This Row],[Visits]]</f>
        <v>1.6507135897288933E-2</v>
      </c>
    </row>
    <row r="157" spans="10:18" ht="15.6" x14ac:dyDescent="0.3">
      <c r="J15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7" s="65" t="str">
        <f>_xlfn.TEXTAFTER(Table2[[#This Row],[SFMC Name]],"_",4)</f>
        <v>Sisu</v>
      </c>
      <c r="L157" s="4" t="s">
        <v>600</v>
      </c>
      <c r="M157" s="119">
        <v>45044</v>
      </c>
      <c r="N157" s="2">
        <v>1502</v>
      </c>
      <c r="O157" s="2">
        <v>37</v>
      </c>
      <c r="P157" s="118">
        <v>715</v>
      </c>
      <c r="Q157" s="6">
        <f>Table2[[#This Row],[Orders]]/Table2[[#This Row],[Visits]]</f>
        <v>2.4633821571238348E-2</v>
      </c>
    </row>
    <row r="158" spans="10:18" ht="15.6" x14ac:dyDescent="0.3">
      <c r="J15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58" s="65" t="str">
        <f>_xlfn.TEXTAFTER(Table2[[#This Row],[SFMC Name]],"_",4)</f>
        <v>AreYouThereGod</v>
      </c>
      <c r="L158" s="4" t="s">
        <v>601</v>
      </c>
      <c r="M158" s="119">
        <v>45044</v>
      </c>
      <c r="N158" s="2">
        <v>628</v>
      </c>
      <c r="O158" s="2">
        <v>13</v>
      </c>
      <c r="P158" s="118">
        <v>331</v>
      </c>
      <c r="Q158" s="6">
        <f>Table2[[#This Row],[Orders]]/Table2[[#This Row],[Visits]]</f>
        <v>2.0700636942675158E-2</v>
      </c>
    </row>
    <row r="159" spans="10:18" ht="15.6" x14ac:dyDescent="0.3">
      <c r="J15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59" s="65" t="str">
        <f>_xlfn.TEXTAFTER(Table2[[#This Row],[SFMC Name]],"_",4)</f>
        <v>StoreNewsletterFR</v>
      </c>
      <c r="L159" s="4" t="s">
        <v>602</v>
      </c>
      <c r="M159" s="119">
        <v>45045</v>
      </c>
      <c r="N159" s="2">
        <v>205</v>
      </c>
      <c r="O159" s="2">
        <v>6</v>
      </c>
      <c r="P159" s="118">
        <v>164</v>
      </c>
      <c r="Q159" s="6">
        <f>Table2[[#This Row],[Orders]]/Table2[[#This Row],[Visits]]</f>
        <v>2.9268292682926831E-2</v>
      </c>
    </row>
    <row r="160" spans="10:18" ht="15.6" x14ac:dyDescent="0.3">
      <c r="J16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0" s="65" t="str">
        <f>_xlfn.TEXTAFTER(Table2[[#This Row],[SFMC Name]],"_",4)</f>
        <v>TuesdayDeals</v>
      </c>
      <c r="L160" s="4" t="s">
        <v>603</v>
      </c>
      <c r="M160" s="119">
        <v>45048</v>
      </c>
      <c r="N160" s="2">
        <v>5116</v>
      </c>
      <c r="O160" s="2">
        <v>94</v>
      </c>
      <c r="P160" s="118">
        <v>2365</v>
      </c>
      <c r="Q160" s="6">
        <f>Table2[[#This Row],[Orders]]/Table2[[#This Row],[Visits]]</f>
        <v>1.8373729476153244E-2</v>
      </c>
    </row>
    <row r="161" spans="10:17" ht="15.6" x14ac:dyDescent="0.3">
      <c r="J16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1" s="65" t="str">
        <f>_xlfn.TEXTAFTER(Table2[[#This Row],[SFMC Name]],"_",4)</f>
        <v>AdvTicketLittleMermaid</v>
      </c>
      <c r="L161" s="4" t="s">
        <v>604</v>
      </c>
      <c r="M161" s="119">
        <v>45050</v>
      </c>
      <c r="N161" s="2">
        <v>18735</v>
      </c>
      <c r="O161" s="2">
        <v>677</v>
      </c>
      <c r="P161" s="118">
        <v>29511</v>
      </c>
      <c r="Q161" s="6">
        <f>Table2[[#This Row],[Orders]]/Table2[[#This Row],[Visits]]</f>
        <v>3.6135575126768078E-2</v>
      </c>
    </row>
    <row r="162" spans="10:17" ht="15.6" x14ac:dyDescent="0.3">
      <c r="J16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62" s="65" t="str">
        <f>_xlfn.TEXTAFTER(Table2[[#This Row],[SFMC Name]],"_",4)</f>
        <v>StoreNewsletterEN</v>
      </c>
      <c r="L162" s="4" t="s">
        <v>605</v>
      </c>
      <c r="M162" s="119">
        <v>45051</v>
      </c>
      <c r="N162" s="2">
        <v>4951</v>
      </c>
      <c r="O162" s="2">
        <v>104</v>
      </c>
      <c r="P162" s="118">
        <v>1773</v>
      </c>
      <c r="Q162" s="6">
        <f>Table2[[#This Row],[Orders]]/Table2[[#This Row],[Visits]]</f>
        <v>2.1005857402544941E-2</v>
      </c>
    </row>
    <row r="163" spans="10:17" ht="15.6" x14ac:dyDescent="0.3">
      <c r="J16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3" s="65" t="str">
        <f>_xlfn.TEXTAFTER(Table2[[#This Row],[SFMC Name]],"_",4)</f>
        <v>CatalogueTitles</v>
      </c>
      <c r="L163" s="4" t="s">
        <v>606</v>
      </c>
      <c r="M163" s="119">
        <v>45051</v>
      </c>
      <c r="N163" s="2">
        <v>20171</v>
      </c>
      <c r="O163" s="2">
        <v>350</v>
      </c>
      <c r="P163" s="118">
        <v>13932</v>
      </c>
      <c r="Q163" s="6">
        <f>Table2[[#This Row],[Orders]]/Table2[[#This Row],[Visits]]</f>
        <v>1.7351643448515194E-2</v>
      </c>
    </row>
    <row r="164" spans="10:17" ht="15.6" x14ac:dyDescent="0.3">
      <c r="J16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64" s="65" t="str">
        <f>_xlfn.TEXTAFTER(Table2[[#This Row],[SFMC Name]],"_",4)</f>
        <v>FastXPincodes</v>
      </c>
      <c r="L164" s="4" t="s">
        <v>607</v>
      </c>
      <c r="M164" s="119">
        <v>45051</v>
      </c>
      <c r="N164" s="2">
        <v>701</v>
      </c>
      <c r="O164" s="2">
        <v>7</v>
      </c>
      <c r="P164" s="118">
        <v>106</v>
      </c>
      <c r="Q164" s="6">
        <f>Table2[[#This Row],[Orders]]/Table2[[#This Row],[Visits]]</f>
        <v>9.9857346647646214E-3</v>
      </c>
    </row>
    <row r="165" spans="10:17" ht="15.6" x14ac:dyDescent="0.3">
      <c r="J16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5" s="65" t="str">
        <f>_xlfn.TEXTAFTER(Table2[[#This Row],[SFMC Name]],"_",4)</f>
        <v>Arts&amp;CultureNewsletter</v>
      </c>
      <c r="L165" s="4" t="s">
        <v>608</v>
      </c>
      <c r="M165" s="119">
        <v>45052</v>
      </c>
      <c r="N165" s="2">
        <v>1111</v>
      </c>
      <c r="O165" s="2">
        <v>32</v>
      </c>
      <c r="P165" s="118">
        <v>1137</v>
      </c>
      <c r="Q165" s="6">
        <f>Table2[[#This Row],[Orders]]/Table2[[#This Row],[Visits]]</f>
        <v>2.8802880288028802E-2</v>
      </c>
    </row>
    <row r="166" spans="10:17" ht="15.6" x14ac:dyDescent="0.3">
      <c r="J16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6" s="65" t="str">
        <f>_xlfn.TEXTAFTER(Table2[[#This Row],[SFMC Name]],"_",4)</f>
        <v>PreOpeningJunxionErinMills</v>
      </c>
      <c r="L166" s="4" t="s">
        <v>609</v>
      </c>
      <c r="M166" s="119">
        <v>45054</v>
      </c>
      <c r="N166" s="2">
        <v>1443</v>
      </c>
      <c r="O166" s="2">
        <v>12</v>
      </c>
      <c r="P166" s="118">
        <v>475</v>
      </c>
      <c r="Q166" s="6">
        <f>Table2[[#This Row],[Orders]]/Table2[[#This Row],[Visits]]</f>
        <v>8.3160083160083165E-3</v>
      </c>
    </row>
    <row r="167" spans="10:17" ht="15.6" x14ac:dyDescent="0.3">
      <c r="J16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7" s="65" t="str">
        <f>_xlfn.TEXTAFTER(Table2[[#This Row],[SFMC Name]],"_",4)</f>
        <v>TuesdayDeals</v>
      </c>
      <c r="L167" s="4" t="s">
        <v>610</v>
      </c>
      <c r="M167" s="119">
        <v>45055</v>
      </c>
      <c r="N167" s="2">
        <v>3678</v>
      </c>
      <c r="O167" s="2">
        <v>110</v>
      </c>
      <c r="P167" s="118">
        <v>3178</v>
      </c>
      <c r="Q167" s="6">
        <f>Table2[[#This Row],[Orders]]/Table2[[#This Row],[Visits]]</f>
        <v>2.9907558455682437E-2</v>
      </c>
    </row>
    <row r="168" spans="10:17" ht="15.6" x14ac:dyDescent="0.3">
      <c r="J16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68" s="65" t="str">
        <f>_xlfn.TEXTAFTER(Table2[[#This Row],[SFMC Name]],"_",4)</f>
        <v>AdvTicketsTransformers</v>
      </c>
      <c r="L168" s="4" t="s">
        <v>611</v>
      </c>
      <c r="M168" s="119">
        <v>45056</v>
      </c>
      <c r="N168" s="2">
        <v>10312</v>
      </c>
      <c r="O168" s="2">
        <v>325</v>
      </c>
      <c r="P168" s="118">
        <v>13834</v>
      </c>
      <c r="Q168" s="6">
        <f>Table2[[#This Row],[Orders]]/Table2[[#This Row],[Visits]]</f>
        <v>3.1516679596586501E-2</v>
      </c>
    </row>
    <row r="169" spans="10:17" ht="15.6" x14ac:dyDescent="0.3">
      <c r="J16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69" s="65" t="str">
        <f>_xlfn.TEXTAFTER(Table2[[#This Row],[SFMC Name]],"_",4)</f>
        <v>MothersDayGifting</v>
      </c>
      <c r="L169" s="4" t="s">
        <v>612</v>
      </c>
      <c r="M169" s="119">
        <v>45057</v>
      </c>
      <c r="N169" s="2">
        <v>617</v>
      </c>
      <c r="O169" s="2">
        <v>8</v>
      </c>
      <c r="P169" s="118">
        <v>197</v>
      </c>
      <c r="Q169" s="6">
        <f>Table2[[#This Row],[Orders]]/Table2[[#This Row],[Visits]]</f>
        <v>1.2965964343598054E-2</v>
      </c>
    </row>
    <row r="170" spans="10:17" ht="15.6" x14ac:dyDescent="0.3">
      <c r="J17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0" s="65" t="str">
        <f>_xlfn.TEXTAFTER(Table2[[#This Row],[SFMC Name]],"_",4)</f>
        <v>AdvTicketSpiderMan</v>
      </c>
      <c r="L170" s="4" t="s">
        <v>613</v>
      </c>
      <c r="M170" s="119">
        <v>45057</v>
      </c>
      <c r="N170" s="2">
        <v>14260</v>
      </c>
      <c r="O170" s="2">
        <v>538</v>
      </c>
      <c r="P170" s="118">
        <v>23377</v>
      </c>
      <c r="Q170" s="6">
        <f>Table2[[#This Row],[Orders]]/Table2[[#This Row],[Visits]]</f>
        <v>3.7727910238429176E-2</v>
      </c>
    </row>
    <row r="171" spans="10:17" ht="15.6" x14ac:dyDescent="0.3">
      <c r="J17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71" s="65" t="str">
        <f>_xlfn.TEXTAFTER(Table2[[#This Row],[SFMC Name]],"_",4)</f>
        <v>StoreNewsletterEN</v>
      </c>
      <c r="L171" s="4" t="s">
        <v>614</v>
      </c>
      <c r="M171" s="119">
        <v>45058</v>
      </c>
      <c r="N171" s="2">
        <v>2939</v>
      </c>
      <c r="O171" s="2">
        <v>64</v>
      </c>
      <c r="P171" s="118">
        <v>463</v>
      </c>
      <c r="Q171" s="6">
        <f>Table2[[#This Row],[Orders]]/Table2[[#This Row],[Visits]]</f>
        <v>2.1776114324600204E-2</v>
      </c>
    </row>
    <row r="172" spans="10:17" ht="15.6" x14ac:dyDescent="0.3">
      <c r="J17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2" s="65" t="str">
        <f>_xlfn.TEXTAFTER(Table2[[#This Row],[SFMC Name]],"_",4)</f>
        <v>CatalogueTitles</v>
      </c>
      <c r="L172" s="4" t="s">
        <v>615</v>
      </c>
      <c r="M172" s="119">
        <v>45058</v>
      </c>
      <c r="N172" s="2">
        <v>14853</v>
      </c>
      <c r="O172" s="2">
        <v>297</v>
      </c>
      <c r="P172" s="118">
        <v>10904</v>
      </c>
      <c r="Q172" s="6">
        <f>Table2[[#This Row],[Orders]]/Table2[[#This Row],[Visits]]</f>
        <v>1.9995960412037973E-2</v>
      </c>
    </row>
    <row r="173" spans="10:17" ht="15.6" x14ac:dyDescent="0.3">
      <c r="J17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3" s="65" t="str">
        <f>_xlfn.TEXTAFTER(Table2[[#This Row],[SFMC Name]],"_",4)</f>
        <v>Blackberry</v>
      </c>
      <c r="L173" s="4" t="s">
        <v>616</v>
      </c>
      <c r="M173" s="119">
        <v>45058</v>
      </c>
      <c r="N173" s="2">
        <v>1174</v>
      </c>
      <c r="O173" s="2">
        <v>32</v>
      </c>
      <c r="P173" s="118">
        <v>932</v>
      </c>
      <c r="Q173" s="6">
        <f>Table2[[#This Row],[Orders]]/Table2[[#This Row],[Visits]]</f>
        <v>2.7257240204429302E-2</v>
      </c>
    </row>
    <row r="174" spans="10:17" ht="15.6" x14ac:dyDescent="0.3">
      <c r="J17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74" s="65" t="str">
        <f>_xlfn.TEXTAFTER(Table2[[#This Row],[SFMC Name]],"_",4)</f>
        <v>StoreNewsletterFR</v>
      </c>
      <c r="L174" s="4" t="s">
        <v>617</v>
      </c>
      <c r="M174" s="119">
        <v>45059</v>
      </c>
      <c r="N174" s="2">
        <v>125</v>
      </c>
      <c r="O174" s="2">
        <v>1</v>
      </c>
      <c r="P174" s="118">
        <v>6</v>
      </c>
      <c r="Q174" s="6">
        <f>Table2[[#This Row],[Orders]]/Table2[[#This Row],[Visits]]</f>
        <v>8.0000000000000002E-3</v>
      </c>
    </row>
    <row r="175" spans="10:17" ht="15.6" x14ac:dyDescent="0.3">
      <c r="J17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5" s="65" t="str">
        <f>_xlfn.TEXTAFTER(Table2[[#This Row],[SFMC Name]],"_",4)</f>
        <v>CharlottetownReopen</v>
      </c>
      <c r="L175" s="4" t="s">
        <v>618</v>
      </c>
      <c r="M175" s="119">
        <v>45061</v>
      </c>
      <c r="N175" s="2">
        <v>1044</v>
      </c>
      <c r="O175" s="2">
        <v>25</v>
      </c>
      <c r="P175" s="118">
        <v>968</v>
      </c>
      <c r="Q175" s="6">
        <f>Table2[[#This Row],[Orders]]/Table2[[#This Row],[Visits]]</f>
        <v>2.3946360153256706E-2</v>
      </c>
    </row>
    <row r="176" spans="10:17" ht="15.6" x14ac:dyDescent="0.3">
      <c r="J17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76" s="65" t="str">
        <f>_xlfn.TEXTAFTER(Table2[[#This Row],[SFMC Name]],"_",4)</f>
        <v>SuperMarioBros</v>
      </c>
      <c r="L176" s="4" t="s">
        <v>619</v>
      </c>
      <c r="M176" s="119">
        <v>45062</v>
      </c>
      <c r="N176" s="2">
        <v>10221</v>
      </c>
      <c r="O176" s="2">
        <v>114</v>
      </c>
      <c r="P176" s="118">
        <v>3419</v>
      </c>
      <c r="Q176" s="6">
        <f>Table2[[#This Row],[Orders]]/Table2[[#This Row],[Visits]]</f>
        <v>1.1153507484590548E-2</v>
      </c>
    </row>
    <row r="177" spans="10:17" ht="15.6" x14ac:dyDescent="0.3">
      <c r="J17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7" s="65" t="str">
        <f>_xlfn.TEXTAFTER(Table2[[#This Row],[SFMC Name]],"_",4)</f>
        <v>TuesdayDeals</v>
      </c>
      <c r="L177" s="4" t="s">
        <v>620</v>
      </c>
      <c r="M177" s="119">
        <v>45062</v>
      </c>
      <c r="N177" s="2">
        <v>5611</v>
      </c>
      <c r="O177" s="2">
        <v>159</v>
      </c>
      <c r="P177" s="118">
        <v>3719</v>
      </c>
      <c r="Q177" s="6">
        <f>Table2[[#This Row],[Orders]]/Table2[[#This Row],[Visits]]</f>
        <v>2.8337194795936552E-2</v>
      </c>
    </row>
    <row r="178" spans="10:17" ht="15.6" x14ac:dyDescent="0.3">
      <c r="J17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78" s="65" t="str">
        <f>_xlfn.TEXTAFTER(Table2[[#This Row],[SFMC Name]],"_",4)</f>
        <v>JunxionOpening</v>
      </c>
      <c r="L178" s="4" t="s">
        <v>621</v>
      </c>
      <c r="M178" s="119">
        <v>45063</v>
      </c>
      <c r="N178" s="2">
        <v>1475</v>
      </c>
      <c r="O178" s="2">
        <v>16</v>
      </c>
      <c r="P178" s="118">
        <v>571</v>
      </c>
      <c r="Q178" s="6">
        <f>Table2[[#This Row],[Orders]]/Table2[[#This Row],[Visits]]</f>
        <v>1.0847457627118645E-2</v>
      </c>
    </row>
    <row r="179" spans="10:17" ht="15.6" x14ac:dyDescent="0.3">
      <c r="J17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CINECLUB</v>
      </c>
      <c r="K179" s="65" t="str">
        <f>_xlfn.TEXTAFTER(Table2[[#This Row],[SFMC Name]],"_",4)</f>
        <v>FlashContest</v>
      </c>
      <c r="L179" s="4" t="s">
        <v>622</v>
      </c>
      <c r="M179" s="119">
        <v>45064</v>
      </c>
      <c r="N179" s="2">
        <v>0</v>
      </c>
      <c r="O179" s="2">
        <v>0</v>
      </c>
      <c r="P179" s="118">
        <v>0</v>
      </c>
      <c r="Q179" s="6">
        <v>0</v>
      </c>
    </row>
    <row r="180" spans="10:17" ht="15.6" x14ac:dyDescent="0.3">
      <c r="J18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0" s="65" t="str">
        <f>_xlfn.TEXTAFTER(Table2[[#This Row],[SFMC Name]],"_",4)</f>
        <v>SceneOfferFastX</v>
      </c>
      <c r="L180" s="4" t="s">
        <v>623</v>
      </c>
      <c r="M180" s="119">
        <v>45064</v>
      </c>
      <c r="N180" s="2">
        <v>1682</v>
      </c>
      <c r="O180" s="2">
        <v>103</v>
      </c>
      <c r="P180" s="118">
        <v>3038</v>
      </c>
      <c r="Q180" s="6">
        <f>Table2[[#This Row],[Orders]]/Table2[[#This Row],[Visits]]</f>
        <v>6.1236623067776455E-2</v>
      </c>
    </row>
    <row r="181" spans="10:17" ht="15.6" x14ac:dyDescent="0.3">
      <c r="J18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1" s="65" t="str">
        <f>_xlfn.TEXTAFTER(Table2[[#This Row],[SFMC Name]],"_",4)</f>
        <v>DarkNature</v>
      </c>
      <c r="L181" s="4" t="s">
        <v>624</v>
      </c>
      <c r="M181" s="119">
        <v>45065</v>
      </c>
      <c r="N181" s="2">
        <v>244</v>
      </c>
      <c r="O181" s="2">
        <v>5</v>
      </c>
      <c r="P181" s="118">
        <v>124</v>
      </c>
      <c r="Q181" s="6">
        <f>Table2[[#This Row],[Orders]]/Table2[[#This Row],[Visits]]</f>
        <v>2.0491803278688523E-2</v>
      </c>
    </row>
    <row r="182" spans="10:17" ht="15.6" x14ac:dyDescent="0.3">
      <c r="J18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82" s="65" t="str">
        <f>_xlfn.TEXTAFTER(Table2[[#This Row],[SFMC Name]],"_",4)</f>
        <v>StoreNewsletterEN</v>
      </c>
      <c r="L182" s="4" t="s">
        <v>625</v>
      </c>
      <c r="M182" s="119">
        <v>45065</v>
      </c>
      <c r="N182" s="2">
        <v>5573</v>
      </c>
      <c r="O182" s="2">
        <v>170</v>
      </c>
      <c r="P182" s="118">
        <v>2833</v>
      </c>
      <c r="Q182" s="6">
        <f>Table2[[#This Row],[Orders]]/Table2[[#This Row],[Visits]]</f>
        <v>3.050421675937556E-2</v>
      </c>
    </row>
    <row r="183" spans="10:17" ht="15.6" x14ac:dyDescent="0.3">
      <c r="J18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3" s="65" t="str">
        <f>_xlfn.TEXTAFTER(Table2[[#This Row],[SFMC Name]],"_",4)</f>
        <v>CatalogueTitles</v>
      </c>
      <c r="L183" s="4" t="s">
        <v>626</v>
      </c>
      <c r="M183" s="119">
        <v>45065</v>
      </c>
      <c r="N183" s="2">
        <v>18945</v>
      </c>
      <c r="O183" s="2">
        <v>546</v>
      </c>
      <c r="P183" s="118">
        <v>19615</v>
      </c>
      <c r="Q183" s="6">
        <f>Table2[[#This Row],[Orders]]/Table2[[#This Row],[Visits]]</f>
        <v>2.8820269200316707E-2</v>
      </c>
    </row>
    <row r="184" spans="10:17" ht="15.6" x14ac:dyDescent="0.3">
      <c r="J18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4" s="65" t="str">
        <f>_xlfn.TEXTAFTER(Table2[[#This Row],[SFMC Name]],"_",4)</f>
        <v>FamilyNewsletter</v>
      </c>
      <c r="L184" s="4" t="s">
        <v>627</v>
      </c>
      <c r="M184" s="119">
        <v>45066</v>
      </c>
      <c r="N184" s="2">
        <v>4678</v>
      </c>
      <c r="O184" s="2">
        <v>80</v>
      </c>
      <c r="P184" s="118">
        <v>3504</v>
      </c>
      <c r="Q184" s="6">
        <f>Table2[[#This Row],[Orders]]/Table2[[#This Row],[Visits]]</f>
        <v>1.7101325352714837E-2</v>
      </c>
    </row>
    <row r="185" spans="10:17" ht="15.6" x14ac:dyDescent="0.3">
      <c r="J18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85" s="65" t="str">
        <f>_xlfn.TEXTAFTER(Table2[[#This Row],[SFMC Name]],"_",4)</f>
        <v>JohnWick4</v>
      </c>
      <c r="L185" s="4" t="s">
        <v>628</v>
      </c>
      <c r="M185" s="119">
        <v>45069</v>
      </c>
      <c r="N185" s="2">
        <v>5736</v>
      </c>
      <c r="O185" s="2">
        <v>70</v>
      </c>
      <c r="P185" s="118">
        <v>1645</v>
      </c>
      <c r="Q185" s="6">
        <f>Table2[[#This Row],[Orders]]/Table2[[#This Row],[Visits]]</f>
        <v>1.2203626220362623E-2</v>
      </c>
    </row>
    <row r="186" spans="10:17" ht="15.6" x14ac:dyDescent="0.3">
      <c r="J18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6" s="65" t="str">
        <f>_xlfn.TEXTAFTER(Table2[[#This Row],[SFMC Name]],"_",4)</f>
        <v>TuesdayDeals</v>
      </c>
      <c r="L186" s="4" t="s">
        <v>629</v>
      </c>
      <c r="M186" s="119">
        <v>45069</v>
      </c>
      <c r="N186" s="2">
        <v>4436</v>
      </c>
      <c r="O186" s="2">
        <v>105</v>
      </c>
      <c r="P186" s="118">
        <v>2416</v>
      </c>
      <c r="Q186" s="6">
        <f>Table2[[#This Row],[Orders]]/Table2[[#This Row],[Visits]]</f>
        <v>2.3669972948602343E-2</v>
      </c>
    </row>
    <row r="187" spans="10:17" ht="18" customHeight="1" x14ac:dyDescent="0.3">
      <c r="J18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7" s="65" t="str">
        <f>_xlfn.TEXTAFTER(Table2[[#This Row],[SFMC Name]],"_",4)</f>
        <v>TrueRomance</v>
      </c>
      <c r="L187" s="4" t="s">
        <v>630</v>
      </c>
      <c r="M187" s="119">
        <v>45071</v>
      </c>
      <c r="N187" s="2">
        <v>1296</v>
      </c>
      <c r="O187" s="2">
        <v>22</v>
      </c>
      <c r="P187" s="118">
        <v>640</v>
      </c>
      <c r="Q187" s="6">
        <f>Table2[[#This Row],[Orders]]/Table2[[#This Row],[Visits]]</f>
        <v>1.6975308641975308E-2</v>
      </c>
    </row>
    <row r="188" spans="10:17" ht="18" customHeight="1" x14ac:dyDescent="0.3">
      <c r="J18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88" s="65" t="str">
        <f>_xlfn.TEXTAFTER(Table2[[#This Row],[SFMC Name]],"_",4)</f>
        <v>AdvTicketsTheFlash</v>
      </c>
      <c r="L188" s="4" t="s">
        <v>631</v>
      </c>
      <c r="M188" s="119">
        <v>45071</v>
      </c>
      <c r="N188" s="2">
        <v>4059</v>
      </c>
      <c r="O188" s="2">
        <v>161</v>
      </c>
      <c r="P188" s="118">
        <v>7506</v>
      </c>
      <c r="Q188" s="6">
        <f>Table2[[#This Row],[Orders]]/Table2[[#This Row],[Visits]]</f>
        <v>3.9664942103966497E-2</v>
      </c>
    </row>
    <row r="189" spans="10:17" ht="18" customHeight="1" x14ac:dyDescent="0.3">
      <c r="J18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89" s="65" t="str">
        <f>_xlfn.TEXTAFTER(Table2[[#This Row],[SFMC Name]],"_",4)</f>
        <v>StoreNewsletterEN</v>
      </c>
      <c r="L189" s="4" t="s">
        <v>632</v>
      </c>
      <c r="M189" s="119">
        <v>45072</v>
      </c>
      <c r="N189" s="2">
        <v>3566</v>
      </c>
      <c r="O189" s="2">
        <v>112</v>
      </c>
      <c r="P189" s="118">
        <v>2064</v>
      </c>
      <c r="Q189" s="6">
        <f>Table2[[#This Row],[Orders]]/Table2[[#This Row],[Visits]]</f>
        <v>3.1407739764441951E-2</v>
      </c>
    </row>
    <row r="190" spans="10:17" ht="18" customHeight="1" x14ac:dyDescent="0.3">
      <c r="J19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0" s="65" t="str">
        <f>_xlfn.TEXTAFTER(Table2[[#This Row],[SFMC Name]],"_",4)</f>
        <v>CatalogueTitles</v>
      </c>
      <c r="L190" s="4" t="s">
        <v>633</v>
      </c>
      <c r="M190" s="119">
        <v>45072</v>
      </c>
      <c r="N190" s="2">
        <v>13343</v>
      </c>
      <c r="O190" s="2">
        <v>343</v>
      </c>
      <c r="P190" s="118">
        <v>2804</v>
      </c>
      <c r="Q190" s="6">
        <f>Table2[[#This Row],[Orders]]/Table2[[#This Row],[Visits]]</f>
        <v>2.5706362886906992E-2</v>
      </c>
    </row>
    <row r="191" spans="10:17" ht="18" customHeight="1" x14ac:dyDescent="0.3">
      <c r="J19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91" s="65" t="str">
        <f>_xlfn.TEXTAFTER(Table2[[#This Row],[SFMC Name]],"_",4)</f>
        <v>StoreNewsletterFR</v>
      </c>
      <c r="L191" s="4" t="s">
        <v>634</v>
      </c>
      <c r="M191" s="119">
        <v>45073</v>
      </c>
      <c r="N191" s="2">
        <v>216</v>
      </c>
      <c r="O191" s="2">
        <v>4</v>
      </c>
      <c r="P191" s="118">
        <v>43</v>
      </c>
      <c r="Q191" s="6">
        <f>Table2[[#This Row],[Orders]]/Table2[[#This Row],[Visits]]</f>
        <v>1.8518518518518517E-2</v>
      </c>
    </row>
    <row r="192" spans="10:17" ht="18" customHeight="1" x14ac:dyDescent="0.3">
      <c r="J19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92" s="65" t="str">
        <f>_xlfn.TEXTAFTER(Table2[[#This Row],[SFMC Name]],"_",4)</f>
        <v>Succession</v>
      </c>
      <c r="L192" s="4" t="s">
        <v>635</v>
      </c>
      <c r="M192" s="119">
        <v>45075</v>
      </c>
      <c r="N192" s="2">
        <v>4226</v>
      </c>
      <c r="O192" s="2">
        <v>14</v>
      </c>
      <c r="P192" s="118">
        <v>499</v>
      </c>
      <c r="Q192" s="6">
        <f>Table2[[#This Row],[Orders]]/Table2[[#This Row],[Visits]]</f>
        <v>3.3128253667770941E-3</v>
      </c>
    </row>
    <row r="193" spans="10:17" ht="18" customHeight="1" x14ac:dyDescent="0.3">
      <c r="J19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3" s="65" t="str">
        <f>_xlfn.TEXTAFTER(Table2[[#This Row],[SFMC Name]],"_",4)</f>
        <v>TuesdayDeals</v>
      </c>
      <c r="L193" s="4" t="s">
        <v>636</v>
      </c>
      <c r="M193" s="119">
        <v>45076</v>
      </c>
      <c r="N193" s="2">
        <v>2809</v>
      </c>
      <c r="O193" s="2">
        <v>74</v>
      </c>
      <c r="P193" s="118">
        <v>2210</v>
      </c>
      <c r="Q193" s="6">
        <f>Table2[[#This Row],[Orders]]/Table2[[#This Row],[Visits]]</f>
        <v>2.6343894624421504E-2</v>
      </c>
    </row>
    <row r="194" spans="10:17" ht="18" customHeight="1" x14ac:dyDescent="0.3">
      <c r="J19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4" s="65" t="str">
        <f>_xlfn.TEXTAFTER(Table2[[#This Row],[SFMC Name]],"_",4)</f>
        <v>PremExDriveOffer</v>
      </c>
      <c r="L194" s="4" t="s">
        <v>660</v>
      </c>
      <c r="M194" s="119">
        <v>45077</v>
      </c>
      <c r="N194" s="2">
        <v>6309</v>
      </c>
      <c r="O194" s="2">
        <v>126</v>
      </c>
      <c r="P194" s="118">
        <v>4073</v>
      </c>
      <c r="Q194" s="6">
        <f>Table2[[#This Row],[Orders]]/Table2[[#This Row],[Visits]]</f>
        <v>1.9971469329529243E-2</v>
      </c>
    </row>
    <row r="195" spans="10:17" ht="18" customHeight="1" x14ac:dyDescent="0.3">
      <c r="J19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5" s="65" t="str">
        <f>_xlfn.TEXTAFTER(Table2[[#This Row],[SFMC Name]],"_",4)</f>
        <v>IMAXOppenheimer</v>
      </c>
      <c r="L195" s="4" t="s">
        <v>661</v>
      </c>
      <c r="M195" s="119">
        <v>45078</v>
      </c>
      <c r="N195" s="2">
        <v>5343</v>
      </c>
      <c r="O195" s="2">
        <v>257</v>
      </c>
      <c r="P195" s="118">
        <v>11113</v>
      </c>
      <c r="Q195" s="6">
        <f>Table2[[#This Row],[Orders]]/Table2[[#This Row],[Visits]]</f>
        <v>4.8100318173310876E-2</v>
      </c>
    </row>
    <row r="196" spans="10:17" ht="18" customHeight="1" x14ac:dyDescent="0.3">
      <c r="J19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6" s="65" t="str">
        <f>_xlfn.TEXTAFTER(Table2[[#This Row],[SFMC Name]],"_",4)</f>
        <v>AVXSpiderMan</v>
      </c>
      <c r="L196" s="4" t="s">
        <v>662</v>
      </c>
      <c r="M196" s="119">
        <v>45078</v>
      </c>
      <c r="N196" s="2">
        <v>20035</v>
      </c>
      <c r="O196" s="2">
        <v>874</v>
      </c>
      <c r="P196" s="118">
        <v>36932</v>
      </c>
      <c r="Q196" s="6">
        <f>Table2[[#This Row],[Orders]]/Table2[[#This Row],[Visits]]</f>
        <v>4.3623658597454457E-2</v>
      </c>
    </row>
    <row r="197" spans="10:17" ht="18" customHeight="1" x14ac:dyDescent="0.3">
      <c r="J19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197" s="65" t="str">
        <f>_xlfn.TEXTAFTER(Table2[[#This Row],[SFMC Name]],"_",4)</f>
        <v>StoreNewsletterEN</v>
      </c>
      <c r="L197" s="4" t="s">
        <v>663</v>
      </c>
      <c r="M197" s="119">
        <v>45079</v>
      </c>
      <c r="N197" s="2">
        <v>2832</v>
      </c>
      <c r="O197" s="2">
        <v>49</v>
      </c>
      <c r="P197" s="118">
        <v>888</v>
      </c>
      <c r="Q197" s="6">
        <f>Table2[[#This Row],[Orders]]/Table2[[#This Row],[Visits]]</f>
        <v>1.730225988700565E-2</v>
      </c>
    </row>
    <row r="198" spans="10:17" ht="18" customHeight="1" x14ac:dyDescent="0.3">
      <c r="J19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8" s="65" t="str">
        <f>_xlfn.TEXTAFTER(Table2[[#This Row],[SFMC Name]],"_",4)</f>
        <v>CatalogueTitles</v>
      </c>
      <c r="L198" s="4" t="s">
        <v>664</v>
      </c>
      <c r="M198" s="119">
        <v>45079</v>
      </c>
      <c r="N198" s="2">
        <v>13758</v>
      </c>
      <c r="O198" s="2">
        <v>531</v>
      </c>
      <c r="P198" s="118">
        <v>19381</v>
      </c>
      <c r="Q198" s="6">
        <f>Table2[[#This Row],[Orders]]/Table2[[#This Row],[Visits]]</f>
        <v>3.8595726122982989E-2</v>
      </c>
    </row>
    <row r="199" spans="10:17" ht="18" customHeight="1" x14ac:dyDescent="0.3">
      <c r="J199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199" s="65" t="str">
        <f>_xlfn.TEXTAFTER(Table2[[#This Row],[SFMC Name]],"_",4)</f>
        <v>Arts&amp;CultureNewsletter</v>
      </c>
      <c r="L199" s="4" t="s">
        <v>665</v>
      </c>
      <c r="M199" s="119">
        <v>45080</v>
      </c>
      <c r="N199" s="2">
        <v>0</v>
      </c>
      <c r="O199" s="2">
        <v>0</v>
      </c>
      <c r="P199" s="118">
        <v>0</v>
      </c>
      <c r="Q199" s="6">
        <v>0</v>
      </c>
    </row>
    <row r="200" spans="10:17" ht="18" customHeight="1" x14ac:dyDescent="0.3">
      <c r="J200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00" s="65" t="str">
        <f>_xlfn.TEXTAFTER(Table2[[#This Row],[SFMC Name]],"_",4)</f>
        <v>AreYouThereGod</v>
      </c>
      <c r="L200" s="4" t="s">
        <v>666</v>
      </c>
      <c r="M200" s="119">
        <v>45083</v>
      </c>
      <c r="N200" s="2">
        <v>1573</v>
      </c>
      <c r="O200" s="2">
        <v>19</v>
      </c>
      <c r="P200" s="118">
        <v>335</v>
      </c>
      <c r="Q200" s="6">
        <f>Table2[[#This Row],[Orders]]/Table2[[#This Row],[Visits]]</f>
        <v>1.2078830260648443E-2</v>
      </c>
    </row>
    <row r="201" spans="10:17" ht="18" customHeight="1" x14ac:dyDescent="0.3">
      <c r="J201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1" s="65" t="str">
        <f>_xlfn.TEXTAFTER(Table2[[#This Row],[SFMC Name]],"_",4)</f>
        <v>TuesdayDeals</v>
      </c>
      <c r="L201" s="4" t="s">
        <v>667</v>
      </c>
      <c r="M201" s="119">
        <v>45083</v>
      </c>
      <c r="N201" s="2">
        <v>3977</v>
      </c>
      <c r="O201" s="2">
        <v>101</v>
      </c>
      <c r="P201" s="118">
        <v>2704</v>
      </c>
      <c r="Q201" s="6">
        <f>Table2[[#This Row],[Orders]]/Table2[[#This Row],[Visits]]</f>
        <v>2.539602715614785E-2</v>
      </c>
    </row>
    <row r="202" spans="10:17" ht="18" customHeight="1" x14ac:dyDescent="0.3">
      <c r="J202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02" s="65" t="str">
        <f>_xlfn.TEXTAFTER(Table2[[#This Row],[SFMC Name]],"_",4)</f>
        <v>StoreNewsletterEN</v>
      </c>
      <c r="L202" s="4" t="s">
        <v>689</v>
      </c>
      <c r="M202" s="119">
        <v>45086</v>
      </c>
      <c r="N202" s="2">
        <v>4280</v>
      </c>
      <c r="O202" s="2">
        <v>120</v>
      </c>
      <c r="P202" s="118">
        <v>2391</v>
      </c>
      <c r="Q202" s="6">
        <f>Table2[[#This Row],[Orders]]/Table2[[#This Row],[Visits]]</f>
        <v>2.8037383177570093E-2</v>
      </c>
    </row>
    <row r="203" spans="10:17" ht="18" customHeight="1" x14ac:dyDescent="0.3">
      <c r="J203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3" s="65" t="str">
        <f>_xlfn.TEXTAFTER(Table2[[#This Row],[SFMC Name]],"_",4)</f>
        <v>AdvTicketsOppenheimer</v>
      </c>
      <c r="L203" s="4" t="s">
        <v>688</v>
      </c>
      <c r="M203" s="119">
        <v>45086</v>
      </c>
      <c r="N203" s="2">
        <v>11153</v>
      </c>
      <c r="O203" s="2">
        <v>182</v>
      </c>
      <c r="P203" s="118">
        <v>6875</v>
      </c>
      <c r="Q203" s="6">
        <f>Table2[[#This Row],[Orders]]/Table2[[#This Row],[Visits]]</f>
        <v>1.6318479332914911E-2</v>
      </c>
    </row>
    <row r="204" spans="10:17" ht="18" customHeight="1" x14ac:dyDescent="0.3">
      <c r="J204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4" s="65" t="str">
        <f>_xlfn.TEXTAFTER(Table2[[#This Row],[SFMC Name]],"_",4)</f>
        <v>CatalogueTitles</v>
      </c>
      <c r="L204" s="4" t="s">
        <v>687</v>
      </c>
      <c r="M204" s="119">
        <v>45086</v>
      </c>
      <c r="N204" s="2">
        <v>15773</v>
      </c>
      <c r="O204" s="2">
        <v>315</v>
      </c>
      <c r="P204" s="118">
        <v>11908</v>
      </c>
      <c r="Q204" s="6">
        <f>Table2[[#This Row],[Orders]]/Table2[[#This Row],[Visits]]</f>
        <v>1.997083623914284E-2</v>
      </c>
    </row>
    <row r="205" spans="10:17" ht="18" customHeight="1" x14ac:dyDescent="0.3">
      <c r="J205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5" s="65" t="str">
        <f>_xlfn.TEXTAFTER(Table2[[#This Row],[SFMC Name]],"_",4)</f>
        <v>InternationalCinemaJune</v>
      </c>
      <c r="L205" s="4" t="s">
        <v>686</v>
      </c>
      <c r="M205" s="119">
        <v>45086</v>
      </c>
      <c r="N205" s="2">
        <v>1230</v>
      </c>
      <c r="O205" s="2">
        <v>8</v>
      </c>
      <c r="P205" s="118">
        <v>169</v>
      </c>
      <c r="Q205" s="6">
        <f>Table2[[#This Row],[Orders]]/Table2[[#This Row],[Visits]]</f>
        <v>6.5040650406504065E-3</v>
      </c>
    </row>
    <row r="206" spans="10:17" ht="18" customHeight="1" x14ac:dyDescent="0.3">
      <c r="J206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06" s="65" t="str">
        <f>_xlfn.TEXTAFTER(Table2[[#This Row],[SFMC Name]],"_",4)</f>
        <v>StoreNewsletterFR</v>
      </c>
      <c r="L206" s="4" t="s">
        <v>685</v>
      </c>
      <c r="M206" s="119">
        <v>45087</v>
      </c>
      <c r="N206" s="2">
        <v>217</v>
      </c>
      <c r="O206" s="2">
        <v>0</v>
      </c>
      <c r="P206" s="118">
        <v>0</v>
      </c>
      <c r="Q206" s="6">
        <f>Table2[[#This Row],[Orders]]/Table2[[#This Row],[Visits]]</f>
        <v>0</v>
      </c>
    </row>
    <row r="207" spans="10:17" ht="18" customHeight="1" x14ac:dyDescent="0.3">
      <c r="J207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STORE</v>
      </c>
      <c r="K207" s="65" t="str">
        <f>_xlfn.TEXTAFTER(Table2[[#This Row],[SFMC Name]],"_",4)</f>
        <v>FastX</v>
      </c>
      <c r="L207" s="4" t="s">
        <v>684</v>
      </c>
      <c r="M207" s="119">
        <v>45090</v>
      </c>
      <c r="N207" s="2">
        <v>3356</v>
      </c>
      <c r="O207" s="2">
        <v>31</v>
      </c>
      <c r="P207" s="118">
        <v>607</v>
      </c>
      <c r="Q207" s="6">
        <f>Table2[[#This Row],[Orders]]/Table2[[#This Row],[Visits]]</f>
        <v>9.2371871275327769E-3</v>
      </c>
    </row>
    <row r="208" spans="10:17" ht="18" customHeight="1" x14ac:dyDescent="0.3">
      <c r="J208" s="1" t="str">
        <f>IF(ISNUMBER(SEARCH("_LBE_",Table2[[#This Row],[SFMC Name]])),"LBE",
 IF(ISNUMBER(SEARCH("_THEA_",Table2[[#This Row],[SFMC Name]])),"THEA",
 IF(ISNUMBER(SEARCH("_STORE_",Table2[[#This Row],[SFMC Name]])),"STORE",
 IF(ISNUMBER(SEARCH("_CLUB_",Table2[[#This Row],[SFMC Name]])),"CINECLUB",
 IF(ISNUMBER(SEARCH("_CINECLUB_",Table2[[#This Row],[SFMC Name]])),"CINECLUB",
 IF(ISNUMBER(SEARCH("_OTHER_",Table2[[#This Row],[SFMC Name]])),"OTHER",
IF(ISNUMBER(SEARCH("_BMP_",Table2[[#This Row],[SFMC Name]])),"BMP","***CHECK***")))))))</f>
        <v>THEA</v>
      </c>
      <c r="K208" s="65" t="str">
        <f>_xlfn.TEXTAFTER(Table2[[#This Row],[SFMC Name]],"_",4)</f>
        <v>TuesdayDeals</v>
      </c>
      <c r="L208" s="4" t="s">
        <v>683</v>
      </c>
      <c r="M208" s="119">
        <v>45090</v>
      </c>
      <c r="N208" s="2">
        <v>3325</v>
      </c>
      <c r="O208" s="2">
        <v>77</v>
      </c>
      <c r="P208" s="118">
        <v>2277</v>
      </c>
      <c r="Q208" s="6">
        <f>Table2[[#This Row],[Orders]]/Table2[[#This Row],[Visits]]</f>
        <v>2.3157894736842106E-2</v>
      </c>
    </row>
    <row r="209" spans="10:17" ht="18" customHeight="1" x14ac:dyDescent="0.3">
      <c r="J209" s="1"/>
      <c r="K209" s="65"/>
      <c r="L209" s="1"/>
      <c r="M209" s="119"/>
      <c r="N209" s="2"/>
      <c r="O209" s="2"/>
      <c r="P209" s="118"/>
      <c r="Q209" s="6"/>
    </row>
    <row r="210" spans="10:17" ht="18" customHeight="1" x14ac:dyDescent="0.3">
      <c r="J210" s="1"/>
      <c r="K210" s="65"/>
      <c r="L210" s="1"/>
      <c r="M210" s="119"/>
      <c r="N210" s="2"/>
      <c r="O210" s="2"/>
      <c r="P210" s="118"/>
      <c r="Q210" s="6"/>
    </row>
  </sheetData>
  <autoFilter ref="R4" xr:uid="{78264885-85AA-49E2-9E18-E7538BE63A0C}"/>
  <mergeCells count="7">
    <mergeCell ref="T7:AC7"/>
    <mergeCell ref="B2:G2"/>
    <mergeCell ref="J2:Q2"/>
    <mergeCell ref="D3:E3"/>
    <mergeCell ref="T4:AC4"/>
    <mergeCell ref="T5:AC5"/>
    <mergeCell ref="T6:AC6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8E8B-ADF0-434F-A42E-4F7E9DBBC6F3}">
  <dimension ref="A1:B4"/>
  <sheetViews>
    <sheetView workbookViewId="0">
      <selection activeCell="E22" sqref="E22"/>
    </sheetView>
  </sheetViews>
  <sheetFormatPr defaultColWidth="14.109375" defaultRowHeight="23.25" customHeight="1" x14ac:dyDescent="0.3"/>
  <cols>
    <col min="1" max="1" width="17.44140625" style="1" customWidth="1"/>
    <col min="2" max="2" width="24.6640625" style="1" bestFit="1" customWidth="1"/>
    <col min="3" max="16384" width="14.109375" style="1"/>
  </cols>
  <sheetData>
    <row r="1" spans="1:2" ht="23.25" customHeight="1" x14ac:dyDescent="0.3">
      <c r="A1" s="1" t="s">
        <v>2</v>
      </c>
      <c r="B1" s="1" t="s">
        <v>1</v>
      </c>
    </row>
    <row r="2" spans="1:2" ht="23.25" customHeight="1" x14ac:dyDescent="0.3">
      <c r="A2" s="1" t="s">
        <v>20</v>
      </c>
      <c r="B2" s="1" t="s">
        <v>15</v>
      </c>
    </row>
    <row r="3" spans="1:2" ht="23.25" customHeight="1" x14ac:dyDescent="0.3">
      <c r="A3" s="1" t="s">
        <v>16</v>
      </c>
      <c r="B3" s="1" t="s">
        <v>18</v>
      </c>
    </row>
    <row r="4" spans="1:2" ht="23.25" customHeight="1" x14ac:dyDescent="0.3">
      <c r="A4" s="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8" ma:contentTypeDescription="Create a new document." ma:contentTypeScope="" ma:versionID="242d1cf077094bc611bd418e73e24a61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f97265fdce8406038524cdda583b5723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3A21C-1D0D-479E-ABD9-FFD49AFD540D}"/>
</file>

<file path=customXml/itemProps2.xml><?xml version="1.0" encoding="utf-8"?>
<ds:datastoreItem xmlns:ds="http://schemas.openxmlformats.org/officeDocument/2006/customXml" ds:itemID="{BF569702-E253-44FB-B533-0E2EF4A3C8EC}">
  <ds:schemaRefs>
    <ds:schemaRef ds:uri="60a69f8e-a5f8-479b-9bbe-cdbb5589b200"/>
    <ds:schemaRef ds:uri="http://purl.org/dc/dcmitype/"/>
    <ds:schemaRef ds:uri="http://purl.org/dc/terms/"/>
    <ds:schemaRef ds:uri="http://schemas.openxmlformats.org/package/2006/metadata/core-properties"/>
    <ds:schemaRef ds:uri="08683ea6-7741-48c6-afbe-a369b9f3f71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33BD42-1FB5-4EA4-83FF-E91FF4007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Email Performance</vt:lpstr>
      <vt:lpstr>Consolidated View</vt:lpstr>
      <vt:lpstr>Weekly View</vt:lpstr>
      <vt:lpstr>Friday What's On</vt:lpstr>
      <vt:lpstr>Tuesday Deals</vt:lpstr>
      <vt:lpstr>Store Newsletter</vt:lpstr>
      <vt:lpstr>Theatrical</vt:lpstr>
      <vt:lpstr>Store</vt:lpstr>
      <vt:lpstr>Scene+ Offer Only</vt:lpstr>
      <vt:lpstr>BM&amp;P</vt:lpstr>
      <vt:lpstr>Other</vt:lpstr>
      <vt:lpstr>LBE</vt:lpstr>
      <vt:lpstr>CineClub</vt:lpstr>
      <vt:lpstr>Survey</vt:lpstr>
      <vt:lpstr>Revenue</vt:lpstr>
      <vt:lpstr>List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Sooklall</dc:creator>
  <cp:keywords/>
  <dc:description/>
  <cp:lastModifiedBy>Patrick Dixon</cp:lastModifiedBy>
  <cp:revision/>
  <dcterms:created xsi:type="dcterms:W3CDTF">2020-08-31T14:09:18Z</dcterms:created>
  <dcterms:modified xsi:type="dcterms:W3CDTF">2023-06-28T19:03:31Z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</Properties>
</file>